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ADNAN\DECLARATION\"/>
    </mc:Choice>
  </mc:AlternateContent>
  <xr:revisionPtr revIDLastSave="0" documentId="13_ncr:1_{BB1BAE55-41CC-4242-900C-C10368EA8CA8}" xr6:coauthVersionLast="47" xr6:coauthVersionMax="47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Sheet1" sheetId="10" state="hidden" r:id="rId1"/>
    <sheet name="WebocBalance" sheetId="8" r:id="rId2"/>
    <sheet name="Report" sheetId="6" r:id="rId3"/>
    <sheet name="inv-Check" sheetId="13" r:id="rId4"/>
    <sheet name="Report2" sheetId="11" r:id="rId5"/>
    <sheet name="Sheet2" sheetId="12" r:id="rId6"/>
  </sheets>
  <externalReferences>
    <externalReference r:id="rId7"/>
    <externalReference r:id="rId8"/>
    <externalReference r:id="rId9"/>
  </externalReferences>
  <definedNames>
    <definedName name="_xlnm._FilterDatabase" localSheetId="3" hidden="1">'inv-Check'!$C$80:$C$157</definedName>
    <definedName name="_xlnm._FilterDatabase" localSheetId="2" hidden="1">Report!$B$3:$B$98</definedName>
    <definedName name="_xlnm._FilterDatabase" localSheetId="4" hidden="1">Report2!$D$36:$G$52</definedName>
    <definedName name="_xlnm._FilterDatabase" localSheetId="1" hidden="1">WebocBalance!$A$2:$E$148</definedName>
    <definedName name="e.ib">'[1]Export Utilized'!$C:$C</definedName>
    <definedName name="e.inv">'[1]Export Utilized'!$B:$B</definedName>
    <definedName name="e.qty">'[1]Export Utilized'!$E:$E</definedName>
    <definedName name="ExternalData_1" localSheetId="0" hidden="1">Sheet1!$A$1:$D$104</definedName>
    <definedName name="ExternalData_1" localSheetId="1" hidden="1">WebocBalance!$A$188:$C$212</definedName>
  </definedNames>
  <calcPr calcId="191029"/>
  <pivotCaches>
    <pivotCache cacheId="1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2" i="8" l="1"/>
  <c r="B57" i="8"/>
  <c r="B56" i="8"/>
  <c r="B51" i="8"/>
  <c r="B44" i="8"/>
  <c r="B41" i="8"/>
  <c r="B40" i="8"/>
  <c r="B33" i="8"/>
  <c r="B24" i="8"/>
  <c r="B13" i="8"/>
  <c r="B4" i="8"/>
  <c r="C70" i="8"/>
  <c r="C69" i="8"/>
  <c r="B68" i="8"/>
  <c r="B60" i="8"/>
  <c r="B52" i="8"/>
  <c r="B36" i="8"/>
  <c r="B67" i="8"/>
  <c r="B59" i="8"/>
  <c r="B43" i="8"/>
  <c r="B35" i="8"/>
  <c r="B27" i="8"/>
  <c r="B19" i="8"/>
  <c r="B11" i="8"/>
  <c r="B23" i="8"/>
  <c r="B7" i="8"/>
  <c r="B20" i="8"/>
  <c r="B66" i="8"/>
  <c r="B58" i="8"/>
  <c r="B50" i="8"/>
  <c r="B42" i="8"/>
  <c r="B34" i="8"/>
  <c r="B26" i="8"/>
  <c r="B18" i="8"/>
  <c r="B10" i="8"/>
  <c r="B31" i="8"/>
  <c r="B37" i="8"/>
  <c r="B28" i="8"/>
  <c r="B65" i="8"/>
  <c r="B49" i="8"/>
  <c r="B25" i="8"/>
  <c r="B17" i="8"/>
  <c r="B9" i="8"/>
  <c r="B39" i="8"/>
  <c r="B29" i="8"/>
  <c r="B12" i="8"/>
  <c r="B64" i="8"/>
  <c r="B48" i="8"/>
  <c r="B32" i="8"/>
  <c r="B16" i="8"/>
  <c r="B8" i="8"/>
  <c r="B55" i="8"/>
  <c r="B45" i="8"/>
  <c r="B63" i="8"/>
  <c r="B47" i="8"/>
  <c r="B15" i="8"/>
  <c r="B54" i="8"/>
  <c r="B46" i="8"/>
  <c r="B38" i="8"/>
  <c r="B30" i="8"/>
  <c r="B22" i="8"/>
  <c r="B14" i="8"/>
  <c r="B6" i="8"/>
  <c r="B61" i="8"/>
  <c r="B53" i="8"/>
  <c r="B21" i="8"/>
  <c r="B5" i="8"/>
  <c r="B2" i="13" l="1"/>
  <c r="A65" i="6" l="1"/>
  <c r="B65" i="6" s="1"/>
  <c r="C78" i="8"/>
  <c r="C77" i="8"/>
  <c r="C76" i="8"/>
  <c r="C75" i="8"/>
  <c r="C74" i="8"/>
  <c r="C73" i="8"/>
  <c r="C72" i="8"/>
  <c r="C71" i="8"/>
  <c r="B3" i="8"/>
  <c r="A66" i="6" l="1"/>
  <c r="B66" i="6" s="1"/>
  <c r="C82" i="8"/>
  <c r="C80" i="8"/>
  <c r="C79" i="8"/>
  <c r="D4" i="8" l="1"/>
  <c r="C93" i="8" l="1"/>
  <c r="C92" i="8"/>
  <c r="C91" i="8"/>
  <c r="C90" i="8"/>
  <c r="C89" i="8"/>
  <c r="C88" i="8"/>
  <c r="C87" i="8"/>
  <c r="C86" i="8"/>
  <c r="C85" i="8"/>
  <c r="C84" i="8"/>
  <c r="C83" i="8"/>
  <c r="C81" i="8"/>
  <c r="C94" i="8" l="1"/>
  <c r="C98" i="8" l="1"/>
  <c r="C97" i="8"/>
  <c r="C96" i="8"/>
  <c r="C95" i="8"/>
  <c r="D12" i="8" l="1"/>
  <c r="D16" i="8"/>
  <c r="D77" i="8"/>
  <c r="D33" i="8"/>
  <c r="D13" i="8"/>
  <c r="D82" i="8"/>
  <c r="D15" i="8"/>
  <c r="D18" i="8"/>
  <c r="D70" i="8"/>
  <c r="D60" i="8"/>
  <c r="A5" i="13" l="1"/>
  <c r="D83" i="8" l="1"/>
  <c r="D30" i="8"/>
  <c r="D47" i="8"/>
  <c r="D80" i="8"/>
  <c r="D41" i="8"/>
  <c r="D57" i="8"/>
  <c r="D94" i="8"/>
  <c r="D24" i="8"/>
  <c r="D58" i="8"/>
  <c r="D68" i="8"/>
  <c r="D88" i="8"/>
  <c r="D3" i="8"/>
  <c r="D32" i="8"/>
  <c r="D92" i="8"/>
  <c r="D73" i="8"/>
  <c r="D76" i="8"/>
  <c r="D65" i="8"/>
  <c r="D53" i="8"/>
  <c r="D84" i="8"/>
  <c r="D85" i="8"/>
  <c r="D64" i="8"/>
  <c r="D61" i="8"/>
  <c r="D63" i="8"/>
  <c r="D59" i="8"/>
  <c r="D87" i="8"/>
  <c r="D81" i="8"/>
  <c r="D89" i="8"/>
  <c r="D19" i="8"/>
  <c r="D55" i="8"/>
  <c r="D54" i="8"/>
  <c r="D86" i="8"/>
  <c r="D93" i="8"/>
  <c r="D38" i="8"/>
  <c r="D66" i="8"/>
  <c r="D40" i="8"/>
  <c r="D90" i="8"/>
  <c r="D52" i="8"/>
  <c r="D50" i="8"/>
  <c r="D49" i="8"/>
  <c r="D75" i="8"/>
  <c r="D62" i="8"/>
  <c r="D46" i="8"/>
  <c r="D67" i="8"/>
  <c r="D45" i="8"/>
  <c r="D71" i="8"/>
  <c r="D37" i="8"/>
  <c r="D43" i="8"/>
  <c r="D39" i="8"/>
  <c r="D91" i="8"/>
  <c r="D36" i="8"/>
  <c r="D35" i="8"/>
  <c r="D56" i="8"/>
  <c r="D34" i="8"/>
  <c r="D48" i="8"/>
  <c r="D29" i="8"/>
  <c r="D31" i="8"/>
  <c r="D69" i="8"/>
  <c r="D28" i="8"/>
  <c r="D27" i="8"/>
  <c r="D26" i="8"/>
  <c r="D74" i="8"/>
  <c r="D25" i="8"/>
  <c r="D51" i="8"/>
  <c r="D44" i="8"/>
  <c r="D5" i="8"/>
  <c r="D23" i="8"/>
  <c r="D22" i="8"/>
  <c r="D21" i="8"/>
  <c r="D78" i="8"/>
  <c r="D20" i="8"/>
  <c r="D79" i="8"/>
  <c r="D42" i="8"/>
  <c r="D17" i="8"/>
  <c r="D11" i="8"/>
  <c r="D10" i="8"/>
  <c r="D9" i="8"/>
  <c r="D72" i="8"/>
  <c r="D8" i="8"/>
  <c r="D7" i="8"/>
  <c r="D6" i="8"/>
  <c r="D14" i="8"/>
  <c r="B1" i="13" l="1"/>
  <c r="C111" i="8" l="1"/>
  <c r="C110" i="8"/>
  <c r="C109" i="8"/>
  <c r="C108" i="8"/>
  <c r="C107" i="8"/>
  <c r="C106" i="8"/>
  <c r="C105" i="8"/>
  <c r="C104" i="8"/>
  <c r="C103" i="8"/>
  <c r="C102" i="8"/>
  <c r="C101" i="8"/>
  <c r="C100" i="8"/>
  <c r="C99" i="8"/>
  <c r="C148" i="8" l="1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A10" i="6" l="1"/>
  <c r="A24" i="13" l="1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4" i="6" l="1"/>
  <c r="D1" i="8" l="1"/>
  <c r="F24" i="13" l="1"/>
  <c r="F23" i="13"/>
  <c r="F22" i="13"/>
  <c r="F21" i="13"/>
  <c r="F20" i="13"/>
  <c r="F19" i="13"/>
  <c r="F18" i="13"/>
  <c r="F16" i="13"/>
  <c r="F14" i="13"/>
  <c r="F13" i="13"/>
  <c r="F12" i="13"/>
  <c r="F10" i="13"/>
  <c r="F9" i="13"/>
  <c r="F8" i="13"/>
  <c r="F7" i="13"/>
  <c r="F6" i="13"/>
  <c r="F5" i="13"/>
  <c r="F11" i="13" l="1"/>
  <c r="F15" i="13"/>
  <c r="F17" i="13"/>
  <c r="B1" i="8"/>
  <c r="B4" i="6" l="1"/>
  <c r="A4" i="11"/>
  <c r="B4" i="11" s="1"/>
  <c r="A10" i="11" l="1"/>
  <c r="B10" i="11" s="1"/>
  <c r="B10" i="6"/>
  <c r="A9" i="6" l="1"/>
  <c r="B9" i="6" s="1"/>
  <c r="A9" i="11"/>
  <c r="B9" i="11" s="1"/>
  <c r="A8" i="6"/>
  <c r="B8" i="6" s="1"/>
  <c r="A8" i="11"/>
  <c r="B8" i="11" s="1"/>
  <c r="A6" i="6"/>
  <c r="B6" i="6" s="1"/>
  <c r="A6" i="11"/>
  <c r="B6" i="11" s="1"/>
  <c r="A5" i="11"/>
  <c r="B5" i="11" s="1"/>
  <c r="A5" i="6"/>
  <c r="B5" i="6" s="1"/>
  <c r="A7" i="11" l="1"/>
  <c r="B7" i="11" s="1"/>
  <c r="A7" i="6"/>
  <c r="B7" i="6" s="1"/>
  <c r="A89" i="11" l="1"/>
  <c r="B89" i="11" s="1"/>
  <c r="A27" i="6" l="1"/>
  <c r="B27" i="6" s="1"/>
  <c r="A27" i="11"/>
  <c r="B27" i="11" s="1"/>
  <c r="A69" i="11" l="1"/>
  <c r="B69" i="11" s="1"/>
  <c r="A88" i="11"/>
  <c r="B88" i="11" s="1"/>
  <c r="A85" i="11"/>
  <c r="B85" i="11" s="1"/>
  <c r="A76" i="11"/>
  <c r="B76" i="11" s="1"/>
  <c r="A54" i="6" l="1"/>
  <c r="B54" i="6" s="1"/>
  <c r="A54" i="11"/>
  <c r="B54" i="11" s="1"/>
  <c r="A86" i="11" l="1"/>
  <c r="B86" i="11" s="1"/>
  <c r="A87" i="11"/>
  <c r="B87" i="11" s="1"/>
  <c r="A75" i="11"/>
  <c r="B75" i="11" s="1"/>
  <c r="A51" i="11" l="1"/>
  <c r="B51" i="11" s="1"/>
  <c r="A51" i="6"/>
  <c r="B51" i="6" s="1"/>
  <c r="A49" i="11"/>
  <c r="B49" i="11" s="1"/>
  <c r="A49" i="6"/>
  <c r="B49" i="6" s="1"/>
  <c r="A57" i="6" l="1"/>
  <c r="B57" i="6" s="1"/>
  <c r="A57" i="11"/>
  <c r="B57" i="11" s="1"/>
  <c r="A60" i="6" l="1"/>
  <c r="B60" i="6" s="1"/>
  <c r="A60" i="11"/>
  <c r="B60" i="11" s="1"/>
  <c r="A83" i="11"/>
  <c r="B83" i="11" s="1"/>
  <c r="A77" i="11"/>
  <c r="B77" i="11" s="1"/>
  <c r="A79" i="11"/>
  <c r="B79" i="11" s="1"/>
  <c r="A67" i="11"/>
  <c r="B67" i="11" s="1"/>
  <c r="A62" i="6"/>
  <c r="B62" i="6" s="1"/>
  <c r="A62" i="11"/>
  <c r="B62" i="11" s="1"/>
  <c r="A81" i="11"/>
  <c r="B81" i="11" s="1"/>
  <c r="A30" i="11" l="1"/>
  <c r="B30" i="11" s="1"/>
  <c r="A30" i="6"/>
  <c r="B30" i="6" s="1"/>
  <c r="A50" i="6"/>
  <c r="B50" i="6" s="1"/>
  <c r="A50" i="11"/>
  <c r="B50" i="11" s="1"/>
  <c r="A41" i="11"/>
  <c r="B41" i="11" s="1"/>
  <c r="A41" i="6"/>
  <c r="B41" i="6" s="1"/>
  <c r="A44" i="11"/>
  <c r="B44" i="11" s="1"/>
  <c r="A44" i="6"/>
  <c r="B44" i="6" s="1"/>
  <c r="A36" i="6"/>
  <c r="B36" i="6" s="1"/>
  <c r="A36" i="11"/>
  <c r="B36" i="11" s="1"/>
  <c r="A47" i="11"/>
  <c r="B47" i="11" s="1"/>
  <c r="A47" i="6"/>
  <c r="B47" i="6" s="1"/>
  <c r="A40" i="11"/>
  <c r="B40" i="11" s="1"/>
  <c r="A40" i="6"/>
  <c r="B40" i="6" s="1"/>
  <c r="A18" i="11" l="1"/>
  <c r="B18" i="11" s="1"/>
  <c r="A18" i="6"/>
  <c r="B18" i="6" s="1"/>
  <c r="A84" i="11" l="1"/>
  <c r="B84" i="11" s="1"/>
  <c r="A78" i="11"/>
  <c r="B78" i="11" s="1"/>
  <c r="A80" i="11"/>
  <c r="B80" i="11" s="1"/>
  <c r="A82" i="11"/>
  <c r="B82" i="11" s="1"/>
  <c r="A71" i="11"/>
  <c r="B71" i="11" s="1"/>
  <c r="A72" i="11"/>
  <c r="B72" i="11" s="1"/>
  <c r="A66" i="11" l="1"/>
  <c r="B66" i="11" s="1"/>
  <c r="A65" i="11"/>
  <c r="B65" i="11" s="1"/>
  <c r="A53" i="6"/>
  <c r="B53" i="6" s="1"/>
  <c r="A53" i="11"/>
  <c r="B53" i="11" s="1"/>
  <c r="A55" i="11" l="1"/>
  <c r="B55" i="11" s="1"/>
  <c r="A55" i="6"/>
  <c r="B55" i="6" s="1"/>
  <c r="A58" i="11"/>
  <c r="B58" i="11" s="1"/>
  <c r="A58" i="6"/>
  <c r="B58" i="6" s="1"/>
  <c r="A52" i="6"/>
  <c r="B52" i="6" s="1"/>
  <c r="A52" i="11"/>
  <c r="B52" i="11" s="1"/>
  <c r="A74" i="11"/>
  <c r="B74" i="11" s="1"/>
  <c r="A68" i="11"/>
  <c r="B68" i="11" s="1"/>
  <c r="A63" i="11"/>
  <c r="B63" i="11" s="1"/>
  <c r="A63" i="6"/>
  <c r="B63" i="6" s="1"/>
  <c r="A37" i="11"/>
  <c r="B37" i="11" s="1"/>
  <c r="A37" i="6"/>
  <c r="B37" i="6" s="1"/>
  <c r="A70" i="11"/>
  <c r="B70" i="11" s="1"/>
  <c r="A61" i="11"/>
  <c r="B61" i="11" s="1"/>
  <c r="A61" i="6"/>
  <c r="B61" i="6" s="1"/>
  <c r="A59" i="11"/>
  <c r="B59" i="11" s="1"/>
  <c r="A59" i="6"/>
  <c r="B59" i="6" s="1"/>
  <c r="A31" i="11"/>
  <c r="B31" i="11" s="1"/>
  <c r="A31" i="6"/>
  <c r="B31" i="6" s="1"/>
  <c r="A56" i="11"/>
  <c r="B56" i="11" s="1"/>
  <c r="A56" i="6"/>
  <c r="B56" i="6" s="1"/>
  <c r="A73" i="11"/>
  <c r="B73" i="11" s="1"/>
  <c r="A64" i="11"/>
  <c r="B64" i="11" s="1"/>
  <c r="A64" i="6"/>
  <c r="B64" i="6" s="1"/>
  <c r="A33" i="11" l="1"/>
  <c r="B33" i="11" s="1"/>
  <c r="A33" i="6"/>
  <c r="B33" i="6" s="1"/>
  <c r="A29" i="6"/>
  <c r="B29" i="6" s="1"/>
  <c r="A29" i="11"/>
  <c r="B29" i="11" s="1"/>
  <c r="A48" i="6"/>
  <c r="B48" i="6" s="1"/>
  <c r="A48" i="11"/>
  <c r="B48" i="11" s="1"/>
  <c r="A45" i="11"/>
  <c r="B45" i="11" s="1"/>
  <c r="A45" i="6"/>
  <c r="B45" i="6" s="1"/>
  <c r="A43" i="6"/>
  <c r="B43" i="6" s="1"/>
  <c r="A43" i="11"/>
  <c r="B43" i="11" s="1"/>
  <c r="A39" i="6"/>
  <c r="B39" i="6" s="1"/>
  <c r="A39" i="11"/>
  <c r="B39" i="11" s="1"/>
  <c r="A42" i="6"/>
  <c r="B42" i="6" s="1"/>
  <c r="A42" i="11"/>
  <c r="B42" i="11" s="1"/>
  <c r="A35" i="11"/>
  <c r="B35" i="11" s="1"/>
  <c r="A35" i="6"/>
  <c r="B35" i="6" s="1"/>
  <c r="A34" i="6"/>
  <c r="B34" i="6" s="1"/>
  <c r="A34" i="11"/>
  <c r="B34" i="11" s="1"/>
  <c r="A32" i="11"/>
  <c r="B32" i="11" s="1"/>
  <c r="A32" i="6"/>
  <c r="B32" i="6" s="1"/>
  <c r="A46" i="6"/>
  <c r="B46" i="6" s="1"/>
  <c r="A46" i="11"/>
  <c r="B46" i="11" s="1"/>
  <c r="A38" i="11"/>
  <c r="B38" i="11" s="1"/>
  <c r="A38" i="6"/>
  <c r="B38" i="6" s="1"/>
  <c r="A19" i="6" l="1"/>
  <c r="B19" i="6" s="1"/>
  <c r="A19" i="11"/>
  <c r="B19" i="11" s="1"/>
  <c r="A16" i="11"/>
  <c r="B16" i="11" s="1"/>
  <c r="A16" i="6"/>
  <c r="B16" i="6" s="1"/>
  <c r="A17" i="11"/>
  <c r="B17" i="11" s="1"/>
  <c r="A17" i="6"/>
  <c r="B17" i="6" s="1"/>
  <c r="A15" i="11"/>
  <c r="B15" i="11" s="1"/>
  <c r="A15" i="6"/>
  <c r="B15" i="6" s="1"/>
  <c r="A13" i="11" l="1"/>
  <c r="B13" i="11" s="1"/>
  <c r="A13" i="6"/>
  <c r="B13" i="6" s="1"/>
  <c r="A11" i="6"/>
  <c r="B11" i="6" s="1"/>
  <c r="A11" i="11"/>
  <c r="B11" i="11" s="1"/>
  <c r="A14" i="11"/>
  <c r="B14" i="11" s="1"/>
  <c r="A14" i="6"/>
  <c r="B14" i="6" s="1"/>
  <c r="A12" i="11"/>
  <c r="B12" i="11" s="1"/>
  <c r="A12" i="6"/>
  <c r="B12" i="6" s="1"/>
  <c r="A26" i="11" l="1"/>
  <c r="B26" i="11" s="1"/>
  <c r="A26" i="6"/>
  <c r="B26" i="6" s="1"/>
  <c r="A25" i="6"/>
  <c r="B25" i="6" s="1"/>
  <c r="A25" i="11"/>
  <c r="B25" i="11" s="1"/>
  <c r="A23" i="11"/>
  <c r="B23" i="11" s="1"/>
  <c r="A23" i="6"/>
  <c r="B23" i="6" s="1"/>
  <c r="A24" i="6"/>
  <c r="B24" i="6" s="1"/>
  <c r="A24" i="11"/>
  <c r="B24" i="11" s="1"/>
  <c r="A21" i="11"/>
  <c r="B21" i="11" s="1"/>
  <c r="A21" i="6"/>
  <c r="B21" i="6" s="1"/>
  <c r="A20" i="11"/>
  <c r="B20" i="11" s="1"/>
  <c r="A20" i="6"/>
  <c r="B20" i="6" s="1"/>
  <c r="A28" i="6"/>
  <c r="B28" i="6" s="1"/>
  <c r="A28" i="11"/>
  <c r="B28" i="11" s="1"/>
  <c r="A22" i="11"/>
  <c r="B22" i="11" s="1"/>
  <c r="A22" i="6"/>
  <c r="B22" i="6" s="1"/>
  <c r="E94" i="8" l="1"/>
  <c r="E93" i="8" l="1"/>
  <c r="E81" i="8" l="1"/>
  <c r="E83" i="8"/>
  <c r="E82" i="8"/>
  <c r="E91" i="8" l="1"/>
  <c r="E92" i="8"/>
  <c r="E87" i="8" l="1"/>
  <c r="E86" i="8"/>
  <c r="E85" i="8"/>
  <c r="E84" i="8"/>
  <c r="E88" i="8"/>
  <c r="E89" i="8" l="1"/>
  <c r="E90" i="8"/>
  <c r="E80" i="8" l="1"/>
  <c r="E79" i="8"/>
  <c r="E72" i="8" l="1"/>
  <c r="E76" i="8" l="1"/>
  <c r="E77" i="8" l="1"/>
  <c r="E78" i="8" l="1"/>
  <c r="E74" i="8" l="1"/>
  <c r="E73" i="8"/>
  <c r="E71" i="8"/>
  <c r="E75" i="8" l="1"/>
  <c r="E4" i="8" l="1"/>
  <c r="E3" i="8"/>
  <c r="E5" i="8" l="1"/>
  <c r="E48" i="8"/>
  <c r="E42" i="8" l="1"/>
  <c r="E24" i="8"/>
  <c r="E47" i="8"/>
  <c r="E32" i="8"/>
  <c r="E31" i="8"/>
  <c r="E30" i="8"/>
  <c r="E16" i="8" l="1"/>
  <c r="E28" i="8"/>
  <c r="E13" i="8"/>
  <c r="E27" i="8"/>
  <c r="E22" i="8"/>
  <c r="E23" i="8"/>
  <c r="E26" i="8"/>
  <c r="E59" i="8" l="1"/>
  <c r="E33" i="8" l="1"/>
  <c r="E40" i="8"/>
  <c r="E41" i="8"/>
  <c r="E20" i="8" l="1"/>
  <c r="E68" i="8" l="1"/>
  <c r="E65" i="8" l="1"/>
  <c r="E63" i="8"/>
  <c r="E62" i="8"/>
  <c r="E55" i="8"/>
  <c r="E25" i="8"/>
  <c r="E43" i="8" l="1"/>
  <c r="E58" i="8" l="1"/>
  <c r="E52" i="8"/>
  <c r="E70" i="8"/>
  <c r="E44" i="8" l="1"/>
  <c r="E45" i="8" l="1"/>
  <c r="E21" i="8" l="1"/>
  <c r="E67" i="8"/>
  <c r="E66" i="8"/>
  <c r="E34" i="8" l="1"/>
  <c r="E57" i="8" l="1"/>
  <c r="E56" i="8"/>
  <c r="E54" i="8"/>
  <c r="E69" i="8"/>
  <c r="E61" i="8" l="1"/>
  <c r="E60" i="8"/>
  <c r="E53" i="8" l="1"/>
  <c r="E12" i="8"/>
  <c r="E46" i="8" l="1"/>
  <c r="E49" i="8" l="1"/>
  <c r="E36" i="8" l="1"/>
  <c r="E35" i="8"/>
  <c r="E51" i="8" l="1"/>
  <c r="E15" i="8"/>
  <c r="E14" i="8"/>
  <c r="E37" i="8" l="1"/>
  <c r="E38" i="8" l="1"/>
  <c r="E7" i="8" l="1"/>
  <c r="E6" i="8"/>
  <c r="E50" i="8"/>
  <c r="E19" i="8"/>
  <c r="E18" i="8"/>
  <c r="E39" i="8" l="1"/>
  <c r="E8" i="8" l="1"/>
  <c r="E17" i="8" l="1"/>
  <c r="E10" i="8" l="1"/>
  <c r="E11" i="8"/>
  <c r="E29" i="8" l="1"/>
  <c r="E64" i="8" l="1"/>
  <c r="E9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Balance" description="Connection to the 'Balance' query in the workbook." type="5" refreshedVersion="8" background="1" saveData="1">
    <dbPr connection="Provider=Microsoft.Mashup.OleDb.1;Data Source=$Workbook$;Location=Balance;Extended Properties=&quot;&quot;" command="SELECT * FROM [Balance]"/>
  </connection>
  <connection id="2" xr16:uid="{00000000-0015-0000-FFFF-FFFF01000000}" keepAlive="1" name="Query - Bal-Weboc" description="Connection to the 'Bal-Weboc' query in the workbook." type="5" refreshedVersion="8" background="1" saveData="1">
    <dbPr connection="Provider=Microsoft.Mashup.OleDb.1;Data Source=$Workbook$;Location=Bal-Weboc;Extended Properties=&quot;&quot;" command="SELECT * FROM [Bal-Weboc]"/>
  </connection>
  <connection id="3" xr16:uid="{00000000-0015-0000-FFFF-FFFF02000000}" keepAlive="1" name="Query - Invoices" description="Connection to the 'Invoices' query in the workbook." type="5" refreshedVersion="0" background="1">
    <dbPr connection="Provider=Microsoft.Mashup.OleDb.1;Data Source=$Workbook$;Location=Invoices;Extended Properties=&quot;&quot;" command="SELECT * FROM [Invoices]"/>
  </connection>
  <connection id="4" xr16:uid="{00000000-0015-0000-FFFF-FFFF03000000}" keepAlive="1" name="Query - New" description="Connection to the 'New' query in the workbook." type="5" refreshedVersion="0" background="1">
    <dbPr connection="Provider=Microsoft.Mashup.OleDb.1;Data Source=$Workbook$;Location=New;Extended Properties=&quot;&quot;" command="SELECT * FROM [New]"/>
  </connection>
</connections>
</file>

<file path=xl/sharedStrings.xml><?xml version="1.0" encoding="utf-8"?>
<sst xmlns="http://schemas.openxmlformats.org/spreadsheetml/2006/main" count="475" uniqueCount="120">
  <si>
    <t>B.E. No. &amp; Date</t>
  </si>
  <si>
    <t>Utilized</t>
  </si>
  <si>
    <t>Inv.No</t>
  </si>
  <si>
    <t>HS.Code</t>
  </si>
  <si>
    <t>Grand Total</t>
  </si>
  <si>
    <t>Column Labels</t>
  </si>
  <si>
    <t>Sum of Utilized</t>
  </si>
  <si>
    <t>New</t>
  </si>
  <si>
    <t>WeBoc Bal</t>
  </si>
  <si>
    <t>Difference</t>
  </si>
  <si>
    <t>GD No.</t>
  </si>
  <si>
    <t>BE</t>
  </si>
  <si>
    <t>WEBOC Balance</t>
  </si>
  <si>
    <t>Weboc Bal</t>
  </si>
  <si>
    <t>Type</t>
  </si>
  <si>
    <t>FS</t>
  </si>
  <si>
    <t>KPAF-TI-21174-22-11-2022</t>
  </si>
  <si>
    <t>PCSE-PF-17-04-08-2023</t>
  </si>
  <si>
    <t>PQZI-EP-17502-06-01-2023</t>
  </si>
  <si>
    <t>PQZI-EP-18488-18-01-2023</t>
  </si>
  <si>
    <t>KAPW-TI-148500-17-06-2023</t>
  </si>
  <si>
    <t>KAPW-TI-14711-31-07-2023</t>
  </si>
  <si>
    <t>A</t>
  </si>
  <si>
    <t>PCSE-PF-125-02-10-2023</t>
  </si>
  <si>
    <t>-</t>
  </si>
  <si>
    <t>PCSE-PF-249-07-12-2023</t>
  </si>
  <si>
    <t>KAPS-FS-67466-21-12-2023</t>
  </si>
  <si>
    <t>PCSE-PF-147-12-10-2023</t>
  </si>
  <si>
    <t>KAPW-FS-124277-14-02-2024</t>
  </si>
  <si>
    <t>KAPW-FS-158790-18-04-2024</t>
  </si>
  <si>
    <t>13092023-A-010750</t>
  </si>
  <si>
    <t>LPEX-PF-721-16-10-2023</t>
  </si>
  <si>
    <t>KAPW-FS-39893-18-09-2023</t>
  </si>
  <si>
    <t>KAPS-FS-127356-06-05-2024</t>
  </si>
  <si>
    <t>29052024-A-105997</t>
  </si>
  <si>
    <t>Local Tot</t>
  </si>
  <si>
    <t>FPEX-PF-2104-13-01-2024</t>
  </si>
  <si>
    <t>LPEX-PF-16461-14-05-2024</t>
  </si>
  <si>
    <t>PCSE-PF-320-12-01-2024</t>
  </si>
  <si>
    <t>25062024-A-118726</t>
  </si>
  <si>
    <t>KAPS-FS-106914-18-03-2024</t>
  </si>
  <si>
    <t>PQZI-EP-5528-23-08-2023</t>
  </si>
  <si>
    <t>GWDE-PF-142-14-02-2024</t>
  </si>
  <si>
    <t>19072024-A-129723</t>
  </si>
  <si>
    <t>27042024-A-089955</t>
  </si>
  <si>
    <t>LPEX-PF-1628-15-07-2024</t>
  </si>
  <si>
    <t>LPEX-PF-21646-29-06-2024</t>
  </si>
  <si>
    <t>KAPW-FS-125038-15-02-2024</t>
  </si>
  <si>
    <t>14062024-A-115530</t>
  </si>
  <si>
    <t>03072024-A-123501</t>
  </si>
  <si>
    <t>KPPE-PF-16017-20-07-2024</t>
  </si>
  <si>
    <t>KAPS-FS-146212-12-06-2024</t>
  </si>
  <si>
    <t>KPEX-PF-7211-11-07-2024</t>
  </si>
  <si>
    <t>KPPE-PF-282570-26-06-2024</t>
  </si>
  <si>
    <t>LPEX-PF-1507-12-07-2024</t>
  </si>
  <si>
    <t>PQZI-EP-41957-29-06-2024</t>
  </si>
  <si>
    <t>PQZI-EP-9607-28-09-2023</t>
  </si>
  <si>
    <t>SKZI-EP-271-03-04-2023</t>
  </si>
  <si>
    <t>PQZI-EP-7641-12-09-2023</t>
  </si>
  <si>
    <t>PQZI-EP-8115-15-09-2023</t>
  </si>
  <si>
    <t>PQZI-EP-7694-12-09-2023</t>
  </si>
  <si>
    <t>KPEX-PF-9832-15-07-2024</t>
  </si>
  <si>
    <t>PCSE-PF-302-03-01-2024</t>
  </si>
  <si>
    <t>13062024-A-115110</t>
  </si>
  <si>
    <t>PQZI-EP-8365-18-09-2023</t>
  </si>
  <si>
    <t>PQZI-EP-6915-06-09-2023</t>
  </si>
  <si>
    <t>PQZI-EP-8806-21-09-2023</t>
  </si>
  <si>
    <t>17042024-A-084037</t>
  </si>
  <si>
    <t>KAPW-FS-199895-27-06-2024</t>
  </si>
  <si>
    <t>LPEX-PF-762-08-07-2024</t>
  </si>
  <si>
    <t>24052024-A-103500</t>
  </si>
  <si>
    <t>17042024-A-084170</t>
  </si>
  <si>
    <t>MCSE-PF-2911-18-03-2024</t>
  </si>
  <si>
    <t>14062024-A-115558</t>
  </si>
  <si>
    <t>LPEX-PF-5740-16-01-2024</t>
  </si>
  <si>
    <t>KAPW-FS-31082-27-08-2024</t>
  </si>
  <si>
    <t>LPEX-PF-5733-16-01-2024</t>
  </si>
  <si>
    <t>29032024-A-078748</t>
  </si>
  <si>
    <t>PQZI-EI-3871-06-08-2024</t>
  </si>
  <si>
    <t>KAPS-FS-19691-07-08-2024</t>
  </si>
  <si>
    <t>KAPE-FS-7207-09-08-2024</t>
  </si>
  <si>
    <t>31012024-A-058516</t>
  </si>
  <si>
    <t>KPPI-FS-7424-08-08-2024</t>
  </si>
  <si>
    <t>KAPW-FS-100035-05-01-2024</t>
  </si>
  <si>
    <t>KAPS-FS-2075-04-07-2024</t>
  </si>
  <si>
    <t>PF</t>
  </si>
  <si>
    <t>KAPS-FS-133478-17-05-2024</t>
  </si>
  <si>
    <t>HCSE-PF-392-21-08-2024</t>
  </si>
  <si>
    <t>07052024-A-094927</t>
  </si>
  <si>
    <t>PQZI-EI-7599-03-09-2024</t>
  </si>
  <si>
    <t>KPAF-TI-52938-26-04-2024</t>
  </si>
  <si>
    <t>KPAF-TI-39456-15-02-2024</t>
  </si>
  <si>
    <t>07052024-A-094968</t>
  </si>
  <si>
    <t>KPAF-TI-10614-04-09-2023</t>
  </si>
  <si>
    <t>KAPS-FS-2068-04-07-2024</t>
  </si>
  <si>
    <t>KAPW-FS-29065-22-08-2024</t>
  </si>
  <si>
    <t>EI</t>
  </si>
  <si>
    <t>25042024-A-089093</t>
  </si>
  <si>
    <t>24052024-A-103605</t>
  </si>
  <si>
    <t>PCSE-PF-60-24-08-2024</t>
  </si>
  <si>
    <t>PQZI-EI-9297-14-09-2024</t>
  </si>
  <si>
    <t>25042024-A-089085</t>
  </si>
  <si>
    <t>25042024-A-089099</t>
  </si>
  <si>
    <t>TI</t>
  </si>
  <si>
    <t>KAPW-FS-110804-23-01-2024</t>
  </si>
  <si>
    <t>LPEX-PF-924-09-07-2024</t>
  </si>
  <si>
    <t>KAPW-FS-25994-17-08-2024</t>
  </si>
  <si>
    <t>LPEX-PF-7865-13-02-2024</t>
  </si>
  <si>
    <t>LPEX-PF-7867-13-02-2024</t>
  </si>
  <si>
    <t>KPAF-TI-30809-27-12-2023</t>
  </si>
  <si>
    <t>KPAF-TI-24467-21-11-2023</t>
  </si>
  <si>
    <t>KAPW-TI-192997-12-06-2024</t>
  </si>
  <si>
    <t>KPAF-TI-60878-03-06-2024</t>
  </si>
  <si>
    <t>KAPE-TI-17343-08-09-2023</t>
  </si>
  <si>
    <t>KAPE-TI-78911-11-06-2024</t>
  </si>
  <si>
    <t>KPAF-TI-13848-21-09-2023</t>
  </si>
  <si>
    <t>KAPW-TI-192662-11-06-2024</t>
  </si>
  <si>
    <t>KAPE-TI-17957-12-09-2023</t>
  </si>
  <si>
    <t>KAPE-TI-17958-12-09-2023</t>
  </si>
  <si>
    <t>KAPE-TI-387-05-07-2023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</si>
</sst>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0_);_(* \(#,##0.0000\);_(* &quot;-&quot;??_);_(@_)"/>
    <numFmt numFmtId="165" formatCode="000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EFDFE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/>
  </cellStyleXfs>
  <cellXfs count="23">
    <xf numFmtId="0" fontId="0" fillId="0" borderId="0" xfId="0"/>
    <xf numFmtId="0" fontId="0" fillId="0" borderId="0" xfId="0" applyNumberFormat="1"/>
    <xf numFmtId="43" fontId="0" fillId="0" borderId="0" xfId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ill="1"/>
    <xf numFmtId="0" fontId="0" fillId="2" borderId="0" xfId="0" applyFill="1"/>
    <xf numFmtId="14" fontId="2" fillId="0" borderId="0" xfId="0" applyNumberFormat="1" applyFont="1" applyAlignment="1">
      <alignment horizontal="center"/>
    </xf>
    <xf numFmtId="0" fontId="2" fillId="3" borderId="0" xfId="0" applyFont="1" applyFill="1"/>
    <xf numFmtId="15" fontId="2" fillId="3" borderId="0" xfId="0" applyNumberFormat="1" applyFont="1" applyFill="1" applyAlignment="1">
      <alignment horizontal="center"/>
    </xf>
    <xf numFmtId="0" fontId="0" fillId="3" borderId="0" xfId="0" applyFill="1"/>
    <xf numFmtId="0" fontId="0" fillId="0" borderId="0" xfId="0" applyAlignment="1">
      <alignment vertical="center"/>
    </xf>
    <xf numFmtId="43" fontId="0" fillId="0" borderId="0" xfId="1" applyFont="1" applyFill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NumberFormat="1" applyFill="1"/>
    <xf numFmtId="0" fontId="0" fillId="4" borderId="0" xfId="0" applyFill="1"/>
    <xf numFmtId="165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43" fontId="0" fillId="0" borderId="0" xfId="0" applyNumberFormat="1" applyFill="1"/>
    <xf numFmtId="0" fontId="0" fillId="0" borderId="0" xfId="0" applyFont="1" applyFill="1" applyAlignment="1">
      <alignment horizontal="center"/>
    </xf>
    <xf numFmtId="43" fontId="0" fillId="0" borderId="0" xfId="0" applyNumberFormat="1"/>
    <xf numFmtId="0" fontId="0" fillId="0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Normal 2" xfId="2" xr:uid="{00000000-0005-0000-0000-000002000000}"/>
  </cellStyles>
  <dxfs count="4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numFmt numFmtId="165" formatCode="0000.0000"/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rgb="FFFFFF00"/>
        </patternFill>
      </fill>
    </dxf>
    <dxf>
      <fill>
        <patternFill patternType="solid"/>
      </fill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colors>
    <mruColors>
      <color rgb="FFDDFFEE"/>
      <color rgb="FFDEF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1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0</xdr:row>
          <xdr:rowOff>238125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DNAN/Extra/123/USED%20Imported%20Declaration%20SRO327%20-%20ARL-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mport%20declaratio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DS%20CONS%20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DATA"/>
      <sheetName val="Export Utilized"/>
      <sheetName val="all.inv"/>
      <sheetName val="Closed GD 327"/>
      <sheetName val="Sheet1"/>
      <sheetName val="Extra"/>
    </sheetNames>
    <sheetDataSet>
      <sheetData sheetId="0"/>
      <sheetData sheetId="1"/>
      <sheetData sheetId="2">
        <row r="1">
          <cell r="B1" t="str">
            <v>Inv.</v>
          </cell>
          <cell r="C1" t="str">
            <v>IB</v>
          </cell>
          <cell r="E1" t="str">
            <v>Qty</v>
          </cell>
        </row>
        <row r="2">
          <cell r="B2" t="str">
            <v>AR/4381-C/2019</v>
          </cell>
          <cell r="C2" t="str">
            <v>KAPE-ST-40876-10-09-2018</v>
          </cell>
          <cell r="E2">
            <v>1036.31</v>
          </cell>
        </row>
        <row r="3">
          <cell r="B3" t="str">
            <v>AR/4384/2019</v>
          </cell>
          <cell r="C3" t="str">
            <v>KAPE-ST-40876-10-09-2018</v>
          </cell>
          <cell r="E3">
            <v>737.11</v>
          </cell>
        </row>
        <row r="4">
          <cell r="B4" t="str">
            <v>AR/4384/2019</v>
          </cell>
          <cell r="C4" t="str">
            <v>KAPE-ST-40876-10-09-2018</v>
          </cell>
          <cell r="E4">
            <v>1539.07</v>
          </cell>
        </row>
        <row r="5">
          <cell r="B5" t="str">
            <v>AR/4416-B/2019</v>
          </cell>
          <cell r="C5" t="str">
            <v>KAPW-ST-26065-16-08-2018</v>
          </cell>
          <cell r="E5">
            <v>364.91</v>
          </cell>
        </row>
        <row r="6">
          <cell r="B6" t="str">
            <v>AR/4318/2019</v>
          </cell>
          <cell r="C6" t="str">
            <v>KAPW-ST-26065-16-08-2018</v>
          </cell>
          <cell r="E6">
            <v>1347.97</v>
          </cell>
        </row>
        <row r="7">
          <cell r="B7" t="str">
            <v>AR/4429-A/2019</v>
          </cell>
          <cell r="C7" t="str">
            <v>KAPW-ST-26065-16-08-2018</v>
          </cell>
          <cell r="E7">
            <v>564.72</v>
          </cell>
        </row>
        <row r="8">
          <cell r="B8" t="str">
            <v>AR/4437/2019</v>
          </cell>
          <cell r="C8" t="str">
            <v>KAPW-ST-26065-16-08-2018</v>
          </cell>
          <cell r="E8">
            <v>388.18</v>
          </cell>
        </row>
        <row r="9">
          <cell r="B9" t="str">
            <v>AR/4480/2019</v>
          </cell>
          <cell r="C9" t="str">
            <v>KAPW-ST-26065-16-08-2018</v>
          </cell>
          <cell r="E9">
            <v>447.98</v>
          </cell>
        </row>
        <row r="10">
          <cell r="B10" t="str">
            <v>AR/4481/2019</v>
          </cell>
          <cell r="C10" t="str">
            <v>KAPW-ST-26065-16-08-2018</v>
          </cell>
          <cell r="E10">
            <v>375.12</v>
          </cell>
        </row>
        <row r="11">
          <cell r="B11" t="str">
            <v>AR/4621-A/2019</v>
          </cell>
          <cell r="C11" t="str">
            <v>KAPW-ST-26065-16-08-2018</v>
          </cell>
          <cell r="E11">
            <v>725.4</v>
          </cell>
        </row>
        <row r="12">
          <cell r="B12" t="str">
            <v>AR/4621-B/2019</v>
          </cell>
          <cell r="C12" t="str">
            <v>KAPW-ST-26065-16-08-2018</v>
          </cell>
          <cell r="E12">
            <v>725.4</v>
          </cell>
        </row>
        <row r="13">
          <cell r="B13" t="str">
            <v>AR/4578/2019</v>
          </cell>
          <cell r="C13" t="str">
            <v>KAPW-ST-26065-16-08-2018</v>
          </cell>
          <cell r="E13">
            <v>947.7</v>
          </cell>
        </row>
        <row r="14">
          <cell r="B14" t="str">
            <v>AR/4621-C/2019</v>
          </cell>
          <cell r="C14" t="str">
            <v>KAPW-ST-26065-16-08-2018</v>
          </cell>
          <cell r="E14">
            <v>725.40279999999996</v>
          </cell>
        </row>
        <row r="15">
          <cell r="B15" t="str">
            <v>AR/4611/2019</v>
          </cell>
          <cell r="C15" t="str">
            <v>KAPE-ST-133210-15-02-2019</v>
          </cell>
          <cell r="E15">
            <v>753.5</v>
          </cell>
        </row>
        <row r="16">
          <cell r="B16" t="str">
            <v>AR/4611/2019</v>
          </cell>
          <cell r="C16" t="str">
            <v>KAPE-ST-40876-10-09-2018</v>
          </cell>
          <cell r="E16">
            <v>890.5</v>
          </cell>
        </row>
        <row r="17">
          <cell r="B17" t="str">
            <v>AR/4611/2019</v>
          </cell>
          <cell r="C17" t="str">
            <v>KAPW-ST-26065-16-08-2018</v>
          </cell>
          <cell r="E17">
            <v>725.4</v>
          </cell>
        </row>
        <row r="18">
          <cell r="B18" t="str">
            <v>AR/4621-E/2019</v>
          </cell>
          <cell r="C18" t="str">
            <v>KAPW-ST-26065-16-08-2018</v>
          </cell>
          <cell r="E18">
            <v>725.4</v>
          </cell>
        </row>
        <row r="19">
          <cell r="B19" t="str">
            <v>AR/4621-D/2019</v>
          </cell>
          <cell r="C19" t="str">
            <v>KAPW-ST-26065-16-08-2018</v>
          </cell>
          <cell r="E19">
            <v>725.4</v>
          </cell>
        </row>
        <row r="20">
          <cell r="B20" t="str">
            <v>AR/4636-A/2019</v>
          </cell>
          <cell r="C20" t="str">
            <v>KAPW-ST-26065-16-08-2018</v>
          </cell>
          <cell r="E20">
            <v>471.97</v>
          </cell>
        </row>
        <row r="21">
          <cell r="B21" t="str">
            <v>AR/4636-B/2019</v>
          </cell>
          <cell r="C21" t="str">
            <v>KAPW-ST-26065-16-08-2018</v>
          </cell>
          <cell r="E21">
            <v>438.95</v>
          </cell>
        </row>
        <row r="22">
          <cell r="B22" t="str">
            <v>AR/4636-C/2019</v>
          </cell>
          <cell r="C22" t="str">
            <v>KAPW-ST-26065-16-08-2018</v>
          </cell>
          <cell r="E22">
            <v>550.80999999999995</v>
          </cell>
        </row>
        <row r="23">
          <cell r="B23" t="str">
            <v>AR/4579/2019</v>
          </cell>
          <cell r="C23" t="str">
            <v>KAPW-ST-26065-16-08-2018</v>
          </cell>
          <cell r="E23">
            <v>707.33</v>
          </cell>
        </row>
        <row r="24">
          <cell r="B24" t="str">
            <v>AR/4672-A/2019</v>
          </cell>
          <cell r="C24" t="str">
            <v>KAPW-ST-26065-16-08-2018</v>
          </cell>
          <cell r="E24">
            <v>506.68</v>
          </cell>
        </row>
        <row r="25">
          <cell r="B25" t="str">
            <v>AR/4672-B/2019</v>
          </cell>
          <cell r="C25" t="str">
            <v>KAPW-ST-26065-16-08-2018</v>
          </cell>
          <cell r="E25">
            <v>506.68</v>
          </cell>
        </row>
        <row r="26">
          <cell r="B26" t="str">
            <v>AR/4672-C/2019</v>
          </cell>
          <cell r="C26" t="str">
            <v>KAPW-ST-26065-16-08-2018</v>
          </cell>
          <cell r="E26">
            <v>517.08000000000004</v>
          </cell>
        </row>
        <row r="27">
          <cell r="B27" t="str">
            <v>AR/4672-D/2019</v>
          </cell>
          <cell r="C27" t="str">
            <v>KAPW-ST-26065-16-08-2018</v>
          </cell>
          <cell r="E27">
            <v>543.91999999999996</v>
          </cell>
        </row>
        <row r="28">
          <cell r="B28" t="str">
            <v>AR/4672-E/2019</v>
          </cell>
          <cell r="C28" t="str">
            <v>KAPW-ST-26065-16-08-2018</v>
          </cell>
          <cell r="E28">
            <v>477.62</v>
          </cell>
        </row>
        <row r="29">
          <cell r="B29" t="str">
            <v>AR/4799/2019</v>
          </cell>
          <cell r="C29" t="str">
            <v>KAPE-ST-171129-19-04-2019</v>
          </cell>
          <cell r="E29">
            <v>3732.3</v>
          </cell>
        </row>
        <row r="30">
          <cell r="B30" t="str">
            <v>AR/4799/2019</v>
          </cell>
          <cell r="C30" t="str">
            <v>KAPE-ST-171129-19-04-2019</v>
          </cell>
          <cell r="E30">
            <v>3401.442</v>
          </cell>
        </row>
        <row r="31">
          <cell r="B31" t="str">
            <v>AR/4799/2019</v>
          </cell>
          <cell r="C31" t="str">
            <v>KAPE-ST-171129-19-04-2019</v>
          </cell>
          <cell r="E31">
            <v>1133.8140000000001</v>
          </cell>
        </row>
        <row r="32">
          <cell r="B32" t="str">
            <v>AR/4799/2019</v>
          </cell>
          <cell r="C32" t="str">
            <v>KAPE-ST-171129-19-04-2019</v>
          </cell>
          <cell r="E32">
            <v>1244.0999999999999</v>
          </cell>
        </row>
        <row r="33">
          <cell r="B33" t="str">
            <v>AR/4789-B/2019</v>
          </cell>
          <cell r="C33" t="str">
            <v>KAPE-ST-171129-19-04-2019</v>
          </cell>
          <cell r="E33">
            <v>4721.3649999999998</v>
          </cell>
        </row>
        <row r="34">
          <cell r="B34" t="str">
            <v>AR/4789-B/2019</v>
          </cell>
          <cell r="C34" t="str">
            <v>KAPW-ST-146796-10-04-2019</v>
          </cell>
          <cell r="E34">
            <v>270.40539999999999</v>
          </cell>
        </row>
        <row r="35">
          <cell r="B35" t="str">
            <v>AR/4789-B/2019</v>
          </cell>
          <cell r="C35" t="str">
            <v>KAPE-ST-171129-19-04-2019</v>
          </cell>
          <cell r="E35">
            <v>367.37799999999999</v>
          </cell>
        </row>
        <row r="36">
          <cell r="B36" t="str">
            <v>AR/4789-B/2019</v>
          </cell>
          <cell r="C36" t="str">
            <v>KAPW-ST-146796-10-04-2019</v>
          </cell>
          <cell r="E36">
            <v>21.04</v>
          </cell>
        </row>
        <row r="37">
          <cell r="B37" t="str">
            <v>AR/4757-C/2019</v>
          </cell>
          <cell r="C37" t="str">
            <v>KAPE-ST-171884-20-04-2019</v>
          </cell>
          <cell r="E37">
            <v>136.08000000000001</v>
          </cell>
        </row>
        <row r="38">
          <cell r="B38" t="str">
            <v>AR/4757-C/2019</v>
          </cell>
          <cell r="C38" t="str">
            <v>KAPE-ST-171884-20-04-2019</v>
          </cell>
          <cell r="E38">
            <v>3254.56</v>
          </cell>
        </row>
        <row r="39">
          <cell r="B39" t="str">
            <v>AR/4757-D/2019</v>
          </cell>
          <cell r="C39" t="str">
            <v>KAPE-ST-171884-20-04-2019</v>
          </cell>
          <cell r="E39">
            <v>3374.8</v>
          </cell>
        </row>
        <row r="40">
          <cell r="B40" t="str">
            <v>AR/4757-E/2019</v>
          </cell>
          <cell r="C40" t="str">
            <v>KAPE-ST-171884-20-04-2019</v>
          </cell>
          <cell r="E40">
            <v>9016.7000000000007</v>
          </cell>
        </row>
        <row r="41">
          <cell r="B41" t="str">
            <v>AR/4757-F/2019</v>
          </cell>
          <cell r="C41" t="str">
            <v>KAPE-ST-171884-20-04-2019</v>
          </cell>
          <cell r="E41">
            <v>2899.5</v>
          </cell>
        </row>
        <row r="42">
          <cell r="B42" t="str">
            <v>AR/4868-A2/2019</v>
          </cell>
          <cell r="C42" t="str">
            <v>KAPW-ST-146796-10-04-2019</v>
          </cell>
          <cell r="E42">
            <v>168.38</v>
          </cell>
        </row>
        <row r="43">
          <cell r="B43" t="str">
            <v>AR/4868-A2/2019</v>
          </cell>
          <cell r="C43" t="str">
            <v>KAPW-ST-146796-10-04-2019</v>
          </cell>
          <cell r="E43">
            <v>85.73</v>
          </cell>
        </row>
        <row r="44">
          <cell r="B44" t="str">
            <v>AR/4868-A2/2019</v>
          </cell>
          <cell r="C44" t="str">
            <v>KAPW-ST-146796-10-04-2019</v>
          </cell>
          <cell r="E44">
            <v>224.55</v>
          </cell>
        </row>
        <row r="45">
          <cell r="B45" t="str">
            <v>AR/4868-A/2019</v>
          </cell>
          <cell r="C45" t="str">
            <v>KAPW-ST-146796-10-04-2019</v>
          </cell>
          <cell r="E45">
            <v>464.37299999999999</v>
          </cell>
        </row>
        <row r="46">
          <cell r="B46" t="str">
            <v>AR/4868-A1/2019</v>
          </cell>
          <cell r="C46" t="str">
            <v>KAPW-ST-146796-10-04-2019</v>
          </cell>
          <cell r="E46">
            <v>509.4</v>
          </cell>
        </row>
        <row r="47">
          <cell r="B47" t="str">
            <v>AR/4868-B1/2019</v>
          </cell>
          <cell r="C47" t="str">
            <v>KAPW-ST-146796-10-04-2019</v>
          </cell>
          <cell r="E47">
            <v>212.62219999999999</v>
          </cell>
        </row>
        <row r="48">
          <cell r="B48" t="str">
            <v>AR/4868-B1/2019</v>
          </cell>
          <cell r="C48" t="str">
            <v>KAPW-ST-146796-10-04-2019</v>
          </cell>
          <cell r="E48">
            <v>243.8819</v>
          </cell>
        </row>
        <row r="49">
          <cell r="B49" t="str">
            <v>AR/4868-B/2019</v>
          </cell>
          <cell r="C49" t="str">
            <v>KAPW-ST-146796-10-04-2019</v>
          </cell>
          <cell r="E49">
            <v>428.65199999999999</v>
          </cell>
        </row>
        <row r="50">
          <cell r="B50" t="str">
            <v>AR/4879-A/2019</v>
          </cell>
          <cell r="C50" t="str">
            <v>KAPW-ST-146796-10-04-2019</v>
          </cell>
          <cell r="E50">
            <v>400.92</v>
          </cell>
        </row>
        <row r="51">
          <cell r="B51" t="str">
            <v>AR/4879-B/2019</v>
          </cell>
          <cell r="C51" t="str">
            <v>KAPW-ST-146796-10-04-2019</v>
          </cell>
          <cell r="E51">
            <v>345.06599999999997</v>
          </cell>
        </row>
        <row r="52">
          <cell r="B52" t="str">
            <v>AR/4879-B/2019</v>
          </cell>
          <cell r="C52" t="str">
            <v>KAPW-ST-146796-10-04-2019</v>
          </cell>
          <cell r="E52">
            <v>42.865200000000002</v>
          </cell>
        </row>
        <row r="53">
          <cell r="B53" t="str">
            <v>AR/4875-A/2019</v>
          </cell>
          <cell r="C53" t="str">
            <v>KAPW-ST-146796-10-04-2019</v>
          </cell>
          <cell r="E53">
            <v>428.6576</v>
          </cell>
        </row>
        <row r="54">
          <cell r="B54" t="str">
            <v>AR/4875-A/2019</v>
          </cell>
          <cell r="C54" t="str">
            <v>KAPW-ST-146796-10-04-2019</v>
          </cell>
          <cell r="E54">
            <v>18.216999999999999</v>
          </cell>
        </row>
        <row r="55">
          <cell r="B55" t="str">
            <v>AR/4875-B/2019</v>
          </cell>
          <cell r="C55" t="str">
            <v>KAPW-ST-146796-10-04-2019</v>
          </cell>
          <cell r="E55">
            <v>321.49</v>
          </cell>
        </row>
        <row r="56">
          <cell r="B56" t="str">
            <v>AR/4886-A/2019</v>
          </cell>
          <cell r="C56" t="str">
            <v>KAPW-ST-146796-10-04-2019</v>
          </cell>
          <cell r="E56">
            <v>488.69</v>
          </cell>
        </row>
        <row r="57">
          <cell r="B57" t="str">
            <v>AR/4886-B/2019</v>
          </cell>
          <cell r="C57" t="str">
            <v>KAPW-ST-146796-10-04-2019</v>
          </cell>
          <cell r="E57">
            <v>76.319999999999993</v>
          </cell>
        </row>
        <row r="58">
          <cell r="B58" t="str">
            <v>AR/4886-B/2019</v>
          </cell>
          <cell r="C58" t="str">
            <v>KAPW-ST-146796-10-04-2019</v>
          </cell>
          <cell r="E58">
            <v>122.8815</v>
          </cell>
        </row>
        <row r="59">
          <cell r="B59" t="str">
            <v>AR/4886-B/2019</v>
          </cell>
          <cell r="C59" t="str">
            <v>KAPW-ST-146796-10-04-2019</v>
          </cell>
          <cell r="E59">
            <v>42.865200000000002</v>
          </cell>
        </row>
        <row r="60">
          <cell r="B60" t="str">
            <v>AR/4862-F/2019</v>
          </cell>
          <cell r="C60" t="str">
            <v>KAPW-ST-146796-10-04-2019</v>
          </cell>
          <cell r="E60">
            <v>2.1168</v>
          </cell>
        </row>
        <row r="61">
          <cell r="B61" t="str">
            <v>AR/4862-F/2019</v>
          </cell>
          <cell r="C61" t="str">
            <v>KAPW-ST-146796-10-04-2019</v>
          </cell>
          <cell r="E61">
            <v>59.472000000000001</v>
          </cell>
        </row>
        <row r="62">
          <cell r="B62" t="str">
            <v>AR/4862-F/2019</v>
          </cell>
          <cell r="C62" t="str">
            <v>KAPW-ST-146796-10-04-2019</v>
          </cell>
          <cell r="E62">
            <v>236.19</v>
          </cell>
        </row>
        <row r="63">
          <cell r="B63" t="str">
            <v>AR/4862-F/2019</v>
          </cell>
          <cell r="C63" t="str">
            <v>KAPW-ST-146796-10-04-2019</v>
          </cell>
          <cell r="E63">
            <v>11.64</v>
          </cell>
        </row>
        <row r="64">
          <cell r="B64" t="str">
            <v>AR/4950-A/2019</v>
          </cell>
          <cell r="C64" t="str">
            <v>KAPW-ST-146796-10-04-2019</v>
          </cell>
          <cell r="E64">
            <v>105.547</v>
          </cell>
        </row>
        <row r="65">
          <cell r="B65" t="str">
            <v>AR/4950-A/2019</v>
          </cell>
          <cell r="C65" t="str">
            <v>KAPW-ST-146796-10-04-2019</v>
          </cell>
          <cell r="E65">
            <v>93.26</v>
          </cell>
        </row>
        <row r="66">
          <cell r="B66" t="str">
            <v>AR/4950-B/2019</v>
          </cell>
          <cell r="C66" t="str">
            <v>KAPW-ST-146796-10-04-2019</v>
          </cell>
          <cell r="E66">
            <v>292.77530000000002</v>
          </cell>
        </row>
        <row r="67">
          <cell r="B67" t="str">
            <v>AR/4949/2019</v>
          </cell>
          <cell r="C67" t="str">
            <v>KAPW-ST-146796-10-04-2019</v>
          </cell>
          <cell r="E67">
            <v>112.52</v>
          </cell>
        </row>
        <row r="68">
          <cell r="B68" t="str">
            <v>AR/4949/2019</v>
          </cell>
          <cell r="C68" t="str">
            <v>KAPW-ST-146796-10-04-2019</v>
          </cell>
          <cell r="E68">
            <v>428.6576</v>
          </cell>
        </row>
        <row r="69">
          <cell r="B69">
            <v>0</v>
          </cell>
          <cell r="C69" t="str">
            <v/>
          </cell>
          <cell r="E69">
            <v>0</v>
          </cell>
        </row>
        <row r="70">
          <cell r="B70">
            <v>0</v>
          </cell>
          <cell r="C70" t="str">
            <v/>
          </cell>
          <cell r="E70">
            <v>0</v>
          </cell>
        </row>
        <row r="71">
          <cell r="B71">
            <v>0</v>
          </cell>
          <cell r="C71" t="str">
            <v/>
          </cell>
          <cell r="E71">
            <v>0</v>
          </cell>
        </row>
        <row r="72">
          <cell r="B72">
            <v>0</v>
          </cell>
          <cell r="C72" t="str">
            <v/>
          </cell>
          <cell r="E72">
            <v>0</v>
          </cell>
        </row>
        <row r="73">
          <cell r="B73">
            <v>0</v>
          </cell>
          <cell r="C73" t="str">
            <v/>
          </cell>
          <cell r="E73">
            <v>0</v>
          </cell>
        </row>
        <row r="74">
          <cell r="B74">
            <v>0</v>
          </cell>
          <cell r="C74" t="str">
            <v/>
          </cell>
          <cell r="E74">
            <v>0</v>
          </cell>
        </row>
        <row r="75">
          <cell r="B75">
            <v>0</v>
          </cell>
          <cell r="C75" t="str">
            <v/>
          </cell>
          <cell r="E75">
            <v>0</v>
          </cell>
        </row>
        <row r="76">
          <cell r="B76">
            <v>0</v>
          </cell>
          <cell r="C76" t="str">
            <v/>
          </cell>
          <cell r="E76">
            <v>0</v>
          </cell>
        </row>
        <row r="77">
          <cell r="B77">
            <v>0</v>
          </cell>
          <cell r="C77" t="str">
            <v/>
          </cell>
          <cell r="E77">
            <v>0</v>
          </cell>
        </row>
        <row r="78">
          <cell r="B78">
            <v>0</v>
          </cell>
          <cell r="C78" t="str">
            <v/>
          </cell>
          <cell r="E78">
            <v>0</v>
          </cell>
        </row>
        <row r="79">
          <cell r="B79">
            <v>0</v>
          </cell>
          <cell r="C79" t="str">
            <v/>
          </cell>
          <cell r="E79">
            <v>0</v>
          </cell>
        </row>
        <row r="80">
          <cell r="B80">
            <v>0</v>
          </cell>
          <cell r="C80" t="str">
            <v/>
          </cell>
          <cell r="E80">
            <v>0</v>
          </cell>
        </row>
        <row r="81">
          <cell r="B81">
            <v>0</v>
          </cell>
          <cell r="C81" t="str">
            <v/>
          </cell>
          <cell r="E81">
            <v>0</v>
          </cell>
        </row>
        <row r="82">
          <cell r="B82">
            <v>0</v>
          </cell>
          <cell r="C82" t="str">
            <v/>
          </cell>
          <cell r="E82">
            <v>0</v>
          </cell>
        </row>
        <row r="83">
          <cell r="B83">
            <v>0</v>
          </cell>
          <cell r="C83" t="str">
            <v/>
          </cell>
          <cell r="E83">
            <v>0</v>
          </cell>
        </row>
        <row r="84">
          <cell r="B84">
            <v>0</v>
          </cell>
          <cell r="C84" t="str">
            <v/>
          </cell>
          <cell r="E84">
            <v>0</v>
          </cell>
        </row>
        <row r="85">
          <cell r="B85">
            <v>0</v>
          </cell>
          <cell r="C85" t="str">
            <v/>
          </cell>
          <cell r="E85">
            <v>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Data"/>
      <sheetName val="0427"/>
      <sheetName val="0426"/>
      <sheetName val="0431"/>
      <sheetName val="0430"/>
      <sheetName val="0433"/>
      <sheetName val="0432"/>
      <sheetName val="0434"/>
      <sheetName val="0429"/>
      <sheetName val="0428"/>
      <sheetName val="0438"/>
      <sheetName val="0410"/>
      <sheetName val="0439"/>
      <sheetName val="0441"/>
      <sheetName val="0426A"/>
      <sheetName val="0436"/>
      <sheetName val="0426B"/>
      <sheetName val="0435"/>
      <sheetName val="0443"/>
      <sheetName val="0444"/>
      <sheetName val="0445"/>
      <sheetName val="0446"/>
      <sheetName val="0447"/>
      <sheetName val="0448"/>
      <sheetName val="0449"/>
      <sheetName val="0452"/>
      <sheetName val="0426000"/>
      <sheetName val="New"/>
      <sheetName val="Email-ok"/>
      <sheetName val="Summary"/>
      <sheetName val="GD.List"/>
      <sheetName val="Item"/>
      <sheetName val="Check"/>
      <sheetName val="Close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3">
          <cell r="C3" t="str">
            <v>Document Reference No</v>
          </cell>
          <cell r="D3" t="str">
            <v>Date</v>
          </cell>
          <cell r="E3" t="str">
            <v>Item</v>
          </cell>
          <cell r="F3" t="str">
            <v>Status</v>
          </cell>
          <cell r="G3" t="str">
            <v>Qty Recd (Kg)</v>
          </cell>
        </row>
        <row r="4">
          <cell r="C4" t="str">
            <v>KPPI-MB-40627-13-12-2019</v>
          </cell>
          <cell r="D4">
            <v>43812</v>
          </cell>
          <cell r="E4" t="str">
            <v>Raw Material</v>
          </cell>
          <cell r="F4" t="str">
            <v>Closed</v>
          </cell>
          <cell r="G4">
            <v>212690</v>
          </cell>
        </row>
        <row r="5">
          <cell r="C5" t="str">
            <v>KAPE-MB-125952-11-02-2020</v>
          </cell>
          <cell r="D5">
            <v>43872</v>
          </cell>
          <cell r="E5" t="str">
            <v>Raw Material</v>
          </cell>
          <cell r="F5" t="str">
            <v>Closed</v>
          </cell>
          <cell r="G5">
            <v>323035.7</v>
          </cell>
        </row>
        <row r="6">
          <cell r="C6" t="str">
            <v>KAPE-MB-146511-17-03-2020</v>
          </cell>
          <cell r="D6">
            <v>43907</v>
          </cell>
          <cell r="E6" t="str">
            <v>Raw Material</v>
          </cell>
          <cell r="F6" t="str">
            <v>Closed</v>
          </cell>
          <cell r="G6">
            <v>255538.8</v>
          </cell>
        </row>
        <row r="7">
          <cell r="C7" t="str">
            <v>KAPE-MB-37204-04-09-2020</v>
          </cell>
          <cell r="D7">
            <v>44078</v>
          </cell>
          <cell r="E7" t="str">
            <v>Raw Material</v>
          </cell>
          <cell r="F7" t="str">
            <v>Closed</v>
          </cell>
          <cell r="G7">
            <v>314640</v>
          </cell>
        </row>
        <row r="8">
          <cell r="C8" t="str">
            <v>KAPE-MB-160501-02-03-2021</v>
          </cell>
          <cell r="D8">
            <v>44257</v>
          </cell>
          <cell r="E8" t="str">
            <v>Raw Material</v>
          </cell>
          <cell r="F8" t="str">
            <v>Closed</v>
          </cell>
          <cell r="G8">
            <v>262200</v>
          </cell>
        </row>
        <row r="9">
          <cell r="C9" t="str">
            <v>KAPE-MB-171427-17-03-2021</v>
          </cell>
          <cell r="D9">
            <v>44272</v>
          </cell>
          <cell r="E9" t="str">
            <v>Raw Material</v>
          </cell>
          <cell r="F9" t="str">
            <v>Closed</v>
          </cell>
          <cell r="G9">
            <v>262200</v>
          </cell>
        </row>
        <row r="10">
          <cell r="C10" t="str">
            <v>KAPE-MB-172535-18-03-2021</v>
          </cell>
          <cell r="D10">
            <v>44273</v>
          </cell>
          <cell r="E10" t="str">
            <v>Raw Material</v>
          </cell>
          <cell r="F10" t="str">
            <v>Closed</v>
          </cell>
          <cell r="G10">
            <v>262200</v>
          </cell>
        </row>
        <row r="11">
          <cell r="C11" t="str">
            <v>KAPE-MB-174350-22-03-2021</v>
          </cell>
          <cell r="D11">
            <v>44277</v>
          </cell>
          <cell r="E11" t="str">
            <v>Raw Material</v>
          </cell>
          <cell r="F11" t="str">
            <v>Closed</v>
          </cell>
          <cell r="G11">
            <v>262200</v>
          </cell>
        </row>
        <row r="12">
          <cell r="C12" t="str">
            <v>KAPW-MB-175767-29-05-2021</v>
          </cell>
          <cell r="D12">
            <v>44345</v>
          </cell>
          <cell r="E12" t="str">
            <v>Raw Material</v>
          </cell>
          <cell r="F12" t="str">
            <v>Closed</v>
          </cell>
          <cell r="G12">
            <v>262200</v>
          </cell>
        </row>
        <row r="13">
          <cell r="C13" t="str">
            <v>KAPE-MB-227266-09-06-2021</v>
          </cell>
          <cell r="D13">
            <v>44356</v>
          </cell>
          <cell r="E13" t="str">
            <v>Raw Material</v>
          </cell>
          <cell r="F13" t="str">
            <v>Closed</v>
          </cell>
          <cell r="G13">
            <v>157320</v>
          </cell>
        </row>
        <row r="14">
          <cell r="C14" t="str">
            <v>KAPE-MB-227394-09-06-2021</v>
          </cell>
          <cell r="D14">
            <v>44356</v>
          </cell>
          <cell r="E14" t="str">
            <v>Raw Material</v>
          </cell>
          <cell r="F14" t="str">
            <v>Closed</v>
          </cell>
          <cell r="G14">
            <v>262200</v>
          </cell>
        </row>
        <row r="15">
          <cell r="C15" t="str">
            <v>KAPE-MB-228620-10-06-2021</v>
          </cell>
          <cell r="D15">
            <v>44357</v>
          </cell>
          <cell r="E15" t="str">
            <v>Raw Material</v>
          </cell>
          <cell r="F15" t="str">
            <v>Closed</v>
          </cell>
          <cell r="G15">
            <v>262200</v>
          </cell>
        </row>
        <row r="16">
          <cell r="C16" t="str">
            <v>KAPE-IB-66769-08-11-2019</v>
          </cell>
          <cell r="D16">
            <v>43777</v>
          </cell>
          <cell r="E16" t="str">
            <v>Raw Material</v>
          </cell>
          <cell r="F16" t="str">
            <v>Closed</v>
          </cell>
          <cell r="G16">
            <v>24640</v>
          </cell>
        </row>
        <row r="17">
          <cell r="C17" t="str">
            <v>KAPE-IB-66727-08-11-2019</v>
          </cell>
          <cell r="D17">
            <v>43777</v>
          </cell>
          <cell r="E17" t="str">
            <v>Raw Material</v>
          </cell>
          <cell r="F17" t="str">
            <v>Closed</v>
          </cell>
          <cell r="G17">
            <v>26010</v>
          </cell>
        </row>
        <row r="18">
          <cell r="C18" t="str">
            <v>KAPE-IB-66746-08-11-2019</v>
          </cell>
          <cell r="D18">
            <v>43777</v>
          </cell>
          <cell r="E18" t="str">
            <v>Raw Material</v>
          </cell>
          <cell r="F18" t="str">
            <v>Closed</v>
          </cell>
          <cell r="G18">
            <v>25840</v>
          </cell>
        </row>
        <row r="19">
          <cell r="C19" t="str">
            <v>KAPE-IB-75900-22-11-2019</v>
          </cell>
          <cell r="D19">
            <v>43791</v>
          </cell>
          <cell r="E19" t="str">
            <v>Raw Material</v>
          </cell>
          <cell r="F19" t="str">
            <v>Closed</v>
          </cell>
          <cell r="G19">
            <v>14260</v>
          </cell>
        </row>
        <row r="20">
          <cell r="C20" t="str">
            <v>KPAF-IB-36423-20-01-2020</v>
          </cell>
          <cell r="D20">
            <v>43850</v>
          </cell>
          <cell r="E20" t="str">
            <v>Raw Material</v>
          </cell>
          <cell r="F20" t="str">
            <v>Closed</v>
          </cell>
          <cell r="G20">
            <v>2296.52</v>
          </cell>
        </row>
        <row r="21">
          <cell r="C21" t="str">
            <v>KPAF-IB-37047-22-01-2020</v>
          </cell>
          <cell r="D21">
            <v>43852</v>
          </cell>
          <cell r="E21" t="str">
            <v>Raw Material</v>
          </cell>
          <cell r="F21" t="str">
            <v>Closed</v>
          </cell>
          <cell r="G21">
            <v>3988.39</v>
          </cell>
        </row>
        <row r="22">
          <cell r="C22" t="str">
            <v>KAPE-IB-126077-11-02-2020</v>
          </cell>
          <cell r="D22">
            <v>43872</v>
          </cell>
          <cell r="E22" t="str">
            <v>Raw Material</v>
          </cell>
          <cell r="F22" t="str">
            <v>Closed</v>
          </cell>
          <cell r="G22">
            <v>185</v>
          </cell>
        </row>
        <row r="23">
          <cell r="C23" t="str">
            <v>KAPW-IB-118562-20-04-2020</v>
          </cell>
          <cell r="D23">
            <v>43941</v>
          </cell>
          <cell r="E23" t="str">
            <v>Raw Material</v>
          </cell>
          <cell r="F23" t="str">
            <v>Closed</v>
          </cell>
          <cell r="G23">
            <v>2500</v>
          </cell>
        </row>
        <row r="24">
          <cell r="C24" t="str">
            <v>KAPE-IB-174963-11-05-2020</v>
          </cell>
          <cell r="D24">
            <v>43962</v>
          </cell>
          <cell r="E24" t="str">
            <v>Raw Material</v>
          </cell>
          <cell r="F24" t="str">
            <v>Closed</v>
          </cell>
          <cell r="G24">
            <v>9583.83</v>
          </cell>
        </row>
        <row r="25">
          <cell r="C25" t="str">
            <v>KPAF-IB-55271-03-06-2020</v>
          </cell>
          <cell r="D25">
            <v>43985</v>
          </cell>
          <cell r="E25" t="str">
            <v>Raw Material</v>
          </cell>
          <cell r="F25" t="str">
            <v>Closed</v>
          </cell>
          <cell r="G25">
            <v>500</v>
          </cell>
        </row>
        <row r="26">
          <cell r="C26" t="str">
            <v>KAPE-IB-186360-04-06-2020</v>
          </cell>
          <cell r="D26">
            <v>43986</v>
          </cell>
          <cell r="E26" t="str">
            <v>Raw Material</v>
          </cell>
          <cell r="F26" t="str">
            <v>Closed</v>
          </cell>
          <cell r="G26">
            <v>5025.59</v>
          </cell>
        </row>
        <row r="27">
          <cell r="C27" t="str">
            <v>KPAF-IB-56238-10-06-2020</v>
          </cell>
          <cell r="D27">
            <v>43992</v>
          </cell>
          <cell r="E27" t="str">
            <v>Raw Material</v>
          </cell>
          <cell r="F27" t="str">
            <v>Closed</v>
          </cell>
          <cell r="G27">
            <v>1272</v>
          </cell>
        </row>
        <row r="28">
          <cell r="C28" t="str">
            <v>KAPE-IB-190862-12-06-2020</v>
          </cell>
          <cell r="D28">
            <v>43994</v>
          </cell>
          <cell r="E28" t="str">
            <v>Raw Material</v>
          </cell>
          <cell r="F28" t="str">
            <v>Closed</v>
          </cell>
          <cell r="G28">
            <v>18018</v>
          </cell>
        </row>
        <row r="29">
          <cell r="C29" t="str">
            <v>KAPE-IB-198991-29-06-2020</v>
          </cell>
          <cell r="D29">
            <v>44011</v>
          </cell>
          <cell r="E29" t="str">
            <v>Raw Material</v>
          </cell>
          <cell r="F29" t="str">
            <v>Closed</v>
          </cell>
          <cell r="G29">
            <v>26000</v>
          </cell>
        </row>
        <row r="30">
          <cell r="C30" t="str">
            <v>PQIB-IB-226-04-07-2020</v>
          </cell>
          <cell r="D30">
            <v>44016</v>
          </cell>
          <cell r="E30" t="str">
            <v>Raw Material</v>
          </cell>
          <cell r="F30" t="str">
            <v>Closed</v>
          </cell>
          <cell r="G30">
            <v>1800000</v>
          </cell>
        </row>
        <row r="31">
          <cell r="C31" t="str">
            <v>PQIB-IB-2406-11-08-2020</v>
          </cell>
          <cell r="D31">
            <v>44830</v>
          </cell>
          <cell r="E31" t="str">
            <v>Raw Material</v>
          </cell>
          <cell r="F31" t="str">
            <v>Closed</v>
          </cell>
          <cell r="G31">
            <v>3300000</v>
          </cell>
        </row>
        <row r="32">
          <cell r="C32" t="str">
            <v>KAPW-IB-19763-13-08-2020</v>
          </cell>
          <cell r="D32">
            <v>44056</v>
          </cell>
          <cell r="E32" t="str">
            <v>Raw Material</v>
          </cell>
          <cell r="F32" t="str">
            <v>Closed</v>
          </cell>
          <cell r="G32">
            <v>5004</v>
          </cell>
        </row>
        <row r="33">
          <cell r="C33" t="str">
            <v>PQIB-IB-3057-24-08-2020</v>
          </cell>
          <cell r="D33">
            <v>44830</v>
          </cell>
          <cell r="E33" t="str">
            <v>Raw Material</v>
          </cell>
          <cell r="F33" t="str">
            <v>Closed</v>
          </cell>
          <cell r="G33">
            <v>8250000</v>
          </cell>
        </row>
        <row r="34">
          <cell r="C34" t="str">
            <v>KAPW-IB-29340-03-09-2020</v>
          </cell>
          <cell r="D34">
            <v>44077</v>
          </cell>
          <cell r="E34" t="str">
            <v>Packing Material</v>
          </cell>
          <cell r="F34" t="str">
            <v>Closed</v>
          </cell>
          <cell r="G34">
            <v>7531</v>
          </cell>
        </row>
        <row r="35">
          <cell r="C35" t="str">
            <v>KPAF-IB-13677-28-09-2020</v>
          </cell>
          <cell r="D35">
            <v>44102</v>
          </cell>
          <cell r="E35" t="str">
            <v>Raw Material</v>
          </cell>
          <cell r="F35" t="str">
            <v>Closed</v>
          </cell>
          <cell r="G35">
            <v>472.7</v>
          </cell>
        </row>
        <row r="36">
          <cell r="C36" t="str">
            <v>KAPW-IB-62743-05-11-2020</v>
          </cell>
          <cell r="D36">
            <v>44140</v>
          </cell>
          <cell r="E36" t="str">
            <v>Raw Material</v>
          </cell>
          <cell r="F36" t="str">
            <v>Closed</v>
          </cell>
          <cell r="G36">
            <v>3070</v>
          </cell>
        </row>
        <row r="37">
          <cell r="C37" t="str">
            <v>KPFI-IB-18528-20-11-2020</v>
          </cell>
          <cell r="D37">
            <v>44155</v>
          </cell>
          <cell r="E37" t="str">
            <v>Raw Material</v>
          </cell>
          <cell r="F37" t="str">
            <v>Closed</v>
          </cell>
          <cell r="G37">
            <v>27.95</v>
          </cell>
        </row>
        <row r="38">
          <cell r="C38" t="str">
            <v>KAPE-IB-115370-29-12-2020</v>
          </cell>
          <cell r="D38">
            <v>44194</v>
          </cell>
          <cell r="E38" t="str">
            <v>Raw Material</v>
          </cell>
          <cell r="F38" t="str">
            <v>Closed</v>
          </cell>
          <cell r="G38">
            <v>113400</v>
          </cell>
        </row>
        <row r="39">
          <cell r="C39" t="str">
            <v>KAPE-IB-118078-01-01-2021</v>
          </cell>
          <cell r="D39">
            <v>44197</v>
          </cell>
          <cell r="E39" t="str">
            <v>Raw Material</v>
          </cell>
          <cell r="F39" t="str">
            <v>Closed</v>
          </cell>
          <cell r="G39">
            <v>17917.2</v>
          </cell>
        </row>
        <row r="40">
          <cell r="C40" t="str">
            <v>KAPW-IB-95509-01-01-2021</v>
          </cell>
          <cell r="D40">
            <v>44197</v>
          </cell>
          <cell r="E40" t="str">
            <v>Raw Material</v>
          </cell>
          <cell r="F40" t="str">
            <v>Closed</v>
          </cell>
          <cell r="G40">
            <v>24360</v>
          </cell>
        </row>
        <row r="41">
          <cell r="C41" t="str">
            <v>KAPW-IB-99995-08-01-2021</v>
          </cell>
          <cell r="D41">
            <v>44204</v>
          </cell>
          <cell r="E41" t="str">
            <v>Raw Material</v>
          </cell>
          <cell r="F41" t="str">
            <v>Closed</v>
          </cell>
          <cell r="G41">
            <v>24360</v>
          </cell>
        </row>
        <row r="42">
          <cell r="C42" t="str">
            <v>KAPW-IB-101390-11-01-2021</v>
          </cell>
          <cell r="D42">
            <v>44207</v>
          </cell>
          <cell r="E42" t="str">
            <v>Raw Material</v>
          </cell>
          <cell r="F42" t="str">
            <v>Closed</v>
          </cell>
          <cell r="G42">
            <v>19991</v>
          </cell>
        </row>
        <row r="43">
          <cell r="C43" t="str">
            <v>KAPW-IB-103720-14-01-2021</v>
          </cell>
          <cell r="D43">
            <v>44210</v>
          </cell>
          <cell r="E43" t="str">
            <v>Raw Material</v>
          </cell>
          <cell r="F43" t="str">
            <v>Closed</v>
          </cell>
          <cell r="G43">
            <v>24360</v>
          </cell>
        </row>
        <row r="44">
          <cell r="C44" t="str">
            <v>KAPW-IB-104398-15-01-2021</v>
          </cell>
          <cell r="D44">
            <v>44211</v>
          </cell>
          <cell r="E44" t="str">
            <v>Raw Material</v>
          </cell>
          <cell r="F44" t="str">
            <v>Closed</v>
          </cell>
          <cell r="G44">
            <v>836</v>
          </cell>
        </row>
        <row r="45">
          <cell r="C45" t="str">
            <v>KAPE-IB-135439-25-01-2021</v>
          </cell>
          <cell r="D45">
            <v>44221</v>
          </cell>
          <cell r="E45" t="str">
            <v>Raw Material</v>
          </cell>
          <cell r="F45" t="str">
            <v>Closed</v>
          </cell>
          <cell r="G45">
            <v>36288</v>
          </cell>
        </row>
        <row r="46">
          <cell r="C46" t="str">
            <v>KAPE-IB-135431-25-01-2021</v>
          </cell>
          <cell r="D46">
            <v>44221</v>
          </cell>
          <cell r="E46" t="str">
            <v>Raw Material</v>
          </cell>
          <cell r="F46" t="str">
            <v>Closed</v>
          </cell>
          <cell r="G46">
            <v>96000</v>
          </cell>
        </row>
        <row r="47">
          <cell r="C47" t="str">
            <v>KAPW-IB-110623-27-01-2021</v>
          </cell>
          <cell r="D47">
            <v>44223</v>
          </cell>
          <cell r="E47" t="str">
            <v>Raw Material</v>
          </cell>
          <cell r="F47" t="str">
            <v>Closed</v>
          </cell>
          <cell r="G47">
            <v>1221</v>
          </cell>
        </row>
        <row r="48">
          <cell r="C48" t="str">
            <v>KAPW-IB-110628-27-01-2021</v>
          </cell>
          <cell r="D48">
            <v>44223</v>
          </cell>
          <cell r="E48" t="str">
            <v>Raw Material</v>
          </cell>
          <cell r="F48" t="str">
            <v>Closed</v>
          </cell>
          <cell r="G48">
            <v>1221</v>
          </cell>
        </row>
        <row r="49">
          <cell r="C49" t="str">
            <v>KAPE-IB-137723-27-01-2021</v>
          </cell>
          <cell r="D49">
            <v>44223</v>
          </cell>
          <cell r="E49" t="str">
            <v>Raw Material</v>
          </cell>
          <cell r="F49" t="str">
            <v>Closed</v>
          </cell>
          <cell r="G49">
            <v>24480</v>
          </cell>
        </row>
        <row r="50">
          <cell r="C50" t="str">
            <v>KAPW-IB-111125-28-01-2021</v>
          </cell>
          <cell r="D50">
            <v>44224</v>
          </cell>
          <cell r="E50" t="str">
            <v>Raw Material</v>
          </cell>
          <cell r="F50" t="str">
            <v>Closed</v>
          </cell>
          <cell r="G50">
            <v>24360</v>
          </cell>
        </row>
        <row r="51">
          <cell r="C51" t="str">
            <v>KAPE-IB-140227-01-02-2021</v>
          </cell>
          <cell r="D51">
            <v>44228</v>
          </cell>
          <cell r="E51" t="str">
            <v>Raw Material</v>
          </cell>
          <cell r="F51" t="str">
            <v>Closed</v>
          </cell>
          <cell r="G51">
            <v>18144</v>
          </cell>
        </row>
        <row r="52">
          <cell r="C52" t="str">
            <v>KAPE-IB-140293-01-02-2021</v>
          </cell>
          <cell r="D52">
            <v>44228</v>
          </cell>
          <cell r="E52" t="str">
            <v>Raw Material</v>
          </cell>
          <cell r="F52" t="str">
            <v>Closed</v>
          </cell>
          <cell r="G52">
            <v>18144</v>
          </cell>
        </row>
        <row r="53">
          <cell r="C53" t="str">
            <v>KAPE-IB-145700-09-02-2021</v>
          </cell>
          <cell r="D53">
            <v>44236</v>
          </cell>
          <cell r="E53" t="str">
            <v>Raw Material</v>
          </cell>
          <cell r="F53" t="str">
            <v>Closed</v>
          </cell>
          <cell r="G53">
            <v>24480</v>
          </cell>
        </row>
        <row r="54">
          <cell r="C54" t="str">
            <v>KAPW-IB-119465-15-02-2021</v>
          </cell>
          <cell r="D54">
            <v>44242</v>
          </cell>
          <cell r="E54" t="str">
            <v>Raw Material</v>
          </cell>
          <cell r="F54" t="str">
            <v>Closed</v>
          </cell>
          <cell r="G54">
            <v>24360</v>
          </cell>
        </row>
        <row r="55">
          <cell r="C55" t="str">
            <v>KAPE-IB-149518-15-02-2021</v>
          </cell>
          <cell r="D55">
            <v>44242</v>
          </cell>
          <cell r="E55" t="str">
            <v>Raw Material</v>
          </cell>
          <cell r="F55" t="str">
            <v>Closed</v>
          </cell>
          <cell r="G55">
            <v>18144</v>
          </cell>
        </row>
        <row r="56">
          <cell r="C56" t="str">
            <v>KAPE-IB-155031-23-02-2021</v>
          </cell>
          <cell r="D56">
            <v>44250</v>
          </cell>
          <cell r="E56" t="str">
            <v>Raw Material</v>
          </cell>
          <cell r="F56" t="str">
            <v>Closed</v>
          </cell>
          <cell r="G56">
            <v>19980.599999999999</v>
          </cell>
        </row>
        <row r="57">
          <cell r="C57" t="str">
            <v>KAPE-IB-156689-25-02-2021</v>
          </cell>
          <cell r="D57">
            <v>44252</v>
          </cell>
          <cell r="E57" t="str">
            <v>Raw Material</v>
          </cell>
          <cell r="F57" t="str">
            <v>Closed</v>
          </cell>
          <cell r="G57">
            <v>24360</v>
          </cell>
        </row>
        <row r="58">
          <cell r="C58" t="str">
            <v>KPPI-IB-65622-26-02-2021</v>
          </cell>
          <cell r="D58">
            <v>44253</v>
          </cell>
          <cell r="E58" t="str">
            <v>Packing Material</v>
          </cell>
          <cell r="F58" t="str">
            <v>Closed</v>
          </cell>
          <cell r="G58">
            <v>6780</v>
          </cell>
        </row>
        <row r="59">
          <cell r="C59" t="str">
            <v>KAPE-IB-160101-02-03-2021</v>
          </cell>
          <cell r="D59">
            <v>44257</v>
          </cell>
          <cell r="E59" t="str">
            <v>Raw Material</v>
          </cell>
          <cell r="F59" t="str">
            <v>Closed</v>
          </cell>
          <cell r="G59">
            <v>24360</v>
          </cell>
        </row>
        <row r="60">
          <cell r="C60" t="str">
            <v>KAPE-IB-170657-16-03-2021</v>
          </cell>
          <cell r="D60">
            <v>44271</v>
          </cell>
          <cell r="E60" t="str">
            <v>Raw Material</v>
          </cell>
          <cell r="F60" t="str">
            <v>Closed</v>
          </cell>
          <cell r="G60">
            <v>22320</v>
          </cell>
        </row>
        <row r="61">
          <cell r="C61" t="str">
            <v>KAPE-IB-170650-16-03-2021</v>
          </cell>
          <cell r="D61">
            <v>44271</v>
          </cell>
          <cell r="E61" t="str">
            <v>Raw Material</v>
          </cell>
          <cell r="F61" t="str">
            <v>Closed</v>
          </cell>
          <cell r="G61">
            <v>24360</v>
          </cell>
        </row>
        <row r="62">
          <cell r="C62" t="str">
            <v>KAPE-IB-174237-20-03-2021</v>
          </cell>
          <cell r="D62">
            <v>44275</v>
          </cell>
          <cell r="E62" t="str">
            <v>Raw Material</v>
          </cell>
          <cell r="F62" t="str">
            <v>Closed</v>
          </cell>
          <cell r="G62">
            <v>24360</v>
          </cell>
        </row>
        <row r="63">
          <cell r="C63" t="str">
            <v>KPAF-IB-46150-25-03-2021</v>
          </cell>
          <cell r="D63">
            <v>44280</v>
          </cell>
          <cell r="E63" t="str">
            <v>Raw Material</v>
          </cell>
          <cell r="F63" t="str">
            <v>Closed</v>
          </cell>
          <cell r="G63">
            <v>384</v>
          </cell>
        </row>
        <row r="64">
          <cell r="C64" t="str">
            <v>KAPE-IB-177669-26-03-2021</v>
          </cell>
          <cell r="D64">
            <v>44281</v>
          </cell>
          <cell r="E64" t="str">
            <v>Raw Material</v>
          </cell>
          <cell r="F64" t="str">
            <v>Closed</v>
          </cell>
          <cell r="G64">
            <v>13567.09</v>
          </cell>
        </row>
        <row r="65">
          <cell r="C65" t="str">
            <v>KAPE-IB-178558-29-03-2021</v>
          </cell>
          <cell r="D65">
            <v>44284</v>
          </cell>
          <cell r="E65" t="str">
            <v>Raw Material</v>
          </cell>
          <cell r="F65" t="str">
            <v>Closed</v>
          </cell>
          <cell r="G65">
            <v>36235</v>
          </cell>
        </row>
        <row r="66">
          <cell r="C66" t="str">
            <v>KAPW-IB-143645-30-03-2021</v>
          </cell>
          <cell r="D66">
            <v>44285</v>
          </cell>
          <cell r="E66" t="str">
            <v>Raw Material</v>
          </cell>
          <cell r="F66" t="str">
            <v>Closed</v>
          </cell>
          <cell r="G66">
            <v>19192.43</v>
          </cell>
        </row>
        <row r="67">
          <cell r="C67" t="str">
            <v>KAPW-IB-143635-30-03-2021</v>
          </cell>
          <cell r="D67">
            <v>44285</v>
          </cell>
          <cell r="E67" t="str">
            <v>Raw Material</v>
          </cell>
          <cell r="F67" t="str">
            <v>Closed</v>
          </cell>
          <cell r="G67">
            <v>58097.33</v>
          </cell>
        </row>
        <row r="68">
          <cell r="C68" t="str">
            <v>KAPE-IB-180346-31-03-2021</v>
          </cell>
          <cell r="D68">
            <v>44286</v>
          </cell>
          <cell r="E68" t="str">
            <v>Raw Material</v>
          </cell>
          <cell r="F68" t="str">
            <v>Closed</v>
          </cell>
          <cell r="G68">
            <v>24480</v>
          </cell>
        </row>
        <row r="69">
          <cell r="C69" t="str">
            <v>KAPE-IB-180339-31-03-2021</v>
          </cell>
          <cell r="D69">
            <v>44286</v>
          </cell>
          <cell r="E69" t="str">
            <v>Raw Material</v>
          </cell>
          <cell r="F69" t="str">
            <v>Closed</v>
          </cell>
          <cell r="G69">
            <v>24360</v>
          </cell>
        </row>
        <row r="70">
          <cell r="C70" t="str">
            <v>KAPW-IB-151007-12-04-2021</v>
          </cell>
          <cell r="D70">
            <v>44298</v>
          </cell>
          <cell r="E70" t="str">
            <v>Raw Material</v>
          </cell>
          <cell r="F70" t="str">
            <v>Closed</v>
          </cell>
          <cell r="G70">
            <v>3072</v>
          </cell>
        </row>
        <row r="71">
          <cell r="C71" t="str">
            <v>KAPW-IB-159579-28-04-2021</v>
          </cell>
          <cell r="D71">
            <v>44314</v>
          </cell>
          <cell r="E71" t="str">
            <v>Raw Material</v>
          </cell>
          <cell r="F71" t="str">
            <v>Closed</v>
          </cell>
          <cell r="G71">
            <v>24120</v>
          </cell>
        </row>
        <row r="72">
          <cell r="C72" t="str">
            <v>KAPW-IB-160992-30-04-2021</v>
          </cell>
          <cell r="D72">
            <v>44316</v>
          </cell>
          <cell r="E72" t="str">
            <v>Raw Material</v>
          </cell>
          <cell r="F72" t="str">
            <v>Closed</v>
          </cell>
          <cell r="G72">
            <v>24120</v>
          </cell>
        </row>
        <row r="73">
          <cell r="C73" t="str">
            <v>KAPE-IB-199413-30-04-2021</v>
          </cell>
          <cell r="D73">
            <v>44316</v>
          </cell>
          <cell r="E73" t="str">
            <v>Raw Material</v>
          </cell>
          <cell r="F73" t="str">
            <v>Closed</v>
          </cell>
          <cell r="G73">
            <v>24480</v>
          </cell>
        </row>
        <row r="74">
          <cell r="C74" t="str">
            <v>KAPW-IB-161000-30-04-2021</v>
          </cell>
          <cell r="D74">
            <v>44316</v>
          </cell>
          <cell r="E74" t="str">
            <v>Raw Material</v>
          </cell>
          <cell r="F74" t="str">
            <v>Closed</v>
          </cell>
          <cell r="G74">
            <v>24320</v>
          </cell>
        </row>
        <row r="75">
          <cell r="C75" t="str">
            <v>KAPE-IB-202859-05-05-2021</v>
          </cell>
          <cell r="D75">
            <v>44321</v>
          </cell>
          <cell r="E75" t="str">
            <v>Raw Material</v>
          </cell>
          <cell r="F75" t="str">
            <v>Closed</v>
          </cell>
          <cell r="G75">
            <v>24320</v>
          </cell>
        </row>
        <row r="76">
          <cell r="C76" t="str">
            <v>KAPE-IB-202929-05-05-2021</v>
          </cell>
          <cell r="D76">
            <v>44321</v>
          </cell>
          <cell r="E76" t="str">
            <v>Raw Material</v>
          </cell>
          <cell r="F76" t="str">
            <v>Closed</v>
          </cell>
          <cell r="G76">
            <v>24480</v>
          </cell>
        </row>
        <row r="77">
          <cell r="C77" t="str">
            <v>KAPW-IB-165977-10-05-2021</v>
          </cell>
          <cell r="D77">
            <v>44326</v>
          </cell>
          <cell r="E77" t="str">
            <v>Raw Material</v>
          </cell>
          <cell r="F77" t="str">
            <v>Closed</v>
          </cell>
          <cell r="G77">
            <v>48300</v>
          </cell>
        </row>
        <row r="78">
          <cell r="C78" t="str">
            <v>KAPE-IB-206931-11-05-2021</v>
          </cell>
          <cell r="D78">
            <v>44327</v>
          </cell>
          <cell r="E78" t="str">
            <v>Raw Material</v>
          </cell>
          <cell r="F78" t="str">
            <v>Closed</v>
          </cell>
          <cell r="G78">
            <v>24480</v>
          </cell>
        </row>
        <row r="79">
          <cell r="C79" t="str">
            <v>KAPW-IB-167110-17-05-2021</v>
          </cell>
          <cell r="D79">
            <v>44333</v>
          </cell>
          <cell r="E79" t="str">
            <v>Raw Material</v>
          </cell>
          <cell r="F79" t="str">
            <v>Closed</v>
          </cell>
          <cell r="G79">
            <v>96000</v>
          </cell>
        </row>
        <row r="80">
          <cell r="C80" t="str">
            <v>KAPE-IB-212309-20-05-2021</v>
          </cell>
          <cell r="D80">
            <v>44336</v>
          </cell>
          <cell r="E80" t="str">
            <v>Raw Material</v>
          </cell>
          <cell r="F80" t="str">
            <v>Closed</v>
          </cell>
          <cell r="G80">
            <v>24120</v>
          </cell>
        </row>
        <row r="81">
          <cell r="C81" t="str">
            <v>KAPE-IB-214158-21-05-2021</v>
          </cell>
          <cell r="D81">
            <v>44337</v>
          </cell>
          <cell r="E81" t="str">
            <v>Raw Material</v>
          </cell>
          <cell r="F81" t="str">
            <v>Closed</v>
          </cell>
          <cell r="G81">
            <v>857</v>
          </cell>
        </row>
        <row r="82">
          <cell r="C82" t="str">
            <v>KAPE-IB-215171-24-05-2021</v>
          </cell>
          <cell r="D82">
            <v>44340</v>
          </cell>
          <cell r="E82" t="str">
            <v>Raw Material</v>
          </cell>
          <cell r="F82" t="str">
            <v>Closed</v>
          </cell>
          <cell r="G82">
            <v>11000</v>
          </cell>
        </row>
        <row r="83">
          <cell r="C83" t="str">
            <v>KAPW-IB-172242-24-05-2021</v>
          </cell>
          <cell r="D83">
            <v>44340</v>
          </cell>
          <cell r="E83" t="str">
            <v>Packing Material</v>
          </cell>
          <cell r="F83" t="str">
            <v>Closed</v>
          </cell>
          <cell r="G83">
            <v>36778.980000000003</v>
          </cell>
        </row>
        <row r="84">
          <cell r="C84" t="str">
            <v>KAPW-IB-172685-25-05-2021</v>
          </cell>
          <cell r="D84">
            <v>44341</v>
          </cell>
          <cell r="E84" t="str">
            <v>Packing Material</v>
          </cell>
          <cell r="F84" t="str">
            <v>Closed</v>
          </cell>
          <cell r="G84">
            <v>3766</v>
          </cell>
        </row>
        <row r="85">
          <cell r="C85" t="str">
            <v>KAPE-IB-216515-25-05-2021</v>
          </cell>
          <cell r="D85">
            <v>44341</v>
          </cell>
          <cell r="E85" t="str">
            <v>Raw Material</v>
          </cell>
          <cell r="F85" t="str">
            <v>Closed</v>
          </cell>
          <cell r="G85">
            <v>48440</v>
          </cell>
        </row>
        <row r="86">
          <cell r="C86" t="str">
            <v>KAPE-IB-220173-31-05-2021</v>
          </cell>
          <cell r="D86">
            <v>44347</v>
          </cell>
          <cell r="E86" t="str">
            <v>Raw Material</v>
          </cell>
          <cell r="F86" t="str">
            <v>Closed</v>
          </cell>
          <cell r="G86">
            <v>21536</v>
          </cell>
        </row>
        <row r="87">
          <cell r="C87" t="str">
            <v>KPAF-IB-60011-09-06-2021</v>
          </cell>
          <cell r="D87">
            <v>44356</v>
          </cell>
          <cell r="E87" t="str">
            <v>Raw Material</v>
          </cell>
          <cell r="F87" t="str">
            <v>Closed</v>
          </cell>
          <cell r="G87">
            <v>115.2</v>
          </cell>
        </row>
        <row r="88">
          <cell r="C88" t="str">
            <v>KAPE-IB-228125-10-06-2021</v>
          </cell>
          <cell r="D88">
            <v>44357</v>
          </cell>
          <cell r="E88" t="str">
            <v>Raw Material</v>
          </cell>
          <cell r="F88" t="str">
            <v>Closed</v>
          </cell>
          <cell r="G88">
            <v>97950</v>
          </cell>
        </row>
        <row r="89">
          <cell r="C89" t="str">
            <v>KAPE-IB-230508-12-06-2021</v>
          </cell>
          <cell r="D89">
            <v>44359</v>
          </cell>
          <cell r="E89" t="str">
            <v>Raw Material</v>
          </cell>
          <cell r="F89" t="str">
            <v>Closed</v>
          </cell>
          <cell r="G89">
            <v>46710</v>
          </cell>
        </row>
        <row r="90">
          <cell r="C90" t="str">
            <v>KAPE-IB-230502-12-06-2021</v>
          </cell>
          <cell r="D90">
            <v>44359</v>
          </cell>
          <cell r="E90" t="str">
            <v>Raw Material</v>
          </cell>
          <cell r="F90" t="str">
            <v>Closed</v>
          </cell>
          <cell r="G90">
            <v>23220</v>
          </cell>
        </row>
        <row r="91">
          <cell r="C91" t="str">
            <v>KAPW-IB-182848-12-06-2021</v>
          </cell>
          <cell r="D91">
            <v>44359</v>
          </cell>
          <cell r="E91" t="str">
            <v>Raw Material</v>
          </cell>
          <cell r="F91" t="str">
            <v>Closed</v>
          </cell>
          <cell r="G91">
            <v>23100</v>
          </cell>
        </row>
        <row r="92">
          <cell r="C92" t="str">
            <v>KAPW-IB-182851-12-06-2021</v>
          </cell>
          <cell r="D92">
            <v>44359</v>
          </cell>
          <cell r="E92" t="str">
            <v>Raw Material</v>
          </cell>
          <cell r="F92" t="str">
            <v>Closed</v>
          </cell>
          <cell r="G92">
            <v>23100</v>
          </cell>
        </row>
        <row r="93">
          <cell r="C93" t="str">
            <v>KAPW-IB-184796-15-06-2021</v>
          </cell>
          <cell r="D93">
            <v>44362</v>
          </cell>
          <cell r="E93" t="str">
            <v>Raw Material</v>
          </cell>
          <cell r="F93" t="str">
            <v>Closed</v>
          </cell>
          <cell r="G93">
            <v>600</v>
          </cell>
        </row>
        <row r="94">
          <cell r="C94" t="str">
            <v>KAPE-IB-2327-03-07-2021</v>
          </cell>
          <cell r="D94">
            <v>44380</v>
          </cell>
          <cell r="E94" t="str">
            <v>Raw Material</v>
          </cell>
          <cell r="F94" t="str">
            <v>Closed</v>
          </cell>
          <cell r="G94">
            <v>71668.800000000003</v>
          </cell>
        </row>
        <row r="95">
          <cell r="C95" t="str">
            <v>KAPW-IB-1552-03-07-2021</v>
          </cell>
          <cell r="D95">
            <v>44380</v>
          </cell>
          <cell r="E95" t="str">
            <v>Raw Material</v>
          </cell>
          <cell r="F95" t="str">
            <v>Closed</v>
          </cell>
          <cell r="G95">
            <v>89586</v>
          </cell>
        </row>
        <row r="96">
          <cell r="C96" t="str">
            <v>KAPE-IB-2322-03-07-2021</v>
          </cell>
          <cell r="D96">
            <v>44380</v>
          </cell>
          <cell r="E96" t="str">
            <v>Raw Material</v>
          </cell>
          <cell r="F96" t="str">
            <v>Closed</v>
          </cell>
          <cell r="G96">
            <v>18144</v>
          </cell>
        </row>
        <row r="97">
          <cell r="C97" t="str">
            <v>KAPE-IB-2320-03-07-2021</v>
          </cell>
          <cell r="D97">
            <v>44380</v>
          </cell>
          <cell r="E97" t="str">
            <v>Raw Material</v>
          </cell>
          <cell r="F97" t="str">
            <v>Closed</v>
          </cell>
          <cell r="G97">
            <v>18144</v>
          </cell>
        </row>
        <row r="98">
          <cell r="C98" t="str">
            <v>KAPE-IB-4418-06-07-2021</v>
          </cell>
          <cell r="D98">
            <v>44383</v>
          </cell>
          <cell r="E98" t="str">
            <v>Raw Material</v>
          </cell>
          <cell r="F98" t="str">
            <v>Closed</v>
          </cell>
          <cell r="G98">
            <v>11050</v>
          </cell>
        </row>
        <row r="99">
          <cell r="C99" t="str">
            <v>KAPW-IB-3760-07-07-2021</v>
          </cell>
          <cell r="D99">
            <v>44384</v>
          </cell>
          <cell r="E99" t="str">
            <v>Raw Material</v>
          </cell>
          <cell r="F99" t="str">
            <v>Closed</v>
          </cell>
          <cell r="G99">
            <v>18144</v>
          </cell>
        </row>
        <row r="100">
          <cell r="C100" t="str">
            <v>KAPE-IB-5173-07-07-2021</v>
          </cell>
          <cell r="D100">
            <v>44384</v>
          </cell>
          <cell r="E100" t="str">
            <v>Raw Material</v>
          </cell>
          <cell r="F100" t="str">
            <v>Closed</v>
          </cell>
          <cell r="G100">
            <v>18144</v>
          </cell>
        </row>
        <row r="101">
          <cell r="C101" t="str">
            <v>KAPE-IB-6601-08-07-2021</v>
          </cell>
          <cell r="D101">
            <v>44385</v>
          </cell>
          <cell r="E101" t="str">
            <v>Raw Material</v>
          </cell>
          <cell r="F101" t="str">
            <v>Closed</v>
          </cell>
          <cell r="G101">
            <v>17998</v>
          </cell>
        </row>
        <row r="102">
          <cell r="C102" t="str">
            <v>KAPW-IB-4810-08-07-2021</v>
          </cell>
          <cell r="D102">
            <v>44385</v>
          </cell>
          <cell r="E102" t="str">
            <v>Raw Material</v>
          </cell>
          <cell r="F102" t="str">
            <v>Closed</v>
          </cell>
          <cell r="G102">
            <v>3295</v>
          </cell>
        </row>
        <row r="103">
          <cell r="C103" t="str">
            <v>KAPE-IB-10807-14-07-2021</v>
          </cell>
          <cell r="D103">
            <v>44391</v>
          </cell>
          <cell r="E103" t="str">
            <v>Raw Material</v>
          </cell>
          <cell r="F103" t="str">
            <v>Closed</v>
          </cell>
          <cell r="G103">
            <v>36288</v>
          </cell>
        </row>
        <row r="104">
          <cell r="C104" t="str">
            <v>KAPE-IB-10781-14-07-2021</v>
          </cell>
          <cell r="D104">
            <v>44391</v>
          </cell>
          <cell r="E104" t="str">
            <v>Raw Material</v>
          </cell>
          <cell r="F104" t="str">
            <v>Closed</v>
          </cell>
          <cell r="G104">
            <v>53751.6</v>
          </cell>
        </row>
        <row r="105">
          <cell r="C105" t="str">
            <v>KAPE-IB-10804-14-07-2021</v>
          </cell>
          <cell r="D105">
            <v>44391</v>
          </cell>
          <cell r="E105" t="str">
            <v>Raw Material</v>
          </cell>
          <cell r="F105" t="str">
            <v>Closed</v>
          </cell>
          <cell r="G105">
            <v>36288</v>
          </cell>
        </row>
        <row r="106">
          <cell r="C106" t="str">
            <v>KAPE-IB-10794-14-07-2021</v>
          </cell>
          <cell r="D106">
            <v>44391</v>
          </cell>
          <cell r="E106" t="str">
            <v>Raw Material</v>
          </cell>
          <cell r="F106" t="str">
            <v>Closed</v>
          </cell>
          <cell r="G106">
            <v>36288</v>
          </cell>
        </row>
        <row r="107">
          <cell r="C107" t="str">
            <v>KAPE-IB-13459-19-07-2021</v>
          </cell>
          <cell r="D107">
            <v>44396</v>
          </cell>
          <cell r="E107" t="str">
            <v>Raw Material</v>
          </cell>
          <cell r="F107" t="str">
            <v>Closed</v>
          </cell>
          <cell r="G107">
            <v>54432</v>
          </cell>
        </row>
        <row r="108">
          <cell r="C108" t="str">
            <v>KAPE-IB-13513-19-07-2021</v>
          </cell>
          <cell r="D108">
            <v>44396</v>
          </cell>
          <cell r="E108" t="str">
            <v>Raw Material</v>
          </cell>
          <cell r="F108" t="str">
            <v>Closed</v>
          </cell>
          <cell r="G108">
            <v>18266.900000000001</v>
          </cell>
        </row>
        <row r="109">
          <cell r="C109" t="str">
            <v>KAPE-IB-13458-19-07-2021</v>
          </cell>
          <cell r="D109">
            <v>44396</v>
          </cell>
          <cell r="E109" t="str">
            <v>Raw Material</v>
          </cell>
          <cell r="F109" t="str">
            <v>Closed</v>
          </cell>
          <cell r="G109">
            <v>36288</v>
          </cell>
        </row>
        <row r="110">
          <cell r="C110" t="str">
            <v>KAPE-IB-16022-26-07-2021</v>
          </cell>
          <cell r="D110">
            <v>44403</v>
          </cell>
          <cell r="E110" t="str">
            <v>Raw Material</v>
          </cell>
          <cell r="F110" t="str">
            <v>Closed</v>
          </cell>
          <cell r="G110">
            <v>18144</v>
          </cell>
        </row>
        <row r="111">
          <cell r="C111" t="str">
            <v>KAPE-IB-17393-28-07-2021</v>
          </cell>
          <cell r="D111">
            <v>44405</v>
          </cell>
          <cell r="E111" t="str">
            <v>Raw Material</v>
          </cell>
          <cell r="F111" t="str">
            <v>Closed</v>
          </cell>
          <cell r="G111">
            <v>18144</v>
          </cell>
        </row>
        <row r="112">
          <cell r="C112" t="str">
            <v>KAPW-IB-13707-28-07-2021</v>
          </cell>
          <cell r="D112">
            <v>44405</v>
          </cell>
          <cell r="E112" t="str">
            <v>Raw Material</v>
          </cell>
          <cell r="F112" t="str">
            <v>Closed</v>
          </cell>
          <cell r="G112">
            <v>51200</v>
          </cell>
        </row>
        <row r="113">
          <cell r="C113" t="str">
            <v>KAPE-IB-17385-28-07-2021</v>
          </cell>
          <cell r="D113">
            <v>44405</v>
          </cell>
          <cell r="E113" t="str">
            <v>Raw Material</v>
          </cell>
          <cell r="F113" t="str">
            <v>Closed</v>
          </cell>
          <cell r="G113">
            <v>18144</v>
          </cell>
        </row>
        <row r="114">
          <cell r="C114" t="str">
            <v>KAPW-IB-15072-29-07-2021</v>
          </cell>
          <cell r="D114">
            <v>44406</v>
          </cell>
          <cell r="E114" t="str">
            <v>Raw Material</v>
          </cell>
          <cell r="F114" t="str">
            <v>Closed</v>
          </cell>
          <cell r="G114">
            <v>7720</v>
          </cell>
        </row>
        <row r="115">
          <cell r="C115" t="str">
            <v>KAPE-IB-22661-03-08-2021</v>
          </cell>
          <cell r="D115">
            <v>44411</v>
          </cell>
          <cell r="E115" t="str">
            <v>Raw Material</v>
          </cell>
          <cell r="F115" t="str">
            <v>Closed</v>
          </cell>
          <cell r="G115">
            <v>54432</v>
          </cell>
        </row>
        <row r="116">
          <cell r="C116" t="str">
            <v>KAPE-IB-25662-06-08-2021</v>
          </cell>
          <cell r="D116">
            <v>44414</v>
          </cell>
          <cell r="E116" t="str">
            <v>Raw Material</v>
          </cell>
          <cell r="F116" t="str">
            <v>Closed</v>
          </cell>
          <cell r="G116">
            <v>54414.99</v>
          </cell>
        </row>
        <row r="117">
          <cell r="C117" t="str">
            <v>KPAF-IB-6908-09-08-2021</v>
          </cell>
          <cell r="D117">
            <v>44417</v>
          </cell>
          <cell r="E117" t="str">
            <v>Raw Material</v>
          </cell>
          <cell r="F117" t="str">
            <v>Closed</v>
          </cell>
          <cell r="G117">
            <v>480</v>
          </cell>
        </row>
        <row r="118">
          <cell r="C118" t="str">
            <v>KAPW-IB-20108-10-08-2021</v>
          </cell>
          <cell r="D118">
            <v>44418</v>
          </cell>
          <cell r="E118" t="str">
            <v>Raw Material</v>
          </cell>
          <cell r="F118" t="str">
            <v>Closed</v>
          </cell>
          <cell r="G118">
            <v>19950.8</v>
          </cell>
        </row>
        <row r="119">
          <cell r="C119" t="str">
            <v>KAPE-IB-31434-16-08-2021</v>
          </cell>
          <cell r="D119">
            <v>44424</v>
          </cell>
          <cell r="E119" t="str">
            <v>Raw Material</v>
          </cell>
          <cell r="F119" t="str">
            <v>Closed</v>
          </cell>
          <cell r="G119">
            <v>16000</v>
          </cell>
        </row>
        <row r="120">
          <cell r="C120" t="str">
            <v>KAPE-IB-31451-16-08-2021</v>
          </cell>
          <cell r="D120">
            <v>44424</v>
          </cell>
          <cell r="E120" t="str">
            <v>Raw Material</v>
          </cell>
          <cell r="F120" t="str">
            <v>Closed</v>
          </cell>
          <cell r="G120">
            <v>36288</v>
          </cell>
        </row>
        <row r="121">
          <cell r="C121" t="str">
            <v>KAPE-IB-32245-17-08-2021</v>
          </cell>
          <cell r="D121">
            <v>44425</v>
          </cell>
          <cell r="E121" t="str">
            <v>Raw Material</v>
          </cell>
          <cell r="F121" t="str">
            <v>Closed</v>
          </cell>
          <cell r="G121">
            <v>1368</v>
          </cell>
        </row>
        <row r="122">
          <cell r="C122" t="str">
            <v>KAPE-IB-31705-17-08-2021</v>
          </cell>
          <cell r="D122">
            <v>44425</v>
          </cell>
          <cell r="E122" t="str">
            <v>Raw Material</v>
          </cell>
          <cell r="F122" t="str">
            <v>Closed</v>
          </cell>
          <cell r="G122">
            <v>18144</v>
          </cell>
        </row>
        <row r="123">
          <cell r="C123" t="str">
            <v>KPAF-IB-8499-17-08-2021</v>
          </cell>
          <cell r="D123">
            <v>44425</v>
          </cell>
          <cell r="E123" t="str">
            <v>Raw Material</v>
          </cell>
          <cell r="F123" t="str">
            <v>Closed</v>
          </cell>
          <cell r="G123">
            <v>6975.48</v>
          </cell>
        </row>
        <row r="124">
          <cell r="C124" t="str">
            <v>KAPE-IB-32254-17-08-2021</v>
          </cell>
          <cell r="D124">
            <v>44425</v>
          </cell>
          <cell r="E124" t="str">
            <v>Raw Material</v>
          </cell>
          <cell r="F124" t="str">
            <v>Closed</v>
          </cell>
          <cell r="G124">
            <v>97920</v>
          </cell>
        </row>
        <row r="125">
          <cell r="C125" t="str">
            <v>KAPW-IB-25071-20-08-2021</v>
          </cell>
          <cell r="D125">
            <v>44428</v>
          </cell>
          <cell r="E125" t="str">
            <v>Raw Material</v>
          </cell>
          <cell r="F125" t="str">
            <v>Closed</v>
          </cell>
          <cell r="G125">
            <v>1714</v>
          </cell>
        </row>
        <row r="126">
          <cell r="C126" t="str">
            <v>KAPW-IB-25345-20-08-2021</v>
          </cell>
          <cell r="D126">
            <v>44428</v>
          </cell>
          <cell r="E126" t="str">
            <v>Raw Material</v>
          </cell>
          <cell r="F126" t="str">
            <v>Closed</v>
          </cell>
          <cell r="G126">
            <v>3671</v>
          </cell>
        </row>
        <row r="127">
          <cell r="C127" t="str">
            <v>KAPW-IB-25811-20-08-2021</v>
          </cell>
          <cell r="D127">
            <v>44428</v>
          </cell>
          <cell r="E127" t="str">
            <v>Raw Material</v>
          </cell>
          <cell r="F127" t="str">
            <v>Closed</v>
          </cell>
          <cell r="G127">
            <v>23100</v>
          </cell>
        </row>
        <row r="128">
          <cell r="C128" t="str">
            <v>KAPE-IB-34373-23-08-2021</v>
          </cell>
          <cell r="D128">
            <v>44431</v>
          </cell>
          <cell r="E128" t="str">
            <v>Raw Material</v>
          </cell>
          <cell r="F128" t="str">
            <v>Closed</v>
          </cell>
          <cell r="G128">
            <v>53519.72</v>
          </cell>
        </row>
        <row r="129">
          <cell r="C129" t="str">
            <v>KAPE-IB-34438-23-08-2021</v>
          </cell>
          <cell r="D129">
            <v>44431</v>
          </cell>
          <cell r="E129" t="str">
            <v>Raw Material</v>
          </cell>
          <cell r="F129" t="str">
            <v>Closed</v>
          </cell>
          <cell r="G129">
            <v>18144</v>
          </cell>
        </row>
        <row r="130">
          <cell r="C130" t="str">
            <v>KAPE-IB-34508-23-08-2021</v>
          </cell>
          <cell r="D130">
            <v>44431</v>
          </cell>
          <cell r="E130" t="str">
            <v>Raw Material</v>
          </cell>
          <cell r="F130" t="str">
            <v>Closed</v>
          </cell>
          <cell r="G130">
            <v>21741.7</v>
          </cell>
        </row>
        <row r="131">
          <cell r="C131" t="str">
            <v>KAPE-IB-34491-23-08-2021</v>
          </cell>
          <cell r="D131">
            <v>44431</v>
          </cell>
          <cell r="E131" t="str">
            <v>Raw Material</v>
          </cell>
          <cell r="F131" t="str">
            <v>Closed</v>
          </cell>
          <cell r="G131">
            <v>18144</v>
          </cell>
        </row>
        <row r="132">
          <cell r="C132" t="str">
            <v>KAPE-IB-36684-25-08-2021</v>
          </cell>
          <cell r="D132">
            <v>44433</v>
          </cell>
          <cell r="E132" t="str">
            <v>Raw Material</v>
          </cell>
          <cell r="F132" t="str">
            <v>Closed</v>
          </cell>
          <cell r="G132">
            <v>40148.699999999997</v>
          </cell>
        </row>
        <row r="133">
          <cell r="C133" t="str">
            <v>KAPE-IB-37413-26-08-2021</v>
          </cell>
          <cell r="D133">
            <v>44434</v>
          </cell>
          <cell r="E133" t="str">
            <v>Raw Material</v>
          </cell>
          <cell r="F133" t="str">
            <v>Closed</v>
          </cell>
          <cell r="G133">
            <v>25200</v>
          </cell>
        </row>
        <row r="134">
          <cell r="C134" t="str">
            <v>KAPE-IB-36738-26-08-2021</v>
          </cell>
          <cell r="D134">
            <v>44434</v>
          </cell>
          <cell r="E134" t="str">
            <v>Raw Material</v>
          </cell>
          <cell r="F134" t="str">
            <v>Closed</v>
          </cell>
          <cell r="G134">
            <v>9160.59</v>
          </cell>
        </row>
        <row r="135">
          <cell r="C135" t="str">
            <v>KAPE-IB-38477-30-08-2021</v>
          </cell>
          <cell r="D135">
            <v>44438</v>
          </cell>
          <cell r="E135" t="str">
            <v>Raw Material</v>
          </cell>
          <cell r="F135" t="str">
            <v>Closed</v>
          </cell>
          <cell r="G135">
            <v>98000</v>
          </cell>
        </row>
        <row r="136">
          <cell r="C136" t="str">
            <v>KAPE-IB-39973-31-08-2021</v>
          </cell>
          <cell r="D136">
            <v>44439</v>
          </cell>
          <cell r="E136" t="str">
            <v>Raw Material</v>
          </cell>
          <cell r="F136" t="str">
            <v>Closed</v>
          </cell>
          <cell r="G136">
            <v>54432</v>
          </cell>
        </row>
        <row r="137">
          <cell r="C137" t="str">
            <v>KAPE-IB-40050-31-08-2021</v>
          </cell>
          <cell r="D137">
            <v>44439</v>
          </cell>
          <cell r="E137" t="str">
            <v>Raw Material</v>
          </cell>
          <cell r="F137" t="str">
            <v>Closed</v>
          </cell>
          <cell r="G137">
            <v>40503</v>
          </cell>
        </row>
        <row r="138">
          <cell r="C138" t="str">
            <v>KAPE-IB-40890-01-09-2021</v>
          </cell>
          <cell r="D138">
            <v>44440</v>
          </cell>
          <cell r="E138" t="str">
            <v>Raw Material</v>
          </cell>
          <cell r="F138" t="str">
            <v>Closed</v>
          </cell>
          <cell r="G138">
            <v>25200</v>
          </cell>
        </row>
        <row r="139">
          <cell r="C139" t="str">
            <v>KAPE-IB-40838-01-09-2021</v>
          </cell>
          <cell r="D139">
            <v>44440</v>
          </cell>
          <cell r="E139" t="str">
            <v>Raw Material</v>
          </cell>
          <cell r="F139" t="str">
            <v>Closed</v>
          </cell>
          <cell r="G139">
            <v>18144</v>
          </cell>
        </row>
        <row r="140">
          <cell r="C140" t="str">
            <v>KAPE-IB-40853-01-09-2021</v>
          </cell>
          <cell r="D140">
            <v>44440</v>
          </cell>
          <cell r="E140" t="str">
            <v>Raw Material</v>
          </cell>
          <cell r="F140" t="str">
            <v>Closed</v>
          </cell>
          <cell r="G140">
            <v>36288</v>
          </cell>
        </row>
        <row r="141">
          <cell r="C141" t="str">
            <v>KAPE-IB-40849-01-09-2021</v>
          </cell>
          <cell r="D141">
            <v>44440</v>
          </cell>
          <cell r="E141" t="str">
            <v>Raw Material</v>
          </cell>
          <cell r="F141" t="str">
            <v>Closed</v>
          </cell>
          <cell r="G141">
            <v>18144</v>
          </cell>
        </row>
        <row r="142">
          <cell r="C142" t="str">
            <v>KAPW-IB-33080-02-09-2021</v>
          </cell>
          <cell r="D142">
            <v>44441</v>
          </cell>
          <cell r="E142" t="str">
            <v>Raw Material</v>
          </cell>
          <cell r="F142" t="str">
            <v>Closed</v>
          </cell>
          <cell r="G142">
            <v>1760</v>
          </cell>
        </row>
        <row r="143">
          <cell r="C143" t="str">
            <v>KAPE-IB-42713-03-09-2021</v>
          </cell>
          <cell r="D143">
            <v>44442</v>
          </cell>
          <cell r="E143" t="str">
            <v>Raw Material</v>
          </cell>
          <cell r="F143" t="str">
            <v>Closed</v>
          </cell>
          <cell r="G143">
            <v>23100</v>
          </cell>
        </row>
        <row r="144">
          <cell r="C144" t="str">
            <v>KAPE-IB-45428-07-09-2021</v>
          </cell>
          <cell r="D144">
            <v>44446</v>
          </cell>
          <cell r="E144" t="str">
            <v>Raw Material</v>
          </cell>
          <cell r="F144" t="str">
            <v>Closed</v>
          </cell>
          <cell r="G144">
            <v>80640.399999999994</v>
          </cell>
        </row>
        <row r="145">
          <cell r="C145" t="str">
            <v>KAPE-IB-45075-07-09-2021</v>
          </cell>
          <cell r="D145">
            <v>44446</v>
          </cell>
          <cell r="E145" t="str">
            <v>Raw Material</v>
          </cell>
          <cell r="F145" t="str">
            <v>Closed</v>
          </cell>
          <cell r="G145">
            <v>20625.2</v>
          </cell>
        </row>
        <row r="146">
          <cell r="C146" t="str">
            <v>KAPW-IB-35959-07-09-2021</v>
          </cell>
          <cell r="D146">
            <v>44446</v>
          </cell>
          <cell r="E146" t="str">
            <v>Raw Material</v>
          </cell>
          <cell r="F146" t="str">
            <v>Closed</v>
          </cell>
          <cell r="G146">
            <v>14750</v>
          </cell>
        </row>
        <row r="147">
          <cell r="C147" t="str">
            <v>KAPE-IB-45056-07-09-2021</v>
          </cell>
          <cell r="D147">
            <v>44446</v>
          </cell>
          <cell r="E147" t="str">
            <v>Raw Material</v>
          </cell>
          <cell r="F147" t="str">
            <v>Closed</v>
          </cell>
          <cell r="G147">
            <v>19729.599999999999</v>
          </cell>
        </row>
        <row r="148">
          <cell r="C148" t="str">
            <v>KAPE-IB-46022-08-09-2021</v>
          </cell>
          <cell r="D148">
            <v>44447</v>
          </cell>
          <cell r="E148" t="str">
            <v>Raw Material</v>
          </cell>
          <cell r="F148" t="str">
            <v>Closed</v>
          </cell>
          <cell r="G148">
            <v>12000</v>
          </cell>
        </row>
        <row r="149">
          <cell r="C149" t="str">
            <v>KAPE-IB-47607-10-09-2021</v>
          </cell>
          <cell r="D149">
            <v>44449</v>
          </cell>
          <cell r="E149" t="str">
            <v>Raw Material</v>
          </cell>
          <cell r="F149" t="str">
            <v>Closed</v>
          </cell>
          <cell r="G149">
            <v>25200</v>
          </cell>
        </row>
        <row r="150">
          <cell r="C150" t="str">
            <v>KAPW-IB-38720-10-09-2021</v>
          </cell>
          <cell r="D150">
            <v>44449</v>
          </cell>
          <cell r="E150" t="str">
            <v>Raw Material</v>
          </cell>
          <cell r="F150" t="str">
            <v>Closed</v>
          </cell>
          <cell r="G150">
            <v>1720</v>
          </cell>
        </row>
        <row r="151">
          <cell r="C151" t="str">
            <v>KAPW-IB-38705-10-09-2021</v>
          </cell>
          <cell r="D151">
            <v>44449</v>
          </cell>
          <cell r="E151" t="str">
            <v>Raw Material</v>
          </cell>
          <cell r="F151" t="str">
            <v>Closed</v>
          </cell>
          <cell r="G151">
            <v>43778</v>
          </cell>
        </row>
        <row r="152">
          <cell r="C152" t="str">
            <v>KAPE-IB-49040-13-09-2021</v>
          </cell>
          <cell r="D152">
            <v>44452</v>
          </cell>
          <cell r="E152" t="str">
            <v>Raw Material</v>
          </cell>
          <cell r="F152" t="str">
            <v>Closed</v>
          </cell>
          <cell r="G152">
            <v>40497.699999999997</v>
          </cell>
        </row>
        <row r="153">
          <cell r="C153" t="str">
            <v>KAPE-IB-49033-13-09-2021</v>
          </cell>
          <cell r="D153">
            <v>44452</v>
          </cell>
          <cell r="E153" t="str">
            <v>Raw Material</v>
          </cell>
          <cell r="F153" t="str">
            <v>Closed</v>
          </cell>
          <cell r="G153">
            <v>20363.8</v>
          </cell>
        </row>
        <row r="154">
          <cell r="C154" t="str">
            <v>KAPE-IB-50788-16-09-2021</v>
          </cell>
          <cell r="D154">
            <v>44455</v>
          </cell>
          <cell r="E154" t="str">
            <v>Raw Material</v>
          </cell>
          <cell r="F154" t="str">
            <v>Closed</v>
          </cell>
          <cell r="G154">
            <v>36288</v>
          </cell>
        </row>
        <row r="155">
          <cell r="C155" t="str">
            <v>KAPE-IB-50825-16-09-2021</v>
          </cell>
          <cell r="D155">
            <v>44455</v>
          </cell>
          <cell r="E155" t="str">
            <v>Packing Material</v>
          </cell>
          <cell r="F155" t="str">
            <v>Closed</v>
          </cell>
          <cell r="G155">
            <v>48808.9</v>
          </cell>
        </row>
        <row r="156">
          <cell r="C156" t="str">
            <v>KAPE-IB-51468-17-09-2021</v>
          </cell>
          <cell r="D156">
            <v>44456</v>
          </cell>
          <cell r="E156" t="str">
            <v>Raw Material</v>
          </cell>
          <cell r="F156" t="str">
            <v>Closed</v>
          </cell>
          <cell r="G156">
            <v>36288</v>
          </cell>
        </row>
        <row r="157">
          <cell r="C157" t="str">
            <v>KAPE-IB-51455-17-09-2021</v>
          </cell>
          <cell r="D157">
            <v>44456</v>
          </cell>
          <cell r="E157" t="str">
            <v>Raw Material</v>
          </cell>
          <cell r="F157" t="str">
            <v>Closed</v>
          </cell>
          <cell r="G157">
            <v>36288</v>
          </cell>
        </row>
        <row r="158">
          <cell r="C158" t="str">
            <v>KAPE-IB-51765-17-09-2021</v>
          </cell>
          <cell r="D158">
            <v>44456</v>
          </cell>
          <cell r="E158" t="str">
            <v>Raw Material</v>
          </cell>
          <cell r="F158" t="str">
            <v>Closed</v>
          </cell>
          <cell r="G158">
            <v>35851.1</v>
          </cell>
        </row>
        <row r="159">
          <cell r="C159" t="str">
            <v>KAPE-IB-54907-22-09-2021</v>
          </cell>
          <cell r="D159">
            <v>44461</v>
          </cell>
          <cell r="E159" t="str">
            <v>Raw Material</v>
          </cell>
          <cell r="F159" t="str">
            <v>Closed</v>
          </cell>
          <cell r="G159">
            <v>20675</v>
          </cell>
        </row>
        <row r="160">
          <cell r="C160" t="str">
            <v>KAPW-IB-46867-28-09-2021</v>
          </cell>
          <cell r="D160">
            <v>44467</v>
          </cell>
          <cell r="E160" t="str">
            <v>Raw Material</v>
          </cell>
          <cell r="F160" t="str">
            <v>Closed</v>
          </cell>
          <cell r="G160">
            <v>19040</v>
          </cell>
        </row>
        <row r="161">
          <cell r="C161" t="str">
            <v>KAPE-IB-59396-28-09-2021</v>
          </cell>
          <cell r="D161">
            <v>44467</v>
          </cell>
          <cell r="E161" t="str">
            <v>Raw Material</v>
          </cell>
          <cell r="F161" t="str">
            <v>Closed</v>
          </cell>
          <cell r="G161">
            <v>18000</v>
          </cell>
        </row>
        <row r="162">
          <cell r="C162" t="str">
            <v>KAPW-IB-46876-28-09-2021</v>
          </cell>
          <cell r="D162">
            <v>44467</v>
          </cell>
          <cell r="E162" t="str">
            <v>Raw Material</v>
          </cell>
          <cell r="F162" t="str">
            <v>Closed</v>
          </cell>
          <cell r="G162">
            <v>18200</v>
          </cell>
        </row>
        <row r="163">
          <cell r="C163" t="str">
            <v>KAPW-IB-46926-29-09-2021</v>
          </cell>
          <cell r="D163">
            <v>44468</v>
          </cell>
          <cell r="E163" t="str">
            <v>Raw Material</v>
          </cell>
          <cell r="F163" t="str">
            <v>Closed</v>
          </cell>
          <cell r="G163">
            <v>3161</v>
          </cell>
        </row>
        <row r="164">
          <cell r="C164" t="str">
            <v>KAPE-IB-59437-29-09-2021</v>
          </cell>
          <cell r="D164">
            <v>44468</v>
          </cell>
          <cell r="E164" t="str">
            <v>Raw Material</v>
          </cell>
          <cell r="F164" t="str">
            <v>Closed</v>
          </cell>
          <cell r="G164">
            <v>12000</v>
          </cell>
        </row>
        <row r="165">
          <cell r="C165" t="str">
            <v>KAPE-IB-59497-29-09-2021</v>
          </cell>
          <cell r="D165">
            <v>44468</v>
          </cell>
          <cell r="E165" t="str">
            <v>Raw Material</v>
          </cell>
          <cell r="F165" t="str">
            <v>Closed</v>
          </cell>
          <cell r="G165">
            <v>36000</v>
          </cell>
        </row>
        <row r="166">
          <cell r="C166" t="str">
            <v>KAPW-IB-48085-30-09-2021</v>
          </cell>
          <cell r="D166">
            <v>44469</v>
          </cell>
          <cell r="E166" t="str">
            <v>Raw Material</v>
          </cell>
          <cell r="F166" t="str">
            <v>Closed</v>
          </cell>
          <cell r="G166">
            <v>46200</v>
          </cell>
        </row>
        <row r="167">
          <cell r="C167" t="str">
            <v>KAPE-IB-61368-02-10-2021</v>
          </cell>
          <cell r="D167">
            <v>44471</v>
          </cell>
          <cell r="E167" t="str">
            <v>Raw Material</v>
          </cell>
          <cell r="F167" t="str">
            <v>Closed</v>
          </cell>
          <cell r="G167">
            <v>24480</v>
          </cell>
        </row>
        <row r="168">
          <cell r="C168" t="str">
            <v>KAPW-IB-50950-05-10-2021</v>
          </cell>
          <cell r="D168">
            <v>44474</v>
          </cell>
          <cell r="E168" t="str">
            <v>Raw Material</v>
          </cell>
          <cell r="F168" t="str">
            <v>Closed</v>
          </cell>
          <cell r="G168">
            <v>48960</v>
          </cell>
        </row>
        <row r="169">
          <cell r="C169" t="str">
            <v>KAPE-IB-62523-05-10-2021</v>
          </cell>
          <cell r="D169">
            <v>44474</v>
          </cell>
          <cell r="E169" t="str">
            <v>Raw Material</v>
          </cell>
          <cell r="F169" t="str">
            <v>Closed</v>
          </cell>
          <cell r="G169">
            <v>60807</v>
          </cell>
        </row>
        <row r="170">
          <cell r="C170" t="str">
            <v>KAPE-IB-62762-06-10-2021</v>
          </cell>
          <cell r="D170">
            <v>44475</v>
          </cell>
          <cell r="E170" t="str">
            <v>Raw Material</v>
          </cell>
          <cell r="F170" t="str">
            <v>Closed</v>
          </cell>
          <cell r="G170">
            <v>20027.2</v>
          </cell>
        </row>
        <row r="171">
          <cell r="C171" t="str">
            <v>KAPW-IB-51492-06-10-2021</v>
          </cell>
          <cell r="D171">
            <v>44475</v>
          </cell>
          <cell r="E171" t="str">
            <v>Raw Material</v>
          </cell>
          <cell r="F171" t="str">
            <v>Closed</v>
          </cell>
          <cell r="G171">
            <v>200</v>
          </cell>
        </row>
        <row r="172">
          <cell r="C172" t="str">
            <v>KAPW-IB-53792-11-10-2021</v>
          </cell>
          <cell r="D172">
            <v>44480</v>
          </cell>
          <cell r="E172" t="str">
            <v>Raw Material</v>
          </cell>
          <cell r="F172" t="str">
            <v>Closed</v>
          </cell>
          <cell r="G172">
            <v>23400</v>
          </cell>
        </row>
        <row r="173">
          <cell r="C173" t="str">
            <v>KAPE-IB-65347-11-10-2021</v>
          </cell>
          <cell r="D173">
            <v>44480</v>
          </cell>
          <cell r="E173" t="str">
            <v>Raw Material</v>
          </cell>
          <cell r="F173" t="str">
            <v>Closed</v>
          </cell>
          <cell r="G173">
            <v>48960</v>
          </cell>
        </row>
        <row r="174">
          <cell r="C174" t="str">
            <v>KAPE-IB-65341-11-10-2021</v>
          </cell>
          <cell r="D174">
            <v>44480</v>
          </cell>
          <cell r="E174" t="str">
            <v>Raw Material</v>
          </cell>
          <cell r="F174" t="str">
            <v>Closed</v>
          </cell>
          <cell r="G174">
            <v>18144</v>
          </cell>
        </row>
        <row r="175">
          <cell r="C175" t="str">
            <v>KAPE-IB-65345-11-10-2021</v>
          </cell>
          <cell r="D175">
            <v>44480</v>
          </cell>
          <cell r="E175" t="str">
            <v>Raw Material</v>
          </cell>
          <cell r="F175" t="str">
            <v>Closed</v>
          </cell>
          <cell r="G175">
            <v>25200</v>
          </cell>
        </row>
        <row r="176">
          <cell r="C176" t="str">
            <v>KAPE-IB-66723-12-10-2021</v>
          </cell>
          <cell r="D176">
            <v>44481</v>
          </cell>
          <cell r="E176" t="str">
            <v>Raw Material</v>
          </cell>
          <cell r="F176" t="str">
            <v>Closed</v>
          </cell>
          <cell r="G176">
            <v>20227.900000000001</v>
          </cell>
        </row>
        <row r="177">
          <cell r="C177" t="str">
            <v>KAPE-IB-66716-12-10-2021</v>
          </cell>
          <cell r="D177">
            <v>44481</v>
          </cell>
          <cell r="E177" t="str">
            <v>Raw Material</v>
          </cell>
          <cell r="F177" t="str">
            <v>Closed</v>
          </cell>
          <cell r="G177">
            <v>19880.099999999999</v>
          </cell>
        </row>
        <row r="178">
          <cell r="C178" t="str">
            <v>KAPE-IB-66730-12-10-2021</v>
          </cell>
          <cell r="D178">
            <v>44481</v>
          </cell>
          <cell r="E178" t="str">
            <v>Raw Material</v>
          </cell>
          <cell r="F178" t="str">
            <v>Closed</v>
          </cell>
          <cell r="G178">
            <v>39756.800000000003</v>
          </cell>
        </row>
        <row r="179">
          <cell r="C179" t="str">
            <v>KAPW-IB-54903-12-10-2021</v>
          </cell>
          <cell r="D179">
            <v>44481</v>
          </cell>
          <cell r="E179" t="str">
            <v>Raw Material</v>
          </cell>
          <cell r="F179" t="str">
            <v>Closed</v>
          </cell>
          <cell r="G179">
            <v>69300</v>
          </cell>
        </row>
        <row r="180">
          <cell r="C180" t="str">
            <v>KAPW-IB-55540-13-10-2021</v>
          </cell>
          <cell r="D180">
            <v>44482</v>
          </cell>
          <cell r="E180" t="str">
            <v>Raw Material</v>
          </cell>
          <cell r="F180" t="str">
            <v>Closed</v>
          </cell>
          <cell r="G180">
            <v>23100</v>
          </cell>
        </row>
        <row r="181">
          <cell r="C181" t="str">
            <v>KAPE-IB-67667-13-10-2021</v>
          </cell>
          <cell r="D181">
            <v>44482</v>
          </cell>
          <cell r="E181" t="str">
            <v>Raw Material</v>
          </cell>
          <cell r="F181" t="str">
            <v>Closed</v>
          </cell>
          <cell r="G181">
            <v>20750</v>
          </cell>
        </row>
        <row r="182">
          <cell r="C182" t="str">
            <v>KAPE-IB-67666-13-10-2021</v>
          </cell>
          <cell r="D182">
            <v>44482</v>
          </cell>
          <cell r="E182" t="str">
            <v>Raw Material</v>
          </cell>
          <cell r="F182" t="str">
            <v>Closed</v>
          </cell>
          <cell r="G182">
            <v>81956.100000000006</v>
          </cell>
        </row>
        <row r="183">
          <cell r="C183" t="str">
            <v>KAPW-IB-56155-14-10-2021</v>
          </cell>
          <cell r="D183">
            <v>44483</v>
          </cell>
          <cell r="E183" t="str">
            <v>Raw Material</v>
          </cell>
          <cell r="F183" t="str">
            <v>Closed</v>
          </cell>
          <cell r="G183">
            <v>23100</v>
          </cell>
        </row>
        <row r="184">
          <cell r="C184" t="str">
            <v>KAPW-IB-57410-15-10-2021</v>
          </cell>
          <cell r="D184">
            <v>44484</v>
          </cell>
          <cell r="E184" t="str">
            <v>Raw Material</v>
          </cell>
          <cell r="F184" t="str">
            <v>Closed</v>
          </cell>
          <cell r="G184">
            <v>23100</v>
          </cell>
        </row>
        <row r="185">
          <cell r="C185" t="str">
            <v>KAPW-IB-57553-16-10-2021</v>
          </cell>
          <cell r="D185">
            <v>44485</v>
          </cell>
          <cell r="E185" t="str">
            <v>Raw Material</v>
          </cell>
          <cell r="F185" t="str">
            <v>Closed</v>
          </cell>
          <cell r="G185">
            <v>4610</v>
          </cell>
        </row>
        <row r="186">
          <cell r="C186" t="str">
            <v>KAPE-IB-71477-20-10-2021</v>
          </cell>
          <cell r="D186">
            <v>44489</v>
          </cell>
          <cell r="E186" t="str">
            <v>Raw Material</v>
          </cell>
          <cell r="F186" t="str">
            <v>Closed</v>
          </cell>
          <cell r="G186">
            <v>59588.9</v>
          </cell>
        </row>
        <row r="187">
          <cell r="C187" t="str">
            <v>KAPE-IB-73834-25-10-2021</v>
          </cell>
          <cell r="D187">
            <v>44494</v>
          </cell>
          <cell r="E187" t="str">
            <v>Raw Material</v>
          </cell>
          <cell r="F187" t="str">
            <v>Closed</v>
          </cell>
          <cell r="G187">
            <v>23100</v>
          </cell>
        </row>
        <row r="188">
          <cell r="C188" t="str">
            <v>KAPE-IB-73827-25-10-2021</v>
          </cell>
          <cell r="D188">
            <v>44494</v>
          </cell>
          <cell r="E188" t="str">
            <v>Raw Material</v>
          </cell>
          <cell r="F188" t="str">
            <v>Closed</v>
          </cell>
          <cell r="G188">
            <v>23100</v>
          </cell>
        </row>
        <row r="189">
          <cell r="C189" t="str">
            <v>KAPW-IB-63108-29-10-2021</v>
          </cell>
          <cell r="D189">
            <v>44498</v>
          </cell>
          <cell r="E189" t="str">
            <v>Raw Material</v>
          </cell>
          <cell r="F189" t="str">
            <v>Closed</v>
          </cell>
          <cell r="G189">
            <v>1075</v>
          </cell>
        </row>
        <row r="190">
          <cell r="C190" t="str">
            <v>KAPW-IB-63381-30-10-2021</v>
          </cell>
          <cell r="D190">
            <v>44499</v>
          </cell>
          <cell r="E190" t="str">
            <v>Raw Material</v>
          </cell>
          <cell r="F190" t="str">
            <v>Closed</v>
          </cell>
          <cell r="G190">
            <v>50075</v>
          </cell>
        </row>
        <row r="191">
          <cell r="C191" t="str">
            <v>KAPW-IB-65024-04-11-2021</v>
          </cell>
          <cell r="D191">
            <v>44504</v>
          </cell>
          <cell r="E191" t="str">
            <v>Raw Material</v>
          </cell>
          <cell r="F191" t="str">
            <v>Closed</v>
          </cell>
          <cell r="G191">
            <v>18200</v>
          </cell>
        </row>
        <row r="192">
          <cell r="C192" t="str">
            <v>KAPE-IB-81636-06-11-2021</v>
          </cell>
          <cell r="D192">
            <v>44506</v>
          </cell>
          <cell r="E192" t="str">
            <v>Raw Material</v>
          </cell>
          <cell r="F192" t="str">
            <v>Closed</v>
          </cell>
          <cell r="G192">
            <v>21000</v>
          </cell>
        </row>
        <row r="193">
          <cell r="C193" t="str">
            <v>KAPE-IB-83341-08-11-2021</v>
          </cell>
          <cell r="D193">
            <v>44508</v>
          </cell>
          <cell r="E193" t="str">
            <v>Raw Material</v>
          </cell>
          <cell r="F193" t="str">
            <v>Closed</v>
          </cell>
          <cell r="G193">
            <v>16000</v>
          </cell>
        </row>
        <row r="194">
          <cell r="C194" t="str">
            <v>KAPE-IB-83971-09-11-2021</v>
          </cell>
          <cell r="D194">
            <v>44509</v>
          </cell>
          <cell r="E194" t="str">
            <v>Raw Material</v>
          </cell>
          <cell r="F194" t="str">
            <v>Closed</v>
          </cell>
          <cell r="G194">
            <v>24120</v>
          </cell>
        </row>
        <row r="195">
          <cell r="C195" t="str">
            <v>KAPE-IB-84000-09-11-2021</v>
          </cell>
          <cell r="D195">
            <v>44509</v>
          </cell>
          <cell r="E195" t="str">
            <v>Raw Material</v>
          </cell>
          <cell r="F195" t="str">
            <v>Closed</v>
          </cell>
          <cell r="G195">
            <v>20160</v>
          </cell>
        </row>
        <row r="196">
          <cell r="C196" t="str">
            <v>KAPW-IB-67471-10-11-2021</v>
          </cell>
          <cell r="D196">
            <v>44510</v>
          </cell>
          <cell r="E196" t="str">
            <v>Raw Material</v>
          </cell>
          <cell r="F196" t="str">
            <v>Closed</v>
          </cell>
          <cell r="G196">
            <v>1760</v>
          </cell>
        </row>
        <row r="197">
          <cell r="C197" t="str">
            <v>KAPE-IB-86333-11-11-2021</v>
          </cell>
          <cell r="D197">
            <v>44511</v>
          </cell>
          <cell r="E197" t="str">
            <v>Raw Material</v>
          </cell>
          <cell r="F197" t="str">
            <v>Closed</v>
          </cell>
          <cell r="G197">
            <v>16000</v>
          </cell>
        </row>
        <row r="198">
          <cell r="C198" t="str">
            <v>KAPE-IB-86329-11-11-2021</v>
          </cell>
          <cell r="D198">
            <v>44511</v>
          </cell>
          <cell r="E198" t="str">
            <v>Raw Material</v>
          </cell>
          <cell r="F198" t="str">
            <v>Closed</v>
          </cell>
          <cell r="G198">
            <v>7500</v>
          </cell>
        </row>
        <row r="199">
          <cell r="C199" t="str">
            <v>KAPW-IB-70911-15-11-2021</v>
          </cell>
          <cell r="D199">
            <v>44515</v>
          </cell>
          <cell r="E199" t="str">
            <v>Raw Material</v>
          </cell>
          <cell r="F199" t="str">
            <v>Closed</v>
          </cell>
          <cell r="G199">
            <v>18200</v>
          </cell>
        </row>
        <row r="200">
          <cell r="C200" t="str">
            <v>KAPE-IB-89256-15-11-2021</v>
          </cell>
          <cell r="D200">
            <v>44515</v>
          </cell>
          <cell r="E200" t="str">
            <v>Raw Material</v>
          </cell>
          <cell r="F200" t="str">
            <v>Closed</v>
          </cell>
          <cell r="G200">
            <v>40822.9</v>
          </cell>
        </row>
        <row r="201">
          <cell r="C201" t="str">
            <v>KAPE-IB-89518-16-11-2021</v>
          </cell>
          <cell r="D201">
            <v>44516</v>
          </cell>
          <cell r="E201" t="str">
            <v>Raw Material</v>
          </cell>
          <cell r="F201" t="str">
            <v>Closed</v>
          </cell>
          <cell r="G201">
            <v>39976.400000000001</v>
          </cell>
        </row>
        <row r="202">
          <cell r="C202" t="str">
            <v>KAPE-IB-89565-16-11-2021</v>
          </cell>
          <cell r="D202">
            <v>44516</v>
          </cell>
          <cell r="E202" t="str">
            <v>Raw Material</v>
          </cell>
          <cell r="F202" t="str">
            <v>Closed</v>
          </cell>
          <cell r="G202">
            <v>61257</v>
          </cell>
        </row>
        <row r="203">
          <cell r="C203" t="str">
            <v>KAPE-IB-91732-18-11-2021</v>
          </cell>
          <cell r="D203">
            <v>44518</v>
          </cell>
          <cell r="E203" t="str">
            <v>Raw Material</v>
          </cell>
          <cell r="F203" t="str">
            <v>Closed</v>
          </cell>
          <cell r="G203">
            <v>1275</v>
          </cell>
        </row>
        <row r="204">
          <cell r="C204" t="str">
            <v>KAPE-IB-94325-23-11-2021</v>
          </cell>
          <cell r="D204">
            <v>44523</v>
          </cell>
          <cell r="E204" t="str">
            <v>Raw Material</v>
          </cell>
          <cell r="F204" t="str">
            <v>Closed</v>
          </cell>
          <cell r="G204">
            <v>16000</v>
          </cell>
        </row>
        <row r="205">
          <cell r="C205" t="str">
            <v>KAPE-IB-94334-23-11-2021</v>
          </cell>
          <cell r="D205">
            <v>44523</v>
          </cell>
          <cell r="E205" t="str">
            <v>Raw Material</v>
          </cell>
          <cell r="F205" t="str">
            <v>Closed</v>
          </cell>
          <cell r="G205">
            <v>16000</v>
          </cell>
        </row>
        <row r="206">
          <cell r="C206" t="str">
            <v>KAPE-IB-95153-24-11-2021</v>
          </cell>
          <cell r="D206">
            <v>44524</v>
          </cell>
          <cell r="E206" t="str">
            <v>Raw Material</v>
          </cell>
          <cell r="F206" t="str">
            <v>Closed</v>
          </cell>
          <cell r="G206">
            <v>24480</v>
          </cell>
        </row>
        <row r="207">
          <cell r="C207" t="str">
            <v>KAPW-IB-77483-26-11-2021</v>
          </cell>
          <cell r="D207">
            <v>44526</v>
          </cell>
          <cell r="E207" t="str">
            <v>Raw Material</v>
          </cell>
          <cell r="F207" t="str">
            <v>Closed</v>
          </cell>
          <cell r="G207">
            <v>5280</v>
          </cell>
        </row>
        <row r="208">
          <cell r="C208" t="str">
            <v>KAPW-IB-79954-30-11-2021</v>
          </cell>
          <cell r="D208">
            <v>44530</v>
          </cell>
          <cell r="E208" t="str">
            <v>Raw Material</v>
          </cell>
          <cell r="F208" t="str">
            <v>Closed</v>
          </cell>
          <cell r="G208">
            <v>5000</v>
          </cell>
        </row>
        <row r="209">
          <cell r="C209" t="str">
            <v>KAPE-IB-99339-30-11-2021</v>
          </cell>
          <cell r="D209">
            <v>44530</v>
          </cell>
          <cell r="E209" t="str">
            <v>Raw Material</v>
          </cell>
          <cell r="F209" t="str">
            <v>Closed</v>
          </cell>
          <cell r="G209">
            <v>60509.9</v>
          </cell>
        </row>
        <row r="210">
          <cell r="C210" t="str">
            <v>KAPE-IB-99346-30-11-2021</v>
          </cell>
          <cell r="D210">
            <v>44530</v>
          </cell>
          <cell r="E210" t="str">
            <v>Raw Material</v>
          </cell>
          <cell r="F210" t="str">
            <v>Closed</v>
          </cell>
          <cell r="G210">
            <v>39741</v>
          </cell>
        </row>
        <row r="211">
          <cell r="C211" t="str">
            <v>KAPE-IB-99360-30-11-2021</v>
          </cell>
          <cell r="D211">
            <v>44530</v>
          </cell>
          <cell r="E211" t="str">
            <v>Raw Material</v>
          </cell>
          <cell r="F211" t="str">
            <v>Closed</v>
          </cell>
          <cell r="G211">
            <v>40518.400000000001</v>
          </cell>
        </row>
        <row r="212">
          <cell r="C212" t="str">
            <v>KAPE-IB-99354-30-11-2021</v>
          </cell>
          <cell r="D212">
            <v>44530</v>
          </cell>
          <cell r="E212" t="str">
            <v>Raw Material</v>
          </cell>
          <cell r="F212" t="str">
            <v>Closed</v>
          </cell>
          <cell r="G212">
            <v>40085.1</v>
          </cell>
        </row>
        <row r="213">
          <cell r="C213" t="str">
            <v>KAPW-IB-80150-01-12-2021</v>
          </cell>
          <cell r="D213">
            <v>44531</v>
          </cell>
          <cell r="E213" t="str">
            <v>Raw Material</v>
          </cell>
          <cell r="F213" t="str">
            <v>Closed</v>
          </cell>
          <cell r="G213">
            <v>5000</v>
          </cell>
        </row>
        <row r="214">
          <cell r="C214" t="str">
            <v>KAPW-IB-81108-02-12-2021</v>
          </cell>
          <cell r="D214">
            <v>44532</v>
          </cell>
          <cell r="E214" t="str">
            <v>Raw Material</v>
          </cell>
          <cell r="F214" t="str">
            <v>Closed</v>
          </cell>
          <cell r="G214">
            <v>18200</v>
          </cell>
        </row>
        <row r="215">
          <cell r="C215" t="str">
            <v>KAPW-IB-81771-03-12-2021</v>
          </cell>
          <cell r="D215">
            <v>44533</v>
          </cell>
          <cell r="E215" t="str">
            <v>Raw Material</v>
          </cell>
          <cell r="F215" t="str">
            <v>Closed</v>
          </cell>
          <cell r="G215">
            <v>1500</v>
          </cell>
        </row>
        <row r="216">
          <cell r="C216" t="str">
            <v>KAPE-IB-101874-03-12-2021</v>
          </cell>
          <cell r="D216">
            <v>44533</v>
          </cell>
          <cell r="E216" t="str">
            <v>Raw Material</v>
          </cell>
          <cell r="F216" t="str">
            <v>Closed</v>
          </cell>
          <cell r="G216">
            <v>24480</v>
          </cell>
        </row>
        <row r="217">
          <cell r="C217" t="str">
            <v>KAPW-IB-83496-06-12-2021</v>
          </cell>
          <cell r="D217">
            <v>44536</v>
          </cell>
          <cell r="E217" t="str">
            <v>Raw Material</v>
          </cell>
          <cell r="F217" t="str">
            <v>Closed</v>
          </cell>
          <cell r="G217">
            <v>12145</v>
          </cell>
        </row>
        <row r="218">
          <cell r="C218" t="str">
            <v>KAPE-IB-103482-06-12-2021</v>
          </cell>
          <cell r="D218">
            <v>44536</v>
          </cell>
          <cell r="E218" t="str">
            <v>Raw Material</v>
          </cell>
          <cell r="F218" t="str">
            <v>Closed</v>
          </cell>
          <cell r="G218">
            <v>19874.400000000001</v>
          </cell>
        </row>
        <row r="219">
          <cell r="C219" t="str">
            <v>KAPE-IB-103549-06-12-2021</v>
          </cell>
          <cell r="D219">
            <v>44536</v>
          </cell>
          <cell r="E219" t="str">
            <v>Raw Material</v>
          </cell>
          <cell r="F219" t="str">
            <v>Closed</v>
          </cell>
          <cell r="G219">
            <v>19847.7</v>
          </cell>
        </row>
        <row r="220">
          <cell r="C220" t="str">
            <v>KPAF-IB-30892-13-12-2021</v>
          </cell>
          <cell r="D220">
            <v>44543</v>
          </cell>
          <cell r="E220" t="str">
            <v>Raw Material</v>
          </cell>
          <cell r="F220" t="str">
            <v>Closed</v>
          </cell>
          <cell r="G220">
            <v>2002.9</v>
          </cell>
        </row>
        <row r="221">
          <cell r="C221" t="str">
            <v>KAPE-IB-108499-14-12-2021</v>
          </cell>
          <cell r="D221">
            <v>44544</v>
          </cell>
          <cell r="E221" t="str">
            <v>Raw Material</v>
          </cell>
          <cell r="F221" t="str">
            <v>Closed</v>
          </cell>
          <cell r="G221">
            <v>24480</v>
          </cell>
        </row>
        <row r="222">
          <cell r="C222" t="str">
            <v>KAPW-IB-88577-14-12-2021</v>
          </cell>
          <cell r="D222">
            <v>44544</v>
          </cell>
          <cell r="E222" t="str">
            <v>Packing Material</v>
          </cell>
          <cell r="F222" t="str">
            <v>Closed</v>
          </cell>
          <cell r="G222">
            <v>7532</v>
          </cell>
        </row>
        <row r="223">
          <cell r="C223" t="str">
            <v>KPPI-IB-42167-15-12-2021</v>
          </cell>
          <cell r="D223">
            <v>44545</v>
          </cell>
          <cell r="E223" t="str">
            <v>Raw Material</v>
          </cell>
          <cell r="F223" t="str">
            <v>Closed</v>
          </cell>
          <cell r="G223">
            <v>36000</v>
          </cell>
        </row>
        <row r="224">
          <cell r="C224" t="str">
            <v>KPPI-IB-42182-16-12-2021</v>
          </cell>
          <cell r="D224">
            <v>44546</v>
          </cell>
          <cell r="E224" t="str">
            <v>Raw Material</v>
          </cell>
          <cell r="F224" t="str">
            <v>Closed</v>
          </cell>
          <cell r="G224">
            <v>18000</v>
          </cell>
        </row>
        <row r="225">
          <cell r="C225" t="str">
            <v>KAPE-IB-111446-16-12-2021</v>
          </cell>
          <cell r="D225">
            <v>44546</v>
          </cell>
          <cell r="E225" t="str">
            <v>Raw Material</v>
          </cell>
          <cell r="F225" t="str">
            <v>Closed</v>
          </cell>
          <cell r="G225">
            <v>19600</v>
          </cell>
        </row>
        <row r="226">
          <cell r="C226" t="str">
            <v>KAPE-IB-111629-17-12-2021</v>
          </cell>
          <cell r="D226">
            <v>44547</v>
          </cell>
          <cell r="E226" t="str">
            <v>Raw Material</v>
          </cell>
          <cell r="F226" t="str">
            <v>Closed</v>
          </cell>
          <cell r="G226">
            <v>24480</v>
          </cell>
        </row>
        <row r="227">
          <cell r="C227" t="str">
            <v>KAPE-IB-112508-18-12-2021</v>
          </cell>
          <cell r="D227">
            <v>44548</v>
          </cell>
          <cell r="E227" t="str">
            <v>Raw Material</v>
          </cell>
          <cell r="F227" t="str">
            <v>Closed</v>
          </cell>
          <cell r="G227">
            <v>18144</v>
          </cell>
        </row>
        <row r="228">
          <cell r="C228" t="str">
            <v>KAPE-IB-112505-18-12-2021</v>
          </cell>
          <cell r="D228">
            <v>44548</v>
          </cell>
          <cell r="E228" t="str">
            <v>Raw Material</v>
          </cell>
          <cell r="F228" t="str">
            <v>Closed</v>
          </cell>
          <cell r="G228">
            <v>18144</v>
          </cell>
        </row>
        <row r="229">
          <cell r="C229" t="str">
            <v>KAPE-IB-115712-23-12-2021</v>
          </cell>
          <cell r="D229">
            <v>44553</v>
          </cell>
          <cell r="E229" t="str">
            <v>Raw Material</v>
          </cell>
          <cell r="F229" t="str">
            <v>Closed</v>
          </cell>
          <cell r="G229">
            <v>24480</v>
          </cell>
        </row>
        <row r="230">
          <cell r="C230" t="str">
            <v>KAPE-IB-116715-24-12-2021</v>
          </cell>
          <cell r="D230">
            <v>44554</v>
          </cell>
          <cell r="E230" t="str">
            <v>Raw Material</v>
          </cell>
          <cell r="F230" t="str">
            <v>Closed</v>
          </cell>
          <cell r="G230">
            <v>6300</v>
          </cell>
        </row>
        <row r="231">
          <cell r="C231" t="str">
            <v>KAPE-IB-116727-24-12-2021</v>
          </cell>
          <cell r="D231">
            <v>44554</v>
          </cell>
          <cell r="E231" t="str">
            <v>Raw Material</v>
          </cell>
          <cell r="F231" t="str">
            <v>Closed</v>
          </cell>
          <cell r="G231">
            <v>8000</v>
          </cell>
        </row>
        <row r="232">
          <cell r="C232" t="str">
            <v>KAPW-IB-96455-28-12-2021</v>
          </cell>
          <cell r="D232">
            <v>44558</v>
          </cell>
          <cell r="E232" t="str">
            <v>Raw Material</v>
          </cell>
          <cell r="F232" t="str">
            <v>Closed</v>
          </cell>
          <cell r="G232">
            <v>12960</v>
          </cell>
        </row>
        <row r="233">
          <cell r="C233" t="str">
            <v>KPAF-IB-33775-28-12-2021</v>
          </cell>
          <cell r="D233">
            <v>44558</v>
          </cell>
          <cell r="E233" t="str">
            <v>Raw Material</v>
          </cell>
          <cell r="F233" t="str">
            <v>Closed</v>
          </cell>
          <cell r="G233">
            <v>230.4</v>
          </cell>
        </row>
        <row r="234">
          <cell r="C234" t="str">
            <v>KAPW-IB-97856-30-12-2021</v>
          </cell>
          <cell r="D234">
            <v>44560</v>
          </cell>
          <cell r="E234" t="str">
            <v>Raw Material</v>
          </cell>
          <cell r="F234" t="str">
            <v>Closed</v>
          </cell>
          <cell r="G234">
            <v>3000</v>
          </cell>
        </row>
        <row r="235">
          <cell r="C235" t="str">
            <v>KAPE-IB-120641-31-12-2021</v>
          </cell>
          <cell r="D235">
            <v>44561</v>
          </cell>
          <cell r="E235" t="str">
            <v>Raw Material</v>
          </cell>
          <cell r="F235" t="str">
            <v>Closed</v>
          </cell>
          <cell r="G235">
            <v>20173.400000000001</v>
          </cell>
        </row>
        <row r="236">
          <cell r="C236" t="str">
            <v>KAPE-IB-120597-31-12-2021</v>
          </cell>
          <cell r="D236">
            <v>44561</v>
          </cell>
          <cell r="E236" t="str">
            <v>Raw Material</v>
          </cell>
          <cell r="F236" t="str">
            <v>Closed</v>
          </cell>
          <cell r="G236">
            <v>59805.1</v>
          </cell>
        </row>
        <row r="237">
          <cell r="C237" t="str">
            <v>KAPE-IB-120523-31-12-2021</v>
          </cell>
          <cell r="D237">
            <v>44561</v>
          </cell>
          <cell r="E237" t="str">
            <v>Raw Material</v>
          </cell>
          <cell r="F237" t="str">
            <v>Closed</v>
          </cell>
          <cell r="G237">
            <v>19836.400000000001</v>
          </cell>
        </row>
        <row r="238">
          <cell r="C238" t="str">
            <v>KPAF-IB-34697-31-12-2021</v>
          </cell>
          <cell r="D238">
            <v>44561</v>
          </cell>
          <cell r="E238" t="str">
            <v>Raw Material</v>
          </cell>
          <cell r="F238" t="str">
            <v>Closed</v>
          </cell>
          <cell r="G238">
            <v>300</v>
          </cell>
        </row>
        <row r="239">
          <cell r="C239" t="str">
            <v>KAPE-IB-121219-03-01-2022</v>
          </cell>
          <cell r="D239">
            <v>44564</v>
          </cell>
          <cell r="E239" t="str">
            <v>Raw Material</v>
          </cell>
          <cell r="F239" t="str">
            <v>Closed</v>
          </cell>
          <cell r="G239">
            <v>54432</v>
          </cell>
        </row>
        <row r="240">
          <cell r="C240" t="str">
            <v>KAPE-IB-121234-03-01-2022</v>
          </cell>
          <cell r="D240">
            <v>44564</v>
          </cell>
          <cell r="E240" t="str">
            <v>Raw Material</v>
          </cell>
          <cell r="F240" t="str">
            <v>Closed</v>
          </cell>
          <cell r="G240">
            <v>24480</v>
          </cell>
        </row>
        <row r="241">
          <cell r="C241" t="str">
            <v>KAPE-IB-121250-03-01-2022</v>
          </cell>
          <cell r="D241">
            <v>44564</v>
          </cell>
          <cell r="E241" t="str">
            <v>Raw Material</v>
          </cell>
          <cell r="F241" t="str">
            <v>Closed</v>
          </cell>
          <cell r="G241">
            <v>36288</v>
          </cell>
        </row>
        <row r="242">
          <cell r="C242" t="str">
            <v>KAPE-IB-121223-03-01-2022</v>
          </cell>
          <cell r="D242">
            <v>44564</v>
          </cell>
          <cell r="E242" t="str">
            <v>Raw Material</v>
          </cell>
          <cell r="F242" t="str">
            <v>Closed</v>
          </cell>
          <cell r="G242">
            <v>24120</v>
          </cell>
        </row>
        <row r="243">
          <cell r="C243" t="str">
            <v>KAPE-IB-121585-04-01-2022</v>
          </cell>
          <cell r="D243">
            <v>44565</v>
          </cell>
          <cell r="E243" t="str">
            <v>Raw Material</v>
          </cell>
          <cell r="F243" t="str">
            <v>Closed</v>
          </cell>
          <cell r="G243">
            <v>24480</v>
          </cell>
        </row>
        <row r="244">
          <cell r="C244" t="str">
            <v>KAPE-IB-123067-05-01-2022</v>
          </cell>
          <cell r="D244">
            <v>44566</v>
          </cell>
          <cell r="E244" t="str">
            <v>Raw Material</v>
          </cell>
          <cell r="F244" t="str">
            <v>Closed</v>
          </cell>
          <cell r="G244">
            <v>90720</v>
          </cell>
        </row>
        <row r="245">
          <cell r="C245" t="str">
            <v>KAPE-IB-123078-05-01-2022</v>
          </cell>
          <cell r="D245">
            <v>44566</v>
          </cell>
          <cell r="E245" t="str">
            <v>Raw Material</v>
          </cell>
          <cell r="F245" t="str">
            <v>Closed</v>
          </cell>
          <cell r="G245">
            <v>18144</v>
          </cell>
        </row>
        <row r="246">
          <cell r="C246" t="str">
            <v>KAPW-IB-104471-11-01-2022</v>
          </cell>
          <cell r="D246">
            <v>44572</v>
          </cell>
          <cell r="E246" t="str">
            <v>Raw Material</v>
          </cell>
          <cell r="F246" t="str">
            <v>Closed</v>
          </cell>
          <cell r="G246">
            <v>24480</v>
          </cell>
        </row>
        <row r="247">
          <cell r="C247" t="str">
            <v>KAPE-IB-126926-11-01-2022</v>
          </cell>
          <cell r="D247">
            <v>44572</v>
          </cell>
          <cell r="E247" t="str">
            <v>Raw Material</v>
          </cell>
          <cell r="F247" t="str">
            <v>Closed</v>
          </cell>
          <cell r="G247">
            <v>36288</v>
          </cell>
        </row>
        <row r="248">
          <cell r="C248" t="str">
            <v>KAPW-IB-105006-11-01-2022</v>
          </cell>
          <cell r="D248">
            <v>44572</v>
          </cell>
          <cell r="E248" t="str">
            <v>Raw Material</v>
          </cell>
          <cell r="F248" t="str">
            <v>Closed</v>
          </cell>
          <cell r="G248">
            <v>2000</v>
          </cell>
        </row>
        <row r="249">
          <cell r="C249" t="str">
            <v>KAPE-IB-127747-12-01-2022</v>
          </cell>
          <cell r="D249">
            <v>44573</v>
          </cell>
          <cell r="E249" t="str">
            <v>Raw Material</v>
          </cell>
          <cell r="F249" t="str">
            <v>Closed</v>
          </cell>
          <cell r="G249">
            <v>19452.599999999999</v>
          </cell>
        </row>
        <row r="250">
          <cell r="C250" t="str">
            <v>KAPE-IB-127793-12-01-2022</v>
          </cell>
          <cell r="D250">
            <v>44573</v>
          </cell>
          <cell r="E250" t="str">
            <v>Raw Material</v>
          </cell>
          <cell r="F250" t="str">
            <v>Closed</v>
          </cell>
          <cell r="G250">
            <v>6625</v>
          </cell>
        </row>
        <row r="251">
          <cell r="C251" t="str">
            <v>KAPW-IB-106492-13-01-2022</v>
          </cell>
          <cell r="D251">
            <v>44574</v>
          </cell>
          <cell r="E251" t="str">
            <v>Raw Material</v>
          </cell>
          <cell r="F251" t="str">
            <v>Closed</v>
          </cell>
          <cell r="G251">
            <v>8456</v>
          </cell>
        </row>
        <row r="252">
          <cell r="C252" t="str">
            <v>KAPE-IB-128667-13-01-2022</v>
          </cell>
          <cell r="D252">
            <v>44574</v>
          </cell>
          <cell r="E252" t="str">
            <v>Raw Material</v>
          </cell>
          <cell r="F252" t="str">
            <v>Closed</v>
          </cell>
          <cell r="G252">
            <v>77526.7</v>
          </cell>
        </row>
        <row r="253">
          <cell r="C253" t="str">
            <v>KAPE-IB-128635-13-01-2022</v>
          </cell>
          <cell r="D253">
            <v>44574</v>
          </cell>
          <cell r="E253" t="str">
            <v>Raw Material</v>
          </cell>
          <cell r="F253" t="str">
            <v>Closed</v>
          </cell>
          <cell r="G253">
            <v>18703.8</v>
          </cell>
        </row>
        <row r="254">
          <cell r="C254" t="str">
            <v>KAPE-IB-128644-13-01-2022</v>
          </cell>
          <cell r="D254">
            <v>44574</v>
          </cell>
          <cell r="E254" t="str">
            <v>Raw Material</v>
          </cell>
          <cell r="F254" t="str">
            <v>Closed</v>
          </cell>
          <cell r="G254">
            <v>20160</v>
          </cell>
        </row>
        <row r="255">
          <cell r="C255" t="str">
            <v>KAPE-IB-130078-14-01-2022</v>
          </cell>
          <cell r="D255">
            <v>44575</v>
          </cell>
          <cell r="E255" t="str">
            <v>Raw Material</v>
          </cell>
          <cell r="F255" t="str">
            <v>Closed</v>
          </cell>
          <cell r="G255">
            <v>3000</v>
          </cell>
        </row>
        <row r="256">
          <cell r="C256" t="str">
            <v>KAPW-IB-106716-14-01-2022</v>
          </cell>
          <cell r="D256">
            <v>44575</v>
          </cell>
          <cell r="E256" t="str">
            <v>Raw Material</v>
          </cell>
          <cell r="F256" t="str">
            <v>Closed</v>
          </cell>
          <cell r="G256">
            <v>23100</v>
          </cell>
        </row>
        <row r="257">
          <cell r="C257" t="str">
            <v>KAPW-IB-106693-14-01-2022</v>
          </cell>
          <cell r="D257">
            <v>44575</v>
          </cell>
          <cell r="E257" t="str">
            <v>Raw Material</v>
          </cell>
          <cell r="F257" t="str">
            <v>Closed</v>
          </cell>
          <cell r="G257">
            <v>23100</v>
          </cell>
        </row>
        <row r="258">
          <cell r="C258" t="str">
            <v>KAPE-IB-129594-14-01-2022</v>
          </cell>
          <cell r="D258">
            <v>44575</v>
          </cell>
          <cell r="E258" t="str">
            <v>Raw Material</v>
          </cell>
          <cell r="F258" t="str">
            <v>Closed</v>
          </cell>
          <cell r="G258">
            <v>13000</v>
          </cell>
        </row>
        <row r="259">
          <cell r="C259" t="str">
            <v>KAPE-IB-129589-14-01-2022</v>
          </cell>
          <cell r="D259">
            <v>44575</v>
          </cell>
          <cell r="E259" t="str">
            <v>Raw Material</v>
          </cell>
          <cell r="F259" t="str">
            <v>Closed</v>
          </cell>
          <cell r="G259">
            <v>18000</v>
          </cell>
        </row>
        <row r="260">
          <cell r="C260" t="str">
            <v>KAPE-IB-129656-14-01-2022</v>
          </cell>
          <cell r="D260">
            <v>44575</v>
          </cell>
          <cell r="E260" t="str">
            <v>Raw Material</v>
          </cell>
          <cell r="F260" t="str">
            <v>Closed</v>
          </cell>
          <cell r="G260">
            <v>20260</v>
          </cell>
        </row>
        <row r="261">
          <cell r="C261" t="str">
            <v>KAPE-IB-129603-14-01-2022</v>
          </cell>
          <cell r="D261">
            <v>44575</v>
          </cell>
          <cell r="E261" t="str">
            <v>Raw Material</v>
          </cell>
          <cell r="F261" t="str">
            <v>Closed</v>
          </cell>
          <cell r="G261">
            <v>48000</v>
          </cell>
        </row>
        <row r="262">
          <cell r="C262" t="str">
            <v>KAPW-IB-108998-18-01-2022</v>
          </cell>
          <cell r="D262">
            <v>44579</v>
          </cell>
          <cell r="E262" t="str">
            <v>Raw Material</v>
          </cell>
          <cell r="F262" t="str">
            <v>Closed</v>
          </cell>
          <cell r="G262">
            <v>5040</v>
          </cell>
        </row>
        <row r="263">
          <cell r="C263" t="str">
            <v>KAPW-IB-109021-18-01-2022</v>
          </cell>
          <cell r="D263">
            <v>44579</v>
          </cell>
          <cell r="E263" t="str">
            <v>Raw Material</v>
          </cell>
          <cell r="F263" t="str">
            <v>Closed</v>
          </cell>
          <cell r="G263">
            <v>12000</v>
          </cell>
        </row>
        <row r="264">
          <cell r="C264" t="str">
            <v>KAPE-IB-132411-19-01-2022</v>
          </cell>
          <cell r="D264">
            <v>44580</v>
          </cell>
          <cell r="E264" t="str">
            <v>Raw Material</v>
          </cell>
          <cell r="F264" t="str">
            <v>Closed</v>
          </cell>
          <cell r="G264">
            <v>24120</v>
          </cell>
        </row>
        <row r="265">
          <cell r="C265" t="str">
            <v>KAPE-IB-133444-20-01-2022</v>
          </cell>
          <cell r="D265">
            <v>44581</v>
          </cell>
          <cell r="E265" t="str">
            <v>Raw Material</v>
          </cell>
          <cell r="F265" t="str">
            <v>Closed</v>
          </cell>
          <cell r="G265">
            <v>23000</v>
          </cell>
        </row>
        <row r="266">
          <cell r="C266" t="str">
            <v>KAPE-IB-135162-25-01-2022</v>
          </cell>
          <cell r="D266">
            <v>44586</v>
          </cell>
          <cell r="E266" t="str">
            <v>Raw Material</v>
          </cell>
          <cell r="F266" t="str">
            <v>Closed</v>
          </cell>
          <cell r="G266">
            <v>1525</v>
          </cell>
        </row>
        <row r="267">
          <cell r="C267" t="str">
            <v>KAPE-IB-135157-25-01-2022</v>
          </cell>
          <cell r="D267">
            <v>44586</v>
          </cell>
          <cell r="E267" t="str">
            <v>Raw Material</v>
          </cell>
          <cell r="F267" t="str">
            <v>Closed</v>
          </cell>
          <cell r="G267">
            <v>36000</v>
          </cell>
        </row>
        <row r="268">
          <cell r="C268" t="str">
            <v>KAPE-IB-135164-25-01-2022</v>
          </cell>
          <cell r="D268">
            <v>44586</v>
          </cell>
          <cell r="E268" t="str">
            <v>Raw Material</v>
          </cell>
          <cell r="F268" t="str">
            <v>Closed</v>
          </cell>
          <cell r="G268">
            <v>24120</v>
          </cell>
        </row>
        <row r="269">
          <cell r="C269" t="str">
            <v>KAPE-IB-136944-27-01-2022</v>
          </cell>
          <cell r="D269">
            <v>44588</v>
          </cell>
          <cell r="E269" t="str">
            <v>Raw Material</v>
          </cell>
          <cell r="F269" t="str">
            <v>Closed</v>
          </cell>
          <cell r="G269">
            <v>7035</v>
          </cell>
        </row>
        <row r="270">
          <cell r="C270" t="str">
            <v>KAPE-IB-137929-28-01-2022</v>
          </cell>
          <cell r="D270">
            <v>44589</v>
          </cell>
          <cell r="E270" t="str">
            <v>Raw Material</v>
          </cell>
          <cell r="F270" t="str">
            <v>Closed</v>
          </cell>
          <cell r="G270">
            <v>23100</v>
          </cell>
        </row>
        <row r="271">
          <cell r="C271" t="str">
            <v>KAPW-IB-113511-28-01-2022</v>
          </cell>
          <cell r="D271">
            <v>44589</v>
          </cell>
          <cell r="E271" t="str">
            <v>Raw Material</v>
          </cell>
          <cell r="F271" t="str">
            <v>Closed</v>
          </cell>
          <cell r="G271">
            <v>23100</v>
          </cell>
        </row>
        <row r="272">
          <cell r="C272" t="str">
            <v>KAPW-IB-114076-31-01-2022</v>
          </cell>
          <cell r="D272">
            <v>44592</v>
          </cell>
          <cell r="E272" t="str">
            <v>Raw Material</v>
          </cell>
          <cell r="F272" t="str">
            <v>Closed</v>
          </cell>
          <cell r="G272">
            <v>24480</v>
          </cell>
        </row>
        <row r="273">
          <cell r="C273" t="str">
            <v>KAPW-IB-114600-31-01-2022</v>
          </cell>
          <cell r="D273">
            <v>44592</v>
          </cell>
          <cell r="E273" t="str">
            <v>Raw Material</v>
          </cell>
          <cell r="F273" t="str">
            <v>Closed</v>
          </cell>
          <cell r="G273">
            <v>18200</v>
          </cell>
        </row>
        <row r="274">
          <cell r="C274" t="str">
            <v>KAPE-IB-141471-02-02-2022</v>
          </cell>
          <cell r="D274">
            <v>44594</v>
          </cell>
          <cell r="E274" t="str">
            <v>Raw Material</v>
          </cell>
          <cell r="F274" t="str">
            <v>Closed</v>
          </cell>
          <cell r="G274">
            <v>57132.800000000003</v>
          </cell>
        </row>
        <row r="275">
          <cell r="C275" t="str">
            <v>KAPW-IB-115923-02-02-2022</v>
          </cell>
          <cell r="D275">
            <v>44594</v>
          </cell>
          <cell r="E275" t="str">
            <v>Raw Material</v>
          </cell>
          <cell r="F275" t="str">
            <v>Closed</v>
          </cell>
          <cell r="G275">
            <v>3058</v>
          </cell>
        </row>
        <row r="276">
          <cell r="C276" t="str">
            <v>KAPE-IB-142689-03-02-2022</v>
          </cell>
          <cell r="D276">
            <v>44595</v>
          </cell>
          <cell r="E276" t="str">
            <v>Raw Material</v>
          </cell>
          <cell r="F276" t="str">
            <v>Closed</v>
          </cell>
          <cell r="G276">
            <v>18000</v>
          </cell>
        </row>
        <row r="277">
          <cell r="C277" t="str">
            <v>KAPW-IB-118811-07-02-2022</v>
          </cell>
          <cell r="D277">
            <v>44599</v>
          </cell>
          <cell r="E277" t="str">
            <v>Raw Material</v>
          </cell>
          <cell r="F277" t="str">
            <v>Closed</v>
          </cell>
          <cell r="G277">
            <v>24480</v>
          </cell>
        </row>
        <row r="278">
          <cell r="C278" t="str">
            <v>KAPE-IB-145470-07-02-2022</v>
          </cell>
          <cell r="D278">
            <v>44599</v>
          </cell>
          <cell r="E278" t="str">
            <v>Raw Material</v>
          </cell>
          <cell r="F278" t="str">
            <v>Closed</v>
          </cell>
          <cell r="G278">
            <v>5020</v>
          </cell>
        </row>
        <row r="279">
          <cell r="C279" t="str">
            <v>KAPW-IB-119605-08-02-2022</v>
          </cell>
          <cell r="D279">
            <v>44600</v>
          </cell>
          <cell r="E279" t="str">
            <v>Raw Material</v>
          </cell>
          <cell r="F279" t="str">
            <v>Closed</v>
          </cell>
          <cell r="G279">
            <v>18200</v>
          </cell>
        </row>
        <row r="280">
          <cell r="C280" t="str">
            <v>KAPW-IB-122139-11-02-2022</v>
          </cell>
          <cell r="D280">
            <v>44603</v>
          </cell>
          <cell r="E280" t="str">
            <v>Raw Material</v>
          </cell>
          <cell r="F280" t="str">
            <v>Closed</v>
          </cell>
          <cell r="G280">
            <v>24120</v>
          </cell>
        </row>
        <row r="281">
          <cell r="C281" t="str">
            <v>KAPW-IB-122238-11-02-2022</v>
          </cell>
          <cell r="D281">
            <v>44603</v>
          </cell>
          <cell r="E281" t="str">
            <v>Raw Material</v>
          </cell>
          <cell r="F281" t="str">
            <v>Closed</v>
          </cell>
          <cell r="G281">
            <v>24120</v>
          </cell>
        </row>
        <row r="282">
          <cell r="C282" t="str">
            <v>KAPE-IB-148901-12-02-2022</v>
          </cell>
          <cell r="D282">
            <v>44604</v>
          </cell>
          <cell r="E282" t="str">
            <v>Raw Material</v>
          </cell>
          <cell r="F282" t="str">
            <v>Closed</v>
          </cell>
          <cell r="G282">
            <v>12000</v>
          </cell>
        </row>
        <row r="283">
          <cell r="C283" t="str">
            <v>KAPE-IB-151471-16-02-2022</v>
          </cell>
          <cell r="D283">
            <v>44608</v>
          </cell>
          <cell r="E283" t="str">
            <v>Raw Material</v>
          </cell>
          <cell r="F283" t="str">
            <v>Closed</v>
          </cell>
          <cell r="G283">
            <v>19470.099999999999</v>
          </cell>
        </row>
        <row r="284">
          <cell r="C284" t="str">
            <v>KAPE-IB-151452-16-02-2022</v>
          </cell>
          <cell r="D284">
            <v>44608</v>
          </cell>
          <cell r="E284" t="str">
            <v>Raw Material</v>
          </cell>
          <cell r="F284" t="str">
            <v>Closed</v>
          </cell>
          <cell r="G284">
            <v>38166.300000000003</v>
          </cell>
        </row>
        <row r="285">
          <cell r="C285" t="str">
            <v>KAPW-IB-125939-17-02-2022</v>
          </cell>
          <cell r="D285">
            <v>44609</v>
          </cell>
          <cell r="E285" t="str">
            <v>Raw Material</v>
          </cell>
          <cell r="F285" t="str">
            <v>Closed</v>
          </cell>
          <cell r="G285">
            <v>7000</v>
          </cell>
        </row>
        <row r="286">
          <cell r="C286" t="str">
            <v>KAPE-IB-152435-17-02-2022</v>
          </cell>
          <cell r="D286">
            <v>44609</v>
          </cell>
          <cell r="E286" t="str">
            <v>Raw Material</v>
          </cell>
          <cell r="F286" t="str">
            <v>Closed</v>
          </cell>
          <cell r="G286">
            <v>18957</v>
          </cell>
        </row>
        <row r="287">
          <cell r="C287" t="str">
            <v>KAPE-IB-152427-17-02-2022</v>
          </cell>
          <cell r="D287">
            <v>44609</v>
          </cell>
          <cell r="E287" t="str">
            <v>Raw Material</v>
          </cell>
          <cell r="F287" t="str">
            <v>Closed</v>
          </cell>
          <cell r="G287">
            <v>20374.2</v>
          </cell>
        </row>
        <row r="288">
          <cell r="C288" t="str">
            <v>KAPW-IB-127797-21-02-2022</v>
          </cell>
          <cell r="D288">
            <v>44613</v>
          </cell>
          <cell r="E288" t="str">
            <v>Raw Material</v>
          </cell>
          <cell r="F288" t="str">
            <v>Closed</v>
          </cell>
          <cell r="G288">
            <v>24480</v>
          </cell>
        </row>
        <row r="289">
          <cell r="C289" t="str">
            <v>KPAF-IB-43364-21-02-2022</v>
          </cell>
          <cell r="D289">
            <v>44613</v>
          </cell>
          <cell r="E289" t="str">
            <v>Raw Material</v>
          </cell>
          <cell r="F289" t="str">
            <v>Closed</v>
          </cell>
          <cell r="G289">
            <v>3921</v>
          </cell>
        </row>
        <row r="290">
          <cell r="C290" t="str">
            <v>KAPE-IB-152440-17-02-2022</v>
          </cell>
          <cell r="D290">
            <v>44609</v>
          </cell>
          <cell r="E290" t="str">
            <v>Raw Material</v>
          </cell>
          <cell r="F290" t="str">
            <v>Closed</v>
          </cell>
          <cell r="G290">
            <v>19505.2</v>
          </cell>
        </row>
        <row r="291">
          <cell r="C291" t="str">
            <v>KAPE-IB-156182-22-02-2022</v>
          </cell>
          <cell r="D291">
            <v>44614</v>
          </cell>
          <cell r="E291" t="str">
            <v>Raw Material</v>
          </cell>
          <cell r="F291" t="str">
            <v>Closed</v>
          </cell>
          <cell r="G291">
            <v>300</v>
          </cell>
        </row>
        <row r="292">
          <cell r="C292" t="str">
            <v>KPAF-IB-44114-24-02-2022</v>
          </cell>
          <cell r="D292">
            <v>44616</v>
          </cell>
          <cell r="E292" t="str">
            <v>Raw Material</v>
          </cell>
          <cell r="F292" t="str">
            <v>Closed</v>
          </cell>
          <cell r="G292">
            <v>1537</v>
          </cell>
        </row>
        <row r="293">
          <cell r="C293" t="str">
            <v>KAPE-IB-158262-24-02-2022</v>
          </cell>
          <cell r="D293">
            <v>44616</v>
          </cell>
          <cell r="E293" t="str">
            <v>Raw Material</v>
          </cell>
          <cell r="F293" t="str">
            <v>Closed</v>
          </cell>
          <cell r="G293">
            <v>950</v>
          </cell>
        </row>
        <row r="294">
          <cell r="C294" t="str">
            <v>KAPW-IB-130911-25-02-2022</v>
          </cell>
          <cell r="D294">
            <v>44617</v>
          </cell>
          <cell r="E294" t="str">
            <v>Packing Material</v>
          </cell>
          <cell r="F294" t="str">
            <v>Closed</v>
          </cell>
          <cell r="G294">
            <v>5280.7</v>
          </cell>
        </row>
        <row r="295">
          <cell r="C295" t="str">
            <v>KAPE-IB-159014-25-02-2022</v>
          </cell>
          <cell r="D295">
            <v>44617</v>
          </cell>
          <cell r="E295" t="str">
            <v>Raw Material</v>
          </cell>
          <cell r="F295" t="str">
            <v>Closed</v>
          </cell>
          <cell r="G295">
            <v>39619.199999999997</v>
          </cell>
        </row>
        <row r="296">
          <cell r="C296" t="str">
            <v>KPAF-IB-45390-03-03-2022</v>
          </cell>
          <cell r="D296">
            <v>44623</v>
          </cell>
          <cell r="E296" t="str">
            <v>Raw Material</v>
          </cell>
          <cell r="F296" t="str">
            <v>Closed</v>
          </cell>
          <cell r="G296">
            <v>490</v>
          </cell>
        </row>
        <row r="297">
          <cell r="C297" t="str">
            <v>KAPW-IB-132406-01-03-2022</v>
          </cell>
          <cell r="D297">
            <v>44621</v>
          </cell>
          <cell r="E297" t="str">
            <v>Raw Material</v>
          </cell>
          <cell r="F297" t="str">
            <v>Closed</v>
          </cell>
          <cell r="G297">
            <v>2400</v>
          </cell>
        </row>
        <row r="298">
          <cell r="C298" t="str">
            <v>KAPE-IB-162555-02-03-2022</v>
          </cell>
          <cell r="D298">
            <v>44622</v>
          </cell>
          <cell r="E298" t="str">
            <v>Raw Material</v>
          </cell>
          <cell r="F298" t="str">
            <v>Closed</v>
          </cell>
          <cell r="G298">
            <v>11070</v>
          </cell>
        </row>
        <row r="299">
          <cell r="C299" t="str">
            <v>KAPW-IB-132268-01-03-2022</v>
          </cell>
          <cell r="D299">
            <v>44621</v>
          </cell>
          <cell r="E299" t="str">
            <v>Raw Material</v>
          </cell>
          <cell r="F299" t="str">
            <v>Closed</v>
          </cell>
          <cell r="G299">
            <v>1818</v>
          </cell>
        </row>
        <row r="300">
          <cell r="C300" t="str">
            <v>KAPW-IB-132362-01-03-2022</v>
          </cell>
          <cell r="D300">
            <v>44621</v>
          </cell>
          <cell r="E300" t="str">
            <v>Raw Material</v>
          </cell>
          <cell r="F300" t="str">
            <v>Closed</v>
          </cell>
          <cell r="G300">
            <v>1633</v>
          </cell>
        </row>
        <row r="301">
          <cell r="C301" t="str">
            <v>KAPW-IB-133587-03-03-2022</v>
          </cell>
          <cell r="D301">
            <v>44623</v>
          </cell>
          <cell r="E301" t="str">
            <v>Raw Material</v>
          </cell>
          <cell r="F301" t="str">
            <v>Closed</v>
          </cell>
          <cell r="G301">
            <v>5000</v>
          </cell>
        </row>
        <row r="302">
          <cell r="C302" t="str">
            <v>KAPE-IB-164920-07-03-2022</v>
          </cell>
          <cell r="D302">
            <v>44627</v>
          </cell>
          <cell r="E302" t="str">
            <v>Raw Material</v>
          </cell>
          <cell r="F302" t="str">
            <v>Closed</v>
          </cell>
          <cell r="G302">
            <v>19980</v>
          </cell>
        </row>
        <row r="303">
          <cell r="C303" t="str">
            <v>KAPE-IB-168611-14-03-2022</v>
          </cell>
          <cell r="D303">
            <v>44634</v>
          </cell>
          <cell r="E303" t="str">
            <v>Raw Material</v>
          </cell>
          <cell r="F303" t="str">
            <v>Closed</v>
          </cell>
          <cell r="G303">
            <v>18000</v>
          </cell>
        </row>
        <row r="304">
          <cell r="C304" t="str">
            <v>KAPE-IB-168698-14-03-2022</v>
          </cell>
          <cell r="D304">
            <v>44634</v>
          </cell>
          <cell r="E304" t="str">
            <v>Raw Material</v>
          </cell>
          <cell r="F304" t="str">
            <v>Closed</v>
          </cell>
          <cell r="G304">
            <v>49000</v>
          </cell>
        </row>
        <row r="305">
          <cell r="C305" t="str">
            <v>KPAF-IB-44674-28-02-2022</v>
          </cell>
          <cell r="D305">
            <v>44620</v>
          </cell>
          <cell r="E305" t="str">
            <v>Raw Material</v>
          </cell>
          <cell r="F305" t="str">
            <v>Closed</v>
          </cell>
          <cell r="G305">
            <v>108.86199999999999</v>
          </cell>
        </row>
        <row r="306">
          <cell r="C306" t="str">
            <v>KAPW-IB-136039-09-03-2022</v>
          </cell>
          <cell r="D306">
            <v>44629</v>
          </cell>
          <cell r="E306" t="str">
            <v>Raw Material</v>
          </cell>
          <cell r="F306" t="str">
            <v>Closed</v>
          </cell>
          <cell r="G306">
            <v>24480</v>
          </cell>
        </row>
        <row r="307">
          <cell r="C307" t="str">
            <v>KAPW-IB-137115-11-03-2022</v>
          </cell>
          <cell r="D307">
            <v>44631</v>
          </cell>
          <cell r="E307" t="str">
            <v>Raw Material</v>
          </cell>
          <cell r="F307" t="str">
            <v>Closed</v>
          </cell>
          <cell r="G307">
            <v>40200</v>
          </cell>
        </row>
        <row r="308">
          <cell r="C308" t="str">
            <v>KAPE-IB-168621-14-03-2022</v>
          </cell>
          <cell r="D308">
            <v>44634</v>
          </cell>
          <cell r="E308" t="str">
            <v>Raw Material</v>
          </cell>
          <cell r="F308" t="str">
            <v>Closed</v>
          </cell>
          <cell r="G308">
            <v>23600</v>
          </cell>
        </row>
        <row r="309">
          <cell r="C309" t="str">
            <v>KAPE-IB-170365-15-03-2022</v>
          </cell>
          <cell r="D309">
            <v>44635</v>
          </cell>
          <cell r="E309" t="str">
            <v>Raw Material</v>
          </cell>
          <cell r="F309" t="str">
            <v>Closed</v>
          </cell>
          <cell r="G309">
            <v>12000</v>
          </cell>
        </row>
        <row r="310">
          <cell r="C310" t="str">
            <v>KAPE-IB-170407-15-03-2022</v>
          </cell>
          <cell r="D310">
            <v>44635</v>
          </cell>
          <cell r="E310" t="str">
            <v>Raw Material</v>
          </cell>
          <cell r="F310" t="str">
            <v>Closed</v>
          </cell>
          <cell r="G310">
            <v>11025</v>
          </cell>
        </row>
        <row r="311">
          <cell r="C311" t="str">
            <v>KAPE-IB-172975-19-03-2022</v>
          </cell>
          <cell r="D311">
            <v>44639</v>
          </cell>
          <cell r="E311" t="str">
            <v>Raw Material</v>
          </cell>
          <cell r="F311" t="str">
            <v>Closed</v>
          </cell>
          <cell r="G311">
            <v>19800</v>
          </cell>
        </row>
        <row r="312">
          <cell r="C312" t="str">
            <v>KAPE-IB-173183-21-03-2022</v>
          </cell>
          <cell r="D312">
            <v>44641</v>
          </cell>
          <cell r="E312" t="str">
            <v>Raw Material</v>
          </cell>
          <cell r="F312" t="str">
            <v>Closed</v>
          </cell>
          <cell r="G312">
            <v>19800</v>
          </cell>
        </row>
        <row r="313">
          <cell r="C313" t="str">
            <v>KAPW-IB-139123-15-03-2022</v>
          </cell>
          <cell r="D313">
            <v>44635</v>
          </cell>
          <cell r="E313" t="str">
            <v>Raw Material</v>
          </cell>
          <cell r="F313" t="str">
            <v>Closed</v>
          </cell>
          <cell r="G313">
            <v>325</v>
          </cell>
        </row>
        <row r="314">
          <cell r="C314" t="str">
            <v>KAPW-IB-141429-19-03-2022</v>
          </cell>
          <cell r="D314">
            <v>44639</v>
          </cell>
          <cell r="E314" t="str">
            <v>Raw Material</v>
          </cell>
          <cell r="F314" t="str">
            <v>Closed</v>
          </cell>
          <cell r="G314">
            <v>1250</v>
          </cell>
        </row>
        <row r="315">
          <cell r="C315" t="str">
            <v>KAPE-IB-175040-24-03-2022</v>
          </cell>
          <cell r="D315">
            <v>44644</v>
          </cell>
          <cell r="E315" t="str">
            <v>Raw Material</v>
          </cell>
          <cell r="F315" t="str">
            <v>Closed</v>
          </cell>
          <cell r="G315">
            <v>24000</v>
          </cell>
        </row>
        <row r="316">
          <cell r="C316" t="str">
            <v>KAPE-IB-175214-24-03-2022</v>
          </cell>
          <cell r="D316">
            <v>44644</v>
          </cell>
          <cell r="E316" t="str">
            <v>Raw Material</v>
          </cell>
          <cell r="F316" t="str">
            <v>Closed</v>
          </cell>
          <cell r="G316">
            <v>5000</v>
          </cell>
        </row>
        <row r="317">
          <cell r="C317" t="str">
            <v>KAPE-IB-172195-18-03-2022</v>
          </cell>
          <cell r="D317">
            <v>44638</v>
          </cell>
          <cell r="E317" t="str">
            <v>Raw Material</v>
          </cell>
          <cell r="F317" t="str">
            <v>Closed</v>
          </cell>
          <cell r="G317">
            <v>25600</v>
          </cell>
        </row>
        <row r="318">
          <cell r="C318" t="str">
            <v>KAPE-IB-175199-24-03-2022</v>
          </cell>
          <cell r="D318">
            <v>44644</v>
          </cell>
          <cell r="E318" t="str">
            <v>Raw Material</v>
          </cell>
          <cell r="F318" t="str">
            <v>Closed</v>
          </cell>
          <cell r="G318">
            <v>48960</v>
          </cell>
        </row>
        <row r="319">
          <cell r="C319" t="str">
            <v>KAPE-IB-175809-25-03-2022</v>
          </cell>
          <cell r="D319">
            <v>44645</v>
          </cell>
          <cell r="E319" t="str">
            <v>Raw Material</v>
          </cell>
          <cell r="F319" t="str">
            <v>Closed</v>
          </cell>
          <cell r="G319">
            <v>40020</v>
          </cell>
        </row>
        <row r="320">
          <cell r="C320" t="str">
            <v>KAPW-IB-143787-25-03-2022</v>
          </cell>
          <cell r="D320">
            <v>44645</v>
          </cell>
          <cell r="E320" t="str">
            <v>Raw Material</v>
          </cell>
          <cell r="F320" t="str">
            <v>Closed</v>
          </cell>
          <cell r="G320">
            <v>13000</v>
          </cell>
        </row>
        <row r="321">
          <cell r="C321" t="str">
            <v>KPAF-IB-50262-29-03-2022</v>
          </cell>
          <cell r="D321">
            <v>44649</v>
          </cell>
          <cell r="E321" t="str">
            <v>Raw Material</v>
          </cell>
          <cell r="F321" t="str">
            <v>Closed</v>
          </cell>
          <cell r="G321">
            <v>400</v>
          </cell>
        </row>
        <row r="322">
          <cell r="C322" t="str">
            <v>KAPE-IB-178010-29-03-2022</v>
          </cell>
          <cell r="D322">
            <v>44649</v>
          </cell>
          <cell r="E322" t="str">
            <v>Raw Material</v>
          </cell>
          <cell r="F322" t="str">
            <v>Closed</v>
          </cell>
          <cell r="G322">
            <v>10155</v>
          </cell>
        </row>
        <row r="323">
          <cell r="C323" t="str">
            <v>KAPE-IB-177711-29-03-2022</v>
          </cell>
          <cell r="D323">
            <v>44649</v>
          </cell>
          <cell r="E323" t="str">
            <v>Raw Material</v>
          </cell>
          <cell r="F323" t="str">
            <v>Closed</v>
          </cell>
          <cell r="G323">
            <v>12000</v>
          </cell>
        </row>
        <row r="324">
          <cell r="C324" t="str">
            <v>KAPE-IB-177816-29-03-2022</v>
          </cell>
          <cell r="D324">
            <v>44649</v>
          </cell>
          <cell r="E324" t="str">
            <v>Raw Material</v>
          </cell>
          <cell r="F324" t="str">
            <v>Closed</v>
          </cell>
          <cell r="G324">
            <v>24480</v>
          </cell>
        </row>
        <row r="325">
          <cell r="C325" t="str">
            <v>KAPE-IB-178580-30-03-2022</v>
          </cell>
          <cell r="D325">
            <v>44650</v>
          </cell>
          <cell r="E325" t="str">
            <v>Raw Material</v>
          </cell>
          <cell r="F325" t="str">
            <v>Closed</v>
          </cell>
          <cell r="G325">
            <v>24480</v>
          </cell>
        </row>
        <row r="326">
          <cell r="C326" t="str">
            <v>KAPW-IB-147499-31-03-2022</v>
          </cell>
          <cell r="D326">
            <v>44651</v>
          </cell>
          <cell r="E326" t="str">
            <v>Raw Material</v>
          </cell>
          <cell r="F326" t="str">
            <v>Closed</v>
          </cell>
          <cell r="G326">
            <v>64864.800000000003</v>
          </cell>
        </row>
        <row r="327">
          <cell r="C327" t="str">
            <v>KAPE-IB-176878-28-03-2022</v>
          </cell>
          <cell r="D327">
            <v>44648</v>
          </cell>
          <cell r="E327" t="str">
            <v>Raw Material</v>
          </cell>
          <cell r="F327" t="str">
            <v>Closed</v>
          </cell>
          <cell r="G327">
            <v>24000</v>
          </cell>
        </row>
        <row r="328">
          <cell r="C328" t="str">
            <v>KAPE-IB-181191-04-04-2022</v>
          </cell>
          <cell r="D328">
            <v>44655</v>
          </cell>
          <cell r="E328" t="str">
            <v>Raw Material</v>
          </cell>
          <cell r="F328" t="str">
            <v>Closed</v>
          </cell>
          <cell r="G328">
            <v>20010</v>
          </cell>
        </row>
        <row r="329">
          <cell r="C329" t="str">
            <v>KAPE-IB-182040-05-04-2022</v>
          </cell>
          <cell r="D329">
            <v>44656</v>
          </cell>
          <cell r="E329" t="str">
            <v>Raw Material</v>
          </cell>
          <cell r="F329" t="str">
            <v>Closed</v>
          </cell>
          <cell r="G329">
            <v>12000</v>
          </cell>
        </row>
        <row r="330">
          <cell r="C330" t="str">
            <v>KAPE-IB-182264-06-04-2022</v>
          </cell>
          <cell r="D330">
            <v>44657</v>
          </cell>
          <cell r="E330" t="str">
            <v>Raw Material</v>
          </cell>
          <cell r="F330" t="str">
            <v>Closed</v>
          </cell>
          <cell r="G330">
            <v>3450</v>
          </cell>
        </row>
        <row r="331">
          <cell r="C331" t="str">
            <v>KPAF-IB-52645-11-04-2022</v>
          </cell>
          <cell r="D331">
            <v>44662</v>
          </cell>
          <cell r="E331" t="str">
            <v>Raw Material</v>
          </cell>
          <cell r="F331" t="str">
            <v>Closed</v>
          </cell>
          <cell r="G331">
            <v>450</v>
          </cell>
        </row>
        <row r="332">
          <cell r="C332" t="str">
            <v>KAPE-IB-187220-15-04-2022</v>
          </cell>
          <cell r="D332">
            <v>44666</v>
          </cell>
          <cell r="E332" t="str">
            <v>Raw Material</v>
          </cell>
          <cell r="F332" t="str">
            <v>Closed</v>
          </cell>
          <cell r="G332">
            <v>91846</v>
          </cell>
        </row>
        <row r="333">
          <cell r="C333" t="str">
            <v>KAPE-IB-188953-18-04-2022</v>
          </cell>
          <cell r="D333">
            <v>44669</v>
          </cell>
          <cell r="E333" t="str">
            <v>Raw Material</v>
          </cell>
          <cell r="F333" t="str">
            <v>Closed</v>
          </cell>
          <cell r="G333">
            <v>17977.8</v>
          </cell>
        </row>
        <row r="334">
          <cell r="C334" t="str">
            <v>KAPE-IB-188943-18-04-2022</v>
          </cell>
          <cell r="D334">
            <v>44669</v>
          </cell>
          <cell r="E334" t="str">
            <v>Raw Material</v>
          </cell>
          <cell r="F334" t="str">
            <v>Closed</v>
          </cell>
          <cell r="G334">
            <v>35731.300000000003</v>
          </cell>
        </row>
        <row r="335">
          <cell r="C335" t="str">
            <v>KAPW-IB-154711-18-04-2022</v>
          </cell>
          <cell r="D335">
            <v>44669</v>
          </cell>
          <cell r="E335" t="str">
            <v>Raw Material</v>
          </cell>
          <cell r="F335" t="str">
            <v>Closed</v>
          </cell>
          <cell r="G335">
            <v>40981.300000000003</v>
          </cell>
        </row>
        <row r="336">
          <cell r="C336" t="str">
            <v>KAPW-IB-157282-21-04-2022</v>
          </cell>
          <cell r="D336">
            <v>44672</v>
          </cell>
          <cell r="E336" t="str">
            <v>Raw Material</v>
          </cell>
          <cell r="F336" t="str">
            <v>Closed</v>
          </cell>
          <cell r="G336">
            <v>18000</v>
          </cell>
        </row>
        <row r="337">
          <cell r="C337" t="str">
            <v>KAPE-IB-193166-25-04-2022</v>
          </cell>
          <cell r="D337">
            <v>44676</v>
          </cell>
          <cell r="E337" t="str">
            <v>Raw Material</v>
          </cell>
          <cell r="F337" t="str">
            <v>Closed</v>
          </cell>
          <cell r="G337">
            <v>18447.099999999999</v>
          </cell>
        </row>
        <row r="338">
          <cell r="C338" t="str">
            <v>KAPW-IB-156911-21-04-2022</v>
          </cell>
          <cell r="D338">
            <v>44672</v>
          </cell>
          <cell r="E338" t="str">
            <v>Raw Material</v>
          </cell>
          <cell r="F338" t="str">
            <v>Closed</v>
          </cell>
          <cell r="G338">
            <v>12000</v>
          </cell>
        </row>
        <row r="339">
          <cell r="C339" t="str">
            <v>KAPW-IB-157408-22-04-2022</v>
          </cell>
          <cell r="D339">
            <v>44673</v>
          </cell>
          <cell r="E339" t="str">
            <v>Raw Material</v>
          </cell>
          <cell r="F339" t="str">
            <v>Closed</v>
          </cell>
          <cell r="G339">
            <v>154</v>
          </cell>
        </row>
        <row r="340">
          <cell r="C340" t="str">
            <v>KAPE-IB-193652-26-04-2022</v>
          </cell>
          <cell r="D340">
            <v>44677</v>
          </cell>
          <cell r="E340" t="str">
            <v>Raw Material</v>
          </cell>
          <cell r="F340" t="str">
            <v>Closed</v>
          </cell>
          <cell r="G340">
            <v>65250</v>
          </cell>
        </row>
        <row r="341">
          <cell r="C341" t="str">
            <v>KAPE-IB-191342-21-04-2022</v>
          </cell>
          <cell r="D341">
            <v>44672</v>
          </cell>
          <cell r="E341" t="str">
            <v>Raw Material</v>
          </cell>
          <cell r="F341" t="str">
            <v>Closed</v>
          </cell>
          <cell r="G341">
            <v>2750</v>
          </cell>
        </row>
        <row r="342">
          <cell r="C342" t="str">
            <v>KAPE-IB-193852-26-04-2022</v>
          </cell>
          <cell r="D342">
            <v>44677</v>
          </cell>
          <cell r="E342" t="str">
            <v>Raw Material</v>
          </cell>
          <cell r="F342" t="str">
            <v>Closed</v>
          </cell>
          <cell r="G342">
            <v>25600</v>
          </cell>
        </row>
        <row r="343">
          <cell r="C343" t="str">
            <v>KAPE-IB-196703-29-04-2022</v>
          </cell>
          <cell r="D343">
            <v>44680</v>
          </cell>
          <cell r="E343" t="str">
            <v>Raw Material</v>
          </cell>
          <cell r="F343" t="str">
            <v>Closed</v>
          </cell>
          <cell r="G343">
            <v>56000</v>
          </cell>
        </row>
        <row r="344">
          <cell r="C344" t="str">
            <v>KAPE-IB-196874-29-04-2022</v>
          </cell>
          <cell r="D344">
            <v>44680</v>
          </cell>
          <cell r="E344" t="str">
            <v>Raw Material</v>
          </cell>
          <cell r="F344" t="str">
            <v>Closed</v>
          </cell>
          <cell r="G344">
            <v>36131.9</v>
          </cell>
        </row>
        <row r="345">
          <cell r="C345" t="str">
            <v>KPAF-IB-56483-06-05-2022</v>
          </cell>
          <cell r="D345">
            <v>44687</v>
          </cell>
          <cell r="E345" t="str">
            <v>Raw Material</v>
          </cell>
          <cell r="F345" t="str">
            <v>Closed</v>
          </cell>
          <cell r="G345">
            <v>1350</v>
          </cell>
        </row>
        <row r="346">
          <cell r="C346" t="str">
            <v>KAPE-IB-199558-09-05-2022</v>
          </cell>
          <cell r="D346">
            <v>44690</v>
          </cell>
          <cell r="E346" t="str">
            <v>Raw Material</v>
          </cell>
          <cell r="F346" t="str">
            <v>Closed</v>
          </cell>
          <cell r="G346">
            <v>18566.400000000001</v>
          </cell>
        </row>
        <row r="347">
          <cell r="C347" t="str">
            <v>KAPE-IB-199160-09-05-2022</v>
          </cell>
          <cell r="D347">
            <v>44690</v>
          </cell>
          <cell r="E347" t="str">
            <v>Raw Material</v>
          </cell>
          <cell r="F347" t="str">
            <v>Closed</v>
          </cell>
          <cell r="G347">
            <v>43908.480000000003</v>
          </cell>
        </row>
        <row r="348">
          <cell r="C348" t="str">
            <v>KAPW-IB-164566-10-05-2022</v>
          </cell>
          <cell r="D348">
            <v>44691</v>
          </cell>
          <cell r="E348" t="str">
            <v>Raw Material</v>
          </cell>
          <cell r="F348" t="str">
            <v>Closed</v>
          </cell>
          <cell r="G348">
            <v>17808</v>
          </cell>
        </row>
        <row r="349">
          <cell r="C349" t="str">
            <v>KAPE-IB-203232-12-05-2022</v>
          </cell>
          <cell r="D349">
            <v>44693</v>
          </cell>
          <cell r="E349" t="str">
            <v>Raw Material</v>
          </cell>
          <cell r="F349" t="str">
            <v>Closed</v>
          </cell>
          <cell r="G349">
            <v>21770</v>
          </cell>
        </row>
        <row r="350">
          <cell r="C350" t="str">
            <v>KAPE-IB-202132-11-05-2022</v>
          </cell>
          <cell r="D350">
            <v>44692</v>
          </cell>
          <cell r="E350" t="str">
            <v>Raw Material</v>
          </cell>
          <cell r="F350" t="str">
            <v>Closed</v>
          </cell>
          <cell r="G350">
            <v>25600</v>
          </cell>
        </row>
        <row r="351">
          <cell r="C351" t="str">
            <v>KAPE-IB-195567-28-04-2022</v>
          </cell>
          <cell r="D351">
            <v>44679</v>
          </cell>
          <cell r="E351" t="str">
            <v>Raw Material</v>
          </cell>
          <cell r="F351" t="str">
            <v>Closed</v>
          </cell>
          <cell r="G351">
            <v>2310</v>
          </cell>
        </row>
        <row r="352">
          <cell r="C352" t="str">
            <v>KAPW-IB-165948-11-05-2022</v>
          </cell>
          <cell r="D352">
            <v>44692</v>
          </cell>
          <cell r="E352" t="str">
            <v>Raw Material</v>
          </cell>
          <cell r="F352" t="str">
            <v>Closed</v>
          </cell>
          <cell r="G352">
            <v>18200</v>
          </cell>
        </row>
        <row r="353">
          <cell r="C353" t="str">
            <v>KAPW-IB-165902-11-05-2022</v>
          </cell>
          <cell r="D353">
            <v>44692</v>
          </cell>
          <cell r="E353" t="str">
            <v>Raw Material</v>
          </cell>
          <cell r="F353" t="str">
            <v>Closed</v>
          </cell>
          <cell r="G353">
            <v>62950</v>
          </cell>
        </row>
        <row r="354">
          <cell r="C354" t="str">
            <v>KAPW-IB-170426-18-05-2022</v>
          </cell>
          <cell r="D354">
            <v>44699</v>
          </cell>
          <cell r="E354" t="str">
            <v>Raw Material</v>
          </cell>
          <cell r="F354" t="str">
            <v>Closed</v>
          </cell>
          <cell r="G354">
            <v>360</v>
          </cell>
        </row>
        <row r="355">
          <cell r="C355" t="str">
            <v>KAPE-IB-207742-18-05-2022</v>
          </cell>
          <cell r="D355">
            <v>44699</v>
          </cell>
          <cell r="E355" t="str">
            <v>Raw Material</v>
          </cell>
          <cell r="F355" t="str">
            <v>Closed</v>
          </cell>
          <cell r="G355">
            <v>125</v>
          </cell>
        </row>
        <row r="356">
          <cell r="C356" t="str">
            <v>KAPE-IB-209585-23-05-2022</v>
          </cell>
          <cell r="D356">
            <v>44704</v>
          </cell>
          <cell r="E356" t="str">
            <v>Raw Material</v>
          </cell>
          <cell r="F356" t="str">
            <v>Closed</v>
          </cell>
          <cell r="G356">
            <v>18528</v>
          </cell>
        </row>
        <row r="357">
          <cell r="C357" t="str">
            <v>KAPE-IB-209572-23-05-2022</v>
          </cell>
          <cell r="D357">
            <v>44704</v>
          </cell>
          <cell r="E357" t="str">
            <v>Raw Material</v>
          </cell>
          <cell r="F357" t="str">
            <v>Closed</v>
          </cell>
          <cell r="G357">
            <v>18461.2</v>
          </cell>
        </row>
        <row r="358">
          <cell r="C358" t="str">
            <v>KAPE-IB-212426-26-05-2022</v>
          </cell>
          <cell r="D358">
            <v>44707</v>
          </cell>
          <cell r="E358" t="str">
            <v>Raw Material</v>
          </cell>
          <cell r="F358" t="str">
            <v>Closed</v>
          </cell>
          <cell r="G358">
            <v>12000</v>
          </cell>
        </row>
        <row r="359">
          <cell r="C359" t="str">
            <v>KAPW-IB-174152-26-05-2022</v>
          </cell>
          <cell r="D359">
            <v>44738</v>
          </cell>
          <cell r="E359" t="str">
            <v>Raw Material</v>
          </cell>
          <cell r="F359" t="str">
            <v>Closed</v>
          </cell>
          <cell r="G359">
            <v>39009.599999999999</v>
          </cell>
        </row>
        <row r="360">
          <cell r="C360" t="str">
            <v>KAPE-IB-213507-30-05-2022</v>
          </cell>
          <cell r="D360">
            <v>44711</v>
          </cell>
          <cell r="E360" t="str">
            <v>Raw Material</v>
          </cell>
          <cell r="F360" t="str">
            <v>Closed</v>
          </cell>
          <cell r="G360">
            <v>18462</v>
          </cell>
        </row>
        <row r="361">
          <cell r="C361" t="str">
            <v>KAPW-IB-176924-02-06-2022</v>
          </cell>
          <cell r="D361">
            <v>44714</v>
          </cell>
          <cell r="E361" t="str">
            <v>Raw Material</v>
          </cell>
          <cell r="F361" t="str">
            <v>Closed</v>
          </cell>
          <cell r="G361">
            <v>19380</v>
          </cell>
        </row>
        <row r="362">
          <cell r="C362" t="str">
            <v>KAPE-IB-219641-07-06-2022</v>
          </cell>
          <cell r="D362">
            <v>44719</v>
          </cell>
          <cell r="E362" t="str">
            <v>Raw Material</v>
          </cell>
          <cell r="F362" t="str">
            <v>Closed</v>
          </cell>
          <cell r="G362">
            <v>61200</v>
          </cell>
        </row>
        <row r="363">
          <cell r="C363" t="str">
            <v>KAPE-IB-219669-07-06-2022</v>
          </cell>
          <cell r="D363">
            <v>44719</v>
          </cell>
          <cell r="E363" t="str">
            <v>Raw Material</v>
          </cell>
          <cell r="F363" t="str">
            <v>Closed</v>
          </cell>
          <cell r="G363">
            <v>24000</v>
          </cell>
        </row>
        <row r="364">
          <cell r="C364" t="str">
            <v>KAPE-IB-219687-07-06-2022</v>
          </cell>
          <cell r="D364">
            <v>44719</v>
          </cell>
          <cell r="E364" t="str">
            <v>Raw Material</v>
          </cell>
          <cell r="F364" t="str">
            <v>Closed</v>
          </cell>
          <cell r="G364">
            <v>14300</v>
          </cell>
        </row>
        <row r="365">
          <cell r="C365" t="str">
            <v>KAPW-IB-178347-06-06-2022</v>
          </cell>
          <cell r="D365">
            <v>44718</v>
          </cell>
          <cell r="E365" t="str">
            <v>Raw Material</v>
          </cell>
          <cell r="F365" t="str">
            <v>Closed</v>
          </cell>
          <cell r="G365">
            <v>36400</v>
          </cell>
        </row>
        <row r="366">
          <cell r="C366" t="str">
            <v>KAPE-IB-218987-07-06-2022</v>
          </cell>
          <cell r="D366">
            <v>44719</v>
          </cell>
          <cell r="E366" t="str">
            <v>Raw Material</v>
          </cell>
          <cell r="F366" t="str">
            <v>Closed</v>
          </cell>
          <cell r="G366">
            <v>485300</v>
          </cell>
        </row>
        <row r="367">
          <cell r="C367" t="str">
            <v>KAPW-IB-182158-13-06-2022</v>
          </cell>
          <cell r="D367">
            <v>44715</v>
          </cell>
          <cell r="E367" t="str">
            <v>Raw Material</v>
          </cell>
          <cell r="F367" t="str">
            <v>Closed</v>
          </cell>
          <cell r="G367">
            <v>3201</v>
          </cell>
        </row>
        <row r="368">
          <cell r="C368" t="str">
            <v>KAPW-IB-182586-14-06-2022</v>
          </cell>
          <cell r="D368">
            <v>44726</v>
          </cell>
          <cell r="E368" t="str">
            <v>Raw Material</v>
          </cell>
          <cell r="F368" t="str">
            <v>Closed</v>
          </cell>
          <cell r="G368">
            <v>897</v>
          </cell>
        </row>
        <row r="369">
          <cell r="C369" t="str">
            <v>KAPE-IB-226952-21-06-2022</v>
          </cell>
          <cell r="D369">
            <v>44733</v>
          </cell>
          <cell r="E369" t="str">
            <v>Raw Material</v>
          </cell>
          <cell r="F369" t="str">
            <v>Closed</v>
          </cell>
          <cell r="G369">
            <v>24000</v>
          </cell>
        </row>
        <row r="370">
          <cell r="C370" t="str">
            <v>KAPE-IB-228399-22-06-2022</v>
          </cell>
          <cell r="D370">
            <v>44734</v>
          </cell>
          <cell r="E370" t="str">
            <v>Raw Material</v>
          </cell>
          <cell r="F370" t="str">
            <v>Closed</v>
          </cell>
          <cell r="G370">
            <v>25600</v>
          </cell>
        </row>
        <row r="371">
          <cell r="C371" t="str">
            <v>KAPW-IB-182881-14-06-2022</v>
          </cell>
          <cell r="D371">
            <v>44726</v>
          </cell>
          <cell r="E371" t="str">
            <v>Raw Material</v>
          </cell>
          <cell r="F371" t="str">
            <v>Closed</v>
          </cell>
          <cell r="G371">
            <v>475</v>
          </cell>
        </row>
        <row r="372">
          <cell r="C372" t="str">
            <v>KAPE-IB-226928-21-06-2022</v>
          </cell>
          <cell r="D372">
            <v>44733</v>
          </cell>
          <cell r="E372" t="str">
            <v>Raw Material</v>
          </cell>
          <cell r="F372" t="str">
            <v>Closed</v>
          </cell>
          <cell r="G372">
            <v>38288</v>
          </cell>
        </row>
        <row r="373">
          <cell r="C373" t="str">
            <v>KAPW-IB-187599-27-06-2022</v>
          </cell>
          <cell r="D373">
            <v>44739</v>
          </cell>
          <cell r="E373" t="str">
            <v>Raw Material</v>
          </cell>
          <cell r="F373" t="str">
            <v>Closed</v>
          </cell>
          <cell r="G373">
            <v>1805</v>
          </cell>
        </row>
        <row r="374">
          <cell r="C374" t="str">
            <v>KAPW-IB-188078-27-06-2022</v>
          </cell>
          <cell r="D374">
            <v>44739</v>
          </cell>
          <cell r="E374" t="str">
            <v>Raw Material</v>
          </cell>
          <cell r="F374" t="str">
            <v>Closed</v>
          </cell>
          <cell r="G374">
            <v>18200</v>
          </cell>
        </row>
        <row r="375">
          <cell r="C375" t="str">
            <v>KAPW-IB-190015-30-06-2022</v>
          </cell>
          <cell r="D375">
            <v>44742</v>
          </cell>
          <cell r="E375" t="str">
            <v>Raw Material</v>
          </cell>
          <cell r="F375" t="str">
            <v>Closed</v>
          </cell>
          <cell r="G375">
            <v>1500</v>
          </cell>
        </row>
        <row r="376">
          <cell r="C376" t="str">
            <v>KAPE-IB-2006-04-07-2022</v>
          </cell>
          <cell r="D376">
            <v>44746</v>
          </cell>
          <cell r="E376" t="str">
            <v>Raw Material</v>
          </cell>
          <cell r="F376" t="str">
            <v>Closed</v>
          </cell>
          <cell r="G376">
            <v>20137</v>
          </cell>
        </row>
        <row r="377">
          <cell r="C377" t="str">
            <v>KAPE-IB-1995-04-07-2022</v>
          </cell>
          <cell r="D377">
            <v>44746</v>
          </cell>
          <cell r="E377" t="str">
            <v>Raw Material</v>
          </cell>
          <cell r="F377" t="str">
            <v>Closed</v>
          </cell>
          <cell r="G377">
            <v>12000</v>
          </cell>
        </row>
        <row r="378">
          <cell r="C378" t="str">
            <v>KAPE-IB-3802-06-07-2022</v>
          </cell>
          <cell r="D378">
            <v>44748</v>
          </cell>
          <cell r="E378" t="str">
            <v>Raw Material</v>
          </cell>
          <cell r="F378" t="str">
            <v>Closed</v>
          </cell>
          <cell r="G378">
            <v>24000</v>
          </cell>
        </row>
        <row r="379">
          <cell r="C379" t="str">
            <v>KAPE-IB-3878-06-07-2022</v>
          </cell>
          <cell r="D379">
            <v>44748</v>
          </cell>
          <cell r="E379" t="str">
            <v>Raw Material</v>
          </cell>
          <cell r="F379" t="str">
            <v>Closed</v>
          </cell>
          <cell r="G379">
            <v>12000</v>
          </cell>
        </row>
        <row r="380">
          <cell r="C380" t="str">
            <v>KAPE-IB-4498-07-07-2022</v>
          </cell>
          <cell r="D380">
            <v>44749</v>
          </cell>
          <cell r="E380" t="str">
            <v>Raw Material</v>
          </cell>
          <cell r="F380" t="str">
            <v>Closed</v>
          </cell>
          <cell r="G380">
            <v>40800</v>
          </cell>
        </row>
        <row r="381">
          <cell r="C381" t="str">
            <v>KPAF-IB-1330-13-07-2022</v>
          </cell>
          <cell r="D381">
            <v>44755</v>
          </cell>
          <cell r="E381" t="str">
            <v>Raw Material</v>
          </cell>
          <cell r="F381" t="str">
            <v>Closed</v>
          </cell>
          <cell r="G381">
            <v>300</v>
          </cell>
        </row>
        <row r="382">
          <cell r="C382" t="str">
            <v>KAPE-IB-2011-04-07-2022</v>
          </cell>
          <cell r="D382">
            <v>44746</v>
          </cell>
          <cell r="E382" t="str">
            <v>Raw Material</v>
          </cell>
          <cell r="F382" t="str">
            <v>Closed</v>
          </cell>
          <cell r="G382">
            <v>20470</v>
          </cell>
        </row>
        <row r="383">
          <cell r="C383" t="str">
            <v>KAPW-IB-4709-14-07-2022</v>
          </cell>
          <cell r="D383">
            <v>44756</v>
          </cell>
          <cell r="E383" t="str">
            <v>Raw Material</v>
          </cell>
          <cell r="F383" t="str">
            <v>Closed</v>
          </cell>
          <cell r="G383">
            <v>26000</v>
          </cell>
        </row>
        <row r="384">
          <cell r="C384" t="str">
            <v>KAPE-IB-6713-15-07-2022</v>
          </cell>
          <cell r="D384">
            <v>44757</v>
          </cell>
          <cell r="E384" t="str">
            <v>Raw Material</v>
          </cell>
          <cell r="F384" t="str">
            <v>Closed</v>
          </cell>
          <cell r="G384">
            <v>225</v>
          </cell>
        </row>
        <row r="385">
          <cell r="C385" t="str">
            <v>KAPE-IB-8569-19-07-2022</v>
          </cell>
          <cell r="D385">
            <v>44761</v>
          </cell>
          <cell r="E385" t="str">
            <v>Raw Material</v>
          </cell>
          <cell r="F385" t="str">
            <v>Closed</v>
          </cell>
          <cell r="G385">
            <v>20148.8</v>
          </cell>
        </row>
        <row r="386">
          <cell r="C386" t="str">
            <v>KPFI-IB-1486-15-07-2022</v>
          </cell>
          <cell r="D386">
            <v>44757</v>
          </cell>
          <cell r="E386" t="str">
            <v>Packing Material</v>
          </cell>
          <cell r="F386" t="str">
            <v>Closed</v>
          </cell>
          <cell r="G386">
            <v>7.2</v>
          </cell>
        </row>
        <row r="387">
          <cell r="C387" t="str">
            <v>KPFI-IB-1486-15-07-2022</v>
          </cell>
          <cell r="D387">
            <v>44757</v>
          </cell>
          <cell r="E387" t="str">
            <v>Raw Material</v>
          </cell>
          <cell r="F387" t="str">
            <v>Closed</v>
          </cell>
          <cell r="G387">
            <v>39.36</v>
          </cell>
        </row>
        <row r="388">
          <cell r="C388" t="str">
            <v>KPFI-IB-1754-18-07-2022</v>
          </cell>
          <cell r="D388">
            <v>44760</v>
          </cell>
          <cell r="E388" t="str">
            <v>Raw Material</v>
          </cell>
          <cell r="F388" t="str">
            <v>Closed</v>
          </cell>
          <cell r="G388">
            <v>40</v>
          </cell>
        </row>
        <row r="389">
          <cell r="C389" t="str">
            <v>KPFI-IB-1749-18-07-2022</v>
          </cell>
          <cell r="D389">
            <v>44760</v>
          </cell>
          <cell r="E389" t="str">
            <v>Raw Material</v>
          </cell>
          <cell r="F389" t="str">
            <v>Closed</v>
          </cell>
          <cell r="G389">
            <v>75</v>
          </cell>
        </row>
        <row r="390">
          <cell r="C390" t="str">
            <v>KAPE-IB-9650-20-07-2022</v>
          </cell>
          <cell r="D390">
            <v>44762</v>
          </cell>
          <cell r="E390" t="str">
            <v>Raw Material</v>
          </cell>
          <cell r="F390" t="str">
            <v>Closed</v>
          </cell>
          <cell r="G390">
            <v>12000</v>
          </cell>
        </row>
        <row r="391">
          <cell r="C391" t="str">
            <v>KAPW-IB-8287-20-07-2022</v>
          </cell>
          <cell r="D391">
            <v>44762</v>
          </cell>
          <cell r="E391" t="str">
            <v>Packing Material</v>
          </cell>
          <cell r="F391" t="str">
            <v>Closed</v>
          </cell>
          <cell r="G391">
            <v>7532</v>
          </cell>
        </row>
        <row r="392">
          <cell r="C392" t="str">
            <v>KAPE-IB-12583-26-07-2022</v>
          </cell>
          <cell r="D392">
            <v>44768</v>
          </cell>
          <cell r="E392" t="str">
            <v>Raw Material</v>
          </cell>
          <cell r="F392" t="str">
            <v>Closed</v>
          </cell>
          <cell r="G392">
            <v>12000</v>
          </cell>
        </row>
        <row r="393">
          <cell r="C393" t="str">
            <v>KAPE-IB-10867-21-07-2022</v>
          </cell>
          <cell r="D393">
            <v>44763</v>
          </cell>
          <cell r="E393" t="str">
            <v>Raw Material</v>
          </cell>
          <cell r="F393" t="str">
            <v>Closed</v>
          </cell>
          <cell r="G393">
            <v>20732.919999999998</v>
          </cell>
        </row>
        <row r="394">
          <cell r="C394" t="str">
            <v>KAPE-IB-12604-26-07-2022</v>
          </cell>
          <cell r="D394">
            <v>44768</v>
          </cell>
          <cell r="E394" t="str">
            <v>Raw Material</v>
          </cell>
          <cell r="F394" t="str">
            <v>Closed</v>
          </cell>
          <cell r="G394">
            <v>14300</v>
          </cell>
        </row>
        <row r="395">
          <cell r="C395" t="str">
            <v>KAPE-IB-15088-29-07-2022</v>
          </cell>
          <cell r="D395">
            <v>44771</v>
          </cell>
          <cell r="E395" t="str">
            <v>Raw Material</v>
          </cell>
          <cell r="F395" t="str">
            <v>Closed</v>
          </cell>
          <cell r="G395">
            <v>24000</v>
          </cell>
        </row>
        <row r="396">
          <cell r="C396" t="str">
            <v>KAPE-IB-17173-02-08-2022</v>
          </cell>
          <cell r="D396">
            <v>44775</v>
          </cell>
          <cell r="E396" t="str">
            <v>Raw Material</v>
          </cell>
          <cell r="F396" t="str">
            <v>Closed</v>
          </cell>
          <cell r="G396">
            <v>10655</v>
          </cell>
        </row>
        <row r="397">
          <cell r="C397" t="str">
            <v>KAPE-IB-17136-02-08-2022</v>
          </cell>
          <cell r="D397">
            <v>44775</v>
          </cell>
          <cell r="E397" t="str">
            <v>Raw Material</v>
          </cell>
          <cell r="F397" t="str">
            <v>Closed</v>
          </cell>
          <cell r="G397">
            <v>20000</v>
          </cell>
        </row>
        <row r="398">
          <cell r="C398" t="str">
            <v>KAPW-IB-10863-26-07-2022</v>
          </cell>
          <cell r="D398">
            <v>44768</v>
          </cell>
          <cell r="E398" t="str">
            <v>Raw Material</v>
          </cell>
          <cell r="F398" t="str">
            <v>Closed</v>
          </cell>
          <cell r="G398">
            <v>4237.5</v>
          </cell>
        </row>
        <row r="399">
          <cell r="C399" t="str">
            <v>KAPW-IB-14373-02-08-2022</v>
          </cell>
          <cell r="D399">
            <v>44775</v>
          </cell>
          <cell r="E399" t="str">
            <v>Raw Material</v>
          </cell>
          <cell r="F399" t="str">
            <v>Closed</v>
          </cell>
          <cell r="G399">
            <v>18200</v>
          </cell>
        </row>
        <row r="400">
          <cell r="C400" t="str">
            <v>KAPW-IB-14182-02-08-2022</v>
          </cell>
          <cell r="D400">
            <v>44775</v>
          </cell>
          <cell r="E400" t="str">
            <v>Raw Material</v>
          </cell>
          <cell r="F400" t="str">
            <v>Closed</v>
          </cell>
          <cell r="G400">
            <v>38400</v>
          </cell>
        </row>
        <row r="401">
          <cell r="C401" t="str">
            <v>KAPE-IB-18161-03-08-2022</v>
          </cell>
          <cell r="D401">
            <v>44776</v>
          </cell>
          <cell r="E401" t="str">
            <v>Raw Material</v>
          </cell>
          <cell r="F401" t="str">
            <v>Closed</v>
          </cell>
          <cell r="G401">
            <v>15000</v>
          </cell>
        </row>
        <row r="402">
          <cell r="C402" t="str">
            <v>KAPW-IB-14172-02-08-2022</v>
          </cell>
          <cell r="D402">
            <v>44775</v>
          </cell>
          <cell r="E402" t="str">
            <v>Raw Material</v>
          </cell>
          <cell r="F402" t="str">
            <v>Closed</v>
          </cell>
          <cell r="G402">
            <v>57600</v>
          </cell>
        </row>
        <row r="403">
          <cell r="C403" t="str">
            <v>KAPE-IB-20059-06-08-2022</v>
          </cell>
          <cell r="D403">
            <v>44779</v>
          </cell>
          <cell r="E403" t="str">
            <v>Raw Material</v>
          </cell>
          <cell r="F403" t="str">
            <v>Closed</v>
          </cell>
          <cell r="G403">
            <v>4515</v>
          </cell>
        </row>
        <row r="404">
          <cell r="C404" t="str">
            <v>KAPE-IB-20052-06-08-2022</v>
          </cell>
          <cell r="D404">
            <v>44779</v>
          </cell>
          <cell r="E404" t="str">
            <v>Raw Material</v>
          </cell>
          <cell r="F404" t="str">
            <v>Closed</v>
          </cell>
          <cell r="G404">
            <v>3189</v>
          </cell>
        </row>
        <row r="405">
          <cell r="C405" t="str">
            <v>KAPW-IB-17639-11-08-2022</v>
          </cell>
          <cell r="D405">
            <v>44784</v>
          </cell>
          <cell r="E405" t="str">
            <v>Raw Material</v>
          </cell>
          <cell r="F405" t="str">
            <v>Closed</v>
          </cell>
          <cell r="G405">
            <v>18200</v>
          </cell>
        </row>
        <row r="406">
          <cell r="C406" t="str">
            <v>KAPE-IB-20806-10-08-2022</v>
          </cell>
          <cell r="D406">
            <v>44783</v>
          </cell>
          <cell r="E406" t="str">
            <v>Raw Material</v>
          </cell>
          <cell r="F406" t="str">
            <v>Closed</v>
          </cell>
          <cell r="G406">
            <v>12000</v>
          </cell>
        </row>
        <row r="407">
          <cell r="C407" t="str">
            <v>KAPE-IB-22786-12-08-2022</v>
          </cell>
          <cell r="D407">
            <v>44785</v>
          </cell>
          <cell r="E407" t="str">
            <v>Raw Material</v>
          </cell>
          <cell r="F407" t="str">
            <v>Closed</v>
          </cell>
          <cell r="G407">
            <v>18506</v>
          </cell>
        </row>
        <row r="408">
          <cell r="C408" t="str">
            <v>KAPE-IB-20079-06-08-2022</v>
          </cell>
          <cell r="D408">
            <v>44779</v>
          </cell>
          <cell r="E408" t="str">
            <v>Packing Material</v>
          </cell>
          <cell r="F408" t="str">
            <v>Closed</v>
          </cell>
          <cell r="G408">
            <v>74141.55</v>
          </cell>
        </row>
        <row r="409">
          <cell r="C409" t="str">
            <v>KAPE-IB-24256-16-08-2022</v>
          </cell>
          <cell r="D409">
            <v>44789</v>
          </cell>
          <cell r="E409" t="str">
            <v>Raw Material</v>
          </cell>
          <cell r="F409" t="str">
            <v>Closed</v>
          </cell>
          <cell r="G409">
            <v>24000</v>
          </cell>
        </row>
        <row r="410">
          <cell r="C410" t="str">
            <v>KAPW-IB-25951-25-08-2022</v>
          </cell>
          <cell r="D410">
            <v>44798</v>
          </cell>
          <cell r="E410" t="str">
            <v>Raw Material</v>
          </cell>
          <cell r="F410" t="str">
            <v>Closed</v>
          </cell>
          <cell r="G410">
            <v>650</v>
          </cell>
        </row>
        <row r="411">
          <cell r="C411" t="str">
            <v>KAPW-IB-24417-23-08-2022</v>
          </cell>
          <cell r="D411">
            <v>44704</v>
          </cell>
          <cell r="E411" t="str">
            <v>Raw Material</v>
          </cell>
          <cell r="F411" t="str">
            <v>Closed</v>
          </cell>
          <cell r="G411">
            <v>1000</v>
          </cell>
        </row>
        <row r="412">
          <cell r="C412" t="str">
            <v>KAPW-IB-27141-27-08-2022</v>
          </cell>
          <cell r="D412">
            <v>44800</v>
          </cell>
          <cell r="E412" t="str">
            <v>Raw Material</v>
          </cell>
          <cell r="F412" t="str">
            <v>Closed</v>
          </cell>
          <cell r="G412">
            <v>26000</v>
          </cell>
        </row>
        <row r="413">
          <cell r="C413" t="str">
            <v>KAPE-IB-35021-01-09-2022</v>
          </cell>
          <cell r="D413">
            <v>44805</v>
          </cell>
          <cell r="E413" t="str">
            <v>Raw Material</v>
          </cell>
          <cell r="F413" t="str">
            <v>Closed</v>
          </cell>
          <cell r="G413">
            <v>5000</v>
          </cell>
        </row>
        <row r="414">
          <cell r="C414" t="str">
            <v>KAPE-IB-40552-12-09-2022</v>
          </cell>
          <cell r="D414">
            <v>44816</v>
          </cell>
          <cell r="E414" t="str">
            <v>Raw Material</v>
          </cell>
          <cell r="F414" t="str">
            <v>Closed</v>
          </cell>
          <cell r="G414">
            <v>11070</v>
          </cell>
        </row>
        <row r="415">
          <cell r="C415" t="str">
            <v>KAPW-IB-34999-14-09-2022</v>
          </cell>
          <cell r="D415">
            <v>44818</v>
          </cell>
          <cell r="E415" t="str">
            <v>Raw Material</v>
          </cell>
          <cell r="F415" t="str">
            <v>Closed</v>
          </cell>
          <cell r="G415">
            <v>3000</v>
          </cell>
        </row>
        <row r="416">
          <cell r="C416" t="str">
            <v>KAPE-IB-44112-19-09-2022</v>
          </cell>
          <cell r="D416">
            <v>44823</v>
          </cell>
          <cell r="E416" t="str">
            <v>Raw Material</v>
          </cell>
          <cell r="F416" t="str">
            <v>Closed</v>
          </cell>
          <cell r="G416">
            <v>12000</v>
          </cell>
        </row>
        <row r="417">
          <cell r="C417" t="str">
            <v>KAPW-IB-36748-19-09-2022</v>
          </cell>
          <cell r="D417">
            <v>44823</v>
          </cell>
          <cell r="E417" t="str">
            <v>Raw Material</v>
          </cell>
          <cell r="F417" t="str">
            <v>Closed</v>
          </cell>
          <cell r="G417">
            <v>96000</v>
          </cell>
        </row>
        <row r="418">
          <cell r="C418" t="str">
            <v>KAPE-IB-45663-21-09-2022</v>
          </cell>
          <cell r="D418">
            <v>44825</v>
          </cell>
          <cell r="E418" t="str">
            <v>Packing Material</v>
          </cell>
          <cell r="F418" t="str">
            <v>Closed</v>
          </cell>
          <cell r="G418">
            <v>72244</v>
          </cell>
        </row>
        <row r="419">
          <cell r="C419" t="str">
            <v>KAPW-IB-36765-19-09-2022</v>
          </cell>
          <cell r="D419">
            <v>44823</v>
          </cell>
          <cell r="E419" t="str">
            <v>Raw Material</v>
          </cell>
          <cell r="F419" t="str">
            <v>Closed</v>
          </cell>
          <cell r="G419">
            <v>96000</v>
          </cell>
        </row>
        <row r="420">
          <cell r="C420" t="str">
            <v>KAPW-IB-40776-28-09-2022</v>
          </cell>
          <cell r="D420">
            <v>44832</v>
          </cell>
          <cell r="E420" t="str">
            <v>Raw Material</v>
          </cell>
          <cell r="F420" t="str">
            <v>Closed</v>
          </cell>
          <cell r="G420">
            <v>46200</v>
          </cell>
        </row>
        <row r="421">
          <cell r="C421" t="str">
            <v>KAPE-IB-44820-20-09-2022</v>
          </cell>
          <cell r="D421">
            <v>44824</v>
          </cell>
          <cell r="E421" t="str">
            <v>Raw Material</v>
          </cell>
          <cell r="F421" t="str">
            <v>Closed</v>
          </cell>
          <cell r="G421">
            <v>44000</v>
          </cell>
        </row>
        <row r="422">
          <cell r="C422" t="str">
            <v>KAPW-IB-40583-27-09-2022</v>
          </cell>
          <cell r="D422">
            <v>44831</v>
          </cell>
          <cell r="E422" t="str">
            <v>Raw Material</v>
          </cell>
          <cell r="F422" t="str">
            <v>Closed</v>
          </cell>
          <cell r="G422">
            <v>2000</v>
          </cell>
        </row>
        <row r="423">
          <cell r="C423" t="str">
            <v>KAPW-IB-40528-27-09-2022</v>
          </cell>
          <cell r="D423">
            <v>44831</v>
          </cell>
          <cell r="E423" t="str">
            <v>Raw Material</v>
          </cell>
          <cell r="F423" t="str">
            <v>Closed</v>
          </cell>
          <cell r="G423">
            <v>1000</v>
          </cell>
        </row>
        <row r="424">
          <cell r="C424" t="str">
            <v>KAPW-IB-40843-28-09-2022</v>
          </cell>
          <cell r="D424">
            <v>44832</v>
          </cell>
          <cell r="E424" t="str">
            <v>Raw Material</v>
          </cell>
          <cell r="F424" t="str">
            <v>Closed</v>
          </cell>
          <cell r="G424">
            <v>16000</v>
          </cell>
        </row>
        <row r="425">
          <cell r="C425" t="str">
            <v>KAPE-IB-52786-05-10-2022</v>
          </cell>
          <cell r="D425">
            <v>44839</v>
          </cell>
          <cell r="E425" t="str">
            <v>Raw Material</v>
          </cell>
          <cell r="F425" t="str">
            <v>Closed</v>
          </cell>
          <cell r="G425">
            <v>40320</v>
          </cell>
        </row>
        <row r="426">
          <cell r="C426" t="str">
            <v>KAPE-IB-54863-10-10-2022</v>
          </cell>
          <cell r="D426">
            <v>44844</v>
          </cell>
          <cell r="E426" t="str">
            <v>Raw Material</v>
          </cell>
          <cell r="F426" t="str">
            <v>Closed</v>
          </cell>
          <cell r="G426">
            <v>24480</v>
          </cell>
        </row>
        <row r="427">
          <cell r="C427" t="str">
            <v>KAPE-IB-56267-12-10-2022</v>
          </cell>
          <cell r="D427">
            <v>44846</v>
          </cell>
          <cell r="E427" t="str">
            <v>Raw Material</v>
          </cell>
          <cell r="F427" t="str">
            <v>Closed</v>
          </cell>
          <cell r="G427">
            <v>24480</v>
          </cell>
        </row>
        <row r="428">
          <cell r="C428" t="str">
            <v>KAPE-IB-55926-11-10-2022</v>
          </cell>
          <cell r="D428">
            <v>44845</v>
          </cell>
          <cell r="E428" t="str">
            <v>Raw Material</v>
          </cell>
          <cell r="F428" t="str">
            <v>Closed</v>
          </cell>
          <cell r="G428">
            <v>13000</v>
          </cell>
        </row>
        <row r="429">
          <cell r="C429" t="str">
            <v>KAPE-IB-58949-17-10-2022</v>
          </cell>
          <cell r="D429">
            <v>44851</v>
          </cell>
          <cell r="E429" t="str">
            <v>Raw Material</v>
          </cell>
          <cell r="F429" t="str">
            <v>Closed</v>
          </cell>
          <cell r="G429">
            <v>18000</v>
          </cell>
        </row>
        <row r="430">
          <cell r="C430" t="str">
            <v>KAPE-IB-58962-17-10-2022</v>
          </cell>
          <cell r="D430">
            <v>44851</v>
          </cell>
          <cell r="E430" t="str">
            <v>Raw Material</v>
          </cell>
          <cell r="F430" t="str">
            <v>Closed</v>
          </cell>
          <cell r="G430">
            <v>24480</v>
          </cell>
        </row>
        <row r="431">
          <cell r="C431" t="str">
            <v>KAPE-IB-53385-06-10-2022</v>
          </cell>
          <cell r="D431">
            <v>44840</v>
          </cell>
          <cell r="E431" t="str">
            <v>Raw Material</v>
          </cell>
          <cell r="F431" t="str">
            <v>Closed</v>
          </cell>
          <cell r="G431">
            <v>500</v>
          </cell>
        </row>
        <row r="432">
          <cell r="C432" t="str">
            <v>KPPI-IB-20546-17-10-2022</v>
          </cell>
          <cell r="D432">
            <v>44851</v>
          </cell>
          <cell r="E432" t="str">
            <v>Raw Material</v>
          </cell>
          <cell r="F432" t="str">
            <v>Closed</v>
          </cell>
          <cell r="G432">
            <v>22273</v>
          </cell>
        </row>
        <row r="433">
          <cell r="C433" t="str">
            <v>KPPI-IB-20535-17-10-2022</v>
          </cell>
          <cell r="D433">
            <v>44851</v>
          </cell>
          <cell r="E433" t="str">
            <v>Raw Material</v>
          </cell>
          <cell r="F433" t="str">
            <v>Closed</v>
          </cell>
          <cell r="G433">
            <v>158972</v>
          </cell>
        </row>
        <row r="434">
          <cell r="C434" t="str">
            <v>KAPE-IB-63343-24-10-2022</v>
          </cell>
          <cell r="D434">
            <v>44858</v>
          </cell>
          <cell r="E434" t="str">
            <v>Raw Material</v>
          </cell>
          <cell r="F434" t="str">
            <v>Closed</v>
          </cell>
          <cell r="G434">
            <v>4000</v>
          </cell>
        </row>
        <row r="435">
          <cell r="C435" t="str">
            <v>KAPE-IB-65524-27-10-2022</v>
          </cell>
          <cell r="D435">
            <v>44861</v>
          </cell>
          <cell r="E435" t="str">
            <v>Raw Material</v>
          </cell>
          <cell r="F435" t="str">
            <v>Closed</v>
          </cell>
          <cell r="G435">
            <v>58800</v>
          </cell>
        </row>
        <row r="436">
          <cell r="C436" t="str">
            <v>KAPW-IB-53419-26-10-2022</v>
          </cell>
          <cell r="D436">
            <v>44860</v>
          </cell>
          <cell r="E436" t="str">
            <v>Raw Material</v>
          </cell>
          <cell r="F436" t="str">
            <v>Closed</v>
          </cell>
          <cell r="G436">
            <v>500</v>
          </cell>
        </row>
        <row r="437">
          <cell r="C437" t="str">
            <v>KAPE-IB-65375-27-10-2022</v>
          </cell>
          <cell r="D437">
            <v>44861</v>
          </cell>
          <cell r="E437" t="str">
            <v>Raw Material</v>
          </cell>
          <cell r="F437" t="str">
            <v>Closed</v>
          </cell>
          <cell r="G437">
            <v>1906</v>
          </cell>
        </row>
        <row r="438">
          <cell r="C438" t="str">
            <v>KAPE-IB-65330-27-10-2022</v>
          </cell>
          <cell r="D438">
            <v>44861</v>
          </cell>
          <cell r="E438" t="str">
            <v>Raw Material</v>
          </cell>
          <cell r="F438" t="str">
            <v>Closed</v>
          </cell>
          <cell r="G438">
            <v>8756</v>
          </cell>
        </row>
        <row r="439">
          <cell r="C439" t="str">
            <v>KAPW-IB-54840-28-10-2022</v>
          </cell>
          <cell r="D439">
            <v>44862</v>
          </cell>
          <cell r="E439" t="str">
            <v>Raw Material</v>
          </cell>
          <cell r="F439" t="str">
            <v>Closed</v>
          </cell>
          <cell r="G439">
            <v>2000</v>
          </cell>
        </row>
        <row r="440">
          <cell r="C440" t="str">
            <v>KAPE-IB-68152-02-11-2022</v>
          </cell>
          <cell r="D440">
            <v>44867</v>
          </cell>
          <cell r="E440" t="str">
            <v>Raw Material</v>
          </cell>
          <cell r="F440" t="str">
            <v>Closed</v>
          </cell>
          <cell r="G440">
            <v>24480</v>
          </cell>
        </row>
        <row r="441">
          <cell r="C441" t="str">
            <v>KAPE-IB-69395-04-11-2022</v>
          </cell>
          <cell r="D441">
            <v>44869</v>
          </cell>
          <cell r="E441" t="str">
            <v>Raw Material</v>
          </cell>
          <cell r="F441" t="str">
            <v>Closed</v>
          </cell>
          <cell r="G441">
            <v>24480</v>
          </cell>
        </row>
        <row r="442">
          <cell r="C442" t="str">
            <v>KAPE-IB-70589-07-11-2022</v>
          </cell>
          <cell r="D442">
            <v>44872</v>
          </cell>
          <cell r="E442" t="str">
            <v>Raw Material</v>
          </cell>
          <cell r="F442" t="str">
            <v>Closed</v>
          </cell>
          <cell r="G442">
            <v>150</v>
          </cell>
        </row>
        <row r="443">
          <cell r="C443" t="str">
            <v>KAPE-IB-70582-07-11-2022</v>
          </cell>
          <cell r="D443">
            <v>44872</v>
          </cell>
          <cell r="E443" t="str">
            <v>Raw Material</v>
          </cell>
          <cell r="F443" t="str">
            <v>Closed</v>
          </cell>
          <cell r="G443">
            <v>24480</v>
          </cell>
        </row>
        <row r="444">
          <cell r="C444" t="str">
            <v>KAPE-IB-68147-02-11-2022</v>
          </cell>
          <cell r="D444">
            <v>44867</v>
          </cell>
          <cell r="E444" t="str">
            <v>Raw Material</v>
          </cell>
          <cell r="F444" t="str">
            <v>Closed</v>
          </cell>
          <cell r="G444">
            <v>24480</v>
          </cell>
        </row>
        <row r="445">
          <cell r="C445" t="str">
            <v>KAPE-IB-69401-04-11-2022</v>
          </cell>
          <cell r="D445">
            <v>44869</v>
          </cell>
          <cell r="E445" t="str">
            <v>Raw Material</v>
          </cell>
          <cell r="F445" t="str">
            <v>Closed</v>
          </cell>
          <cell r="G445">
            <v>24480</v>
          </cell>
        </row>
        <row r="446">
          <cell r="C446" t="str">
            <v>KAPW-IB-57245-04-11-2022</v>
          </cell>
          <cell r="D446">
            <v>44869</v>
          </cell>
          <cell r="E446" t="str">
            <v>Packing Material</v>
          </cell>
          <cell r="F446" t="str">
            <v>Closed</v>
          </cell>
          <cell r="G446">
            <v>6795</v>
          </cell>
        </row>
        <row r="447">
          <cell r="C447" t="str">
            <v>KAPE-IB-71811-10-11-2022</v>
          </cell>
          <cell r="D447">
            <v>44875</v>
          </cell>
          <cell r="E447" t="str">
            <v>Raw Material</v>
          </cell>
          <cell r="F447" t="str">
            <v>Closed</v>
          </cell>
          <cell r="G447">
            <v>209760</v>
          </cell>
        </row>
        <row r="448">
          <cell r="C448" t="str">
            <v>KPPI-IB-24375-07-11-2022</v>
          </cell>
          <cell r="D448">
            <v>44872</v>
          </cell>
          <cell r="E448" t="str">
            <v>Raw Material</v>
          </cell>
          <cell r="F448" t="str">
            <v>Closed</v>
          </cell>
          <cell r="G448">
            <v>100239</v>
          </cell>
        </row>
        <row r="449">
          <cell r="C449" t="str">
            <v>KPAF-IB-19849-14-11-2022</v>
          </cell>
          <cell r="D449">
            <v>44879</v>
          </cell>
          <cell r="E449" t="str">
            <v>Raw Material</v>
          </cell>
          <cell r="F449" t="str">
            <v>Closed</v>
          </cell>
          <cell r="G449">
            <v>230.4</v>
          </cell>
        </row>
        <row r="450">
          <cell r="C450" t="str">
            <v>KAPE-IB-73625-14-11-2022</v>
          </cell>
          <cell r="D450">
            <v>44879</v>
          </cell>
          <cell r="E450" t="str">
            <v>Raw Material</v>
          </cell>
          <cell r="F450" t="str">
            <v>Closed</v>
          </cell>
          <cell r="G450">
            <v>111307</v>
          </cell>
        </row>
        <row r="451">
          <cell r="C451" t="str">
            <v>KPPI-IB-25585-14-11-2022</v>
          </cell>
          <cell r="D451">
            <v>44879</v>
          </cell>
          <cell r="E451" t="str">
            <v>Raw Material</v>
          </cell>
          <cell r="F451" t="str">
            <v>Closed</v>
          </cell>
          <cell r="G451">
            <v>220013</v>
          </cell>
        </row>
        <row r="452">
          <cell r="C452" t="str">
            <v>KAPW-IB-65578-22-11-2022</v>
          </cell>
          <cell r="D452">
            <v>44887</v>
          </cell>
          <cell r="E452" t="str">
            <v>Raw Material</v>
          </cell>
          <cell r="F452" t="str">
            <v>Closed</v>
          </cell>
          <cell r="G452">
            <v>400</v>
          </cell>
        </row>
        <row r="453">
          <cell r="C453" t="str">
            <v>KPPI-IB-27083-21-11-2022</v>
          </cell>
          <cell r="D453">
            <v>44886</v>
          </cell>
          <cell r="E453" t="str">
            <v>Raw Material</v>
          </cell>
          <cell r="F453" t="str">
            <v>Closed</v>
          </cell>
          <cell r="G453">
            <v>304025</v>
          </cell>
        </row>
        <row r="454">
          <cell r="C454" t="str">
            <v>KPPI-IB-27637-23-11-2022</v>
          </cell>
          <cell r="D454">
            <v>44888</v>
          </cell>
          <cell r="E454" t="str">
            <v>Raw Material</v>
          </cell>
          <cell r="F454" t="str">
            <v>Closed</v>
          </cell>
          <cell r="G454">
            <v>155339</v>
          </cell>
        </row>
        <row r="455">
          <cell r="C455" t="str">
            <v>KAPW-IB-67755-26-11-2022</v>
          </cell>
          <cell r="D455">
            <v>44891</v>
          </cell>
          <cell r="E455" t="str">
            <v>Raw Material</v>
          </cell>
          <cell r="F455" t="str">
            <v>Closed</v>
          </cell>
          <cell r="G455">
            <v>209760</v>
          </cell>
        </row>
        <row r="456">
          <cell r="C456" t="str">
            <v>KAPW-IB-67708-26-11-2022</v>
          </cell>
          <cell r="D456">
            <v>44891</v>
          </cell>
          <cell r="E456" t="str">
            <v>Raw Material</v>
          </cell>
          <cell r="F456" t="str">
            <v>Closed</v>
          </cell>
          <cell r="G456">
            <v>3262</v>
          </cell>
        </row>
        <row r="457">
          <cell r="C457" t="str">
            <v>KAPW-IB-73558-08-12-2022</v>
          </cell>
          <cell r="D457">
            <v>44903</v>
          </cell>
          <cell r="E457" t="str">
            <v>Raw Material</v>
          </cell>
          <cell r="F457" t="str">
            <v>Closed</v>
          </cell>
          <cell r="G457">
            <v>7631.3</v>
          </cell>
        </row>
        <row r="458">
          <cell r="C458" t="str">
            <v>KAPE-IB-82182-28-11-2022</v>
          </cell>
          <cell r="D458">
            <v>44893</v>
          </cell>
          <cell r="E458" t="str">
            <v>Raw Material</v>
          </cell>
          <cell r="F458" t="str">
            <v>Closed</v>
          </cell>
          <cell r="G458">
            <v>6106</v>
          </cell>
        </row>
        <row r="459">
          <cell r="C459" t="str">
            <v>KAPE-IB-81883-28-11-2022</v>
          </cell>
          <cell r="D459">
            <v>44893</v>
          </cell>
          <cell r="E459" t="str">
            <v>Raw Material</v>
          </cell>
          <cell r="F459" t="str">
            <v>Closed</v>
          </cell>
          <cell r="G459">
            <v>183540</v>
          </cell>
        </row>
        <row r="460">
          <cell r="C460" t="str">
            <v>KPAF-IB-22405-30-11-2022</v>
          </cell>
          <cell r="D460">
            <v>44895</v>
          </cell>
          <cell r="E460" t="str">
            <v>Raw Material</v>
          </cell>
          <cell r="F460" t="str">
            <v>Closed</v>
          </cell>
          <cell r="G460">
            <v>300</v>
          </cell>
        </row>
        <row r="461">
          <cell r="C461" t="str">
            <v>KAPW-IB-75086-12-12-2022</v>
          </cell>
          <cell r="D461">
            <v>44907</v>
          </cell>
          <cell r="E461" t="str">
            <v>Raw Material</v>
          </cell>
          <cell r="F461" t="str">
            <v>Closed</v>
          </cell>
          <cell r="G461">
            <v>4093.13</v>
          </cell>
        </row>
        <row r="462">
          <cell r="C462" t="str">
            <v>KAPE-IB-93423-15-12-2022</v>
          </cell>
          <cell r="D462">
            <v>44910</v>
          </cell>
          <cell r="E462" t="str">
            <v>Raw Material</v>
          </cell>
          <cell r="F462" t="str">
            <v>Closed</v>
          </cell>
          <cell r="G462">
            <v>44000</v>
          </cell>
        </row>
        <row r="463">
          <cell r="C463" t="str">
            <v>KAPE-IB-90728-12-12-2022</v>
          </cell>
          <cell r="D463">
            <v>44907</v>
          </cell>
          <cell r="E463" t="str">
            <v>Raw Material</v>
          </cell>
          <cell r="F463" t="str">
            <v>Closed</v>
          </cell>
          <cell r="G463">
            <v>296153</v>
          </cell>
        </row>
        <row r="464">
          <cell r="C464" t="str">
            <v>KAPE-IB-90928-12-12-2022</v>
          </cell>
          <cell r="D464">
            <v>44907</v>
          </cell>
          <cell r="E464" t="str">
            <v>Raw Material</v>
          </cell>
          <cell r="F464" t="str">
            <v>Closed</v>
          </cell>
          <cell r="G464">
            <v>1715.3</v>
          </cell>
        </row>
        <row r="465">
          <cell r="C465" t="str">
            <v>KAPW-IB-78434-19-12-2022</v>
          </cell>
          <cell r="D465">
            <v>44914</v>
          </cell>
          <cell r="E465" t="str">
            <v>Raw Material</v>
          </cell>
          <cell r="F465" t="str">
            <v>Closed</v>
          </cell>
          <cell r="G465">
            <v>102000</v>
          </cell>
        </row>
        <row r="466">
          <cell r="C466" t="str">
            <v>KAPW-IB-79770-21-12-2022</v>
          </cell>
          <cell r="D466">
            <v>44916</v>
          </cell>
          <cell r="E466" t="str">
            <v>Raw Material</v>
          </cell>
          <cell r="F466" t="str">
            <v>Closed</v>
          </cell>
          <cell r="G466">
            <v>2475</v>
          </cell>
        </row>
        <row r="467">
          <cell r="C467" t="str">
            <v>KAPE-IB-103699-03-01-2023</v>
          </cell>
          <cell r="D467">
            <v>44929</v>
          </cell>
          <cell r="E467" t="str">
            <v>Raw Material</v>
          </cell>
          <cell r="F467" t="str">
            <v>Closed</v>
          </cell>
          <cell r="G467">
            <v>24168</v>
          </cell>
        </row>
        <row r="468">
          <cell r="C468" t="str">
            <v>KAPE-IB-108364-11-01-2023</v>
          </cell>
          <cell r="D468">
            <v>44937</v>
          </cell>
          <cell r="E468" t="str">
            <v>Raw Material</v>
          </cell>
          <cell r="F468" t="str">
            <v>Closed</v>
          </cell>
          <cell r="G468">
            <v>24480</v>
          </cell>
        </row>
        <row r="469">
          <cell r="C469" t="str">
            <v>PQIB-IB-9547-06-12-2022</v>
          </cell>
          <cell r="D469">
            <v>44901</v>
          </cell>
          <cell r="E469" t="str">
            <v>Raw Material</v>
          </cell>
          <cell r="F469" t="str">
            <v>Closed</v>
          </cell>
          <cell r="G469">
            <v>5500000</v>
          </cell>
        </row>
        <row r="470">
          <cell r="C470" t="str">
            <v>KAPE-IB-107391-09-01-2023</v>
          </cell>
          <cell r="D470">
            <v>44935</v>
          </cell>
          <cell r="E470" t="str">
            <v>Raw Material</v>
          </cell>
          <cell r="F470" t="str">
            <v>Closed</v>
          </cell>
          <cell r="G470">
            <v>300370</v>
          </cell>
        </row>
        <row r="471">
          <cell r="C471" t="str">
            <v>KPAF-IB-29515-16-01-2023</v>
          </cell>
          <cell r="D471">
            <v>44942</v>
          </cell>
          <cell r="E471" t="str">
            <v>Raw Material</v>
          </cell>
          <cell r="F471" t="str">
            <v>Closed</v>
          </cell>
          <cell r="G471">
            <v>1977.5</v>
          </cell>
        </row>
        <row r="472">
          <cell r="C472" t="str">
            <v>KAPE-IB-113131-20-01-2023</v>
          </cell>
          <cell r="D472">
            <v>44946</v>
          </cell>
          <cell r="E472" t="str">
            <v>Raw Material</v>
          </cell>
          <cell r="F472" t="str">
            <v>Closed</v>
          </cell>
          <cell r="G472">
            <v>5127</v>
          </cell>
        </row>
        <row r="473">
          <cell r="C473" t="str">
            <v>KAPW-IB-90120-16-01-2023</v>
          </cell>
          <cell r="D473">
            <v>44942</v>
          </cell>
          <cell r="E473" t="str">
            <v>Raw Material</v>
          </cell>
          <cell r="F473" t="str">
            <v>Closed</v>
          </cell>
          <cell r="G473">
            <v>700</v>
          </cell>
        </row>
        <row r="474">
          <cell r="C474" t="str">
            <v>KPAF-IB-30221-20-01-2023</v>
          </cell>
          <cell r="D474">
            <v>44946</v>
          </cell>
          <cell r="E474" t="str">
            <v>Raw Material</v>
          </cell>
          <cell r="F474" t="str">
            <v>Closed</v>
          </cell>
          <cell r="G474">
            <v>924.8</v>
          </cell>
        </row>
        <row r="475">
          <cell r="C475" t="str">
            <v>KAPE-IB-113930-21-01-2023</v>
          </cell>
          <cell r="D475">
            <v>44928</v>
          </cell>
          <cell r="E475" t="str">
            <v>Raw Material</v>
          </cell>
          <cell r="F475" t="str">
            <v>Closed</v>
          </cell>
          <cell r="G475">
            <v>24480</v>
          </cell>
        </row>
        <row r="476">
          <cell r="C476" t="str">
            <v>KPPI-IB-38567-19-01-2023</v>
          </cell>
          <cell r="D476">
            <v>44945</v>
          </cell>
          <cell r="E476" t="str">
            <v>Raw Material</v>
          </cell>
          <cell r="F476" t="str">
            <v>Closed</v>
          </cell>
          <cell r="G476">
            <v>38080</v>
          </cell>
        </row>
        <row r="477">
          <cell r="C477" t="str">
            <v>KAPW-IB-93598-24-01-2023</v>
          </cell>
          <cell r="D477">
            <v>44950</v>
          </cell>
          <cell r="E477" t="str">
            <v>Raw Material</v>
          </cell>
          <cell r="F477" t="str">
            <v>Closed</v>
          </cell>
          <cell r="G477">
            <v>202291</v>
          </cell>
        </row>
        <row r="478">
          <cell r="C478" t="str">
            <v>KAPE-IB-116635-26-01-2023</v>
          </cell>
          <cell r="D478">
            <v>44952</v>
          </cell>
          <cell r="E478" t="str">
            <v>Raw Material</v>
          </cell>
          <cell r="F478" t="str">
            <v>Closed</v>
          </cell>
          <cell r="G478">
            <v>74540</v>
          </cell>
        </row>
        <row r="479">
          <cell r="C479" t="str">
            <v>KAPE-IB-116620-26-01-2023</v>
          </cell>
          <cell r="D479">
            <v>44952</v>
          </cell>
          <cell r="E479" t="str">
            <v>Raw Material</v>
          </cell>
          <cell r="F479" t="str">
            <v>Closed</v>
          </cell>
          <cell r="G479">
            <v>176247</v>
          </cell>
        </row>
        <row r="480">
          <cell r="C480" t="str">
            <v>KAPE-IB-120077-30-01-2023</v>
          </cell>
          <cell r="D480">
            <v>44956</v>
          </cell>
          <cell r="E480" t="str">
            <v>Raw Material</v>
          </cell>
          <cell r="F480" t="str">
            <v>Closed</v>
          </cell>
          <cell r="G480">
            <v>24480</v>
          </cell>
        </row>
        <row r="481">
          <cell r="C481" t="str">
            <v>KAPE-IB-120271-30-01-2023</v>
          </cell>
          <cell r="D481">
            <v>44956</v>
          </cell>
          <cell r="E481" t="str">
            <v>Raw Material</v>
          </cell>
          <cell r="F481" t="str">
            <v>Closed</v>
          </cell>
          <cell r="G481">
            <v>225188</v>
          </cell>
        </row>
        <row r="482">
          <cell r="C482" t="str">
            <v>KPFI-IB-25327-02-02-2023</v>
          </cell>
          <cell r="D482">
            <v>44959</v>
          </cell>
          <cell r="E482" t="str">
            <v>Raw Material</v>
          </cell>
          <cell r="F482" t="str">
            <v>Closed</v>
          </cell>
          <cell r="G482">
            <v>140</v>
          </cell>
        </row>
        <row r="483">
          <cell r="C483" t="str">
            <v>KAPE-IB-124652-06-02-2023</v>
          </cell>
          <cell r="D483">
            <v>44963</v>
          </cell>
          <cell r="E483" t="str">
            <v>Raw Material</v>
          </cell>
          <cell r="F483" t="str">
            <v>Closed</v>
          </cell>
          <cell r="G483">
            <v>24480</v>
          </cell>
        </row>
        <row r="484">
          <cell r="C484" t="str">
            <v>KAPW-IB-100096-06-02-2023</v>
          </cell>
          <cell r="D484">
            <v>44963</v>
          </cell>
          <cell r="E484" t="str">
            <v>Raw Material</v>
          </cell>
          <cell r="F484" t="str">
            <v>Closed</v>
          </cell>
          <cell r="G484">
            <v>7200</v>
          </cell>
        </row>
        <row r="485">
          <cell r="C485" t="str">
            <v>KAPW-IB-101716-08-02-2023</v>
          </cell>
          <cell r="D485">
            <v>44965</v>
          </cell>
          <cell r="E485" t="str">
            <v>Raw Material</v>
          </cell>
          <cell r="F485" t="str">
            <v>Closed</v>
          </cell>
          <cell r="G485">
            <v>5040</v>
          </cell>
        </row>
        <row r="486">
          <cell r="C486" t="str">
            <v>KAPE-IB-127848-09-02-2023</v>
          </cell>
          <cell r="D486">
            <v>44966</v>
          </cell>
          <cell r="E486" t="str">
            <v>Raw Material</v>
          </cell>
          <cell r="F486" t="str">
            <v>Closed</v>
          </cell>
          <cell r="G486">
            <v>203500</v>
          </cell>
        </row>
        <row r="487">
          <cell r="C487" t="str">
            <v>KAPW-IB-102354-09-02-2023</v>
          </cell>
          <cell r="D487">
            <v>44966</v>
          </cell>
          <cell r="E487" t="str">
            <v>Raw Material</v>
          </cell>
          <cell r="F487" t="str">
            <v>Closed</v>
          </cell>
          <cell r="G487">
            <v>758</v>
          </cell>
        </row>
        <row r="488">
          <cell r="C488" t="str">
            <v>KAPE-IB-132648-21-02-2023</v>
          </cell>
          <cell r="D488">
            <v>44978</v>
          </cell>
          <cell r="E488" t="str">
            <v>Raw Material</v>
          </cell>
          <cell r="F488" t="str">
            <v>Closed</v>
          </cell>
          <cell r="G488">
            <v>720</v>
          </cell>
        </row>
        <row r="489">
          <cell r="C489" t="str">
            <v>KAPW-IB-108664-24-02-2023</v>
          </cell>
          <cell r="D489">
            <v>44978</v>
          </cell>
          <cell r="E489" t="str">
            <v>Raw Material</v>
          </cell>
          <cell r="F489" t="str">
            <v>Closed</v>
          </cell>
          <cell r="G489">
            <v>1600</v>
          </cell>
        </row>
        <row r="490">
          <cell r="C490" t="str">
            <v>KAPW-IB-108660-24-02-2023</v>
          </cell>
          <cell r="D490">
            <v>44978</v>
          </cell>
          <cell r="E490" t="str">
            <v>Raw Material</v>
          </cell>
          <cell r="F490" t="str">
            <v>Closed</v>
          </cell>
          <cell r="G490">
            <v>950</v>
          </cell>
        </row>
        <row r="491">
          <cell r="C491" t="str">
            <v>KAPW-IB-108654-24-02-2023</v>
          </cell>
          <cell r="D491">
            <v>44978</v>
          </cell>
          <cell r="E491" t="str">
            <v>Raw Material</v>
          </cell>
          <cell r="F491" t="str">
            <v>Closed</v>
          </cell>
          <cell r="G491">
            <v>2000</v>
          </cell>
        </row>
        <row r="492">
          <cell r="C492" t="str">
            <v>KAPE-IB-133908-27-02-2023</v>
          </cell>
          <cell r="D492">
            <v>44984</v>
          </cell>
          <cell r="E492" t="str">
            <v>Raw Material</v>
          </cell>
          <cell r="F492" t="str">
            <v>Closed</v>
          </cell>
          <cell r="G492">
            <v>8557.4</v>
          </cell>
        </row>
        <row r="493">
          <cell r="C493" t="str">
            <v>KAPE-IB-134719-02-03-2023</v>
          </cell>
          <cell r="D493">
            <v>44987</v>
          </cell>
          <cell r="E493" t="str">
            <v>Raw Material</v>
          </cell>
          <cell r="F493" t="str">
            <v>Closed</v>
          </cell>
          <cell r="G493">
            <v>1000</v>
          </cell>
        </row>
        <row r="494">
          <cell r="C494" t="str">
            <v>KAPW-IB-111548-03-03-2023</v>
          </cell>
          <cell r="D494">
            <v>44988</v>
          </cell>
          <cell r="E494" t="str">
            <v>Raw Material</v>
          </cell>
          <cell r="F494" t="str">
            <v>Closed</v>
          </cell>
          <cell r="G494">
            <v>1000</v>
          </cell>
        </row>
        <row r="495">
          <cell r="C495" t="str">
            <v>KAPS-IB-4531-02-03-2023</v>
          </cell>
          <cell r="D495">
            <v>44987</v>
          </cell>
          <cell r="E495" t="str">
            <v>Raw Material</v>
          </cell>
          <cell r="F495" t="str">
            <v>Closed</v>
          </cell>
          <cell r="G495">
            <v>10400</v>
          </cell>
        </row>
        <row r="496">
          <cell r="C496" t="str">
            <v>KPAF-IB-34893-28-02-2023</v>
          </cell>
          <cell r="D496">
            <v>44985</v>
          </cell>
          <cell r="E496" t="str">
            <v>Raw Material</v>
          </cell>
          <cell r="F496" t="str">
            <v>Closed</v>
          </cell>
          <cell r="G496">
            <v>577</v>
          </cell>
        </row>
        <row r="497">
          <cell r="C497" t="str">
            <v>KAPS-IB-6074-08-03-2023</v>
          </cell>
          <cell r="D497">
            <v>44993</v>
          </cell>
          <cell r="E497" t="str">
            <v>Raw Material</v>
          </cell>
          <cell r="F497" t="str">
            <v>Closed</v>
          </cell>
          <cell r="G497">
            <v>301510</v>
          </cell>
        </row>
        <row r="498">
          <cell r="C498" t="str">
            <v>KAPS-IB-5460-06-03-2023</v>
          </cell>
          <cell r="D498">
            <v>44991</v>
          </cell>
          <cell r="E498" t="str">
            <v>Raw Material</v>
          </cell>
          <cell r="F498" t="str">
            <v>Closed</v>
          </cell>
          <cell r="G498">
            <v>183540</v>
          </cell>
        </row>
        <row r="499">
          <cell r="C499" t="str">
            <v>KAPS-IB-6595-10-03-2023</v>
          </cell>
          <cell r="D499">
            <v>44995</v>
          </cell>
          <cell r="E499" t="str">
            <v>Raw Material</v>
          </cell>
          <cell r="F499" t="str">
            <v>Closed</v>
          </cell>
          <cell r="G499">
            <v>40000</v>
          </cell>
        </row>
        <row r="500">
          <cell r="C500" t="str">
            <v>KAPS-IB-9008-20-03-2023</v>
          </cell>
          <cell r="D500">
            <v>45005</v>
          </cell>
          <cell r="E500" t="str">
            <v>Raw Material</v>
          </cell>
          <cell r="F500" t="str">
            <v>Closed</v>
          </cell>
          <cell r="G500">
            <v>3850</v>
          </cell>
        </row>
        <row r="501">
          <cell r="C501" t="str">
            <v>KAPE-IB-136853-15-03-2023</v>
          </cell>
          <cell r="D501">
            <v>45000</v>
          </cell>
          <cell r="E501" t="str">
            <v>Raw Material</v>
          </cell>
          <cell r="F501" t="str">
            <v>Closed</v>
          </cell>
          <cell r="G501">
            <v>209760</v>
          </cell>
        </row>
        <row r="502">
          <cell r="C502" t="str">
            <v>KAPS-IB-3675-28-02-2023</v>
          </cell>
          <cell r="D502">
            <v>44985</v>
          </cell>
          <cell r="E502" t="str">
            <v>Raw Material</v>
          </cell>
          <cell r="F502" t="str">
            <v>Closed</v>
          </cell>
          <cell r="G502">
            <v>19300</v>
          </cell>
        </row>
        <row r="503">
          <cell r="C503" t="str">
            <v>KPAF-IB-37027-15-03-2023</v>
          </cell>
          <cell r="D503">
            <v>45000</v>
          </cell>
          <cell r="E503" t="str">
            <v>Raw Material</v>
          </cell>
          <cell r="F503" t="str">
            <v>Closed</v>
          </cell>
          <cell r="G503">
            <v>650</v>
          </cell>
        </row>
        <row r="504">
          <cell r="C504" t="str">
            <v>KPAF-IB-38071-22-03-2023</v>
          </cell>
          <cell r="D504">
            <v>45007</v>
          </cell>
          <cell r="E504" t="str">
            <v>Raw Material</v>
          </cell>
          <cell r="F504" t="str">
            <v>Closed</v>
          </cell>
          <cell r="G504">
            <v>414</v>
          </cell>
        </row>
        <row r="505">
          <cell r="C505" t="str">
            <v>KAPE-IB-138483-25-03-2023</v>
          </cell>
          <cell r="D505">
            <v>45010</v>
          </cell>
          <cell r="E505" t="str">
            <v>Raw Material</v>
          </cell>
          <cell r="F505" t="str">
            <v>Closed</v>
          </cell>
          <cell r="G505">
            <v>18000</v>
          </cell>
        </row>
        <row r="506">
          <cell r="C506" t="str">
            <v>KAPE-IB-138782-27-03-2023</v>
          </cell>
          <cell r="D506">
            <v>45012</v>
          </cell>
          <cell r="E506" t="str">
            <v>Raw Material</v>
          </cell>
          <cell r="F506" t="str">
            <v>Closed</v>
          </cell>
          <cell r="G506">
            <v>209760</v>
          </cell>
        </row>
        <row r="507">
          <cell r="C507" t="str">
            <v>KPPI-IB-50645-30-03-2023</v>
          </cell>
          <cell r="D507">
            <v>45015</v>
          </cell>
          <cell r="E507" t="str">
            <v>Raw Material</v>
          </cell>
          <cell r="F507" t="str">
            <v>Closed</v>
          </cell>
          <cell r="G507">
            <v>38080</v>
          </cell>
        </row>
        <row r="508">
          <cell r="C508" t="str">
            <v>KAPS-IB-11803-03-04-2023</v>
          </cell>
          <cell r="D508">
            <v>45019</v>
          </cell>
          <cell r="E508" t="str">
            <v>Raw Material</v>
          </cell>
          <cell r="F508" t="str">
            <v>Closed</v>
          </cell>
          <cell r="G508">
            <v>242640</v>
          </cell>
        </row>
        <row r="509">
          <cell r="C509" t="str">
            <v>KAPW-IB-119999-31-03-2023</v>
          </cell>
          <cell r="D509">
            <v>45016</v>
          </cell>
          <cell r="E509" t="str">
            <v>Raw Material</v>
          </cell>
          <cell r="F509" t="str">
            <v>Closed</v>
          </cell>
          <cell r="G509">
            <v>497</v>
          </cell>
        </row>
        <row r="510">
          <cell r="C510" t="str">
            <v>KAPW-IB-119882-31-03-2023</v>
          </cell>
          <cell r="D510">
            <v>45016</v>
          </cell>
          <cell r="E510" t="str">
            <v>Raw Material</v>
          </cell>
          <cell r="F510" t="str">
            <v>Closed</v>
          </cell>
          <cell r="G510">
            <v>3500</v>
          </cell>
        </row>
        <row r="511">
          <cell r="C511" t="str">
            <v>KAPW-IB-120896-04-04-2023</v>
          </cell>
          <cell r="D511">
            <v>45020</v>
          </cell>
          <cell r="E511" t="str">
            <v>Raw Material</v>
          </cell>
          <cell r="F511" t="str">
            <v>Closed</v>
          </cell>
          <cell r="G511">
            <v>2000</v>
          </cell>
        </row>
        <row r="512">
          <cell r="C512" t="str">
            <v>KAPS-IB-14376-12-04-2023</v>
          </cell>
          <cell r="D512">
            <v>45028</v>
          </cell>
          <cell r="E512" t="str">
            <v>Raw Material</v>
          </cell>
          <cell r="F512" t="str">
            <v>Closed</v>
          </cell>
          <cell r="G512">
            <v>24480</v>
          </cell>
        </row>
        <row r="513">
          <cell r="C513" t="str">
            <v>KAPS-IB-11991-03-04-2023</v>
          </cell>
          <cell r="D513">
            <v>45019</v>
          </cell>
          <cell r="E513" t="str">
            <v>Raw Material</v>
          </cell>
          <cell r="F513" t="str">
            <v>Closed</v>
          </cell>
          <cell r="G513">
            <v>24480</v>
          </cell>
        </row>
        <row r="514">
          <cell r="C514" t="str">
            <v>KAPW-IB-123024-10-04-2023</v>
          </cell>
          <cell r="D514">
            <v>45026</v>
          </cell>
          <cell r="E514" t="str">
            <v>Raw Material</v>
          </cell>
          <cell r="F514" t="str">
            <v>Closed</v>
          </cell>
          <cell r="G514">
            <v>4960</v>
          </cell>
        </row>
        <row r="515">
          <cell r="C515" t="str">
            <v>KAPW-IB-123040-10-04-2023</v>
          </cell>
          <cell r="D515">
            <v>45026</v>
          </cell>
          <cell r="E515" t="str">
            <v>Raw Material</v>
          </cell>
          <cell r="F515" t="str">
            <v>Closed</v>
          </cell>
          <cell r="G515">
            <v>205</v>
          </cell>
        </row>
        <row r="516">
          <cell r="C516" t="str">
            <v>KAPS-IB-15484-16-04-2023</v>
          </cell>
          <cell r="D516">
            <v>45032</v>
          </cell>
          <cell r="E516" t="str">
            <v>Raw Material</v>
          </cell>
          <cell r="F516" t="str">
            <v>Closed</v>
          </cell>
          <cell r="G516">
            <v>250200</v>
          </cell>
        </row>
        <row r="517">
          <cell r="C517" t="str">
            <v>PQIB-IB-16708-28-03-2023</v>
          </cell>
          <cell r="D517">
            <v>45013</v>
          </cell>
          <cell r="E517" t="str">
            <v>Raw Material</v>
          </cell>
          <cell r="F517" t="str">
            <v>Closed</v>
          </cell>
          <cell r="G517">
            <v>5500000</v>
          </cell>
        </row>
        <row r="518">
          <cell r="C518" t="str">
            <v>KAPE-IB-143556-26-04-2023</v>
          </cell>
          <cell r="D518">
            <v>45042</v>
          </cell>
          <cell r="E518" t="str">
            <v>Packing Material</v>
          </cell>
          <cell r="F518" t="str">
            <v>Closed</v>
          </cell>
          <cell r="G518">
            <v>14500</v>
          </cell>
        </row>
        <row r="519">
          <cell r="C519" t="str">
            <v>KAPS-IB-17617-27-04-2023</v>
          </cell>
          <cell r="D519">
            <v>45043</v>
          </cell>
          <cell r="E519" t="str">
            <v>Raw Material</v>
          </cell>
          <cell r="F519" t="str">
            <v>Closed</v>
          </cell>
          <cell r="G519">
            <v>48960</v>
          </cell>
        </row>
        <row r="520">
          <cell r="C520" t="str">
            <v>KAPS-IB-17584-27-04-2023</v>
          </cell>
          <cell r="D520">
            <v>45043</v>
          </cell>
          <cell r="E520" t="str">
            <v>Raw Material</v>
          </cell>
          <cell r="F520" t="str">
            <v>Closed</v>
          </cell>
          <cell r="G520">
            <v>44000</v>
          </cell>
        </row>
        <row r="521">
          <cell r="C521" t="str">
            <v>KAPW-IB-128480-28-04-2023</v>
          </cell>
          <cell r="D521">
            <v>45044</v>
          </cell>
          <cell r="E521" t="str">
            <v>Raw Material</v>
          </cell>
          <cell r="F521" t="str">
            <v>Closed</v>
          </cell>
          <cell r="G521">
            <v>24480</v>
          </cell>
        </row>
        <row r="522">
          <cell r="C522" t="str">
            <v>KPPI-IB-54759-27-04-2023</v>
          </cell>
          <cell r="D522">
            <v>45043</v>
          </cell>
          <cell r="E522" t="str">
            <v>Raw Material</v>
          </cell>
          <cell r="F522" t="str">
            <v>Closed</v>
          </cell>
          <cell r="G522">
            <v>198653.3</v>
          </cell>
        </row>
        <row r="523">
          <cell r="C523" t="str">
            <v>KAPW-IB-130351-03-05-2023</v>
          </cell>
          <cell r="D523">
            <v>45049</v>
          </cell>
          <cell r="E523" t="str">
            <v>Raw Material</v>
          </cell>
          <cell r="F523" t="str">
            <v>Closed</v>
          </cell>
          <cell r="G523">
            <v>1600</v>
          </cell>
        </row>
        <row r="524">
          <cell r="C524" t="str">
            <v>KAPW-IB-128979-28-04-2023</v>
          </cell>
          <cell r="D524">
            <v>45044</v>
          </cell>
          <cell r="E524" t="str">
            <v>Raw Material</v>
          </cell>
          <cell r="F524" t="str">
            <v>closed</v>
          </cell>
          <cell r="G524">
            <v>1000</v>
          </cell>
        </row>
        <row r="525">
          <cell r="C525" t="str">
            <v>KPFI-IB-34367-03-05-2023</v>
          </cell>
          <cell r="D525">
            <v>45049</v>
          </cell>
          <cell r="E525" t="str">
            <v>Raw Material</v>
          </cell>
          <cell r="F525" t="str">
            <v>Closed</v>
          </cell>
          <cell r="G525">
            <v>300</v>
          </cell>
        </row>
        <row r="526">
          <cell r="C526" t="str">
            <v>KAPW-IB-129446-02-05-2023</v>
          </cell>
          <cell r="D526">
            <v>45048</v>
          </cell>
          <cell r="E526" t="str">
            <v>Raw Material</v>
          </cell>
          <cell r="F526" t="str">
            <v>Closed</v>
          </cell>
          <cell r="G526">
            <v>1000</v>
          </cell>
        </row>
        <row r="527">
          <cell r="C527" t="str">
            <v>KAPW-IB-132481-08-05-2023</v>
          </cell>
          <cell r="D527">
            <v>45054</v>
          </cell>
          <cell r="E527" t="str">
            <v>Raw Material</v>
          </cell>
          <cell r="F527" t="str">
            <v>Closed</v>
          </cell>
          <cell r="G527">
            <v>3650</v>
          </cell>
        </row>
        <row r="528">
          <cell r="C528" t="str">
            <v>KAPE-IB-145570-05-05-2023</v>
          </cell>
          <cell r="D528">
            <v>45051</v>
          </cell>
          <cell r="E528" t="str">
            <v>Raw Material</v>
          </cell>
          <cell r="F528" t="str">
            <v>Closed</v>
          </cell>
          <cell r="G528">
            <v>7536</v>
          </cell>
        </row>
        <row r="529">
          <cell r="C529" t="str">
            <v>KAPW-IB-132473-08-05-2023</v>
          </cell>
          <cell r="D529">
            <v>45054</v>
          </cell>
          <cell r="E529" t="str">
            <v>Raw Material</v>
          </cell>
          <cell r="F529" t="str">
            <v>Closed</v>
          </cell>
          <cell r="G529">
            <v>5000</v>
          </cell>
        </row>
        <row r="530">
          <cell r="C530" t="str">
            <v>KAPW-IB-131668-05-05-2023</v>
          </cell>
          <cell r="D530">
            <v>45051</v>
          </cell>
          <cell r="E530" t="str">
            <v>Raw Material</v>
          </cell>
          <cell r="F530" t="str">
            <v>Closed</v>
          </cell>
          <cell r="G530">
            <v>1800</v>
          </cell>
        </row>
        <row r="531">
          <cell r="C531" t="str">
            <v>KPFI-IB-35047-08-05-2023</v>
          </cell>
          <cell r="D531">
            <v>45054</v>
          </cell>
          <cell r="E531" t="str">
            <v>Raw Material</v>
          </cell>
          <cell r="F531" t="str">
            <v>Closed</v>
          </cell>
          <cell r="G531">
            <v>50</v>
          </cell>
        </row>
        <row r="532">
          <cell r="C532" t="str">
            <v>KAPS-IB-22072-11-05-2023</v>
          </cell>
          <cell r="D532">
            <v>45057</v>
          </cell>
          <cell r="E532" t="str">
            <v>Raw Material</v>
          </cell>
          <cell r="F532" t="str">
            <v>Closed</v>
          </cell>
          <cell r="G532">
            <v>48960</v>
          </cell>
        </row>
        <row r="533">
          <cell r="C533" t="str">
            <v>KAPS-IB-21933-10-05-2023</v>
          </cell>
          <cell r="D533">
            <v>45056</v>
          </cell>
          <cell r="E533" t="str">
            <v>Raw Material</v>
          </cell>
          <cell r="F533" t="str">
            <v>Closed</v>
          </cell>
          <cell r="G533">
            <v>19300</v>
          </cell>
        </row>
        <row r="534">
          <cell r="C534" t="str">
            <v>KAPW-IB-133211-09-05-2023</v>
          </cell>
          <cell r="D534">
            <v>45055</v>
          </cell>
          <cell r="E534" t="str">
            <v>Raw Material</v>
          </cell>
          <cell r="F534" t="str">
            <v>Closed</v>
          </cell>
          <cell r="G534">
            <v>400</v>
          </cell>
        </row>
        <row r="535">
          <cell r="C535" t="str">
            <v>KPAF-IB-45892-16-05-2023</v>
          </cell>
          <cell r="D535">
            <v>45062</v>
          </cell>
          <cell r="E535" t="str">
            <v>Raw Material</v>
          </cell>
          <cell r="F535" t="str">
            <v>Closed</v>
          </cell>
          <cell r="G535">
            <v>1200</v>
          </cell>
        </row>
        <row r="536">
          <cell r="C536" t="str">
            <v>KAPW-IB-135626-15-05-2023</v>
          </cell>
          <cell r="D536">
            <v>45061</v>
          </cell>
          <cell r="E536" t="str">
            <v>Raw Material</v>
          </cell>
          <cell r="F536" t="str">
            <v>Closed</v>
          </cell>
          <cell r="G536">
            <v>1000</v>
          </cell>
        </row>
        <row r="537">
          <cell r="C537" t="str">
            <v>KAPW-IB-136592-17-05-2023</v>
          </cell>
          <cell r="D537">
            <v>45063</v>
          </cell>
          <cell r="E537" t="str">
            <v>Raw Material</v>
          </cell>
          <cell r="F537" t="str">
            <v>Closed</v>
          </cell>
          <cell r="G537">
            <v>250</v>
          </cell>
        </row>
        <row r="538">
          <cell r="C538" t="str">
            <v>KAPS-IB-25629-22-05-2023</v>
          </cell>
          <cell r="D538">
            <v>45068</v>
          </cell>
          <cell r="E538" t="str">
            <v>Packing Material</v>
          </cell>
          <cell r="F538" t="str">
            <v>Closed</v>
          </cell>
          <cell r="G538">
            <v>100036</v>
          </cell>
        </row>
        <row r="539">
          <cell r="C539" t="str">
            <v>KAPE-IB-149372-22-05-2023</v>
          </cell>
          <cell r="D539">
            <v>45068</v>
          </cell>
          <cell r="E539" t="str">
            <v>Raw Material</v>
          </cell>
          <cell r="F539" t="str">
            <v>Closed</v>
          </cell>
          <cell r="G539">
            <v>1008</v>
          </cell>
        </row>
        <row r="540">
          <cell r="C540" t="str">
            <v>KAPS-IB-26207-24-05-2023</v>
          </cell>
          <cell r="D540">
            <v>45070</v>
          </cell>
          <cell r="E540" t="str">
            <v>Raw Material</v>
          </cell>
          <cell r="F540" t="str">
            <v>Closed</v>
          </cell>
          <cell r="G540">
            <v>18720</v>
          </cell>
        </row>
        <row r="541">
          <cell r="C541" t="str">
            <v>KAPS-IB-26200-24-05-2023</v>
          </cell>
          <cell r="D541">
            <v>45070</v>
          </cell>
          <cell r="E541" t="str">
            <v>Raw Material</v>
          </cell>
          <cell r="F541" t="str">
            <v>Closed</v>
          </cell>
          <cell r="G541">
            <v>18720</v>
          </cell>
        </row>
        <row r="542">
          <cell r="C542" t="str">
            <v>KAPW-IB-140973-29-05-2023</v>
          </cell>
          <cell r="D542">
            <v>45075</v>
          </cell>
          <cell r="E542" t="str">
            <v>Raw Material</v>
          </cell>
          <cell r="F542" t="str">
            <v>Closed</v>
          </cell>
          <cell r="G542">
            <v>25600</v>
          </cell>
        </row>
        <row r="543">
          <cell r="C543" t="str">
            <v>KAPS-IB-27445-26-05-2023</v>
          </cell>
          <cell r="D543">
            <v>45072</v>
          </cell>
          <cell r="E543" t="str">
            <v>Packing Material</v>
          </cell>
          <cell r="F543" t="str">
            <v>Closed</v>
          </cell>
          <cell r="G543">
            <v>8100</v>
          </cell>
        </row>
        <row r="544">
          <cell r="C544" t="str">
            <v>KAPW-IB-142009-31-05-2023</v>
          </cell>
          <cell r="D544">
            <v>45049</v>
          </cell>
          <cell r="E544" t="str">
            <v>Raw Material</v>
          </cell>
          <cell r="F544" t="str">
            <v>Closed</v>
          </cell>
          <cell r="G544">
            <v>26000</v>
          </cell>
        </row>
        <row r="545">
          <cell r="C545" t="str">
            <v>KAPS-IB-29015-01-06-2023</v>
          </cell>
          <cell r="D545">
            <v>45078</v>
          </cell>
          <cell r="E545" t="str">
            <v>Raw Material</v>
          </cell>
          <cell r="F545" t="str">
            <v>Closed</v>
          </cell>
          <cell r="G545">
            <v>18720</v>
          </cell>
        </row>
        <row r="546">
          <cell r="C546" t="str">
            <v>KAPE-IB-153269-07-06-2023</v>
          </cell>
          <cell r="D546">
            <v>45084</v>
          </cell>
          <cell r="E546" t="str">
            <v>Raw Material</v>
          </cell>
          <cell r="F546" t="str">
            <v>Closed</v>
          </cell>
          <cell r="G546">
            <v>3053.4</v>
          </cell>
        </row>
        <row r="547">
          <cell r="C547" t="str">
            <v>KAPW-IB-143970-06-06-2023</v>
          </cell>
          <cell r="D547">
            <v>45083</v>
          </cell>
          <cell r="E547" t="str">
            <v>Raw Material</v>
          </cell>
          <cell r="F547" t="str">
            <v>Closed</v>
          </cell>
          <cell r="G547">
            <v>3950</v>
          </cell>
        </row>
        <row r="548">
          <cell r="C548" t="str">
            <v>KAPW-IB-146777-12-06-2023</v>
          </cell>
          <cell r="D548">
            <v>45089</v>
          </cell>
          <cell r="E548" t="str">
            <v>Packing Material</v>
          </cell>
          <cell r="F548" t="str">
            <v>Closed</v>
          </cell>
          <cell r="G548">
            <v>7525</v>
          </cell>
        </row>
        <row r="549">
          <cell r="C549" t="str">
            <v>KAPE-IB-155829-20-06-2023</v>
          </cell>
          <cell r="D549">
            <v>45097</v>
          </cell>
          <cell r="E549" t="str">
            <v>Raw Material</v>
          </cell>
          <cell r="F549" t="str">
            <v>Closed</v>
          </cell>
          <cell r="G549">
            <v>12000</v>
          </cell>
        </row>
        <row r="550">
          <cell r="C550" t="str">
            <v>KPPI-IB-63606-19-06-2023</v>
          </cell>
          <cell r="D550">
            <v>45096</v>
          </cell>
          <cell r="E550" t="str">
            <v>Raw Material</v>
          </cell>
          <cell r="F550" t="str">
            <v>Closed</v>
          </cell>
          <cell r="G550">
            <v>19911</v>
          </cell>
        </row>
        <row r="551">
          <cell r="C551" t="str">
            <v>KPPI-IB-63605-19-06-2023</v>
          </cell>
          <cell r="D551">
            <v>45096</v>
          </cell>
          <cell r="E551" t="str">
            <v>Raw Material</v>
          </cell>
          <cell r="F551" t="str">
            <v>Closed</v>
          </cell>
          <cell r="G551">
            <v>49360</v>
          </cell>
        </row>
        <row r="552">
          <cell r="C552" t="str">
            <v>KPPI-IB-63603-19-06-2023</v>
          </cell>
          <cell r="D552">
            <v>45096</v>
          </cell>
          <cell r="E552" t="str">
            <v>Raw Material</v>
          </cell>
          <cell r="F552" t="str">
            <v>Closed</v>
          </cell>
          <cell r="G552">
            <v>23993</v>
          </cell>
        </row>
        <row r="553">
          <cell r="C553" t="str">
            <v>KPPI-IB-63604-19-06-2023</v>
          </cell>
          <cell r="D553">
            <v>45096</v>
          </cell>
          <cell r="E553" t="str">
            <v>Raw Material</v>
          </cell>
          <cell r="F553" t="str">
            <v>Closed</v>
          </cell>
          <cell r="G553">
            <v>287180.09999999998</v>
          </cell>
        </row>
        <row r="554">
          <cell r="C554" t="str">
            <v>KAPW-IB-149837-21-06-2023</v>
          </cell>
          <cell r="D554">
            <v>45098</v>
          </cell>
          <cell r="E554" t="str">
            <v>Raw Material</v>
          </cell>
          <cell r="F554" t="str">
            <v>Closed</v>
          </cell>
          <cell r="G554">
            <v>1770</v>
          </cell>
        </row>
        <row r="555">
          <cell r="C555" t="str">
            <v>KAPS-IB-36381-26-06-2023</v>
          </cell>
          <cell r="D555">
            <v>45103</v>
          </cell>
          <cell r="E555" t="str">
            <v>Raw Material</v>
          </cell>
          <cell r="F555" t="str">
            <v>Closed</v>
          </cell>
          <cell r="G555">
            <v>47580</v>
          </cell>
        </row>
        <row r="556">
          <cell r="C556" t="str">
            <v>KAPE-IB-156608-23-06-2023</v>
          </cell>
          <cell r="D556">
            <v>45103</v>
          </cell>
          <cell r="E556" t="str">
            <v>Raw Material</v>
          </cell>
          <cell r="F556" t="str">
            <v>Closed</v>
          </cell>
          <cell r="G556">
            <v>102000</v>
          </cell>
        </row>
        <row r="557">
          <cell r="C557" t="str">
            <v>KAPS-IB-34263-20-06-2023</v>
          </cell>
          <cell r="D557">
            <v>45097</v>
          </cell>
          <cell r="E557" t="str">
            <v>Raw Material</v>
          </cell>
          <cell r="F557" t="str">
            <v>Closed</v>
          </cell>
          <cell r="G557">
            <v>19720</v>
          </cell>
        </row>
        <row r="558">
          <cell r="C558" t="str">
            <v>KAPW-IB-143982-06-06-2023</v>
          </cell>
          <cell r="D558">
            <v>45083</v>
          </cell>
          <cell r="E558" t="str">
            <v>Raw Material</v>
          </cell>
          <cell r="F558" t="str">
            <v>Closed</v>
          </cell>
          <cell r="G558">
            <v>102000</v>
          </cell>
        </row>
        <row r="559">
          <cell r="C559" t="str">
            <v>KPAF-IB-650-05-07-2023</v>
          </cell>
          <cell r="D559">
            <v>45112</v>
          </cell>
          <cell r="E559" t="str">
            <v>Raw Material</v>
          </cell>
          <cell r="F559" t="str">
            <v>Closed</v>
          </cell>
          <cell r="G559">
            <v>300</v>
          </cell>
        </row>
        <row r="560">
          <cell r="C560" t="str">
            <v>KAPS-IB-37294-27-06-2023</v>
          </cell>
          <cell r="D560">
            <v>45104</v>
          </cell>
          <cell r="E560" t="str">
            <v>Raw Material</v>
          </cell>
          <cell r="F560" t="str">
            <v>Closed</v>
          </cell>
          <cell r="G560">
            <v>37440</v>
          </cell>
        </row>
        <row r="561">
          <cell r="C561" t="str">
            <v>KAPE-IB-159-04-07-2023</v>
          </cell>
          <cell r="D561">
            <v>45111</v>
          </cell>
          <cell r="E561" t="str">
            <v>Raw Material</v>
          </cell>
          <cell r="F561" t="str">
            <v>Closed</v>
          </cell>
          <cell r="G561">
            <v>12000</v>
          </cell>
        </row>
        <row r="562">
          <cell r="C562" t="str">
            <v>KPAF-IB-670-05-07-2023</v>
          </cell>
          <cell r="D562">
            <v>45112</v>
          </cell>
          <cell r="E562" t="str">
            <v>Raw Material</v>
          </cell>
          <cell r="F562" t="str">
            <v>Closed</v>
          </cell>
          <cell r="G562">
            <v>90</v>
          </cell>
        </row>
        <row r="563">
          <cell r="C563" t="str">
            <v>KAPE-IB-167-04-07-2023</v>
          </cell>
          <cell r="D563">
            <v>45111</v>
          </cell>
          <cell r="E563" t="str">
            <v>Raw Material</v>
          </cell>
          <cell r="F563" t="str">
            <v>Closed</v>
          </cell>
          <cell r="G563">
            <v>4200</v>
          </cell>
        </row>
        <row r="564">
          <cell r="C564" t="str">
            <v>KPAF-IB-115-03-07-2023</v>
          </cell>
          <cell r="D564">
            <v>45110</v>
          </cell>
          <cell r="E564" t="str">
            <v>Raw Material</v>
          </cell>
          <cell r="F564" t="str">
            <v>Closed</v>
          </cell>
          <cell r="G564">
            <v>3</v>
          </cell>
        </row>
        <row r="565">
          <cell r="C565" t="str">
            <v>KAPW-IB-152829-27-06-2023</v>
          </cell>
          <cell r="D565">
            <v>45104</v>
          </cell>
          <cell r="E565" t="str">
            <v>Raw Material</v>
          </cell>
          <cell r="F565" t="str">
            <v>Closed</v>
          </cell>
          <cell r="G565">
            <v>4433</v>
          </cell>
        </row>
        <row r="566">
          <cell r="C566" t="str">
            <v>KAPS-IB-36447-26-06-2023</v>
          </cell>
          <cell r="D566">
            <v>45103</v>
          </cell>
          <cell r="E566" t="str">
            <v>Raw Material</v>
          </cell>
          <cell r="F566" t="str">
            <v>Closed</v>
          </cell>
          <cell r="G566">
            <v>46200</v>
          </cell>
        </row>
        <row r="567">
          <cell r="C567" t="str">
            <v>KPPI-IB-298-04-07-2023</v>
          </cell>
          <cell r="D567">
            <v>45111</v>
          </cell>
          <cell r="E567" t="str">
            <v>Raw Material</v>
          </cell>
          <cell r="F567" t="str">
            <v>Closed</v>
          </cell>
          <cell r="G567">
            <v>183708</v>
          </cell>
        </row>
        <row r="568">
          <cell r="C568" t="str">
            <v>KPPI-IB-321-04-07-2023</v>
          </cell>
          <cell r="D568">
            <v>45111</v>
          </cell>
          <cell r="E568" t="str">
            <v>Raw Material</v>
          </cell>
          <cell r="F568" t="str">
            <v>Closed</v>
          </cell>
          <cell r="G568">
            <v>120518</v>
          </cell>
        </row>
        <row r="569">
          <cell r="C569" t="str">
            <v>KAPW-IB-648-04-07-2023</v>
          </cell>
          <cell r="D569">
            <v>45111</v>
          </cell>
          <cell r="E569" t="str">
            <v>Raw Material</v>
          </cell>
          <cell r="F569" t="str">
            <v>Closed</v>
          </cell>
          <cell r="G569">
            <v>25600</v>
          </cell>
        </row>
        <row r="570">
          <cell r="C570" t="str">
            <v>KAPW-IB-191-03-07-2023</v>
          </cell>
          <cell r="D570">
            <v>45110</v>
          </cell>
          <cell r="E570" t="str">
            <v>Packing Material</v>
          </cell>
          <cell r="F570" t="str">
            <v>Closed</v>
          </cell>
          <cell r="G570">
            <v>1350</v>
          </cell>
        </row>
        <row r="571">
          <cell r="C571" t="str">
            <v>KAPS-IB-1409-06-07-2023</v>
          </cell>
          <cell r="D571">
            <v>45113</v>
          </cell>
          <cell r="E571" t="str">
            <v>Raw Material</v>
          </cell>
          <cell r="F571" t="str">
            <v>Closed</v>
          </cell>
          <cell r="G571">
            <v>8044.6</v>
          </cell>
        </row>
        <row r="572">
          <cell r="C572" t="str">
            <v>KAPE-FS-1496-08-07-2023</v>
          </cell>
          <cell r="D572">
            <v>45115</v>
          </cell>
          <cell r="E572" t="str">
            <v>Raw Material</v>
          </cell>
          <cell r="F572" t="str">
            <v>Closed</v>
          </cell>
          <cell r="G572">
            <v>388422</v>
          </cell>
        </row>
        <row r="573">
          <cell r="C573" t="str">
            <v>KAPW-FS-4230-10-07-2023</v>
          </cell>
          <cell r="D573">
            <v>45117</v>
          </cell>
          <cell r="E573" t="str">
            <v>Raw Material</v>
          </cell>
          <cell r="F573" t="str">
            <v>Closed</v>
          </cell>
          <cell r="G573">
            <v>869</v>
          </cell>
        </row>
        <row r="574">
          <cell r="C574" t="str">
            <v>KAPE-FS-1994-11-07-2023</v>
          </cell>
          <cell r="D574">
            <v>45118</v>
          </cell>
          <cell r="E574" t="str">
            <v>Raw Material</v>
          </cell>
          <cell r="F574" t="str">
            <v>Closed</v>
          </cell>
          <cell r="G574">
            <v>1453</v>
          </cell>
        </row>
        <row r="575">
          <cell r="C575" t="str">
            <v>KPPI-FS-2370-12-07-2023</v>
          </cell>
          <cell r="D575">
            <v>45119</v>
          </cell>
          <cell r="E575" t="str">
            <v>Raw Material</v>
          </cell>
          <cell r="F575" t="str">
            <v>Closed</v>
          </cell>
          <cell r="G575">
            <v>79249</v>
          </cell>
        </row>
        <row r="576">
          <cell r="C576" t="str">
            <v>KPPI-FS-2374-12-07-2023</v>
          </cell>
          <cell r="D576">
            <v>45119</v>
          </cell>
          <cell r="E576" t="str">
            <v>Raw Material</v>
          </cell>
          <cell r="F576" t="str">
            <v>Closed</v>
          </cell>
          <cell r="G576">
            <v>40625</v>
          </cell>
        </row>
        <row r="577">
          <cell r="C577" t="str">
            <v>KAPS-FS-5256-12-07-2023</v>
          </cell>
          <cell r="D577">
            <v>45119</v>
          </cell>
          <cell r="E577" t="str">
            <v>Raw Material</v>
          </cell>
          <cell r="F577" t="str">
            <v>Closed</v>
          </cell>
          <cell r="G577">
            <v>26000</v>
          </cell>
        </row>
        <row r="578">
          <cell r="C578" t="str">
            <v>KAPW-FS-7620-15-07-2023</v>
          </cell>
          <cell r="D578">
            <v>45122</v>
          </cell>
          <cell r="E578" t="str">
            <v>Raw Material</v>
          </cell>
          <cell r="F578" t="str">
            <v>Closed</v>
          </cell>
          <cell r="G578">
            <v>700</v>
          </cell>
        </row>
        <row r="579">
          <cell r="C579" t="str">
            <v>KPAF-FS-2302-15-07-2023</v>
          </cell>
          <cell r="D579">
            <v>45122</v>
          </cell>
          <cell r="E579" t="str">
            <v>Raw Material</v>
          </cell>
          <cell r="F579" t="str">
            <v>Closed</v>
          </cell>
          <cell r="G579">
            <v>26</v>
          </cell>
        </row>
        <row r="580">
          <cell r="C580" t="str">
            <v>KAPW-IB-2468-06-07-2023</v>
          </cell>
          <cell r="D580">
            <v>45113</v>
          </cell>
          <cell r="E580" t="str">
            <v>Raw Material</v>
          </cell>
          <cell r="F580" t="str">
            <v>Closed</v>
          </cell>
          <cell r="G580">
            <v>6240</v>
          </cell>
        </row>
        <row r="581">
          <cell r="C581" t="str">
            <v>KAPW-IB-2040-06-07-2023</v>
          </cell>
          <cell r="D581">
            <v>45113</v>
          </cell>
          <cell r="E581" t="str">
            <v>Raw Material</v>
          </cell>
          <cell r="F581" t="str">
            <v>Closed</v>
          </cell>
          <cell r="G581">
            <v>5600</v>
          </cell>
        </row>
        <row r="582">
          <cell r="C582" t="str">
            <v>KPPI-FS-2379-12-07-2023</v>
          </cell>
          <cell r="D582">
            <v>45119</v>
          </cell>
          <cell r="E582" t="str">
            <v>Raw Material</v>
          </cell>
          <cell r="F582" t="str">
            <v>Closed</v>
          </cell>
          <cell r="G582">
            <v>282495</v>
          </cell>
        </row>
        <row r="583">
          <cell r="C583" t="str">
            <v>KAPW-FS-6474-13-07-2023</v>
          </cell>
          <cell r="D583">
            <v>45120</v>
          </cell>
          <cell r="E583" t="str">
            <v>Packing Material</v>
          </cell>
          <cell r="F583" t="str">
            <v>Closed</v>
          </cell>
          <cell r="G583">
            <v>17893.824000000001</v>
          </cell>
        </row>
        <row r="584">
          <cell r="C584" t="str">
            <v>KAPS-FS-6492-14-07-2023</v>
          </cell>
          <cell r="D584">
            <v>45121</v>
          </cell>
          <cell r="E584" t="str">
            <v>Raw Material</v>
          </cell>
          <cell r="F584" t="str">
            <v>Closed</v>
          </cell>
          <cell r="G584">
            <v>24480</v>
          </cell>
        </row>
        <row r="585">
          <cell r="C585" t="str">
            <v>KAPW-FS-7622-15-07-2023</v>
          </cell>
          <cell r="D585">
            <v>45122</v>
          </cell>
          <cell r="E585" t="str">
            <v>Packing Material</v>
          </cell>
          <cell r="F585" t="str">
            <v>Closed</v>
          </cell>
          <cell r="G585">
            <v>17893.824000000001</v>
          </cell>
        </row>
        <row r="586">
          <cell r="C586" t="str">
            <v>KAPW-FS-7623-15-07-2023</v>
          </cell>
          <cell r="D586">
            <v>45122</v>
          </cell>
          <cell r="E586" t="str">
            <v>Raw Material</v>
          </cell>
          <cell r="F586" t="str">
            <v>Closed</v>
          </cell>
          <cell r="G586">
            <v>157320</v>
          </cell>
        </row>
        <row r="587">
          <cell r="C587" t="str">
            <v>KAPW-FS-10367-20-07-2023</v>
          </cell>
          <cell r="D587">
            <v>45127</v>
          </cell>
          <cell r="E587" t="str">
            <v>Packing Material</v>
          </cell>
          <cell r="F587" t="str">
            <v>Closed</v>
          </cell>
          <cell r="G587">
            <v>794.7</v>
          </cell>
        </row>
        <row r="588">
          <cell r="C588" t="str">
            <v>KAPW-FS-10366-20-07-2023</v>
          </cell>
          <cell r="D588">
            <v>45127</v>
          </cell>
          <cell r="E588" t="str">
            <v>Packing Material</v>
          </cell>
          <cell r="F588" t="str">
            <v>Closed</v>
          </cell>
          <cell r="G588">
            <v>31.6</v>
          </cell>
        </row>
        <row r="589">
          <cell r="C589" t="str">
            <v>KAPW-FS-10509-20-07-2023</v>
          </cell>
          <cell r="D589">
            <v>45127</v>
          </cell>
          <cell r="E589" t="str">
            <v>Raw Material</v>
          </cell>
          <cell r="F589" t="str">
            <v>-</v>
          </cell>
          <cell r="G589">
            <v>4750</v>
          </cell>
        </row>
        <row r="590">
          <cell r="C590" t="str">
            <v>KAPW-FS-11807-22-07-2023</v>
          </cell>
          <cell r="D590">
            <v>45129</v>
          </cell>
          <cell r="E590" t="str">
            <v>Raw Material</v>
          </cell>
          <cell r="F590" t="str">
            <v>Closed</v>
          </cell>
          <cell r="G590">
            <v>3600</v>
          </cell>
        </row>
        <row r="591">
          <cell r="C591" t="str">
            <v>KAPS-FS-9486-22-07-2023</v>
          </cell>
          <cell r="D591">
            <v>45129</v>
          </cell>
          <cell r="E591" t="str">
            <v>Raw Material</v>
          </cell>
          <cell r="F591" t="str">
            <v>Closed</v>
          </cell>
          <cell r="G591">
            <v>44000</v>
          </cell>
        </row>
        <row r="592">
          <cell r="C592" t="str">
            <v>KAPW-FS-11808-22-07-2023</v>
          </cell>
          <cell r="D592">
            <v>45129</v>
          </cell>
          <cell r="E592" t="str">
            <v>Raw Material</v>
          </cell>
          <cell r="F592" t="str">
            <v>Closed</v>
          </cell>
          <cell r="G592">
            <v>25600</v>
          </cell>
        </row>
        <row r="593">
          <cell r="C593" t="str">
            <v>KAPE-FS-5500-22-07-2023</v>
          </cell>
          <cell r="D593">
            <v>45129</v>
          </cell>
          <cell r="E593" t="str">
            <v>Raw Material</v>
          </cell>
          <cell r="F593" t="str">
            <v>Closed</v>
          </cell>
          <cell r="G593">
            <v>299311.59999999998</v>
          </cell>
        </row>
        <row r="594">
          <cell r="C594" t="str">
            <v>KAPW-FS-11805-22-07-2023</v>
          </cell>
          <cell r="D594">
            <v>45129</v>
          </cell>
          <cell r="E594" t="str">
            <v>Raw Material</v>
          </cell>
          <cell r="F594" t="str">
            <v>Closed</v>
          </cell>
          <cell r="G594">
            <v>19155.400000000001</v>
          </cell>
        </row>
        <row r="595">
          <cell r="C595" t="str">
            <v>KAPW-FS-12038-24-07-2023</v>
          </cell>
          <cell r="D595">
            <v>45131</v>
          </cell>
          <cell r="E595" t="str">
            <v>Raw Material</v>
          </cell>
          <cell r="F595" t="str">
            <v>Closed</v>
          </cell>
          <cell r="G595">
            <v>1000</v>
          </cell>
        </row>
        <row r="596">
          <cell r="C596" t="str">
            <v>KAPW-FS-12037-24-07-2023</v>
          </cell>
          <cell r="D596">
            <v>45131</v>
          </cell>
          <cell r="E596" t="str">
            <v>Raw Material</v>
          </cell>
          <cell r="F596" t="str">
            <v>Closed</v>
          </cell>
          <cell r="G596">
            <v>500</v>
          </cell>
        </row>
        <row r="597">
          <cell r="C597" t="str">
            <v>KAPW-FS-12729-25-07-2023</v>
          </cell>
          <cell r="D597">
            <v>45132</v>
          </cell>
          <cell r="E597" t="str">
            <v>Raw Material</v>
          </cell>
          <cell r="F597" t="str">
            <v>Closed</v>
          </cell>
          <cell r="G597">
            <v>300336</v>
          </cell>
        </row>
        <row r="598">
          <cell r="C598" t="str">
            <v>KAPW-FS-13483-26-07-2023</v>
          </cell>
          <cell r="D598">
            <v>45133</v>
          </cell>
          <cell r="E598" t="str">
            <v>Raw Material</v>
          </cell>
          <cell r="F598" t="str">
            <v>Closed</v>
          </cell>
          <cell r="G598">
            <v>12729.93</v>
          </cell>
        </row>
        <row r="599">
          <cell r="C599" t="str">
            <v>KAPS-FS-10920-26-07-2023</v>
          </cell>
          <cell r="D599">
            <v>45133</v>
          </cell>
          <cell r="E599" t="str">
            <v>Raw Material</v>
          </cell>
          <cell r="F599" t="str">
            <v>Closed</v>
          </cell>
          <cell r="G599">
            <v>19300</v>
          </cell>
        </row>
        <row r="600">
          <cell r="C600" t="str">
            <v>KAPS-FS-13465-02-08-2023</v>
          </cell>
          <cell r="D600">
            <v>45140</v>
          </cell>
          <cell r="E600" t="str">
            <v>Raw Material</v>
          </cell>
          <cell r="F600" t="str">
            <v>Closed</v>
          </cell>
          <cell r="G600">
            <v>8070</v>
          </cell>
        </row>
        <row r="601">
          <cell r="C601" t="str">
            <v>KAPS-FS-14443-04-08-2023</v>
          </cell>
          <cell r="D601">
            <v>45142</v>
          </cell>
          <cell r="E601" t="str">
            <v>Raw Material</v>
          </cell>
          <cell r="F601" t="str">
            <v>Closed</v>
          </cell>
          <cell r="G601">
            <v>44000</v>
          </cell>
        </row>
        <row r="602">
          <cell r="C602" t="str">
            <v>KAPS-FS-14441-04-08-2023</v>
          </cell>
          <cell r="D602">
            <v>45142</v>
          </cell>
          <cell r="E602" t="str">
            <v>Raw Material</v>
          </cell>
          <cell r="F602" t="str">
            <v>Closed</v>
          </cell>
          <cell r="G602">
            <v>19720</v>
          </cell>
        </row>
        <row r="603">
          <cell r="C603" t="str">
            <v>KAPE-FS-9023-07-08-2023</v>
          </cell>
          <cell r="D603">
            <v>45145</v>
          </cell>
          <cell r="E603" t="str">
            <v>Packing Material</v>
          </cell>
          <cell r="F603" t="str">
            <v>Closed</v>
          </cell>
          <cell r="G603">
            <v>17893.82</v>
          </cell>
        </row>
        <row r="604">
          <cell r="C604" t="str">
            <v>KAPS-FS-15439-07-08-2023</v>
          </cell>
          <cell r="D604">
            <v>45145</v>
          </cell>
          <cell r="E604" t="str">
            <v>Raw Material</v>
          </cell>
          <cell r="F604" t="str">
            <v>Closed</v>
          </cell>
          <cell r="G604">
            <v>26000</v>
          </cell>
        </row>
        <row r="605">
          <cell r="C605" t="str">
            <v>KAPS-FS-15113-07-08-2023</v>
          </cell>
          <cell r="D605">
            <v>45145</v>
          </cell>
          <cell r="E605" t="str">
            <v>Raw Material</v>
          </cell>
          <cell r="F605" t="str">
            <v>Closed</v>
          </cell>
          <cell r="G605">
            <v>11800</v>
          </cell>
        </row>
        <row r="606">
          <cell r="C606" t="str">
            <v>KAPE-FS-9119-08-08-2023</v>
          </cell>
          <cell r="D606">
            <v>45146</v>
          </cell>
          <cell r="E606" t="str">
            <v>Raw Material</v>
          </cell>
          <cell r="F606" t="str">
            <v>Closed</v>
          </cell>
          <cell r="G606">
            <v>1780</v>
          </cell>
        </row>
        <row r="607">
          <cell r="C607" t="str">
            <v>KAPW-FS-20224-10-08-2023</v>
          </cell>
          <cell r="D607">
            <v>45148</v>
          </cell>
          <cell r="E607" t="str">
            <v>Raw Material</v>
          </cell>
          <cell r="F607" t="str">
            <v>Closed</v>
          </cell>
          <cell r="G607">
            <v>4800</v>
          </cell>
        </row>
        <row r="608">
          <cell r="C608" t="str">
            <v>KAPE-FS-9741-10-08-2023</v>
          </cell>
          <cell r="D608">
            <v>45148</v>
          </cell>
          <cell r="E608" t="str">
            <v>Raw Material</v>
          </cell>
          <cell r="F608" t="str">
            <v>Closed</v>
          </cell>
          <cell r="G608">
            <v>3050</v>
          </cell>
        </row>
        <row r="609">
          <cell r="C609" t="str">
            <v>KPPI-FS-8359-10-08-2023</v>
          </cell>
          <cell r="D609">
            <v>45148</v>
          </cell>
          <cell r="E609" t="str">
            <v>Raw Material</v>
          </cell>
          <cell r="F609" t="str">
            <v>Closed</v>
          </cell>
          <cell r="G609">
            <v>25890</v>
          </cell>
        </row>
        <row r="610">
          <cell r="C610" t="str">
            <v>KPPI-FS-8357-10-08-2023</v>
          </cell>
          <cell r="D610">
            <v>45148</v>
          </cell>
          <cell r="E610" t="str">
            <v>Raw Material</v>
          </cell>
          <cell r="F610" t="str">
            <v>Closed</v>
          </cell>
          <cell r="G610">
            <v>241865</v>
          </cell>
        </row>
        <row r="611">
          <cell r="C611" t="str">
            <v>KAPS-FS-17123-11-08-2023</v>
          </cell>
          <cell r="D611">
            <v>45149</v>
          </cell>
          <cell r="E611" t="str">
            <v>Raw Material</v>
          </cell>
          <cell r="F611" t="str">
            <v>Closed</v>
          </cell>
          <cell r="G611">
            <v>24480</v>
          </cell>
        </row>
        <row r="612">
          <cell r="C612" t="str">
            <v>KAPW-FS-23513-17-08-2023</v>
          </cell>
          <cell r="D612">
            <v>45155</v>
          </cell>
          <cell r="E612" t="str">
            <v>Raw Material</v>
          </cell>
          <cell r="F612" t="str">
            <v>Closed</v>
          </cell>
          <cell r="G612">
            <v>500</v>
          </cell>
        </row>
        <row r="613">
          <cell r="C613" t="str">
            <v>KPPI-FS-10403-22-08-2023</v>
          </cell>
          <cell r="D613">
            <v>45160</v>
          </cell>
          <cell r="E613" t="str">
            <v>Raw Material</v>
          </cell>
          <cell r="F613" t="str">
            <v>Closed</v>
          </cell>
          <cell r="G613">
            <v>274493</v>
          </cell>
        </row>
        <row r="614">
          <cell r="C614" t="str">
            <v>KAPE-FS-12872-22-08-2023</v>
          </cell>
          <cell r="D614">
            <v>45160</v>
          </cell>
          <cell r="E614" t="str">
            <v>Raw Material</v>
          </cell>
          <cell r="F614" t="str">
            <v>Closed</v>
          </cell>
          <cell r="G614">
            <v>102083</v>
          </cell>
        </row>
        <row r="615">
          <cell r="C615" t="str">
            <v>KAPS-FS-22034-24-08-2023</v>
          </cell>
          <cell r="D615">
            <v>45162</v>
          </cell>
          <cell r="E615" t="str">
            <v>Raw Material</v>
          </cell>
          <cell r="F615" t="str">
            <v>Closed</v>
          </cell>
          <cell r="G615">
            <v>157320</v>
          </cell>
        </row>
        <row r="616">
          <cell r="C616" t="str">
            <v>KPPI-FS-11015-24-08-2023</v>
          </cell>
          <cell r="D616">
            <v>45162</v>
          </cell>
          <cell r="E616" t="str">
            <v>Raw Material</v>
          </cell>
          <cell r="F616" t="str">
            <v>Closed</v>
          </cell>
          <cell r="G616">
            <v>237435.2</v>
          </cell>
        </row>
        <row r="617">
          <cell r="C617" t="str">
            <v>KAPE-FS-13569-24-08-2023</v>
          </cell>
          <cell r="D617">
            <v>45162</v>
          </cell>
          <cell r="E617" t="str">
            <v>Raw Material</v>
          </cell>
          <cell r="F617" t="str">
            <v>Closed</v>
          </cell>
          <cell r="G617">
            <v>299746.59999999998</v>
          </cell>
        </row>
        <row r="618">
          <cell r="C618" t="str">
            <v>KPPI-FS-11649-28-08-2023</v>
          </cell>
          <cell r="D618">
            <v>45166</v>
          </cell>
          <cell r="E618" t="str">
            <v>Raw Material</v>
          </cell>
          <cell r="F618" t="str">
            <v>Closed</v>
          </cell>
          <cell r="G618">
            <v>198962</v>
          </cell>
        </row>
        <row r="619">
          <cell r="C619" t="str">
            <v>KPPI-FS-11650-28-08-2023</v>
          </cell>
          <cell r="D619">
            <v>45166</v>
          </cell>
          <cell r="E619" t="str">
            <v>Raw Material</v>
          </cell>
          <cell r="F619" t="str">
            <v>Closed</v>
          </cell>
          <cell r="G619">
            <v>24648</v>
          </cell>
        </row>
        <row r="620">
          <cell r="C620" t="str">
            <v>KAPS-FS-23283-28-08-2023</v>
          </cell>
          <cell r="D620">
            <v>45166</v>
          </cell>
          <cell r="E620" t="str">
            <v>Raw Material</v>
          </cell>
          <cell r="F620" t="str">
            <v>Closed</v>
          </cell>
          <cell r="G620">
            <v>24480</v>
          </cell>
        </row>
        <row r="621">
          <cell r="C621" t="str">
            <v>KAPS-FS-23743-29-08-2023</v>
          </cell>
          <cell r="D621">
            <v>45167</v>
          </cell>
          <cell r="E621" t="str">
            <v>Raw Material</v>
          </cell>
          <cell r="F621" t="str">
            <v>Closed</v>
          </cell>
          <cell r="G621">
            <v>4000</v>
          </cell>
        </row>
        <row r="622">
          <cell r="C622" t="str">
            <v>KAPW-FS-29391-29-08-2023</v>
          </cell>
          <cell r="D622">
            <v>45167</v>
          </cell>
          <cell r="E622" t="str">
            <v>Raw Material</v>
          </cell>
          <cell r="F622" t="str">
            <v>Closed</v>
          </cell>
          <cell r="G622">
            <v>1471.5</v>
          </cell>
        </row>
        <row r="623">
          <cell r="C623" t="str">
            <v>KAPE-FS-15673-01-09-2023</v>
          </cell>
          <cell r="D623">
            <v>45170</v>
          </cell>
          <cell r="E623" t="str">
            <v>Raw Material</v>
          </cell>
          <cell r="F623" t="str">
            <v>Closed</v>
          </cell>
          <cell r="G623">
            <v>298629.40000000002</v>
          </cell>
        </row>
        <row r="624">
          <cell r="C624" t="str">
            <v>KPPI-FS-12579-01-09-2023</v>
          </cell>
          <cell r="D624">
            <v>45170</v>
          </cell>
          <cell r="E624" t="str">
            <v>Raw Material</v>
          </cell>
          <cell r="F624" t="str">
            <v>Closed</v>
          </cell>
          <cell r="G624">
            <v>38080</v>
          </cell>
        </row>
        <row r="625">
          <cell r="C625" t="str">
            <v>KAPW-FS-31229-01-09-2023</v>
          </cell>
          <cell r="D625">
            <v>45170</v>
          </cell>
          <cell r="E625" t="str">
            <v>Raw Material</v>
          </cell>
          <cell r="F625" t="str">
            <v>Closed</v>
          </cell>
          <cell r="G625">
            <v>225570</v>
          </cell>
        </row>
        <row r="626">
          <cell r="C626" t="str">
            <v>KPPI-FS-12580-01-09-2023</v>
          </cell>
          <cell r="D626">
            <v>45170</v>
          </cell>
          <cell r="E626" t="str">
            <v>Raw Material</v>
          </cell>
          <cell r="F626" t="str">
            <v>Closed</v>
          </cell>
          <cell r="G626">
            <v>80982</v>
          </cell>
        </row>
        <row r="627">
          <cell r="C627" t="str">
            <v>KAPS-FS-24917-01-09-2023</v>
          </cell>
          <cell r="D627">
            <v>45170</v>
          </cell>
          <cell r="E627" t="str">
            <v>Raw Material</v>
          </cell>
          <cell r="F627" t="str">
            <v>Closed</v>
          </cell>
          <cell r="G627">
            <v>38080</v>
          </cell>
        </row>
        <row r="628">
          <cell r="C628" t="str">
            <v>KPPI-FS-13437-05-09-2023</v>
          </cell>
          <cell r="D628">
            <v>45082</v>
          </cell>
          <cell r="E628" t="str">
            <v>Raw Material</v>
          </cell>
          <cell r="F628" t="str">
            <v>Closed</v>
          </cell>
          <cell r="G628">
            <v>231329.8</v>
          </cell>
        </row>
        <row r="629">
          <cell r="C629" t="str">
            <v>KPPI-FS-13434-05-09-2023</v>
          </cell>
          <cell r="D629">
            <v>45082</v>
          </cell>
          <cell r="E629" t="str">
            <v>Raw Material</v>
          </cell>
          <cell r="F629" t="str">
            <v>Closed</v>
          </cell>
          <cell r="G629">
            <v>20139</v>
          </cell>
        </row>
        <row r="630">
          <cell r="C630" t="str">
            <v>KAPE-FS-16848-06-09-2023</v>
          </cell>
          <cell r="D630">
            <v>45175</v>
          </cell>
          <cell r="E630" t="str">
            <v>Raw Material</v>
          </cell>
          <cell r="F630" t="str">
            <v>Closed</v>
          </cell>
          <cell r="G630">
            <v>24480</v>
          </cell>
        </row>
        <row r="631">
          <cell r="C631" t="str">
            <v>KAPS-FS-26675-06-09-2023</v>
          </cell>
          <cell r="D631">
            <v>45175</v>
          </cell>
          <cell r="E631" t="str">
            <v>Raw Material</v>
          </cell>
          <cell r="F631" t="str">
            <v>Closed</v>
          </cell>
          <cell r="G631">
            <v>26000</v>
          </cell>
        </row>
        <row r="632">
          <cell r="C632" t="str">
            <v>KAPW-FS-35299-08-09-2023</v>
          </cell>
          <cell r="D632">
            <v>45177</v>
          </cell>
          <cell r="E632" t="str">
            <v>Raw Material</v>
          </cell>
          <cell r="F632" t="str">
            <v>Closed</v>
          </cell>
          <cell r="G632">
            <v>7170</v>
          </cell>
        </row>
        <row r="633">
          <cell r="C633" t="str">
            <v>KAPW-FS-35066-08-09-2023</v>
          </cell>
          <cell r="D633">
            <v>45177</v>
          </cell>
          <cell r="E633" t="str">
            <v>Raw Material</v>
          </cell>
          <cell r="F633" t="str">
            <v>Closed</v>
          </cell>
          <cell r="G633">
            <v>19483.900000000001</v>
          </cell>
        </row>
        <row r="634">
          <cell r="C634" t="str">
            <v>KAPW-FS-35064-08-09-2023</v>
          </cell>
          <cell r="D634">
            <v>45177</v>
          </cell>
          <cell r="E634" t="str">
            <v>Raw Material</v>
          </cell>
          <cell r="F634" t="str">
            <v>Closed</v>
          </cell>
          <cell r="G634">
            <v>23100</v>
          </cell>
        </row>
        <row r="635">
          <cell r="C635" t="str">
            <v>KAPW-FS-35531-08-09-2023</v>
          </cell>
          <cell r="D635">
            <v>45177</v>
          </cell>
          <cell r="E635" t="str">
            <v>Raw Material</v>
          </cell>
          <cell r="F635" t="str">
            <v>Closed</v>
          </cell>
          <cell r="G635">
            <v>235727</v>
          </cell>
        </row>
        <row r="636">
          <cell r="C636" t="str">
            <v>KPPI-FS-13968-08-09-2023</v>
          </cell>
          <cell r="D636">
            <v>45177</v>
          </cell>
          <cell r="E636" t="str">
            <v>Raw Material</v>
          </cell>
          <cell r="F636" t="str">
            <v>Closed</v>
          </cell>
          <cell r="G636">
            <v>321933</v>
          </cell>
        </row>
        <row r="637">
          <cell r="C637" t="str">
            <v>KAPW-FS-36581-12-09-2023</v>
          </cell>
          <cell r="D637">
            <v>45181</v>
          </cell>
          <cell r="E637" t="str">
            <v>Raw Material</v>
          </cell>
          <cell r="F637" t="str">
            <v>Closed</v>
          </cell>
          <cell r="G637">
            <v>3992</v>
          </cell>
        </row>
        <row r="638">
          <cell r="C638" t="str">
            <v>KPPI-FS-13969-08-09-2023</v>
          </cell>
          <cell r="D638">
            <v>45177</v>
          </cell>
          <cell r="E638" t="str">
            <v>Raw Material</v>
          </cell>
          <cell r="F638" t="str">
            <v>Closed</v>
          </cell>
          <cell r="G638">
            <v>80601</v>
          </cell>
        </row>
        <row r="639">
          <cell r="C639" t="str">
            <v>KAPW-FS-37553-13-09-2023</v>
          </cell>
          <cell r="D639">
            <v>45182</v>
          </cell>
          <cell r="E639" t="str">
            <v>Raw Material</v>
          </cell>
          <cell r="F639" t="str">
            <v>Closed</v>
          </cell>
          <cell r="G639">
            <v>4450</v>
          </cell>
        </row>
        <row r="640">
          <cell r="C640" t="str">
            <v>KAPE-FS-17348-08-09-2023</v>
          </cell>
          <cell r="D640">
            <v>45177</v>
          </cell>
          <cell r="E640" t="str">
            <v>Raw Material</v>
          </cell>
          <cell r="F640" t="str">
            <v>Closed</v>
          </cell>
          <cell r="G640">
            <v>1950</v>
          </cell>
        </row>
        <row r="641">
          <cell r="C641" t="str">
            <v>KAPE-FS-19649-18-09-2023</v>
          </cell>
          <cell r="D641">
            <v>45187</v>
          </cell>
          <cell r="E641" t="str">
            <v>Raw Material</v>
          </cell>
          <cell r="F641" t="str">
            <v>Closed</v>
          </cell>
          <cell r="G641">
            <v>24480</v>
          </cell>
        </row>
        <row r="642">
          <cell r="C642" t="str">
            <v>KAPW-FS-37554-13-09-2023</v>
          </cell>
          <cell r="D642">
            <v>45182</v>
          </cell>
          <cell r="E642" t="str">
            <v>Raw Material</v>
          </cell>
          <cell r="F642" t="str">
            <v>Closed</v>
          </cell>
          <cell r="G642">
            <v>3500</v>
          </cell>
        </row>
        <row r="643">
          <cell r="C643" t="str">
            <v>KAPS-FS-31014-19-09-2023</v>
          </cell>
          <cell r="D643">
            <v>45188</v>
          </cell>
          <cell r="E643" t="str">
            <v>Raw Material</v>
          </cell>
          <cell r="F643" t="str">
            <v>Closed</v>
          </cell>
          <cell r="G643">
            <v>6500</v>
          </cell>
        </row>
        <row r="644">
          <cell r="C644" t="str">
            <v>KAPW-FS-39892-18-09-2023</v>
          </cell>
          <cell r="D644">
            <v>45187</v>
          </cell>
          <cell r="E644" t="str">
            <v>Raw Material</v>
          </cell>
          <cell r="F644" t="str">
            <v>Closed</v>
          </cell>
          <cell r="G644">
            <v>12000</v>
          </cell>
        </row>
        <row r="645">
          <cell r="C645" t="str">
            <v>KAPW-FS-39893-18-09-2023</v>
          </cell>
          <cell r="D645">
            <v>45187</v>
          </cell>
          <cell r="E645" t="str">
            <v>Raw Material</v>
          </cell>
          <cell r="F645" t="str">
            <v>Running</v>
          </cell>
          <cell r="G645">
            <v>8080</v>
          </cell>
        </row>
        <row r="646">
          <cell r="C646" t="str">
            <v>KAPW-FS-39893-18-09-2023</v>
          </cell>
          <cell r="D646">
            <v>45187</v>
          </cell>
          <cell r="E646" t="str">
            <v>Raw Material</v>
          </cell>
          <cell r="F646" t="str">
            <v>Running</v>
          </cell>
          <cell r="G646">
            <v>3300</v>
          </cell>
        </row>
        <row r="647">
          <cell r="C647" t="str">
            <v>KPPI-FS-15582-16-09-2023</v>
          </cell>
          <cell r="D647">
            <v>45185</v>
          </cell>
          <cell r="E647" t="str">
            <v>Raw Material</v>
          </cell>
          <cell r="F647" t="str">
            <v>Closed</v>
          </cell>
          <cell r="G647">
            <v>38080</v>
          </cell>
        </row>
        <row r="648">
          <cell r="C648" t="str">
            <v>KAPW-FS-40378-19-09-2023</v>
          </cell>
          <cell r="D648">
            <v>45188</v>
          </cell>
          <cell r="E648" t="str">
            <v>Raw Material</v>
          </cell>
          <cell r="F648" t="str">
            <v>Closed</v>
          </cell>
          <cell r="G648">
            <v>6100</v>
          </cell>
        </row>
        <row r="649">
          <cell r="C649" t="str">
            <v>KAPS-FS-32026-22-09-2023</v>
          </cell>
          <cell r="D649">
            <v>45188</v>
          </cell>
          <cell r="E649" t="str">
            <v>Raw Material</v>
          </cell>
          <cell r="F649" t="str">
            <v>Closed</v>
          </cell>
          <cell r="G649">
            <v>24480</v>
          </cell>
        </row>
        <row r="650">
          <cell r="C650" t="str">
            <v>KAPW-FS-43777-26-09-2023</v>
          </cell>
          <cell r="D650">
            <v>45188</v>
          </cell>
          <cell r="E650" t="str">
            <v>Raw Material</v>
          </cell>
          <cell r="F650" t="str">
            <v>Closed</v>
          </cell>
          <cell r="G650">
            <v>49000</v>
          </cell>
        </row>
        <row r="651">
          <cell r="C651" t="str">
            <v>KAPS-FS-34666-02-10-2023</v>
          </cell>
          <cell r="D651">
            <v>45201</v>
          </cell>
          <cell r="E651" t="str">
            <v>Raw Material</v>
          </cell>
          <cell r="F651" t="str">
            <v>Closed</v>
          </cell>
          <cell r="G651">
            <v>24480</v>
          </cell>
        </row>
        <row r="652">
          <cell r="C652" t="str">
            <v>KAPW-FS-46787-03-10-2023</v>
          </cell>
          <cell r="D652">
            <v>45202</v>
          </cell>
          <cell r="E652" t="str">
            <v>Raw Material</v>
          </cell>
          <cell r="F652" t="str">
            <v>Closed</v>
          </cell>
          <cell r="G652">
            <v>1000</v>
          </cell>
        </row>
        <row r="653">
          <cell r="C653" t="str">
            <v>KPPI-FS-19300-05-10-2023</v>
          </cell>
          <cell r="D653">
            <v>45204</v>
          </cell>
          <cell r="E653" t="str">
            <v>Raw Material</v>
          </cell>
          <cell r="F653" t="str">
            <v>Closed</v>
          </cell>
          <cell r="G653">
            <v>198509</v>
          </cell>
        </row>
        <row r="654">
          <cell r="C654" t="str">
            <v>KAPW-FS-49134-06-10-2023</v>
          </cell>
          <cell r="D654">
            <v>45205</v>
          </cell>
          <cell r="E654" t="str">
            <v>Raw Material</v>
          </cell>
          <cell r="F654" t="str">
            <v>Closed</v>
          </cell>
          <cell r="G654">
            <v>1150</v>
          </cell>
        </row>
        <row r="655">
          <cell r="C655" t="str">
            <v>KAPW-FS-49133-06-10-2023</v>
          </cell>
          <cell r="D655">
            <v>45205</v>
          </cell>
          <cell r="E655" t="str">
            <v>Raw Material</v>
          </cell>
          <cell r="F655" t="str">
            <v>Closed</v>
          </cell>
          <cell r="G655">
            <v>298757.2</v>
          </cell>
        </row>
        <row r="656">
          <cell r="C656" t="str">
            <v>KAPS-FS-36818-06-10-2023</v>
          </cell>
          <cell r="D656">
            <v>45205</v>
          </cell>
          <cell r="E656" t="str">
            <v>Raw Material</v>
          </cell>
          <cell r="F656" t="str">
            <v>Closed</v>
          </cell>
          <cell r="G656">
            <v>25867.5</v>
          </cell>
        </row>
        <row r="657">
          <cell r="C657" t="str">
            <v>KAPE-FS-26063-13-10-2023</v>
          </cell>
          <cell r="D657">
            <v>45212</v>
          </cell>
          <cell r="E657" t="str">
            <v>Raw Material</v>
          </cell>
          <cell r="F657" t="str">
            <v>Closed</v>
          </cell>
          <cell r="G657">
            <v>500</v>
          </cell>
        </row>
        <row r="658">
          <cell r="C658" t="str">
            <v>KPAF-FS-18179-17-10-2023</v>
          </cell>
          <cell r="D658">
            <v>45216</v>
          </cell>
          <cell r="E658" t="str">
            <v>Raw Material</v>
          </cell>
          <cell r="F658" t="str">
            <v>Closed</v>
          </cell>
          <cell r="G658">
            <v>164</v>
          </cell>
        </row>
        <row r="659">
          <cell r="C659" t="str">
            <v>KAPW-FS-55507-18-10-2023</v>
          </cell>
          <cell r="D659">
            <v>45217</v>
          </cell>
          <cell r="E659" t="str">
            <v>Raw Material</v>
          </cell>
          <cell r="F659" t="str">
            <v>Closed</v>
          </cell>
          <cell r="G659">
            <v>416</v>
          </cell>
        </row>
        <row r="660">
          <cell r="C660" t="str">
            <v>KAPS-FS-41324-18-10-2023</v>
          </cell>
          <cell r="D660">
            <v>45217</v>
          </cell>
          <cell r="E660" t="str">
            <v>Raw Material</v>
          </cell>
          <cell r="F660" t="str">
            <v>Closed</v>
          </cell>
          <cell r="G660">
            <v>24480</v>
          </cell>
        </row>
        <row r="661">
          <cell r="C661" t="str">
            <v>KAPW-FS-57519-20-10-2023</v>
          </cell>
          <cell r="D661">
            <v>45219</v>
          </cell>
          <cell r="E661" t="str">
            <v>Raw Material</v>
          </cell>
          <cell r="F661" t="str">
            <v>Closed</v>
          </cell>
          <cell r="G661">
            <v>19915</v>
          </cell>
        </row>
        <row r="662">
          <cell r="C662" t="str">
            <v>KAPE-FS-27472-18-10-2023</v>
          </cell>
          <cell r="D662">
            <v>45217</v>
          </cell>
          <cell r="E662" t="str">
            <v>Raw Material</v>
          </cell>
          <cell r="F662" t="str">
            <v>-</v>
          </cell>
          <cell r="G662">
            <v>288</v>
          </cell>
        </row>
        <row r="663">
          <cell r="C663" t="str">
            <v>KAPE-FS-28369-20-10-2023</v>
          </cell>
          <cell r="D663">
            <v>45219</v>
          </cell>
          <cell r="E663" t="str">
            <v>Raw Material</v>
          </cell>
          <cell r="F663" t="str">
            <v>Closed</v>
          </cell>
          <cell r="G663">
            <v>300267.28000000003</v>
          </cell>
        </row>
        <row r="664">
          <cell r="C664" t="str">
            <v>KAPS-FS-44579-26-10-2023</v>
          </cell>
          <cell r="D664">
            <v>45225</v>
          </cell>
          <cell r="E664" t="str">
            <v>Raw Material</v>
          </cell>
          <cell r="F664" t="str">
            <v>Closed</v>
          </cell>
          <cell r="G664">
            <v>15000</v>
          </cell>
        </row>
        <row r="665">
          <cell r="C665" t="str">
            <v>KAPE-FS-30144-27-10-2023</v>
          </cell>
          <cell r="D665">
            <v>45226</v>
          </cell>
          <cell r="E665" t="str">
            <v>Raw Material</v>
          </cell>
          <cell r="F665" t="str">
            <v>Closed</v>
          </cell>
          <cell r="G665">
            <v>24480</v>
          </cell>
        </row>
        <row r="666">
          <cell r="C666" t="str">
            <v>KPPI-FS-23796-28-10-2023</v>
          </cell>
          <cell r="D666">
            <v>45227</v>
          </cell>
          <cell r="E666" t="str">
            <v>Raw Material</v>
          </cell>
          <cell r="F666" t="str">
            <v>Closed</v>
          </cell>
          <cell r="G666">
            <v>200045</v>
          </cell>
        </row>
        <row r="667">
          <cell r="C667" t="str">
            <v>KAPS-FS-47366-01-11-2023</v>
          </cell>
          <cell r="D667">
            <v>45231</v>
          </cell>
          <cell r="E667" t="str">
            <v>Raw Material</v>
          </cell>
          <cell r="F667" t="str">
            <v>Closed</v>
          </cell>
          <cell r="G667">
            <v>18720</v>
          </cell>
        </row>
        <row r="668">
          <cell r="C668" t="str">
            <v>KAPE-FS-31916-03-11-2023</v>
          </cell>
          <cell r="D668">
            <v>45233</v>
          </cell>
          <cell r="E668" t="str">
            <v>Raw Material</v>
          </cell>
          <cell r="F668" t="str">
            <v>-</v>
          </cell>
          <cell r="G668">
            <v>1300</v>
          </cell>
        </row>
        <row r="669">
          <cell r="C669" t="str">
            <v>KAPW-FS-65055-03-11-2023</v>
          </cell>
          <cell r="D669">
            <v>45233</v>
          </cell>
          <cell r="E669" t="str">
            <v>Raw Material</v>
          </cell>
          <cell r="F669" t="str">
            <v>-</v>
          </cell>
          <cell r="G669">
            <v>4132</v>
          </cell>
        </row>
        <row r="670">
          <cell r="C670" t="str">
            <v>KAPS-FS-47364-01-11-2023</v>
          </cell>
          <cell r="D670">
            <v>45231</v>
          </cell>
          <cell r="E670" t="str">
            <v>Packing Material</v>
          </cell>
          <cell r="F670" t="str">
            <v>Closed</v>
          </cell>
          <cell r="G670">
            <v>25017</v>
          </cell>
        </row>
        <row r="671">
          <cell r="C671" t="str">
            <v>KAPE-FS-32181-04-11-2023</v>
          </cell>
          <cell r="D671">
            <v>45234</v>
          </cell>
          <cell r="E671" t="str">
            <v>Raw Material</v>
          </cell>
          <cell r="F671" t="str">
            <v>Closed</v>
          </cell>
          <cell r="G671">
            <v>2000</v>
          </cell>
        </row>
        <row r="672">
          <cell r="C672" t="str">
            <v>KAPS-FS-48907-06-11-2023</v>
          </cell>
          <cell r="D672">
            <v>45236</v>
          </cell>
          <cell r="E672" t="str">
            <v>Raw Material</v>
          </cell>
          <cell r="F672" t="str">
            <v>Closed</v>
          </cell>
          <cell r="G672">
            <v>26000</v>
          </cell>
        </row>
        <row r="673">
          <cell r="C673" t="str">
            <v>KAPS-FS-50062-10-11-2023</v>
          </cell>
          <cell r="D673">
            <v>45240</v>
          </cell>
          <cell r="E673" t="str">
            <v>Raw Material</v>
          </cell>
          <cell r="F673" t="str">
            <v>Closed</v>
          </cell>
          <cell r="G673">
            <v>7560</v>
          </cell>
        </row>
        <row r="674">
          <cell r="C674" t="str">
            <v>KAPS-FS-51186-14-11-2023</v>
          </cell>
          <cell r="D674">
            <v>45244</v>
          </cell>
          <cell r="E674" t="str">
            <v>Raw Material</v>
          </cell>
          <cell r="F674" t="str">
            <v>Closed</v>
          </cell>
          <cell r="G674">
            <v>24480</v>
          </cell>
        </row>
        <row r="675">
          <cell r="C675" t="str">
            <v>KAPW-FS-68911-13-11-2023</v>
          </cell>
          <cell r="D675">
            <v>45243</v>
          </cell>
          <cell r="E675" t="str">
            <v>Raw Material</v>
          </cell>
          <cell r="F675" t="str">
            <v>Closed</v>
          </cell>
          <cell r="G675">
            <v>102000</v>
          </cell>
        </row>
        <row r="676">
          <cell r="C676" t="str">
            <v>KAPS-FS-52107-16-11-2023</v>
          </cell>
          <cell r="D676">
            <v>45246</v>
          </cell>
          <cell r="E676" t="str">
            <v>Raw Material</v>
          </cell>
          <cell r="F676" t="str">
            <v>Closed</v>
          </cell>
          <cell r="G676">
            <v>18000</v>
          </cell>
        </row>
        <row r="677">
          <cell r="C677" t="str">
            <v>KAPS-FS-51016-14-11-2023</v>
          </cell>
          <cell r="D677">
            <v>45244</v>
          </cell>
          <cell r="E677" t="str">
            <v>Raw Material</v>
          </cell>
          <cell r="F677" t="str">
            <v>Closed</v>
          </cell>
          <cell r="G677">
            <v>7200</v>
          </cell>
        </row>
        <row r="678">
          <cell r="C678" t="str">
            <v>KAPS-FS-51188-14-11-2023</v>
          </cell>
          <cell r="D678">
            <v>45244</v>
          </cell>
          <cell r="E678" t="str">
            <v>Raw Material</v>
          </cell>
          <cell r="F678" t="str">
            <v>Closed</v>
          </cell>
          <cell r="G678">
            <v>18000</v>
          </cell>
        </row>
        <row r="679">
          <cell r="C679" t="str">
            <v>KAPW-FS-75828-24-11-2023</v>
          </cell>
          <cell r="D679">
            <v>45254</v>
          </cell>
          <cell r="E679" t="str">
            <v>Raw Material</v>
          </cell>
          <cell r="F679" t="str">
            <v>-</v>
          </cell>
          <cell r="G679">
            <v>914</v>
          </cell>
        </row>
        <row r="680">
          <cell r="C680" t="str">
            <v>KAPS-FS-55283-23-11-2023</v>
          </cell>
          <cell r="D680">
            <v>45253</v>
          </cell>
          <cell r="E680" t="str">
            <v>Raw Material</v>
          </cell>
          <cell r="F680" t="str">
            <v>Closed</v>
          </cell>
          <cell r="G680">
            <v>18720</v>
          </cell>
        </row>
        <row r="681">
          <cell r="C681" t="str">
            <v>KAPS-FS-57526-28-11-2023</v>
          </cell>
          <cell r="D681">
            <v>45232</v>
          </cell>
          <cell r="E681" t="str">
            <v>Raw Material</v>
          </cell>
          <cell r="F681" t="str">
            <v>Closed</v>
          </cell>
          <cell r="G681">
            <v>19300</v>
          </cell>
        </row>
        <row r="682">
          <cell r="C682" t="str">
            <v>KAPS-FS-57525-28-11-2023</v>
          </cell>
          <cell r="D682">
            <v>45258</v>
          </cell>
          <cell r="E682" t="str">
            <v>Raw Material</v>
          </cell>
          <cell r="F682" t="str">
            <v>Closed</v>
          </cell>
          <cell r="G682">
            <v>102000</v>
          </cell>
        </row>
        <row r="683">
          <cell r="C683" t="str">
            <v>KAPW-FS-80230-30-11-2023</v>
          </cell>
          <cell r="D683">
            <v>45260</v>
          </cell>
          <cell r="E683" t="str">
            <v>Raw Material</v>
          </cell>
          <cell r="F683" t="str">
            <v>Closed</v>
          </cell>
          <cell r="G683">
            <v>3050</v>
          </cell>
        </row>
        <row r="684">
          <cell r="C684" t="str">
            <v>KAPW-FS-81819-04-12-2023</v>
          </cell>
          <cell r="D684">
            <v>45264</v>
          </cell>
          <cell r="E684" t="str">
            <v>Raw Material</v>
          </cell>
          <cell r="F684" t="str">
            <v>Closed</v>
          </cell>
          <cell r="G684">
            <v>2000</v>
          </cell>
        </row>
        <row r="685">
          <cell r="C685" t="str">
            <v>KAPW-FS-80233-30-11-2023</v>
          </cell>
          <cell r="D685">
            <v>45260</v>
          </cell>
          <cell r="E685" t="str">
            <v>Raw Material</v>
          </cell>
          <cell r="F685" t="str">
            <v>Closed</v>
          </cell>
          <cell r="G685">
            <v>240</v>
          </cell>
        </row>
        <row r="686">
          <cell r="C686" t="str">
            <v>KAPW-FS-80231-30-11-2023</v>
          </cell>
          <cell r="D686">
            <v>45260</v>
          </cell>
          <cell r="E686" t="str">
            <v>Raw Material</v>
          </cell>
          <cell r="F686" t="str">
            <v>Closed</v>
          </cell>
          <cell r="G686">
            <v>1200</v>
          </cell>
        </row>
        <row r="687">
          <cell r="C687" t="str">
            <v>KAPW-FS-82713-05-12-2023</v>
          </cell>
          <cell r="D687">
            <v>45265</v>
          </cell>
          <cell r="E687" t="str">
            <v>Raw Material</v>
          </cell>
          <cell r="F687" t="str">
            <v>Closed</v>
          </cell>
          <cell r="G687">
            <v>500</v>
          </cell>
        </row>
        <row r="688">
          <cell r="C688" t="str">
            <v>KAPW-FS-84073-07-12-2023</v>
          </cell>
          <cell r="D688">
            <v>45267</v>
          </cell>
          <cell r="E688" t="str">
            <v>Raw Material</v>
          </cell>
          <cell r="F688" t="str">
            <v>-</v>
          </cell>
          <cell r="G688">
            <v>1871</v>
          </cell>
        </row>
        <row r="689">
          <cell r="C689" t="str">
            <v>KAPS-FS-62965-12-12-2023</v>
          </cell>
          <cell r="D689">
            <v>45272</v>
          </cell>
          <cell r="E689" t="str">
            <v>Raw Material</v>
          </cell>
          <cell r="F689" t="str">
            <v>Closed</v>
          </cell>
          <cell r="G689">
            <v>24480</v>
          </cell>
        </row>
        <row r="690">
          <cell r="C690" t="str">
            <v>KAPE-FS-41875-13-12-2023</v>
          </cell>
          <cell r="D690">
            <v>45273</v>
          </cell>
          <cell r="E690" t="str">
            <v>Raw Material</v>
          </cell>
          <cell r="F690" t="str">
            <v>-</v>
          </cell>
          <cell r="G690">
            <v>200</v>
          </cell>
        </row>
        <row r="691">
          <cell r="C691" t="str">
            <v>KPAF-FS-28587-15-12-2023</v>
          </cell>
          <cell r="D691">
            <v>45275</v>
          </cell>
          <cell r="E691" t="str">
            <v>Raw Material</v>
          </cell>
          <cell r="F691" t="str">
            <v>-</v>
          </cell>
          <cell r="G691">
            <v>132</v>
          </cell>
        </row>
        <row r="692">
          <cell r="C692" t="str">
            <v>KAPE-FS-43019-18-12-2023</v>
          </cell>
          <cell r="D692">
            <v>45278</v>
          </cell>
          <cell r="E692" t="str">
            <v>Raw Material</v>
          </cell>
          <cell r="F692" t="str">
            <v>Closed</v>
          </cell>
          <cell r="G692">
            <v>1711</v>
          </cell>
        </row>
        <row r="693">
          <cell r="C693" t="str">
            <v>KAPS-FS-64757-16-12-2023</v>
          </cell>
          <cell r="D693">
            <v>45276</v>
          </cell>
          <cell r="E693" t="str">
            <v>Raw Material</v>
          </cell>
          <cell r="F693" t="str">
            <v>Closed</v>
          </cell>
          <cell r="G693">
            <v>24480</v>
          </cell>
        </row>
        <row r="694">
          <cell r="C694" t="str">
            <v>KAPS-FS-65794-19-12-2023</v>
          </cell>
          <cell r="D694">
            <v>45279</v>
          </cell>
          <cell r="E694" t="str">
            <v>Raw Material</v>
          </cell>
          <cell r="F694" t="str">
            <v>Closed</v>
          </cell>
          <cell r="G694">
            <v>18720</v>
          </cell>
        </row>
        <row r="695">
          <cell r="C695" t="str">
            <v>KAPS-FS-67466-21-12-2023</v>
          </cell>
          <cell r="D695">
            <v>45281</v>
          </cell>
          <cell r="E695" t="str">
            <v>Packing Material</v>
          </cell>
          <cell r="F695" t="str">
            <v>Running</v>
          </cell>
          <cell r="G695">
            <v>4050</v>
          </cell>
        </row>
        <row r="696">
          <cell r="C696" t="str">
            <v>KAPS-FS-67818-22-12-2023</v>
          </cell>
          <cell r="D696">
            <v>45282</v>
          </cell>
          <cell r="E696" t="str">
            <v>Packing Material</v>
          </cell>
          <cell r="F696" t="str">
            <v>Closed</v>
          </cell>
          <cell r="G696">
            <v>25017</v>
          </cell>
        </row>
        <row r="697">
          <cell r="C697" t="str">
            <v>KAPS-FS-68864-26-12-2023</v>
          </cell>
          <cell r="D697">
            <v>45652</v>
          </cell>
          <cell r="E697" t="str">
            <v>Raw Material</v>
          </cell>
          <cell r="F697" t="str">
            <v>Closed</v>
          </cell>
          <cell r="G697">
            <v>24480</v>
          </cell>
        </row>
        <row r="698">
          <cell r="C698" t="str">
            <v>KAPS-FS-69884-28-12-2023</v>
          </cell>
          <cell r="D698">
            <v>45288</v>
          </cell>
          <cell r="E698" t="str">
            <v>Packing Material</v>
          </cell>
          <cell r="F698" t="str">
            <v>Closed</v>
          </cell>
          <cell r="G698">
            <v>25017</v>
          </cell>
        </row>
        <row r="699">
          <cell r="C699" t="str">
            <v>KAPS-FS-72689-04-01-2024</v>
          </cell>
          <cell r="D699">
            <v>45295</v>
          </cell>
          <cell r="E699" t="str">
            <v>Raw Material</v>
          </cell>
          <cell r="F699" t="str">
            <v>Closed</v>
          </cell>
          <cell r="G699">
            <v>24480</v>
          </cell>
        </row>
        <row r="700">
          <cell r="C700" t="str">
            <v>KAPE-FS-46606-04-01-2024</v>
          </cell>
          <cell r="D700">
            <v>45295</v>
          </cell>
          <cell r="E700" t="str">
            <v>Raw Material</v>
          </cell>
          <cell r="F700" t="str">
            <v>Closed</v>
          </cell>
          <cell r="G700">
            <v>73440</v>
          </cell>
        </row>
        <row r="701">
          <cell r="C701" t="str">
            <v>KPAF-FS-31625-02-01-2024</v>
          </cell>
          <cell r="D701">
            <v>45293</v>
          </cell>
          <cell r="E701" t="str">
            <v>Raw Material</v>
          </cell>
          <cell r="F701" t="str">
            <v>Closed</v>
          </cell>
          <cell r="G701">
            <v>800</v>
          </cell>
        </row>
        <row r="702">
          <cell r="C702" t="str">
            <v>KAPS-FS-72691-04-01-2024</v>
          </cell>
          <cell r="D702">
            <v>45295</v>
          </cell>
          <cell r="E702" t="str">
            <v>Raw Material</v>
          </cell>
          <cell r="F702" t="str">
            <v>Closed</v>
          </cell>
          <cell r="G702">
            <v>24480</v>
          </cell>
        </row>
        <row r="703">
          <cell r="C703" t="str">
            <v>KAPE-FS-45579-01-01-2024</v>
          </cell>
          <cell r="D703">
            <v>45292</v>
          </cell>
          <cell r="E703" t="str">
            <v>Raw Material</v>
          </cell>
          <cell r="F703" t="str">
            <v>Closed</v>
          </cell>
          <cell r="G703">
            <v>5000</v>
          </cell>
        </row>
        <row r="704">
          <cell r="C704" t="str">
            <v>KAPS-FS-75024-10-01-2024</v>
          </cell>
          <cell r="D704">
            <v>45301</v>
          </cell>
          <cell r="E704" t="str">
            <v>Raw Material</v>
          </cell>
          <cell r="F704" t="str">
            <v>-</v>
          </cell>
          <cell r="G704">
            <v>7536</v>
          </cell>
        </row>
        <row r="705">
          <cell r="C705" t="str">
            <v>KAPW-FS-100035-05-01-2024</v>
          </cell>
          <cell r="D705">
            <v>45296</v>
          </cell>
          <cell r="E705" t="str">
            <v>Raw Material</v>
          </cell>
          <cell r="F705" t="str">
            <v>Running</v>
          </cell>
          <cell r="G705">
            <v>19300</v>
          </cell>
        </row>
        <row r="706">
          <cell r="C706" t="str">
            <v>KAPS-FS-76288-12-01-2024</v>
          </cell>
          <cell r="D706">
            <v>45303</v>
          </cell>
          <cell r="E706" t="str">
            <v>Raw Material</v>
          </cell>
          <cell r="F706" t="str">
            <v>Closed</v>
          </cell>
          <cell r="G706">
            <v>22000</v>
          </cell>
        </row>
        <row r="707">
          <cell r="C707" t="str">
            <v>KAPS-FS-76290-12-01-2024</v>
          </cell>
          <cell r="D707">
            <v>45303</v>
          </cell>
          <cell r="E707" t="str">
            <v>Raw Material</v>
          </cell>
          <cell r="F707" t="str">
            <v>Closed</v>
          </cell>
          <cell r="G707">
            <v>22000</v>
          </cell>
        </row>
        <row r="708">
          <cell r="C708" t="str">
            <v>KAPW-FS-104585-12-01-2024</v>
          </cell>
          <cell r="D708">
            <v>45303</v>
          </cell>
          <cell r="E708" t="str">
            <v>Raw Material</v>
          </cell>
          <cell r="F708" t="str">
            <v>Closed</v>
          </cell>
          <cell r="G708">
            <v>24480</v>
          </cell>
        </row>
        <row r="709">
          <cell r="C709" t="str">
            <v>KAPS-FS-77946-16-01-2024</v>
          </cell>
          <cell r="D709">
            <v>45307</v>
          </cell>
          <cell r="E709" t="str">
            <v>Raw Material</v>
          </cell>
          <cell r="F709" t="str">
            <v>Closed</v>
          </cell>
          <cell r="G709">
            <v>26000</v>
          </cell>
        </row>
        <row r="710">
          <cell r="C710" t="str">
            <v>KAPW-FS-104588-12-01-2024</v>
          </cell>
          <cell r="D710">
            <v>45303</v>
          </cell>
          <cell r="E710" t="str">
            <v>Raw Material</v>
          </cell>
          <cell r="F710" t="str">
            <v>-</v>
          </cell>
          <cell r="G710">
            <v>23100</v>
          </cell>
        </row>
        <row r="711">
          <cell r="C711" t="str">
            <v>KAPW-FS-104587-12-01-2024</v>
          </cell>
          <cell r="D711">
            <v>45303</v>
          </cell>
          <cell r="E711" t="str">
            <v>Raw Material</v>
          </cell>
          <cell r="F711" t="str">
            <v>-</v>
          </cell>
          <cell r="G711">
            <v>24480</v>
          </cell>
        </row>
        <row r="712">
          <cell r="C712" t="str">
            <v>KAPW-FS-107833-18-01-2024</v>
          </cell>
          <cell r="D712">
            <v>45309</v>
          </cell>
          <cell r="E712" t="str">
            <v>Raw Material</v>
          </cell>
          <cell r="F712" t="str">
            <v>Closed</v>
          </cell>
          <cell r="G712">
            <v>240</v>
          </cell>
        </row>
        <row r="713">
          <cell r="C713" t="str">
            <v>KAPW-FS-107064-16-01-2024</v>
          </cell>
          <cell r="D713">
            <v>45307</v>
          </cell>
          <cell r="E713" t="str">
            <v>Raw Material</v>
          </cell>
          <cell r="F713" t="str">
            <v>-</v>
          </cell>
          <cell r="G713">
            <v>956</v>
          </cell>
        </row>
        <row r="714">
          <cell r="C714" t="str">
            <v>KPPI-FS-40049-16-01-2024</v>
          </cell>
          <cell r="D714">
            <v>45307</v>
          </cell>
          <cell r="E714" t="str">
            <v>Raw Material</v>
          </cell>
          <cell r="F714" t="str">
            <v>Closed</v>
          </cell>
          <cell r="G714">
            <v>273814</v>
          </cell>
        </row>
        <row r="715">
          <cell r="C715" t="str">
            <v>KAPS-FS-78557-18-01-2024</v>
          </cell>
          <cell r="D715">
            <v>45309</v>
          </cell>
          <cell r="E715" t="str">
            <v>Raw Material</v>
          </cell>
          <cell r="F715" t="str">
            <v>-</v>
          </cell>
          <cell r="G715">
            <v>23100</v>
          </cell>
        </row>
        <row r="716">
          <cell r="C716" t="str">
            <v>KAPW-FS-107801-18-01-2024</v>
          </cell>
          <cell r="D716">
            <v>45309</v>
          </cell>
          <cell r="E716" t="str">
            <v>Raw Material</v>
          </cell>
          <cell r="F716" t="str">
            <v>Closed</v>
          </cell>
          <cell r="G716">
            <v>102000</v>
          </cell>
        </row>
        <row r="717">
          <cell r="C717" t="str">
            <v>KAPW-FS-110804-23-01-2024</v>
          </cell>
          <cell r="D717">
            <v>45314</v>
          </cell>
          <cell r="E717" t="str">
            <v>Raw Material</v>
          </cell>
          <cell r="F717" t="str">
            <v>Running</v>
          </cell>
          <cell r="G717">
            <v>23100</v>
          </cell>
        </row>
        <row r="718">
          <cell r="C718" t="str">
            <v>KAPS-FS-80327-23-01-2024</v>
          </cell>
          <cell r="D718">
            <v>45314</v>
          </cell>
          <cell r="E718" t="str">
            <v>Raw Material</v>
          </cell>
          <cell r="F718" t="str">
            <v>-</v>
          </cell>
          <cell r="G718">
            <v>24480</v>
          </cell>
        </row>
        <row r="719">
          <cell r="C719" t="str">
            <v>KAPS-FS-78581-18-01-2024</v>
          </cell>
          <cell r="D719">
            <v>45309</v>
          </cell>
          <cell r="E719" t="str">
            <v>Raw Material</v>
          </cell>
          <cell r="F719" t="str">
            <v>Closed</v>
          </cell>
          <cell r="G719">
            <v>22000</v>
          </cell>
        </row>
        <row r="720">
          <cell r="C720" t="str">
            <v>KAPS-FS-78582-18-01-2024</v>
          </cell>
          <cell r="D720">
            <v>45309</v>
          </cell>
          <cell r="E720" t="str">
            <v>Raw Material</v>
          </cell>
          <cell r="F720" t="str">
            <v>Closed</v>
          </cell>
          <cell r="G720">
            <v>22000</v>
          </cell>
        </row>
        <row r="721">
          <cell r="C721" t="str">
            <v>KAPS-FS-80270-23-01-2024</v>
          </cell>
          <cell r="D721">
            <v>45314</v>
          </cell>
          <cell r="E721" t="str">
            <v>Raw Material</v>
          </cell>
          <cell r="F721" t="str">
            <v>-</v>
          </cell>
          <cell r="G721">
            <v>23100</v>
          </cell>
        </row>
        <row r="722">
          <cell r="C722" t="str">
            <v>KAPW-FS-110799-23-01-2024</v>
          </cell>
          <cell r="D722">
            <v>45314</v>
          </cell>
          <cell r="E722" t="str">
            <v>Raw Material</v>
          </cell>
          <cell r="F722" t="str">
            <v>Closed</v>
          </cell>
          <cell r="G722">
            <v>25600</v>
          </cell>
        </row>
        <row r="723">
          <cell r="C723" t="str">
            <v>KAPW-FS-112745-25-01-2024</v>
          </cell>
          <cell r="D723">
            <v>45316</v>
          </cell>
          <cell r="E723" t="str">
            <v>Raw Material</v>
          </cell>
          <cell r="F723" t="str">
            <v>Closed</v>
          </cell>
          <cell r="G723">
            <v>2760</v>
          </cell>
        </row>
        <row r="724">
          <cell r="C724" t="str">
            <v>KAPS-FS-84174-31-01-2024</v>
          </cell>
          <cell r="D724">
            <v>45322</v>
          </cell>
          <cell r="E724" t="str">
            <v>Raw Material</v>
          </cell>
          <cell r="F724" t="str">
            <v>Closed</v>
          </cell>
          <cell r="G724">
            <v>17460</v>
          </cell>
        </row>
        <row r="725">
          <cell r="C725" t="str">
            <v>KAPW-FS-116119-31-01-2024</v>
          </cell>
          <cell r="D725">
            <v>45322</v>
          </cell>
          <cell r="E725" t="str">
            <v>Raw Material</v>
          </cell>
          <cell r="F725" t="str">
            <v>-</v>
          </cell>
          <cell r="G725">
            <v>23100</v>
          </cell>
        </row>
        <row r="726">
          <cell r="C726" t="str">
            <v>KAPW-FS-116120-31-01-2024</v>
          </cell>
          <cell r="D726">
            <v>45322</v>
          </cell>
          <cell r="E726" t="str">
            <v>Raw Material</v>
          </cell>
          <cell r="F726" t="str">
            <v>-</v>
          </cell>
          <cell r="G726">
            <v>23100</v>
          </cell>
        </row>
        <row r="727">
          <cell r="C727" t="str">
            <v>KAPS-FS-84173-31-01-2024</v>
          </cell>
          <cell r="D727">
            <v>45322</v>
          </cell>
          <cell r="E727" t="str">
            <v>Raw Material</v>
          </cell>
          <cell r="F727" t="str">
            <v>Closed</v>
          </cell>
          <cell r="G727">
            <v>17900</v>
          </cell>
        </row>
        <row r="728">
          <cell r="C728" t="str">
            <v>KAPW-FS-117024-01-02-2024</v>
          </cell>
          <cell r="D728">
            <v>45323</v>
          </cell>
          <cell r="E728" t="str">
            <v>Raw Material</v>
          </cell>
          <cell r="F728" t="str">
            <v>-</v>
          </cell>
          <cell r="G728">
            <v>23100</v>
          </cell>
        </row>
        <row r="729">
          <cell r="C729" t="str">
            <v>KPAF-FS-36895-02-02-2024</v>
          </cell>
          <cell r="D729">
            <v>45324</v>
          </cell>
          <cell r="E729" t="str">
            <v>Raw Material</v>
          </cell>
          <cell r="F729" t="str">
            <v>-</v>
          </cell>
          <cell r="G729">
            <v>184.78</v>
          </cell>
        </row>
        <row r="730">
          <cell r="C730" t="str">
            <v>KAPW-FS-118330-02-02-2024</v>
          </cell>
          <cell r="D730">
            <v>45324</v>
          </cell>
          <cell r="E730" t="str">
            <v>Raw Material</v>
          </cell>
          <cell r="F730" t="str">
            <v>-</v>
          </cell>
          <cell r="G730">
            <v>23100</v>
          </cell>
        </row>
        <row r="731">
          <cell r="C731" t="str">
            <v>KAPW-FS-118328-02-02-2024</v>
          </cell>
          <cell r="D731">
            <v>45324</v>
          </cell>
          <cell r="E731" t="str">
            <v>Raw Material</v>
          </cell>
          <cell r="F731" t="str">
            <v>-</v>
          </cell>
          <cell r="G731">
            <v>23100</v>
          </cell>
        </row>
        <row r="732">
          <cell r="C732" t="str">
            <v>KAPS-FS-86837-06-02-2024</v>
          </cell>
          <cell r="D732">
            <v>45328</v>
          </cell>
          <cell r="E732" t="str">
            <v>Raw Material</v>
          </cell>
          <cell r="F732" t="str">
            <v>-</v>
          </cell>
          <cell r="G732">
            <v>24480</v>
          </cell>
        </row>
        <row r="733">
          <cell r="C733" t="str">
            <v>KAPW-FS-119331-06-02-2024</v>
          </cell>
          <cell r="D733">
            <v>45328</v>
          </cell>
          <cell r="E733" t="str">
            <v>Raw Material</v>
          </cell>
          <cell r="F733" t="str">
            <v>Closed</v>
          </cell>
          <cell r="G733">
            <v>7250</v>
          </cell>
        </row>
        <row r="734">
          <cell r="C734" t="str">
            <v>KAPW-FS-119521-06-02-2024</v>
          </cell>
          <cell r="D734">
            <v>45328</v>
          </cell>
          <cell r="E734" t="str">
            <v>Raw Material</v>
          </cell>
          <cell r="F734" t="str">
            <v>Closed</v>
          </cell>
          <cell r="G734">
            <v>2048.1999999999998</v>
          </cell>
        </row>
        <row r="735">
          <cell r="C735" t="str">
            <v>KPFI-FS-26918-07-02-2024</v>
          </cell>
          <cell r="D735">
            <v>45329</v>
          </cell>
          <cell r="E735" t="str">
            <v>Raw Material</v>
          </cell>
          <cell r="F735" t="str">
            <v>-</v>
          </cell>
          <cell r="G735">
            <v>889</v>
          </cell>
        </row>
        <row r="736">
          <cell r="C736" t="str">
            <v>KPFI-FS-26919-07-02-2024</v>
          </cell>
          <cell r="D736">
            <v>45329</v>
          </cell>
          <cell r="E736" t="str">
            <v>Packing Material</v>
          </cell>
          <cell r="F736" t="str">
            <v>Closed</v>
          </cell>
          <cell r="G736">
            <v>591</v>
          </cell>
        </row>
        <row r="737">
          <cell r="C737" t="str">
            <v>KPFI-FS-26920-07-02-2024</v>
          </cell>
          <cell r="D737">
            <v>45329</v>
          </cell>
          <cell r="E737" t="str">
            <v>Packing Material</v>
          </cell>
          <cell r="F737" t="str">
            <v>Closed</v>
          </cell>
          <cell r="G737">
            <v>283.5</v>
          </cell>
        </row>
        <row r="738">
          <cell r="C738" t="str">
            <v>KAPW-FS-122316-10-02-2024</v>
          </cell>
          <cell r="D738">
            <v>45332</v>
          </cell>
          <cell r="E738" t="str">
            <v>Raw Material</v>
          </cell>
          <cell r="F738" t="str">
            <v>Closed</v>
          </cell>
          <cell r="G738">
            <v>26000</v>
          </cell>
        </row>
        <row r="739">
          <cell r="C739" t="str">
            <v>KAPS-FS-89059-12-02-2024</v>
          </cell>
          <cell r="D739">
            <v>45334</v>
          </cell>
          <cell r="E739" t="str">
            <v>Raw Material</v>
          </cell>
          <cell r="F739" t="str">
            <v>-</v>
          </cell>
          <cell r="G739">
            <v>24480</v>
          </cell>
        </row>
        <row r="740">
          <cell r="C740" t="str">
            <v>KAPW-FS-124277-14-02-2024</v>
          </cell>
          <cell r="D740">
            <v>45336</v>
          </cell>
          <cell r="E740" t="str">
            <v>Packing Material</v>
          </cell>
          <cell r="F740" t="str">
            <v>Running</v>
          </cell>
          <cell r="G740">
            <v>7555</v>
          </cell>
        </row>
        <row r="741">
          <cell r="C741" t="str">
            <v>KAPW-FS-124476-14-02-2024</v>
          </cell>
          <cell r="D741">
            <v>45336</v>
          </cell>
          <cell r="E741" t="str">
            <v>Raw Material</v>
          </cell>
          <cell r="F741" t="str">
            <v>Closed</v>
          </cell>
          <cell r="G741">
            <v>4000</v>
          </cell>
        </row>
        <row r="742">
          <cell r="C742" t="str">
            <v>KAPW-FS-125038-15-02-2024</v>
          </cell>
          <cell r="D742">
            <v>45337</v>
          </cell>
          <cell r="E742" t="str">
            <v>Raw Material</v>
          </cell>
          <cell r="F742" t="str">
            <v>Running</v>
          </cell>
          <cell r="G742">
            <v>1699.2</v>
          </cell>
        </row>
        <row r="743">
          <cell r="C743" t="str">
            <v>KAPS-FS-91865-16-02-2024</v>
          </cell>
          <cell r="D743">
            <v>45338</v>
          </cell>
          <cell r="E743" t="str">
            <v>Raw Material</v>
          </cell>
          <cell r="F743" t="str">
            <v>-</v>
          </cell>
          <cell r="G743">
            <v>24480</v>
          </cell>
        </row>
        <row r="744">
          <cell r="C744" t="str">
            <v>KPPI-FS-46101-21-02-2024</v>
          </cell>
          <cell r="D744">
            <v>45343</v>
          </cell>
          <cell r="E744" t="str">
            <v>Raw Material</v>
          </cell>
          <cell r="F744" t="str">
            <v>Closed</v>
          </cell>
          <cell r="G744">
            <v>24634</v>
          </cell>
        </row>
        <row r="745">
          <cell r="C745" t="str">
            <v>KAPS-FS-95844-23-02-2024</v>
          </cell>
          <cell r="D745">
            <v>45345</v>
          </cell>
          <cell r="E745" t="str">
            <v>Raw Material</v>
          </cell>
          <cell r="F745" t="str">
            <v>Closed</v>
          </cell>
          <cell r="G745">
            <v>300822.59999999998</v>
          </cell>
        </row>
        <row r="746">
          <cell r="C746" t="str">
            <v>KAPW-FS-131726-27-02-2024</v>
          </cell>
          <cell r="D746">
            <v>45349</v>
          </cell>
          <cell r="E746" t="str">
            <v>Raw Material</v>
          </cell>
          <cell r="F746" t="str">
            <v>Closed</v>
          </cell>
          <cell r="G746">
            <v>21000</v>
          </cell>
        </row>
        <row r="747">
          <cell r="C747" t="str">
            <v>KAPW-FS-132705-28-02-2024</v>
          </cell>
          <cell r="D747">
            <v>45350</v>
          </cell>
          <cell r="E747" t="str">
            <v>Raw Material</v>
          </cell>
          <cell r="F747" t="str">
            <v>Closed</v>
          </cell>
          <cell r="G747">
            <v>102000</v>
          </cell>
        </row>
        <row r="748">
          <cell r="C748" t="str">
            <v>KAPW-FS-137643-07-03-2024</v>
          </cell>
          <cell r="D748">
            <v>45358</v>
          </cell>
          <cell r="E748" t="str">
            <v>Packing Material</v>
          </cell>
          <cell r="F748" t="str">
            <v>Closed</v>
          </cell>
          <cell r="G748">
            <v>24908</v>
          </cell>
        </row>
        <row r="749">
          <cell r="C749" t="str">
            <v>KAPW-FS-137770-07-03-2024</v>
          </cell>
          <cell r="D749">
            <v>45358</v>
          </cell>
          <cell r="E749" t="str">
            <v>Raw Material</v>
          </cell>
          <cell r="F749" t="str">
            <v>-</v>
          </cell>
          <cell r="G749">
            <v>1920</v>
          </cell>
        </row>
        <row r="750">
          <cell r="C750" t="str">
            <v>KAPW-FS-137771-07-03-2024</v>
          </cell>
          <cell r="D750">
            <v>45358</v>
          </cell>
          <cell r="E750" t="str">
            <v>Raw Material</v>
          </cell>
          <cell r="F750" t="str">
            <v>-</v>
          </cell>
          <cell r="G750">
            <v>1000</v>
          </cell>
        </row>
        <row r="751">
          <cell r="C751" t="str">
            <v>KAPW-FS-139283-09-03-2024</v>
          </cell>
          <cell r="D751">
            <v>45360</v>
          </cell>
          <cell r="E751" t="str">
            <v>Raw Material</v>
          </cell>
          <cell r="F751" t="str">
            <v>Closed</v>
          </cell>
          <cell r="G751">
            <v>302023.8</v>
          </cell>
        </row>
        <row r="752">
          <cell r="C752" t="str">
            <v>KAPS-FS-102925-09-03-2024</v>
          </cell>
          <cell r="D752">
            <v>45360</v>
          </cell>
          <cell r="E752" t="str">
            <v>Raw Material</v>
          </cell>
          <cell r="F752" t="str">
            <v>-</v>
          </cell>
          <cell r="G752">
            <v>24480</v>
          </cell>
        </row>
        <row r="753">
          <cell r="C753" t="str">
            <v>KPAF-FS-43681-11-03-2024</v>
          </cell>
          <cell r="D753">
            <v>45362</v>
          </cell>
          <cell r="E753" t="str">
            <v>Raw Material</v>
          </cell>
          <cell r="F753" t="str">
            <v>Closed</v>
          </cell>
          <cell r="G753">
            <v>700</v>
          </cell>
        </row>
        <row r="754">
          <cell r="C754" t="str">
            <v>KAPS-FS-104215-12-03-2024</v>
          </cell>
          <cell r="D754">
            <v>45363</v>
          </cell>
          <cell r="E754" t="str">
            <v>Raw Material</v>
          </cell>
          <cell r="F754" t="str">
            <v>Closed</v>
          </cell>
          <cell r="G754">
            <v>18720</v>
          </cell>
        </row>
        <row r="755">
          <cell r="C755" t="str">
            <v>KAPS-FS-104803-13-03-2024</v>
          </cell>
          <cell r="D755">
            <v>45364</v>
          </cell>
          <cell r="E755" t="str">
            <v>Raw Material</v>
          </cell>
          <cell r="F755" t="str">
            <v>Closed</v>
          </cell>
          <cell r="G755">
            <v>3500</v>
          </cell>
        </row>
        <row r="756">
          <cell r="C756" t="str">
            <v>KAPE-FS-60621-13-03-2024</v>
          </cell>
          <cell r="D756">
            <v>45364</v>
          </cell>
          <cell r="E756" t="str">
            <v>Raw Material</v>
          </cell>
          <cell r="F756" t="str">
            <v>Closed</v>
          </cell>
          <cell r="G756">
            <v>2520</v>
          </cell>
        </row>
        <row r="757">
          <cell r="C757" t="str">
            <v>KAPW-FS-142293-15-03-2024</v>
          </cell>
          <cell r="D757">
            <v>45366</v>
          </cell>
          <cell r="E757" t="str">
            <v>Raw Material</v>
          </cell>
          <cell r="F757" t="str">
            <v>-</v>
          </cell>
          <cell r="G757">
            <v>23100</v>
          </cell>
        </row>
        <row r="758">
          <cell r="C758" t="str">
            <v>KAPW-FS-142294-15-03-2024</v>
          </cell>
          <cell r="D758">
            <v>45366</v>
          </cell>
          <cell r="E758" t="str">
            <v>Raw Material</v>
          </cell>
          <cell r="F758" t="str">
            <v>-</v>
          </cell>
          <cell r="G758">
            <v>24480</v>
          </cell>
        </row>
        <row r="759">
          <cell r="C759" t="str">
            <v>KPAF-FS-44664-15-03-2024</v>
          </cell>
          <cell r="D759">
            <v>45366</v>
          </cell>
          <cell r="E759" t="str">
            <v>Raw Material</v>
          </cell>
          <cell r="F759" t="str">
            <v>-</v>
          </cell>
          <cell r="G759">
            <v>187.56</v>
          </cell>
        </row>
        <row r="760">
          <cell r="C760" t="str">
            <v>KAPS-FS-106915-18-03-2024</v>
          </cell>
          <cell r="D760">
            <v>45369</v>
          </cell>
          <cell r="E760" t="str">
            <v>Raw Material</v>
          </cell>
          <cell r="F760" t="str">
            <v>-</v>
          </cell>
          <cell r="G760">
            <v>24480</v>
          </cell>
        </row>
        <row r="761">
          <cell r="C761" t="str">
            <v>KAPS-FS-106914-18-03-2024</v>
          </cell>
          <cell r="D761">
            <v>45369</v>
          </cell>
          <cell r="E761" t="str">
            <v>Raw Material</v>
          </cell>
          <cell r="F761" t="str">
            <v>Running</v>
          </cell>
          <cell r="G761">
            <v>16000</v>
          </cell>
        </row>
        <row r="762">
          <cell r="C762" t="str">
            <v>KAPS-FS-106916-18-03-2024</v>
          </cell>
          <cell r="D762">
            <v>45369</v>
          </cell>
          <cell r="E762" t="str">
            <v>Packing Material</v>
          </cell>
          <cell r="F762" t="str">
            <v>Closed</v>
          </cell>
          <cell r="G762">
            <v>24908</v>
          </cell>
        </row>
        <row r="763">
          <cell r="C763" t="str">
            <v>KAPS-FS-106917-18-03-2024</v>
          </cell>
          <cell r="D763">
            <v>45369</v>
          </cell>
          <cell r="E763" t="str">
            <v>Packing Material</v>
          </cell>
          <cell r="F763" t="str">
            <v>Closed</v>
          </cell>
          <cell r="G763">
            <v>24908</v>
          </cell>
        </row>
        <row r="764">
          <cell r="C764" t="str">
            <v>KAPS-FS-106918-18-03-2024</v>
          </cell>
          <cell r="D764">
            <v>45369</v>
          </cell>
          <cell r="E764" t="str">
            <v>Packing Material</v>
          </cell>
          <cell r="F764" t="str">
            <v>Closed</v>
          </cell>
          <cell r="G764">
            <v>24908</v>
          </cell>
        </row>
        <row r="765">
          <cell r="C765" t="str">
            <v>KAPS-FS-107200-19-03-2024</v>
          </cell>
          <cell r="D765">
            <v>45370</v>
          </cell>
          <cell r="E765" t="str">
            <v>Raw Material</v>
          </cell>
          <cell r="F765" t="str">
            <v>Closed</v>
          </cell>
          <cell r="G765">
            <v>4100</v>
          </cell>
        </row>
        <row r="766">
          <cell r="C766" t="str">
            <v>KAPS-FS-108088-21-03-2024</v>
          </cell>
          <cell r="D766">
            <v>45372</v>
          </cell>
          <cell r="E766" t="str">
            <v>Raw Material</v>
          </cell>
          <cell r="F766" t="str">
            <v>Closed</v>
          </cell>
          <cell r="G766">
            <v>17440</v>
          </cell>
        </row>
        <row r="767">
          <cell r="C767" t="str">
            <v>KAPW-FS-148199-27-03-2024</v>
          </cell>
          <cell r="D767">
            <v>45378</v>
          </cell>
          <cell r="E767" t="str">
            <v>Raw Material</v>
          </cell>
          <cell r="F767" t="str">
            <v>-</v>
          </cell>
          <cell r="G767">
            <v>23100</v>
          </cell>
        </row>
        <row r="768">
          <cell r="C768" t="str">
            <v>KAPW-FS-150133-30-03-2024</v>
          </cell>
          <cell r="D768">
            <v>45381</v>
          </cell>
          <cell r="E768" t="str">
            <v>Raw Material</v>
          </cell>
          <cell r="F768" t="str">
            <v>Closed</v>
          </cell>
          <cell r="G768">
            <v>5400</v>
          </cell>
        </row>
        <row r="769">
          <cell r="C769" t="str">
            <v>KAPW-FS-150846-01-04-2024</v>
          </cell>
          <cell r="D769">
            <v>45383</v>
          </cell>
          <cell r="E769" t="str">
            <v>Raw Material</v>
          </cell>
          <cell r="F769" t="str">
            <v>-</v>
          </cell>
          <cell r="G769">
            <v>23100</v>
          </cell>
        </row>
        <row r="770">
          <cell r="C770" t="str">
            <v>KAPS-FS-110169-27-03-2024</v>
          </cell>
          <cell r="D770">
            <v>45378</v>
          </cell>
          <cell r="E770" t="str">
            <v>Raw Material</v>
          </cell>
          <cell r="F770" t="str">
            <v>Closed</v>
          </cell>
          <cell r="G770">
            <v>197206</v>
          </cell>
        </row>
        <row r="771">
          <cell r="C771" t="str">
            <v>KAPW-FS-150842-01-04-2024</v>
          </cell>
          <cell r="D771">
            <v>45383</v>
          </cell>
          <cell r="E771" t="str">
            <v>Raw Material</v>
          </cell>
          <cell r="F771" t="str">
            <v>-</v>
          </cell>
          <cell r="G771">
            <v>23100</v>
          </cell>
        </row>
        <row r="772">
          <cell r="C772" t="str">
            <v>KAPW-FS-150848-01-04-2024</v>
          </cell>
          <cell r="D772">
            <v>45383</v>
          </cell>
          <cell r="E772" t="str">
            <v>Raw Material</v>
          </cell>
          <cell r="F772" t="str">
            <v>-</v>
          </cell>
          <cell r="G772">
            <v>23100</v>
          </cell>
        </row>
        <row r="773">
          <cell r="C773" t="str">
            <v>KAPE-FS-64665-03-04-2024</v>
          </cell>
          <cell r="D773">
            <v>45385</v>
          </cell>
          <cell r="E773" t="str">
            <v>Raw Material</v>
          </cell>
          <cell r="F773" t="str">
            <v>Closed</v>
          </cell>
          <cell r="G773">
            <v>1150</v>
          </cell>
        </row>
        <row r="774">
          <cell r="C774" t="str">
            <v>KAPS-FS-114599-05-04-2024</v>
          </cell>
          <cell r="D774">
            <v>45387</v>
          </cell>
          <cell r="E774" t="str">
            <v>Raw Material</v>
          </cell>
          <cell r="F774" t="str">
            <v>Closed</v>
          </cell>
          <cell r="G774">
            <v>125550</v>
          </cell>
        </row>
        <row r="775">
          <cell r="C775" t="str">
            <v>KAPE-FS-65450-08-04-2024</v>
          </cell>
          <cell r="D775">
            <v>45390</v>
          </cell>
          <cell r="E775" t="str">
            <v>Raw Material</v>
          </cell>
          <cell r="F775" t="str">
            <v>-</v>
          </cell>
          <cell r="G775">
            <v>24480</v>
          </cell>
        </row>
        <row r="776">
          <cell r="C776" t="str">
            <v>KPAF-FS-50053-15-04-2024</v>
          </cell>
          <cell r="D776">
            <v>45397</v>
          </cell>
          <cell r="E776" t="str">
            <v>Packing Material</v>
          </cell>
          <cell r="F776" t="str">
            <v>-</v>
          </cell>
          <cell r="G776">
            <v>384.88</v>
          </cell>
        </row>
        <row r="777">
          <cell r="C777" t="str">
            <v>KAPS-FS-119046-18-04-2024</v>
          </cell>
          <cell r="D777">
            <v>45400</v>
          </cell>
          <cell r="E777" t="str">
            <v>Raw Material</v>
          </cell>
          <cell r="F777" t="str">
            <v>-</v>
          </cell>
          <cell r="G777">
            <v>24300</v>
          </cell>
        </row>
        <row r="778">
          <cell r="C778" t="str">
            <v>KAPW-FS-158790-18-04-2024</v>
          </cell>
          <cell r="D778">
            <v>45400</v>
          </cell>
          <cell r="E778" t="str">
            <v>Packing Material</v>
          </cell>
          <cell r="F778" t="str">
            <v>Running</v>
          </cell>
          <cell r="G778">
            <v>14500</v>
          </cell>
        </row>
        <row r="779">
          <cell r="C779" t="str">
            <v>KAPW-FS-158798-18-04-2024</v>
          </cell>
          <cell r="D779">
            <v>45400</v>
          </cell>
          <cell r="E779" t="str">
            <v>Raw Material</v>
          </cell>
          <cell r="F779" t="str">
            <v>-</v>
          </cell>
          <cell r="G779">
            <v>2263</v>
          </cell>
        </row>
        <row r="780">
          <cell r="C780" t="str">
            <v>KAPW-FS-158859-18-04-2024</v>
          </cell>
          <cell r="D780">
            <v>45400</v>
          </cell>
          <cell r="E780" t="str">
            <v>Raw Material</v>
          </cell>
          <cell r="F780" t="str">
            <v>-</v>
          </cell>
          <cell r="G780">
            <v>23100</v>
          </cell>
        </row>
        <row r="781">
          <cell r="C781" t="str">
            <v>KAPW-FS-158867-18-04-2024</v>
          </cell>
          <cell r="D781">
            <v>45400</v>
          </cell>
          <cell r="E781" t="str">
            <v>Raw Material</v>
          </cell>
          <cell r="F781" t="str">
            <v>-</v>
          </cell>
          <cell r="G781">
            <v>23100</v>
          </cell>
        </row>
        <row r="782">
          <cell r="C782" t="str">
            <v>KAPW-FS-158784-18-04-2024</v>
          </cell>
          <cell r="D782">
            <v>45400</v>
          </cell>
          <cell r="E782" t="str">
            <v>Packing Material</v>
          </cell>
          <cell r="F782" t="str">
            <v>-</v>
          </cell>
          <cell r="G782">
            <v>4050</v>
          </cell>
        </row>
        <row r="783">
          <cell r="C783" t="str">
            <v>KAPS-FS-119025-18-04-2024</v>
          </cell>
          <cell r="D783">
            <v>45400</v>
          </cell>
          <cell r="E783" t="str">
            <v>Raw Material</v>
          </cell>
          <cell r="F783" t="str">
            <v>-</v>
          </cell>
          <cell r="G783">
            <v>18720</v>
          </cell>
        </row>
        <row r="784">
          <cell r="C784" t="str">
            <v>KAPS-FS-119014-18-04-2024</v>
          </cell>
          <cell r="D784">
            <v>45400</v>
          </cell>
          <cell r="E784" t="str">
            <v>Raw Material</v>
          </cell>
          <cell r="F784" t="str">
            <v>-</v>
          </cell>
          <cell r="G784">
            <v>24480</v>
          </cell>
        </row>
        <row r="785">
          <cell r="C785" t="str">
            <v>KAPS-FS-120629-22-04-2024</v>
          </cell>
          <cell r="D785">
            <v>45404</v>
          </cell>
          <cell r="E785" t="str">
            <v>Raw Material</v>
          </cell>
          <cell r="F785" t="str">
            <v>-</v>
          </cell>
          <cell r="G785">
            <v>24480</v>
          </cell>
        </row>
        <row r="786">
          <cell r="C786" t="str">
            <v>KAPW-FS-161911-24-04-2024</v>
          </cell>
          <cell r="D786">
            <v>45406</v>
          </cell>
          <cell r="E786" t="str">
            <v>Raw Material</v>
          </cell>
          <cell r="F786" t="str">
            <v>-</v>
          </cell>
          <cell r="G786">
            <v>23100</v>
          </cell>
        </row>
        <row r="787">
          <cell r="C787" t="str">
            <v>KAPS-FS-122706-25-04-2024</v>
          </cell>
          <cell r="D787">
            <v>45407</v>
          </cell>
          <cell r="E787" t="str">
            <v>Raw Material</v>
          </cell>
          <cell r="F787" t="str">
            <v>-</v>
          </cell>
          <cell r="G787">
            <v>24300</v>
          </cell>
        </row>
        <row r="788">
          <cell r="C788" t="str">
            <v>KPPI-FS-59812-25-04-2024</v>
          </cell>
          <cell r="D788">
            <v>45407</v>
          </cell>
          <cell r="E788" t="str">
            <v>Raw Material</v>
          </cell>
          <cell r="F788" t="str">
            <v>Closed</v>
          </cell>
          <cell r="G788">
            <v>198416</v>
          </cell>
        </row>
        <row r="789">
          <cell r="C789" t="str">
            <v>KAPW-FS-163540-25-04-2024</v>
          </cell>
          <cell r="D789">
            <v>45407</v>
          </cell>
          <cell r="E789" t="str">
            <v>Raw Material</v>
          </cell>
          <cell r="F789" t="str">
            <v>-</v>
          </cell>
          <cell r="G789">
            <v>23100</v>
          </cell>
        </row>
        <row r="790">
          <cell r="C790" t="str">
            <v>KAPS-FS-122708-25-04-2024</v>
          </cell>
          <cell r="D790">
            <v>45407</v>
          </cell>
          <cell r="E790" t="str">
            <v>Raw Material</v>
          </cell>
          <cell r="F790" t="str">
            <v>-</v>
          </cell>
          <cell r="G790">
            <v>24480</v>
          </cell>
        </row>
        <row r="791">
          <cell r="C791" t="str">
            <v>KAPW-FS-164826-27-04-2024</v>
          </cell>
          <cell r="D791">
            <v>45409</v>
          </cell>
          <cell r="E791" t="str">
            <v>Raw Material</v>
          </cell>
          <cell r="F791" t="str">
            <v>-</v>
          </cell>
          <cell r="G791">
            <v>23100</v>
          </cell>
        </row>
        <row r="792">
          <cell r="C792" t="str">
            <v>KAPS-FS-123714-27-04-2024</v>
          </cell>
          <cell r="D792">
            <v>45409</v>
          </cell>
          <cell r="E792" t="str">
            <v>Raw Material</v>
          </cell>
          <cell r="F792" t="str">
            <v>-</v>
          </cell>
          <cell r="G792">
            <v>24480</v>
          </cell>
        </row>
        <row r="793">
          <cell r="C793" t="str">
            <v>KAPS-FS-125753-02-05-2024</v>
          </cell>
          <cell r="D793">
            <v>45414</v>
          </cell>
          <cell r="E793" t="str">
            <v>Raw Material</v>
          </cell>
          <cell r="F793" t="str">
            <v>-</v>
          </cell>
          <cell r="G793">
            <v>5087</v>
          </cell>
        </row>
        <row r="794">
          <cell r="C794" t="str">
            <v>KPPI-FS-61552-04-05-2024</v>
          </cell>
          <cell r="D794">
            <v>45416</v>
          </cell>
          <cell r="E794" t="str">
            <v>Raw Material</v>
          </cell>
          <cell r="F794" t="str">
            <v>Closed</v>
          </cell>
          <cell r="G794">
            <v>175604</v>
          </cell>
        </row>
        <row r="795">
          <cell r="C795" t="str">
            <v>KAPS-FS-127354-06-05-2024</v>
          </cell>
          <cell r="D795">
            <v>45418</v>
          </cell>
          <cell r="E795" t="str">
            <v>Raw Material</v>
          </cell>
          <cell r="F795" t="str">
            <v>Closed</v>
          </cell>
          <cell r="G795">
            <v>6000</v>
          </cell>
        </row>
        <row r="796">
          <cell r="C796" t="str">
            <v>KAPS-FS-127356-06-05-2024</v>
          </cell>
          <cell r="D796">
            <v>45418</v>
          </cell>
          <cell r="E796" t="str">
            <v>Raw Material</v>
          </cell>
          <cell r="F796" t="str">
            <v>Running</v>
          </cell>
          <cell r="G796">
            <v>18000</v>
          </cell>
        </row>
        <row r="797">
          <cell r="C797" t="str">
            <v>KPAF-FS-55270-07-05-2024</v>
          </cell>
          <cell r="D797">
            <v>45419</v>
          </cell>
          <cell r="E797" t="str">
            <v>Raw Material</v>
          </cell>
          <cell r="F797" t="str">
            <v>-</v>
          </cell>
          <cell r="G797">
            <v>300</v>
          </cell>
        </row>
        <row r="798">
          <cell r="C798" t="str">
            <v>KAPW-FS-171598-09-05-2024</v>
          </cell>
          <cell r="D798">
            <v>45421</v>
          </cell>
          <cell r="E798" t="str">
            <v>Raw Material</v>
          </cell>
          <cell r="F798" t="str">
            <v>-</v>
          </cell>
          <cell r="G798">
            <v>480</v>
          </cell>
        </row>
        <row r="799">
          <cell r="C799" t="str">
            <v>KAPS-FS-130888-11-05-2024</v>
          </cell>
          <cell r="D799">
            <v>45423</v>
          </cell>
          <cell r="E799" t="str">
            <v>Raw Material</v>
          </cell>
          <cell r="F799" t="str">
            <v>Closed</v>
          </cell>
          <cell r="G799">
            <v>302371.5</v>
          </cell>
        </row>
        <row r="800">
          <cell r="C800" t="str">
            <v>KAPS-FS-131674-14-05-2024</v>
          </cell>
          <cell r="D800">
            <v>45426</v>
          </cell>
          <cell r="E800" t="str">
            <v>Raw Material</v>
          </cell>
          <cell r="F800" t="str">
            <v>-</v>
          </cell>
          <cell r="G800">
            <v>18720</v>
          </cell>
        </row>
        <row r="801">
          <cell r="C801" t="str">
            <v>KAPS-FS-131938-14-05-2024</v>
          </cell>
          <cell r="D801">
            <v>45426</v>
          </cell>
          <cell r="E801" t="str">
            <v>Raw Material</v>
          </cell>
          <cell r="F801" t="str">
            <v>Closed</v>
          </cell>
          <cell r="G801">
            <v>5100</v>
          </cell>
        </row>
        <row r="802">
          <cell r="C802" t="str">
            <v>KAPW-FS-174553-15-05-2024</v>
          </cell>
          <cell r="D802">
            <v>45427</v>
          </cell>
          <cell r="E802" t="str">
            <v>Raw Material</v>
          </cell>
          <cell r="F802" t="str">
            <v>Closed</v>
          </cell>
          <cell r="G802">
            <v>241549</v>
          </cell>
        </row>
        <row r="803">
          <cell r="C803" t="str">
            <v>KAPW-FS-174554-15-05-2024</v>
          </cell>
          <cell r="D803">
            <v>45427</v>
          </cell>
          <cell r="E803" t="str">
            <v>Raw Material</v>
          </cell>
          <cell r="F803" t="str">
            <v>Closed</v>
          </cell>
          <cell r="G803">
            <v>255813.1</v>
          </cell>
        </row>
        <row r="804">
          <cell r="C804" t="str">
            <v>KAPS-FS-133478-17-05-2024</v>
          </cell>
          <cell r="D804">
            <v>45429</v>
          </cell>
          <cell r="E804" t="str">
            <v>Raw Material</v>
          </cell>
          <cell r="F804" t="str">
            <v>Running</v>
          </cell>
          <cell r="G804">
            <v>596305.5</v>
          </cell>
        </row>
        <row r="805">
          <cell r="C805" t="str">
            <v>KPFI-FS-35857-18-05-2024</v>
          </cell>
          <cell r="D805">
            <v>45430</v>
          </cell>
          <cell r="E805" t="str">
            <v>Raw Material</v>
          </cell>
          <cell r="F805" t="str">
            <v>-</v>
          </cell>
          <cell r="G805">
            <v>180</v>
          </cell>
        </row>
        <row r="806">
          <cell r="C806" t="str">
            <v>KPPI-FS-65099-21-05-2024</v>
          </cell>
          <cell r="D806">
            <v>45433</v>
          </cell>
          <cell r="E806" t="str">
            <v>Raw Material</v>
          </cell>
          <cell r="F806" t="str">
            <v>Closed</v>
          </cell>
          <cell r="G806">
            <v>299905.71999999997</v>
          </cell>
        </row>
        <row r="807">
          <cell r="C807" t="str">
            <v>KAPS-FS-136023-22-05-2024</v>
          </cell>
          <cell r="D807">
            <v>45434</v>
          </cell>
          <cell r="E807" t="str">
            <v>Raw Material</v>
          </cell>
          <cell r="F807" t="str">
            <v>Closed</v>
          </cell>
          <cell r="G807">
            <v>19040</v>
          </cell>
        </row>
        <row r="808">
          <cell r="C808" t="str">
            <v>KAPW-FS-179692-23-05-2024</v>
          </cell>
          <cell r="D808">
            <v>45435</v>
          </cell>
          <cell r="E808" t="str">
            <v>Raw Material</v>
          </cell>
          <cell r="F808" t="str">
            <v>-</v>
          </cell>
          <cell r="G808">
            <v>302527.5</v>
          </cell>
        </row>
        <row r="809">
          <cell r="C809" t="str">
            <v>KAPS-FS-136823-23-05-2024</v>
          </cell>
          <cell r="D809">
            <v>45435</v>
          </cell>
          <cell r="E809" t="str">
            <v>Raw Material</v>
          </cell>
          <cell r="F809" t="str">
            <v>Closed</v>
          </cell>
          <cell r="G809">
            <v>10080</v>
          </cell>
        </row>
        <row r="810">
          <cell r="C810" t="str">
            <v>KAPS-FS-136827-23-05-2024</v>
          </cell>
          <cell r="D810">
            <v>45435</v>
          </cell>
          <cell r="E810" t="str">
            <v>Raw Material</v>
          </cell>
          <cell r="F810" t="str">
            <v>Closed</v>
          </cell>
          <cell r="G810">
            <v>15330</v>
          </cell>
        </row>
        <row r="811">
          <cell r="C811" t="str">
            <v>KAPW-FS-184827-01-06-2024</v>
          </cell>
          <cell r="D811">
            <v>45444</v>
          </cell>
          <cell r="E811" t="str">
            <v>Raw Material</v>
          </cell>
          <cell r="F811" t="str">
            <v>Closed</v>
          </cell>
          <cell r="G811">
            <v>81600</v>
          </cell>
        </row>
        <row r="812">
          <cell r="C812" t="str">
            <v>KAPS-FS-140861-03-06-2024</v>
          </cell>
          <cell r="D812">
            <v>45446</v>
          </cell>
          <cell r="E812" t="str">
            <v>Raw Material</v>
          </cell>
          <cell r="F812" t="str">
            <v>-</v>
          </cell>
          <cell r="G812">
            <v>19562.62</v>
          </cell>
        </row>
        <row r="813">
          <cell r="C813" t="str">
            <v>KAPS-FS-141691-04-06-2024</v>
          </cell>
          <cell r="D813">
            <v>45447</v>
          </cell>
          <cell r="E813" t="str">
            <v>Raw Material</v>
          </cell>
          <cell r="F813" t="str">
            <v>-</v>
          </cell>
          <cell r="G813">
            <v>51680</v>
          </cell>
        </row>
        <row r="814">
          <cell r="C814" t="str">
            <v>KAPS-FS-144067-08-06-2024</v>
          </cell>
          <cell r="D814">
            <v>45451</v>
          </cell>
          <cell r="E814" t="str">
            <v>Raw Material</v>
          </cell>
          <cell r="F814" t="str">
            <v>-</v>
          </cell>
          <cell r="G814">
            <v>24480</v>
          </cell>
        </row>
        <row r="815">
          <cell r="C815" t="str">
            <v>KAPW-FS-190514-08-06-2024</v>
          </cell>
          <cell r="D815">
            <v>45451</v>
          </cell>
          <cell r="E815" t="str">
            <v>Raw Material</v>
          </cell>
          <cell r="F815" t="str">
            <v>-</v>
          </cell>
          <cell r="G815">
            <v>24480</v>
          </cell>
        </row>
        <row r="816">
          <cell r="C816" t="str">
            <v>KAPW-FS-192860-11-06-2024</v>
          </cell>
          <cell r="D816">
            <v>45454</v>
          </cell>
          <cell r="E816" t="str">
            <v>Raw Material</v>
          </cell>
          <cell r="F816" t="str">
            <v>-</v>
          </cell>
          <cell r="G816">
            <v>3609</v>
          </cell>
        </row>
        <row r="817">
          <cell r="C817" t="str">
            <v>KAPW-FS-192862-11-06-2024</v>
          </cell>
          <cell r="D817">
            <v>45454</v>
          </cell>
          <cell r="E817" t="str">
            <v>Raw Material</v>
          </cell>
          <cell r="F817" t="str">
            <v>-</v>
          </cell>
          <cell r="G817">
            <v>1959.1</v>
          </cell>
        </row>
        <row r="818">
          <cell r="C818" t="str">
            <v>KAPW-FS-192859-11-06-2024</v>
          </cell>
          <cell r="D818">
            <v>45454</v>
          </cell>
          <cell r="E818" t="str">
            <v>Raw Material</v>
          </cell>
          <cell r="F818" t="str">
            <v>Closed</v>
          </cell>
          <cell r="G818">
            <v>8500</v>
          </cell>
        </row>
        <row r="819">
          <cell r="C819" t="str">
            <v>KAPW-FS-192762-11-06-2024</v>
          </cell>
          <cell r="D819">
            <v>45454</v>
          </cell>
          <cell r="E819" t="str">
            <v>Raw Material</v>
          </cell>
          <cell r="F819" t="str">
            <v>Closed</v>
          </cell>
          <cell r="G819">
            <v>500</v>
          </cell>
        </row>
        <row r="820">
          <cell r="C820" t="str">
            <v>KAPS-FS-146211-12-06-2024</v>
          </cell>
          <cell r="D820">
            <v>45455</v>
          </cell>
          <cell r="E820" t="str">
            <v>Packing Material</v>
          </cell>
          <cell r="F820" t="str">
            <v>Closed</v>
          </cell>
          <cell r="G820">
            <v>24908</v>
          </cell>
        </row>
        <row r="821">
          <cell r="C821" t="str">
            <v>KAPS-FS-146216-12-06-2024</v>
          </cell>
          <cell r="D821">
            <v>45455</v>
          </cell>
          <cell r="E821" t="str">
            <v>Packing Material</v>
          </cell>
          <cell r="F821" t="str">
            <v>Closed</v>
          </cell>
          <cell r="G821">
            <v>24908</v>
          </cell>
        </row>
        <row r="822">
          <cell r="C822" t="str">
            <v>KAPS-FS-146212-12-06-2024</v>
          </cell>
          <cell r="D822">
            <v>45455</v>
          </cell>
          <cell r="E822" t="str">
            <v>Packing Material</v>
          </cell>
          <cell r="F822" t="str">
            <v>Running</v>
          </cell>
          <cell r="G822">
            <v>24908</v>
          </cell>
        </row>
        <row r="823">
          <cell r="C823" t="str">
            <v>KAPW-FS-192984-12-06-2024</v>
          </cell>
          <cell r="D823">
            <v>45455</v>
          </cell>
          <cell r="E823" t="str">
            <v>Raw Material</v>
          </cell>
          <cell r="F823" t="str">
            <v>-</v>
          </cell>
          <cell r="G823">
            <v>18912</v>
          </cell>
        </row>
        <row r="824">
          <cell r="C824" t="str">
            <v>KAPE-FS-79606-13-06-2024</v>
          </cell>
          <cell r="D824">
            <v>45456</v>
          </cell>
          <cell r="E824" t="str">
            <v>Raw Material</v>
          </cell>
          <cell r="F824" t="str">
            <v>Closed</v>
          </cell>
          <cell r="G824">
            <v>4000</v>
          </cell>
        </row>
        <row r="825">
          <cell r="C825" t="str">
            <v>KAPS-FS-147645-17-06-2024</v>
          </cell>
          <cell r="D825">
            <v>45460</v>
          </cell>
          <cell r="E825" t="str">
            <v>Raw Material</v>
          </cell>
          <cell r="F825" t="str">
            <v>-</v>
          </cell>
          <cell r="G825">
            <v>22000</v>
          </cell>
        </row>
        <row r="826">
          <cell r="C826" t="str">
            <v>KAPW-FS-195627-20-06-2024</v>
          </cell>
          <cell r="D826">
            <v>45463</v>
          </cell>
          <cell r="E826" t="str">
            <v>Raw Material</v>
          </cell>
          <cell r="F826" t="str">
            <v>Closed</v>
          </cell>
          <cell r="G826">
            <v>300</v>
          </cell>
        </row>
        <row r="827">
          <cell r="C827" t="str">
            <v>KAPW-FS-199126-26-06-2024</v>
          </cell>
          <cell r="D827">
            <v>45469</v>
          </cell>
          <cell r="E827" t="str">
            <v>Packing Material</v>
          </cell>
          <cell r="F827" t="str">
            <v>-</v>
          </cell>
          <cell r="G827">
            <v>888</v>
          </cell>
        </row>
        <row r="828">
          <cell r="C828" t="str">
            <v>KAPW-FS-199895-27-06-2024</v>
          </cell>
          <cell r="D828">
            <v>45470</v>
          </cell>
          <cell r="E828" t="str">
            <v>Raw Material</v>
          </cell>
          <cell r="F828" t="str">
            <v>Running</v>
          </cell>
          <cell r="G828">
            <v>81600</v>
          </cell>
        </row>
        <row r="829">
          <cell r="C829" t="str">
            <v>KAPS-FS-153945-29-06-2024</v>
          </cell>
          <cell r="D829">
            <v>45472</v>
          </cell>
          <cell r="E829" t="str">
            <v>Raw Material</v>
          </cell>
          <cell r="F829" t="str">
            <v>-</v>
          </cell>
          <cell r="G829">
            <v>22000</v>
          </cell>
        </row>
        <row r="830">
          <cell r="C830" t="str">
            <v>KPFI-FS-49-01-07-2024</v>
          </cell>
          <cell r="D830">
            <v>45474</v>
          </cell>
          <cell r="E830" t="str">
            <v>Packing Material</v>
          </cell>
          <cell r="F830" t="str">
            <v>Closed</v>
          </cell>
          <cell r="G830">
            <v>51</v>
          </cell>
        </row>
        <row r="831">
          <cell r="C831" t="str">
            <v>KPAF-FS-119-01-07-2024</v>
          </cell>
          <cell r="D831">
            <v>45474</v>
          </cell>
          <cell r="E831" t="str">
            <v>Packing Material</v>
          </cell>
          <cell r="F831" t="str">
            <v>Closed</v>
          </cell>
          <cell r="G831">
            <v>55</v>
          </cell>
        </row>
        <row r="832">
          <cell r="C832" t="str">
            <v>KAPS-FS-1283-03-07-2024</v>
          </cell>
          <cell r="D832">
            <v>45476</v>
          </cell>
          <cell r="E832" t="str">
            <v>Raw Material</v>
          </cell>
          <cell r="F832" t="str">
            <v>Closed</v>
          </cell>
          <cell r="G832">
            <v>19040</v>
          </cell>
        </row>
        <row r="833">
          <cell r="C833" t="str">
            <v>KAPS-FS-2067-04-07-2024</v>
          </cell>
          <cell r="D833">
            <v>45477</v>
          </cell>
          <cell r="E833" t="str">
            <v>Raw Material</v>
          </cell>
          <cell r="F833" t="str">
            <v>-</v>
          </cell>
          <cell r="G833">
            <v>19300</v>
          </cell>
        </row>
        <row r="834">
          <cell r="C834" t="str">
            <v>KAPW-FS-2055-04-07-2024</v>
          </cell>
          <cell r="D834">
            <v>45477</v>
          </cell>
          <cell r="E834" t="str">
            <v>Raw Material</v>
          </cell>
          <cell r="F834" t="str">
            <v>-</v>
          </cell>
          <cell r="G834">
            <v>16500</v>
          </cell>
        </row>
        <row r="835">
          <cell r="C835" t="str">
            <v>KAPS-FS-1801-04-07-2024</v>
          </cell>
          <cell r="D835">
            <v>45477</v>
          </cell>
          <cell r="E835" t="str">
            <v>Raw Material</v>
          </cell>
          <cell r="F835" t="str">
            <v>-</v>
          </cell>
          <cell r="G835">
            <v>22000</v>
          </cell>
        </row>
        <row r="836">
          <cell r="C836" t="str">
            <v>KAPS-FS-2075-04-07-2024</v>
          </cell>
          <cell r="D836">
            <v>45477</v>
          </cell>
          <cell r="E836" t="str">
            <v>Raw Material</v>
          </cell>
          <cell r="F836" t="str">
            <v>Running</v>
          </cell>
          <cell r="G836">
            <v>25600</v>
          </cell>
        </row>
        <row r="837">
          <cell r="C837" t="str">
            <v>KAPS-FS-2068-04-07-2024</v>
          </cell>
          <cell r="D837">
            <v>45477</v>
          </cell>
          <cell r="E837" t="str">
            <v>Raw Material</v>
          </cell>
          <cell r="F837" t="str">
            <v>Running</v>
          </cell>
          <cell r="G837">
            <v>21800</v>
          </cell>
        </row>
        <row r="838">
          <cell r="C838" t="str">
            <v>KAPW-FS-2045-04-07-2024</v>
          </cell>
          <cell r="D838">
            <v>45477</v>
          </cell>
          <cell r="E838" t="str">
            <v>Raw Material</v>
          </cell>
          <cell r="F838" t="str">
            <v>-</v>
          </cell>
          <cell r="G838">
            <v>8099</v>
          </cell>
        </row>
        <row r="839">
          <cell r="C839" t="str">
            <v>KAPS-FS-3081-05-07-2024</v>
          </cell>
          <cell r="D839">
            <v>45478</v>
          </cell>
          <cell r="E839" t="str">
            <v>Raw Material</v>
          </cell>
          <cell r="F839" t="str">
            <v>-</v>
          </cell>
          <cell r="G839">
            <v>2214.8000000000002</v>
          </cell>
        </row>
        <row r="840">
          <cell r="C840" t="str">
            <v>KAPW-FS-3540-06-07-2024</v>
          </cell>
          <cell r="D840">
            <v>45479</v>
          </cell>
          <cell r="E840" t="str">
            <v>Raw Material</v>
          </cell>
          <cell r="F840" t="str">
            <v>-</v>
          </cell>
          <cell r="G840">
            <v>2077</v>
          </cell>
        </row>
        <row r="841">
          <cell r="C841" t="str">
            <v>KPAF-FS-1624-08-07-2024</v>
          </cell>
          <cell r="D841">
            <v>45481</v>
          </cell>
          <cell r="E841" t="str">
            <v>Packing Material</v>
          </cell>
          <cell r="F841" t="str">
            <v>-</v>
          </cell>
          <cell r="G841">
            <v>4.5</v>
          </cell>
        </row>
        <row r="842">
          <cell r="C842" t="str">
            <v>KPAF-FS-1625-08-07-2024</v>
          </cell>
          <cell r="D842">
            <v>45481</v>
          </cell>
          <cell r="E842" t="str">
            <v>Packing Material</v>
          </cell>
          <cell r="F842" t="str">
            <v>-</v>
          </cell>
          <cell r="G842">
            <v>396</v>
          </cell>
        </row>
        <row r="843">
          <cell r="C843" t="str">
            <v>KAPW-FS-5672-10-07-2024</v>
          </cell>
          <cell r="D843">
            <v>45483</v>
          </cell>
          <cell r="E843" t="str">
            <v>Packing Material</v>
          </cell>
          <cell r="F843" t="str">
            <v>-</v>
          </cell>
          <cell r="G843">
            <v>135</v>
          </cell>
        </row>
        <row r="844">
          <cell r="C844" t="str">
            <v>KAPE-FS-1698-10-07-2024</v>
          </cell>
          <cell r="D844">
            <v>45483</v>
          </cell>
          <cell r="E844" t="str">
            <v>Packing Material</v>
          </cell>
          <cell r="F844" t="str">
            <v>-</v>
          </cell>
          <cell r="G844">
            <v>114.25999999999999</v>
          </cell>
        </row>
        <row r="845">
          <cell r="C845" t="str">
            <v>KAPE-FS-1698-10-07-2024</v>
          </cell>
          <cell r="D845">
            <v>45483</v>
          </cell>
          <cell r="E845" t="str">
            <v>Packing Material</v>
          </cell>
          <cell r="F845" t="str">
            <v>-</v>
          </cell>
          <cell r="G845">
            <v>184.05</v>
          </cell>
        </row>
        <row r="846">
          <cell r="C846" t="str">
            <v>KAPW-FS-5673-10-07-2024</v>
          </cell>
          <cell r="D846">
            <v>45483</v>
          </cell>
          <cell r="E846" t="str">
            <v>Packing Material</v>
          </cell>
          <cell r="F846" t="str">
            <v>-</v>
          </cell>
          <cell r="G846">
            <v>9125</v>
          </cell>
        </row>
        <row r="847">
          <cell r="C847" t="str">
            <v>KAPW-FS-5673-10-07-2024</v>
          </cell>
          <cell r="D847">
            <v>45483</v>
          </cell>
          <cell r="E847" t="str">
            <v>Packing Material</v>
          </cell>
          <cell r="F847" t="str">
            <v>-</v>
          </cell>
          <cell r="G847">
            <v>229.5</v>
          </cell>
        </row>
        <row r="848">
          <cell r="C848" t="str">
            <v>KPPI-FS-2177-10-07-2024</v>
          </cell>
          <cell r="D848">
            <v>45483</v>
          </cell>
          <cell r="E848" t="str">
            <v>Raw Material</v>
          </cell>
          <cell r="F848" t="str">
            <v>Closed</v>
          </cell>
          <cell r="G848">
            <v>25596</v>
          </cell>
        </row>
        <row r="849">
          <cell r="C849" t="str">
            <v>KAPS-FS-5048-10-07-2024</v>
          </cell>
          <cell r="D849">
            <v>45483</v>
          </cell>
          <cell r="E849" t="str">
            <v>Raw Material</v>
          </cell>
          <cell r="F849" t="str">
            <v>Closed</v>
          </cell>
          <cell r="G849">
            <v>19040</v>
          </cell>
        </row>
        <row r="850">
          <cell r="C850" t="str">
            <v>KPAF-FS-2405-11-07-2024</v>
          </cell>
          <cell r="D850">
            <v>45484</v>
          </cell>
          <cell r="E850" t="str">
            <v>Packing Material</v>
          </cell>
          <cell r="F850" t="str">
            <v>-</v>
          </cell>
          <cell r="G850">
            <v>68</v>
          </cell>
        </row>
        <row r="851">
          <cell r="C851" t="str">
            <v>KPAF-FS-2766-12-07-2024</v>
          </cell>
          <cell r="D851">
            <v>45485</v>
          </cell>
          <cell r="E851" t="str">
            <v>Packing Material</v>
          </cell>
          <cell r="F851" t="str">
            <v>-</v>
          </cell>
          <cell r="G851">
            <v>105000</v>
          </cell>
        </row>
        <row r="852">
          <cell r="C852" t="str">
            <v>KPAF-FS-2629-12-07-2024</v>
          </cell>
          <cell r="D852">
            <v>45485</v>
          </cell>
          <cell r="E852" t="str">
            <v>Packing Material</v>
          </cell>
          <cell r="F852" t="str">
            <v>-</v>
          </cell>
          <cell r="G852">
            <v>21000</v>
          </cell>
        </row>
        <row r="853">
          <cell r="C853" t="str">
            <v>KAPS-FS-6940-13-07-2024</v>
          </cell>
          <cell r="D853">
            <v>45486</v>
          </cell>
          <cell r="E853" t="str">
            <v>Raw Material</v>
          </cell>
          <cell r="F853" t="str">
            <v>-</v>
          </cell>
          <cell r="G853">
            <v>15080</v>
          </cell>
        </row>
        <row r="854">
          <cell r="C854" t="str">
            <v>KPAF-FS-3174-15-07-2024</v>
          </cell>
          <cell r="D854">
            <v>45488</v>
          </cell>
          <cell r="E854" t="str">
            <v>Packing Material</v>
          </cell>
          <cell r="F854" t="str">
            <v>-</v>
          </cell>
          <cell r="G854">
            <v>133</v>
          </cell>
        </row>
        <row r="855">
          <cell r="C855" t="str">
            <v>KPPI-FS-2930-15-07-2024</v>
          </cell>
          <cell r="D855">
            <v>45488</v>
          </cell>
          <cell r="E855" t="str">
            <v>Raw Material</v>
          </cell>
          <cell r="F855" t="str">
            <v>Closed</v>
          </cell>
          <cell r="G855">
            <v>25175</v>
          </cell>
        </row>
        <row r="856">
          <cell r="C856" t="str">
            <v>KPPI-FS-2931-15-07-2024</v>
          </cell>
          <cell r="D856">
            <v>45488</v>
          </cell>
          <cell r="E856" t="str">
            <v>Raw Material</v>
          </cell>
          <cell r="F856" t="str">
            <v>Closed</v>
          </cell>
          <cell r="G856">
            <v>461512</v>
          </cell>
        </row>
        <row r="857">
          <cell r="C857" t="str">
            <v>KPAF-FS-3882-20-07-2024</v>
          </cell>
          <cell r="D857">
            <v>45493</v>
          </cell>
          <cell r="E857" t="str">
            <v>Raw Material</v>
          </cell>
          <cell r="F857" t="str">
            <v>Closed</v>
          </cell>
          <cell r="G857">
            <v>800</v>
          </cell>
        </row>
        <row r="858">
          <cell r="C858" t="str">
            <v>KPAF-FS-4060-22-07-2024</v>
          </cell>
          <cell r="D858">
            <v>45495</v>
          </cell>
          <cell r="E858" t="str">
            <v>Raw Material</v>
          </cell>
          <cell r="F858" t="str">
            <v>-</v>
          </cell>
          <cell r="G858">
            <v>1665.5</v>
          </cell>
        </row>
        <row r="859">
          <cell r="C859" t="str">
            <v>PQZI-EI-2074-23-07-2024</v>
          </cell>
          <cell r="D859">
            <v>45496</v>
          </cell>
          <cell r="E859" t="str">
            <v>Packing Material</v>
          </cell>
          <cell r="F859" t="str">
            <v>-</v>
          </cell>
          <cell r="G859">
            <v>388.28</v>
          </cell>
        </row>
        <row r="860">
          <cell r="C860" t="str">
            <v>PQZI-EI-2074-23-07-2024</v>
          </cell>
          <cell r="D860">
            <v>45496</v>
          </cell>
          <cell r="E860" t="str">
            <v>Packing Material</v>
          </cell>
          <cell r="F860" t="str">
            <v>-</v>
          </cell>
          <cell r="G860">
            <v>125.5</v>
          </cell>
        </row>
        <row r="861">
          <cell r="C861" t="str">
            <v>PQZI-EI-2074-23-07-2024</v>
          </cell>
          <cell r="D861">
            <v>45496</v>
          </cell>
          <cell r="E861" t="str">
            <v>Packing Material</v>
          </cell>
          <cell r="F861" t="str">
            <v>-</v>
          </cell>
          <cell r="G861">
            <v>12</v>
          </cell>
        </row>
        <row r="862">
          <cell r="C862" t="str">
            <v>PQZI-EI-2075-23-07-2024</v>
          </cell>
          <cell r="D862">
            <v>45496</v>
          </cell>
          <cell r="E862" t="str">
            <v>Packing Material</v>
          </cell>
          <cell r="F862" t="str">
            <v>-</v>
          </cell>
          <cell r="G862">
            <v>461.73</v>
          </cell>
        </row>
        <row r="863">
          <cell r="C863" t="str">
            <v>PQZI-EI-2076-23-07-2024</v>
          </cell>
          <cell r="D863">
            <v>45496</v>
          </cell>
          <cell r="E863" t="str">
            <v>Packing Material</v>
          </cell>
          <cell r="F863" t="str">
            <v>Closed</v>
          </cell>
          <cell r="G863">
            <v>1156</v>
          </cell>
        </row>
        <row r="864">
          <cell r="C864" t="str">
            <v>KAPS-FS-11539-23-07-2024</v>
          </cell>
          <cell r="D864">
            <v>45496</v>
          </cell>
          <cell r="E864" t="str">
            <v>Raw Material</v>
          </cell>
          <cell r="F864" t="str">
            <v>Closed</v>
          </cell>
          <cell r="G864">
            <v>19040</v>
          </cell>
        </row>
        <row r="865">
          <cell r="C865" t="str">
            <v>KAPW-FS-11659-23-07-2024</v>
          </cell>
          <cell r="D865">
            <v>45496</v>
          </cell>
          <cell r="E865" t="str">
            <v>Raw Material</v>
          </cell>
          <cell r="F865" t="str">
            <v>Closed</v>
          </cell>
          <cell r="G865">
            <v>540</v>
          </cell>
        </row>
        <row r="866">
          <cell r="C866" t="str">
            <v>KAPS-FS-11538-23-07-2024</v>
          </cell>
          <cell r="D866">
            <v>45496</v>
          </cell>
          <cell r="E866" t="str">
            <v>Raw Material</v>
          </cell>
          <cell r="F866" t="str">
            <v>-</v>
          </cell>
          <cell r="G866">
            <v>24000</v>
          </cell>
        </row>
        <row r="867">
          <cell r="C867" t="str">
            <v>PQZI-EI-2207-24-07-2024</v>
          </cell>
          <cell r="D867">
            <v>45497</v>
          </cell>
          <cell r="E867" t="str">
            <v>Packing Material</v>
          </cell>
          <cell r="F867" t="str">
            <v>-</v>
          </cell>
          <cell r="G867">
            <v>260</v>
          </cell>
        </row>
        <row r="868">
          <cell r="C868" t="str">
            <v>PQZI-EI-2208-24-07-2024</v>
          </cell>
          <cell r="D868">
            <v>45497</v>
          </cell>
          <cell r="E868" t="str">
            <v>Packing Material</v>
          </cell>
          <cell r="F868" t="str">
            <v>-</v>
          </cell>
          <cell r="G868">
            <v>324</v>
          </cell>
        </row>
        <row r="869">
          <cell r="C869" t="str">
            <v>PQZI-EI-2208-24-07-2024</v>
          </cell>
          <cell r="D869">
            <v>45497</v>
          </cell>
          <cell r="E869" t="str">
            <v>Packing Material</v>
          </cell>
          <cell r="F869" t="str">
            <v>-</v>
          </cell>
          <cell r="G869">
            <v>1</v>
          </cell>
        </row>
        <row r="870">
          <cell r="C870" t="str">
            <v>KPAF-FS-4893-24-07-2024</v>
          </cell>
          <cell r="D870">
            <v>45497</v>
          </cell>
          <cell r="E870" t="str">
            <v>Packing Material</v>
          </cell>
          <cell r="F870" t="str">
            <v>-</v>
          </cell>
          <cell r="G870">
            <v>376</v>
          </cell>
        </row>
        <row r="871">
          <cell r="C871" t="str">
            <v>KPAF-FS-4618-23-07-2024</v>
          </cell>
          <cell r="D871">
            <v>45496</v>
          </cell>
          <cell r="E871" t="str">
            <v>Packing Material</v>
          </cell>
          <cell r="F871" t="str">
            <v>-</v>
          </cell>
          <cell r="G871">
            <v>13000</v>
          </cell>
        </row>
        <row r="872">
          <cell r="C872" t="str">
            <v>KAPS-FS-11548-23-07-2024</v>
          </cell>
          <cell r="D872">
            <v>45496</v>
          </cell>
          <cell r="E872" t="str">
            <v>Packing Material</v>
          </cell>
          <cell r="F872" t="str">
            <v>-</v>
          </cell>
          <cell r="G872">
            <v>11042</v>
          </cell>
        </row>
        <row r="873">
          <cell r="C873" t="str">
            <v>KPPI-FS-4684-24-07-2024</v>
          </cell>
          <cell r="D873">
            <v>45497</v>
          </cell>
          <cell r="E873" t="str">
            <v>Raw Material</v>
          </cell>
          <cell r="F873" t="str">
            <v>-</v>
          </cell>
          <cell r="G873">
            <v>74176</v>
          </cell>
        </row>
        <row r="874">
          <cell r="C874" t="str">
            <v>PQZI-EI-2225-24-07-2024</v>
          </cell>
          <cell r="D874">
            <v>45497</v>
          </cell>
          <cell r="E874" t="str">
            <v>Packing Material</v>
          </cell>
          <cell r="F874" t="str">
            <v>-</v>
          </cell>
          <cell r="G874">
            <v>27.42</v>
          </cell>
        </row>
        <row r="875">
          <cell r="C875" t="str">
            <v>KAPW-FS-12332-24-07-2024</v>
          </cell>
          <cell r="D875">
            <v>45497</v>
          </cell>
          <cell r="E875" t="str">
            <v>Raw Material</v>
          </cell>
          <cell r="F875" t="str">
            <v>-</v>
          </cell>
          <cell r="G875">
            <v>163200</v>
          </cell>
        </row>
        <row r="876">
          <cell r="C876" t="str">
            <v>KAPE-FS-4281-25-07-2024</v>
          </cell>
          <cell r="D876">
            <v>45498</v>
          </cell>
          <cell r="E876" t="str">
            <v>Raw Material</v>
          </cell>
          <cell r="F876" t="str">
            <v>Closed</v>
          </cell>
          <cell r="G876">
            <v>1000</v>
          </cell>
        </row>
        <row r="877">
          <cell r="C877" t="str">
            <v>KAPW-FS-14136-26-07-2024</v>
          </cell>
          <cell r="D877">
            <v>45499</v>
          </cell>
          <cell r="E877" t="str">
            <v>Raw Material</v>
          </cell>
          <cell r="F877" t="str">
            <v>Closed</v>
          </cell>
          <cell r="G877">
            <v>500</v>
          </cell>
        </row>
        <row r="878">
          <cell r="C878" t="str">
            <v>KPAF-FS-6380-30-07-2024</v>
          </cell>
          <cell r="D878">
            <v>45503</v>
          </cell>
          <cell r="E878" t="str">
            <v>Packing Material</v>
          </cell>
          <cell r="F878" t="str">
            <v>-</v>
          </cell>
          <cell r="G878">
            <v>29</v>
          </cell>
        </row>
        <row r="879">
          <cell r="C879" t="str">
            <v>PQZI-EI-3010-30-07-2024</v>
          </cell>
          <cell r="D879">
            <v>45503</v>
          </cell>
          <cell r="E879" t="str">
            <v>Packing Material</v>
          </cell>
          <cell r="F879" t="str">
            <v>Closed</v>
          </cell>
          <cell r="G879">
            <v>1092</v>
          </cell>
        </row>
        <row r="880">
          <cell r="C880" t="str">
            <v>KPAF-FS-6152-30-07-2024</v>
          </cell>
          <cell r="D880">
            <v>45503</v>
          </cell>
          <cell r="E880" t="str">
            <v>Raw Material</v>
          </cell>
          <cell r="F880" t="str">
            <v>-</v>
          </cell>
          <cell r="G880">
            <v>149.20000000000002</v>
          </cell>
        </row>
        <row r="881">
          <cell r="C881" t="str">
            <v>KPAF-FS-6152-30-07-2024</v>
          </cell>
          <cell r="D881">
            <v>45503</v>
          </cell>
          <cell r="E881" t="str">
            <v>Raw Material</v>
          </cell>
          <cell r="F881" t="str">
            <v>-</v>
          </cell>
          <cell r="G881">
            <v>247.89999999999998</v>
          </cell>
        </row>
        <row r="882">
          <cell r="C882" t="str">
            <v>KPAF-FS-6483-31-07-2024</v>
          </cell>
          <cell r="D882">
            <v>45504</v>
          </cell>
          <cell r="E882" t="str">
            <v>Raw Material</v>
          </cell>
          <cell r="F882" t="str">
            <v>-</v>
          </cell>
          <cell r="G882">
            <v>1415</v>
          </cell>
        </row>
        <row r="883">
          <cell r="C883" t="str">
            <v>KAPS-FS-16818-31-07-2024</v>
          </cell>
          <cell r="D883">
            <v>45504</v>
          </cell>
          <cell r="E883" t="str">
            <v>Raw Material</v>
          </cell>
          <cell r="F883" t="str">
            <v>-</v>
          </cell>
          <cell r="G883">
            <v>310080</v>
          </cell>
        </row>
        <row r="884">
          <cell r="C884" t="str">
            <v>KAPS-FS-18211-03-08-2024</v>
          </cell>
          <cell r="D884">
            <v>45507</v>
          </cell>
          <cell r="E884" t="str">
            <v>Raw Material</v>
          </cell>
          <cell r="F884" t="str">
            <v>-</v>
          </cell>
          <cell r="G884">
            <v>16826.11</v>
          </cell>
        </row>
        <row r="885">
          <cell r="C885" t="str">
            <v>KAPW-FS-18088-03-08-2024</v>
          </cell>
          <cell r="D885">
            <v>45507</v>
          </cell>
          <cell r="E885" t="str">
            <v>Raw Material</v>
          </cell>
          <cell r="F885" t="str">
            <v>-</v>
          </cell>
          <cell r="G885">
            <v>6000</v>
          </cell>
        </row>
        <row r="886">
          <cell r="C886" t="str">
            <v>PQZI-EI-3647-05-08-2024</v>
          </cell>
          <cell r="D886">
            <v>45509</v>
          </cell>
          <cell r="E886" t="str">
            <v>Packing Material</v>
          </cell>
          <cell r="F886" t="str">
            <v>-</v>
          </cell>
          <cell r="G886">
            <v>1302.57</v>
          </cell>
        </row>
        <row r="887">
          <cell r="C887" t="str">
            <v>PQZI-EI-3893-06-08-2024</v>
          </cell>
          <cell r="D887">
            <v>45510</v>
          </cell>
          <cell r="E887" t="str">
            <v>Packing Material</v>
          </cell>
          <cell r="F887" t="str">
            <v>-</v>
          </cell>
          <cell r="G887">
            <v>1302.57</v>
          </cell>
        </row>
        <row r="888">
          <cell r="C888" t="str">
            <v>PQZI-EI-3887-06-08-2024</v>
          </cell>
          <cell r="D888">
            <v>45510</v>
          </cell>
          <cell r="E888" t="str">
            <v>Packing Material</v>
          </cell>
          <cell r="F888" t="str">
            <v>-</v>
          </cell>
          <cell r="G888">
            <v>5.98</v>
          </cell>
        </row>
        <row r="889">
          <cell r="C889" t="str">
            <v>PQZI-EI-3887-06-08-2024</v>
          </cell>
          <cell r="D889">
            <v>45510</v>
          </cell>
          <cell r="E889" t="str">
            <v>Packing Material</v>
          </cell>
          <cell r="F889" t="str">
            <v>-</v>
          </cell>
          <cell r="G889">
            <v>1.92</v>
          </cell>
        </row>
        <row r="890">
          <cell r="C890" t="str">
            <v>PQZI-EI-3871-06-08-2024</v>
          </cell>
          <cell r="D890">
            <v>45510</v>
          </cell>
          <cell r="E890" t="str">
            <v>Packing Material</v>
          </cell>
          <cell r="F890" t="str">
            <v>Closed</v>
          </cell>
          <cell r="G890">
            <v>1156</v>
          </cell>
        </row>
        <row r="891">
          <cell r="C891" t="str">
            <v>KAPW-FS-19999-07-08-2024</v>
          </cell>
          <cell r="D891">
            <v>45511</v>
          </cell>
          <cell r="E891" t="str">
            <v>Raw Material</v>
          </cell>
          <cell r="F891" t="str">
            <v>-</v>
          </cell>
          <cell r="G891">
            <v>163200</v>
          </cell>
        </row>
        <row r="892">
          <cell r="C892" t="str">
            <v>KAPS-FS-19691-07-08-2024</v>
          </cell>
          <cell r="D892">
            <v>45511</v>
          </cell>
          <cell r="E892" t="str">
            <v>Raw Material</v>
          </cell>
          <cell r="F892" t="str">
            <v>Running</v>
          </cell>
          <cell r="G892">
            <v>18000</v>
          </cell>
        </row>
        <row r="893">
          <cell r="C893" t="str">
            <v>KPFI-FS-3849-08-08-2024</v>
          </cell>
          <cell r="D893">
            <v>45512</v>
          </cell>
          <cell r="E893" t="str">
            <v>Packing Material</v>
          </cell>
          <cell r="F893" t="str">
            <v>-</v>
          </cell>
          <cell r="G893">
            <v>8.1</v>
          </cell>
        </row>
        <row r="894">
          <cell r="C894" t="str">
            <v>KPPI-FS-7424-08-08-2024</v>
          </cell>
          <cell r="D894">
            <v>45512</v>
          </cell>
          <cell r="E894" t="str">
            <v>Raw Material</v>
          </cell>
          <cell r="F894" t="str">
            <v>Running</v>
          </cell>
          <cell r="G894">
            <v>398648</v>
          </cell>
        </row>
        <row r="895">
          <cell r="C895" t="str">
            <v>KPPI-FS-7423-08-08-2024</v>
          </cell>
          <cell r="D895">
            <v>45512</v>
          </cell>
          <cell r="E895" t="str">
            <v>Raw Material</v>
          </cell>
          <cell r="F895" t="str">
            <v>-</v>
          </cell>
          <cell r="G895">
            <v>100384</v>
          </cell>
        </row>
        <row r="896">
          <cell r="C896" t="str">
            <v>KAPW-FS-20695-08-08-2024</v>
          </cell>
          <cell r="D896">
            <v>45512</v>
          </cell>
          <cell r="E896" t="str">
            <v>Raw Material</v>
          </cell>
          <cell r="F896" t="str">
            <v>Closed</v>
          </cell>
          <cell r="G896">
            <v>2000</v>
          </cell>
        </row>
        <row r="897">
          <cell r="C897" t="str">
            <v>KAPE-FS-7207-09-08-2024</v>
          </cell>
          <cell r="D897">
            <v>45513</v>
          </cell>
          <cell r="E897" t="str">
            <v>Raw Material</v>
          </cell>
          <cell r="F897" t="str">
            <v>Running</v>
          </cell>
          <cell r="G897">
            <v>1000</v>
          </cell>
        </row>
        <row r="898">
          <cell r="C898" t="str">
            <v>KAPS-FS-22010-10-08-2024</v>
          </cell>
          <cell r="D898">
            <v>45514</v>
          </cell>
          <cell r="E898" t="str">
            <v>Packing Material</v>
          </cell>
          <cell r="F898" t="str">
            <v>-</v>
          </cell>
          <cell r="G898">
            <v>14714</v>
          </cell>
        </row>
        <row r="899">
          <cell r="C899" t="str">
            <v>PQZI-EI-4453-10-08-2024</v>
          </cell>
          <cell r="D899">
            <v>45514</v>
          </cell>
          <cell r="E899" t="str">
            <v>Packing Material</v>
          </cell>
          <cell r="F899" t="str">
            <v>-</v>
          </cell>
          <cell r="G899">
            <v>288.66000000000003</v>
          </cell>
        </row>
        <row r="900">
          <cell r="C900" t="str">
            <v>PQZI-EI-4453-10-08-2024</v>
          </cell>
          <cell r="D900">
            <v>45514</v>
          </cell>
          <cell r="E900" t="str">
            <v>Packing Material</v>
          </cell>
          <cell r="F900" t="str">
            <v>-</v>
          </cell>
          <cell r="G900">
            <v>114.52</v>
          </cell>
        </row>
        <row r="901">
          <cell r="C901" t="str">
            <v>PQZI-EI-4454-10-08-2024</v>
          </cell>
          <cell r="D901">
            <v>45514</v>
          </cell>
          <cell r="E901" t="str">
            <v>Packing Material</v>
          </cell>
          <cell r="F901" t="str">
            <v>-</v>
          </cell>
          <cell r="G901">
            <v>350.46</v>
          </cell>
        </row>
        <row r="902">
          <cell r="C902" t="str">
            <v>KPAF-FS-8892-12-08-2024</v>
          </cell>
          <cell r="D902">
            <v>45516</v>
          </cell>
          <cell r="E902" t="str">
            <v>Packing Material</v>
          </cell>
          <cell r="F902" t="str">
            <v>-</v>
          </cell>
          <cell r="G902">
            <v>25</v>
          </cell>
        </row>
        <row r="903">
          <cell r="C903" t="str">
            <v>KPAF-FS-8894-12-08-2024</v>
          </cell>
          <cell r="D903">
            <v>45516</v>
          </cell>
          <cell r="E903" t="str">
            <v>Packing Material</v>
          </cell>
          <cell r="F903" t="str">
            <v>-</v>
          </cell>
          <cell r="G903">
            <v>44</v>
          </cell>
        </row>
        <row r="904">
          <cell r="C904" t="str">
            <v>KPAF-FS-9057-12-08-2024</v>
          </cell>
          <cell r="D904">
            <v>45516</v>
          </cell>
          <cell r="E904" t="str">
            <v>Packing Material</v>
          </cell>
          <cell r="F904" t="str">
            <v>-</v>
          </cell>
          <cell r="G904">
            <v>41000</v>
          </cell>
        </row>
        <row r="905">
          <cell r="C905" t="str">
            <v>KPFI-FS-4334-13-08-2024</v>
          </cell>
          <cell r="D905">
            <v>45517</v>
          </cell>
          <cell r="E905" t="str">
            <v>Packing Material</v>
          </cell>
          <cell r="F905" t="str">
            <v>-</v>
          </cell>
          <cell r="G905">
            <v>18</v>
          </cell>
        </row>
        <row r="906">
          <cell r="C906" t="str">
            <v>KAPW-FS-23706-13-08-2024</v>
          </cell>
          <cell r="D906">
            <v>45517</v>
          </cell>
          <cell r="E906" t="str">
            <v>Raw Material</v>
          </cell>
          <cell r="F906" t="str">
            <v>-</v>
          </cell>
          <cell r="G906">
            <v>5040</v>
          </cell>
        </row>
        <row r="907">
          <cell r="C907" t="str">
            <v>PQZI-EI-4789-13-08-2024</v>
          </cell>
          <cell r="D907">
            <v>45517</v>
          </cell>
          <cell r="E907" t="str">
            <v>Packing Material</v>
          </cell>
          <cell r="F907" t="str">
            <v>-</v>
          </cell>
          <cell r="G907">
            <v>1271.5999999999999</v>
          </cell>
        </row>
        <row r="908">
          <cell r="C908" t="str">
            <v>KAPW-FS-24925-15-08-2024</v>
          </cell>
          <cell r="D908">
            <v>45519</v>
          </cell>
          <cell r="E908" t="str">
            <v>Raw Material</v>
          </cell>
          <cell r="F908" t="str">
            <v>-</v>
          </cell>
          <cell r="G908">
            <v>310080</v>
          </cell>
        </row>
        <row r="909">
          <cell r="C909" t="str">
            <v>PQZI-EI-5074-16-08-2024</v>
          </cell>
          <cell r="D909">
            <v>45520</v>
          </cell>
          <cell r="E909" t="str">
            <v>Packing Material</v>
          </cell>
          <cell r="F909" t="str">
            <v>-</v>
          </cell>
          <cell r="G909">
            <v>22.65</v>
          </cell>
        </row>
        <row r="910">
          <cell r="C910" t="str">
            <v>PQZI-EI-5074-16-08-2024</v>
          </cell>
          <cell r="D910">
            <v>45520</v>
          </cell>
          <cell r="E910" t="str">
            <v>Packing Material</v>
          </cell>
          <cell r="F910" t="str">
            <v>-</v>
          </cell>
          <cell r="G910">
            <v>329.74</v>
          </cell>
        </row>
        <row r="911">
          <cell r="C911" t="str">
            <v>PQZI-EI-5069-16-08-2024</v>
          </cell>
          <cell r="D911">
            <v>45520</v>
          </cell>
          <cell r="E911" t="str">
            <v>Packing Material</v>
          </cell>
          <cell r="F911" t="str">
            <v>-</v>
          </cell>
          <cell r="G911">
            <v>94.28</v>
          </cell>
        </row>
        <row r="912">
          <cell r="C912" t="str">
            <v>KAPW-FS-25994-17-08-2024</v>
          </cell>
          <cell r="D912">
            <v>45521</v>
          </cell>
          <cell r="E912" t="str">
            <v>Packing Material</v>
          </cell>
          <cell r="F912" t="str">
            <v>Running</v>
          </cell>
          <cell r="G912">
            <v>24908</v>
          </cell>
        </row>
        <row r="913">
          <cell r="C913" t="str">
            <v>KAPW-FS-25993-17-08-2024</v>
          </cell>
          <cell r="D913">
            <v>45521</v>
          </cell>
          <cell r="E913" t="str">
            <v>Packing Material</v>
          </cell>
          <cell r="F913" t="str">
            <v>-</v>
          </cell>
          <cell r="G913">
            <v>24908</v>
          </cell>
        </row>
        <row r="914">
          <cell r="C914" t="str">
            <v>KAPW-FS-25992-17-08-2024</v>
          </cell>
          <cell r="D914">
            <v>45521</v>
          </cell>
          <cell r="E914" t="str">
            <v>Packing Material</v>
          </cell>
          <cell r="F914" t="str">
            <v>-</v>
          </cell>
          <cell r="G914">
            <v>24908</v>
          </cell>
        </row>
        <row r="915">
          <cell r="C915" t="str">
            <v>KPAF-FS-10104-17-08-2024</v>
          </cell>
          <cell r="D915">
            <v>45521</v>
          </cell>
          <cell r="E915" t="str">
            <v>Packing Material</v>
          </cell>
          <cell r="F915" t="str">
            <v>-</v>
          </cell>
          <cell r="G915">
            <v>594</v>
          </cell>
        </row>
        <row r="916">
          <cell r="C916" t="str">
            <v>KAPW-FS-26955-20-08-2024</v>
          </cell>
          <cell r="D916">
            <v>45524</v>
          </cell>
          <cell r="E916" t="str">
            <v>Packing Material</v>
          </cell>
          <cell r="F916" t="str">
            <v>-</v>
          </cell>
          <cell r="G916">
            <v>24908</v>
          </cell>
        </row>
        <row r="917">
          <cell r="C917" t="str">
            <v>PQZI-EI-5500-20-08-2024</v>
          </cell>
          <cell r="D917">
            <v>45524</v>
          </cell>
          <cell r="E917" t="str">
            <v>Packing Material</v>
          </cell>
          <cell r="F917" t="str">
            <v>-</v>
          </cell>
          <cell r="G917">
            <v>56.67</v>
          </cell>
        </row>
        <row r="918">
          <cell r="C918" t="str">
            <v>PQZI-EI-5500-20-08-2024</v>
          </cell>
          <cell r="D918">
            <v>45524</v>
          </cell>
          <cell r="E918" t="str">
            <v>Packing Material</v>
          </cell>
          <cell r="F918" t="str">
            <v>-</v>
          </cell>
          <cell r="G918">
            <v>453.4</v>
          </cell>
        </row>
        <row r="919">
          <cell r="C919" t="str">
            <v>KPPI-FS-10311-21-08-2024</v>
          </cell>
          <cell r="D919">
            <v>45525</v>
          </cell>
          <cell r="E919" t="str">
            <v>Raw Material</v>
          </cell>
          <cell r="F919" t="str">
            <v>-</v>
          </cell>
          <cell r="G919">
            <v>124220</v>
          </cell>
        </row>
        <row r="920">
          <cell r="C920" t="str">
            <v>KAPW-FS-29063-22-08-2024</v>
          </cell>
          <cell r="D920">
            <v>45526</v>
          </cell>
          <cell r="E920" t="str">
            <v>Raw Material</v>
          </cell>
          <cell r="F920" t="str">
            <v>-</v>
          </cell>
          <cell r="G920">
            <v>5000</v>
          </cell>
        </row>
        <row r="921">
          <cell r="C921" t="str">
            <v>KAPS-FS-27864-22-08-2024</v>
          </cell>
          <cell r="D921">
            <v>45526</v>
          </cell>
          <cell r="E921" t="str">
            <v>Raw Material</v>
          </cell>
          <cell r="F921" t="str">
            <v>-</v>
          </cell>
          <cell r="G921">
            <v>10418</v>
          </cell>
        </row>
        <row r="922">
          <cell r="C922" t="str">
            <v>KAPW-FS-29065-22-08-2024</v>
          </cell>
          <cell r="D922">
            <v>45526</v>
          </cell>
          <cell r="E922" t="str">
            <v>Packing Material</v>
          </cell>
          <cell r="F922" t="str">
            <v>Running</v>
          </cell>
          <cell r="G922">
            <v>16620</v>
          </cell>
        </row>
        <row r="923">
          <cell r="C923" t="str">
            <v>KAPW-FS-29550-23-08-2024</v>
          </cell>
          <cell r="D923">
            <v>45527</v>
          </cell>
          <cell r="E923" t="str">
            <v>Raw Material</v>
          </cell>
          <cell r="F923" t="str">
            <v>-</v>
          </cell>
          <cell r="G923">
            <v>2000</v>
          </cell>
        </row>
        <row r="924">
          <cell r="C924" t="str">
            <v>PQZI-EI-6103-23-08-2024</v>
          </cell>
          <cell r="D924">
            <v>45527</v>
          </cell>
          <cell r="E924" t="str">
            <v>Packing Material</v>
          </cell>
          <cell r="F924" t="str">
            <v>-</v>
          </cell>
          <cell r="G924">
            <v>1080.9000000000001</v>
          </cell>
        </row>
        <row r="925">
          <cell r="C925" t="str">
            <v>PQZI-EI-6283-24-08-2024</v>
          </cell>
          <cell r="D925">
            <v>45528</v>
          </cell>
          <cell r="E925" t="str">
            <v>Packing Material</v>
          </cell>
          <cell r="F925" t="str">
            <v>Closed</v>
          </cell>
          <cell r="G925">
            <v>948</v>
          </cell>
        </row>
        <row r="926">
          <cell r="C926" t="str">
            <v>KPAF-FS-11887-27-08-2024</v>
          </cell>
          <cell r="D926">
            <v>45531</v>
          </cell>
          <cell r="E926" t="str">
            <v>Packing Material</v>
          </cell>
          <cell r="F926" t="str">
            <v>-</v>
          </cell>
          <cell r="G926">
            <v>74</v>
          </cell>
        </row>
        <row r="927">
          <cell r="C927" t="str">
            <v>KPAF-FS-11794-27-08-2024</v>
          </cell>
          <cell r="D927">
            <v>45531</v>
          </cell>
          <cell r="E927" t="str">
            <v>Packing Material</v>
          </cell>
          <cell r="F927" t="str">
            <v>-</v>
          </cell>
          <cell r="G927">
            <v>94.8</v>
          </cell>
        </row>
        <row r="928">
          <cell r="C928" t="str">
            <v>KAPW-FS-31082-27-08-2024</v>
          </cell>
          <cell r="D928">
            <v>45531</v>
          </cell>
          <cell r="E928" t="str">
            <v>Raw Material</v>
          </cell>
          <cell r="F928" t="str">
            <v>Running</v>
          </cell>
          <cell r="G928">
            <v>3000</v>
          </cell>
        </row>
        <row r="929">
          <cell r="C929" t="str">
            <v>KPAF-FS-12346-28-08-2024</v>
          </cell>
          <cell r="D929">
            <v>45532</v>
          </cell>
          <cell r="E929" t="str">
            <v>Packing Material</v>
          </cell>
          <cell r="F929" t="str">
            <v>-</v>
          </cell>
          <cell r="G929">
            <v>79.5</v>
          </cell>
        </row>
        <row r="930">
          <cell r="C930" t="str">
            <v>PQZI-EI-6670-28-08-2024</v>
          </cell>
          <cell r="D930">
            <v>45532</v>
          </cell>
          <cell r="E930" t="str">
            <v>Packing Material</v>
          </cell>
          <cell r="F930" t="str">
            <v>Closed</v>
          </cell>
          <cell r="G930">
            <v>620</v>
          </cell>
        </row>
        <row r="931">
          <cell r="C931" t="str">
            <v>KPAF-FS-12702-30-08-2024</v>
          </cell>
          <cell r="D931">
            <v>45534</v>
          </cell>
          <cell r="E931" t="str">
            <v>Packing Material</v>
          </cell>
          <cell r="F931" t="str">
            <v>-</v>
          </cell>
          <cell r="G931">
            <v>80</v>
          </cell>
        </row>
        <row r="932">
          <cell r="C932" t="str">
            <v>KAPW-FS-33323-30-08-2024</v>
          </cell>
          <cell r="D932">
            <v>45534</v>
          </cell>
          <cell r="E932" t="str">
            <v>Packing Material</v>
          </cell>
          <cell r="F932" t="str">
            <v>-</v>
          </cell>
          <cell r="G932">
            <v>647</v>
          </cell>
        </row>
        <row r="933">
          <cell r="C933" t="str">
            <v>KAPW-FS-33321-30-08-2024</v>
          </cell>
          <cell r="D933">
            <v>45534</v>
          </cell>
          <cell r="E933" t="str">
            <v>Packing Material</v>
          </cell>
          <cell r="F933" t="str">
            <v>-</v>
          </cell>
          <cell r="G933">
            <v>1312</v>
          </cell>
        </row>
        <row r="934">
          <cell r="C934" t="str">
            <v>KPPI-FS-12207-30-08-2024</v>
          </cell>
          <cell r="D934">
            <v>45534</v>
          </cell>
          <cell r="E934" t="str">
            <v>Raw Material</v>
          </cell>
          <cell r="F934" t="str">
            <v>-</v>
          </cell>
          <cell r="G934">
            <v>500600</v>
          </cell>
        </row>
        <row r="935">
          <cell r="C935" t="str">
            <v>KAPW-FS-32816-30-08-2024</v>
          </cell>
          <cell r="D935">
            <v>45534</v>
          </cell>
          <cell r="E935" t="str">
            <v>Raw Material</v>
          </cell>
          <cell r="F935" t="str">
            <v>-</v>
          </cell>
          <cell r="G935">
            <v>1550</v>
          </cell>
        </row>
        <row r="936">
          <cell r="C936" t="str">
            <v>KAPW-FS-33327-30-08-2024</v>
          </cell>
          <cell r="D936">
            <v>45534</v>
          </cell>
          <cell r="E936" t="str">
            <v>Raw Material</v>
          </cell>
          <cell r="F936" t="str">
            <v>-</v>
          </cell>
          <cell r="G936">
            <v>81600</v>
          </cell>
        </row>
        <row r="937">
          <cell r="C937" t="str">
            <v>KAPW-FS-33333-30-08-2024</v>
          </cell>
          <cell r="D937">
            <v>45534</v>
          </cell>
          <cell r="E937" t="str">
            <v>Raw Material</v>
          </cell>
          <cell r="F937" t="str">
            <v>-</v>
          </cell>
          <cell r="G937">
            <v>81600</v>
          </cell>
        </row>
        <row r="938">
          <cell r="C938" t="str">
            <v>KAPS-FS-33128-02-09-2024</v>
          </cell>
          <cell r="D938">
            <v>45537</v>
          </cell>
          <cell r="E938" t="str">
            <v>Raw Material</v>
          </cell>
          <cell r="F938" t="str">
            <v>-</v>
          </cell>
          <cell r="G938">
            <v>19300</v>
          </cell>
        </row>
        <row r="939">
          <cell r="C939" t="str">
            <v>KAPS-FS-33127-02-09-2024</v>
          </cell>
          <cell r="D939">
            <v>45537</v>
          </cell>
          <cell r="E939" t="str">
            <v>Raw Material</v>
          </cell>
          <cell r="F939" t="str">
            <v>-</v>
          </cell>
          <cell r="G939">
            <v>18720</v>
          </cell>
        </row>
        <row r="940">
          <cell r="C940" t="str">
            <v>KAPS-FS-33645-03-09-2024</v>
          </cell>
          <cell r="D940">
            <v>45538</v>
          </cell>
          <cell r="E940" t="str">
            <v>Raw Material</v>
          </cell>
          <cell r="F940" t="str">
            <v>-</v>
          </cell>
          <cell r="G940">
            <v>24480</v>
          </cell>
        </row>
        <row r="941">
          <cell r="C941" t="str">
            <v>KAPS-FS-33650-03-09-2024</v>
          </cell>
          <cell r="D941">
            <v>45538</v>
          </cell>
          <cell r="E941" t="str">
            <v>Raw Material</v>
          </cell>
          <cell r="F941" t="str">
            <v>-</v>
          </cell>
          <cell r="G941">
            <v>24480</v>
          </cell>
        </row>
        <row r="942">
          <cell r="C942" t="str">
            <v>KAPS-FS-34142-03-09-2024</v>
          </cell>
          <cell r="D942">
            <v>45538</v>
          </cell>
          <cell r="E942" t="str">
            <v>Packing Material</v>
          </cell>
          <cell r="F942" t="str">
            <v>-</v>
          </cell>
          <cell r="G942">
            <v>5220</v>
          </cell>
        </row>
        <row r="943">
          <cell r="C943" t="str">
            <v>KAPS-FS-34143-03-09-2024</v>
          </cell>
          <cell r="D943">
            <v>45538</v>
          </cell>
          <cell r="E943" t="str">
            <v>Packing Material</v>
          </cell>
          <cell r="F943" t="str">
            <v>-</v>
          </cell>
          <cell r="G943">
            <v>14500</v>
          </cell>
        </row>
        <row r="944">
          <cell r="C944" t="str">
            <v>KAPS-FS-34138-03-09-2024</v>
          </cell>
          <cell r="D944">
            <v>45538</v>
          </cell>
          <cell r="E944" t="str">
            <v>Packing Material</v>
          </cell>
          <cell r="F944" t="str">
            <v>-</v>
          </cell>
          <cell r="G944">
            <v>24908</v>
          </cell>
        </row>
        <row r="945">
          <cell r="C945" t="str">
            <v>KAPS-FS-34139-03-09-2024</v>
          </cell>
          <cell r="D945">
            <v>45538</v>
          </cell>
          <cell r="E945" t="str">
            <v>Packing Material</v>
          </cell>
          <cell r="F945" t="str">
            <v>-</v>
          </cell>
          <cell r="G945">
            <v>24908</v>
          </cell>
        </row>
        <row r="946">
          <cell r="C946" t="str">
            <v>KAPS-FS-34140-03-09-2024</v>
          </cell>
          <cell r="D946">
            <v>45538</v>
          </cell>
          <cell r="E946" t="str">
            <v>Packing Material</v>
          </cell>
          <cell r="F946" t="str">
            <v>-</v>
          </cell>
          <cell r="G946">
            <v>24908</v>
          </cell>
        </row>
        <row r="947">
          <cell r="C947" t="str">
            <v>KAPS-FS-34141-03-09-2024</v>
          </cell>
          <cell r="D947">
            <v>45538</v>
          </cell>
          <cell r="E947" t="str">
            <v>Packing Material</v>
          </cell>
          <cell r="F947" t="str">
            <v>-</v>
          </cell>
          <cell r="G947">
            <v>24908</v>
          </cell>
        </row>
        <row r="948">
          <cell r="C948" t="str">
            <v>PQZI-EI-7599-03-09-2024</v>
          </cell>
          <cell r="D948">
            <v>45538</v>
          </cell>
          <cell r="E948" t="str">
            <v>Packing Material</v>
          </cell>
          <cell r="F948" t="str">
            <v>Running</v>
          </cell>
          <cell r="G948">
            <v>5724</v>
          </cell>
        </row>
        <row r="949">
          <cell r="C949" t="str">
            <v>PQZI-EI-7567-03-09-2024</v>
          </cell>
          <cell r="D949">
            <v>45538</v>
          </cell>
          <cell r="E949" t="str">
            <v>Packing Material</v>
          </cell>
          <cell r="F949" t="str">
            <v>Closed</v>
          </cell>
          <cell r="G949">
            <v>560</v>
          </cell>
        </row>
        <row r="950">
          <cell r="C950" t="str">
            <v>KPAF-FS-13842-04-09-2024</v>
          </cell>
          <cell r="D950">
            <v>45539</v>
          </cell>
          <cell r="E950" t="str">
            <v>Packing Material</v>
          </cell>
          <cell r="F950" t="str">
            <v>-</v>
          </cell>
          <cell r="G950">
            <v>53.5</v>
          </cell>
        </row>
        <row r="951">
          <cell r="C951" t="str">
            <v>KPAF-FS-14178-05-09-2024</v>
          </cell>
          <cell r="D951">
            <v>45540</v>
          </cell>
          <cell r="E951" t="str">
            <v>Packing Material</v>
          </cell>
          <cell r="F951" t="str">
            <v>-</v>
          </cell>
          <cell r="G951">
            <v>25000</v>
          </cell>
        </row>
        <row r="952">
          <cell r="C952" t="str">
            <v>KPAF-FS-14110-05-09-2024</v>
          </cell>
          <cell r="D952">
            <v>45540</v>
          </cell>
          <cell r="E952" t="str">
            <v>Packing Material</v>
          </cell>
          <cell r="F952" t="str">
            <v>-</v>
          </cell>
          <cell r="G952">
            <v>23500</v>
          </cell>
        </row>
        <row r="953">
          <cell r="C953" t="str">
            <v>KPAF-FS-14111-05-09-2024</v>
          </cell>
          <cell r="D953">
            <v>45540</v>
          </cell>
          <cell r="E953" t="str">
            <v>Packing Material</v>
          </cell>
          <cell r="F953" t="str">
            <v>-</v>
          </cell>
          <cell r="G953">
            <v>101</v>
          </cell>
        </row>
        <row r="954">
          <cell r="C954" t="str">
            <v>KAPS-FS-35693-05-09-2024</v>
          </cell>
          <cell r="D954">
            <v>45540</v>
          </cell>
          <cell r="E954" t="str">
            <v>Raw Material</v>
          </cell>
          <cell r="F954" t="str">
            <v>-</v>
          </cell>
          <cell r="G954">
            <v>18720</v>
          </cell>
        </row>
        <row r="955">
          <cell r="C955" t="str">
            <v>KAPW-FS-37123-05-09-2024</v>
          </cell>
          <cell r="D955">
            <v>45540</v>
          </cell>
          <cell r="E955" t="str">
            <v>Raw Material</v>
          </cell>
          <cell r="F955" t="str">
            <v>-</v>
          </cell>
          <cell r="G955">
            <v>2850</v>
          </cell>
        </row>
        <row r="956">
          <cell r="C956" t="str">
            <v>KPPI-FS-13682-06-09-2024</v>
          </cell>
          <cell r="D956">
            <v>45541</v>
          </cell>
          <cell r="E956" t="str">
            <v>Raw Material</v>
          </cell>
          <cell r="F956" t="str">
            <v>-</v>
          </cell>
          <cell r="G956">
            <v>273882</v>
          </cell>
        </row>
        <row r="957">
          <cell r="C957" t="str">
            <v>KPAF-FS-14754-09-09-2024</v>
          </cell>
          <cell r="D957">
            <v>45544</v>
          </cell>
          <cell r="E957" t="str">
            <v>Packing Material</v>
          </cell>
          <cell r="F957" t="str">
            <v>-</v>
          </cell>
          <cell r="G957">
            <v>170</v>
          </cell>
        </row>
        <row r="958">
          <cell r="C958" t="str">
            <v>KAPW-FS-38326-09-09-2024</v>
          </cell>
          <cell r="D958">
            <v>45544</v>
          </cell>
          <cell r="E958" t="str">
            <v>Packing Material</v>
          </cell>
          <cell r="F958" t="str">
            <v>-</v>
          </cell>
          <cell r="G958">
            <v>36</v>
          </cell>
        </row>
        <row r="959">
          <cell r="C959" t="str">
            <v>KAPW-FS-38326-09-09-2024</v>
          </cell>
          <cell r="D959">
            <v>45544</v>
          </cell>
          <cell r="E959" t="str">
            <v>Packing Material</v>
          </cell>
          <cell r="F959" t="str">
            <v>-</v>
          </cell>
          <cell r="G959">
            <v>589.5</v>
          </cell>
        </row>
        <row r="960">
          <cell r="C960" t="str">
            <v>PQZI-EI-8431-09-09-2024</v>
          </cell>
          <cell r="D960">
            <v>45544</v>
          </cell>
          <cell r="E960" t="str">
            <v>Packing Material</v>
          </cell>
          <cell r="F960" t="str">
            <v>-</v>
          </cell>
          <cell r="G960">
            <v>211.09</v>
          </cell>
        </row>
        <row r="961">
          <cell r="C961" t="str">
            <v>PQZI-EI-8431-09-09-2024</v>
          </cell>
          <cell r="D961">
            <v>45544</v>
          </cell>
          <cell r="E961" t="str">
            <v>Packing Material</v>
          </cell>
          <cell r="F961" t="str">
            <v>-</v>
          </cell>
          <cell r="G961">
            <v>20.7</v>
          </cell>
        </row>
        <row r="962">
          <cell r="C962" t="str">
            <v>PQZI-EI-8432-09-09-2024</v>
          </cell>
          <cell r="D962">
            <v>45544</v>
          </cell>
          <cell r="E962" t="str">
            <v>Packing Material</v>
          </cell>
          <cell r="F962" t="str">
            <v>-</v>
          </cell>
          <cell r="G962">
            <v>480.44</v>
          </cell>
        </row>
        <row r="963">
          <cell r="C963" t="str">
            <v>PQZI-EI-8432-09-09-2024</v>
          </cell>
          <cell r="D963">
            <v>45544</v>
          </cell>
          <cell r="E963" t="str">
            <v>Packing Material</v>
          </cell>
          <cell r="F963" t="str">
            <v>-</v>
          </cell>
          <cell r="G963">
            <v>73.680000000000007</v>
          </cell>
        </row>
        <row r="964">
          <cell r="C964" t="str">
            <v>PQZI-EI-8432-09-09-2024</v>
          </cell>
          <cell r="D964">
            <v>45544</v>
          </cell>
          <cell r="E964" t="str">
            <v>Packing Material</v>
          </cell>
          <cell r="F964" t="str">
            <v>-</v>
          </cell>
          <cell r="G964">
            <v>90.58</v>
          </cell>
        </row>
        <row r="965">
          <cell r="C965" t="str">
            <v>KPAF-FS-15152-10-09-2024</v>
          </cell>
          <cell r="D965">
            <v>45545</v>
          </cell>
          <cell r="E965" t="str">
            <v>Packing Material</v>
          </cell>
          <cell r="F965" t="str">
            <v>-</v>
          </cell>
          <cell r="G965">
            <v>200000</v>
          </cell>
        </row>
        <row r="966">
          <cell r="C966" t="str">
            <v>KPFI-FS-7387-10-09-2024</v>
          </cell>
          <cell r="D966">
            <v>45545</v>
          </cell>
          <cell r="E966" t="str">
            <v>Packing Material</v>
          </cell>
          <cell r="F966" t="str">
            <v>-</v>
          </cell>
          <cell r="G966">
            <v>68</v>
          </cell>
        </row>
        <row r="967">
          <cell r="C967" t="str">
            <v>KPAF-FS-15701-12-09-2024</v>
          </cell>
          <cell r="D967">
            <v>45547</v>
          </cell>
          <cell r="E967" t="str">
            <v>Packing Material</v>
          </cell>
          <cell r="F967" t="str">
            <v>-</v>
          </cell>
          <cell r="G967">
            <v>1.5</v>
          </cell>
        </row>
        <row r="968">
          <cell r="C968" t="str">
            <v>KAPS-FS-38790-12-09-2024</v>
          </cell>
          <cell r="D968">
            <v>45547</v>
          </cell>
          <cell r="E968" t="str">
            <v>Raw Material</v>
          </cell>
          <cell r="F968" t="str">
            <v>-</v>
          </cell>
          <cell r="G968">
            <v>24480</v>
          </cell>
        </row>
        <row r="969">
          <cell r="C969" t="str">
            <v>PQZI-EI-9102-13-09-2024</v>
          </cell>
          <cell r="D969">
            <v>45548</v>
          </cell>
          <cell r="E969" t="str">
            <v>Packing Material</v>
          </cell>
          <cell r="F969" t="str">
            <v>-</v>
          </cell>
          <cell r="G969">
            <v>475</v>
          </cell>
        </row>
        <row r="970">
          <cell r="C970" t="str">
            <v>KPFI-FS-7848-14-09-2024</v>
          </cell>
          <cell r="D970">
            <v>45549</v>
          </cell>
          <cell r="E970" t="str">
            <v>Packing Material</v>
          </cell>
          <cell r="F970" t="str">
            <v>-</v>
          </cell>
          <cell r="G970">
            <v>4</v>
          </cell>
        </row>
        <row r="971">
          <cell r="C971" t="str">
            <v>PQZI-EI-9297-14-09-2024</v>
          </cell>
          <cell r="D971">
            <v>45549</v>
          </cell>
          <cell r="E971" t="str">
            <v>Packing Material</v>
          </cell>
          <cell r="F971" t="str">
            <v>Running</v>
          </cell>
          <cell r="G971">
            <v>300</v>
          </cell>
        </row>
        <row r="972">
          <cell r="C972" t="str">
            <v>KAPW-FS-43857-18-09-2024</v>
          </cell>
          <cell r="D972">
            <v>45553</v>
          </cell>
          <cell r="E972" t="str">
            <v>Packing Material</v>
          </cell>
          <cell r="F972" t="str">
            <v>-</v>
          </cell>
          <cell r="G972">
            <v>1090</v>
          </cell>
        </row>
        <row r="982">
          <cell r="C982" t="str">
            <v>PCSE-PF-12-25-07-2023</v>
          </cell>
          <cell r="D982">
            <v>45132</v>
          </cell>
          <cell r="E982" t="str">
            <v>Raw Material</v>
          </cell>
          <cell r="F982" t="str">
            <v>Closed</v>
          </cell>
          <cell r="G982">
            <v>17010</v>
          </cell>
        </row>
        <row r="983">
          <cell r="C983" t="str">
            <v>PCSE-PF-15-25-07-2023</v>
          </cell>
          <cell r="D983">
            <v>45132</v>
          </cell>
          <cell r="E983" t="str">
            <v>Raw Material</v>
          </cell>
          <cell r="F983" t="str">
            <v>Closed</v>
          </cell>
          <cell r="G983">
            <v>226800</v>
          </cell>
        </row>
        <row r="984">
          <cell r="C984" t="str">
            <v>PCSE-PF-10-25-07-2023</v>
          </cell>
          <cell r="D984">
            <v>45132</v>
          </cell>
          <cell r="E984" t="str">
            <v>Raw Material</v>
          </cell>
          <cell r="F984" t="str">
            <v>Closed</v>
          </cell>
          <cell r="G984">
            <v>99.792000000000002</v>
          </cell>
        </row>
        <row r="985">
          <cell r="C985" t="str">
            <v>PCSE-PF-14-25-07-2023</v>
          </cell>
          <cell r="D985">
            <v>45132</v>
          </cell>
          <cell r="E985" t="str">
            <v>Raw Material</v>
          </cell>
          <cell r="F985" t="str">
            <v>Closed</v>
          </cell>
          <cell r="G985">
            <v>10704.96</v>
          </cell>
        </row>
        <row r="986">
          <cell r="C986" t="str">
            <v>PCSE-PF-11-25-07-2023</v>
          </cell>
          <cell r="D986">
            <v>45132</v>
          </cell>
          <cell r="E986" t="str">
            <v>Raw Material</v>
          </cell>
          <cell r="F986" t="str">
            <v>Closed</v>
          </cell>
          <cell r="G986">
            <v>13789.44</v>
          </cell>
        </row>
        <row r="987">
          <cell r="C987" t="str">
            <v>PCSE-PF-13-25-07-2023</v>
          </cell>
          <cell r="D987">
            <v>45132</v>
          </cell>
          <cell r="E987" t="str">
            <v>Raw Material</v>
          </cell>
          <cell r="F987" t="str">
            <v>Closed</v>
          </cell>
          <cell r="G987">
            <v>18416.16</v>
          </cell>
        </row>
        <row r="988">
          <cell r="C988" t="str">
            <v>PCSE-PF-9-25-07-2023</v>
          </cell>
          <cell r="D988">
            <v>45132</v>
          </cell>
          <cell r="E988" t="str">
            <v>Raw Material</v>
          </cell>
          <cell r="F988" t="str">
            <v>Closed</v>
          </cell>
          <cell r="G988">
            <v>26399.52</v>
          </cell>
        </row>
        <row r="989">
          <cell r="C989" t="str">
            <v>PCSE-PF-16-04-08-2023</v>
          </cell>
          <cell r="D989">
            <v>45142</v>
          </cell>
          <cell r="E989" t="str">
            <v>Raw Material</v>
          </cell>
          <cell r="F989" t="str">
            <v>Closed</v>
          </cell>
          <cell r="G989">
            <v>25129.439999999999</v>
          </cell>
        </row>
        <row r="990">
          <cell r="C990" t="str">
            <v>PCSE-PF-22-04-08-2023</v>
          </cell>
          <cell r="D990">
            <v>45142</v>
          </cell>
          <cell r="E990" t="str">
            <v>Raw Material</v>
          </cell>
          <cell r="F990" t="str">
            <v>Closed</v>
          </cell>
          <cell r="G990">
            <v>21682.080000000002</v>
          </cell>
        </row>
        <row r="991">
          <cell r="C991" t="str">
            <v>PCSE-PF-19-04-08-2023</v>
          </cell>
          <cell r="D991">
            <v>45142</v>
          </cell>
          <cell r="E991" t="str">
            <v>Raw Material</v>
          </cell>
          <cell r="F991" t="str">
            <v>Closed</v>
          </cell>
          <cell r="G991">
            <v>226800</v>
          </cell>
        </row>
        <row r="992">
          <cell r="C992" t="str">
            <v>PCSE-PF-21-04-08-2023</v>
          </cell>
          <cell r="D992">
            <v>45142</v>
          </cell>
          <cell r="E992" t="str">
            <v>Raw Material</v>
          </cell>
          <cell r="F992" t="str">
            <v>Closed</v>
          </cell>
          <cell r="G992">
            <v>18280.080000000002</v>
          </cell>
        </row>
        <row r="993">
          <cell r="C993" t="str">
            <v>PCSE-PF-17-04-08-2023</v>
          </cell>
          <cell r="D993">
            <v>45142</v>
          </cell>
          <cell r="E993" t="str">
            <v>Raw Material</v>
          </cell>
          <cell r="F993" t="str">
            <v>Running</v>
          </cell>
          <cell r="G993">
            <v>75660.479999999996</v>
          </cell>
        </row>
        <row r="994">
          <cell r="C994" t="str">
            <v>PCSE-PF-18-04-08-2023</v>
          </cell>
          <cell r="D994">
            <v>45142</v>
          </cell>
          <cell r="E994" t="str">
            <v>Raw Material</v>
          </cell>
          <cell r="F994" t="str">
            <v>-</v>
          </cell>
          <cell r="G994">
            <v>55702.080000000002</v>
          </cell>
        </row>
        <row r="995">
          <cell r="C995" t="str">
            <v>PCSE-PF-20-04-08-2023</v>
          </cell>
          <cell r="D995">
            <v>45142</v>
          </cell>
          <cell r="E995" t="str">
            <v>Raw Material</v>
          </cell>
          <cell r="F995" t="str">
            <v>Closed</v>
          </cell>
          <cell r="G995">
            <v>7665.84</v>
          </cell>
        </row>
        <row r="996">
          <cell r="C996" t="str">
            <v>PCSE-PF-23-04-08-2023</v>
          </cell>
          <cell r="D996">
            <v>45142</v>
          </cell>
          <cell r="E996" t="str">
            <v>Raw Material</v>
          </cell>
          <cell r="F996" t="str">
            <v>Closed</v>
          </cell>
          <cell r="G996">
            <v>1432.922</v>
          </cell>
        </row>
        <row r="997">
          <cell r="C997" t="str">
            <v>PCSE-PF-34-16-08-2023</v>
          </cell>
          <cell r="D997">
            <v>45154</v>
          </cell>
          <cell r="E997" t="str">
            <v>Raw Material</v>
          </cell>
          <cell r="F997" t="str">
            <v>Closed</v>
          </cell>
          <cell r="G997">
            <v>68040</v>
          </cell>
        </row>
        <row r="998">
          <cell r="C998" t="str">
            <v>PCSE-PF-35-16-08-2023</v>
          </cell>
          <cell r="D998">
            <v>45154</v>
          </cell>
          <cell r="E998" t="str">
            <v>Raw Material</v>
          </cell>
          <cell r="F998" t="str">
            <v>Closed</v>
          </cell>
          <cell r="G998">
            <v>6305.04</v>
          </cell>
        </row>
        <row r="999">
          <cell r="C999" t="str">
            <v>PCSE-PF-92-12-09-2023</v>
          </cell>
          <cell r="D999">
            <v>45181</v>
          </cell>
          <cell r="E999" t="str">
            <v>Raw Material</v>
          </cell>
          <cell r="F999" t="str">
            <v>Closed</v>
          </cell>
          <cell r="G999">
            <v>14106.96</v>
          </cell>
        </row>
        <row r="1000">
          <cell r="C1000" t="str">
            <v>PCSE-PF-93-12-09-2023</v>
          </cell>
          <cell r="D1000">
            <v>45181</v>
          </cell>
          <cell r="E1000" t="str">
            <v>Raw Material</v>
          </cell>
          <cell r="F1000" t="str">
            <v>Closed</v>
          </cell>
          <cell r="G1000">
            <v>54432</v>
          </cell>
        </row>
        <row r="1001">
          <cell r="C1001" t="str">
            <v>GWDE-PF-11-18-08-2023</v>
          </cell>
          <cell r="D1001">
            <v>45156</v>
          </cell>
          <cell r="E1001" t="str">
            <v>Raw Material</v>
          </cell>
          <cell r="F1001" t="str">
            <v>Closed</v>
          </cell>
          <cell r="G1001">
            <v>2223</v>
          </cell>
        </row>
        <row r="1002">
          <cell r="C1002" t="str">
            <v>PCSE-PF-113-02-10-2023</v>
          </cell>
          <cell r="D1002">
            <v>45201</v>
          </cell>
          <cell r="E1002" t="str">
            <v>Raw Material</v>
          </cell>
          <cell r="F1002" t="str">
            <v>Closed</v>
          </cell>
          <cell r="G1002">
            <v>226800</v>
          </cell>
        </row>
        <row r="1003">
          <cell r="C1003" t="str">
            <v>PCSE-PF-114-02-10-2023</v>
          </cell>
          <cell r="D1003">
            <v>45201</v>
          </cell>
          <cell r="E1003" t="str">
            <v>Raw Material</v>
          </cell>
          <cell r="F1003" t="str">
            <v>Closed</v>
          </cell>
          <cell r="G1003">
            <v>6894.72</v>
          </cell>
        </row>
        <row r="1004">
          <cell r="C1004" t="str">
            <v>PCSE-PF-115-02-10-2023</v>
          </cell>
          <cell r="D1004">
            <v>45201</v>
          </cell>
          <cell r="E1004" t="str">
            <v>Raw Material</v>
          </cell>
          <cell r="F1004" t="str">
            <v>Closed</v>
          </cell>
          <cell r="G1004">
            <v>8618.4</v>
          </cell>
        </row>
        <row r="1005">
          <cell r="C1005" t="str">
            <v>PCSE-PF-116-02-10-2023</v>
          </cell>
          <cell r="D1005">
            <v>45201</v>
          </cell>
          <cell r="E1005" t="str">
            <v>Raw Material</v>
          </cell>
          <cell r="F1005" t="str">
            <v>Closed</v>
          </cell>
          <cell r="G1005">
            <v>13970.88</v>
          </cell>
        </row>
        <row r="1006">
          <cell r="C1006" t="str">
            <v>PCSE-PF-117-02-10-2023</v>
          </cell>
          <cell r="D1006">
            <v>45201</v>
          </cell>
          <cell r="E1006" t="str">
            <v>Raw Material</v>
          </cell>
          <cell r="F1006" t="str">
            <v>Closed</v>
          </cell>
          <cell r="G1006">
            <v>5171.04</v>
          </cell>
        </row>
        <row r="1007">
          <cell r="C1007" t="str">
            <v>PCSE-PF-119-02-10-2023</v>
          </cell>
          <cell r="D1007">
            <v>45201</v>
          </cell>
          <cell r="E1007" t="str">
            <v>Raw Material</v>
          </cell>
          <cell r="F1007" t="str">
            <v>Closed</v>
          </cell>
          <cell r="G1007">
            <v>8346.24</v>
          </cell>
        </row>
        <row r="1008">
          <cell r="C1008" t="str">
            <v>PCSE-PF-121-02-10-2023</v>
          </cell>
          <cell r="D1008">
            <v>45201</v>
          </cell>
          <cell r="E1008" t="str">
            <v>Raw Material</v>
          </cell>
          <cell r="F1008" t="str">
            <v>Closed</v>
          </cell>
          <cell r="G1008">
            <v>15739.92</v>
          </cell>
        </row>
        <row r="1009">
          <cell r="C1009" t="str">
            <v>PCSE-PF-123-02-10-2023</v>
          </cell>
          <cell r="D1009">
            <v>45201</v>
          </cell>
          <cell r="E1009" t="str">
            <v>Raw Material</v>
          </cell>
          <cell r="F1009" t="str">
            <v>Closed</v>
          </cell>
          <cell r="G1009">
            <v>73982.16</v>
          </cell>
        </row>
        <row r="1010">
          <cell r="C1010" t="str">
            <v>PCSE-PF-125-02-10-2023</v>
          </cell>
          <cell r="D1010">
            <v>45201</v>
          </cell>
          <cell r="E1010" t="str">
            <v>Raw Material</v>
          </cell>
          <cell r="F1010" t="str">
            <v>Running</v>
          </cell>
          <cell r="G1010">
            <v>68040</v>
          </cell>
        </row>
        <row r="1011">
          <cell r="C1011" t="str">
            <v>PCSE-PF-145-12-10-2023</v>
          </cell>
          <cell r="D1011">
            <v>45211</v>
          </cell>
          <cell r="E1011" t="str">
            <v>Raw Material</v>
          </cell>
          <cell r="F1011" t="str">
            <v>Closed</v>
          </cell>
          <cell r="G1011">
            <v>9616.2999999999993</v>
          </cell>
        </row>
        <row r="1012">
          <cell r="C1012" t="str">
            <v>PCSE-PF-146-12-10-2023</v>
          </cell>
          <cell r="D1012">
            <v>45211</v>
          </cell>
          <cell r="E1012" t="str">
            <v>Raw Material</v>
          </cell>
          <cell r="F1012" t="str">
            <v>Closed</v>
          </cell>
          <cell r="G1012">
            <v>226800</v>
          </cell>
        </row>
        <row r="1013">
          <cell r="C1013" t="str">
            <v>PCSE-PF-147-12-10-2023</v>
          </cell>
          <cell r="D1013">
            <v>45211</v>
          </cell>
          <cell r="E1013" t="str">
            <v>Raw Material</v>
          </cell>
          <cell r="F1013" t="str">
            <v>Running</v>
          </cell>
          <cell r="G1013">
            <v>8573.0400000000009</v>
          </cell>
        </row>
        <row r="1014">
          <cell r="C1014" t="str">
            <v>PCSE-PF-148-12-10-2023</v>
          </cell>
          <cell r="D1014">
            <v>45211</v>
          </cell>
          <cell r="E1014" t="str">
            <v>Raw Material</v>
          </cell>
          <cell r="F1014" t="str">
            <v>-</v>
          </cell>
          <cell r="G1014">
            <v>6259.68</v>
          </cell>
        </row>
        <row r="1015">
          <cell r="C1015" t="str">
            <v>PCSE-PF-152-17-10-2023</v>
          </cell>
          <cell r="D1015">
            <v>45216</v>
          </cell>
          <cell r="E1015" t="str">
            <v>Raw Material</v>
          </cell>
          <cell r="F1015" t="str">
            <v>Closed</v>
          </cell>
          <cell r="G1015">
            <v>9480.24</v>
          </cell>
        </row>
        <row r="1016">
          <cell r="C1016" t="str">
            <v>PCSE-PF-153-17-10-2023</v>
          </cell>
          <cell r="D1016">
            <v>45216</v>
          </cell>
          <cell r="E1016" t="str">
            <v>Raw Material</v>
          </cell>
          <cell r="F1016" t="str">
            <v>-</v>
          </cell>
          <cell r="G1016">
            <v>5760.72</v>
          </cell>
        </row>
        <row r="1017">
          <cell r="C1017" t="str">
            <v>PCSE-PF-154-17-10-2023</v>
          </cell>
          <cell r="D1017">
            <v>45216</v>
          </cell>
          <cell r="E1017" t="str">
            <v>Raw Material</v>
          </cell>
          <cell r="F1017" t="str">
            <v>Closed</v>
          </cell>
          <cell r="G1017">
            <v>58514.400000000001</v>
          </cell>
        </row>
        <row r="1018">
          <cell r="C1018" t="str">
            <v>KPEX-PF-66592-21-10-2023</v>
          </cell>
          <cell r="D1018">
            <v>45220</v>
          </cell>
          <cell r="E1018" t="str">
            <v>Raw Material</v>
          </cell>
          <cell r="F1018" t="str">
            <v>Closed</v>
          </cell>
          <cell r="G1018">
            <v>19408</v>
          </cell>
        </row>
        <row r="1019">
          <cell r="C1019" t="str">
            <v>KPEX-PF-66597-21-10-2023</v>
          </cell>
          <cell r="D1019">
            <v>45220</v>
          </cell>
          <cell r="E1019" t="str">
            <v>Raw Material</v>
          </cell>
          <cell r="F1019" t="str">
            <v>Closed</v>
          </cell>
          <cell r="G1019">
            <v>14715</v>
          </cell>
        </row>
        <row r="1020">
          <cell r="C1020" t="str">
            <v>PCSE-PF-172-21-10-2023</v>
          </cell>
          <cell r="D1020">
            <v>45220</v>
          </cell>
          <cell r="E1020" t="str">
            <v>Raw Material</v>
          </cell>
          <cell r="F1020" t="str">
            <v>Closed</v>
          </cell>
          <cell r="G1020">
            <v>21546</v>
          </cell>
        </row>
        <row r="1021">
          <cell r="C1021" t="str">
            <v>PCSE-PF-173-21-10-2023</v>
          </cell>
          <cell r="D1021">
            <v>45220</v>
          </cell>
          <cell r="E1021" t="str">
            <v>Raw Material</v>
          </cell>
          <cell r="F1021" t="str">
            <v>-</v>
          </cell>
          <cell r="G1021">
            <v>26127.360000000001</v>
          </cell>
        </row>
        <row r="1022">
          <cell r="C1022" t="str">
            <v>PCSE-PF-174-23-10-2023</v>
          </cell>
          <cell r="D1022">
            <v>45222</v>
          </cell>
          <cell r="E1022" t="str">
            <v>Raw Material</v>
          </cell>
          <cell r="F1022" t="str">
            <v>Closed</v>
          </cell>
          <cell r="G1022">
            <v>226800</v>
          </cell>
        </row>
        <row r="1023">
          <cell r="C1023" t="str">
            <v>PCSE-PF-177-25-10-2023</v>
          </cell>
          <cell r="D1023">
            <v>45224</v>
          </cell>
          <cell r="E1023" t="str">
            <v>Raw Material</v>
          </cell>
          <cell r="F1023" t="str">
            <v>Closed</v>
          </cell>
          <cell r="G1023">
            <v>48126.96</v>
          </cell>
        </row>
        <row r="1024">
          <cell r="C1024" t="str">
            <v>LPEX-PF-721-16-10-2023</v>
          </cell>
          <cell r="D1024">
            <v>45215</v>
          </cell>
          <cell r="E1024" t="str">
            <v>Raw Material</v>
          </cell>
          <cell r="F1024" t="str">
            <v>Running</v>
          </cell>
          <cell r="G1024">
            <v>3084.4596999999999</v>
          </cell>
        </row>
        <row r="1025">
          <cell r="C1025" t="str">
            <v>PCSE-PF-182-30-10-2023</v>
          </cell>
          <cell r="D1025">
            <v>45229</v>
          </cell>
          <cell r="E1025" t="str">
            <v>Raw Material</v>
          </cell>
          <cell r="F1025" t="str">
            <v>Closed</v>
          </cell>
          <cell r="G1025">
            <v>10024.56</v>
          </cell>
        </row>
        <row r="1026">
          <cell r="C1026" t="str">
            <v>PCSE-PF-184-01-11-2023</v>
          </cell>
          <cell r="D1026">
            <v>45231</v>
          </cell>
          <cell r="E1026" t="str">
            <v>Raw Material</v>
          </cell>
          <cell r="F1026" t="str">
            <v>Closed</v>
          </cell>
          <cell r="G1026">
            <v>42683.76</v>
          </cell>
        </row>
        <row r="1027">
          <cell r="C1027" t="str">
            <v>PCSE-PF-185-01-11-2023</v>
          </cell>
          <cell r="D1027">
            <v>45231</v>
          </cell>
          <cell r="E1027" t="str">
            <v>Raw Material</v>
          </cell>
          <cell r="F1027" t="str">
            <v>Closed</v>
          </cell>
          <cell r="G1027">
            <v>28440.720000000001</v>
          </cell>
        </row>
        <row r="1028">
          <cell r="C1028" t="str">
            <v>PCSE-PF-195-03-11-2023</v>
          </cell>
          <cell r="D1028">
            <v>45233</v>
          </cell>
          <cell r="E1028" t="str">
            <v>Raw Material</v>
          </cell>
          <cell r="F1028" t="str">
            <v>-</v>
          </cell>
          <cell r="G1028">
            <v>4762.8</v>
          </cell>
        </row>
        <row r="1029">
          <cell r="C1029" t="str">
            <v>KPEX-PF-61133-13-10-2023</v>
          </cell>
          <cell r="D1029">
            <v>45233</v>
          </cell>
          <cell r="E1029" t="str">
            <v>Raw Material</v>
          </cell>
          <cell r="F1029" t="str">
            <v>Closed</v>
          </cell>
          <cell r="G1029">
            <v>11067.77</v>
          </cell>
        </row>
        <row r="1030">
          <cell r="C1030" t="str">
            <v>PCSE-PF-205-07-11-2023</v>
          </cell>
          <cell r="D1030">
            <v>45237</v>
          </cell>
          <cell r="E1030" t="str">
            <v>Raw Material</v>
          </cell>
          <cell r="F1030" t="str">
            <v>-</v>
          </cell>
          <cell r="G1030">
            <v>7393.68</v>
          </cell>
        </row>
        <row r="1031">
          <cell r="C1031" t="str">
            <v>KPEX-PF-76735-07-11-2023</v>
          </cell>
          <cell r="D1031">
            <v>45237</v>
          </cell>
          <cell r="E1031" t="str">
            <v>Raw Material</v>
          </cell>
          <cell r="F1031" t="str">
            <v>Closed</v>
          </cell>
          <cell r="G1031">
            <v>49702</v>
          </cell>
        </row>
        <row r="1032">
          <cell r="C1032" t="str">
            <v>PCSE-PF-211-13-11-2023</v>
          </cell>
          <cell r="D1032">
            <v>45243</v>
          </cell>
          <cell r="E1032" t="str">
            <v>Raw Material</v>
          </cell>
          <cell r="F1032" t="str">
            <v>Closed</v>
          </cell>
          <cell r="G1032">
            <v>226800</v>
          </cell>
        </row>
        <row r="1033">
          <cell r="C1033" t="str">
            <v>PCSE-PF-210-13-11-2023</v>
          </cell>
          <cell r="D1033">
            <v>45243</v>
          </cell>
          <cell r="E1033" t="str">
            <v>Raw Material</v>
          </cell>
          <cell r="F1033" t="str">
            <v>Closed</v>
          </cell>
          <cell r="G1033">
            <v>31661.279999999999</v>
          </cell>
        </row>
        <row r="1034">
          <cell r="C1034" t="str">
            <v>PCSE-PF-209-13-11-2023</v>
          </cell>
          <cell r="D1034">
            <v>45243</v>
          </cell>
          <cell r="E1034" t="str">
            <v>Raw Material</v>
          </cell>
          <cell r="F1034" t="str">
            <v>Closed</v>
          </cell>
          <cell r="G1034">
            <v>19958.400000000001</v>
          </cell>
        </row>
        <row r="1035">
          <cell r="C1035" t="str">
            <v>PCSE-PF-208-13-11-2023</v>
          </cell>
          <cell r="D1035">
            <v>45243</v>
          </cell>
          <cell r="E1035" t="str">
            <v>Raw Material</v>
          </cell>
          <cell r="F1035" t="str">
            <v>Closed</v>
          </cell>
          <cell r="G1035">
            <v>5896.8</v>
          </cell>
        </row>
        <row r="1036">
          <cell r="C1036" t="str">
            <v>PCSE-PF-227-23-11-2023</v>
          </cell>
          <cell r="D1036">
            <v>45253</v>
          </cell>
          <cell r="E1036" t="str">
            <v>Raw Material</v>
          </cell>
          <cell r="F1036" t="str">
            <v>Closed</v>
          </cell>
          <cell r="G1036">
            <v>4898.88</v>
          </cell>
        </row>
        <row r="1037">
          <cell r="C1037" t="str">
            <v>PCSE-PF-228-23-11-2023</v>
          </cell>
          <cell r="D1037">
            <v>45253</v>
          </cell>
          <cell r="E1037" t="str">
            <v>Raw Material</v>
          </cell>
          <cell r="F1037" t="str">
            <v>Closed</v>
          </cell>
          <cell r="G1037">
            <v>8890.56</v>
          </cell>
        </row>
        <row r="1038">
          <cell r="C1038" t="str">
            <v>KPEX-PF-87079-24-11-2023</v>
          </cell>
          <cell r="D1038">
            <v>45254</v>
          </cell>
          <cell r="E1038" t="str">
            <v>Raw Material</v>
          </cell>
          <cell r="F1038" t="str">
            <v>Closed</v>
          </cell>
          <cell r="G1038">
            <v>20780</v>
          </cell>
        </row>
        <row r="1039">
          <cell r="C1039" t="str">
            <v>KPPE-PF-113533-30-11-2023</v>
          </cell>
          <cell r="D1039">
            <v>45260</v>
          </cell>
          <cell r="E1039" t="str">
            <v>Packing Material</v>
          </cell>
          <cell r="F1039" t="str">
            <v>Closed</v>
          </cell>
          <cell r="G1039">
            <v>4808.2</v>
          </cell>
        </row>
        <row r="1040">
          <cell r="C1040" t="str">
            <v>PCSE-PF-241-04-12-2023</v>
          </cell>
          <cell r="D1040">
            <v>45264</v>
          </cell>
          <cell r="E1040" t="str">
            <v>Raw Material</v>
          </cell>
          <cell r="F1040" t="str">
            <v>Closed</v>
          </cell>
          <cell r="G1040">
            <v>8618.4</v>
          </cell>
        </row>
        <row r="1041">
          <cell r="C1041" t="str">
            <v>PCSE-PF-242-05-12-2023</v>
          </cell>
          <cell r="D1041">
            <v>45265</v>
          </cell>
          <cell r="E1041" t="str">
            <v>Raw Material</v>
          </cell>
          <cell r="F1041" t="str">
            <v>Closed</v>
          </cell>
          <cell r="G1041">
            <v>68040</v>
          </cell>
        </row>
        <row r="1042">
          <cell r="C1042" t="str">
            <v>PCSE-PF-240-04-12-2023</v>
          </cell>
          <cell r="D1042">
            <v>45264</v>
          </cell>
          <cell r="E1042" t="str">
            <v>Raw Material</v>
          </cell>
          <cell r="F1042" t="str">
            <v>Closed</v>
          </cell>
          <cell r="G1042">
            <v>12882.24</v>
          </cell>
        </row>
        <row r="1043">
          <cell r="C1043" t="str">
            <v>PCSE-PF-243-05-12-2023</v>
          </cell>
          <cell r="D1043">
            <v>45265</v>
          </cell>
          <cell r="E1043" t="str">
            <v>Raw Material</v>
          </cell>
          <cell r="F1043" t="str">
            <v>Closed</v>
          </cell>
          <cell r="G1043">
            <v>226800</v>
          </cell>
        </row>
        <row r="1044">
          <cell r="C1044" t="str">
            <v>PCSE-PF-247-07-12-2023</v>
          </cell>
          <cell r="D1044">
            <v>45267</v>
          </cell>
          <cell r="E1044" t="str">
            <v>Raw Material</v>
          </cell>
          <cell r="F1044" t="str">
            <v>Closed</v>
          </cell>
          <cell r="G1044">
            <v>4581.3599999999997</v>
          </cell>
        </row>
        <row r="1045">
          <cell r="C1045" t="str">
            <v>PCSE-PF-248-07-12-2023</v>
          </cell>
          <cell r="D1045">
            <v>45267</v>
          </cell>
          <cell r="E1045" t="str">
            <v>Raw Material</v>
          </cell>
          <cell r="F1045" t="str">
            <v>Closed</v>
          </cell>
          <cell r="G1045">
            <v>4490.6400000000003</v>
          </cell>
        </row>
        <row r="1046">
          <cell r="C1046" t="str">
            <v>PCSE-PF-249-07-12-2023</v>
          </cell>
          <cell r="D1046">
            <v>45267</v>
          </cell>
          <cell r="E1046" t="str">
            <v>Raw Material</v>
          </cell>
          <cell r="F1046" t="str">
            <v>Running</v>
          </cell>
          <cell r="G1046">
            <v>17645.04</v>
          </cell>
        </row>
        <row r="1047">
          <cell r="C1047" t="str">
            <v>KPEX-PF-95472-07-12-2023</v>
          </cell>
          <cell r="D1047">
            <v>45267</v>
          </cell>
          <cell r="E1047" t="str">
            <v>Raw Material</v>
          </cell>
          <cell r="F1047" t="str">
            <v>Closed</v>
          </cell>
          <cell r="G1047">
            <v>68315</v>
          </cell>
        </row>
        <row r="1048">
          <cell r="C1048" t="str">
            <v>LPEX-PF-2286-23-11-2023</v>
          </cell>
          <cell r="D1048">
            <v>45253</v>
          </cell>
          <cell r="E1048" t="str">
            <v>Raw Material</v>
          </cell>
          <cell r="F1048" t="str">
            <v>Closed</v>
          </cell>
          <cell r="G1048">
            <v>4762.7700000000004</v>
          </cell>
        </row>
        <row r="1049">
          <cell r="C1049" t="str">
            <v>LPEX-PF-2815-04-12-2023</v>
          </cell>
          <cell r="D1049">
            <v>45264</v>
          </cell>
          <cell r="E1049" t="str">
            <v>Raw Material</v>
          </cell>
          <cell r="F1049" t="str">
            <v>Closed</v>
          </cell>
          <cell r="G1049">
            <v>16284.13</v>
          </cell>
        </row>
        <row r="1050">
          <cell r="C1050" t="str">
            <v>PCSE-PF-265-14-12-2023</v>
          </cell>
          <cell r="D1050">
            <v>45274</v>
          </cell>
          <cell r="E1050" t="str">
            <v>Raw Material</v>
          </cell>
          <cell r="F1050" t="str">
            <v>Closed</v>
          </cell>
          <cell r="G1050">
            <v>68040</v>
          </cell>
        </row>
        <row r="1051">
          <cell r="C1051" t="str">
            <v>LPEX-PF-3489-14-12-2023</v>
          </cell>
          <cell r="D1051">
            <v>45274</v>
          </cell>
          <cell r="E1051" t="str">
            <v>Raw Material</v>
          </cell>
          <cell r="F1051" t="str">
            <v>Closed</v>
          </cell>
          <cell r="G1051">
            <v>18143.881000000001</v>
          </cell>
        </row>
        <row r="1052">
          <cell r="C1052" t="str">
            <v>PCSE-PF-267-18-12-2023</v>
          </cell>
          <cell r="D1052">
            <v>45278</v>
          </cell>
          <cell r="E1052" t="str">
            <v>Raw Material</v>
          </cell>
          <cell r="F1052" t="str">
            <v>Closed</v>
          </cell>
          <cell r="G1052">
            <v>7711.2</v>
          </cell>
        </row>
        <row r="1053">
          <cell r="C1053" t="str">
            <v>PCSE-PF-268-18-12-2023</v>
          </cell>
          <cell r="D1053">
            <v>45278</v>
          </cell>
          <cell r="E1053" t="str">
            <v>Raw Material</v>
          </cell>
          <cell r="F1053" t="str">
            <v>Closed</v>
          </cell>
          <cell r="G1053">
            <v>9072</v>
          </cell>
        </row>
        <row r="1054">
          <cell r="C1054" t="str">
            <v>PCSE-PF-269-18-12-2023</v>
          </cell>
          <cell r="D1054">
            <v>45278</v>
          </cell>
          <cell r="E1054" t="str">
            <v>Raw Material</v>
          </cell>
          <cell r="F1054" t="str">
            <v>-</v>
          </cell>
          <cell r="G1054">
            <v>8482.32</v>
          </cell>
        </row>
        <row r="1055">
          <cell r="C1055" t="str">
            <v>PCSE-PF-270-18-12-2023</v>
          </cell>
          <cell r="D1055">
            <v>45278</v>
          </cell>
          <cell r="E1055" t="str">
            <v>Raw Material</v>
          </cell>
          <cell r="F1055" t="str">
            <v>Closed</v>
          </cell>
          <cell r="G1055">
            <v>5942.16</v>
          </cell>
        </row>
        <row r="1056">
          <cell r="C1056" t="str">
            <v>LPEX-PF-3200-08-12-2023</v>
          </cell>
          <cell r="D1056">
            <v>45268</v>
          </cell>
          <cell r="E1056" t="str">
            <v>Raw Material</v>
          </cell>
          <cell r="F1056" t="str">
            <v>Closed</v>
          </cell>
          <cell r="G1056">
            <v>18143.88</v>
          </cell>
        </row>
        <row r="1057">
          <cell r="C1057" t="str">
            <v>KPPE-PF-92855-04-11-2023</v>
          </cell>
          <cell r="D1057">
            <v>45234</v>
          </cell>
          <cell r="E1057" t="str">
            <v>Raw Material</v>
          </cell>
          <cell r="F1057" t="str">
            <v>Closed</v>
          </cell>
          <cell r="G1057">
            <v>13608</v>
          </cell>
        </row>
        <row r="1058">
          <cell r="C1058" t="str">
            <v>KPEX-PF-109996-28-12-2023</v>
          </cell>
          <cell r="D1058">
            <v>45288</v>
          </cell>
          <cell r="E1058" t="str">
            <v>Raw Material</v>
          </cell>
          <cell r="F1058" t="str">
            <v>Closed</v>
          </cell>
          <cell r="G1058">
            <v>32933</v>
          </cell>
        </row>
        <row r="1059">
          <cell r="C1059" t="str">
            <v>PCSE-PF-292-30-12-2023</v>
          </cell>
          <cell r="D1059">
            <v>45290</v>
          </cell>
          <cell r="E1059" t="str">
            <v>Raw Material</v>
          </cell>
          <cell r="F1059" t="str">
            <v>Closed</v>
          </cell>
          <cell r="G1059">
            <v>11748.24</v>
          </cell>
        </row>
        <row r="1060">
          <cell r="C1060" t="str">
            <v>PCSE-PF-293-30-12-2023</v>
          </cell>
          <cell r="D1060">
            <v>45290</v>
          </cell>
          <cell r="E1060" t="str">
            <v>Raw Material</v>
          </cell>
          <cell r="F1060" t="str">
            <v>Closed</v>
          </cell>
          <cell r="G1060">
            <v>7620.48</v>
          </cell>
        </row>
        <row r="1061">
          <cell r="C1061" t="str">
            <v>PCSE-PF-294-30-12-2023</v>
          </cell>
          <cell r="D1061">
            <v>45290</v>
          </cell>
          <cell r="E1061" t="str">
            <v>Raw Material</v>
          </cell>
          <cell r="F1061" t="str">
            <v>-</v>
          </cell>
          <cell r="G1061">
            <v>226800</v>
          </cell>
        </row>
        <row r="1062">
          <cell r="C1062" t="str">
            <v>PCSE-PF-295-30-12-2023</v>
          </cell>
          <cell r="D1062">
            <v>45290</v>
          </cell>
          <cell r="E1062" t="str">
            <v>Raw Material</v>
          </cell>
          <cell r="F1062" t="str">
            <v>Closed</v>
          </cell>
          <cell r="G1062">
            <v>28440.720000000001</v>
          </cell>
        </row>
        <row r="1063">
          <cell r="C1063" t="str">
            <v>KPPE-PF-138364-30-12-2023</v>
          </cell>
          <cell r="D1063">
            <v>45290</v>
          </cell>
          <cell r="E1063" t="str">
            <v>Raw Material</v>
          </cell>
          <cell r="F1063" t="str">
            <v>Closed</v>
          </cell>
          <cell r="G1063">
            <v>15000</v>
          </cell>
        </row>
        <row r="1064">
          <cell r="C1064" t="str">
            <v>PCSE-PF-302-03-01-2024</v>
          </cell>
          <cell r="D1064">
            <v>45294</v>
          </cell>
          <cell r="E1064" t="str">
            <v>Raw Material</v>
          </cell>
          <cell r="F1064" t="str">
            <v>Running</v>
          </cell>
          <cell r="G1064">
            <v>5896.8</v>
          </cell>
        </row>
        <row r="1065">
          <cell r="C1065" t="str">
            <v>LPEX-PF-4732-03-01-2024</v>
          </cell>
          <cell r="D1065">
            <v>45294</v>
          </cell>
          <cell r="E1065" t="str">
            <v>Raw Material</v>
          </cell>
          <cell r="F1065" t="str">
            <v>Closed</v>
          </cell>
          <cell r="G1065">
            <v>16870.03</v>
          </cell>
        </row>
        <row r="1066">
          <cell r="C1066" t="str">
            <v>LPEX-PF-2828-04-12-2023</v>
          </cell>
          <cell r="D1066">
            <v>45264</v>
          </cell>
          <cell r="E1066" t="str">
            <v>Raw Material</v>
          </cell>
          <cell r="F1066" t="str">
            <v>Closed</v>
          </cell>
          <cell r="G1066">
            <v>16783.09</v>
          </cell>
        </row>
        <row r="1067">
          <cell r="C1067" t="str">
            <v>KPPE-PF-147335-10-01-2024</v>
          </cell>
          <cell r="D1067">
            <v>45301</v>
          </cell>
          <cell r="E1067" t="str">
            <v>Raw Material</v>
          </cell>
          <cell r="F1067" t="str">
            <v>-</v>
          </cell>
          <cell r="G1067">
            <v>4536</v>
          </cell>
        </row>
        <row r="1068">
          <cell r="C1068" t="str">
            <v>PCSE-PF-320-12-01-2024</v>
          </cell>
          <cell r="D1068">
            <v>45303</v>
          </cell>
          <cell r="E1068" t="str">
            <v>Raw Material</v>
          </cell>
          <cell r="F1068" t="str">
            <v>Running</v>
          </cell>
          <cell r="G1068">
            <v>226798.5123</v>
          </cell>
        </row>
        <row r="1069">
          <cell r="C1069" t="str">
            <v>KPEX-PF-119701-12-01-2024</v>
          </cell>
          <cell r="D1069">
            <v>45303</v>
          </cell>
          <cell r="E1069" t="str">
            <v>Raw Material</v>
          </cell>
          <cell r="F1069" t="str">
            <v>Closed</v>
          </cell>
          <cell r="G1069">
            <v>31661</v>
          </cell>
        </row>
        <row r="1070">
          <cell r="C1070" t="str">
            <v>FPEX-PF-2106-13-01-2024</v>
          </cell>
          <cell r="D1070">
            <v>45304</v>
          </cell>
          <cell r="E1070" t="str">
            <v>Raw Material</v>
          </cell>
          <cell r="F1070" t="str">
            <v>Closed</v>
          </cell>
          <cell r="G1070">
            <v>18224</v>
          </cell>
        </row>
        <row r="1071">
          <cell r="C1071" t="str">
            <v>FPEX-PF-2105-13-01-2024</v>
          </cell>
          <cell r="D1071">
            <v>45304</v>
          </cell>
          <cell r="E1071" t="str">
            <v>Raw Material</v>
          </cell>
          <cell r="F1071" t="str">
            <v>Closed</v>
          </cell>
          <cell r="G1071">
            <v>12725</v>
          </cell>
        </row>
        <row r="1072">
          <cell r="C1072" t="str">
            <v>FPEX-PF-2104-13-01-2024</v>
          </cell>
          <cell r="D1072">
            <v>45304</v>
          </cell>
          <cell r="E1072" t="str">
            <v>Raw Material</v>
          </cell>
          <cell r="F1072" t="str">
            <v>Running</v>
          </cell>
          <cell r="G1072">
            <v>18165</v>
          </cell>
        </row>
        <row r="1073">
          <cell r="C1073" t="str">
            <v>PCSE-PF-331-16-01-2024</v>
          </cell>
          <cell r="D1073">
            <v>45307</v>
          </cell>
          <cell r="E1073" t="str">
            <v>Raw Material</v>
          </cell>
          <cell r="F1073" t="str">
            <v>-</v>
          </cell>
          <cell r="G1073">
            <v>5443.1643000000004</v>
          </cell>
        </row>
        <row r="1074">
          <cell r="C1074" t="str">
            <v>PCSE-PF-330-16-01-2024</v>
          </cell>
          <cell r="D1074">
            <v>45307</v>
          </cell>
          <cell r="E1074" t="str">
            <v>Raw Material</v>
          </cell>
          <cell r="F1074" t="str">
            <v>Closed</v>
          </cell>
          <cell r="G1074">
            <v>7529.7106999999996</v>
          </cell>
        </row>
        <row r="1075">
          <cell r="C1075" t="str">
            <v>PCSE-PF-329-16-01-2024</v>
          </cell>
          <cell r="D1075">
            <v>45307</v>
          </cell>
          <cell r="E1075" t="str">
            <v>Raw Material</v>
          </cell>
          <cell r="F1075" t="str">
            <v>Closed</v>
          </cell>
          <cell r="G1075">
            <v>36242.402199999997</v>
          </cell>
        </row>
        <row r="1076">
          <cell r="C1076" t="str">
            <v>LPEX-PF-5727-16-01-2024</v>
          </cell>
          <cell r="D1076">
            <v>45307</v>
          </cell>
          <cell r="E1076" t="str">
            <v>Raw Material</v>
          </cell>
          <cell r="F1076" t="str">
            <v>Closed</v>
          </cell>
          <cell r="G1076">
            <v>9071.9403999999995</v>
          </cell>
        </row>
        <row r="1077">
          <cell r="C1077" t="str">
            <v>LPEX-PF-5733-16-01-2024</v>
          </cell>
          <cell r="D1077">
            <v>45307</v>
          </cell>
          <cell r="E1077" t="str">
            <v>Raw Material</v>
          </cell>
          <cell r="F1077" t="str">
            <v>Running</v>
          </cell>
          <cell r="G1077">
            <v>6758.5955999999996</v>
          </cell>
        </row>
        <row r="1078">
          <cell r="C1078" t="str">
            <v>LPEX-PF-5740-16-01-2024</v>
          </cell>
          <cell r="D1078">
            <v>45307</v>
          </cell>
          <cell r="E1078" t="str">
            <v>Raw Material</v>
          </cell>
          <cell r="F1078" t="str">
            <v>Running</v>
          </cell>
          <cell r="G1078">
            <v>3311.2582000000002</v>
          </cell>
        </row>
        <row r="1079">
          <cell r="C1079" t="str">
            <v>LPEX-PF-5659-16-01-2024</v>
          </cell>
          <cell r="D1079">
            <v>45307</v>
          </cell>
          <cell r="E1079" t="str">
            <v>Raw Material</v>
          </cell>
          <cell r="F1079" t="str">
            <v>Closed</v>
          </cell>
          <cell r="G1079">
            <v>9071.9403999999995</v>
          </cell>
        </row>
        <row r="1080">
          <cell r="C1080" t="str">
            <v>LPEX-PF-5661-16-01-2024</v>
          </cell>
          <cell r="D1080">
            <v>45307</v>
          </cell>
          <cell r="E1080" t="str">
            <v>Raw Material</v>
          </cell>
          <cell r="F1080" t="str">
            <v>Closed</v>
          </cell>
          <cell r="G1080">
            <v>9071.9403999999995</v>
          </cell>
        </row>
        <row r="1081">
          <cell r="C1081" t="str">
            <v>KPEX-PF-127903-24-01-2024</v>
          </cell>
          <cell r="D1081">
            <v>45315</v>
          </cell>
          <cell r="E1081" t="str">
            <v>Raw Material</v>
          </cell>
          <cell r="F1081" t="str">
            <v>Closed</v>
          </cell>
          <cell r="G1081">
            <v>12176</v>
          </cell>
        </row>
        <row r="1082">
          <cell r="C1082" t="str">
            <v>PCSE-PF-378-23-01-2024</v>
          </cell>
          <cell r="D1082">
            <v>45314</v>
          </cell>
          <cell r="E1082" t="str">
            <v>Raw Material</v>
          </cell>
          <cell r="F1082" t="str">
            <v>-</v>
          </cell>
          <cell r="G1082">
            <v>10160.64</v>
          </cell>
        </row>
        <row r="1083">
          <cell r="C1083" t="str">
            <v>PCSE-PF-379-25-01-2024</v>
          </cell>
          <cell r="D1083">
            <v>45316</v>
          </cell>
          <cell r="E1083" t="str">
            <v>Raw Material</v>
          </cell>
          <cell r="F1083" t="str">
            <v>-</v>
          </cell>
          <cell r="G1083">
            <v>11067.84</v>
          </cell>
        </row>
        <row r="1084">
          <cell r="C1084" t="str">
            <v>KPEX-PF-128435-24-01-2024</v>
          </cell>
          <cell r="D1084">
            <v>45315</v>
          </cell>
          <cell r="E1084" t="str">
            <v>Raw Material</v>
          </cell>
          <cell r="F1084" t="str">
            <v>Closed</v>
          </cell>
          <cell r="G1084">
            <v>28803.409999999996</v>
          </cell>
        </row>
        <row r="1085">
          <cell r="C1085" t="str">
            <v>KPEX-PF-128446-24-01-2024</v>
          </cell>
          <cell r="D1085">
            <v>45315</v>
          </cell>
          <cell r="E1085" t="str">
            <v>Raw Material</v>
          </cell>
          <cell r="F1085" t="str">
            <v>Closed</v>
          </cell>
          <cell r="G1085">
            <v>2267.9900000000002</v>
          </cell>
        </row>
        <row r="1086">
          <cell r="C1086" t="str">
            <v>KPPE-PF-164011-30-01-2024</v>
          </cell>
          <cell r="D1086">
            <v>45321</v>
          </cell>
          <cell r="E1086" t="str">
            <v>Packing Material</v>
          </cell>
          <cell r="F1086" t="str">
            <v>Closed</v>
          </cell>
          <cell r="G1086">
            <v>2011.2</v>
          </cell>
        </row>
        <row r="1087">
          <cell r="C1087" t="str">
            <v>KPPE-PF-164013-30-01-2024</v>
          </cell>
          <cell r="D1087">
            <v>45321</v>
          </cell>
          <cell r="E1087" t="str">
            <v>Packing Material</v>
          </cell>
          <cell r="F1087" t="str">
            <v>Closed</v>
          </cell>
          <cell r="G1087">
            <v>1396.67</v>
          </cell>
        </row>
        <row r="1088">
          <cell r="C1088" t="str">
            <v>LPEX-PF-7269-02-02-2024</v>
          </cell>
          <cell r="D1088">
            <v>45324</v>
          </cell>
          <cell r="E1088" t="str">
            <v>Raw Material</v>
          </cell>
          <cell r="F1088" t="str">
            <v>Closed</v>
          </cell>
          <cell r="G1088">
            <v>18143.88</v>
          </cell>
        </row>
        <row r="1089">
          <cell r="C1089" t="str">
            <v>PCSE-PF-424-09-02-2024</v>
          </cell>
          <cell r="D1089">
            <v>45331</v>
          </cell>
          <cell r="E1089" t="str">
            <v>Raw Material</v>
          </cell>
          <cell r="F1089" t="str">
            <v>-</v>
          </cell>
          <cell r="G1089">
            <v>4490.6104999999998</v>
          </cell>
        </row>
        <row r="1090">
          <cell r="C1090" t="str">
            <v>KPEX-PF-139851-09-02-2024</v>
          </cell>
          <cell r="D1090">
            <v>45331</v>
          </cell>
          <cell r="E1090" t="str">
            <v>Raw Material</v>
          </cell>
          <cell r="F1090" t="str">
            <v>Closed</v>
          </cell>
          <cell r="G1090">
            <v>15286.22</v>
          </cell>
        </row>
        <row r="1091">
          <cell r="C1091" t="str">
            <v>KPEX-PF-139864-09-02-2024</v>
          </cell>
          <cell r="D1091">
            <v>45331</v>
          </cell>
          <cell r="E1091" t="str">
            <v>Raw Material</v>
          </cell>
          <cell r="F1091" t="str">
            <v>Closed</v>
          </cell>
          <cell r="G1091">
            <v>3764.86</v>
          </cell>
        </row>
        <row r="1092">
          <cell r="C1092" t="str">
            <v>LPEX-PF-7853-13-02-2024</v>
          </cell>
          <cell r="D1092">
            <v>45335</v>
          </cell>
          <cell r="E1092" t="str">
            <v>Raw Material</v>
          </cell>
          <cell r="F1092" t="str">
            <v>Closed</v>
          </cell>
          <cell r="G1092">
            <v>2857.6612</v>
          </cell>
        </row>
        <row r="1093">
          <cell r="C1093" t="str">
            <v>LPEX-PF-7864-13-02-2024</v>
          </cell>
          <cell r="D1093">
            <v>45335</v>
          </cell>
          <cell r="E1093" t="str">
            <v>Raw Material</v>
          </cell>
          <cell r="F1093" t="str">
            <v>Closed</v>
          </cell>
          <cell r="G1093">
            <v>15286.2197</v>
          </cell>
        </row>
        <row r="1094">
          <cell r="C1094" t="str">
            <v>LPEX-PF-7865-13-02-2024</v>
          </cell>
          <cell r="D1094">
            <v>45335</v>
          </cell>
          <cell r="E1094" t="str">
            <v>Raw Material</v>
          </cell>
          <cell r="F1094" t="str">
            <v>Running</v>
          </cell>
          <cell r="G1094">
            <v>9071.9403999999995</v>
          </cell>
        </row>
        <row r="1095">
          <cell r="C1095" t="str">
            <v>LPEX-PF-7866-13-02-2024</v>
          </cell>
          <cell r="D1095">
            <v>45335</v>
          </cell>
          <cell r="E1095" t="str">
            <v>Raw Material</v>
          </cell>
          <cell r="F1095" t="str">
            <v>Closed</v>
          </cell>
          <cell r="G1095">
            <v>9071.9403999999995</v>
          </cell>
        </row>
        <row r="1096">
          <cell r="C1096" t="str">
            <v>LPEX-PF-7867-13-02-2024</v>
          </cell>
          <cell r="D1096">
            <v>45335</v>
          </cell>
          <cell r="E1096" t="str">
            <v>Raw Material</v>
          </cell>
          <cell r="F1096" t="str">
            <v>Running</v>
          </cell>
          <cell r="G1096">
            <v>15875.8958</v>
          </cell>
        </row>
        <row r="1097">
          <cell r="C1097" t="str">
            <v>LPEX-PF-7995-14-02-2024</v>
          </cell>
          <cell r="D1097">
            <v>45336</v>
          </cell>
          <cell r="E1097" t="str">
            <v>Raw Material</v>
          </cell>
          <cell r="F1097" t="str">
            <v>Closed</v>
          </cell>
          <cell r="G1097">
            <v>18143.88</v>
          </cell>
        </row>
        <row r="1098">
          <cell r="C1098" t="str">
            <v>LPEX-PF-6657-26-01-2024</v>
          </cell>
          <cell r="D1098">
            <v>45317</v>
          </cell>
          <cell r="E1098" t="str">
            <v>Raw Material</v>
          </cell>
          <cell r="F1098" t="str">
            <v>Closed</v>
          </cell>
          <cell r="G1098">
            <v>6168.96</v>
          </cell>
        </row>
        <row r="1099">
          <cell r="C1099" t="str">
            <v>GWDE-PF-143-14-02-2024</v>
          </cell>
          <cell r="D1099">
            <v>45336</v>
          </cell>
          <cell r="E1099" t="str">
            <v>Raw Material</v>
          </cell>
          <cell r="F1099" t="str">
            <v>Closed</v>
          </cell>
          <cell r="G1099">
            <v>18325.439999999999</v>
          </cell>
        </row>
        <row r="1100">
          <cell r="C1100" t="str">
            <v>GWDE-PF-142-14-02-2024</v>
          </cell>
          <cell r="D1100">
            <v>45336</v>
          </cell>
          <cell r="E1100" t="str">
            <v>Raw Material</v>
          </cell>
          <cell r="F1100" t="str">
            <v>Running</v>
          </cell>
          <cell r="G1100">
            <v>13335.84</v>
          </cell>
        </row>
        <row r="1101">
          <cell r="C1101" t="str">
            <v>GWDE-PF-141-14-02-2024</v>
          </cell>
          <cell r="D1101">
            <v>45336</v>
          </cell>
          <cell r="E1101" t="str">
            <v>Raw Material</v>
          </cell>
          <cell r="F1101" t="str">
            <v>-</v>
          </cell>
          <cell r="G1101">
            <v>11884.32</v>
          </cell>
        </row>
        <row r="1102">
          <cell r="C1102" t="str">
            <v>PCSE-PF-439-15-02-2024</v>
          </cell>
          <cell r="D1102">
            <v>45337</v>
          </cell>
          <cell r="E1102" t="str">
            <v>Raw Material</v>
          </cell>
          <cell r="F1102" t="str">
            <v>-</v>
          </cell>
          <cell r="G1102">
            <v>1451.52</v>
          </cell>
        </row>
        <row r="1103">
          <cell r="C1103" t="str">
            <v>GWDE-PF-145-15-02-2024</v>
          </cell>
          <cell r="D1103">
            <v>45337</v>
          </cell>
          <cell r="E1103" t="str">
            <v>Raw Material</v>
          </cell>
          <cell r="F1103" t="str">
            <v>-</v>
          </cell>
          <cell r="G1103">
            <v>12020.4</v>
          </cell>
        </row>
        <row r="1104">
          <cell r="C1104" t="str">
            <v>PCSE-PF-452-16-02-2024</v>
          </cell>
          <cell r="D1104">
            <v>45338</v>
          </cell>
          <cell r="E1104" t="str">
            <v>Raw Material</v>
          </cell>
          <cell r="F1104" t="str">
            <v>-</v>
          </cell>
          <cell r="G1104">
            <v>226798.5122</v>
          </cell>
        </row>
        <row r="1105">
          <cell r="C1105" t="str">
            <v>PCSE-PF-458-19-02-2024</v>
          </cell>
          <cell r="D1105">
            <v>45341</v>
          </cell>
          <cell r="E1105" t="str">
            <v>Raw Material</v>
          </cell>
          <cell r="F1105" t="str">
            <v>-</v>
          </cell>
          <cell r="G1105">
            <v>16420.212299999999</v>
          </cell>
        </row>
        <row r="1106">
          <cell r="C1106" t="str">
            <v>KPPE-PF-180676-20-02-2024</v>
          </cell>
          <cell r="D1106">
            <v>45342</v>
          </cell>
          <cell r="E1106" t="str">
            <v>Raw Material</v>
          </cell>
          <cell r="F1106" t="str">
            <v>-</v>
          </cell>
          <cell r="G1106">
            <v>54432</v>
          </cell>
        </row>
        <row r="1107">
          <cell r="C1107" t="str">
            <v>KPEX-PF-147892-21-02-2024</v>
          </cell>
          <cell r="D1107">
            <v>45343</v>
          </cell>
          <cell r="E1107" t="str">
            <v>Raw Material</v>
          </cell>
          <cell r="F1107" t="str">
            <v>Closed</v>
          </cell>
          <cell r="G1107">
            <v>39987</v>
          </cell>
        </row>
        <row r="1108">
          <cell r="C1108" t="str">
            <v>PCSE-PF-469-22-02-2024</v>
          </cell>
          <cell r="D1108">
            <v>45344</v>
          </cell>
          <cell r="E1108" t="str">
            <v>Raw Material</v>
          </cell>
          <cell r="F1108" t="str">
            <v>Closed</v>
          </cell>
          <cell r="G1108">
            <v>34564.0933</v>
          </cell>
        </row>
        <row r="1109">
          <cell r="C1109" t="str">
            <v>PCSE-PF-470-22-02-2024</v>
          </cell>
          <cell r="D1109">
            <v>45344</v>
          </cell>
          <cell r="E1109" t="str">
            <v>Raw Material</v>
          </cell>
          <cell r="F1109" t="str">
            <v>-</v>
          </cell>
          <cell r="G1109">
            <v>6304.9985999999999</v>
          </cell>
        </row>
        <row r="1110">
          <cell r="C1110" t="str">
            <v>KPEX-PF-151682-26-02-2024</v>
          </cell>
          <cell r="D1110">
            <v>45348</v>
          </cell>
          <cell r="E1110" t="str">
            <v>Raw Material</v>
          </cell>
          <cell r="F1110" t="str">
            <v>Closed</v>
          </cell>
          <cell r="G1110">
            <v>41549.49</v>
          </cell>
        </row>
        <row r="1111">
          <cell r="C1111" t="str">
            <v>KPEX-PF-151687-26-02-2024</v>
          </cell>
          <cell r="D1111">
            <v>45348</v>
          </cell>
          <cell r="E1111" t="str">
            <v>Raw Material</v>
          </cell>
          <cell r="F1111" t="str">
            <v>Closed</v>
          </cell>
          <cell r="G1111">
            <v>6032.84</v>
          </cell>
        </row>
        <row r="1112">
          <cell r="C1112" t="str">
            <v>PQEB-PF-466-22-02-2024</v>
          </cell>
          <cell r="D1112">
            <v>45344</v>
          </cell>
          <cell r="E1112" t="str">
            <v>Packing Material</v>
          </cell>
          <cell r="F1112" t="str">
            <v>Closed</v>
          </cell>
          <cell r="G1112">
            <v>3455</v>
          </cell>
        </row>
        <row r="1113">
          <cell r="C1113" t="str">
            <v>PQEB-PF-476-28-02-2024</v>
          </cell>
          <cell r="D1113">
            <v>45350</v>
          </cell>
          <cell r="E1113" t="str">
            <v>Packing Material</v>
          </cell>
          <cell r="F1113" t="str">
            <v>Closed</v>
          </cell>
          <cell r="G1113">
            <v>3961</v>
          </cell>
        </row>
        <row r="1114">
          <cell r="C1114" t="str">
            <v>PQEB-PF-477-28-02-2024</v>
          </cell>
          <cell r="D1114">
            <v>45350</v>
          </cell>
          <cell r="E1114" t="str">
            <v>Packing Material</v>
          </cell>
          <cell r="F1114" t="str">
            <v>Closed</v>
          </cell>
          <cell r="G1114">
            <v>148</v>
          </cell>
        </row>
        <row r="1115">
          <cell r="C1115" t="str">
            <v>PCSE-PF-508-04-03-2024</v>
          </cell>
          <cell r="D1115">
            <v>45355</v>
          </cell>
          <cell r="E1115" t="str">
            <v>Raw Material</v>
          </cell>
          <cell r="F1115" t="str">
            <v>-</v>
          </cell>
          <cell r="G1115">
            <v>33974.417099999999</v>
          </cell>
        </row>
        <row r="1116">
          <cell r="C1116" t="str">
            <v>LPEX-PF-9440-01-03-2024</v>
          </cell>
          <cell r="D1116">
            <v>45352</v>
          </cell>
          <cell r="E1116" t="str">
            <v>Raw Material</v>
          </cell>
          <cell r="F1116" t="str">
            <v>Closed</v>
          </cell>
          <cell r="G1116">
            <v>9071.9403999999995</v>
          </cell>
        </row>
        <row r="1117">
          <cell r="C1117" t="str">
            <v>KPEX-PF-156873-05-03-2024</v>
          </cell>
          <cell r="D1117">
            <v>45356</v>
          </cell>
          <cell r="E1117" t="str">
            <v>Raw Material</v>
          </cell>
          <cell r="F1117" t="str">
            <v>Closed</v>
          </cell>
          <cell r="G1117">
            <v>13256</v>
          </cell>
        </row>
        <row r="1118">
          <cell r="C1118" t="str">
            <v>KPEX-PF-152493-27-02-2024</v>
          </cell>
          <cell r="D1118">
            <v>45349</v>
          </cell>
          <cell r="E1118" t="str">
            <v>Packing Material</v>
          </cell>
          <cell r="F1118" t="str">
            <v>Closed</v>
          </cell>
          <cell r="G1118">
            <v>24</v>
          </cell>
        </row>
        <row r="1119">
          <cell r="C1119" t="str">
            <v>PCSE-PF-512-11-03-2024</v>
          </cell>
          <cell r="D1119">
            <v>45362</v>
          </cell>
          <cell r="E1119" t="str">
            <v>Raw Material</v>
          </cell>
          <cell r="F1119" t="str">
            <v>-</v>
          </cell>
          <cell r="G1119">
            <v>226798.5122</v>
          </cell>
        </row>
        <row r="1120">
          <cell r="C1120" t="str">
            <v>KPEX-PF-161676-12-03-2024</v>
          </cell>
          <cell r="D1120">
            <v>45363</v>
          </cell>
          <cell r="E1120" t="str">
            <v>Raw Material</v>
          </cell>
          <cell r="F1120" t="str">
            <v>Closed</v>
          </cell>
          <cell r="G1120">
            <v>994</v>
          </cell>
        </row>
        <row r="1121">
          <cell r="C1121" t="str">
            <v>KPEX-PF-165497-18-03-2024</v>
          </cell>
          <cell r="D1121">
            <v>45369</v>
          </cell>
          <cell r="E1121" t="str">
            <v>Raw Material</v>
          </cell>
          <cell r="F1121" t="str">
            <v>-</v>
          </cell>
          <cell r="G1121">
            <v>28758.05</v>
          </cell>
        </row>
        <row r="1122">
          <cell r="C1122" t="str">
            <v>KPEX-PF-165506-18-03-2024</v>
          </cell>
          <cell r="D1122">
            <v>45369</v>
          </cell>
          <cell r="E1122" t="str">
            <v>Raw Material</v>
          </cell>
          <cell r="F1122" t="str">
            <v>Closed</v>
          </cell>
          <cell r="G1122">
            <v>22362.33</v>
          </cell>
        </row>
        <row r="1123">
          <cell r="C1123" t="str">
            <v>LPEX-PF-11369-19-03-2024</v>
          </cell>
          <cell r="D1123">
            <v>45370</v>
          </cell>
          <cell r="E1123" t="str">
            <v>Raw Material</v>
          </cell>
          <cell r="F1123" t="str">
            <v>Closed</v>
          </cell>
          <cell r="G1123">
            <v>9071.94</v>
          </cell>
        </row>
        <row r="1124">
          <cell r="C1124" t="str">
            <v>LPEX-PF-11402-20-03-2024</v>
          </cell>
          <cell r="D1124">
            <v>45371</v>
          </cell>
          <cell r="E1124" t="str">
            <v>Raw Material</v>
          </cell>
          <cell r="F1124" t="str">
            <v>Closed</v>
          </cell>
          <cell r="G1124">
            <v>9071.94</v>
          </cell>
        </row>
        <row r="1125">
          <cell r="C1125" t="str">
            <v>PCSE-PF-529-21-03-2024</v>
          </cell>
          <cell r="D1125">
            <v>45372</v>
          </cell>
          <cell r="E1125" t="str">
            <v>Raw Material</v>
          </cell>
          <cell r="F1125" t="str">
            <v>Closed</v>
          </cell>
          <cell r="G1125">
            <v>6032.8404</v>
          </cell>
        </row>
        <row r="1126">
          <cell r="C1126" t="str">
            <v>KPPE-PF-202915-20-03-2024</v>
          </cell>
          <cell r="D1126">
            <v>45371</v>
          </cell>
          <cell r="E1126" t="str">
            <v>Raw Material</v>
          </cell>
          <cell r="F1126" t="str">
            <v>Closed</v>
          </cell>
          <cell r="G1126">
            <v>16680</v>
          </cell>
        </row>
        <row r="1127">
          <cell r="C1127" t="str">
            <v>PQEB-PF-553-20-03-2024</v>
          </cell>
          <cell r="D1127">
            <v>45371</v>
          </cell>
          <cell r="E1127" t="str">
            <v>Packing Material</v>
          </cell>
          <cell r="F1127" t="str">
            <v>Closed</v>
          </cell>
          <cell r="G1127">
            <v>20369</v>
          </cell>
        </row>
        <row r="1128">
          <cell r="C1128" t="str">
            <v>PQEB-PF-554-20-03-2024</v>
          </cell>
          <cell r="D1128">
            <v>45371</v>
          </cell>
          <cell r="E1128" t="str">
            <v>Packing Material</v>
          </cell>
          <cell r="F1128" t="str">
            <v>Closed</v>
          </cell>
          <cell r="G1128">
            <v>17465</v>
          </cell>
        </row>
        <row r="1129">
          <cell r="C1129" t="str">
            <v>PQEB-PF-555-20-03-2024</v>
          </cell>
          <cell r="D1129">
            <v>45371</v>
          </cell>
          <cell r="E1129" t="str">
            <v>Packing Material</v>
          </cell>
          <cell r="F1129" t="str">
            <v>Closed</v>
          </cell>
          <cell r="G1129">
            <v>11554</v>
          </cell>
        </row>
        <row r="1130">
          <cell r="C1130" t="str">
            <v>KPEX-PF-167450-21-03-2024</v>
          </cell>
          <cell r="D1130">
            <v>45372</v>
          </cell>
          <cell r="E1130" t="str">
            <v>Raw Material</v>
          </cell>
          <cell r="F1130" t="str">
            <v>Closed</v>
          </cell>
          <cell r="G1130">
            <v>3356.5880000000002</v>
          </cell>
        </row>
        <row r="1131">
          <cell r="C1131" t="str">
            <v>LPEX-PF-10311-08-03-2024</v>
          </cell>
          <cell r="D1131">
            <v>45359</v>
          </cell>
          <cell r="E1131" t="str">
            <v>Raw Material</v>
          </cell>
          <cell r="F1131" t="str">
            <v>Closed</v>
          </cell>
          <cell r="G1131">
            <v>18143.8809</v>
          </cell>
        </row>
        <row r="1132">
          <cell r="C1132" t="str">
            <v>LPEX-PF-11267-19-03-2024</v>
          </cell>
          <cell r="D1132">
            <v>45370</v>
          </cell>
          <cell r="E1132" t="str">
            <v>Raw Material</v>
          </cell>
          <cell r="F1132" t="str">
            <v>Closed</v>
          </cell>
          <cell r="G1132">
            <v>9071.94</v>
          </cell>
        </row>
        <row r="1133">
          <cell r="C1133" t="str">
            <v>LPEX-PF-11080-15-03-2024</v>
          </cell>
          <cell r="D1133">
            <v>45366</v>
          </cell>
          <cell r="E1133" t="str">
            <v>Raw Material</v>
          </cell>
          <cell r="F1133" t="str">
            <v>Closed</v>
          </cell>
          <cell r="G1133">
            <v>14376</v>
          </cell>
        </row>
        <row r="1134">
          <cell r="C1134" t="str">
            <v>LPEX-PF-11081-15-03-2024</v>
          </cell>
          <cell r="D1134">
            <v>45366</v>
          </cell>
          <cell r="E1134" t="str">
            <v>Raw Material</v>
          </cell>
          <cell r="F1134" t="str">
            <v>Closed</v>
          </cell>
          <cell r="G1134">
            <v>8970</v>
          </cell>
        </row>
        <row r="1135">
          <cell r="C1135" t="str">
            <v>LPEX-PF-11084-15-03-2024</v>
          </cell>
          <cell r="D1135">
            <v>45366</v>
          </cell>
          <cell r="E1135" t="str">
            <v>Raw Material</v>
          </cell>
          <cell r="F1135" t="str">
            <v>Closed</v>
          </cell>
          <cell r="G1135">
            <v>9459</v>
          </cell>
        </row>
        <row r="1136">
          <cell r="C1136" t="str">
            <v>LPEX-PF-11091-15-03-2024</v>
          </cell>
          <cell r="D1136">
            <v>45366</v>
          </cell>
          <cell r="E1136" t="str">
            <v>Raw Material</v>
          </cell>
          <cell r="F1136" t="str">
            <v>Closed</v>
          </cell>
          <cell r="G1136">
            <v>7047</v>
          </cell>
        </row>
        <row r="1137">
          <cell r="C1137" t="str">
            <v>MCSE-PF-2911-18-03-2024</v>
          </cell>
          <cell r="D1137">
            <v>45369</v>
          </cell>
          <cell r="E1137" t="str">
            <v>Raw Material</v>
          </cell>
          <cell r="F1137" t="str">
            <v>Running</v>
          </cell>
          <cell r="G1137">
            <v>9967</v>
          </cell>
        </row>
        <row r="1138">
          <cell r="C1138" t="str">
            <v>KPEX-PF-170454-26-03-2024</v>
          </cell>
          <cell r="D1138">
            <v>45377</v>
          </cell>
          <cell r="E1138" t="str">
            <v>Raw Material</v>
          </cell>
          <cell r="F1138" t="str">
            <v>Closed</v>
          </cell>
          <cell r="G1138">
            <v>42497</v>
          </cell>
        </row>
        <row r="1139">
          <cell r="C1139" t="str">
            <v>LPEX-PF-11426-20-03-2024</v>
          </cell>
          <cell r="D1139">
            <v>45371</v>
          </cell>
          <cell r="E1139" t="str">
            <v>Raw Material</v>
          </cell>
          <cell r="F1139" t="str">
            <v>Closed</v>
          </cell>
          <cell r="G1139">
            <v>7121.4732000000004</v>
          </cell>
        </row>
        <row r="1140">
          <cell r="C1140" t="str">
            <v>KPPE-PF-209601-28-03-2024</v>
          </cell>
          <cell r="D1140">
            <v>45379</v>
          </cell>
          <cell r="E1140" t="str">
            <v>Raw Material</v>
          </cell>
          <cell r="F1140" t="str">
            <v>Closed</v>
          </cell>
          <cell r="G1140">
            <v>902</v>
          </cell>
        </row>
        <row r="1141">
          <cell r="C1141" t="str">
            <v>KPPE-PF-209612-28-03-2024</v>
          </cell>
          <cell r="D1141">
            <v>45379</v>
          </cell>
          <cell r="E1141" t="str">
            <v>Raw Material</v>
          </cell>
          <cell r="F1141" t="str">
            <v>Closed</v>
          </cell>
          <cell r="G1141">
            <v>882</v>
          </cell>
        </row>
        <row r="1142">
          <cell r="C1142" t="str">
            <v>PCSE-PF-563-03-04-2024</v>
          </cell>
          <cell r="D1142">
            <v>45385</v>
          </cell>
          <cell r="E1142" t="str">
            <v>Raw Material</v>
          </cell>
          <cell r="F1142" t="str">
            <v>-</v>
          </cell>
          <cell r="G1142">
            <v>5715.3225000000002</v>
          </cell>
        </row>
        <row r="1143">
          <cell r="C1143" t="str">
            <v>LPEX-PF-12823-03-04-2024</v>
          </cell>
          <cell r="D1143">
            <v>45385</v>
          </cell>
          <cell r="E1143" t="str">
            <v>Raw Material</v>
          </cell>
          <cell r="F1143" t="str">
            <v>-</v>
          </cell>
          <cell r="G1143">
            <v>8204</v>
          </cell>
        </row>
        <row r="1144">
          <cell r="C1144" t="str">
            <v>LPEX-PF-12827-03-04-2024</v>
          </cell>
          <cell r="D1144">
            <v>45385</v>
          </cell>
          <cell r="E1144" t="str">
            <v>Raw Material</v>
          </cell>
          <cell r="F1144" t="str">
            <v>-</v>
          </cell>
          <cell r="G1144">
            <v>4507</v>
          </cell>
        </row>
        <row r="1145">
          <cell r="C1145" t="str">
            <v>LPEX-PF-12829-03-04-2024</v>
          </cell>
          <cell r="D1145">
            <v>45385</v>
          </cell>
          <cell r="E1145" t="str">
            <v>Raw Material</v>
          </cell>
          <cell r="F1145" t="str">
            <v>-</v>
          </cell>
          <cell r="G1145">
            <v>8130</v>
          </cell>
        </row>
        <row r="1146">
          <cell r="C1146" t="str">
            <v>LPEX-PF-12204-28-03-2024</v>
          </cell>
          <cell r="D1146">
            <v>45379</v>
          </cell>
          <cell r="E1146" t="str">
            <v>Raw Material</v>
          </cell>
          <cell r="F1146" t="str">
            <v>Closed</v>
          </cell>
          <cell r="G1146">
            <v>13880.07</v>
          </cell>
        </row>
        <row r="1147">
          <cell r="C1147" t="str">
            <v>LPEX-PF-11487-20-03-2024</v>
          </cell>
          <cell r="D1147">
            <v>45371</v>
          </cell>
          <cell r="E1147" t="str">
            <v>Raw Material</v>
          </cell>
          <cell r="F1147" t="str">
            <v>Closed</v>
          </cell>
          <cell r="G1147">
            <v>7937.95</v>
          </cell>
        </row>
        <row r="1148">
          <cell r="C1148" t="str">
            <v>PCSE-PF-575-04-04-2024</v>
          </cell>
          <cell r="D1148">
            <v>45386</v>
          </cell>
          <cell r="E1148" t="str">
            <v>Raw Material</v>
          </cell>
          <cell r="F1148" t="str">
            <v>-</v>
          </cell>
          <cell r="G1148">
            <v>226798.5122</v>
          </cell>
        </row>
        <row r="1149">
          <cell r="C1149" t="str">
            <v>PQEB-PF-634-05-04-2024</v>
          </cell>
          <cell r="D1149">
            <v>45387</v>
          </cell>
          <cell r="E1149" t="str">
            <v>Packing Material</v>
          </cell>
          <cell r="F1149" t="str">
            <v>Closed</v>
          </cell>
          <cell r="G1149">
            <v>370</v>
          </cell>
        </row>
        <row r="1150">
          <cell r="C1150" t="str">
            <v>KPEX-PF-178431-06-04-2024</v>
          </cell>
          <cell r="D1150">
            <v>45398</v>
          </cell>
          <cell r="E1150" t="str">
            <v>Raw Material</v>
          </cell>
          <cell r="F1150" t="str">
            <v>Closed</v>
          </cell>
          <cell r="G1150">
            <v>59830</v>
          </cell>
        </row>
        <row r="1151">
          <cell r="C1151" t="str">
            <v>KPEX-PF-180715-15-04-2024</v>
          </cell>
          <cell r="D1151">
            <v>45397</v>
          </cell>
          <cell r="E1151" t="str">
            <v>Raw Material</v>
          </cell>
          <cell r="F1151" t="str">
            <v>-</v>
          </cell>
          <cell r="G1151">
            <v>11566.72</v>
          </cell>
        </row>
        <row r="1152">
          <cell r="C1152" t="str">
            <v>KPEX-PF-180718-15-04-2024</v>
          </cell>
          <cell r="D1152">
            <v>45397</v>
          </cell>
          <cell r="E1152" t="str">
            <v>Raw Material</v>
          </cell>
          <cell r="F1152" t="str">
            <v>-</v>
          </cell>
          <cell r="G1152">
            <v>12247.12</v>
          </cell>
        </row>
        <row r="1153">
          <cell r="C1153" t="str">
            <v>KPEX-PF-180742-15-04-2024</v>
          </cell>
          <cell r="D1153">
            <v>45397</v>
          </cell>
          <cell r="E1153" t="str">
            <v>Raw Material</v>
          </cell>
          <cell r="F1153" t="str">
            <v>Closed</v>
          </cell>
          <cell r="G1153">
            <v>5080.29</v>
          </cell>
        </row>
        <row r="1154">
          <cell r="C1154" t="str">
            <v>KPEX-PF-181007-16-04-2024</v>
          </cell>
          <cell r="D1154">
            <v>45398</v>
          </cell>
          <cell r="E1154" t="str">
            <v>Raw Material</v>
          </cell>
          <cell r="F1154" t="str">
            <v>-</v>
          </cell>
          <cell r="G1154">
            <v>6259.6390000000001</v>
          </cell>
        </row>
        <row r="1155">
          <cell r="C1155" t="str">
            <v>KPEX-PF-181236-16-04-2024</v>
          </cell>
          <cell r="D1155">
            <v>45398</v>
          </cell>
          <cell r="E1155" t="str">
            <v>Raw Material</v>
          </cell>
          <cell r="F1155" t="str">
            <v>Closed</v>
          </cell>
          <cell r="G1155">
            <v>10478.091</v>
          </cell>
        </row>
        <row r="1156">
          <cell r="C1156" t="str">
            <v>KPEX-PF-181243-16-04-2024</v>
          </cell>
          <cell r="D1156">
            <v>45398</v>
          </cell>
          <cell r="E1156" t="str">
            <v>Raw Material</v>
          </cell>
          <cell r="F1156" t="str">
            <v>Closed</v>
          </cell>
          <cell r="G1156">
            <v>4082.373</v>
          </cell>
        </row>
        <row r="1157">
          <cell r="C1157" t="str">
            <v>KPEX-PF-181238-16-04-2024</v>
          </cell>
          <cell r="D1157">
            <v>45398</v>
          </cell>
          <cell r="E1157" t="str">
            <v>Raw Material</v>
          </cell>
          <cell r="F1157" t="str">
            <v>Closed</v>
          </cell>
          <cell r="G1157">
            <v>6078.2</v>
          </cell>
        </row>
        <row r="1158">
          <cell r="C1158" t="str">
            <v>KPPE-PF-222368-16-04-2024</v>
          </cell>
          <cell r="D1158">
            <v>45398</v>
          </cell>
          <cell r="E1158" t="str">
            <v>Raw Material</v>
          </cell>
          <cell r="F1158" t="str">
            <v>Closed</v>
          </cell>
          <cell r="G1158">
            <v>2880</v>
          </cell>
        </row>
        <row r="1159">
          <cell r="C1159" t="str">
            <v>PCSE-PF-597-18-04-2024</v>
          </cell>
          <cell r="D1159">
            <v>45400</v>
          </cell>
          <cell r="E1159" t="str">
            <v>Raw Material</v>
          </cell>
          <cell r="F1159" t="str">
            <v>-</v>
          </cell>
          <cell r="G1159">
            <v>28395.173699999999</v>
          </cell>
        </row>
        <row r="1160">
          <cell r="C1160" t="str">
            <v>KPEX-PF-182817-18-04-2024</v>
          </cell>
          <cell r="D1160">
            <v>45400</v>
          </cell>
          <cell r="E1160" t="str">
            <v>Raw Material</v>
          </cell>
          <cell r="F1160" t="str">
            <v>Closed</v>
          </cell>
          <cell r="G1160">
            <v>39096</v>
          </cell>
        </row>
        <row r="1161">
          <cell r="C1161" t="str">
            <v>LPEX-PF-13736-19-04-2024</v>
          </cell>
          <cell r="D1161">
            <v>45401</v>
          </cell>
          <cell r="E1161" t="str">
            <v>Raw Material</v>
          </cell>
          <cell r="F1161" t="str">
            <v>Closed</v>
          </cell>
          <cell r="G1161">
            <v>1047.81</v>
          </cell>
        </row>
        <row r="1162">
          <cell r="C1162" t="str">
            <v>PCSE-PF-601-22-04-2024</v>
          </cell>
          <cell r="D1162">
            <v>45404</v>
          </cell>
          <cell r="E1162" t="str">
            <v>Raw Material</v>
          </cell>
          <cell r="F1162" t="str">
            <v>-</v>
          </cell>
          <cell r="G1162">
            <v>7438.9912000000004</v>
          </cell>
        </row>
        <row r="1163">
          <cell r="C1163" t="str">
            <v>FPEX-PF-3657-23-04-2024</v>
          </cell>
          <cell r="D1163">
            <v>45405</v>
          </cell>
          <cell r="E1163" t="str">
            <v>Raw Material</v>
          </cell>
          <cell r="F1163" t="str">
            <v>-</v>
          </cell>
          <cell r="G1163">
            <v>15876</v>
          </cell>
        </row>
        <row r="1164">
          <cell r="C1164" t="str">
            <v>LPEX-PF-13687-18-04-2024</v>
          </cell>
          <cell r="D1164">
            <v>45400</v>
          </cell>
          <cell r="E1164" t="str">
            <v>Raw Material</v>
          </cell>
          <cell r="F1164" t="str">
            <v>Closed</v>
          </cell>
          <cell r="G1164">
            <v>9071.94</v>
          </cell>
        </row>
        <row r="1165">
          <cell r="C1165" t="str">
            <v>KPPE-PF-214884-03-04-2024</v>
          </cell>
          <cell r="D1165">
            <v>45385</v>
          </cell>
          <cell r="E1165" t="str">
            <v>Packing Material</v>
          </cell>
          <cell r="F1165" t="str">
            <v>Closed</v>
          </cell>
          <cell r="G1165">
            <v>391.11</v>
          </cell>
        </row>
        <row r="1166">
          <cell r="C1166" t="str">
            <v>PCSE-PF-615-29-04-2024</v>
          </cell>
          <cell r="D1166">
            <v>45411</v>
          </cell>
          <cell r="E1166" t="str">
            <v>Raw Material</v>
          </cell>
          <cell r="F1166" t="str">
            <v>Closed</v>
          </cell>
          <cell r="G1166">
            <v>27215.821499999998</v>
          </cell>
        </row>
        <row r="1167">
          <cell r="C1167" t="str">
            <v>PCSE-PF-617-29-04-2024</v>
          </cell>
          <cell r="D1167">
            <v>45411</v>
          </cell>
          <cell r="E1167" t="str">
            <v>Raw Material</v>
          </cell>
          <cell r="F1167" t="str">
            <v>-</v>
          </cell>
          <cell r="G1167">
            <v>226798.5122</v>
          </cell>
        </row>
        <row r="1168">
          <cell r="C1168" t="str">
            <v>KPPE-PF-232315-27-04-2024</v>
          </cell>
          <cell r="D1168">
            <v>45409</v>
          </cell>
          <cell r="E1168" t="str">
            <v>Raw Material</v>
          </cell>
          <cell r="F1168" t="str">
            <v>-</v>
          </cell>
          <cell r="G1168">
            <v>54432</v>
          </cell>
        </row>
        <row r="1169">
          <cell r="C1169" t="str">
            <v>KPPE-PF-236962-03-05-2024</v>
          </cell>
          <cell r="D1169">
            <v>45415</v>
          </cell>
          <cell r="E1169" t="str">
            <v>Raw Material</v>
          </cell>
          <cell r="F1169" t="str">
            <v>Closed</v>
          </cell>
          <cell r="G1169">
            <v>1350</v>
          </cell>
        </row>
        <row r="1170">
          <cell r="C1170" t="str">
            <v>KPPE-PF-237059-03-05-2024</v>
          </cell>
          <cell r="D1170">
            <v>45415</v>
          </cell>
          <cell r="E1170" t="str">
            <v>Raw Material</v>
          </cell>
          <cell r="F1170" t="str">
            <v>Closed</v>
          </cell>
          <cell r="G1170">
            <v>2085</v>
          </cell>
        </row>
        <row r="1171">
          <cell r="C1171" t="str">
            <v>LPEX-PF-15035-02-05-2024</v>
          </cell>
          <cell r="D1171">
            <v>45419</v>
          </cell>
          <cell r="E1171" t="str">
            <v>Raw Material</v>
          </cell>
          <cell r="F1171" t="str">
            <v>Closed</v>
          </cell>
          <cell r="G1171">
            <v>71.459999999999994</v>
          </cell>
        </row>
        <row r="1172">
          <cell r="C1172" t="str">
            <v>KPEX-PF-192418-03-05-2024</v>
          </cell>
          <cell r="D1172">
            <v>45415</v>
          </cell>
          <cell r="E1172" t="str">
            <v>Raw Material</v>
          </cell>
          <cell r="F1172" t="str">
            <v>-</v>
          </cell>
          <cell r="G1172">
            <v>1542.23</v>
          </cell>
        </row>
        <row r="1173">
          <cell r="C1173" t="str">
            <v>KPEX-PF-192429-03-05-2024</v>
          </cell>
          <cell r="D1173">
            <v>45415</v>
          </cell>
          <cell r="E1173" t="str">
            <v>Raw Material</v>
          </cell>
          <cell r="F1173" t="str">
            <v>-</v>
          </cell>
          <cell r="G1173">
            <v>4535.97</v>
          </cell>
        </row>
        <row r="1174">
          <cell r="C1174" t="str">
            <v>KPEX-PF-193818-06-05-2024</v>
          </cell>
          <cell r="D1174">
            <v>45418</v>
          </cell>
          <cell r="E1174" t="str">
            <v>Raw Material</v>
          </cell>
          <cell r="F1174" t="str">
            <v>-</v>
          </cell>
          <cell r="G1174">
            <v>42320.6</v>
          </cell>
        </row>
        <row r="1175">
          <cell r="C1175" t="str">
            <v>KPEX-PF-193820-06-05-2024</v>
          </cell>
          <cell r="D1175">
            <v>45418</v>
          </cell>
          <cell r="E1175" t="str">
            <v>Raw Material</v>
          </cell>
          <cell r="F1175" t="str">
            <v>-</v>
          </cell>
          <cell r="G1175">
            <v>2585.5</v>
          </cell>
        </row>
        <row r="1176">
          <cell r="C1176" t="str">
            <v>KPPE-PF-239595-07-05-2024</v>
          </cell>
          <cell r="D1176">
            <v>45419</v>
          </cell>
          <cell r="E1176" t="str">
            <v>Packing Material</v>
          </cell>
          <cell r="F1176" t="str">
            <v>Closed</v>
          </cell>
          <cell r="G1176">
            <v>698.33</v>
          </cell>
        </row>
        <row r="1177">
          <cell r="C1177" t="str">
            <v>PCSE-PF-628-08-05-2024</v>
          </cell>
          <cell r="D1177">
            <v>45420</v>
          </cell>
          <cell r="E1177" t="str">
            <v>Raw Material</v>
          </cell>
          <cell r="F1177" t="str">
            <v>-</v>
          </cell>
          <cell r="G1177">
            <v>27215.821499999998</v>
          </cell>
        </row>
        <row r="1178">
          <cell r="C1178" t="str">
            <v>PCSE-PF-643-14-05-2024</v>
          </cell>
          <cell r="D1178">
            <v>45426</v>
          </cell>
          <cell r="E1178" t="str">
            <v>Raw Material</v>
          </cell>
          <cell r="F1178" t="str">
            <v>-</v>
          </cell>
          <cell r="G1178">
            <v>27215.821499999998</v>
          </cell>
        </row>
        <row r="1179">
          <cell r="C1179" t="str">
            <v>KPEX-PF-198947-14-05-2024</v>
          </cell>
          <cell r="D1179">
            <v>45426</v>
          </cell>
          <cell r="E1179" t="str">
            <v>Raw Material</v>
          </cell>
          <cell r="F1179" t="str">
            <v>Closed</v>
          </cell>
          <cell r="G1179">
            <v>42758</v>
          </cell>
        </row>
        <row r="1180">
          <cell r="C1180" t="str">
            <v>LPEX-PF-16461-14-05-2024</v>
          </cell>
          <cell r="D1180">
            <v>45426</v>
          </cell>
          <cell r="E1180" t="str">
            <v>Raw Material</v>
          </cell>
          <cell r="F1180" t="str">
            <v>Running</v>
          </cell>
          <cell r="G1180">
            <v>7801.8688000000002</v>
          </cell>
        </row>
        <row r="1181">
          <cell r="C1181" t="str">
            <v>KPPE-PF-249139-17-05-2024</v>
          </cell>
          <cell r="D1181">
            <v>45429</v>
          </cell>
          <cell r="E1181" t="str">
            <v>Raw Material</v>
          </cell>
          <cell r="F1181" t="str">
            <v>Closed</v>
          </cell>
          <cell r="G1181">
            <v>11400</v>
          </cell>
        </row>
        <row r="1182">
          <cell r="C1182" t="str">
            <v>KPPE-PF-249168-17-05-2024</v>
          </cell>
          <cell r="D1182">
            <v>45429</v>
          </cell>
          <cell r="E1182" t="str">
            <v>Raw Material</v>
          </cell>
          <cell r="F1182" t="str">
            <v>Closed</v>
          </cell>
          <cell r="G1182">
            <v>11520</v>
          </cell>
        </row>
        <row r="1183">
          <cell r="C1183" t="str">
            <v>LPEX-PF-17174-18-05-2024</v>
          </cell>
          <cell r="D1183">
            <v>45430</v>
          </cell>
          <cell r="E1183" t="str">
            <v>Raw Material</v>
          </cell>
          <cell r="F1183" t="str">
            <v>Closed</v>
          </cell>
          <cell r="G1183">
            <v>6.57</v>
          </cell>
        </row>
        <row r="1184">
          <cell r="C1184" t="str">
            <v>LPEX-PF-17178-18-05-2024</v>
          </cell>
          <cell r="D1184">
            <v>45430</v>
          </cell>
          <cell r="E1184" t="str">
            <v>Raw Material</v>
          </cell>
          <cell r="F1184" t="str">
            <v>Closed</v>
          </cell>
          <cell r="G1184">
            <v>1925.32</v>
          </cell>
        </row>
        <row r="1185">
          <cell r="C1185" t="str">
            <v>KPEX-PF-203176-20-05-2024</v>
          </cell>
          <cell r="D1185">
            <v>45432</v>
          </cell>
          <cell r="E1185" t="str">
            <v>Raw Material</v>
          </cell>
          <cell r="F1185" t="str">
            <v>Closed</v>
          </cell>
          <cell r="G1185">
            <v>114.425</v>
          </cell>
        </row>
        <row r="1186">
          <cell r="C1186" t="str">
            <v>KPEX-PF-197897-13-05-2024</v>
          </cell>
          <cell r="D1186">
            <v>45425</v>
          </cell>
          <cell r="E1186" t="str">
            <v>Raw Material</v>
          </cell>
          <cell r="F1186" t="str">
            <v>Closed</v>
          </cell>
          <cell r="G1186">
            <v>3748.1759999999999</v>
          </cell>
        </row>
        <row r="1187">
          <cell r="C1187" t="str">
            <v>KPEX-PF-197895-13-05-2024</v>
          </cell>
          <cell r="D1187">
            <v>45425</v>
          </cell>
          <cell r="E1187" t="str">
            <v>Raw Material</v>
          </cell>
          <cell r="F1187" t="str">
            <v>Closed</v>
          </cell>
          <cell r="G1187">
            <v>706.173</v>
          </cell>
        </row>
        <row r="1188">
          <cell r="C1188" t="str">
            <v>KPEX-PF-203809-21-05-2024</v>
          </cell>
          <cell r="D1188">
            <v>45433</v>
          </cell>
          <cell r="E1188" t="str">
            <v>Raw Material</v>
          </cell>
          <cell r="F1188" t="str">
            <v>-</v>
          </cell>
          <cell r="G1188">
            <v>7.56</v>
          </cell>
        </row>
        <row r="1189">
          <cell r="C1189" t="str">
            <v>KPEX-PF-205236-23-05-2024</v>
          </cell>
          <cell r="D1189">
            <v>45438</v>
          </cell>
          <cell r="E1189" t="str">
            <v>Raw Material</v>
          </cell>
          <cell r="F1189" t="str">
            <v>-</v>
          </cell>
          <cell r="G1189">
            <v>7484.35</v>
          </cell>
        </row>
        <row r="1190">
          <cell r="C1190" t="str">
            <v>KPEX-PF-206700-25-05-2024</v>
          </cell>
          <cell r="D1190">
            <v>45440</v>
          </cell>
          <cell r="E1190" t="str">
            <v>Raw Material</v>
          </cell>
          <cell r="F1190" t="str">
            <v>Closed</v>
          </cell>
          <cell r="G1190">
            <v>1503</v>
          </cell>
        </row>
        <row r="1191">
          <cell r="C1191" t="str">
            <v>KPEX-PF-206724-25-05-2024</v>
          </cell>
          <cell r="D1191">
            <v>45420</v>
          </cell>
          <cell r="E1191" t="str">
            <v>Raw Material</v>
          </cell>
          <cell r="F1191" t="str">
            <v>-</v>
          </cell>
          <cell r="G1191">
            <v>3764.855</v>
          </cell>
        </row>
        <row r="1192">
          <cell r="C1192" t="str">
            <v>KPEX-PF-206725-25-05-2024</v>
          </cell>
          <cell r="D1192">
            <v>45440</v>
          </cell>
          <cell r="E1192" t="str">
            <v>Raw Material</v>
          </cell>
          <cell r="F1192" t="str">
            <v>-</v>
          </cell>
          <cell r="G1192">
            <v>5624.6030000000001</v>
          </cell>
        </row>
        <row r="1193">
          <cell r="C1193" t="str">
            <v>KPPE-PF-259491-29-05-2024</v>
          </cell>
          <cell r="D1193">
            <v>45443</v>
          </cell>
          <cell r="E1193" t="str">
            <v>Raw Material</v>
          </cell>
          <cell r="F1193" t="str">
            <v>Closed</v>
          </cell>
          <cell r="G1193">
            <v>11760</v>
          </cell>
        </row>
        <row r="1194">
          <cell r="C1194" t="str">
            <v>HCSE-PF-2369-29-05-2024</v>
          </cell>
          <cell r="D1194">
            <v>45443</v>
          </cell>
          <cell r="E1194" t="str">
            <v>Raw Material</v>
          </cell>
          <cell r="F1194" t="str">
            <v>Closed</v>
          </cell>
          <cell r="G1194">
            <v>21400</v>
          </cell>
        </row>
        <row r="1195">
          <cell r="C1195" t="str">
            <v>HCSE-PF-2370-29-05-2024</v>
          </cell>
          <cell r="D1195">
            <v>45443</v>
          </cell>
          <cell r="E1195" t="str">
            <v>Raw Material</v>
          </cell>
          <cell r="F1195" t="str">
            <v>Closed</v>
          </cell>
          <cell r="G1195">
            <v>1800</v>
          </cell>
        </row>
        <row r="1196">
          <cell r="C1196" t="str">
            <v>FPEX-PF-4287-16-05-2024</v>
          </cell>
          <cell r="D1196">
            <v>45428</v>
          </cell>
          <cell r="E1196" t="str">
            <v>Raw Material</v>
          </cell>
          <cell r="F1196" t="str">
            <v>-</v>
          </cell>
          <cell r="G1196">
            <v>9072</v>
          </cell>
        </row>
        <row r="1197">
          <cell r="C1197" t="str">
            <v>HCSE-PF-2471-03-06-2024</v>
          </cell>
          <cell r="D1197">
            <v>45446</v>
          </cell>
          <cell r="E1197" t="str">
            <v>Raw Material</v>
          </cell>
          <cell r="F1197" t="str">
            <v>Closed</v>
          </cell>
          <cell r="G1197">
            <v>11000</v>
          </cell>
        </row>
        <row r="1198">
          <cell r="C1198" t="str">
            <v>LPEX-PF-19066-03-06-2024</v>
          </cell>
          <cell r="D1198">
            <v>45446</v>
          </cell>
          <cell r="E1198" t="str">
            <v>Raw Material</v>
          </cell>
          <cell r="F1198" t="str">
            <v>Closed</v>
          </cell>
          <cell r="G1198">
            <v>7423.65</v>
          </cell>
        </row>
        <row r="1199">
          <cell r="C1199" t="str">
            <v>KPEX-PF-213367-04-06-2024</v>
          </cell>
          <cell r="D1199">
            <v>45447</v>
          </cell>
          <cell r="E1199" t="str">
            <v>Raw Material</v>
          </cell>
          <cell r="F1199" t="str">
            <v>Closed</v>
          </cell>
          <cell r="G1199">
            <v>938.37199999999996</v>
          </cell>
        </row>
        <row r="1200">
          <cell r="C1200" t="str">
            <v>KPEX-PF-213370-04-06-2024</v>
          </cell>
          <cell r="D1200">
            <v>45447</v>
          </cell>
          <cell r="E1200" t="str">
            <v>Raw Material</v>
          </cell>
          <cell r="F1200" t="str">
            <v>Closed</v>
          </cell>
          <cell r="G1200">
            <v>2374.9830000000002</v>
          </cell>
        </row>
        <row r="1201">
          <cell r="C1201" t="str">
            <v>KPEX-PF-213372-04-06-2024</v>
          </cell>
          <cell r="D1201">
            <v>45447</v>
          </cell>
          <cell r="E1201" t="str">
            <v>Raw Material</v>
          </cell>
          <cell r="F1201" t="str">
            <v>Closed</v>
          </cell>
          <cell r="G1201">
            <v>428.24799999999999</v>
          </cell>
        </row>
        <row r="1202">
          <cell r="C1202" t="str">
            <v>PCSE-PF-710-06-06-2024</v>
          </cell>
          <cell r="D1202">
            <v>45449</v>
          </cell>
          <cell r="E1202" t="str">
            <v>Raw Material</v>
          </cell>
          <cell r="F1202" t="str">
            <v>-</v>
          </cell>
          <cell r="G1202">
            <v>45359.702400000002</v>
          </cell>
        </row>
        <row r="1203">
          <cell r="C1203" t="str">
            <v>KPEX-PF-214738-06-06-2024</v>
          </cell>
          <cell r="D1203">
            <v>45449</v>
          </cell>
          <cell r="E1203" t="str">
            <v>Raw Material</v>
          </cell>
          <cell r="F1203" t="str">
            <v>Closed</v>
          </cell>
          <cell r="G1203">
            <v>563</v>
          </cell>
        </row>
        <row r="1204">
          <cell r="C1204" t="str">
            <v>KPEX-PF-217704-11-06-2024</v>
          </cell>
          <cell r="D1204">
            <v>45454</v>
          </cell>
          <cell r="E1204" t="str">
            <v>Raw Material</v>
          </cell>
          <cell r="F1204" t="str">
            <v>Closed</v>
          </cell>
          <cell r="G1204">
            <v>1587.59</v>
          </cell>
        </row>
        <row r="1205">
          <cell r="C1205" t="str">
            <v>KPEX-PF-217707-11-06-2024</v>
          </cell>
          <cell r="D1205">
            <v>45454</v>
          </cell>
          <cell r="E1205" t="str">
            <v>Raw Material</v>
          </cell>
          <cell r="F1205" t="str">
            <v>Closed</v>
          </cell>
          <cell r="G1205">
            <v>1587.59</v>
          </cell>
        </row>
        <row r="1206">
          <cell r="C1206" t="str">
            <v>KPPE-PF-272567-11-06-2024</v>
          </cell>
          <cell r="D1206">
            <v>45454</v>
          </cell>
          <cell r="E1206" t="str">
            <v>Raw Material</v>
          </cell>
          <cell r="F1206" t="str">
            <v>Closed</v>
          </cell>
          <cell r="G1206">
            <v>148.35679999999999</v>
          </cell>
        </row>
        <row r="1207">
          <cell r="C1207" t="str">
            <v>KPPE-PF-272620-11-06-2024</v>
          </cell>
          <cell r="D1207">
            <v>45454</v>
          </cell>
          <cell r="E1207" t="str">
            <v>Raw Material</v>
          </cell>
          <cell r="F1207" t="str">
            <v>Closed</v>
          </cell>
          <cell r="G1207">
            <v>189.10810000000001</v>
          </cell>
        </row>
        <row r="1208">
          <cell r="C1208" t="str">
            <v>KPPE-PF-273411-12-06-2024</v>
          </cell>
          <cell r="D1208">
            <v>45455</v>
          </cell>
          <cell r="E1208" t="str">
            <v>Raw Material</v>
          </cell>
          <cell r="F1208" t="str">
            <v>Closed</v>
          </cell>
          <cell r="G1208">
            <v>5400</v>
          </cell>
        </row>
        <row r="1209">
          <cell r="C1209" t="str">
            <v>PQEB-PF-835-11-06-2024</v>
          </cell>
          <cell r="D1209">
            <v>45454</v>
          </cell>
          <cell r="E1209" t="str">
            <v>Packing Material</v>
          </cell>
          <cell r="F1209" t="str">
            <v>Closed</v>
          </cell>
          <cell r="G1209">
            <v>11936</v>
          </cell>
        </row>
        <row r="1210">
          <cell r="C1210" t="str">
            <v>KPEX-PF-219975-13-06-2024</v>
          </cell>
          <cell r="D1210">
            <v>45456</v>
          </cell>
          <cell r="E1210" t="str">
            <v>Raw Material</v>
          </cell>
          <cell r="F1210" t="str">
            <v>Closed</v>
          </cell>
          <cell r="G1210">
            <v>11459</v>
          </cell>
        </row>
        <row r="1211">
          <cell r="C1211" t="str">
            <v>KPPE-PF-276187-14-06-2024</v>
          </cell>
          <cell r="D1211">
            <v>45457</v>
          </cell>
          <cell r="E1211" t="str">
            <v>Packing Material</v>
          </cell>
          <cell r="F1211" t="str">
            <v>Closed</v>
          </cell>
          <cell r="G1211">
            <v>527</v>
          </cell>
        </row>
        <row r="1212">
          <cell r="C1212" t="str">
            <v>PQEB-PF-855-20-06-2024</v>
          </cell>
          <cell r="D1212">
            <v>45463</v>
          </cell>
          <cell r="E1212" t="str">
            <v>Packing Material</v>
          </cell>
          <cell r="F1212" t="str">
            <v>Closed</v>
          </cell>
          <cell r="G1212">
            <v>1591</v>
          </cell>
        </row>
        <row r="1213">
          <cell r="C1213" t="str">
            <v>GWDE-PF-170-20-06-2024</v>
          </cell>
          <cell r="D1213">
            <v>45463</v>
          </cell>
          <cell r="E1213" t="str">
            <v>Raw Material</v>
          </cell>
          <cell r="F1213" t="str">
            <v>-</v>
          </cell>
          <cell r="G1213">
            <v>13471.92</v>
          </cell>
        </row>
        <row r="1214">
          <cell r="C1214" t="str">
            <v>GWDE-PF-171-20-06-2024</v>
          </cell>
          <cell r="D1214">
            <v>45463</v>
          </cell>
          <cell r="E1214" t="str">
            <v>Raw Material</v>
          </cell>
          <cell r="F1214" t="str">
            <v>-</v>
          </cell>
          <cell r="G1214">
            <v>12020.4</v>
          </cell>
        </row>
        <row r="1215">
          <cell r="C1215" t="str">
            <v>PQEB-PF-859-20-06-2024</v>
          </cell>
          <cell r="D1215">
            <v>45463</v>
          </cell>
          <cell r="E1215" t="str">
            <v>Packing Material</v>
          </cell>
          <cell r="F1215" t="str">
            <v>Closed</v>
          </cell>
          <cell r="G1215">
            <v>12997</v>
          </cell>
        </row>
        <row r="1216">
          <cell r="C1216" t="str">
            <v>LPEX-PF-17738-22-05-2024</v>
          </cell>
          <cell r="D1216">
            <v>45434</v>
          </cell>
          <cell r="E1216" t="str">
            <v>Raw Material</v>
          </cell>
          <cell r="F1216" t="str">
            <v>Closed</v>
          </cell>
          <cell r="G1216">
            <v>22648</v>
          </cell>
        </row>
        <row r="1217">
          <cell r="C1217" t="str">
            <v>LPEX-PF-17745-22-05-2024</v>
          </cell>
          <cell r="D1217">
            <v>45434</v>
          </cell>
          <cell r="E1217" t="str">
            <v>Raw Material</v>
          </cell>
          <cell r="F1217" t="str">
            <v>Closed</v>
          </cell>
          <cell r="G1217">
            <v>5959</v>
          </cell>
        </row>
        <row r="1218">
          <cell r="C1218" t="str">
            <v>LPEX-PF-15809-09-05-2024</v>
          </cell>
          <cell r="D1218">
            <v>45421</v>
          </cell>
          <cell r="E1218" t="str">
            <v>Raw Material</v>
          </cell>
          <cell r="F1218" t="str">
            <v>Closed</v>
          </cell>
          <cell r="G1218">
            <v>28346</v>
          </cell>
        </row>
        <row r="1219">
          <cell r="C1219" t="str">
            <v>LPEX-PF-19922-11-06-2024</v>
          </cell>
          <cell r="D1219">
            <v>45454</v>
          </cell>
          <cell r="E1219" t="str">
            <v>Raw Material</v>
          </cell>
          <cell r="F1219" t="str">
            <v>Closed</v>
          </cell>
          <cell r="G1219">
            <v>48.79</v>
          </cell>
        </row>
        <row r="1220">
          <cell r="C1220" t="str">
            <v>LPEX-PF-19923-11-06-2024</v>
          </cell>
          <cell r="D1220">
            <v>45454</v>
          </cell>
          <cell r="E1220" t="str">
            <v>Raw Material</v>
          </cell>
          <cell r="F1220" t="str">
            <v>Closed</v>
          </cell>
          <cell r="G1220">
            <v>1067.98</v>
          </cell>
        </row>
        <row r="1221">
          <cell r="C1221" t="str">
            <v>KPEX-PF-218629-12-06-2024</v>
          </cell>
          <cell r="D1221">
            <v>45455</v>
          </cell>
          <cell r="E1221" t="str">
            <v>Raw Material</v>
          </cell>
          <cell r="F1221" t="str">
            <v>-</v>
          </cell>
          <cell r="G1221">
            <v>9071.94</v>
          </cell>
        </row>
        <row r="1222">
          <cell r="C1222" t="str">
            <v>HCSE-PF-2661-12-06-2024</v>
          </cell>
          <cell r="D1222">
            <v>45455</v>
          </cell>
          <cell r="E1222" t="str">
            <v>Raw Material</v>
          </cell>
          <cell r="F1222" t="str">
            <v>Closed</v>
          </cell>
          <cell r="G1222">
            <v>240</v>
          </cell>
        </row>
        <row r="1223">
          <cell r="C1223" t="str">
            <v>HCSE-PF-2660-12-06-2024</v>
          </cell>
          <cell r="D1223">
            <v>45455</v>
          </cell>
          <cell r="E1223" t="str">
            <v>Raw Material</v>
          </cell>
          <cell r="F1223" t="str">
            <v>Closed</v>
          </cell>
          <cell r="G1223">
            <v>5600</v>
          </cell>
        </row>
        <row r="1224">
          <cell r="C1224" t="str">
            <v>KPPE-PF-282531-26-06-2024</v>
          </cell>
          <cell r="D1224">
            <v>45469</v>
          </cell>
          <cell r="E1224" t="str">
            <v>Raw Material</v>
          </cell>
          <cell r="F1224" t="str">
            <v>Closed</v>
          </cell>
          <cell r="G1224">
            <v>3584</v>
          </cell>
        </row>
        <row r="1225">
          <cell r="C1225" t="str">
            <v>KPPE-PF-282570-26-06-2024</v>
          </cell>
          <cell r="D1225">
            <v>45469</v>
          </cell>
          <cell r="E1225" t="str">
            <v>Raw Material</v>
          </cell>
          <cell r="F1225" t="str">
            <v>Running</v>
          </cell>
          <cell r="G1225">
            <v>4621</v>
          </cell>
        </row>
        <row r="1226">
          <cell r="C1226" t="str">
            <v>LPEX-PF-21049-25-06-2024</v>
          </cell>
          <cell r="D1226">
            <v>45468</v>
          </cell>
          <cell r="E1226" t="str">
            <v>Raw Material</v>
          </cell>
          <cell r="F1226" t="str">
            <v>Closed</v>
          </cell>
          <cell r="G1226">
            <v>181.99</v>
          </cell>
        </row>
        <row r="1227">
          <cell r="C1227" t="str">
            <v>LPEX-PF-21051-25-06-2024</v>
          </cell>
          <cell r="D1227">
            <v>45468</v>
          </cell>
          <cell r="E1227" t="str">
            <v>Raw Material</v>
          </cell>
          <cell r="F1227" t="str">
            <v>Closed</v>
          </cell>
          <cell r="G1227">
            <v>1597.26</v>
          </cell>
        </row>
        <row r="1228">
          <cell r="C1228" t="str">
            <v>KPPE-PF-284294-28-06-2024</v>
          </cell>
          <cell r="D1228">
            <v>45471</v>
          </cell>
          <cell r="E1228" t="str">
            <v>Packing Material</v>
          </cell>
          <cell r="F1228" t="str">
            <v>Closed</v>
          </cell>
          <cell r="G1228">
            <v>698.33</v>
          </cell>
        </row>
        <row r="1229">
          <cell r="C1229" t="str">
            <v>KPEX-PF-227108-28-06-2024</v>
          </cell>
          <cell r="D1229">
            <v>45471</v>
          </cell>
          <cell r="E1229" t="str">
            <v>Raw Material</v>
          </cell>
          <cell r="F1229" t="str">
            <v>Closed</v>
          </cell>
          <cell r="G1229">
            <v>8606</v>
          </cell>
        </row>
        <row r="1230">
          <cell r="C1230" t="str">
            <v>KPEX-PF-227079-28-06-2024</v>
          </cell>
          <cell r="D1230">
            <v>45471</v>
          </cell>
          <cell r="E1230" t="str">
            <v>Raw Material</v>
          </cell>
          <cell r="F1230" t="str">
            <v>Closed</v>
          </cell>
          <cell r="G1230">
            <v>5197</v>
          </cell>
        </row>
        <row r="1231">
          <cell r="C1231" t="str">
            <v>LPEX-PF-21646-29-06-2024</v>
          </cell>
          <cell r="D1231">
            <v>45472</v>
          </cell>
          <cell r="E1231" t="str">
            <v>Raw Material</v>
          </cell>
          <cell r="F1231" t="str">
            <v>Running</v>
          </cell>
          <cell r="G1231">
            <v>9071.94</v>
          </cell>
        </row>
        <row r="1232">
          <cell r="C1232" t="str">
            <v>HCSE-PF-2865-26-06-2024</v>
          </cell>
          <cell r="D1232">
            <v>45469</v>
          </cell>
          <cell r="E1232" t="str">
            <v>Raw Material</v>
          </cell>
          <cell r="F1232" t="str">
            <v>Closed</v>
          </cell>
          <cell r="G1232">
            <v>5000</v>
          </cell>
        </row>
        <row r="1233">
          <cell r="C1233" t="str">
            <v>HCSE-PF-2866-26-06-2024</v>
          </cell>
          <cell r="D1233">
            <v>45469</v>
          </cell>
          <cell r="E1233" t="str">
            <v>Raw Material</v>
          </cell>
          <cell r="F1233" t="str">
            <v>Closed</v>
          </cell>
          <cell r="G1233">
            <v>5000</v>
          </cell>
        </row>
        <row r="1234">
          <cell r="C1234" t="str">
            <v>HCSE-PF-2773-24-06-2024</v>
          </cell>
          <cell r="D1234">
            <v>45467</v>
          </cell>
          <cell r="E1234" t="str">
            <v>Raw Material</v>
          </cell>
          <cell r="F1234" t="str">
            <v>Closed</v>
          </cell>
          <cell r="G1234">
            <v>1080</v>
          </cell>
        </row>
        <row r="1235">
          <cell r="C1235" t="str">
            <v>KPEX-PF-224799-25-06-2024</v>
          </cell>
          <cell r="D1235">
            <v>45468</v>
          </cell>
          <cell r="E1235" t="str">
            <v>Raw Material</v>
          </cell>
          <cell r="F1235" t="str">
            <v>-</v>
          </cell>
          <cell r="G1235">
            <v>90.72</v>
          </cell>
        </row>
        <row r="1236">
          <cell r="C1236" t="str">
            <v>KPEX-PF-224811-25-06-2024</v>
          </cell>
          <cell r="D1236">
            <v>45468</v>
          </cell>
          <cell r="E1236" t="str">
            <v>Raw Material</v>
          </cell>
          <cell r="F1236" t="str">
            <v>-</v>
          </cell>
          <cell r="G1236">
            <v>7983.31</v>
          </cell>
        </row>
        <row r="1237">
          <cell r="C1237" t="str">
            <v>KPEX-PF-228386-29-06-2024</v>
          </cell>
          <cell r="D1237">
            <v>45472</v>
          </cell>
          <cell r="E1237" t="str">
            <v>Raw Material</v>
          </cell>
          <cell r="F1237" t="str">
            <v>Closed</v>
          </cell>
          <cell r="G1237">
            <v>32.799999999999997</v>
          </cell>
        </row>
        <row r="1238">
          <cell r="C1238" t="str">
            <v>KPEX-PF-5405-09-07-2024</v>
          </cell>
          <cell r="D1238">
            <v>45482</v>
          </cell>
          <cell r="E1238" t="str">
            <v>Raw Material</v>
          </cell>
          <cell r="F1238" t="str">
            <v>Closed</v>
          </cell>
          <cell r="G1238">
            <v>3346</v>
          </cell>
        </row>
        <row r="1239">
          <cell r="C1239" t="str">
            <v>KPEX-PF-5373-09-07-2024</v>
          </cell>
          <cell r="D1239">
            <v>45482</v>
          </cell>
          <cell r="E1239" t="str">
            <v>Raw Material</v>
          </cell>
          <cell r="F1239" t="str">
            <v>Closed</v>
          </cell>
          <cell r="G1239">
            <v>169</v>
          </cell>
        </row>
        <row r="1240">
          <cell r="C1240" t="str">
            <v>KPEX-PF-4596-08-07-2024</v>
          </cell>
          <cell r="D1240">
            <v>45481</v>
          </cell>
          <cell r="E1240" t="str">
            <v>Raw Material</v>
          </cell>
          <cell r="F1240" t="str">
            <v>-</v>
          </cell>
          <cell r="G1240">
            <v>3447.34</v>
          </cell>
        </row>
        <row r="1241">
          <cell r="C1241" t="str">
            <v>MCSE-PF-116-03-07-2024</v>
          </cell>
          <cell r="D1241">
            <v>45476</v>
          </cell>
          <cell r="E1241" t="str">
            <v>Raw Material</v>
          </cell>
          <cell r="F1241" t="str">
            <v>Closed</v>
          </cell>
          <cell r="G1241">
            <v>7530</v>
          </cell>
        </row>
        <row r="1242">
          <cell r="C1242" t="str">
            <v>LPEX-PF-756-08-07-2024</v>
          </cell>
          <cell r="D1242">
            <v>45481</v>
          </cell>
          <cell r="E1242" t="str">
            <v>Raw Material</v>
          </cell>
          <cell r="F1242" t="str">
            <v>Closed</v>
          </cell>
          <cell r="G1242">
            <v>20103</v>
          </cell>
        </row>
        <row r="1243">
          <cell r="C1243" t="str">
            <v>LPEX-PF-758-08-07-2024</v>
          </cell>
          <cell r="D1243">
            <v>45481</v>
          </cell>
          <cell r="E1243" t="str">
            <v>Raw Material</v>
          </cell>
          <cell r="F1243" t="str">
            <v>-</v>
          </cell>
          <cell r="G1243">
            <v>3686</v>
          </cell>
        </row>
        <row r="1244">
          <cell r="C1244" t="str">
            <v>LPEX-PF-762-08-07-2024</v>
          </cell>
          <cell r="D1244">
            <v>45481</v>
          </cell>
          <cell r="E1244" t="str">
            <v>Raw Material</v>
          </cell>
          <cell r="F1244" t="str">
            <v>Running</v>
          </cell>
          <cell r="G1244">
            <v>6106</v>
          </cell>
        </row>
        <row r="1245">
          <cell r="C1245" t="str">
            <v>LPEX-PF-767-08-07-2024</v>
          </cell>
          <cell r="D1245">
            <v>45481</v>
          </cell>
          <cell r="E1245" t="str">
            <v>Raw Material</v>
          </cell>
          <cell r="F1245" t="str">
            <v>-</v>
          </cell>
          <cell r="G1245">
            <v>22129</v>
          </cell>
        </row>
        <row r="1246">
          <cell r="C1246" t="str">
            <v>LPEX-PF-771-08-07-2024</v>
          </cell>
          <cell r="D1246">
            <v>45481</v>
          </cell>
          <cell r="E1246" t="str">
            <v>Raw Material</v>
          </cell>
          <cell r="F1246" t="str">
            <v>-</v>
          </cell>
          <cell r="G1246">
            <v>11163</v>
          </cell>
        </row>
        <row r="1247">
          <cell r="C1247" t="str">
            <v>KPEX-PF-7177-11-07-2024</v>
          </cell>
          <cell r="D1247">
            <v>45484</v>
          </cell>
          <cell r="E1247" t="str">
            <v>Raw Material</v>
          </cell>
          <cell r="F1247" t="str">
            <v>Closed</v>
          </cell>
          <cell r="G1247">
            <v>996.35199999999998</v>
          </cell>
        </row>
        <row r="1248">
          <cell r="C1248" t="str">
            <v>KPEX-PF-7210-11-07-2024</v>
          </cell>
          <cell r="D1248">
            <v>45484</v>
          </cell>
          <cell r="E1248" t="str">
            <v>Raw Material</v>
          </cell>
          <cell r="F1248" t="str">
            <v>Closed</v>
          </cell>
          <cell r="G1248">
            <v>135.91800000000001</v>
          </cell>
        </row>
        <row r="1249">
          <cell r="C1249" t="str">
            <v>KPEX-PF-7211-11-07-2024</v>
          </cell>
          <cell r="D1249">
            <v>45484</v>
          </cell>
          <cell r="E1249" t="str">
            <v>Raw Material</v>
          </cell>
          <cell r="F1249" t="str">
            <v>Running</v>
          </cell>
          <cell r="G1249">
            <v>129.54900000000001</v>
          </cell>
        </row>
        <row r="1250">
          <cell r="C1250" t="str">
            <v>KPEX-PF-6260-10-07-2024</v>
          </cell>
          <cell r="D1250">
            <v>45483</v>
          </cell>
          <cell r="E1250" t="str">
            <v>Raw Material</v>
          </cell>
          <cell r="F1250" t="str">
            <v>-</v>
          </cell>
          <cell r="G1250">
            <v>3628.78</v>
          </cell>
        </row>
        <row r="1251">
          <cell r="C1251" t="str">
            <v>KPEX-PF-6272-10-07-2024</v>
          </cell>
          <cell r="D1251">
            <v>45483</v>
          </cell>
          <cell r="E1251" t="str">
            <v>Raw Material</v>
          </cell>
          <cell r="F1251" t="str">
            <v>-</v>
          </cell>
          <cell r="G1251">
            <v>2220.73</v>
          </cell>
        </row>
        <row r="1252">
          <cell r="C1252" t="str">
            <v>LPEX-PF-1389-11-07-2024</v>
          </cell>
          <cell r="D1252">
            <v>45484</v>
          </cell>
          <cell r="E1252" t="str">
            <v>Raw Material</v>
          </cell>
          <cell r="F1252" t="str">
            <v>Closed</v>
          </cell>
          <cell r="G1252">
            <v>18779</v>
          </cell>
        </row>
        <row r="1253">
          <cell r="C1253" t="str">
            <v>LPEX-PF-1392-11-07-2024</v>
          </cell>
          <cell r="D1253">
            <v>45484</v>
          </cell>
          <cell r="E1253" t="str">
            <v>Raw Material</v>
          </cell>
          <cell r="F1253" t="str">
            <v>Closed</v>
          </cell>
          <cell r="G1253">
            <v>11028</v>
          </cell>
        </row>
        <row r="1254">
          <cell r="C1254" t="str">
            <v>LPEX-PF-20009-11-06-2024</v>
          </cell>
          <cell r="D1254">
            <v>45484</v>
          </cell>
          <cell r="E1254" t="str">
            <v>Raw Material</v>
          </cell>
          <cell r="F1254" t="str">
            <v>-</v>
          </cell>
          <cell r="G1254">
            <v>2086.5463</v>
          </cell>
        </row>
        <row r="1255">
          <cell r="C1255" t="str">
            <v>LPEX-PF-924-09-07-2024</v>
          </cell>
          <cell r="D1255">
            <v>45482</v>
          </cell>
          <cell r="E1255" t="str">
            <v>Raw Material</v>
          </cell>
          <cell r="F1255" t="str">
            <v>Running</v>
          </cell>
          <cell r="G1255">
            <v>15067.1324</v>
          </cell>
        </row>
        <row r="1256">
          <cell r="C1256" t="str">
            <v>KPEX-PF-9832-15-07-2024</v>
          </cell>
          <cell r="D1256">
            <v>45488</v>
          </cell>
          <cell r="E1256" t="str">
            <v>Raw Material</v>
          </cell>
          <cell r="F1256" t="str">
            <v>Running</v>
          </cell>
          <cell r="G1256">
            <v>6441.0780000000004</v>
          </cell>
        </row>
        <row r="1257">
          <cell r="C1257" t="str">
            <v>KPEX-PF-9840-15-07-2024</v>
          </cell>
          <cell r="D1257">
            <v>45488</v>
          </cell>
          <cell r="E1257" t="str">
            <v>Raw Material</v>
          </cell>
          <cell r="F1257" t="str">
            <v>-</v>
          </cell>
          <cell r="G1257">
            <v>3265.8989999999999</v>
          </cell>
        </row>
        <row r="1258">
          <cell r="C1258" t="str">
            <v>LPEX-PF-1628-15-07-2024</v>
          </cell>
          <cell r="D1258">
            <v>45488</v>
          </cell>
          <cell r="E1258" t="str">
            <v>Raw Material</v>
          </cell>
          <cell r="F1258" t="str">
            <v>Running</v>
          </cell>
          <cell r="G1258">
            <v>15694.46</v>
          </cell>
        </row>
        <row r="1259">
          <cell r="C1259" t="str">
            <v>LPEX-PF-1446-12-07-2024</v>
          </cell>
          <cell r="D1259">
            <v>45485</v>
          </cell>
          <cell r="E1259" t="str">
            <v>Raw Material</v>
          </cell>
          <cell r="F1259" t="str">
            <v>-</v>
          </cell>
          <cell r="G1259">
            <v>2313.3447999999999</v>
          </cell>
        </row>
        <row r="1260">
          <cell r="C1260" t="str">
            <v>LPEX-PF-1506-12-07-2024</v>
          </cell>
          <cell r="D1260">
            <v>45485</v>
          </cell>
          <cell r="E1260" t="str">
            <v>Raw Material</v>
          </cell>
          <cell r="F1260" t="str">
            <v>Closed</v>
          </cell>
          <cell r="G1260">
            <v>2.59</v>
          </cell>
        </row>
        <row r="1261">
          <cell r="C1261" t="str">
            <v>LPEX-PF-1507-12-07-2024</v>
          </cell>
          <cell r="D1261">
            <v>45485</v>
          </cell>
          <cell r="E1261" t="str">
            <v>Raw Material</v>
          </cell>
          <cell r="F1261" t="str">
            <v>Running</v>
          </cell>
          <cell r="G1261">
            <v>923.36</v>
          </cell>
        </row>
        <row r="1262">
          <cell r="C1262" t="str">
            <v>KPEX-PF-10162-15-07-2024</v>
          </cell>
          <cell r="D1262">
            <v>45488</v>
          </cell>
          <cell r="E1262" t="str">
            <v>Raw Material</v>
          </cell>
          <cell r="F1262" t="str">
            <v>Closed</v>
          </cell>
          <cell r="G1262">
            <v>188.18</v>
          </cell>
        </row>
        <row r="1263">
          <cell r="C1263" t="str">
            <v>LPEX-PF-1643-15-07-2024</v>
          </cell>
          <cell r="D1263">
            <v>45488</v>
          </cell>
          <cell r="E1263" t="str">
            <v>Raw Material</v>
          </cell>
          <cell r="F1263" t="str">
            <v>Closed</v>
          </cell>
          <cell r="G1263">
            <v>449</v>
          </cell>
        </row>
        <row r="1264">
          <cell r="C1264" t="str">
            <v>KPPE-PF-16017-20-07-2024</v>
          </cell>
          <cell r="D1264">
            <v>45493</v>
          </cell>
          <cell r="E1264" t="str">
            <v>Raw Material</v>
          </cell>
          <cell r="F1264" t="str">
            <v>Running</v>
          </cell>
          <cell r="G1264">
            <v>90.96</v>
          </cell>
        </row>
        <row r="1265">
          <cell r="C1265" t="str">
            <v>FPEX-PF-5104-21-06-2024</v>
          </cell>
          <cell r="D1265">
            <v>45464</v>
          </cell>
          <cell r="E1265" t="str">
            <v>Raw Material</v>
          </cell>
          <cell r="F1265" t="str">
            <v>-</v>
          </cell>
          <cell r="G1265">
            <v>9072</v>
          </cell>
        </row>
        <row r="1266">
          <cell r="C1266" t="str">
            <v>LPEX-PF-16333-13-05-2024</v>
          </cell>
          <cell r="D1266">
            <v>45425</v>
          </cell>
          <cell r="E1266" t="str">
            <v>Raw Material</v>
          </cell>
          <cell r="F1266" t="str">
            <v>Closed</v>
          </cell>
          <cell r="G1266">
            <v>5615.06</v>
          </cell>
        </row>
        <row r="1267">
          <cell r="C1267" t="str">
            <v>LPEX-PF-16336-13-05-2024</v>
          </cell>
          <cell r="D1267">
            <v>45425</v>
          </cell>
          <cell r="E1267" t="str">
            <v>Raw Material</v>
          </cell>
          <cell r="F1267" t="str">
            <v>Closed</v>
          </cell>
          <cell r="G1267">
            <v>15721.94</v>
          </cell>
        </row>
        <row r="1268">
          <cell r="C1268" t="str">
            <v>LPEX-PF-16350-13-05-2024</v>
          </cell>
          <cell r="D1268">
            <v>45425</v>
          </cell>
          <cell r="E1268" t="str">
            <v>Raw Material</v>
          </cell>
          <cell r="F1268" t="str">
            <v>Closed</v>
          </cell>
          <cell r="G1268">
            <v>15802</v>
          </cell>
        </row>
        <row r="1269">
          <cell r="C1269" t="str">
            <v>LPEX-PF-17864-23-05-2024</v>
          </cell>
          <cell r="D1269">
            <v>45435</v>
          </cell>
          <cell r="E1269" t="str">
            <v>Raw Material</v>
          </cell>
          <cell r="F1269" t="str">
            <v>Closed</v>
          </cell>
          <cell r="G1269">
            <v>20275</v>
          </cell>
        </row>
        <row r="1270">
          <cell r="C1270" t="str">
            <v>LPEX-PF-17866-23-05-2024</v>
          </cell>
          <cell r="D1270">
            <v>45435</v>
          </cell>
          <cell r="E1270" t="str">
            <v>Raw Material</v>
          </cell>
          <cell r="F1270" t="str">
            <v>Closed</v>
          </cell>
          <cell r="G1270">
            <v>977.21</v>
          </cell>
        </row>
        <row r="1271">
          <cell r="C1271" t="str">
            <v>LPEX-PF-17868-23-05-2024</v>
          </cell>
          <cell r="D1271">
            <v>45435</v>
          </cell>
          <cell r="E1271" t="str">
            <v>Raw Material</v>
          </cell>
          <cell r="F1271" t="str">
            <v>Closed</v>
          </cell>
          <cell r="G1271">
            <v>19621.79</v>
          </cell>
        </row>
        <row r="1272">
          <cell r="C1272" t="str">
            <v>LPEX-PF-18515-30-05-2024</v>
          </cell>
          <cell r="D1272">
            <v>45442</v>
          </cell>
          <cell r="E1272" t="str">
            <v>Raw Material</v>
          </cell>
          <cell r="F1272" t="str">
            <v>Closed</v>
          </cell>
          <cell r="G1272">
            <v>832</v>
          </cell>
        </row>
        <row r="1273">
          <cell r="C1273" t="str">
            <v>LPEX-PF-18518-30-05-2024</v>
          </cell>
          <cell r="D1273">
            <v>45442</v>
          </cell>
          <cell r="E1273" t="str">
            <v>Raw Material</v>
          </cell>
          <cell r="F1273" t="str">
            <v>Closed</v>
          </cell>
          <cell r="G1273">
            <v>5282</v>
          </cell>
        </row>
        <row r="1274">
          <cell r="C1274" t="str">
            <v>HCSE-PF-74-09-07-2024</v>
          </cell>
          <cell r="D1274">
            <v>45482</v>
          </cell>
          <cell r="E1274" t="str">
            <v>Raw Material</v>
          </cell>
          <cell r="F1274" t="str">
            <v>Closed</v>
          </cell>
          <cell r="G1274">
            <v>5000</v>
          </cell>
        </row>
        <row r="1275">
          <cell r="C1275" t="str">
            <v>HCSE-PF-150-13-07-2024</v>
          </cell>
          <cell r="D1275">
            <v>45486</v>
          </cell>
          <cell r="E1275" t="str">
            <v>Raw Material</v>
          </cell>
          <cell r="F1275" t="str">
            <v>Closed</v>
          </cell>
          <cell r="G1275">
            <v>4000</v>
          </cell>
        </row>
        <row r="1276">
          <cell r="C1276" t="str">
            <v>HCSE-PF-151-13-07-2024</v>
          </cell>
          <cell r="D1276">
            <v>45486</v>
          </cell>
          <cell r="E1276" t="str">
            <v>Raw Material</v>
          </cell>
          <cell r="F1276" t="str">
            <v>Closed</v>
          </cell>
          <cell r="G1276">
            <v>5000</v>
          </cell>
        </row>
        <row r="1277">
          <cell r="C1277" t="str">
            <v>PCSE-PF-51-24-08-2024</v>
          </cell>
          <cell r="D1277">
            <v>45528</v>
          </cell>
          <cell r="E1277" t="str">
            <v>Raw Material</v>
          </cell>
          <cell r="F1277" t="str">
            <v>-</v>
          </cell>
          <cell r="G1277">
            <v>317.5179</v>
          </cell>
        </row>
        <row r="1278">
          <cell r="C1278" t="str">
            <v>PCSE-PF-52-24-08-2024</v>
          </cell>
          <cell r="D1278">
            <v>45528</v>
          </cell>
          <cell r="E1278" t="str">
            <v>Raw Material</v>
          </cell>
          <cell r="F1278" t="str">
            <v>-</v>
          </cell>
          <cell r="G1278">
            <v>18148.4169</v>
          </cell>
        </row>
        <row r="1279">
          <cell r="C1279" t="str">
            <v>PCSE-PF-53-24-08-2024</v>
          </cell>
          <cell r="D1279">
            <v>45528</v>
          </cell>
          <cell r="E1279" t="str">
            <v>Raw Material</v>
          </cell>
          <cell r="F1279" t="str">
            <v>-</v>
          </cell>
          <cell r="G1279">
            <v>13562.550999999999</v>
          </cell>
        </row>
        <row r="1280">
          <cell r="C1280" t="str">
            <v>PCSE-PF-54-24-08-2024</v>
          </cell>
          <cell r="D1280">
            <v>45528</v>
          </cell>
          <cell r="E1280" t="str">
            <v>Raw Material</v>
          </cell>
          <cell r="F1280" t="str">
            <v>-</v>
          </cell>
          <cell r="G1280">
            <v>408.2373</v>
          </cell>
        </row>
        <row r="1281">
          <cell r="C1281" t="str">
            <v>PCSE-PF-55-24-08-2024</v>
          </cell>
          <cell r="D1281">
            <v>45528</v>
          </cell>
          <cell r="E1281" t="str">
            <v>Raw Material</v>
          </cell>
          <cell r="F1281" t="str">
            <v>-</v>
          </cell>
          <cell r="G1281">
            <v>1496.8702000000001</v>
          </cell>
        </row>
        <row r="1282">
          <cell r="C1282" t="str">
            <v>PCSE-PF-56-24-08-2024</v>
          </cell>
          <cell r="D1282">
            <v>45528</v>
          </cell>
          <cell r="E1282" t="str">
            <v>Raw Material</v>
          </cell>
          <cell r="F1282" t="str">
            <v>-</v>
          </cell>
          <cell r="G1282">
            <v>24811.7572</v>
          </cell>
        </row>
        <row r="1283">
          <cell r="C1283" t="str">
            <v>PCSE-PF-57-24-08-2024</v>
          </cell>
          <cell r="D1283">
            <v>45528</v>
          </cell>
          <cell r="E1283" t="str">
            <v>Raw Material</v>
          </cell>
          <cell r="F1283" t="str">
            <v>-</v>
          </cell>
          <cell r="G1283">
            <v>7575.0703000000003</v>
          </cell>
        </row>
        <row r="1284">
          <cell r="C1284" t="str">
            <v>PCSE-PF-58-24-08-2024</v>
          </cell>
          <cell r="D1284">
            <v>45528</v>
          </cell>
          <cell r="E1284" t="str">
            <v>Raw Material</v>
          </cell>
          <cell r="F1284" t="str">
            <v>-</v>
          </cell>
          <cell r="G1284">
            <v>3991.6538</v>
          </cell>
        </row>
        <row r="1285">
          <cell r="C1285" t="str">
            <v>PCSE-PF-59-24-08-2024</v>
          </cell>
          <cell r="D1285">
            <v>45528</v>
          </cell>
          <cell r="E1285" t="str">
            <v>Raw Material</v>
          </cell>
          <cell r="F1285" t="str">
            <v>-</v>
          </cell>
          <cell r="G1285">
            <v>907.19399999999996</v>
          </cell>
        </row>
        <row r="1286">
          <cell r="C1286" t="str">
            <v>PCSE-PF-60-24-08-2024</v>
          </cell>
          <cell r="D1286">
            <v>45528</v>
          </cell>
          <cell r="E1286" t="str">
            <v>Raw Material</v>
          </cell>
          <cell r="F1286" t="str">
            <v>Running</v>
          </cell>
          <cell r="G1286">
            <v>34019.7768</v>
          </cell>
        </row>
        <row r="1287">
          <cell r="C1287" t="str">
            <v>PCSE-PF-61-24-08-2024</v>
          </cell>
          <cell r="D1287">
            <v>45528</v>
          </cell>
          <cell r="E1287" t="str">
            <v>Raw Material</v>
          </cell>
          <cell r="F1287" t="str">
            <v>Closed</v>
          </cell>
          <cell r="G1287">
            <v>5987.4807000000001</v>
          </cell>
        </row>
        <row r="1288">
          <cell r="C1288" t="str">
            <v>PCSE-PF-62-24-08-2024</v>
          </cell>
          <cell r="D1288">
            <v>45528</v>
          </cell>
          <cell r="E1288" t="str">
            <v>Raw Material</v>
          </cell>
          <cell r="F1288" t="str">
            <v>-</v>
          </cell>
          <cell r="G1288">
            <v>22725.210899999998</v>
          </cell>
        </row>
        <row r="1289">
          <cell r="C1289" t="str">
            <v>PCSE-PF-63-24-08-2024</v>
          </cell>
          <cell r="D1289">
            <v>45528</v>
          </cell>
          <cell r="E1289" t="str">
            <v>Raw Material</v>
          </cell>
          <cell r="F1289" t="str">
            <v>-</v>
          </cell>
          <cell r="G1289">
            <v>104327.3156</v>
          </cell>
        </row>
        <row r="1290">
          <cell r="C1290" t="str">
            <v>PCSE-PF-64-24-08-2024</v>
          </cell>
          <cell r="D1290">
            <v>45528</v>
          </cell>
          <cell r="E1290" t="str">
            <v>Raw Material</v>
          </cell>
          <cell r="F1290" t="str">
            <v>-</v>
          </cell>
          <cell r="G1290">
            <v>4263.8119999999999</v>
          </cell>
        </row>
        <row r="1291">
          <cell r="C1291" t="str">
            <v>HCSE-PF-383-16-08-2024</v>
          </cell>
          <cell r="D1291">
            <v>45520</v>
          </cell>
          <cell r="E1291" t="str">
            <v>Raw Material</v>
          </cell>
          <cell r="F1291" t="str">
            <v>Closed</v>
          </cell>
          <cell r="G1291">
            <v>10000</v>
          </cell>
        </row>
        <row r="1292">
          <cell r="C1292" t="str">
            <v>HCSE-PF-392-21-08-2024</v>
          </cell>
          <cell r="D1292">
            <v>45525</v>
          </cell>
          <cell r="E1292" t="str">
            <v>Raw Material</v>
          </cell>
          <cell r="F1292" t="str">
            <v>Running</v>
          </cell>
          <cell r="G1292">
            <v>1000</v>
          </cell>
        </row>
        <row r="1311">
          <cell r="C1311" t="str">
            <v>KAPE-EB-60624-13-03-2024</v>
          </cell>
          <cell r="D1311">
            <v>45364</v>
          </cell>
          <cell r="E1311" t="str">
            <v>Raw Material</v>
          </cell>
          <cell r="F1311" t="str">
            <v>Closed</v>
          </cell>
          <cell r="G1311">
            <v>25</v>
          </cell>
        </row>
        <row r="1312">
          <cell r="C1312" t="str">
            <v>KAPW-EB-148150-26-03-2024</v>
          </cell>
          <cell r="D1312">
            <v>45377</v>
          </cell>
          <cell r="E1312" t="str">
            <v>Raw Material</v>
          </cell>
          <cell r="F1312" t="str">
            <v>Closed</v>
          </cell>
          <cell r="G1312">
            <v>25</v>
          </cell>
        </row>
        <row r="1313">
          <cell r="C1313" t="str">
            <v>KAPE-EB-75231-27-05-2024</v>
          </cell>
          <cell r="D1313">
            <v>45439</v>
          </cell>
          <cell r="E1313" t="str">
            <v>Raw Material</v>
          </cell>
          <cell r="F1313" t="str">
            <v>Closed</v>
          </cell>
          <cell r="G1313">
            <v>150</v>
          </cell>
        </row>
        <row r="1314">
          <cell r="C1314" t="str">
            <v>KAPW-EB-194894-14-06-2024</v>
          </cell>
          <cell r="D1314">
            <v>45457</v>
          </cell>
          <cell r="E1314" t="str">
            <v>Raw Material</v>
          </cell>
          <cell r="F1314" t="str">
            <v>Closed</v>
          </cell>
          <cell r="G1314">
            <v>50</v>
          </cell>
        </row>
        <row r="1315">
          <cell r="C1315" t="str">
            <v>KAPE-EB-6087-02-08-2024</v>
          </cell>
          <cell r="D1315">
            <v>45506</v>
          </cell>
          <cell r="E1315" t="str">
            <v>Raw Material</v>
          </cell>
          <cell r="F1315" t="str">
            <v>Closed</v>
          </cell>
          <cell r="G1315">
            <v>100</v>
          </cell>
        </row>
        <row r="1316">
          <cell r="C1316" t="str">
            <v>KAPE-EB-6086-02-08-2024</v>
          </cell>
          <cell r="D1316">
            <v>45506</v>
          </cell>
          <cell r="E1316" t="str">
            <v>Raw Material</v>
          </cell>
          <cell r="F1316" t="str">
            <v>Closed</v>
          </cell>
          <cell r="G1316">
            <v>50</v>
          </cell>
        </row>
        <row r="1321">
          <cell r="C1321" t="str">
            <v>09082023-A-004755</v>
          </cell>
          <cell r="D1321">
            <v>45128</v>
          </cell>
          <cell r="E1321" t="str">
            <v>Raw Material</v>
          </cell>
          <cell r="F1321" t="str">
            <v>Closed</v>
          </cell>
          <cell r="G1321">
            <v>31000</v>
          </cell>
        </row>
        <row r="1322">
          <cell r="C1322" t="str">
            <v>15082023-A-004760</v>
          </cell>
          <cell r="D1322">
            <v>45121</v>
          </cell>
          <cell r="E1322" t="str">
            <v>Raw Material</v>
          </cell>
          <cell r="F1322" t="str">
            <v>Closed</v>
          </cell>
          <cell r="G1322">
            <v>30043</v>
          </cell>
        </row>
        <row r="1323">
          <cell r="C1323" t="str">
            <v>15082023-A-004762</v>
          </cell>
          <cell r="D1323">
            <v>45125</v>
          </cell>
          <cell r="E1323" t="str">
            <v>Raw Material</v>
          </cell>
          <cell r="F1323" t="str">
            <v>Closed</v>
          </cell>
          <cell r="G1323">
            <v>28976</v>
          </cell>
        </row>
        <row r="1324">
          <cell r="C1324" t="str">
            <v>15082023-A-004766</v>
          </cell>
          <cell r="D1324">
            <v>45125</v>
          </cell>
          <cell r="E1324" t="str">
            <v>Raw Material</v>
          </cell>
          <cell r="F1324" t="str">
            <v>Closed</v>
          </cell>
          <cell r="G1324">
            <v>29089</v>
          </cell>
        </row>
        <row r="1325">
          <cell r="C1325" t="str">
            <v>15082023-A-005318</v>
          </cell>
          <cell r="D1325">
            <v>45132</v>
          </cell>
          <cell r="E1325" t="str">
            <v>Raw Material</v>
          </cell>
          <cell r="F1325" t="str">
            <v>Closed</v>
          </cell>
          <cell r="G1325">
            <v>29491</v>
          </cell>
        </row>
        <row r="1326">
          <cell r="C1326" t="str">
            <v>15082023-A-005332</v>
          </cell>
          <cell r="D1326">
            <v>45131</v>
          </cell>
          <cell r="E1326" t="str">
            <v>Raw Material</v>
          </cell>
          <cell r="F1326" t="str">
            <v>Closed</v>
          </cell>
          <cell r="G1326">
            <v>12934</v>
          </cell>
        </row>
        <row r="1327">
          <cell r="C1327" t="str">
            <v>15082023-A-005336</v>
          </cell>
          <cell r="D1327">
            <v>45131</v>
          </cell>
          <cell r="E1327" t="str">
            <v>Raw Material</v>
          </cell>
          <cell r="F1327" t="str">
            <v>Closed</v>
          </cell>
          <cell r="G1327">
            <v>13014</v>
          </cell>
        </row>
        <row r="1328">
          <cell r="C1328" t="str">
            <v>15082023-A-005339</v>
          </cell>
          <cell r="D1328">
            <v>45132</v>
          </cell>
          <cell r="E1328" t="str">
            <v>Raw Material</v>
          </cell>
          <cell r="F1328" t="str">
            <v>Closed</v>
          </cell>
          <cell r="G1328">
            <v>12655</v>
          </cell>
        </row>
        <row r="1329">
          <cell r="C1329" t="str">
            <v>15082023-A-005340</v>
          </cell>
          <cell r="D1329">
            <v>45133</v>
          </cell>
          <cell r="E1329" t="str">
            <v>Raw Material</v>
          </cell>
          <cell r="F1329" t="str">
            <v>Closed</v>
          </cell>
          <cell r="G1329">
            <v>9191</v>
          </cell>
        </row>
        <row r="1330">
          <cell r="C1330" t="str">
            <v>15082023-A-005342</v>
          </cell>
          <cell r="D1330">
            <v>45134</v>
          </cell>
          <cell r="E1330" t="str">
            <v>Raw Material</v>
          </cell>
          <cell r="F1330" t="str">
            <v>Closed</v>
          </cell>
          <cell r="G1330">
            <v>12684</v>
          </cell>
        </row>
        <row r="1331">
          <cell r="C1331" t="str">
            <v>16082023-A-005553</v>
          </cell>
          <cell r="D1331">
            <v>45134</v>
          </cell>
          <cell r="E1331" t="str">
            <v>Raw Material</v>
          </cell>
          <cell r="F1331" t="str">
            <v>Closed</v>
          </cell>
          <cell r="G1331">
            <v>12724</v>
          </cell>
        </row>
        <row r="1332">
          <cell r="C1332" t="str">
            <v>16082023-A-005560</v>
          </cell>
          <cell r="D1332">
            <v>45138</v>
          </cell>
          <cell r="E1332" t="str">
            <v>Raw Material</v>
          </cell>
          <cell r="F1332" t="str">
            <v>Closed</v>
          </cell>
          <cell r="G1332">
            <v>12784</v>
          </cell>
        </row>
        <row r="1333">
          <cell r="C1333" t="str">
            <v>16082023-A-005562</v>
          </cell>
          <cell r="D1333">
            <v>45138</v>
          </cell>
          <cell r="E1333" t="str">
            <v>Raw Material</v>
          </cell>
          <cell r="F1333" t="str">
            <v>Closed</v>
          </cell>
          <cell r="G1333">
            <v>11830</v>
          </cell>
        </row>
        <row r="1334">
          <cell r="C1334" t="str">
            <v>16082023-A-005565</v>
          </cell>
          <cell r="D1334">
            <v>45145</v>
          </cell>
          <cell r="E1334" t="str">
            <v>Raw Material</v>
          </cell>
          <cell r="F1334" t="str">
            <v>Closed</v>
          </cell>
          <cell r="G1334">
            <v>12764</v>
          </cell>
        </row>
        <row r="1335">
          <cell r="C1335" t="str">
            <v>16082023-A-005570</v>
          </cell>
          <cell r="D1335">
            <v>45145</v>
          </cell>
          <cell r="E1335" t="str">
            <v>Raw Material</v>
          </cell>
          <cell r="F1335" t="str">
            <v>Closed</v>
          </cell>
          <cell r="G1335">
            <v>12554</v>
          </cell>
        </row>
        <row r="1336">
          <cell r="C1336" t="str">
            <v>16082023-A-005575</v>
          </cell>
          <cell r="D1336">
            <v>45146</v>
          </cell>
          <cell r="E1336" t="str">
            <v>Raw Material</v>
          </cell>
          <cell r="F1336" t="str">
            <v>Closed</v>
          </cell>
          <cell r="G1336">
            <v>12705</v>
          </cell>
        </row>
        <row r="1337">
          <cell r="C1337" t="str">
            <v>16082023-A-005579</v>
          </cell>
          <cell r="D1337">
            <v>45146</v>
          </cell>
          <cell r="E1337" t="str">
            <v>Raw Material</v>
          </cell>
          <cell r="F1337" t="str">
            <v>Closed</v>
          </cell>
          <cell r="G1337">
            <v>12170</v>
          </cell>
        </row>
        <row r="1338">
          <cell r="C1338" t="str">
            <v>16082023-A-005582</v>
          </cell>
          <cell r="D1338">
            <v>45147</v>
          </cell>
          <cell r="E1338" t="str">
            <v>Raw Material</v>
          </cell>
          <cell r="F1338" t="str">
            <v>Closed</v>
          </cell>
          <cell r="G1338">
            <v>9736</v>
          </cell>
        </row>
        <row r="1339">
          <cell r="C1339" t="str">
            <v>16082023-A-005609</v>
          </cell>
          <cell r="D1339">
            <v>45125</v>
          </cell>
          <cell r="E1339" t="str">
            <v>Raw Material</v>
          </cell>
          <cell r="F1339" t="str">
            <v>Closed</v>
          </cell>
          <cell r="G1339">
            <v>30090</v>
          </cell>
        </row>
        <row r="1340">
          <cell r="C1340" t="str">
            <v>16082023-A-005616</v>
          </cell>
          <cell r="D1340">
            <v>45125</v>
          </cell>
          <cell r="E1340" t="str">
            <v>Raw Material</v>
          </cell>
          <cell r="F1340" t="str">
            <v>Closed</v>
          </cell>
          <cell r="G1340">
            <v>29823</v>
          </cell>
        </row>
        <row r="1341">
          <cell r="C1341" t="str">
            <v>16082023-A-005623</v>
          </cell>
          <cell r="D1341">
            <v>45132</v>
          </cell>
          <cell r="E1341" t="str">
            <v>Raw Material</v>
          </cell>
          <cell r="F1341" t="str">
            <v>Closed</v>
          </cell>
          <cell r="G1341">
            <v>9736</v>
          </cell>
        </row>
        <row r="1342">
          <cell r="C1342" t="str">
            <v>17082023-A-005930</v>
          </cell>
          <cell r="D1342">
            <v>45139</v>
          </cell>
          <cell r="E1342" t="str">
            <v>Raw Material</v>
          </cell>
          <cell r="F1342" t="str">
            <v>Closed</v>
          </cell>
          <cell r="G1342">
            <v>9925</v>
          </cell>
        </row>
        <row r="1343">
          <cell r="C1343" t="str">
            <v>17082023-A-005934</v>
          </cell>
          <cell r="D1343">
            <v>45142</v>
          </cell>
          <cell r="E1343" t="str">
            <v>Raw Material</v>
          </cell>
          <cell r="F1343" t="str">
            <v>Closed</v>
          </cell>
          <cell r="G1343">
            <v>39973</v>
          </cell>
        </row>
        <row r="1344">
          <cell r="C1344" t="str">
            <v>17082023-A-005942</v>
          </cell>
          <cell r="D1344">
            <v>45149</v>
          </cell>
          <cell r="E1344" t="str">
            <v>Raw Material</v>
          </cell>
          <cell r="F1344" t="str">
            <v>Running</v>
          </cell>
          <cell r="G1344">
            <v>24103.1</v>
          </cell>
        </row>
        <row r="1345">
          <cell r="C1345" t="str">
            <v>17082023-A-005943</v>
          </cell>
          <cell r="D1345">
            <v>45149</v>
          </cell>
          <cell r="E1345" t="str">
            <v>Raw Material</v>
          </cell>
          <cell r="F1345" t="str">
            <v>Running</v>
          </cell>
          <cell r="G1345">
            <v>24485.4</v>
          </cell>
        </row>
        <row r="1346">
          <cell r="C1346" t="str">
            <v>17082023-A-005944</v>
          </cell>
          <cell r="D1346">
            <v>45154</v>
          </cell>
          <cell r="E1346" t="str">
            <v>Raw Material</v>
          </cell>
          <cell r="F1346" t="str">
            <v>Closed</v>
          </cell>
          <cell r="G1346">
            <v>21398.7</v>
          </cell>
        </row>
        <row r="1347">
          <cell r="C1347" t="str">
            <v>17082023-A-005945</v>
          </cell>
          <cell r="D1347">
            <v>45122</v>
          </cell>
          <cell r="E1347" t="str">
            <v>Raw Material</v>
          </cell>
          <cell r="F1347" t="str">
            <v>Closed</v>
          </cell>
          <cell r="G1347">
            <v>31414</v>
          </cell>
        </row>
        <row r="1348">
          <cell r="C1348" t="str">
            <v>17082023-A-005946</v>
          </cell>
          <cell r="D1348">
            <v>45132</v>
          </cell>
          <cell r="E1348" t="str">
            <v>Raw Material</v>
          </cell>
          <cell r="F1348" t="str">
            <v>Closed</v>
          </cell>
          <cell r="G1348">
            <v>31553</v>
          </cell>
        </row>
        <row r="1349">
          <cell r="C1349" t="str">
            <v>24082023-A-006501</v>
          </cell>
          <cell r="D1349">
            <v>45155</v>
          </cell>
          <cell r="E1349" t="str">
            <v>Raw Material</v>
          </cell>
          <cell r="F1349" t="str">
            <v>Closed</v>
          </cell>
          <cell r="G1349">
            <v>12497</v>
          </cell>
        </row>
        <row r="1350">
          <cell r="C1350" t="str">
            <v>24082023-A-006503</v>
          </cell>
          <cell r="D1350">
            <v>45155</v>
          </cell>
          <cell r="E1350" t="str">
            <v>Raw Material</v>
          </cell>
          <cell r="F1350" t="str">
            <v>Closed</v>
          </cell>
          <cell r="G1350">
            <v>13124</v>
          </cell>
        </row>
        <row r="1351">
          <cell r="C1351" t="str">
            <v>24082023-A-006504</v>
          </cell>
          <cell r="D1351">
            <v>45156</v>
          </cell>
          <cell r="E1351" t="str">
            <v>Raw Material</v>
          </cell>
          <cell r="F1351" t="str">
            <v>Closed</v>
          </cell>
          <cell r="G1351">
            <v>12705</v>
          </cell>
        </row>
        <row r="1352">
          <cell r="C1352" t="str">
            <v>24082023-A-006505</v>
          </cell>
          <cell r="D1352">
            <v>45156</v>
          </cell>
          <cell r="E1352" t="str">
            <v>Raw Material</v>
          </cell>
          <cell r="F1352" t="str">
            <v>Closed</v>
          </cell>
          <cell r="G1352">
            <v>12927</v>
          </cell>
        </row>
        <row r="1353">
          <cell r="C1353" t="str">
            <v>24082023-A-006506</v>
          </cell>
          <cell r="D1353">
            <v>45157</v>
          </cell>
          <cell r="E1353" t="str">
            <v>Raw Material</v>
          </cell>
          <cell r="F1353" t="str">
            <v>Closed</v>
          </cell>
          <cell r="G1353">
            <v>8754</v>
          </cell>
        </row>
        <row r="1354">
          <cell r="C1354" t="str">
            <v>30082023-A-007762</v>
          </cell>
          <cell r="D1354">
            <v>45147</v>
          </cell>
          <cell r="E1354" t="str">
            <v>Raw Material</v>
          </cell>
          <cell r="F1354" t="str">
            <v>Closed</v>
          </cell>
          <cell r="G1354">
            <v>31221</v>
          </cell>
        </row>
        <row r="1355">
          <cell r="C1355" t="str">
            <v>30082023-A-007764</v>
          </cell>
          <cell r="D1355">
            <v>45148</v>
          </cell>
          <cell r="E1355" t="str">
            <v>Raw Material</v>
          </cell>
          <cell r="F1355" t="str">
            <v>Closed</v>
          </cell>
          <cell r="G1355">
            <v>30913</v>
          </cell>
        </row>
        <row r="1356">
          <cell r="C1356" t="str">
            <v>30082023-A-007767</v>
          </cell>
          <cell r="D1356">
            <v>45154</v>
          </cell>
          <cell r="E1356" t="str">
            <v>Raw Material</v>
          </cell>
          <cell r="F1356" t="str">
            <v>Closed</v>
          </cell>
          <cell r="G1356">
            <v>30332</v>
          </cell>
        </row>
        <row r="1357">
          <cell r="C1357" t="str">
            <v>30082023-A-007772</v>
          </cell>
          <cell r="D1357">
            <v>45154</v>
          </cell>
          <cell r="E1357" t="str">
            <v>Raw Material</v>
          </cell>
          <cell r="F1357" t="str">
            <v>Closed</v>
          </cell>
          <cell r="G1357">
            <v>30162</v>
          </cell>
        </row>
        <row r="1358">
          <cell r="C1358" t="str">
            <v>30082023-A-007773</v>
          </cell>
          <cell r="D1358">
            <v>45146</v>
          </cell>
          <cell r="E1358" t="str">
            <v>Raw Material</v>
          </cell>
          <cell r="F1358" t="str">
            <v>Closed</v>
          </cell>
          <cell r="G1358">
            <v>27969</v>
          </cell>
        </row>
        <row r="1359">
          <cell r="C1359" t="str">
            <v>30082023-A-007775</v>
          </cell>
          <cell r="D1359">
            <v>45147</v>
          </cell>
          <cell r="E1359" t="str">
            <v>Raw Material</v>
          </cell>
          <cell r="F1359" t="str">
            <v>Closed</v>
          </cell>
          <cell r="G1359">
            <v>27923</v>
          </cell>
        </row>
        <row r="1360">
          <cell r="C1360" t="str">
            <v>30082023-A-007776</v>
          </cell>
          <cell r="D1360">
            <v>45159</v>
          </cell>
          <cell r="E1360" t="str">
            <v>Raw Material</v>
          </cell>
          <cell r="F1360" t="str">
            <v>Closed</v>
          </cell>
          <cell r="G1360">
            <v>31086</v>
          </cell>
        </row>
        <row r="1361">
          <cell r="C1361" t="str">
            <v>30082023-A-007777</v>
          </cell>
          <cell r="D1361">
            <v>45151</v>
          </cell>
          <cell r="E1361" t="str">
            <v>Raw Material</v>
          </cell>
          <cell r="F1361" t="str">
            <v>Closed</v>
          </cell>
          <cell r="G1361">
            <v>28560</v>
          </cell>
        </row>
        <row r="1362">
          <cell r="C1362" t="str">
            <v>30082023-A-007779</v>
          </cell>
          <cell r="D1362">
            <v>45148</v>
          </cell>
          <cell r="E1362" t="str">
            <v>Raw Material</v>
          </cell>
          <cell r="F1362" t="str">
            <v>Closed</v>
          </cell>
          <cell r="G1362">
            <v>31461</v>
          </cell>
        </row>
        <row r="1363">
          <cell r="C1363" t="str">
            <v>30082023-A-007780</v>
          </cell>
          <cell r="D1363">
            <v>45147</v>
          </cell>
          <cell r="E1363" t="str">
            <v>Raw Material</v>
          </cell>
          <cell r="F1363" t="str">
            <v>Closed</v>
          </cell>
          <cell r="G1363">
            <v>31010</v>
          </cell>
        </row>
        <row r="1364">
          <cell r="C1364" t="str">
            <v>05092023-A-009011</v>
          </cell>
          <cell r="D1364">
            <v>45160</v>
          </cell>
          <cell r="E1364" t="str">
            <v>Raw Material</v>
          </cell>
          <cell r="F1364" t="str">
            <v>Closed</v>
          </cell>
          <cell r="G1364">
            <v>30497</v>
          </cell>
        </row>
        <row r="1365">
          <cell r="C1365" t="str">
            <v>05092023-A-009015</v>
          </cell>
          <cell r="D1365">
            <v>45158</v>
          </cell>
          <cell r="E1365" t="str">
            <v>Raw Material</v>
          </cell>
          <cell r="F1365" t="str">
            <v>Closed</v>
          </cell>
          <cell r="G1365">
            <v>30643</v>
          </cell>
        </row>
        <row r="1366">
          <cell r="C1366" t="str">
            <v>05092023-A-009017</v>
          </cell>
          <cell r="D1366">
            <v>45158</v>
          </cell>
          <cell r="E1366" t="str">
            <v>Raw Material</v>
          </cell>
          <cell r="F1366" t="str">
            <v>Closed</v>
          </cell>
          <cell r="G1366">
            <v>30270</v>
          </cell>
        </row>
        <row r="1367">
          <cell r="C1367" t="str">
            <v>05092023-A-009019</v>
          </cell>
          <cell r="D1367">
            <v>45164</v>
          </cell>
          <cell r="E1367" t="str">
            <v>Raw Material</v>
          </cell>
          <cell r="F1367" t="str">
            <v>Closed</v>
          </cell>
          <cell r="G1367">
            <v>30456</v>
          </cell>
        </row>
        <row r="1368">
          <cell r="C1368" t="str">
            <v>11092023-A-010002</v>
          </cell>
          <cell r="D1368">
            <v>45149</v>
          </cell>
          <cell r="E1368" t="str">
            <v>Raw Material</v>
          </cell>
          <cell r="F1368" t="str">
            <v>Closed</v>
          </cell>
          <cell r="G1368">
            <v>30665</v>
          </cell>
        </row>
        <row r="1369">
          <cell r="C1369" t="str">
            <v>11092023-A-010003</v>
          </cell>
          <cell r="D1369">
            <v>45157</v>
          </cell>
          <cell r="E1369" t="str">
            <v>Raw Material</v>
          </cell>
          <cell r="F1369" t="str">
            <v>Closed</v>
          </cell>
          <cell r="G1369">
            <v>29150</v>
          </cell>
        </row>
        <row r="1370">
          <cell r="C1370" t="str">
            <v>11092023-A-010005</v>
          </cell>
          <cell r="D1370">
            <v>45158</v>
          </cell>
          <cell r="E1370" t="str">
            <v>Raw Material</v>
          </cell>
          <cell r="F1370" t="str">
            <v>Closed</v>
          </cell>
          <cell r="G1370">
            <v>29012</v>
          </cell>
        </row>
        <row r="1371">
          <cell r="C1371" t="str">
            <v>11092023-A-010007</v>
          </cell>
          <cell r="D1371">
            <v>45167</v>
          </cell>
          <cell r="E1371" t="str">
            <v>Raw Material</v>
          </cell>
          <cell r="F1371" t="str">
            <v>Closed</v>
          </cell>
          <cell r="G1371">
            <v>12804</v>
          </cell>
        </row>
        <row r="1372">
          <cell r="C1372" t="str">
            <v>11092023-A-010013</v>
          </cell>
          <cell r="D1372">
            <v>45168</v>
          </cell>
          <cell r="E1372" t="str">
            <v>Raw Material</v>
          </cell>
          <cell r="F1372" t="str">
            <v>Closed</v>
          </cell>
          <cell r="G1372">
            <v>12894</v>
          </cell>
        </row>
        <row r="1373">
          <cell r="C1373" t="str">
            <v>11092023-A-010036</v>
          </cell>
          <cell r="D1373">
            <v>45169</v>
          </cell>
          <cell r="E1373" t="str">
            <v>Raw Material</v>
          </cell>
          <cell r="F1373" t="str">
            <v>Closed</v>
          </cell>
          <cell r="G1373">
            <v>12120</v>
          </cell>
        </row>
        <row r="1374">
          <cell r="C1374" t="str">
            <v>11092023-A-010040</v>
          </cell>
          <cell r="D1374">
            <v>45170</v>
          </cell>
          <cell r="E1374" t="str">
            <v>Raw Material</v>
          </cell>
          <cell r="F1374" t="str">
            <v>Closed</v>
          </cell>
          <cell r="G1374">
            <v>12190</v>
          </cell>
        </row>
        <row r="1375">
          <cell r="C1375" t="str">
            <v>11092023-A-010048</v>
          </cell>
          <cell r="D1375">
            <v>45171</v>
          </cell>
          <cell r="E1375" t="str">
            <v>Raw Material</v>
          </cell>
          <cell r="F1375" t="str">
            <v>Closed</v>
          </cell>
          <cell r="G1375">
            <v>9966</v>
          </cell>
        </row>
        <row r="1376">
          <cell r="C1376" t="str">
            <v>13092023-A-010742</v>
          </cell>
          <cell r="D1376">
            <v>45145</v>
          </cell>
          <cell r="E1376" t="str">
            <v>Raw Material</v>
          </cell>
          <cell r="F1376" t="str">
            <v>Closed</v>
          </cell>
          <cell r="G1376">
            <v>31025</v>
          </cell>
        </row>
        <row r="1377">
          <cell r="C1377" t="str">
            <v>13092023-A-010744</v>
          </cell>
          <cell r="D1377">
            <v>45164</v>
          </cell>
          <cell r="E1377" t="str">
            <v>Raw Material</v>
          </cell>
          <cell r="F1377" t="str">
            <v>Closed</v>
          </cell>
          <cell r="G1377">
            <v>30702</v>
          </cell>
        </row>
        <row r="1378">
          <cell r="C1378" t="str">
            <v>13092023-A-010746</v>
          </cell>
          <cell r="D1378">
            <v>45174</v>
          </cell>
          <cell r="E1378" t="str">
            <v>Raw Material</v>
          </cell>
          <cell r="F1378" t="str">
            <v>Closed</v>
          </cell>
          <cell r="G1378">
            <v>3901</v>
          </cell>
        </row>
        <row r="1379">
          <cell r="C1379" t="str">
            <v>13092023-A-010750</v>
          </cell>
          <cell r="D1379">
            <v>45174</v>
          </cell>
          <cell r="E1379" t="str">
            <v>Raw Material</v>
          </cell>
          <cell r="F1379" t="str">
            <v>Running</v>
          </cell>
          <cell r="G1379">
            <v>272</v>
          </cell>
        </row>
        <row r="1380">
          <cell r="C1380" t="str">
            <v>13092023-A-010753</v>
          </cell>
          <cell r="D1380">
            <v>45153</v>
          </cell>
          <cell r="E1380" t="str">
            <v>Raw Material</v>
          </cell>
          <cell r="F1380" t="str">
            <v>Closed</v>
          </cell>
          <cell r="G1380">
            <v>29492</v>
          </cell>
        </row>
        <row r="1381">
          <cell r="C1381" t="str">
            <v>13092023-A-010755</v>
          </cell>
          <cell r="D1381">
            <v>45176</v>
          </cell>
          <cell r="E1381" t="str">
            <v>Raw Material</v>
          </cell>
          <cell r="F1381" t="str">
            <v>Closed</v>
          </cell>
          <cell r="G1381">
            <v>4808</v>
          </cell>
        </row>
        <row r="1382">
          <cell r="C1382" t="str">
            <v>13092023-A-010756</v>
          </cell>
          <cell r="D1382">
            <v>45177</v>
          </cell>
          <cell r="E1382" t="str">
            <v>Raw Material</v>
          </cell>
          <cell r="F1382" t="str">
            <v>Closed</v>
          </cell>
          <cell r="G1382">
            <v>18144</v>
          </cell>
        </row>
        <row r="1383">
          <cell r="C1383" t="str">
            <v>18092023-A-011662</v>
          </cell>
          <cell r="D1383">
            <v>45177</v>
          </cell>
          <cell r="E1383" t="str">
            <v>Raw Material</v>
          </cell>
          <cell r="F1383" t="str">
            <v>Closed</v>
          </cell>
          <cell r="G1383">
            <v>9676</v>
          </cell>
        </row>
        <row r="1384">
          <cell r="C1384" t="str">
            <v>18092023-A-011664</v>
          </cell>
          <cell r="D1384">
            <v>45178</v>
          </cell>
          <cell r="E1384" t="str">
            <v>Raw Material</v>
          </cell>
          <cell r="F1384" t="str">
            <v>Closed</v>
          </cell>
          <cell r="G1384">
            <v>12935</v>
          </cell>
        </row>
        <row r="1385">
          <cell r="C1385" t="str">
            <v>18092023-A-011668</v>
          </cell>
          <cell r="D1385">
            <v>45178</v>
          </cell>
          <cell r="E1385" t="str">
            <v>Raw Material</v>
          </cell>
          <cell r="F1385" t="str">
            <v>Closed</v>
          </cell>
          <cell r="G1385">
            <v>12220</v>
          </cell>
        </row>
        <row r="1386">
          <cell r="C1386" t="str">
            <v>18092023-A-011670</v>
          </cell>
          <cell r="D1386">
            <v>45180</v>
          </cell>
          <cell r="E1386" t="str">
            <v>Raw Material</v>
          </cell>
          <cell r="F1386" t="str">
            <v>Closed</v>
          </cell>
          <cell r="G1386">
            <v>12240</v>
          </cell>
        </row>
        <row r="1387">
          <cell r="C1387" t="str">
            <v>18092023-A-011674</v>
          </cell>
          <cell r="D1387">
            <v>45180</v>
          </cell>
          <cell r="E1387" t="str">
            <v>Raw Material</v>
          </cell>
          <cell r="F1387" t="str">
            <v>Closed</v>
          </cell>
          <cell r="G1387">
            <v>12260</v>
          </cell>
        </row>
        <row r="1388">
          <cell r="C1388" t="str">
            <v>18092023-A-011675</v>
          </cell>
          <cell r="D1388">
            <v>45181</v>
          </cell>
          <cell r="E1388" t="str">
            <v>Raw Material</v>
          </cell>
          <cell r="F1388" t="str">
            <v>Closed</v>
          </cell>
          <cell r="G1388">
            <v>10412</v>
          </cell>
        </row>
        <row r="1389">
          <cell r="C1389" t="str">
            <v>19092023-A-011695</v>
          </cell>
          <cell r="D1389">
            <v>45161</v>
          </cell>
          <cell r="E1389" t="str">
            <v>Raw Material</v>
          </cell>
          <cell r="F1389" t="str">
            <v>Closed</v>
          </cell>
          <cell r="G1389">
            <v>31459</v>
          </cell>
        </row>
        <row r="1390">
          <cell r="C1390" t="str">
            <v>19092023-A-011697</v>
          </cell>
          <cell r="D1390">
            <v>45144</v>
          </cell>
          <cell r="E1390" t="str">
            <v>Raw Material</v>
          </cell>
          <cell r="F1390" t="str">
            <v>Closed</v>
          </cell>
          <cell r="G1390">
            <v>30038</v>
          </cell>
        </row>
        <row r="1391">
          <cell r="C1391" t="str">
            <v>19092023-A-011703</v>
          </cell>
          <cell r="D1391">
            <v>45160</v>
          </cell>
          <cell r="E1391" t="str">
            <v>Raw Material</v>
          </cell>
          <cell r="F1391" t="str">
            <v>Closed</v>
          </cell>
          <cell r="G1391">
            <v>27518</v>
          </cell>
        </row>
        <row r="1392">
          <cell r="C1392" t="str">
            <v>19092023-A-011706</v>
          </cell>
          <cell r="D1392">
            <v>45167</v>
          </cell>
          <cell r="E1392" t="str">
            <v>Raw Material</v>
          </cell>
          <cell r="F1392" t="str">
            <v>Closed</v>
          </cell>
          <cell r="G1392">
            <v>47124</v>
          </cell>
        </row>
        <row r="1393">
          <cell r="C1393" t="str">
            <v>19092023-A-011707</v>
          </cell>
          <cell r="D1393">
            <v>45157</v>
          </cell>
          <cell r="E1393" t="str">
            <v>Raw Material</v>
          </cell>
          <cell r="F1393" t="str">
            <v>Closed</v>
          </cell>
          <cell r="G1393">
            <v>28445</v>
          </cell>
        </row>
        <row r="1394">
          <cell r="C1394" t="str">
            <v>19092023-A-011710</v>
          </cell>
          <cell r="D1394">
            <v>45175</v>
          </cell>
          <cell r="E1394" t="str">
            <v>Raw Material</v>
          </cell>
          <cell r="F1394" t="str">
            <v>Closed</v>
          </cell>
          <cell r="G1394">
            <v>40394</v>
          </cell>
        </row>
        <row r="1395">
          <cell r="C1395" t="str">
            <v>19092023-A-011713</v>
          </cell>
          <cell r="D1395">
            <v>45177</v>
          </cell>
          <cell r="E1395" t="str">
            <v>Raw Material</v>
          </cell>
          <cell r="F1395" t="str">
            <v>Closed</v>
          </cell>
          <cell r="G1395">
            <v>35441</v>
          </cell>
        </row>
        <row r="1396">
          <cell r="C1396" t="str">
            <v>02102023-A-014157</v>
          </cell>
          <cell r="D1396">
            <v>45162</v>
          </cell>
          <cell r="E1396" t="str">
            <v>Raw Material</v>
          </cell>
          <cell r="F1396" t="str">
            <v>Closed</v>
          </cell>
          <cell r="G1396">
            <v>29970</v>
          </cell>
        </row>
        <row r="1397">
          <cell r="C1397" t="str">
            <v>02102023-A-014163</v>
          </cell>
          <cell r="D1397">
            <v>45154</v>
          </cell>
          <cell r="E1397" t="str">
            <v>Raw Material</v>
          </cell>
          <cell r="F1397" t="str">
            <v>Closed</v>
          </cell>
          <cell r="G1397">
            <v>30696</v>
          </cell>
        </row>
        <row r="1398">
          <cell r="C1398" t="str">
            <v>02102023-A-014165</v>
          </cell>
          <cell r="D1398">
            <v>45169</v>
          </cell>
          <cell r="E1398" t="str">
            <v>Raw Material</v>
          </cell>
          <cell r="F1398" t="str">
            <v>Closed</v>
          </cell>
          <cell r="G1398">
            <v>29815</v>
          </cell>
        </row>
        <row r="1399">
          <cell r="C1399" t="str">
            <v>16102023-A-017219</v>
          </cell>
          <cell r="D1399">
            <v>45192</v>
          </cell>
          <cell r="E1399" t="str">
            <v>Raw Material</v>
          </cell>
          <cell r="F1399" t="str">
            <v>Closed</v>
          </cell>
          <cell r="G1399">
            <v>30610</v>
          </cell>
        </row>
        <row r="1400">
          <cell r="C1400" t="str">
            <v>16102023-A-017223</v>
          </cell>
          <cell r="D1400">
            <v>45201</v>
          </cell>
          <cell r="E1400" t="str">
            <v>Raw Material</v>
          </cell>
          <cell r="F1400" t="str">
            <v>Closed</v>
          </cell>
          <cell r="G1400">
            <v>31332</v>
          </cell>
        </row>
        <row r="1401">
          <cell r="C1401" t="str">
            <v>16102023-A-017228</v>
          </cell>
          <cell r="D1401">
            <v>45186</v>
          </cell>
          <cell r="E1401" t="str">
            <v>Raw Material</v>
          </cell>
          <cell r="F1401" t="str">
            <v>Closed</v>
          </cell>
          <cell r="G1401">
            <v>91836</v>
          </cell>
        </row>
        <row r="1402">
          <cell r="C1402" t="str">
            <v>16102023-A-017233</v>
          </cell>
          <cell r="D1402">
            <v>45190</v>
          </cell>
          <cell r="E1402" t="str">
            <v>Raw Material</v>
          </cell>
          <cell r="F1402" t="str">
            <v>Closed</v>
          </cell>
          <cell r="G1402">
            <v>90565</v>
          </cell>
        </row>
        <row r="1403">
          <cell r="C1403" t="str">
            <v>16102023-A-017236</v>
          </cell>
          <cell r="D1403">
            <v>45194</v>
          </cell>
          <cell r="E1403" t="str">
            <v>Raw Material</v>
          </cell>
          <cell r="F1403" t="str">
            <v>Closed</v>
          </cell>
          <cell r="G1403">
            <v>30939</v>
          </cell>
        </row>
        <row r="1404">
          <cell r="C1404" t="str">
            <v>16102023-A-017239</v>
          </cell>
          <cell r="D1404">
            <v>45191</v>
          </cell>
          <cell r="E1404" t="str">
            <v>Raw Material</v>
          </cell>
          <cell r="F1404" t="str">
            <v>Closed</v>
          </cell>
          <cell r="G1404">
            <v>31096</v>
          </cell>
        </row>
        <row r="1405">
          <cell r="C1405" t="str">
            <v>16102023-A-017243</v>
          </cell>
          <cell r="D1405">
            <v>45211</v>
          </cell>
          <cell r="E1405" t="str">
            <v>Raw Material</v>
          </cell>
          <cell r="F1405" t="str">
            <v>Closed</v>
          </cell>
          <cell r="G1405">
            <v>34955</v>
          </cell>
        </row>
        <row r="1406">
          <cell r="C1406" t="str">
            <v>16102023-A-017246</v>
          </cell>
          <cell r="D1406">
            <v>45211</v>
          </cell>
          <cell r="E1406" t="str">
            <v>Raw Material</v>
          </cell>
          <cell r="F1406" t="str">
            <v>Closed</v>
          </cell>
          <cell r="G1406">
            <v>35003</v>
          </cell>
        </row>
        <row r="1407">
          <cell r="C1407" t="str">
            <v>16102023-A-017250</v>
          </cell>
          <cell r="D1407">
            <v>45211</v>
          </cell>
          <cell r="E1407" t="str">
            <v>Raw Material</v>
          </cell>
          <cell r="F1407" t="str">
            <v>Closed</v>
          </cell>
          <cell r="G1407">
            <v>34843</v>
          </cell>
        </row>
        <row r="1408">
          <cell r="C1408" t="str">
            <v>16102023-A-017254</v>
          </cell>
          <cell r="D1408">
            <v>45192</v>
          </cell>
          <cell r="E1408" t="str">
            <v>Raw Material</v>
          </cell>
          <cell r="F1408" t="str">
            <v>Closed</v>
          </cell>
          <cell r="G1408">
            <v>9600</v>
          </cell>
        </row>
        <row r="1409">
          <cell r="C1409" t="str">
            <v>18102023-A-018016</v>
          </cell>
          <cell r="D1409">
            <v>45201</v>
          </cell>
          <cell r="E1409" t="str">
            <v>Raw Material</v>
          </cell>
          <cell r="F1409" t="str">
            <v>Closed</v>
          </cell>
          <cell r="G1409">
            <v>7000</v>
          </cell>
        </row>
        <row r="1410">
          <cell r="C1410" t="str">
            <v>18102023-A-018020</v>
          </cell>
          <cell r="D1410">
            <v>45201</v>
          </cell>
          <cell r="E1410" t="str">
            <v>Raw Material</v>
          </cell>
          <cell r="F1410" t="str">
            <v>Closed</v>
          </cell>
          <cell r="G1410">
            <v>30000</v>
          </cell>
        </row>
        <row r="1411">
          <cell r="C1411" t="str">
            <v>18102023-A-018022</v>
          </cell>
          <cell r="D1411">
            <v>45201</v>
          </cell>
          <cell r="E1411" t="str">
            <v>Raw Material</v>
          </cell>
          <cell r="F1411" t="str">
            <v>Closed</v>
          </cell>
          <cell r="G1411">
            <v>23000</v>
          </cell>
        </row>
        <row r="1412">
          <cell r="C1412" t="str">
            <v>24102023-A-019228</v>
          </cell>
          <cell r="D1412">
            <v>45223</v>
          </cell>
          <cell r="E1412" t="str">
            <v>Raw Material</v>
          </cell>
          <cell r="F1412" t="str">
            <v>Closed</v>
          </cell>
          <cell r="G1412">
            <v>30366</v>
          </cell>
        </row>
        <row r="1413">
          <cell r="C1413" t="str">
            <v>24102023-A-019233</v>
          </cell>
          <cell r="D1413">
            <v>45225</v>
          </cell>
          <cell r="E1413" t="str">
            <v>Raw Material</v>
          </cell>
          <cell r="F1413" t="str">
            <v>Closed</v>
          </cell>
          <cell r="G1413">
            <v>11113</v>
          </cell>
        </row>
        <row r="1414">
          <cell r="C1414" t="str">
            <v>26102023-A-019917</v>
          </cell>
          <cell r="D1414">
            <v>45225</v>
          </cell>
          <cell r="E1414" t="str">
            <v>Raw Material</v>
          </cell>
          <cell r="F1414" t="str">
            <v>Closed</v>
          </cell>
          <cell r="G1414">
            <v>12804</v>
          </cell>
        </row>
        <row r="1415">
          <cell r="C1415" t="str">
            <v>26102023-A-019921</v>
          </cell>
          <cell r="D1415">
            <v>45225</v>
          </cell>
          <cell r="E1415" t="str">
            <v>Raw Material</v>
          </cell>
          <cell r="F1415" t="str">
            <v>Closed</v>
          </cell>
          <cell r="G1415">
            <v>12130</v>
          </cell>
        </row>
        <row r="1416">
          <cell r="C1416" t="str">
            <v>26102023-A-019923</v>
          </cell>
          <cell r="D1416">
            <v>45225</v>
          </cell>
          <cell r="E1416" t="str">
            <v>Raw Material</v>
          </cell>
          <cell r="F1416" t="str">
            <v>Closed</v>
          </cell>
          <cell r="G1416">
            <v>11750</v>
          </cell>
        </row>
        <row r="1417">
          <cell r="C1417" t="str">
            <v>26102023-A-019927</v>
          </cell>
          <cell r="D1417">
            <v>45225</v>
          </cell>
          <cell r="E1417" t="str">
            <v>Raw Material</v>
          </cell>
          <cell r="F1417" t="str">
            <v>Closed</v>
          </cell>
          <cell r="G1417">
            <v>11426</v>
          </cell>
        </row>
        <row r="1418">
          <cell r="C1418" t="str">
            <v>26102023-A-019930</v>
          </cell>
          <cell r="D1418">
            <v>45225</v>
          </cell>
          <cell r="E1418" t="str">
            <v>Raw Material</v>
          </cell>
          <cell r="F1418" t="str">
            <v>Closed</v>
          </cell>
          <cell r="G1418">
            <v>11870</v>
          </cell>
        </row>
        <row r="1419">
          <cell r="C1419" t="str">
            <v>30102023-A-020733</v>
          </cell>
          <cell r="D1419">
            <v>45229</v>
          </cell>
          <cell r="E1419" t="str">
            <v>Raw Material</v>
          </cell>
          <cell r="F1419" t="str">
            <v>Closed</v>
          </cell>
          <cell r="G1419">
            <v>2540</v>
          </cell>
        </row>
        <row r="1420">
          <cell r="C1420" t="str">
            <v>30102023-A-020740</v>
          </cell>
          <cell r="D1420">
            <v>45229</v>
          </cell>
          <cell r="E1420" t="str">
            <v>Raw Material</v>
          </cell>
          <cell r="F1420" t="str">
            <v>Closed</v>
          </cell>
          <cell r="G1420">
            <v>454</v>
          </cell>
        </row>
        <row r="1421">
          <cell r="C1421" t="str">
            <v>30102023-A-020742</v>
          </cell>
          <cell r="D1421">
            <v>45229</v>
          </cell>
          <cell r="E1421" t="str">
            <v>Raw Material</v>
          </cell>
          <cell r="F1421" t="str">
            <v>Closed</v>
          </cell>
          <cell r="G1421">
            <v>8165</v>
          </cell>
        </row>
        <row r="1422">
          <cell r="C1422" t="str">
            <v>30102023-A-020745</v>
          </cell>
          <cell r="D1422">
            <v>45229</v>
          </cell>
          <cell r="E1422" t="str">
            <v>Raw Material</v>
          </cell>
          <cell r="F1422" t="str">
            <v>Closed</v>
          </cell>
          <cell r="G1422">
            <v>1452</v>
          </cell>
        </row>
        <row r="1423">
          <cell r="C1423" t="str">
            <v>30102023-A-020748</v>
          </cell>
          <cell r="D1423">
            <v>45229</v>
          </cell>
          <cell r="E1423" t="str">
            <v>Raw Material</v>
          </cell>
          <cell r="F1423" t="str">
            <v>Closed</v>
          </cell>
          <cell r="G1423">
            <v>6350</v>
          </cell>
        </row>
        <row r="1424">
          <cell r="C1424" t="str">
            <v>30102023-A-020760</v>
          </cell>
          <cell r="D1424">
            <v>45229</v>
          </cell>
          <cell r="E1424" t="str">
            <v>Raw Material</v>
          </cell>
          <cell r="F1424" t="str">
            <v>Closed</v>
          </cell>
          <cell r="G1424">
            <v>4128</v>
          </cell>
        </row>
        <row r="1425">
          <cell r="C1425" t="str">
            <v>30102023-A-020762</v>
          </cell>
          <cell r="D1425">
            <v>45229</v>
          </cell>
          <cell r="E1425" t="str">
            <v>Raw Material</v>
          </cell>
          <cell r="F1425" t="str">
            <v>Closed</v>
          </cell>
          <cell r="G1425">
            <v>11340</v>
          </cell>
        </row>
        <row r="1426">
          <cell r="C1426" t="str">
            <v>30102023-A-020769</v>
          </cell>
          <cell r="D1426">
            <v>45229</v>
          </cell>
          <cell r="E1426" t="str">
            <v>Raw Material</v>
          </cell>
          <cell r="F1426" t="str">
            <v>Closed</v>
          </cell>
          <cell r="G1426">
            <v>2268</v>
          </cell>
        </row>
        <row r="1427">
          <cell r="C1427" t="str">
            <v>30102023-A-020770</v>
          </cell>
          <cell r="D1427">
            <v>45229</v>
          </cell>
          <cell r="E1427" t="str">
            <v>Raw Material</v>
          </cell>
          <cell r="F1427" t="str">
            <v>Closed</v>
          </cell>
          <cell r="G1427">
            <v>9072</v>
          </cell>
        </row>
        <row r="1428">
          <cell r="C1428" t="str">
            <v>30102023-A-020773</v>
          </cell>
          <cell r="D1428">
            <v>45229</v>
          </cell>
          <cell r="E1428" t="str">
            <v>Raw Material</v>
          </cell>
          <cell r="F1428" t="str">
            <v>Closed</v>
          </cell>
          <cell r="G1428">
            <v>3175</v>
          </cell>
        </row>
        <row r="1429">
          <cell r="C1429" t="str">
            <v>17112023-A-026220</v>
          </cell>
          <cell r="D1429">
            <v>45247</v>
          </cell>
          <cell r="E1429" t="str">
            <v>Raw Material</v>
          </cell>
          <cell r="F1429" t="str">
            <v>Closed</v>
          </cell>
          <cell r="G1429">
            <v>64115</v>
          </cell>
        </row>
        <row r="1430">
          <cell r="C1430" t="str">
            <v>17112023-A-026235</v>
          </cell>
          <cell r="D1430">
            <v>45247</v>
          </cell>
          <cell r="E1430" t="str">
            <v>Raw Material</v>
          </cell>
          <cell r="F1430" t="str">
            <v>Closed</v>
          </cell>
          <cell r="G1430">
            <v>33332</v>
          </cell>
        </row>
        <row r="1431">
          <cell r="C1431" t="str">
            <v>17112023-A-026240</v>
          </cell>
          <cell r="D1431">
            <v>45247</v>
          </cell>
          <cell r="E1431" t="str">
            <v>Raw Material</v>
          </cell>
          <cell r="F1431" t="str">
            <v>Closed</v>
          </cell>
          <cell r="G1431">
            <v>31353</v>
          </cell>
        </row>
        <row r="1432">
          <cell r="C1432" t="str">
            <v>17112023-A-026245</v>
          </cell>
          <cell r="D1432">
            <v>45247</v>
          </cell>
          <cell r="E1432" t="str">
            <v>Raw Material</v>
          </cell>
          <cell r="F1432" t="str">
            <v>Closed</v>
          </cell>
          <cell r="G1432">
            <v>33500</v>
          </cell>
        </row>
        <row r="1433">
          <cell r="C1433" t="str">
            <v>17112023-A-026250</v>
          </cell>
          <cell r="D1433">
            <v>45247</v>
          </cell>
          <cell r="E1433" t="str">
            <v>Raw Material</v>
          </cell>
          <cell r="F1433" t="str">
            <v>Closed</v>
          </cell>
          <cell r="G1433">
            <v>29076</v>
          </cell>
        </row>
        <row r="1434">
          <cell r="C1434" t="str">
            <v>17112023-A-026264</v>
          </cell>
          <cell r="D1434">
            <v>45247</v>
          </cell>
          <cell r="E1434" t="str">
            <v>Raw Material</v>
          </cell>
          <cell r="F1434" t="str">
            <v>Closed</v>
          </cell>
          <cell r="G1434">
            <v>31681</v>
          </cell>
        </row>
        <row r="1435">
          <cell r="C1435" t="str">
            <v>17112023-A-026268</v>
          </cell>
          <cell r="D1435">
            <v>45247</v>
          </cell>
          <cell r="E1435" t="str">
            <v>Raw Material</v>
          </cell>
          <cell r="F1435" t="str">
            <v>Closed</v>
          </cell>
          <cell r="G1435">
            <v>27672</v>
          </cell>
        </row>
        <row r="1436">
          <cell r="C1436" t="str">
            <v>17112023-A-026276</v>
          </cell>
          <cell r="D1436">
            <v>45247</v>
          </cell>
          <cell r="E1436" t="str">
            <v>Raw Material</v>
          </cell>
          <cell r="F1436" t="str">
            <v>Closed</v>
          </cell>
          <cell r="G1436">
            <v>31471</v>
          </cell>
        </row>
        <row r="1437">
          <cell r="C1437" t="str">
            <v>17112023-A-026280</v>
          </cell>
          <cell r="D1437">
            <v>45247</v>
          </cell>
          <cell r="E1437" t="str">
            <v>Raw Material</v>
          </cell>
          <cell r="F1437" t="str">
            <v>Closed</v>
          </cell>
          <cell r="G1437">
            <v>153145</v>
          </cell>
        </row>
        <row r="1438">
          <cell r="C1438" t="str">
            <v>17112023-A-026284</v>
          </cell>
          <cell r="D1438">
            <v>45247</v>
          </cell>
          <cell r="E1438" t="str">
            <v>Raw Material</v>
          </cell>
          <cell r="F1438" t="str">
            <v>Closed</v>
          </cell>
          <cell r="G1438">
            <v>31070</v>
          </cell>
        </row>
        <row r="1439">
          <cell r="C1439" t="str">
            <v>17112023-A-026287</v>
          </cell>
          <cell r="D1439">
            <v>45247</v>
          </cell>
          <cell r="E1439" t="str">
            <v>Raw Material</v>
          </cell>
          <cell r="F1439" t="str">
            <v>Closed</v>
          </cell>
          <cell r="G1439">
            <v>152492</v>
          </cell>
        </row>
        <row r="1440">
          <cell r="C1440" t="str">
            <v>17112023-A-026301</v>
          </cell>
          <cell r="D1440">
            <v>45247</v>
          </cell>
          <cell r="E1440" t="str">
            <v>Raw Material</v>
          </cell>
          <cell r="F1440" t="str">
            <v>Closed</v>
          </cell>
          <cell r="G1440">
            <v>60620</v>
          </cell>
        </row>
        <row r="1441">
          <cell r="C1441" t="str">
            <v>17112023-A-026305</v>
          </cell>
          <cell r="D1441">
            <v>45247</v>
          </cell>
          <cell r="E1441" t="str">
            <v>Raw Material</v>
          </cell>
          <cell r="F1441" t="str">
            <v>Closed</v>
          </cell>
          <cell r="G1441">
            <v>32442</v>
          </cell>
        </row>
        <row r="1442">
          <cell r="C1442" t="str">
            <v>17112023-A-026313</v>
          </cell>
          <cell r="D1442">
            <v>45247</v>
          </cell>
          <cell r="E1442" t="str">
            <v>Raw Material</v>
          </cell>
          <cell r="F1442" t="str">
            <v>Closed</v>
          </cell>
          <cell r="G1442">
            <v>61947</v>
          </cell>
        </row>
        <row r="1443">
          <cell r="C1443" t="str">
            <v>17112023-A-026316</v>
          </cell>
          <cell r="D1443">
            <v>45247</v>
          </cell>
          <cell r="E1443" t="str">
            <v>Raw Material</v>
          </cell>
          <cell r="F1443" t="str">
            <v>Closed</v>
          </cell>
          <cell r="G1443">
            <v>31486</v>
          </cell>
        </row>
        <row r="1444">
          <cell r="C1444" t="str">
            <v>17112023-A-026321</v>
          </cell>
          <cell r="D1444">
            <v>45247</v>
          </cell>
          <cell r="E1444" t="str">
            <v>Raw Material</v>
          </cell>
          <cell r="F1444" t="str">
            <v>Closed</v>
          </cell>
          <cell r="G1444">
            <v>30307</v>
          </cell>
        </row>
        <row r="1445">
          <cell r="C1445" t="str">
            <v>17112023-A-026326</v>
          </cell>
          <cell r="D1445">
            <v>45247</v>
          </cell>
          <cell r="E1445" t="str">
            <v>Raw Material</v>
          </cell>
          <cell r="F1445" t="str">
            <v>Closed</v>
          </cell>
          <cell r="G1445">
            <v>30869</v>
          </cell>
        </row>
        <row r="1446">
          <cell r="C1446" t="str">
            <v>17112023-A-026330</v>
          </cell>
          <cell r="D1446">
            <v>45247</v>
          </cell>
          <cell r="E1446" t="str">
            <v>Raw Material</v>
          </cell>
          <cell r="F1446" t="str">
            <v>Closed</v>
          </cell>
          <cell r="G1446">
            <v>32050</v>
          </cell>
        </row>
        <row r="1447">
          <cell r="C1447" t="str">
            <v>17112023-A-026335</v>
          </cell>
          <cell r="D1447">
            <v>45247</v>
          </cell>
          <cell r="E1447" t="str">
            <v>Raw Material</v>
          </cell>
          <cell r="F1447" t="str">
            <v>Closed</v>
          </cell>
          <cell r="G1447">
            <v>33107</v>
          </cell>
        </row>
        <row r="1448">
          <cell r="C1448" t="str">
            <v>17112023-A-026440</v>
          </cell>
          <cell r="D1448">
            <v>45247</v>
          </cell>
          <cell r="E1448" t="str">
            <v>Raw Material</v>
          </cell>
          <cell r="F1448" t="str">
            <v>Closed</v>
          </cell>
          <cell r="G1448">
            <v>31034</v>
          </cell>
        </row>
        <row r="1449">
          <cell r="C1449" t="str">
            <v>17112023-A-026456</v>
          </cell>
          <cell r="D1449">
            <v>45247</v>
          </cell>
          <cell r="E1449" t="str">
            <v>Raw Material</v>
          </cell>
          <cell r="F1449" t="str">
            <v>Closed</v>
          </cell>
          <cell r="G1449">
            <v>31430</v>
          </cell>
        </row>
        <row r="1450">
          <cell r="C1450" t="str">
            <v>17112023-A-026464</v>
          </cell>
          <cell r="D1450">
            <v>45247</v>
          </cell>
          <cell r="E1450" t="str">
            <v>Raw Material</v>
          </cell>
          <cell r="F1450" t="str">
            <v>Closed</v>
          </cell>
          <cell r="G1450">
            <v>30035</v>
          </cell>
        </row>
        <row r="1451">
          <cell r="C1451" t="str">
            <v>17112023-A-026471</v>
          </cell>
          <cell r="D1451">
            <v>45247</v>
          </cell>
          <cell r="E1451" t="str">
            <v>Raw Material</v>
          </cell>
          <cell r="F1451" t="str">
            <v>Closed</v>
          </cell>
          <cell r="G1451">
            <v>31067</v>
          </cell>
        </row>
        <row r="1452">
          <cell r="C1452" t="str">
            <v>17112023-A-026474</v>
          </cell>
          <cell r="D1452">
            <v>45247</v>
          </cell>
          <cell r="E1452" t="str">
            <v>Raw Material</v>
          </cell>
          <cell r="F1452" t="str">
            <v>Closed</v>
          </cell>
          <cell r="G1452">
            <v>183838</v>
          </cell>
        </row>
        <row r="1453">
          <cell r="C1453" t="str">
            <v>17112023-A-026484</v>
          </cell>
          <cell r="D1453">
            <v>45247</v>
          </cell>
          <cell r="E1453" t="str">
            <v>Raw Material</v>
          </cell>
          <cell r="F1453" t="str">
            <v>Closed</v>
          </cell>
          <cell r="G1453">
            <v>92651</v>
          </cell>
        </row>
        <row r="1454">
          <cell r="C1454" t="str">
            <v>17112023-A-026488</v>
          </cell>
          <cell r="D1454">
            <v>45247</v>
          </cell>
          <cell r="E1454" t="str">
            <v>Raw Material</v>
          </cell>
          <cell r="F1454" t="str">
            <v>Closed</v>
          </cell>
          <cell r="G1454">
            <v>123873</v>
          </cell>
        </row>
        <row r="1455">
          <cell r="C1455" t="str">
            <v>17112023-A-026491</v>
          </cell>
          <cell r="D1455">
            <v>45247</v>
          </cell>
          <cell r="E1455" t="str">
            <v>Raw Material</v>
          </cell>
          <cell r="F1455" t="str">
            <v>Closed</v>
          </cell>
          <cell r="G1455">
            <v>29798</v>
          </cell>
        </row>
        <row r="1456">
          <cell r="C1456" t="str">
            <v>17112023-A-026498</v>
          </cell>
          <cell r="D1456">
            <v>45247</v>
          </cell>
          <cell r="E1456" t="str">
            <v>Raw Material</v>
          </cell>
          <cell r="F1456" t="str">
            <v>Closed</v>
          </cell>
          <cell r="G1456">
            <v>32759</v>
          </cell>
        </row>
        <row r="1457">
          <cell r="C1457" t="str">
            <v>17112023-A-026507</v>
          </cell>
          <cell r="D1457">
            <v>45247</v>
          </cell>
          <cell r="E1457" t="str">
            <v>Raw Material</v>
          </cell>
          <cell r="F1457" t="str">
            <v>Closed</v>
          </cell>
          <cell r="G1457">
            <v>30368</v>
          </cell>
        </row>
        <row r="1458">
          <cell r="C1458" t="str">
            <v>17112023-A-026513</v>
          </cell>
          <cell r="D1458">
            <v>45247</v>
          </cell>
          <cell r="E1458" t="str">
            <v>Raw Material</v>
          </cell>
          <cell r="F1458" t="str">
            <v>Closed</v>
          </cell>
          <cell r="G1458">
            <v>30480</v>
          </cell>
        </row>
        <row r="1459">
          <cell r="C1459" t="str">
            <v>17112023-A-026529</v>
          </cell>
          <cell r="D1459">
            <v>45247</v>
          </cell>
          <cell r="E1459" t="str">
            <v>Raw Material</v>
          </cell>
          <cell r="F1459" t="str">
            <v>Closed</v>
          </cell>
          <cell r="G1459">
            <v>30645</v>
          </cell>
        </row>
        <row r="1460">
          <cell r="C1460" t="str">
            <v>17112023-A-026518</v>
          </cell>
          <cell r="D1460">
            <v>45247</v>
          </cell>
          <cell r="E1460" t="str">
            <v>Raw Material</v>
          </cell>
          <cell r="F1460" t="str">
            <v>Closed</v>
          </cell>
          <cell r="G1460">
            <v>31050</v>
          </cell>
        </row>
        <row r="1461">
          <cell r="C1461" t="str">
            <v>17112023-A-026523</v>
          </cell>
          <cell r="D1461">
            <v>45247</v>
          </cell>
          <cell r="E1461" t="str">
            <v>Raw Material</v>
          </cell>
          <cell r="F1461" t="str">
            <v>Closed</v>
          </cell>
          <cell r="G1461">
            <v>29698</v>
          </cell>
        </row>
        <row r="1462">
          <cell r="C1462" t="str">
            <v>18112023-A-026769</v>
          </cell>
          <cell r="D1462">
            <v>45248</v>
          </cell>
          <cell r="E1462" t="str">
            <v>Raw Material</v>
          </cell>
          <cell r="F1462" t="str">
            <v>Closed</v>
          </cell>
          <cell r="G1462">
            <v>18144</v>
          </cell>
        </row>
        <row r="1463">
          <cell r="C1463" t="str">
            <v>18112023-A-026772</v>
          </cell>
          <cell r="D1463">
            <v>45248</v>
          </cell>
          <cell r="E1463" t="str">
            <v>Raw Material</v>
          </cell>
          <cell r="F1463" t="str">
            <v>Closed</v>
          </cell>
          <cell r="G1463">
            <v>18144</v>
          </cell>
        </row>
        <row r="1464">
          <cell r="C1464" t="str">
            <v>18112023-A-026779</v>
          </cell>
          <cell r="D1464">
            <v>45248</v>
          </cell>
          <cell r="E1464" t="str">
            <v>Raw Material</v>
          </cell>
          <cell r="F1464" t="str">
            <v>Closed</v>
          </cell>
          <cell r="G1464">
            <v>18144</v>
          </cell>
        </row>
        <row r="1465">
          <cell r="C1465" t="str">
            <v>20112023-A-026954</v>
          </cell>
          <cell r="D1465">
            <v>45250</v>
          </cell>
          <cell r="E1465" t="str">
            <v>Raw Material</v>
          </cell>
          <cell r="F1465" t="str">
            <v>Closed</v>
          </cell>
          <cell r="G1465">
            <v>18144</v>
          </cell>
        </row>
        <row r="1466">
          <cell r="C1466" t="str">
            <v>20112023-A-026961</v>
          </cell>
          <cell r="D1466">
            <v>45250</v>
          </cell>
          <cell r="E1466" t="str">
            <v>Raw Material</v>
          </cell>
          <cell r="F1466" t="str">
            <v>Closed</v>
          </cell>
          <cell r="G1466">
            <v>18144</v>
          </cell>
        </row>
        <row r="1467">
          <cell r="C1467" t="str">
            <v>20112023-A-026973</v>
          </cell>
          <cell r="D1467">
            <v>45250</v>
          </cell>
          <cell r="E1467" t="str">
            <v>Raw Material</v>
          </cell>
          <cell r="F1467" t="str">
            <v>Closed</v>
          </cell>
          <cell r="G1467">
            <v>9843</v>
          </cell>
        </row>
        <row r="1468">
          <cell r="C1468" t="str">
            <v>20112023-A-026978</v>
          </cell>
          <cell r="D1468">
            <v>45250</v>
          </cell>
          <cell r="E1468" t="str">
            <v>Raw Material</v>
          </cell>
          <cell r="F1468" t="str">
            <v>Closed</v>
          </cell>
          <cell r="G1468">
            <v>14062</v>
          </cell>
        </row>
        <row r="1469">
          <cell r="C1469" t="str">
            <v>20112023-A-026984</v>
          </cell>
          <cell r="D1469">
            <v>45250</v>
          </cell>
          <cell r="E1469" t="str">
            <v>Raw Material</v>
          </cell>
          <cell r="F1469" t="str">
            <v>-</v>
          </cell>
          <cell r="G1469">
            <v>2268</v>
          </cell>
        </row>
        <row r="1470">
          <cell r="C1470" t="str">
            <v>20112023-A-026994</v>
          </cell>
          <cell r="D1470">
            <v>45250</v>
          </cell>
          <cell r="E1470" t="str">
            <v>Raw Material</v>
          </cell>
          <cell r="F1470" t="str">
            <v>Closed</v>
          </cell>
          <cell r="G1470">
            <v>8437</v>
          </cell>
        </row>
        <row r="1471">
          <cell r="C1471" t="str">
            <v>20112023-A-026999</v>
          </cell>
          <cell r="D1471">
            <v>45250</v>
          </cell>
          <cell r="E1471" t="str">
            <v>Raw Material</v>
          </cell>
          <cell r="F1471" t="str">
            <v>Closed</v>
          </cell>
          <cell r="G1471">
            <v>4536</v>
          </cell>
        </row>
        <row r="1472">
          <cell r="C1472" t="str">
            <v>20112023-A-027007</v>
          </cell>
          <cell r="D1472">
            <v>45250</v>
          </cell>
          <cell r="E1472" t="str">
            <v>Raw Material</v>
          </cell>
          <cell r="F1472" t="str">
            <v>-</v>
          </cell>
          <cell r="G1472">
            <v>2268</v>
          </cell>
        </row>
        <row r="1473">
          <cell r="C1473" t="str">
            <v>20112023-A-027037</v>
          </cell>
          <cell r="D1473">
            <v>45250</v>
          </cell>
          <cell r="E1473" t="str">
            <v>Raw Material</v>
          </cell>
          <cell r="F1473" t="str">
            <v>Closed</v>
          </cell>
          <cell r="G1473">
            <v>9410</v>
          </cell>
        </row>
        <row r="1474">
          <cell r="C1474" t="str">
            <v>20112023-A-027050</v>
          </cell>
          <cell r="D1474">
            <v>45250</v>
          </cell>
          <cell r="E1474" t="str">
            <v>Raw Material</v>
          </cell>
          <cell r="F1474" t="str">
            <v>Closed</v>
          </cell>
          <cell r="G1474">
            <v>2994</v>
          </cell>
        </row>
        <row r="1475">
          <cell r="C1475" t="str">
            <v>20112023-A-027059</v>
          </cell>
          <cell r="D1475">
            <v>45250</v>
          </cell>
          <cell r="E1475" t="str">
            <v>Raw Material</v>
          </cell>
          <cell r="F1475" t="str">
            <v>Closed</v>
          </cell>
          <cell r="G1475">
            <v>4445</v>
          </cell>
        </row>
        <row r="1476">
          <cell r="C1476" t="str">
            <v>20112023-A-027064</v>
          </cell>
          <cell r="D1476">
            <v>45250</v>
          </cell>
          <cell r="E1476" t="str">
            <v>Raw Material</v>
          </cell>
          <cell r="F1476" t="str">
            <v>Closed</v>
          </cell>
          <cell r="G1476">
            <v>4536</v>
          </cell>
        </row>
        <row r="1477">
          <cell r="C1477" t="str">
            <v>17112023-A-026533</v>
          </cell>
          <cell r="D1477">
            <v>45247</v>
          </cell>
          <cell r="E1477" t="str">
            <v>Raw Material</v>
          </cell>
          <cell r="F1477" t="str">
            <v>Closed</v>
          </cell>
          <cell r="G1477">
            <v>89659</v>
          </cell>
        </row>
        <row r="1478">
          <cell r="C1478" t="str">
            <v>17112023-A-026448</v>
          </cell>
          <cell r="D1478">
            <v>45247</v>
          </cell>
          <cell r="E1478" t="str">
            <v>Raw Material</v>
          </cell>
          <cell r="F1478" t="str">
            <v>Closed</v>
          </cell>
          <cell r="G1478">
            <v>29930</v>
          </cell>
        </row>
        <row r="1479">
          <cell r="C1479" t="str">
            <v>17112023-A-026461</v>
          </cell>
          <cell r="D1479">
            <v>45247</v>
          </cell>
          <cell r="E1479" t="str">
            <v>Raw Material</v>
          </cell>
          <cell r="F1479" t="str">
            <v>Closed</v>
          </cell>
          <cell r="G1479">
            <v>30775</v>
          </cell>
        </row>
        <row r="1480">
          <cell r="C1480" t="str">
            <v>17112023-A-026537</v>
          </cell>
          <cell r="D1480">
            <v>45247</v>
          </cell>
          <cell r="E1480" t="str">
            <v>Raw Material</v>
          </cell>
          <cell r="F1480" t="str">
            <v>Closed</v>
          </cell>
          <cell r="G1480">
            <v>60860</v>
          </cell>
        </row>
        <row r="1481">
          <cell r="C1481" t="str">
            <v>17112023-A-026542</v>
          </cell>
          <cell r="D1481">
            <v>45247</v>
          </cell>
          <cell r="E1481" t="str">
            <v>Raw Material</v>
          </cell>
          <cell r="F1481" t="str">
            <v>Closed</v>
          </cell>
          <cell r="G1481">
            <v>30816</v>
          </cell>
        </row>
        <row r="1482">
          <cell r="C1482" t="str">
            <v>27112023-A-030664</v>
          </cell>
          <cell r="D1482">
            <v>45257</v>
          </cell>
          <cell r="E1482" t="str">
            <v>Raw Material</v>
          </cell>
          <cell r="F1482" t="str">
            <v>-</v>
          </cell>
          <cell r="G1482">
            <v>4627</v>
          </cell>
        </row>
        <row r="1483">
          <cell r="C1483" t="str">
            <v>27112023-A-030670</v>
          </cell>
          <cell r="D1483">
            <v>45257</v>
          </cell>
          <cell r="E1483" t="str">
            <v>Raw Material</v>
          </cell>
          <cell r="F1483" t="str">
            <v>Closed</v>
          </cell>
          <cell r="G1483">
            <v>4854</v>
          </cell>
        </row>
        <row r="1484">
          <cell r="C1484" t="str">
            <v>27112023-A-030675</v>
          </cell>
          <cell r="D1484">
            <v>45257</v>
          </cell>
          <cell r="E1484" t="str">
            <v>Raw Material</v>
          </cell>
          <cell r="F1484" t="str">
            <v>Closed</v>
          </cell>
          <cell r="G1484">
            <v>1769</v>
          </cell>
        </row>
        <row r="1485">
          <cell r="C1485" t="str">
            <v>27112023-A-030683</v>
          </cell>
          <cell r="D1485">
            <v>45257</v>
          </cell>
          <cell r="E1485" t="str">
            <v>Raw Material</v>
          </cell>
          <cell r="F1485" t="str">
            <v>Closed</v>
          </cell>
          <cell r="G1485">
            <v>6804</v>
          </cell>
        </row>
        <row r="1486">
          <cell r="C1486" t="str">
            <v>27112023-A-030688</v>
          </cell>
          <cell r="D1486">
            <v>45257</v>
          </cell>
          <cell r="E1486" t="str">
            <v>Raw Material</v>
          </cell>
          <cell r="F1486" t="str">
            <v>Closed</v>
          </cell>
          <cell r="G1486">
            <v>726</v>
          </cell>
        </row>
        <row r="1487">
          <cell r="C1487" t="str">
            <v>27112023-A-030698</v>
          </cell>
          <cell r="D1487">
            <v>45257</v>
          </cell>
          <cell r="E1487" t="str">
            <v>Raw Material</v>
          </cell>
          <cell r="F1487" t="str">
            <v>Closed</v>
          </cell>
          <cell r="G1487">
            <v>62395</v>
          </cell>
        </row>
        <row r="1488">
          <cell r="C1488" t="str">
            <v>04122023-A-034274</v>
          </cell>
          <cell r="D1488">
            <v>45264</v>
          </cell>
          <cell r="E1488" t="str">
            <v>Raw Material</v>
          </cell>
          <cell r="F1488" t="str">
            <v>Closed</v>
          </cell>
          <cell r="G1488">
            <v>150</v>
          </cell>
        </row>
        <row r="1489">
          <cell r="C1489" t="str">
            <v>04122023-A-034304</v>
          </cell>
          <cell r="D1489">
            <v>45264</v>
          </cell>
          <cell r="E1489" t="str">
            <v>Raw Material</v>
          </cell>
          <cell r="F1489" t="str">
            <v>Closed</v>
          </cell>
          <cell r="G1489">
            <v>250</v>
          </cell>
        </row>
        <row r="1490">
          <cell r="C1490" t="str">
            <v>04122023-A-034309</v>
          </cell>
          <cell r="D1490">
            <v>45264</v>
          </cell>
          <cell r="E1490" t="str">
            <v>Raw Material</v>
          </cell>
          <cell r="F1490" t="str">
            <v>Closed</v>
          </cell>
          <cell r="G1490">
            <v>2520</v>
          </cell>
        </row>
        <row r="1491">
          <cell r="C1491" t="str">
            <v>04122023-A-034314</v>
          </cell>
          <cell r="D1491">
            <v>45264</v>
          </cell>
          <cell r="E1491" t="str">
            <v>Raw Material</v>
          </cell>
          <cell r="F1491" t="str">
            <v>Closed</v>
          </cell>
          <cell r="G1491">
            <v>8000</v>
          </cell>
        </row>
        <row r="1492">
          <cell r="C1492" t="str">
            <v>04122023-A-034318</v>
          </cell>
          <cell r="D1492">
            <v>45264</v>
          </cell>
          <cell r="E1492" t="str">
            <v>Raw Material</v>
          </cell>
          <cell r="F1492" t="str">
            <v>Closed</v>
          </cell>
          <cell r="G1492">
            <v>4200</v>
          </cell>
        </row>
        <row r="1493">
          <cell r="C1493" t="str">
            <v>04122023-A-034323</v>
          </cell>
          <cell r="D1493">
            <v>45264</v>
          </cell>
          <cell r="E1493" t="str">
            <v>Raw Material</v>
          </cell>
          <cell r="F1493" t="str">
            <v>Closed</v>
          </cell>
          <cell r="G1493">
            <v>3080</v>
          </cell>
        </row>
        <row r="1494">
          <cell r="C1494" t="str">
            <v>04122023-A-034350</v>
          </cell>
          <cell r="D1494">
            <v>45264</v>
          </cell>
          <cell r="E1494" t="str">
            <v>Raw Material</v>
          </cell>
          <cell r="F1494" t="str">
            <v>Closed</v>
          </cell>
          <cell r="G1494">
            <v>1600</v>
          </cell>
        </row>
        <row r="1495">
          <cell r="C1495" t="str">
            <v>04122023-A-034357</v>
          </cell>
          <cell r="D1495">
            <v>45264</v>
          </cell>
          <cell r="E1495" t="str">
            <v>Raw Material</v>
          </cell>
          <cell r="F1495" t="str">
            <v>Closed</v>
          </cell>
          <cell r="G1495">
            <v>2200</v>
          </cell>
        </row>
        <row r="1496">
          <cell r="C1496" t="str">
            <v>04122023-A-034357</v>
          </cell>
          <cell r="D1496">
            <v>45264</v>
          </cell>
          <cell r="E1496" t="str">
            <v>Raw Material</v>
          </cell>
          <cell r="F1496" t="str">
            <v>Closed</v>
          </cell>
          <cell r="G1496">
            <v>1980</v>
          </cell>
        </row>
        <row r="1497">
          <cell r="C1497" t="str">
            <v>04122023-A-034374</v>
          </cell>
          <cell r="D1497">
            <v>45264</v>
          </cell>
          <cell r="E1497" t="str">
            <v>Raw Material</v>
          </cell>
          <cell r="F1497" t="str">
            <v>Closed</v>
          </cell>
          <cell r="G1497">
            <v>540</v>
          </cell>
        </row>
        <row r="1498">
          <cell r="C1498" t="str">
            <v>04122023-A-034385</v>
          </cell>
          <cell r="D1498">
            <v>45264</v>
          </cell>
          <cell r="E1498" t="str">
            <v>Raw Material</v>
          </cell>
          <cell r="F1498" t="str">
            <v>Closed</v>
          </cell>
          <cell r="G1498">
            <v>200</v>
          </cell>
        </row>
        <row r="1499">
          <cell r="C1499" t="str">
            <v>04122023-A-034385</v>
          </cell>
          <cell r="D1499">
            <v>45264</v>
          </cell>
          <cell r="E1499" t="str">
            <v>Raw Material</v>
          </cell>
          <cell r="F1499" t="str">
            <v>Closed</v>
          </cell>
          <cell r="G1499">
            <v>400</v>
          </cell>
        </row>
        <row r="1500">
          <cell r="C1500" t="str">
            <v>04122023-A-034403</v>
          </cell>
          <cell r="D1500">
            <v>45264</v>
          </cell>
          <cell r="E1500" t="str">
            <v>Raw Material</v>
          </cell>
          <cell r="F1500" t="str">
            <v>Closed</v>
          </cell>
          <cell r="G1500">
            <v>25</v>
          </cell>
        </row>
        <row r="1501">
          <cell r="C1501" t="str">
            <v>04122023-A-034409</v>
          </cell>
          <cell r="D1501">
            <v>45264</v>
          </cell>
          <cell r="E1501" t="str">
            <v>Raw Material</v>
          </cell>
          <cell r="F1501" t="str">
            <v>Closed</v>
          </cell>
          <cell r="G1501">
            <v>400</v>
          </cell>
        </row>
        <row r="1502">
          <cell r="C1502" t="str">
            <v>04122023-A-034417</v>
          </cell>
          <cell r="D1502">
            <v>45264</v>
          </cell>
          <cell r="E1502" t="str">
            <v>Raw Material</v>
          </cell>
          <cell r="F1502" t="str">
            <v>Closed</v>
          </cell>
          <cell r="G1502">
            <v>2500</v>
          </cell>
        </row>
        <row r="1503">
          <cell r="C1503" t="str">
            <v>04122023-A-034423</v>
          </cell>
          <cell r="D1503">
            <v>45264</v>
          </cell>
          <cell r="E1503" t="str">
            <v>Raw Material</v>
          </cell>
          <cell r="F1503" t="str">
            <v>Closed</v>
          </cell>
          <cell r="G1503">
            <v>260</v>
          </cell>
        </row>
        <row r="1504">
          <cell r="C1504" t="str">
            <v>04122023-A-034429</v>
          </cell>
          <cell r="D1504">
            <v>45264</v>
          </cell>
          <cell r="E1504" t="str">
            <v>Raw Material</v>
          </cell>
          <cell r="F1504" t="str">
            <v>Closed</v>
          </cell>
          <cell r="G1504">
            <v>5000</v>
          </cell>
        </row>
        <row r="1505">
          <cell r="C1505" t="str">
            <v>07122023-A-035810</v>
          </cell>
          <cell r="D1505">
            <v>45267</v>
          </cell>
          <cell r="E1505" t="str">
            <v>Raw Material</v>
          </cell>
          <cell r="F1505" t="str">
            <v>Closed</v>
          </cell>
          <cell r="G1505">
            <v>5000</v>
          </cell>
        </row>
        <row r="1506">
          <cell r="C1506" t="str">
            <v>14122023-A-038556</v>
          </cell>
          <cell r="D1506">
            <v>45274</v>
          </cell>
          <cell r="E1506" t="str">
            <v>Raw Material</v>
          </cell>
          <cell r="F1506" t="str">
            <v>Closed</v>
          </cell>
          <cell r="G1506">
            <v>5000</v>
          </cell>
        </row>
        <row r="1507">
          <cell r="C1507" t="str">
            <v>21122023-A-041859</v>
          </cell>
          <cell r="D1507">
            <v>45281</v>
          </cell>
          <cell r="E1507" t="str">
            <v>Raw Material</v>
          </cell>
          <cell r="F1507" t="str">
            <v>Closed</v>
          </cell>
          <cell r="G1507">
            <v>5000</v>
          </cell>
        </row>
        <row r="1508">
          <cell r="C1508" t="str">
            <v>23122023-A-042856</v>
          </cell>
          <cell r="D1508">
            <v>45283</v>
          </cell>
          <cell r="E1508" t="str">
            <v>Raw Material</v>
          </cell>
          <cell r="F1508" t="str">
            <v>Closed</v>
          </cell>
          <cell r="G1508">
            <v>5000</v>
          </cell>
        </row>
        <row r="1509">
          <cell r="C1509" t="str">
            <v>26122023-A-043738</v>
          </cell>
          <cell r="D1509">
            <v>45286</v>
          </cell>
          <cell r="E1509" t="str">
            <v>Raw Material</v>
          </cell>
          <cell r="F1509" t="str">
            <v>Closed</v>
          </cell>
          <cell r="G1509">
            <v>5000</v>
          </cell>
        </row>
        <row r="1510">
          <cell r="C1510" t="str">
            <v>26122023-A-043742</v>
          </cell>
          <cell r="D1510">
            <v>45286</v>
          </cell>
          <cell r="E1510" t="str">
            <v>Raw Material</v>
          </cell>
          <cell r="F1510" t="str">
            <v>Closed</v>
          </cell>
          <cell r="G1510">
            <v>5000</v>
          </cell>
        </row>
        <row r="1511">
          <cell r="C1511" t="str">
            <v>26122023-A-043755</v>
          </cell>
          <cell r="D1511">
            <v>45286</v>
          </cell>
          <cell r="E1511" t="str">
            <v>Raw Material</v>
          </cell>
          <cell r="F1511" t="str">
            <v>Closed</v>
          </cell>
          <cell r="G1511">
            <v>3000</v>
          </cell>
        </row>
        <row r="1512">
          <cell r="C1512" t="str">
            <v>26122023-A-043760</v>
          </cell>
          <cell r="D1512">
            <v>45286</v>
          </cell>
          <cell r="E1512" t="str">
            <v>Raw Material</v>
          </cell>
          <cell r="F1512" t="str">
            <v>Closed</v>
          </cell>
          <cell r="G1512">
            <v>4000</v>
          </cell>
        </row>
        <row r="1513">
          <cell r="C1513" t="str">
            <v>26122023-A-043781</v>
          </cell>
          <cell r="D1513">
            <v>45286</v>
          </cell>
          <cell r="E1513" t="str">
            <v>Raw Material</v>
          </cell>
          <cell r="F1513" t="str">
            <v>Closed</v>
          </cell>
          <cell r="G1513">
            <v>5000</v>
          </cell>
        </row>
        <row r="1514">
          <cell r="C1514" t="str">
            <v>26122023-A-043804</v>
          </cell>
          <cell r="D1514">
            <v>45286</v>
          </cell>
          <cell r="E1514" t="str">
            <v>Raw Material</v>
          </cell>
          <cell r="F1514" t="str">
            <v>Closed</v>
          </cell>
          <cell r="G1514">
            <v>5000</v>
          </cell>
        </row>
        <row r="1515">
          <cell r="C1515" t="str">
            <v>26122023-A-043812</v>
          </cell>
          <cell r="D1515">
            <v>45286</v>
          </cell>
          <cell r="E1515" t="str">
            <v>Raw Material</v>
          </cell>
          <cell r="F1515" t="str">
            <v>Closed</v>
          </cell>
          <cell r="G1515">
            <v>5000</v>
          </cell>
        </row>
        <row r="1516">
          <cell r="C1516" t="str">
            <v>26122023-A-043819</v>
          </cell>
          <cell r="D1516">
            <v>45286</v>
          </cell>
          <cell r="E1516" t="str">
            <v>Raw Material</v>
          </cell>
          <cell r="F1516" t="str">
            <v>Closed</v>
          </cell>
          <cell r="G1516">
            <v>5000</v>
          </cell>
        </row>
        <row r="1517">
          <cell r="C1517" t="str">
            <v>26122023-A-043963</v>
          </cell>
          <cell r="D1517">
            <v>45286</v>
          </cell>
          <cell r="E1517" t="str">
            <v>Raw Material</v>
          </cell>
          <cell r="F1517" t="str">
            <v>Closed</v>
          </cell>
          <cell r="G1517">
            <v>1000</v>
          </cell>
        </row>
        <row r="1518">
          <cell r="C1518" t="str">
            <v>26122023-A-043965</v>
          </cell>
          <cell r="D1518">
            <v>45286</v>
          </cell>
          <cell r="E1518" t="str">
            <v>Raw Material</v>
          </cell>
          <cell r="F1518" t="str">
            <v>Closed</v>
          </cell>
          <cell r="G1518">
            <v>3000</v>
          </cell>
        </row>
        <row r="1519">
          <cell r="C1519" t="str">
            <v>26122023-A-043973</v>
          </cell>
          <cell r="D1519">
            <v>45286</v>
          </cell>
          <cell r="E1519" t="str">
            <v>Raw Material</v>
          </cell>
          <cell r="F1519" t="str">
            <v>Closed</v>
          </cell>
          <cell r="G1519">
            <v>4000</v>
          </cell>
        </row>
        <row r="1520">
          <cell r="C1520" t="str">
            <v>26122023-A-043999</v>
          </cell>
          <cell r="D1520">
            <v>45286</v>
          </cell>
          <cell r="E1520" t="str">
            <v>Raw Material</v>
          </cell>
          <cell r="F1520" t="str">
            <v>Closed</v>
          </cell>
          <cell r="G1520">
            <v>4000</v>
          </cell>
        </row>
        <row r="1521">
          <cell r="C1521" t="str">
            <v>26122023-A-044008</v>
          </cell>
          <cell r="D1521">
            <v>45286</v>
          </cell>
          <cell r="E1521" t="str">
            <v>Raw Material</v>
          </cell>
          <cell r="F1521" t="str">
            <v>Closed</v>
          </cell>
          <cell r="G1521">
            <v>4000</v>
          </cell>
        </row>
        <row r="1522">
          <cell r="C1522" t="str">
            <v>26122023-A-044021</v>
          </cell>
          <cell r="D1522">
            <v>45286</v>
          </cell>
          <cell r="E1522" t="str">
            <v>Raw Material</v>
          </cell>
          <cell r="F1522" t="str">
            <v>Closed</v>
          </cell>
          <cell r="G1522">
            <v>25</v>
          </cell>
        </row>
        <row r="1523">
          <cell r="C1523" t="str">
            <v>26122023-A-044027</v>
          </cell>
          <cell r="D1523">
            <v>45286</v>
          </cell>
          <cell r="E1523" t="str">
            <v>Raw Material</v>
          </cell>
          <cell r="F1523" t="str">
            <v>Closed</v>
          </cell>
          <cell r="G1523">
            <v>1500</v>
          </cell>
        </row>
        <row r="1524">
          <cell r="C1524" t="str">
            <v>26122023-A-044101</v>
          </cell>
          <cell r="D1524">
            <v>45286</v>
          </cell>
          <cell r="E1524" t="str">
            <v>Raw Material</v>
          </cell>
          <cell r="F1524" t="str">
            <v>Closed</v>
          </cell>
          <cell r="G1524">
            <v>33710</v>
          </cell>
        </row>
        <row r="1525">
          <cell r="C1525" t="str">
            <v>26122023-A-044107</v>
          </cell>
          <cell r="D1525">
            <v>45286</v>
          </cell>
          <cell r="E1525" t="str">
            <v>Raw Material</v>
          </cell>
          <cell r="F1525" t="str">
            <v>Closed</v>
          </cell>
          <cell r="G1525">
            <v>34304</v>
          </cell>
        </row>
        <row r="1526">
          <cell r="C1526" t="str">
            <v>26122023-A-044113</v>
          </cell>
          <cell r="D1526">
            <v>45286</v>
          </cell>
          <cell r="E1526" t="str">
            <v>Raw Material</v>
          </cell>
          <cell r="F1526" t="str">
            <v>Closed</v>
          </cell>
          <cell r="G1526">
            <v>30663</v>
          </cell>
        </row>
        <row r="1527">
          <cell r="C1527" t="str">
            <v>26122023-A-044120</v>
          </cell>
          <cell r="D1527">
            <v>45286</v>
          </cell>
          <cell r="E1527" t="str">
            <v>Raw Material</v>
          </cell>
          <cell r="F1527" t="str">
            <v>Closed</v>
          </cell>
          <cell r="G1527">
            <v>61842</v>
          </cell>
        </row>
        <row r="1528">
          <cell r="C1528" t="str">
            <v>26122023-A-044124</v>
          </cell>
          <cell r="D1528">
            <v>45286</v>
          </cell>
          <cell r="E1528" t="str">
            <v>Raw Material</v>
          </cell>
          <cell r="F1528" t="str">
            <v>Closed</v>
          </cell>
          <cell r="G1528">
            <v>61260</v>
          </cell>
        </row>
        <row r="1529">
          <cell r="C1529" t="str">
            <v>26122023-A-044127</v>
          </cell>
          <cell r="D1529">
            <v>45286</v>
          </cell>
          <cell r="E1529" t="str">
            <v>Raw Material</v>
          </cell>
          <cell r="F1529" t="str">
            <v>Closed</v>
          </cell>
          <cell r="G1529">
            <v>30610</v>
          </cell>
        </row>
        <row r="1530">
          <cell r="C1530" t="str">
            <v>26122023-A-044133</v>
          </cell>
          <cell r="D1530">
            <v>45286</v>
          </cell>
          <cell r="E1530" t="str">
            <v>Raw Material</v>
          </cell>
          <cell r="F1530" t="str">
            <v>Closed</v>
          </cell>
          <cell r="G1530">
            <v>32365</v>
          </cell>
        </row>
        <row r="1531">
          <cell r="C1531" t="str">
            <v>26122023-A-044140</v>
          </cell>
          <cell r="D1531">
            <v>45286</v>
          </cell>
          <cell r="E1531" t="str">
            <v>Raw Material</v>
          </cell>
          <cell r="F1531" t="str">
            <v>Closed</v>
          </cell>
          <cell r="G1531">
            <v>31510</v>
          </cell>
        </row>
        <row r="1532">
          <cell r="C1532" t="str">
            <v>26122023-A-044147</v>
          </cell>
          <cell r="D1532">
            <v>45286</v>
          </cell>
          <cell r="E1532" t="str">
            <v>Raw Material</v>
          </cell>
          <cell r="F1532" t="str">
            <v>Closed</v>
          </cell>
          <cell r="G1532">
            <v>30961</v>
          </cell>
        </row>
        <row r="1533">
          <cell r="C1533" t="str">
            <v>26122023-A-044152</v>
          </cell>
          <cell r="D1533">
            <v>45286</v>
          </cell>
          <cell r="E1533" t="str">
            <v>Raw Material</v>
          </cell>
          <cell r="F1533" t="str">
            <v>Closed</v>
          </cell>
          <cell r="G1533">
            <v>31020</v>
          </cell>
        </row>
        <row r="1534">
          <cell r="C1534" t="str">
            <v>26122023-A-044206</v>
          </cell>
          <cell r="D1534">
            <v>45286</v>
          </cell>
          <cell r="E1534" t="str">
            <v>Raw Material</v>
          </cell>
          <cell r="F1534" t="str">
            <v>Closed</v>
          </cell>
          <cell r="G1534">
            <v>31390</v>
          </cell>
        </row>
        <row r="1535">
          <cell r="C1535" t="str">
            <v>26122023-A-044210</v>
          </cell>
          <cell r="D1535">
            <v>45286</v>
          </cell>
          <cell r="E1535" t="str">
            <v>Raw Material</v>
          </cell>
          <cell r="F1535" t="str">
            <v>Closed</v>
          </cell>
          <cell r="G1535">
            <v>31566</v>
          </cell>
        </row>
        <row r="1536">
          <cell r="C1536" t="str">
            <v>26122023-A-044216</v>
          </cell>
          <cell r="D1536">
            <v>45286</v>
          </cell>
          <cell r="E1536" t="str">
            <v>Raw Material</v>
          </cell>
          <cell r="F1536" t="str">
            <v>Closed</v>
          </cell>
          <cell r="G1536">
            <v>31315</v>
          </cell>
        </row>
        <row r="1537">
          <cell r="C1537" t="str">
            <v>26122023-A-044222</v>
          </cell>
          <cell r="D1537">
            <v>45286</v>
          </cell>
          <cell r="E1537" t="str">
            <v>Raw Material</v>
          </cell>
          <cell r="F1537" t="str">
            <v>Closed</v>
          </cell>
          <cell r="G1537">
            <v>30994</v>
          </cell>
        </row>
        <row r="1538">
          <cell r="C1538" t="str">
            <v>26122023-A-044226</v>
          </cell>
          <cell r="D1538">
            <v>45286</v>
          </cell>
          <cell r="E1538" t="str">
            <v>Raw Material</v>
          </cell>
          <cell r="F1538" t="str">
            <v>Closed</v>
          </cell>
          <cell r="G1538">
            <v>32380</v>
          </cell>
        </row>
        <row r="1539">
          <cell r="C1539" t="str">
            <v>26122023-A-044234</v>
          </cell>
          <cell r="D1539">
            <v>45286</v>
          </cell>
          <cell r="E1539" t="str">
            <v>Raw Material</v>
          </cell>
          <cell r="F1539" t="str">
            <v>Closed</v>
          </cell>
          <cell r="G1539">
            <v>92297</v>
          </cell>
        </row>
        <row r="1540">
          <cell r="C1540" t="str">
            <v>26122023-A-044237</v>
          </cell>
          <cell r="D1540">
            <v>45286</v>
          </cell>
          <cell r="E1540" t="str">
            <v>Raw Material</v>
          </cell>
          <cell r="F1540" t="str">
            <v>Closed</v>
          </cell>
          <cell r="G1540">
            <v>92763</v>
          </cell>
        </row>
        <row r="1541">
          <cell r="C1541" t="str">
            <v>26122023-A-044247</v>
          </cell>
          <cell r="D1541">
            <v>45286</v>
          </cell>
          <cell r="E1541" t="str">
            <v>Raw Material</v>
          </cell>
          <cell r="F1541" t="str">
            <v>Closed</v>
          </cell>
          <cell r="G1541">
            <v>31010</v>
          </cell>
        </row>
        <row r="1542">
          <cell r="C1542" t="str">
            <v>26122023-A-044278</v>
          </cell>
          <cell r="D1542">
            <v>45286</v>
          </cell>
          <cell r="E1542" t="str">
            <v>Raw Material</v>
          </cell>
          <cell r="F1542" t="str">
            <v>Closed</v>
          </cell>
          <cell r="G1542">
            <v>30729</v>
          </cell>
        </row>
        <row r="1543">
          <cell r="C1543" t="str">
            <v>26122023-A-044286</v>
          </cell>
          <cell r="D1543">
            <v>45286</v>
          </cell>
          <cell r="E1543" t="str">
            <v>Raw Material</v>
          </cell>
          <cell r="F1543" t="str">
            <v>Closed</v>
          </cell>
          <cell r="G1543">
            <v>30314</v>
          </cell>
        </row>
        <row r="1544">
          <cell r="C1544" t="str">
            <v>26122023-A-044292</v>
          </cell>
          <cell r="D1544">
            <v>45286</v>
          </cell>
          <cell r="E1544" t="str">
            <v>Raw Material</v>
          </cell>
          <cell r="F1544" t="str">
            <v>Closed</v>
          </cell>
          <cell r="G1544">
            <v>30965</v>
          </cell>
        </row>
        <row r="1545">
          <cell r="C1545" t="str">
            <v>26122023-A-044300</v>
          </cell>
          <cell r="D1545">
            <v>45286</v>
          </cell>
          <cell r="E1545" t="str">
            <v>Raw Material</v>
          </cell>
          <cell r="F1545" t="str">
            <v>Closed</v>
          </cell>
          <cell r="G1545">
            <v>31340</v>
          </cell>
        </row>
        <row r="1546">
          <cell r="C1546" t="str">
            <v>27122023-A-044558</v>
          </cell>
          <cell r="D1546">
            <v>45287</v>
          </cell>
          <cell r="E1546" t="str">
            <v>Raw Material</v>
          </cell>
          <cell r="F1546" t="str">
            <v>Closed</v>
          </cell>
          <cell r="G1546">
            <v>31280</v>
          </cell>
        </row>
        <row r="1547">
          <cell r="C1547" t="str">
            <v>27122023-A-044561</v>
          </cell>
          <cell r="D1547">
            <v>45287</v>
          </cell>
          <cell r="E1547" t="str">
            <v>Raw Material</v>
          </cell>
          <cell r="F1547" t="str">
            <v>Closed</v>
          </cell>
          <cell r="G1547">
            <v>32020</v>
          </cell>
        </row>
        <row r="1548">
          <cell r="C1548" t="str">
            <v>27122023-A-044566</v>
          </cell>
          <cell r="D1548">
            <v>45287</v>
          </cell>
          <cell r="E1548" t="str">
            <v>Raw Material</v>
          </cell>
          <cell r="F1548" t="str">
            <v>Closed</v>
          </cell>
          <cell r="G1548">
            <v>31120</v>
          </cell>
        </row>
        <row r="1549">
          <cell r="C1549" t="str">
            <v>27122023-A-044568</v>
          </cell>
          <cell r="D1549">
            <v>45287</v>
          </cell>
          <cell r="E1549" t="str">
            <v>Raw Material</v>
          </cell>
          <cell r="F1549" t="str">
            <v>Closed</v>
          </cell>
          <cell r="G1549">
            <v>31895</v>
          </cell>
        </row>
        <row r="1550">
          <cell r="C1550" t="str">
            <v>27122023-A-044575</v>
          </cell>
          <cell r="D1550">
            <v>45287</v>
          </cell>
          <cell r="E1550" t="str">
            <v>Raw Material</v>
          </cell>
          <cell r="F1550" t="str">
            <v>Closed</v>
          </cell>
          <cell r="G1550">
            <v>31962</v>
          </cell>
        </row>
        <row r="1551">
          <cell r="C1551" t="str">
            <v>27122023-A-044577</v>
          </cell>
          <cell r="D1551">
            <v>45287</v>
          </cell>
          <cell r="E1551" t="str">
            <v>Raw Material</v>
          </cell>
          <cell r="F1551" t="str">
            <v>Closed</v>
          </cell>
          <cell r="G1551">
            <v>31305</v>
          </cell>
        </row>
        <row r="1552">
          <cell r="C1552" t="str">
            <v>27122023-A-044581</v>
          </cell>
          <cell r="D1552">
            <v>45287</v>
          </cell>
          <cell r="E1552" t="str">
            <v>Raw Material</v>
          </cell>
          <cell r="F1552" t="str">
            <v>Closed</v>
          </cell>
          <cell r="G1552">
            <v>31700</v>
          </cell>
        </row>
        <row r="1553">
          <cell r="C1553" t="str">
            <v>27122023-A-044586</v>
          </cell>
          <cell r="D1553">
            <v>45287</v>
          </cell>
          <cell r="E1553" t="str">
            <v>Raw Material</v>
          </cell>
          <cell r="F1553" t="str">
            <v>Closed</v>
          </cell>
          <cell r="G1553">
            <v>31615</v>
          </cell>
        </row>
        <row r="1554">
          <cell r="C1554" t="str">
            <v>27122023-A-044589</v>
          </cell>
          <cell r="D1554">
            <v>45287</v>
          </cell>
          <cell r="E1554" t="str">
            <v>Raw Material</v>
          </cell>
          <cell r="F1554" t="str">
            <v>Closed</v>
          </cell>
          <cell r="G1554">
            <v>31208</v>
          </cell>
        </row>
        <row r="1555">
          <cell r="C1555" t="str">
            <v>27122023-A-044604</v>
          </cell>
          <cell r="D1555">
            <v>45287</v>
          </cell>
          <cell r="E1555" t="str">
            <v>Raw Material</v>
          </cell>
          <cell r="F1555" t="str">
            <v>Closed</v>
          </cell>
          <cell r="G1555">
            <v>32381</v>
          </cell>
        </row>
        <row r="1556">
          <cell r="C1556" t="str">
            <v>27122023-A-044606</v>
          </cell>
          <cell r="D1556">
            <v>45287</v>
          </cell>
          <cell r="E1556" t="str">
            <v>Raw Material</v>
          </cell>
          <cell r="F1556" t="str">
            <v>Closed</v>
          </cell>
          <cell r="G1556">
            <v>32030</v>
          </cell>
        </row>
        <row r="1557">
          <cell r="C1557" t="str">
            <v>27122023-A-044607</v>
          </cell>
          <cell r="D1557">
            <v>45287</v>
          </cell>
          <cell r="E1557" t="str">
            <v>Raw Material</v>
          </cell>
          <cell r="F1557" t="str">
            <v>Closed</v>
          </cell>
          <cell r="G1557">
            <v>31229</v>
          </cell>
        </row>
        <row r="1558">
          <cell r="C1558" t="str">
            <v>27122023-A-044610</v>
          </cell>
          <cell r="D1558">
            <v>45287</v>
          </cell>
          <cell r="E1558" t="str">
            <v>Raw Material</v>
          </cell>
          <cell r="F1558" t="str">
            <v>Closed</v>
          </cell>
          <cell r="G1558">
            <v>31896</v>
          </cell>
        </row>
        <row r="1559">
          <cell r="C1559" t="str">
            <v>27122023-A-044612</v>
          </cell>
          <cell r="D1559">
            <v>45287</v>
          </cell>
          <cell r="E1559" t="str">
            <v>Raw Material</v>
          </cell>
          <cell r="F1559" t="str">
            <v>Closed</v>
          </cell>
          <cell r="G1559">
            <v>30954</v>
          </cell>
        </row>
        <row r="1560">
          <cell r="C1560" t="str">
            <v>27122023-A-044618</v>
          </cell>
          <cell r="D1560">
            <v>45287</v>
          </cell>
          <cell r="E1560" t="str">
            <v>Raw Material</v>
          </cell>
          <cell r="F1560" t="str">
            <v>Closed</v>
          </cell>
          <cell r="G1560">
            <v>29890</v>
          </cell>
        </row>
        <row r="1561">
          <cell r="C1561" t="str">
            <v>27122023-A-044625</v>
          </cell>
          <cell r="D1561">
            <v>45287</v>
          </cell>
          <cell r="E1561" t="str">
            <v>Raw Material</v>
          </cell>
          <cell r="F1561" t="str">
            <v>Closed</v>
          </cell>
          <cell r="G1561">
            <v>29860</v>
          </cell>
        </row>
        <row r="1562">
          <cell r="C1562" t="str">
            <v>27122023-A-044626</v>
          </cell>
          <cell r="D1562">
            <v>45287</v>
          </cell>
          <cell r="E1562" t="str">
            <v>Raw Material</v>
          </cell>
          <cell r="F1562" t="str">
            <v>Closed</v>
          </cell>
          <cell r="G1562">
            <v>89032</v>
          </cell>
        </row>
        <row r="1563">
          <cell r="C1563" t="str">
            <v>27122023-A-044634</v>
          </cell>
          <cell r="D1563">
            <v>45287</v>
          </cell>
          <cell r="E1563" t="str">
            <v>Raw Material</v>
          </cell>
          <cell r="F1563" t="str">
            <v>Closed</v>
          </cell>
          <cell r="G1563">
            <v>184463</v>
          </cell>
        </row>
        <row r="1564">
          <cell r="C1564" t="str">
            <v>27122023-A-044639</v>
          </cell>
          <cell r="D1564">
            <v>45287</v>
          </cell>
          <cell r="E1564" t="str">
            <v>Raw Material</v>
          </cell>
          <cell r="F1564" t="str">
            <v>Closed</v>
          </cell>
          <cell r="G1564">
            <v>32370</v>
          </cell>
        </row>
        <row r="1565">
          <cell r="C1565" t="str">
            <v>27122023-A-044645</v>
          </cell>
          <cell r="D1565">
            <v>45287</v>
          </cell>
          <cell r="E1565" t="str">
            <v>Raw Material</v>
          </cell>
          <cell r="F1565" t="str">
            <v>Closed</v>
          </cell>
          <cell r="G1565">
            <v>30708</v>
          </cell>
        </row>
        <row r="1566">
          <cell r="C1566" t="str">
            <v>27122023-A-044647</v>
          </cell>
          <cell r="D1566">
            <v>45287</v>
          </cell>
          <cell r="E1566" t="str">
            <v>Raw Material</v>
          </cell>
          <cell r="F1566" t="str">
            <v>Closed</v>
          </cell>
          <cell r="G1566">
            <v>31348</v>
          </cell>
        </row>
        <row r="1567">
          <cell r="C1567" t="str">
            <v>27122023-A-044650</v>
          </cell>
          <cell r="D1567">
            <v>45287</v>
          </cell>
          <cell r="E1567" t="str">
            <v>Raw Material</v>
          </cell>
          <cell r="F1567" t="str">
            <v>Closed</v>
          </cell>
          <cell r="G1567">
            <v>31355</v>
          </cell>
        </row>
        <row r="1568">
          <cell r="C1568" t="str">
            <v>27122023-A-044657</v>
          </cell>
          <cell r="D1568">
            <v>45287</v>
          </cell>
          <cell r="E1568" t="str">
            <v>Raw Material</v>
          </cell>
          <cell r="F1568" t="str">
            <v>Closed</v>
          </cell>
          <cell r="G1568">
            <v>91452</v>
          </cell>
        </row>
        <row r="1569">
          <cell r="C1569" t="str">
            <v>27122023-A-044663</v>
          </cell>
          <cell r="D1569">
            <v>45287</v>
          </cell>
          <cell r="E1569" t="str">
            <v>Raw Material</v>
          </cell>
          <cell r="F1569" t="str">
            <v>Closed</v>
          </cell>
          <cell r="G1569">
            <v>29681</v>
          </cell>
        </row>
        <row r="1570">
          <cell r="C1570" t="str">
            <v>27122023-A-044668</v>
          </cell>
          <cell r="D1570">
            <v>45287</v>
          </cell>
          <cell r="E1570" t="str">
            <v>Raw Material</v>
          </cell>
          <cell r="F1570" t="str">
            <v>Closed</v>
          </cell>
          <cell r="G1570">
            <v>59309</v>
          </cell>
        </row>
        <row r="1571">
          <cell r="C1571" t="str">
            <v>27122023-A-044673</v>
          </cell>
          <cell r="D1571">
            <v>45287</v>
          </cell>
          <cell r="E1571" t="str">
            <v>Raw Material</v>
          </cell>
          <cell r="F1571" t="str">
            <v>Closed</v>
          </cell>
          <cell r="G1571">
            <v>22219</v>
          </cell>
        </row>
        <row r="1572">
          <cell r="C1572" t="str">
            <v>27122023-A-044676</v>
          </cell>
          <cell r="D1572">
            <v>45287</v>
          </cell>
          <cell r="E1572" t="str">
            <v>Raw Material</v>
          </cell>
          <cell r="F1572" t="str">
            <v>Closed</v>
          </cell>
          <cell r="G1572">
            <v>12811</v>
          </cell>
        </row>
        <row r="1573">
          <cell r="C1573" t="str">
            <v>27122023-A-044680</v>
          </cell>
          <cell r="D1573">
            <v>45287</v>
          </cell>
          <cell r="E1573" t="str">
            <v>Raw Material</v>
          </cell>
          <cell r="F1573" t="str">
            <v>Closed</v>
          </cell>
          <cell r="G1573">
            <v>1364</v>
          </cell>
        </row>
        <row r="1574">
          <cell r="C1574" t="str">
            <v>27122023-A-044687</v>
          </cell>
          <cell r="D1574">
            <v>45287</v>
          </cell>
          <cell r="E1574" t="str">
            <v>Raw Material</v>
          </cell>
          <cell r="F1574" t="str">
            <v>Closed</v>
          </cell>
          <cell r="G1574">
            <v>12864</v>
          </cell>
        </row>
        <row r="1575">
          <cell r="C1575" t="str">
            <v>27122023-A-044691</v>
          </cell>
          <cell r="D1575">
            <v>45287</v>
          </cell>
          <cell r="E1575" t="str">
            <v>Raw Material</v>
          </cell>
          <cell r="F1575" t="str">
            <v>Closed</v>
          </cell>
          <cell r="G1575">
            <v>11920</v>
          </cell>
        </row>
        <row r="1576">
          <cell r="C1576" t="str">
            <v>27122023-A-044707</v>
          </cell>
          <cell r="D1576">
            <v>45287</v>
          </cell>
          <cell r="E1576" t="str">
            <v>Raw Material</v>
          </cell>
          <cell r="F1576" t="str">
            <v>Closed</v>
          </cell>
          <cell r="G1576">
            <v>12884</v>
          </cell>
        </row>
        <row r="1577">
          <cell r="C1577" t="str">
            <v>27122023-A-044711</v>
          </cell>
          <cell r="D1577">
            <v>45287</v>
          </cell>
          <cell r="E1577" t="str">
            <v>Raw Material</v>
          </cell>
          <cell r="F1577" t="str">
            <v>Closed</v>
          </cell>
          <cell r="G1577">
            <v>12050</v>
          </cell>
        </row>
        <row r="1578">
          <cell r="C1578" t="str">
            <v>27122023-A-044715</v>
          </cell>
          <cell r="D1578">
            <v>45287</v>
          </cell>
          <cell r="E1578" t="str">
            <v>Raw Material</v>
          </cell>
          <cell r="F1578" t="str">
            <v>Closed</v>
          </cell>
          <cell r="G1578">
            <v>10282</v>
          </cell>
        </row>
        <row r="1579">
          <cell r="C1579" t="str">
            <v>27122023-A-044717</v>
          </cell>
          <cell r="D1579">
            <v>45287</v>
          </cell>
          <cell r="E1579" t="str">
            <v>Raw Material</v>
          </cell>
          <cell r="F1579" t="str">
            <v>Closed</v>
          </cell>
          <cell r="G1579">
            <v>12357</v>
          </cell>
        </row>
        <row r="1580">
          <cell r="C1580" t="str">
            <v>27122023-A-044722</v>
          </cell>
          <cell r="D1580">
            <v>45287</v>
          </cell>
          <cell r="E1580" t="str">
            <v>Raw Material</v>
          </cell>
          <cell r="F1580" t="str">
            <v>Closed</v>
          </cell>
          <cell r="G1580">
            <v>11970</v>
          </cell>
        </row>
        <row r="1581">
          <cell r="C1581" t="str">
            <v>27122023-A-044737</v>
          </cell>
          <cell r="D1581">
            <v>45287</v>
          </cell>
          <cell r="E1581" t="str">
            <v>Raw Material</v>
          </cell>
          <cell r="F1581" t="str">
            <v>Closed</v>
          </cell>
          <cell r="G1581">
            <v>5670</v>
          </cell>
        </row>
        <row r="1582">
          <cell r="C1582" t="str">
            <v>27122023-A-044747</v>
          </cell>
          <cell r="D1582">
            <v>45287</v>
          </cell>
          <cell r="E1582" t="str">
            <v>Raw Material</v>
          </cell>
          <cell r="F1582" t="str">
            <v>Closed</v>
          </cell>
          <cell r="G1582">
            <v>7666</v>
          </cell>
        </row>
        <row r="1583">
          <cell r="C1583" t="str">
            <v>27122023-A-044749</v>
          </cell>
          <cell r="D1583">
            <v>45287</v>
          </cell>
          <cell r="E1583" t="str">
            <v>Raw Material</v>
          </cell>
          <cell r="F1583" t="str">
            <v>Closed</v>
          </cell>
          <cell r="G1583">
            <v>5534</v>
          </cell>
        </row>
        <row r="1584">
          <cell r="C1584" t="str">
            <v>27122023-A-044753</v>
          </cell>
          <cell r="D1584">
            <v>45287</v>
          </cell>
          <cell r="E1584" t="str">
            <v>Raw Material</v>
          </cell>
          <cell r="F1584" t="str">
            <v>Closed</v>
          </cell>
          <cell r="G1584">
            <v>4854</v>
          </cell>
        </row>
        <row r="1585">
          <cell r="C1585" t="str">
            <v>02012024-A-047155</v>
          </cell>
          <cell r="D1585">
            <v>45293</v>
          </cell>
          <cell r="E1585" t="str">
            <v>Raw Material</v>
          </cell>
          <cell r="F1585" t="str">
            <v>Closed</v>
          </cell>
          <cell r="G1585">
            <v>12120</v>
          </cell>
        </row>
        <row r="1586">
          <cell r="C1586" t="str">
            <v>02012024-A-047159</v>
          </cell>
          <cell r="D1586">
            <v>45293</v>
          </cell>
          <cell r="E1586" t="str">
            <v>Raw Material</v>
          </cell>
          <cell r="F1586" t="str">
            <v>Closed</v>
          </cell>
          <cell r="G1586">
            <v>12734</v>
          </cell>
        </row>
        <row r="1587">
          <cell r="C1587" t="str">
            <v>02012024-A-047163</v>
          </cell>
          <cell r="D1587">
            <v>45293</v>
          </cell>
          <cell r="E1587" t="str">
            <v>Raw Material</v>
          </cell>
          <cell r="F1587" t="str">
            <v>Closed</v>
          </cell>
          <cell r="G1587">
            <v>12654</v>
          </cell>
        </row>
        <row r="1588">
          <cell r="C1588" t="str">
            <v>02012024-A-047167</v>
          </cell>
          <cell r="D1588">
            <v>45293</v>
          </cell>
          <cell r="E1588" t="str">
            <v>Raw Material</v>
          </cell>
          <cell r="F1588" t="str">
            <v>Closed</v>
          </cell>
          <cell r="G1588">
            <v>12050</v>
          </cell>
        </row>
        <row r="1589">
          <cell r="C1589" t="str">
            <v>02012024-A-047177</v>
          </cell>
          <cell r="D1589">
            <v>45293</v>
          </cell>
          <cell r="E1589" t="str">
            <v>Raw Material</v>
          </cell>
          <cell r="F1589" t="str">
            <v>Closed</v>
          </cell>
          <cell r="G1589">
            <v>11794</v>
          </cell>
        </row>
        <row r="1590">
          <cell r="C1590" t="str">
            <v>02012024-A-047184</v>
          </cell>
          <cell r="D1590">
            <v>45293</v>
          </cell>
          <cell r="E1590" t="str">
            <v>Raw Material</v>
          </cell>
          <cell r="F1590" t="str">
            <v>Closed</v>
          </cell>
          <cell r="G1590">
            <v>6577</v>
          </cell>
        </row>
        <row r="1591">
          <cell r="C1591" t="str">
            <v>02012024-A-047189</v>
          </cell>
          <cell r="D1591">
            <v>45293</v>
          </cell>
          <cell r="E1591" t="str">
            <v>Raw Material</v>
          </cell>
          <cell r="F1591" t="str">
            <v>Closed</v>
          </cell>
          <cell r="G1591">
            <v>9072</v>
          </cell>
        </row>
        <row r="1592">
          <cell r="C1592" t="str">
            <v>02012024-A-047195</v>
          </cell>
          <cell r="D1592">
            <v>45293</v>
          </cell>
          <cell r="E1592" t="str">
            <v>Raw Material</v>
          </cell>
          <cell r="F1592" t="str">
            <v>Closed</v>
          </cell>
          <cell r="G1592">
            <v>6350</v>
          </cell>
        </row>
        <row r="1593">
          <cell r="C1593" t="str">
            <v>02012024-A-047200</v>
          </cell>
          <cell r="D1593">
            <v>45293</v>
          </cell>
          <cell r="E1593" t="str">
            <v>Raw Material</v>
          </cell>
          <cell r="F1593" t="str">
            <v>Closed</v>
          </cell>
          <cell r="G1593">
            <v>8119</v>
          </cell>
        </row>
        <row r="1594">
          <cell r="C1594" t="str">
            <v>02012024-A-047210</v>
          </cell>
          <cell r="D1594">
            <v>45293</v>
          </cell>
          <cell r="E1594" t="str">
            <v>Raw Material</v>
          </cell>
          <cell r="F1594" t="str">
            <v>Closed</v>
          </cell>
          <cell r="G1594">
            <v>5625</v>
          </cell>
        </row>
        <row r="1595">
          <cell r="C1595" t="str">
            <v>02012024-A-047215</v>
          </cell>
          <cell r="D1595">
            <v>45293</v>
          </cell>
          <cell r="E1595" t="str">
            <v>Raw Material</v>
          </cell>
          <cell r="F1595" t="str">
            <v>Closed</v>
          </cell>
          <cell r="G1595">
            <v>6804</v>
          </cell>
        </row>
        <row r="1596">
          <cell r="C1596" t="str">
            <v>02012024-A-047222</v>
          </cell>
          <cell r="D1596">
            <v>45293</v>
          </cell>
          <cell r="E1596" t="str">
            <v>Raw Material</v>
          </cell>
          <cell r="F1596" t="str">
            <v>Closed</v>
          </cell>
          <cell r="G1596">
            <v>8618</v>
          </cell>
        </row>
        <row r="1597">
          <cell r="C1597" t="str">
            <v>02012024-A-047229</v>
          </cell>
          <cell r="D1597">
            <v>45293</v>
          </cell>
          <cell r="E1597" t="str">
            <v>Raw Material</v>
          </cell>
          <cell r="F1597" t="str">
            <v>Closed</v>
          </cell>
          <cell r="G1597">
            <v>2722</v>
          </cell>
        </row>
        <row r="1598">
          <cell r="C1598" t="str">
            <v>02012024-A-047233</v>
          </cell>
          <cell r="D1598">
            <v>45293</v>
          </cell>
          <cell r="E1598" t="str">
            <v>Raw Material</v>
          </cell>
          <cell r="F1598" t="str">
            <v>Closed</v>
          </cell>
          <cell r="G1598">
            <v>9072</v>
          </cell>
        </row>
        <row r="1599">
          <cell r="C1599" t="str">
            <v>02012024-A-047234</v>
          </cell>
          <cell r="D1599">
            <v>45293</v>
          </cell>
          <cell r="E1599" t="str">
            <v>Raw Material</v>
          </cell>
          <cell r="F1599" t="str">
            <v>Closed</v>
          </cell>
          <cell r="G1599">
            <v>9072</v>
          </cell>
        </row>
        <row r="1600">
          <cell r="C1600" t="str">
            <v>02012024-A-047246</v>
          </cell>
          <cell r="D1600">
            <v>45293</v>
          </cell>
          <cell r="E1600" t="str">
            <v>Raw Material</v>
          </cell>
          <cell r="F1600" t="str">
            <v>Closed</v>
          </cell>
          <cell r="G1600">
            <v>4510</v>
          </cell>
        </row>
        <row r="1601">
          <cell r="C1601" t="str">
            <v>02012024-A-047249</v>
          </cell>
          <cell r="D1601">
            <v>45293</v>
          </cell>
          <cell r="E1601" t="str">
            <v>Raw Material</v>
          </cell>
          <cell r="F1601" t="str">
            <v>Closed</v>
          </cell>
          <cell r="G1601">
            <v>2200</v>
          </cell>
        </row>
        <row r="1602">
          <cell r="C1602" t="str">
            <v>02012024-A-047254</v>
          </cell>
          <cell r="D1602">
            <v>45293</v>
          </cell>
          <cell r="E1602" t="str">
            <v>Raw Material</v>
          </cell>
          <cell r="F1602" t="str">
            <v>Closed</v>
          </cell>
          <cell r="G1602">
            <v>1540</v>
          </cell>
        </row>
        <row r="1603">
          <cell r="C1603" t="str">
            <v>02012024-A-047258</v>
          </cell>
          <cell r="D1603">
            <v>45293</v>
          </cell>
          <cell r="E1603" t="str">
            <v>Raw Material</v>
          </cell>
          <cell r="F1603" t="str">
            <v>Closed</v>
          </cell>
          <cell r="G1603">
            <v>600</v>
          </cell>
        </row>
        <row r="1604">
          <cell r="C1604" t="str">
            <v>02012024-A-047267</v>
          </cell>
          <cell r="D1604">
            <v>45293</v>
          </cell>
          <cell r="E1604" t="str">
            <v>Raw Material</v>
          </cell>
          <cell r="F1604" t="str">
            <v>Closed</v>
          </cell>
          <cell r="G1604">
            <v>2000</v>
          </cell>
        </row>
        <row r="1605">
          <cell r="C1605" t="str">
            <v>02012024-A-047270</v>
          </cell>
          <cell r="D1605">
            <v>45293</v>
          </cell>
          <cell r="E1605" t="str">
            <v>Raw Material</v>
          </cell>
          <cell r="F1605" t="str">
            <v>Closed</v>
          </cell>
          <cell r="G1605">
            <v>1000</v>
          </cell>
        </row>
        <row r="1606">
          <cell r="C1606" t="str">
            <v>02012024-A-047281</v>
          </cell>
          <cell r="D1606">
            <v>45293</v>
          </cell>
          <cell r="E1606" t="str">
            <v>Raw Material</v>
          </cell>
          <cell r="F1606" t="str">
            <v>Closed</v>
          </cell>
          <cell r="G1606">
            <v>2000</v>
          </cell>
        </row>
        <row r="1607">
          <cell r="C1607" t="str">
            <v>02012024-A-047287</v>
          </cell>
          <cell r="D1607">
            <v>45293</v>
          </cell>
          <cell r="E1607" t="str">
            <v>Raw Material</v>
          </cell>
          <cell r="F1607" t="str">
            <v>Closed</v>
          </cell>
          <cell r="G1607">
            <v>2000</v>
          </cell>
        </row>
        <row r="1608">
          <cell r="C1608" t="str">
            <v>02012024-A-047308</v>
          </cell>
          <cell r="D1608">
            <v>45293</v>
          </cell>
          <cell r="E1608" t="str">
            <v>Raw Material</v>
          </cell>
          <cell r="F1608" t="str">
            <v>Closed</v>
          </cell>
          <cell r="G1608">
            <v>1000</v>
          </cell>
        </row>
        <row r="1609">
          <cell r="C1609" t="str">
            <v>02012024-A-047312</v>
          </cell>
          <cell r="D1609">
            <v>45293</v>
          </cell>
          <cell r="E1609" t="str">
            <v>Raw Material</v>
          </cell>
          <cell r="F1609" t="str">
            <v>Closed</v>
          </cell>
          <cell r="G1609">
            <v>2000</v>
          </cell>
        </row>
        <row r="1610">
          <cell r="C1610" t="str">
            <v>02012024-A-047316</v>
          </cell>
          <cell r="D1610">
            <v>45293</v>
          </cell>
          <cell r="E1610" t="str">
            <v>Raw Material</v>
          </cell>
          <cell r="F1610" t="str">
            <v>Closed</v>
          </cell>
          <cell r="G1610">
            <v>10000</v>
          </cell>
        </row>
        <row r="1611">
          <cell r="C1611" t="str">
            <v>02012024-A-047319</v>
          </cell>
          <cell r="D1611">
            <v>45293</v>
          </cell>
          <cell r="E1611" t="str">
            <v>Raw Material</v>
          </cell>
          <cell r="F1611" t="str">
            <v>Closed</v>
          </cell>
          <cell r="G1611">
            <v>19810</v>
          </cell>
        </row>
        <row r="1612">
          <cell r="C1612" t="str">
            <v>02012024-A-047320</v>
          </cell>
          <cell r="D1612">
            <v>45293</v>
          </cell>
          <cell r="E1612" t="str">
            <v>Raw Material</v>
          </cell>
          <cell r="F1612" t="str">
            <v>Closed</v>
          </cell>
          <cell r="G1612">
            <v>29760</v>
          </cell>
        </row>
        <row r="1613">
          <cell r="C1613" t="str">
            <v>02012024-A-047324</v>
          </cell>
          <cell r="D1613">
            <v>45293</v>
          </cell>
          <cell r="E1613" t="str">
            <v>Raw Material</v>
          </cell>
          <cell r="F1613" t="str">
            <v>Closed</v>
          </cell>
          <cell r="G1613">
            <v>19410</v>
          </cell>
        </row>
        <row r="1614">
          <cell r="C1614" t="str">
            <v>02012024-A-047326</v>
          </cell>
          <cell r="D1614">
            <v>45293</v>
          </cell>
          <cell r="E1614" t="str">
            <v>Raw Material</v>
          </cell>
          <cell r="F1614" t="str">
            <v>Closed</v>
          </cell>
          <cell r="G1614">
            <v>17070</v>
          </cell>
        </row>
        <row r="1615">
          <cell r="C1615" t="str">
            <v>02012024-A-047329</v>
          </cell>
          <cell r="D1615">
            <v>45293</v>
          </cell>
          <cell r="E1615" t="str">
            <v>Raw Material</v>
          </cell>
          <cell r="F1615" t="str">
            <v>Closed</v>
          </cell>
          <cell r="G1615">
            <v>74</v>
          </cell>
        </row>
        <row r="1616">
          <cell r="C1616" t="str">
            <v>03012024-A-047436</v>
          </cell>
          <cell r="D1616">
            <v>45294</v>
          </cell>
          <cell r="E1616" t="str">
            <v>Raw Material</v>
          </cell>
          <cell r="F1616" t="str">
            <v>Closed</v>
          </cell>
          <cell r="G1616">
            <v>5000</v>
          </cell>
        </row>
        <row r="1617">
          <cell r="C1617" t="str">
            <v>03012024-A-047464</v>
          </cell>
          <cell r="D1617">
            <v>45294</v>
          </cell>
          <cell r="E1617" t="str">
            <v>Raw Material</v>
          </cell>
          <cell r="F1617" t="str">
            <v>Closed</v>
          </cell>
          <cell r="G1617">
            <v>22434</v>
          </cell>
        </row>
        <row r="1618">
          <cell r="C1618" t="str">
            <v>03012024-A-047470</v>
          </cell>
          <cell r="D1618">
            <v>45294</v>
          </cell>
          <cell r="E1618" t="str">
            <v>Raw Material</v>
          </cell>
          <cell r="F1618" t="str">
            <v>Closed</v>
          </cell>
          <cell r="G1618">
            <v>9964</v>
          </cell>
        </row>
        <row r="1619">
          <cell r="C1619" t="str">
            <v>03012024-A-047474</v>
          </cell>
          <cell r="D1619">
            <v>45294</v>
          </cell>
          <cell r="E1619" t="str">
            <v>Raw Material</v>
          </cell>
          <cell r="F1619" t="str">
            <v>Closed</v>
          </cell>
          <cell r="G1619">
            <v>10460</v>
          </cell>
        </row>
        <row r="1620">
          <cell r="C1620" t="str">
            <v>03012024-A-047480</v>
          </cell>
          <cell r="D1620">
            <v>45294</v>
          </cell>
          <cell r="E1620" t="str">
            <v>Raw Material</v>
          </cell>
          <cell r="F1620" t="str">
            <v>Closed</v>
          </cell>
          <cell r="G1620">
            <v>25563</v>
          </cell>
        </row>
        <row r="1621">
          <cell r="C1621" t="str">
            <v>03012024-A-047490</v>
          </cell>
          <cell r="D1621">
            <v>45294</v>
          </cell>
          <cell r="E1621" t="str">
            <v>Raw Material</v>
          </cell>
          <cell r="F1621" t="str">
            <v>Closed</v>
          </cell>
          <cell r="G1621">
            <v>9224</v>
          </cell>
        </row>
        <row r="1622">
          <cell r="C1622" t="str">
            <v>03012024-A-047502</v>
          </cell>
          <cell r="D1622">
            <v>45294</v>
          </cell>
          <cell r="E1622" t="str">
            <v>Raw Material</v>
          </cell>
          <cell r="F1622" t="str">
            <v>Closed</v>
          </cell>
          <cell r="G1622">
            <v>18130</v>
          </cell>
        </row>
        <row r="1623">
          <cell r="C1623" t="str">
            <v>03012024-A-047507</v>
          </cell>
          <cell r="D1623">
            <v>45294</v>
          </cell>
          <cell r="E1623" t="str">
            <v>Raw Material</v>
          </cell>
          <cell r="F1623" t="str">
            <v>Closed</v>
          </cell>
          <cell r="G1623">
            <v>22417</v>
          </cell>
        </row>
        <row r="1624">
          <cell r="C1624" t="str">
            <v>03012024-A-047528</v>
          </cell>
          <cell r="D1624">
            <v>45294</v>
          </cell>
          <cell r="E1624" t="str">
            <v>Raw Material</v>
          </cell>
          <cell r="F1624" t="str">
            <v>Closed</v>
          </cell>
          <cell r="G1624">
            <v>12879</v>
          </cell>
        </row>
        <row r="1625">
          <cell r="C1625" t="str">
            <v>03012024-A-047532</v>
          </cell>
          <cell r="D1625">
            <v>45294</v>
          </cell>
          <cell r="E1625" t="str">
            <v>Raw Material</v>
          </cell>
          <cell r="F1625" t="str">
            <v>Closed</v>
          </cell>
          <cell r="G1625">
            <v>8996</v>
          </cell>
        </row>
        <row r="1626">
          <cell r="C1626" t="str">
            <v>03012024-A-047536</v>
          </cell>
          <cell r="D1626">
            <v>45294</v>
          </cell>
          <cell r="E1626" t="str">
            <v>Raw Material</v>
          </cell>
          <cell r="F1626" t="str">
            <v>Closed</v>
          </cell>
          <cell r="G1626">
            <v>6850</v>
          </cell>
        </row>
        <row r="1627">
          <cell r="C1627" t="str">
            <v>03012024-A-047556</v>
          </cell>
          <cell r="D1627">
            <v>45294</v>
          </cell>
          <cell r="E1627" t="str">
            <v>Raw Material</v>
          </cell>
          <cell r="F1627" t="str">
            <v>Closed</v>
          </cell>
          <cell r="G1627">
            <v>11532</v>
          </cell>
        </row>
        <row r="1628">
          <cell r="C1628" t="str">
            <v>03012024-A-047567</v>
          </cell>
          <cell r="D1628">
            <v>45294</v>
          </cell>
          <cell r="E1628" t="str">
            <v>Raw Material</v>
          </cell>
          <cell r="F1628" t="str">
            <v>Closed</v>
          </cell>
          <cell r="G1628">
            <v>1652</v>
          </cell>
        </row>
        <row r="1629">
          <cell r="C1629" t="str">
            <v>03012024-A-047570</v>
          </cell>
          <cell r="D1629">
            <v>45294</v>
          </cell>
          <cell r="E1629" t="str">
            <v>Raw Material</v>
          </cell>
          <cell r="F1629" t="str">
            <v>Closed</v>
          </cell>
          <cell r="G1629">
            <v>1249</v>
          </cell>
        </row>
        <row r="1630">
          <cell r="C1630" t="str">
            <v>03012024-A-047578</v>
          </cell>
          <cell r="D1630">
            <v>45294</v>
          </cell>
          <cell r="E1630" t="str">
            <v>Raw Material</v>
          </cell>
          <cell r="F1630" t="str">
            <v>Closed</v>
          </cell>
          <cell r="G1630">
            <v>93010</v>
          </cell>
        </row>
        <row r="1631">
          <cell r="C1631" t="str">
            <v>03012024-A-047586</v>
          </cell>
          <cell r="D1631">
            <v>45294</v>
          </cell>
          <cell r="E1631" t="str">
            <v>Raw Material</v>
          </cell>
          <cell r="F1631" t="str">
            <v>Closed</v>
          </cell>
          <cell r="G1631">
            <v>31144</v>
          </cell>
        </row>
        <row r="1632">
          <cell r="C1632" t="str">
            <v>03012024-A-047589</v>
          </cell>
          <cell r="D1632">
            <v>45294</v>
          </cell>
          <cell r="E1632" t="str">
            <v>Raw Material</v>
          </cell>
          <cell r="F1632" t="str">
            <v>Closed</v>
          </cell>
          <cell r="G1632">
            <v>32139</v>
          </cell>
        </row>
        <row r="1633">
          <cell r="C1633" t="str">
            <v>03012024-A-047594</v>
          </cell>
          <cell r="D1633">
            <v>45294</v>
          </cell>
          <cell r="E1633" t="str">
            <v>Raw Material</v>
          </cell>
          <cell r="F1633" t="str">
            <v>Closed</v>
          </cell>
          <cell r="G1633">
            <v>30817</v>
          </cell>
        </row>
        <row r="1634">
          <cell r="C1634" t="str">
            <v>03012024-A-047599</v>
          </cell>
          <cell r="D1634">
            <v>45294</v>
          </cell>
          <cell r="E1634" t="str">
            <v>Raw Material</v>
          </cell>
          <cell r="F1634" t="str">
            <v>Closed</v>
          </cell>
          <cell r="G1634">
            <v>31363</v>
          </cell>
        </row>
        <row r="1635">
          <cell r="C1635" t="str">
            <v>03012024-A-047644</v>
          </cell>
          <cell r="D1635">
            <v>45294</v>
          </cell>
          <cell r="E1635" t="str">
            <v>Raw Material</v>
          </cell>
          <cell r="F1635" t="str">
            <v>Closed</v>
          </cell>
          <cell r="G1635">
            <v>31337</v>
          </cell>
        </row>
        <row r="1636">
          <cell r="C1636" t="str">
            <v>03012024-A-047645</v>
          </cell>
          <cell r="D1636">
            <v>45294</v>
          </cell>
          <cell r="E1636" t="str">
            <v>Raw Material</v>
          </cell>
          <cell r="F1636" t="str">
            <v>Closed</v>
          </cell>
          <cell r="G1636">
            <v>31705</v>
          </cell>
        </row>
        <row r="1637">
          <cell r="C1637" t="str">
            <v>03012024-A-047646</v>
          </cell>
          <cell r="D1637">
            <v>45294</v>
          </cell>
          <cell r="E1637" t="str">
            <v>Raw Material</v>
          </cell>
          <cell r="F1637" t="str">
            <v>Closed</v>
          </cell>
          <cell r="G1637">
            <v>10879</v>
          </cell>
        </row>
        <row r="1638">
          <cell r="C1638" t="str">
            <v>03012024-A-047647</v>
          </cell>
          <cell r="D1638">
            <v>45294</v>
          </cell>
          <cell r="E1638" t="str">
            <v>Raw Material</v>
          </cell>
          <cell r="F1638" t="str">
            <v>Closed</v>
          </cell>
          <cell r="G1638">
            <v>12247</v>
          </cell>
        </row>
        <row r="1639">
          <cell r="C1639" t="str">
            <v>03012024-A-047648</v>
          </cell>
          <cell r="D1639">
            <v>45294</v>
          </cell>
          <cell r="E1639" t="str">
            <v>Raw Material</v>
          </cell>
          <cell r="F1639" t="str">
            <v>Closed</v>
          </cell>
          <cell r="G1639">
            <v>12280</v>
          </cell>
        </row>
        <row r="1640">
          <cell r="C1640" t="str">
            <v>03012024-A-047649</v>
          </cell>
          <cell r="D1640">
            <v>45294</v>
          </cell>
          <cell r="E1640" t="str">
            <v>Raw Material</v>
          </cell>
          <cell r="F1640" t="str">
            <v>Closed</v>
          </cell>
          <cell r="G1640">
            <v>10779</v>
          </cell>
        </row>
        <row r="1641">
          <cell r="C1641" t="str">
            <v>03012024-A-047652</v>
          </cell>
          <cell r="D1641">
            <v>45294</v>
          </cell>
          <cell r="E1641" t="str">
            <v>Raw Material</v>
          </cell>
          <cell r="F1641" t="str">
            <v>Closed</v>
          </cell>
          <cell r="G1641">
            <v>12057</v>
          </cell>
        </row>
        <row r="1642">
          <cell r="C1642" t="str">
            <v>03012024-A-047653</v>
          </cell>
          <cell r="D1642">
            <v>45294</v>
          </cell>
          <cell r="E1642" t="str">
            <v>Raw Material</v>
          </cell>
          <cell r="F1642" t="str">
            <v>Closed</v>
          </cell>
          <cell r="G1642">
            <v>11950</v>
          </cell>
        </row>
        <row r="1643">
          <cell r="C1643" t="str">
            <v>03012024-A-047662</v>
          </cell>
          <cell r="D1643">
            <v>45294</v>
          </cell>
          <cell r="E1643" t="str">
            <v>Raw Material</v>
          </cell>
          <cell r="F1643" t="str">
            <v>Closed</v>
          </cell>
          <cell r="G1643">
            <v>12764</v>
          </cell>
        </row>
        <row r="1644">
          <cell r="C1644" t="str">
            <v>03012024-A-047672</v>
          </cell>
          <cell r="D1644">
            <v>45294</v>
          </cell>
          <cell r="E1644" t="str">
            <v>Raw Material</v>
          </cell>
          <cell r="F1644" t="str">
            <v>Closed</v>
          </cell>
          <cell r="G1644">
            <v>11990</v>
          </cell>
        </row>
        <row r="1645">
          <cell r="C1645" t="str">
            <v>03012024-A-047684</v>
          </cell>
          <cell r="D1645">
            <v>45294</v>
          </cell>
          <cell r="E1645" t="str">
            <v>Raw Material</v>
          </cell>
          <cell r="F1645" t="str">
            <v>Closed</v>
          </cell>
          <cell r="G1645">
            <v>11314</v>
          </cell>
        </row>
        <row r="1646">
          <cell r="C1646" t="str">
            <v>03012024-A-047690</v>
          </cell>
          <cell r="D1646">
            <v>45294</v>
          </cell>
          <cell r="E1646" t="str">
            <v>Raw Material</v>
          </cell>
          <cell r="F1646" t="str">
            <v>Closed</v>
          </cell>
          <cell r="G1646">
            <v>12354</v>
          </cell>
        </row>
        <row r="1647">
          <cell r="C1647" t="str">
            <v>03012024-A-047716</v>
          </cell>
          <cell r="D1647">
            <v>45294</v>
          </cell>
          <cell r="E1647" t="str">
            <v>Raw Material</v>
          </cell>
          <cell r="F1647" t="str">
            <v>Closed</v>
          </cell>
          <cell r="G1647">
            <v>11710</v>
          </cell>
        </row>
        <row r="1648">
          <cell r="C1648" t="str">
            <v>03012024-A-047722</v>
          </cell>
          <cell r="D1648">
            <v>45294</v>
          </cell>
          <cell r="E1648" t="str">
            <v>Raw Material</v>
          </cell>
          <cell r="F1648" t="str">
            <v>Closed</v>
          </cell>
          <cell r="G1648">
            <v>12107</v>
          </cell>
        </row>
        <row r="1649">
          <cell r="C1649" t="str">
            <v>03012024-A-047725</v>
          </cell>
          <cell r="D1649">
            <v>45294</v>
          </cell>
          <cell r="E1649" t="str">
            <v>Raw Material</v>
          </cell>
          <cell r="F1649" t="str">
            <v>Closed</v>
          </cell>
          <cell r="G1649">
            <v>12904</v>
          </cell>
        </row>
        <row r="1650">
          <cell r="C1650" t="str">
            <v>03012024-A-047727</v>
          </cell>
          <cell r="D1650">
            <v>45294</v>
          </cell>
          <cell r="E1650" t="str">
            <v>Raw Material</v>
          </cell>
          <cell r="F1650" t="str">
            <v>Closed</v>
          </cell>
          <cell r="G1650">
            <v>11087</v>
          </cell>
        </row>
        <row r="1651">
          <cell r="C1651" t="str">
            <v>03012024-A-047728</v>
          </cell>
          <cell r="D1651">
            <v>45294</v>
          </cell>
          <cell r="E1651" t="str">
            <v>Raw Material</v>
          </cell>
          <cell r="F1651" t="str">
            <v>Closed</v>
          </cell>
          <cell r="G1651">
            <v>29983</v>
          </cell>
        </row>
        <row r="1652">
          <cell r="C1652" t="str">
            <v>03012024-A-047741</v>
          </cell>
          <cell r="D1652">
            <v>45294</v>
          </cell>
          <cell r="E1652" t="str">
            <v>Raw Material</v>
          </cell>
          <cell r="F1652" t="str">
            <v>Closed</v>
          </cell>
          <cell r="G1652">
            <v>2904</v>
          </cell>
        </row>
        <row r="1653">
          <cell r="C1653" t="str">
            <v>03012024-A-047747</v>
          </cell>
          <cell r="D1653">
            <v>45294</v>
          </cell>
          <cell r="E1653" t="str">
            <v>Raw Material</v>
          </cell>
          <cell r="F1653" t="str">
            <v>Closed</v>
          </cell>
          <cell r="G1653">
            <v>2200</v>
          </cell>
        </row>
        <row r="1654">
          <cell r="C1654" t="str">
            <v>03012024-A-047747</v>
          </cell>
          <cell r="D1654">
            <v>45294</v>
          </cell>
          <cell r="E1654" t="str">
            <v>Raw Material</v>
          </cell>
          <cell r="F1654" t="str">
            <v>Closed</v>
          </cell>
          <cell r="G1654">
            <v>900</v>
          </cell>
        </row>
        <row r="1655">
          <cell r="C1655" t="str">
            <v>03012024-A-047754</v>
          </cell>
          <cell r="D1655">
            <v>45294</v>
          </cell>
          <cell r="E1655" t="str">
            <v>Raw Material</v>
          </cell>
          <cell r="F1655" t="str">
            <v>Closed</v>
          </cell>
          <cell r="G1655">
            <v>2000</v>
          </cell>
        </row>
        <row r="1656">
          <cell r="C1656" t="str">
            <v>03012024-A-047759</v>
          </cell>
          <cell r="D1656">
            <v>45294</v>
          </cell>
          <cell r="E1656" t="str">
            <v>Raw Material</v>
          </cell>
          <cell r="F1656" t="str">
            <v>Closed</v>
          </cell>
          <cell r="G1656">
            <v>960</v>
          </cell>
        </row>
        <row r="1657">
          <cell r="C1657" t="str">
            <v>03012024-A-047762</v>
          </cell>
          <cell r="D1657">
            <v>45294</v>
          </cell>
          <cell r="E1657" t="str">
            <v>Raw Material</v>
          </cell>
          <cell r="F1657" t="str">
            <v>Closed</v>
          </cell>
          <cell r="G1657">
            <v>2000</v>
          </cell>
        </row>
        <row r="1658">
          <cell r="C1658" t="str">
            <v>03012024-A-047774</v>
          </cell>
          <cell r="D1658">
            <v>45294</v>
          </cell>
          <cell r="E1658" t="str">
            <v>Raw Material</v>
          </cell>
          <cell r="F1658" t="str">
            <v>Closed</v>
          </cell>
          <cell r="G1658">
            <v>4000</v>
          </cell>
        </row>
        <row r="1659">
          <cell r="C1659" t="str">
            <v>03012024-A-047784</v>
          </cell>
          <cell r="D1659">
            <v>45294</v>
          </cell>
          <cell r="E1659" t="str">
            <v>Raw Material</v>
          </cell>
          <cell r="F1659" t="str">
            <v>Closed</v>
          </cell>
          <cell r="G1659">
            <v>2000</v>
          </cell>
        </row>
        <row r="1660">
          <cell r="C1660" t="str">
            <v>03012024-A-047788</v>
          </cell>
          <cell r="D1660">
            <v>45294</v>
          </cell>
          <cell r="E1660" t="str">
            <v>Raw Material</v>
          </cell>
          <cell r="F1660" t="str">
            <v>Closed</v>
          </cell>
          <cell r="G1660">
            <v>1000</v>
          </cell>
        </row>
        <row r="1661">
          <cell r="C1661" t="str">
            <v>03012024-A-047791</v>
          </cell>
          <cell r="D1661">
            <v>45294</v>
          </cell>
          <cell r="E1661" t="str">
            <v>Raw Material</v>
          </cell>
          <cell r="F1661" t="str">
            <v>Closed</v>
          </cell>
          <cell r="G1661">
            <v>2000</v>
          </cell>
        </row>
        <row r="1662">
          <cell r="C1662" t="str">
            <v>03012024-A-047797</v>
          </cell>
          <cell r="D1662">
            <v>45294</v>
          </cell>
          <cell r="E1662" t="str">
            <v>Raw Material</v>
          </cell>
          <cell r="F1662" t="str">
            <v>Closed</v>
          </cell>
          <cell r="G1662">
            <v>3000</v>
          </cell>
        </row>
        <row r="1663">
          <cell r="C1663" t="str">
            <v>03012024-A-047801</v>
          </cell>
          <cell r="D1663">
            <v>45294</v>
          </cell>
          <cell r="E1663" t="str">
            <v>Raw Material</v>
          </cell>
          <cell r="F1663" t="str">
            <v>Closed</v>
          </cell>
          <cell r="G1663">
            <v>5000</v>
          </cell>
        </row>
        <row r="1664">
          <cell r="C1664" t="str">
            <v>03012024-A-047806</v>
          </cell>
          <cell r="D1664">
            <v>45294</v>
          </cell>
          <cell r="E1664" t="str">
            <v>Raw Material</v>
          </cell>
          <cell r="F1664" t="str">
            <v>Closed</v>
          </cell>
          <cell r="G1664">
            <v>19410</v>
          </cell>
        </row>
        <row r="1665">
          <cell r="C1665" t="str">
            <v>03012024-A-047812</v>
          </cell>
          <cell r="D1665">
            <v>45294</v>
          </cell>
          <cell r="E1665" t="str">
            <v>Raw Material</v>
          </cell>
          <cell r="F1665" t="str">
            <v>Closed</v>
          </cell>
          <cell r="G1665">
            <v>29400</v>
          </cell>
        </row>
        <row r="1666">
          <cell r="C1666" t="str">
            <v>03012024-A-047820</v>
          </cell>
          <cell r="D1666">
            <v>45294</v>
          </cell>
          <cell r="E1666" t="str">
            <v>Raw Material</v>
          </cell>
          <cell r="F1666" t="str">
            <v>Closed</v>
          </cell>
          <cell r="G1666">
            <v>480</v>
          </cell>
        </row>
        <row r="1667">
          <cell r="C1667" t="str">
            <v>03012024-A-047830</v>
          </cell>
          <cell r="D1667">
            <v>45294</v>
          </cell>
          <cell r="E1667" t="str">
            <v>Raw Material</v>
          </cell>
          <cell r="F1667" t="str">
            <v>Closed</v>
          </cell>
          <cell r="G1667">
            <v>400</v>
          </cell>
        </row>
        <row r="1668">
          <cell r="C1668" t="str">
            <v>03012024-A-047860</v>
          </cell>
          <cell r="D1668">
            <v>45294</v>
          </cell>
          <cell r="E1668" t="str">
            <v>Raw Material</v>
          </cell>
          <cell r="F1668" t="str">
            <v>Closed</v>
          </cell>
          <cell r="G1668">
            <v>1200</v>
          </cell>
        </row>
        <row r="1669">
          <cell r="C1669" t="str">
            <v>03012024-A-047872</v>
          </cell>
          <cell r="D1669">
            <v>45294</v>
          </cell>
          <cell r="E1669" t="str">
            <v>Raw Material</v>
          </cell>
          <cell r="F1669" t="str">
            <v>Closed</v>
          </cell>
          <cell r="G1669">
            <v>2600</v>
          </cell>
        </row>
        <row r="1670">
          <cell r="C1670" t="str">
            <v>03012024-A-047882</v>
          </cell>
          <cell r="D1670">
            <v>45294</v>
          </cell>
          <cell r="E1670" t="str">
            <v>Raw Material</v>
          </cell>
          <cell r="F1670" t="str">
            <v>Closed</v>
          </cell>
          <cell r="G1670">
            <v>660</v>
          </cell>
        </row>
        <row r="1671">
          <cell r="C1671" t="str">
            <v>03012024-A-047882</v>
          </cell>
          <cell r="D1671">
            <v>45294</v>
          </cell>
          <cell r="E1671" t="str">
            <v>Raw Material</v>
          </cell>
          <cell r="F1671" t="str">
            <v>Closed</v>
          </cell>
          <cell r="G1671">
            <v>300</v>
          </cell>
        </row>
        <row r="1672">
          <cell r="C1672" t="str">
            <v>03012024-A-047892</v>
          </cell>
          <cell r="D1672">
            <v>45294</v>
          </cell>
          <cell r="E1672" t="str">
            <v>Raw Material</v>
          </cell>
          <cell r="F1672" t="str">
            <v>Closed</v>
          </cell>
          <cell r="G1672">
            <v>1600</v>
          </cell>
        </row>
        <row r="1673">
          <cell r="C1673" t="str">
            <v>03012024-A-047895</v>
          </cell>
          <cell r="D1673">
            <v>45294</v>
          </cell>
          <cell r="E1673" t="str">
            <v>Raw Material</v>
          </cell>
          <cell r="F1673" t="str">
            <v>Closed</v>
          </cell>
          <cell r="G1673">
            <v>5040</v>
          </cell>
        </row>
        <row r="1674">
          <cell r="C1674" t="str">
            <v>03012024-A-047897</v>
          </cell>
          <cell r="D1674">
            <v>45294</v>
          </cell>
          <cell r="E1674" t="str">
            <v>Raw Material</v>
          </cell>
          <cell r="F1674" t="str">
            <v>Closed</v>
          </cell>
          <cell r="G1674">
            <v>5000</v>
          </cell>
        </row>
        <row r="1675">
          <cell r="C1675" t="str">
            <v>03012024-A-047901</v>
          </cell>
          <cell r="D1675">
            <v>45294</v>
          </cell>
          <cell r="E1675" t="str">
            <v>Raw Material</v>
          </cell>
          <cell r="F1675" t="str">
            <v>Closed</v>
          </cell>
          <cell r="G1675">
            <v>440</v>
          </cell>
        </row>
        <row r="1676">
          <cell r="C1676" t="str">
            <v>03012024-A-047901</v>
          </cell>
          <cell r="D1676">
            <v>45294</v>
          </cell>
          <cell r="E1676" t="str">
            <v>Raw Material</v>
          </cell>
          <cell r="F1676" t="str">
            <v>Closed</v>
          </cell>
          <cell r="G1676">
            <v>500</v>
          </cell>
        </row>
        <row r="1677">
          <cell r="C1677" t="str">
            <v>03012024-A-047905</v>
          </cell>
          <cell r="D1677">
            <v>45294</v>
          </cell>
          <cell r="E1677" t="str">
            <v>Raw Material</v>
          </cell>
          <cell r="F1677" t="str">
            <v>Closed</v>
          </cell>
          <cell r="G1677">
            <v>25</v>
          </cell>
        </row>
        <row r="1678">
          <cell r="C1678" t="str">
            <v>03012024-A-047910</v>
          </cell>
          <cell r="D1678">
            <v>45294</v>
          </cell>
          <cell r="E1678" t="str">
            <v>Raw Material</v>
          </cell>
          <cell r="F1678" t="str">
            <v>Closed</v>
          </cell>
          <cell r="G1678">
            <v>600</v>
          </cell>
        </row>
        <row r="1679">
          <cell r="C1679" t="str">
            <v>03012024-A-047912</v>
          </cell>
          <cell r="D1679">
            <v>45294</v>
          </cell>
          <cell r="E1679" t="str">
            <v>Raw Material</v>
          </cell>
          <cell r="F1679" t="str">
            <v>Closed</v>
          </cell>
          <cell r="G1679">
            <v>600</v>
          </cell>
        </row>
        <row r="1680">
          <cell r="C1680" t="str">
            <v>03012024-A-047912</v>
          </cell>
          <cell r="D1680">
            <v>45294</v>
          </cell>
          <cell r="E1680" t="str">
            <v>Raw Material</v>
          </cell>
          <cell r="F1680" t="str">
            <v>Closed</v>
          </cell>
          <cell r="G1680">
            <v>1100</v>
          </cell>
        </row>
        <row r="1681">
          <cell r="C1681" t="str">
            <v>03012024-A-047912</v>
          </cell>
          <cell r="D1681">
            <v>45294</v>
          </cell>
          <cell r="E1681" t="str">
            <v>Raw Material</v>
          </cell>
          <cell r="F1681" t="str">
            <v>Closed</v>
          </cell>
          <cell r="G1681">
            <v>1100</v>
          </cell>
        </row>
        <row r="1682">
          <cell r="C1682" t="str">
            <v>03012024-A-047912</v>
          </cell>
          <cell r="D1682">
            <v>45294</v>
          </cell>
          <cell r="E1682" t="str">
            <v>Raw Material</v>
          </cell>
          <cell r="F1682" t="str">
            <v>Closed</v>
          </cell>
          <cell r="G1682">
            <v>240</v>
          </cell>
        </row>
        <row r="1683">
          <cell r="C1683" t="str">
            <v>03012024-A-047916</v>
          </cell>
          <cell r="D1683">
            <v>45294</v>
          </cell>
          <cell r="E1683" t="str">
            <v>Raw Material</v>
          </cell>
          <cell r="F1683" t="str">
            <v>Closed</v>
          </cell>
          <cell r="G1683">
            <v>840</v>
          </cell>
        </row>
        <row r="1684">
          <cell r="C1684" t="str">
            <v>03012024-A-047917</v>
          </cell>
          <cell r="D1684">
            <v>45294</v>
          </cell>
          <cell r="E1684" t="str">
            <v>Raw Material</v>
          </cell>
          <cell r="F1684" t="str">
            <v>Closed</v>
          </cell>
          <cell r="G1684">
            <v>5000</v>
          </cell>
        </row>
        <row r="1685">
          <cell r="C1685" t="str">
            <v>03012024-A-047919</v>
          </cell>
          <cell r="D1685">
            <v>45294</v>
          </cell>
          <cell r="E1685" t="str">
            <v>Raw Material</v>
          </cell>
          <cell r="F1685" t="str">
            <v>Closed</v>
          </cell>
          <cell r="G1685">
            <v>5000</v>
          </cell>
        </row>
        <row r="1686">
          <cell r="C1686" t="str">
            <v>03012024-A-047920</v>
          </cell>
          <cell r="D1686">
            <v>45294</v>
          </cell>
          <cell r="E1686" t="str">
            <v>Raw Material</v>
          </cell>
          <cell r="F1686" t="str">
            <v>Closed</v>
          </cell>
          <cell r="G1686">
            <v>5000</v>
          </cell>
        </row>
        <row r="1687">
          <cell r="C1687" t="str">
            <v>03012024-A-047921</v>
          </cell>
          <cell r="D1687">
            <v>45294</v>
          </cell>
          <cell r="E1687" t="str">
            <v>Raw Material</v>
          </cell>
          <cell r="F1687" t="str">
            <v>Closed</v>
          </cell>
          <cell r="G1687">
            <v>5000</v>
          </cell>
        </row>
        <row r="1688">
          <cell r="C1688" t="str">
            <v>03012024-A-047922</v>
          </cell>
          <cell r="D1688">
            <v>45294</v>
          </cell>
          <cell r="E1688" t="str">
            <v>Raw Material</v>
          </cell>
          <cell r="F1688" t="str">
            <v>Closed</v>
          </cell>
          <cell r="G1688">
            <v>420</v>
          </cell>
        </row>
        <row r="1689">
          <cell r="C1689" t="str">
            <v>16012024-A-052582</v>
          </cell>
          <cell r="D1689">
            <v>45307</v>
          </cell>
          <cell r="E1689" t="str">
            <v>Raw Material</v>
          </cell>
          <cell r="F1689" t="str">
            <v>Closed</v>
          </cell>
          <cell r="G1689">
            <v>30814</v>
          </cell>
        </row>
        <row r="1690">
          <cell r="C1690" t="str">
            <v>16012024-A-052606</v>
          </cell>
          <cell r="D1690">
            <v>45307</v>
          </cell>
          <cell r="E1690" t="str">
            <v>Raw Material</v>
          </cell>
          <cell r="F1690" t="str">
            <v>Closed</v>
          </cell>
          <cell r="G1690">
            <v>61149</v>
          </cell>
        </row>
        <row r="1691">
          <cell r="C1691" t="str">
            <v>16012024-A-052616</v>
          </cell>
          <cell r="D1691">
            <v>45307</v>
          </cell>
          <cell r="E1691" t="str">
            <v>Raw Material</v>
          </cell>
          <cell r="F1691" t="str">
            <v>Closed</v>
          </cell>
          <cell r="G1691">
            <v>31330</v>
          </cell>
        </row>
        <row r="1692">
          <cell r="C1692" t="str">
            <v>16012024-A-052621</v>
          </cell>
          <cell r="D1692">
            <v>45307</v>
          </cell>
          <cell r="E1692" t="str">
            <v>Raw Material</v>
          </cell>
          <cell r="F1692" t="str">
            <v>Closed</v>
          </cell>
          <cell r="G1692">
            <v>30884</v>
          </cell>
        </row>
        <row r="1693">
          <cell r="C1693" t="str">
            <v>16012024-A-052629</v>
          </cell>
          <cell r="D1693">
            <v>45307</v>
          </cell>
          <cell r="E1693" t="str">
            <v>Raw Material</v>
          </cell>
          <cell r="F1693" t="str">
            <v>Closed</v>
          </cell>
          <cell r="G1693">
            <v>18144</v>
          </cell>
        </row>
        <row r="1694">
          <cell r="C1694" t="str">
            <v>16012024-A-052669</v>
          </cell>
          <cell r="D1694">
            <v>45307</v>
          </cell>
          <cell r="E1694" t="str">
            <v>Raw Material</v>
          </cell>
          <cell r="F1694" t="str">
            <v>Closed</v>
          </cell>
          <cell r="G1694">
            <v>321</v>
          </cell>
        </row>
        <row r="1695">
          <cell r="C1695" t="str">
            <v>16012024-A-052669</v>
          </cell>
          <cell r="D1695">
            <v>45307</v>
          </cell>
          <cell r="E1695" t="str">
            <v>Raw Material</v>
          </cell>
          <cell r="F1695" t="str">
            <v>Closed</v>
          </cell>
          <cell r="G1695">
            <v>6974</v>
          </cell>
        </row>
        <row r="1696">
          <cell r="C1696" t="str">
            <v>16012024-A-052681</v>
          </cell>
          <cell r="D1696">
            <v>45307</v>
          </cell>
          <cell r="E1696" t="str">
            <v>Raw Material</v>
          </cell>
          <cell r="F1696" t="str">
            <v>-</v>
          </cell>
          <cell r="G1696">
            <v>590</v>
          </cell>
        </row>
        <row r="1697">
          <cell r="C1697" t="str">
            <v>16012024-A-052687</v>
          </cell>
          <cell r="D1697">
            <v>45307</v>
          </cell>
          <cell r="E1697" t="str">
            <v>Raw Material</v>
          </cell>
          <cell r="F1697" t="str">
            <v>Closed</v>
          </cell>
          <cell r="G1697">
            <v>408</v>
          </cell>
        </row>
        <row r="1698">
          <cell r="C1698" t="str">
            <v>16012024-A-052690</v>
          </cell>
          <cell r="D1698">
            <v>45307</v>
          </cell>
          <cell r="E1698" t="str">
            <v>Raw Material</v>
          </cell>
          <cell r="F1698" t="str">
            <v>Closed</v>
          </cell>
          <cell r="G1698">
            <v>12180</v>
          </cell>
        </row>
        <row r="1699">
          <cell r="C1699" t="str">
            <v>16012024-A-052693</v>
          </cell>
          <cell r="D1699">
            <v>45307</v>
          </cell>
          <cell r="E1699" t="str">
            <v>Raw Material</v>
          </cell>
          <cell r="F1699" t="str">
            <v>Closed</v>
          </cell>
          <cell r="G1699">
            <v>13034</v>
          </cell>
        </row>
        <row r="1700">
          <cell r="C1700" t="str">
            <v>16012024-A-052695</v>
          </cell>
          <cell r="D1700">
            <v>45307</v>
          </cell>
          <cell r="E1700" t="str">
            <v>Raw Material</v>
          </cell>
          <cell r="F1700" t="str">
            <v>Closed</v>
          </cell>
          <cell r="G1700">
            <v>12060</v>
          </cell>
        </row>
        <row r="1701">
          <cell r="C1701" t="str">
            <v>16012024-A-052697</v>
          </cell>
          <cell r="D1701">
            <v>45307</v>
          </cell>
          <cell r="E1701" t="str">
            <v>Raw Material</v>
          </cell>
          <cell r="F1701" t="str">
            <v>Closed</v>
          </cell>
          <cell r="G1701">
            <v>13234</v>
          </cell>
        </row>
        <row r="1702">
          <cell r="C1702" t="str">
            <v>17012024-A-052765</v>
          </cell>
          <cell r="D1702">
            <v>45308</v>
          </cell>
          <cell r="E1702" t="str">
            <v>Raw Material</v>
          </cell>
          <cell r="F1702" t="str">
            <v>Closed</v>
          </cell>
          <cell r="G1702">
            <v>9551</v>
          </cell>
        </row>
        <row r="1703">
          <cell r="C1703" t="str">
            <v>17012024-A-052779</v>
          </cell>
          <cell r="D1703">
            <v>45308</v>
          </cell>
          <cell r="E1703" t="str">
            <v>Raw Material</v>
          </cell>
          <cell r="F1703" t="str">
            <v>Closed</v>
          </cell>
          <cell r="G1703">
            <v>26785</v>
          </cell>
        </row>
        <row r="1704">
          <cell r="C1704" t="str">
            <v>17012024-A-052787</v>
          </cell>
          <cell r="D1704">
            <v>45308</v>
          </cell>
          <cell r="E1704" t="str">
            <v>Raw Material</v>
          </cell>
          <cell r="F1704" t="str">
            <v>Closed</v>
          </cell>
          <cell r="G1704">
            <v>25772</v>
          </cell>
        </row>
        <row r="1705">
          <cell r="C1705" t="str">
            <v>17012024-A-052798</v>
          </cell>
          <cell r="D1705">
            <v>45308</v>
          </cell>
          <cell r="E1705" t="str">
            <v>Raw Material</v>
          </cell>
          <cell r="F1705" t="str">
            <v>Closed</v>
          </cell>
          <cell r="G1705">
            <v>26944</v>
          </cell>
        </row>
        <row r="1706">
          <cell r="C1706" t="str">
            <v>17012024-A-052805</v>
          </cell>
          <cell r="D1706">
            <v>45308</v>
          </cell>
          <cell r="E1706" t="str">
            <v>Raw Material</v>
          </cell>
          <cell r="F1706" t="str">
            <v>Closed</v>
          </cell>
          <cell r="G1706">
            <v>37983</v>
          </cell>
        </row>
        <row r="1707">
          <cell r="C1707" t="str">
            <v>18012024-A-053414</v>
          </cell>
          <cell r="D1707">
            <v>45309</v>
          </cell>
          <cell r="E1707" t="str">
            <v>Raw Material</v>
          </cell>
          <cell r="F1707" t="str">
            <v>Closed</v>
          </cell>
          <cell r="G1707">
            <v>4899</v>
          </cell>
        </row>
        <row r="1708">
          <cell r="C1708" t="str">
            <v>18012024-A-053419</v>
          </cell>
          <cell r="D1708">
            <v>45309</v>
          </cell>
          <cell r="E1708" t="str">
            <v>Raw Material</v>
          </cell>
          <cell r="F1708" t="str">
            <v>Closed</v>
          </cell>
          <cell r="G1708">
            <v>5000</v>
          </cell>
        </row>
        <row r="1709">
          <cell r="C1709" t="str">
            <v>18012024-A-053430</v>
          </cell>
          <cell r="D1709">
            <v>45309</v>
          </cell>
          <cell r="E1709" t="str">
            <v>Raw Material</v>
          </cell>
          <cell r="F1709" t="str">
            <v>Closed</v>
          </cell>
          <cell r="G1709">
            <v>29480</v>
          </cell>
        </row>
        <row r="1710">
          <cell r="C1710" t="str">
            <v>18012024-A-053438</v>
          </cell>
          <cell r="D1710">
            <v>45309</v>
          </cell>
          <cell r="E1710" t="str">
            <v>Raw Material</v>
          </cell>
          <cell r="F1710" t="str">
            <v>Closed</v>
          </cell>
          <cell r="G1710">
            <v>29380</v>
          </cell>
        </row>
        <row r="1711">
          <cell r="C1711" t="str">
            <v>18012024-A-053445</v>
          </cell>
          <cell r="D1711">
            <v>45309</v>
          </cell>
          <cell r="E1711" t="str">
            <v>Raw Material</v>
          </cell>
          <cell r="F1711" t="str">
            <v>Closed</v>
          </cell>
          <cell r="G1711">
            <v>29380</v>
          </cell>
        </row>
        <row r="1712">
          <cell r="C1712" t="str">
            <v>18012024-A-053455</v>
          </cell>
          <cell r="D1712">
            <v>45309</v>
          </cell>
          <cell r="E1712" t="str">
            <v>Raw Material</v>
          </cell>
          <cell r="F1712" t="str">
            <v>Closed</v>
          </cell>
          <cell r="G1712">
            <v>29530</v>
          </cell>
        </row>
        <row r="1713">
          <cell r="C1713" t="str">
            <v>18012024-A-053463</v>
          </cell>
          <cell r="D1713">
            <v>45309</v>
          </cell>
          <cell r="E1713" t="str">
            <v>Raw Material</v>
          </cell>
          <cell r="F1713" t="str">
            <v>Closed</v>
          </cell>
          <cell r="G1713">
            <v>1100</v>
          </cell>
        </row>
        <row r="1714">
          <cell r="C1714" t="str">
            <v>18012024-A-053467</v>
          </cell>
          <cell r="D1714">
            <v>45309</v>
          </cell>
          <cell r="E1714" t="str">
            <v>Raw Material</v>
          </cell>
          <cell r="F1714" t="str">
            <v>Closed</v>
          </cell>
          <cell r="G1714">
            <v>2500</v>
          </cell>
        </row>
        <row r="1715">
          <cell r="C1715" t="str">
            <v>18012024-A-053472</v>
          </cell>
          <cell r="D1715">
            <v>45309</v>
          </cell>
          <cell r="E1715" t="str">
            <v>Raw Material</v>
          </cell>
          <cell r="F1715" t="str">
            <v>Closed</v>
          </cell>
          <cell r="G1715">
            <v>29490</v>
          </cell>
        </row>
        <row r="1716">
          <cell r="C1716" t="str">
            <v>18012024-A-053481</v>
          </cell>
          <cell r="D1716">
            <v>45309</v>
          </cell>
          <cell r="E1716" t="str">
            <v>Raw Material</v>
          </cell>
          <cell r="F1716" t="str">
            <v>Closed</v>
          </cell>
          <cell r="G1716">
            <v>480</v>
          </cell>
        </row>
        <row r="1717">
          <cell r="C1717" t="str">
            <v>18012024-A-053487</v>
          </cell>
          <cell r="D1717">
            <v>45309</v>
          </cell>
          <cell r="E1717" t="str">
            <v>Raw Material</v>
          </cell>
          <cell r="F1717" t="str">
            <v>Closed</v>
          </cell>
          <cell r="G1717">
            <v>3000</v>
          </cell>
        </row>
        <row r="1718">
          <cell r="C1718" t="str">
            <v>18012024-A-053494</v>
          </cell>
          <cell r="D1718">
            <v>45309</v>
          </cell>
          <cell r="E1718" t="str">
            <v>Raw Material</v>
          </cell>
          <cell r="F1718" t="str">
            <v>Closed</v>
          </cell>
          <cell r="G1718">
            <v>1800</v>
          </cell>
        </row>
        <row r="1719">
          <cell r="C1719" t="str">
            <v>18012024-A-053499</v>
          </cell>
          <cell r="D1719">
            <v>45309</v>
          </cell>
          <cell r="E1719" t="str">
            <v>Raw Material</v>
          </cell>
          <cell r="F1719" t="str">
            <v>Closed</v>
          </cell>
          <cell r="G1719">
            <v>600</v>
          </cell>
        </row>
        <row r="1720">
          <cell r="C1720" t="str">
            <v>18012024-A-053506</v>
          </cell>
          <cell r="D1720">
            <v>45309</v>
          </cell>
          <cell r="E1720" t="str">
            <v>Raw Material</v>
          </cell>
          <cell r="F1720" t="str">
            <v>Closed</v>
          </cell>
          <cell r="G1720">
            <v>1020</v>
          </cell>
        </row>
        <row r="1721">
          <cell r="C1721" t="str">
            <v>18012024-A-053512</v>
          </cell>
          <cell r="D1721">
            <v>45309</v>
          </cell>
          <cell r="E1721" t="str">
            <v>Raw Material</v>
          </cell>
          <cell r="F1721" t="str">
            <v>Closed</v>
          </cell>
          <cell r="G1721">
            <v>720</v>
          </cell>
        </row>
        <row r="1722">
          <cell r="C1722" t="str">
            <v>18012024-A-053526</v>
          </cell>
          <cell r="D1722">
            <v>45309</v>
          </cell>
          <cell r="E1722" t="str">
            <v>Raw Material</v>
          </cell>
          <cell r="F1722" t="str">
            <v>Closed</v>
          </cell>
          <cell r="G1722">
            <v>1424</v>
          </cell>
        </row>
        <row r="1723">
          <cell r="C1723" t="str">
            <v>18012024-A-053531</v>
          </cell>
          <cell r="D1723">
            <v>45309</v>
          </cell>
          <cell r="E1723" t="str">
            <v>Raw Material</v>
          </cell>
          <cell r="F1723" t="str">
            <v>Closed</v>
          </cell>
          <cell r="G1723">
            <v>840</v>
          </cell>
        </row>
        <row r="1724">
          <cell r="C1724" t="str">
            <v>18012024-A-053535</v>
          </cell>
          <cell r="D1724">
            <v>45309</v>
          </cell>
          <cell r="E1724" t="str">
            <v>Raw Material</v>
          </cell>
          <cell r="F1724" t="str">
            <v>Closed</v>
          </cell>
          <cell r="G1724">
            <v>300</v>
          </cell>
        </row>
        <row r="1725">
          <cell r="C1725" t="str">
            <v>18012024-A-053540</v>
          </cell>
          <cell r="D1725">
            <v>45309</v>
          </cell>
          <cell r="E1725" t="str">
            <v>Raw Material</v>
          </cell>
          <cell r="F1725" t="str">
            <v>Closed</v>
          </cell>
          <cell r="G1725">
            <v>1020</v>
          </cell>
        </row>
        <row r="1726">
          <cell r="C1726" t="str">
            <v>18012024-A-053547</v>
          </cell>
          <cell r="D1726">
            <v>45309</v>
          </cell>
          <cell r="E1726" t="str">
            <v>Raw Material</v>
          </cell>
          <cell r="F1726" t="str">
            <v>Closed</v>
          </cell>
          <cell r="G1726">
            <v>5000</v>
          </cell>
        </row>
        <row r="1727">
          <cell r="C1727" t="str">
            <v>18012024-A-053553</v>
          </cell>
          <cell r="D1727">
            <v>45309</v>
          </cell>
          <cell r="E1727" t="str">
            <v>Raw Material</v>
          </cell>
          <cell r="F1727" t="str">
            <v>Closed</v>
          </cell>
          <cell r="G1727">
            <v>5000</v>
          </cell>
        </row>
        <row r="1728">
          <cell r="C1728" t="str">
            <v>18012024-A-053558</v>
          </cell>
          <cell r="D1728">
            <v>45309</v>
          </cell>
          <cell r="E1728" t="str">
            <v>Raw Material</v>
          </cell>
          <cell r="F1728" t="str">
            <v>Closed</v>
          </cell>
          <cell r="G1728">
            <v>1050</v>
          </cell>
        </row>
        <row r="1729">
          <cell r="C1729" t="str">
            <v>18012024-A-053561</v>
          </cell>
          <cell r="D1729">
            <v>45309</v>
          </cell>
          <cell r="E1729" t="str">
            <v>Raw Material</v>
          </cell>
          <cell r="F1729" t="str">
            <v>Closed</v>
          </cell>
          <cell r="G1729">
            <v>1050</v>
          </cell>
        </row>
        <row r="1730">
          <cell r="C1730" t="str">
            <v>18012024-A-053565</v>
          </cell>
          <cell r="D1730">
            <v>45309</v>
          </cell>
          <cell r="E1730" t="str">
            <v>Raw Material</v>
          </cell>
          <cell r="F1730" t="str">
            <v>Closed</v>
          </cell>
          <cell r="G1730">
            <v>900</v>
          </cell>
        </row>
        <row r="1731">
          <cell r="C1731" t="str">
            <v>18012024-A-053574</v>
          </cell>
          <cell r="D1731">
            <v>45309</v>
          </cell>
          <cell r="E1731" t="str">
            <v>Raw Material</v>
          </cell>
          <cell r="F1731" t="str">
            <v>Closed</v>
          </cell>
          <cell r="G1731">
            <v>70</v>
          </cell>
        </row>
        <row r="1732">
          <cell r="C1732" t="str">
            <v>18012024-A-053584</v>
          </cell>
          <cell r="D1732">
            <v>45309</v>
          </cell>
          <cell r="E1732" t="str">
            <v>Raw Material</v>
          </cell>
          <cell r="F1732" t="str">
            <v>Closed</v>
          </cell>
          <cell r="G1732">
            <v>1000</v>
          </cell>
        </row>
        <row r="1733">
          <cell r="C1733" t="str">
            <v>23012024-A-055051</v>
          </cell>
          <cell r="D1733">
            <v>45314</v>
          </cell>
          <cell r="E1733" t="str">
            <v>Raw Material</v>
          </cell>
          <cell r="F1733" t="str">
            <v>Closed</v>
          </cell>
          <cell r="G1733">
            <v>31714</v>
          </cell>
        </row>
        <row r="1734">
          <cell r="C1734" t="str">
            <v>23012024-A-055058</v>
          </cell>
          <cell r="D1734">
            <v>45314</v>
          </cell>
          <cell r="E1734" t="str">
            <v>Raw Material</v>
          </cell>
          <cell r="F1734" t="str">
            <v>Closed</v>
          </cell>
          <cell r="G1734">
            <v>31435</v>
          </cell>
        </row>
        <row r="1735">
          <cell r="C1735" t="str">
            <v>23012024-A-055063</v>
          </cell>
          <cell r="D1735">
            <v>45314</v>
          </cell>
          <cell r="E1735" t="str">
            <v>Raw Material</v>
          </cell>
          <cell r="F1735" t="str">
            <v>Closed</v>
          </cell>
          <cell r="G1735">
            <v>31461</v>
          </cell>
        </row>
        <row r="1736">
          <cell r="C1736" t="str">
            <v>23012024-A-055067</v>
          </cell>
          <cell r="D1736">
            <v>45314</v>
          </cell>
          <cell r="E1736" t="str">
            <v>Raw Material</v>
          </cell>
          <cell r="F1736" t="str">
            <v>Closed</v>
          </cell>
          <cell r="G1736">
            <v>30784</v>
          </cell>
        </row>
        <row r="1737">
          <cell r="C1737" t="str">
            <v>23012024-A-055071</v>
          </cell>
          <cell r="D1737">
            <v>45314</v>
          </cell>
          <cell r="E1737" t="str">
            <v>Raw Material</v>
          </cell>
          <cell r="F1737" t="str">
            <v>Closed</v>
          </cell>
          <cell r="G1737">
            <v>31540</v>
          </cell>
        </row>
        <row r="1738">
          <cell r="C1738" t="str">
            <v>23012024-A-055073</v>
          </cell>
          <cell r="D1738">
            <v>45314</v>
          </cell>
          <cell r="E1738" t="str">
            <v>Raw Material</v>
          </cell>
          <cell r="F1738" t="str">
            <v>Closed</v>
          </cell>
          <cell r="G1738">
            <v>31545</v>
          </cell>
        </row>
        <row r="1739">
          <cell r="C1739" t="str">
            <v>23012024-A-055078</v>
          </cell>
          <cell r="D1739">
            <v>45314</v>
          </cell>
          <cell r="E1739" t="str">
            <v>Raw Material</v>
          </cell>
          <cell r="F1739" t="str">
            <v>Closed</v>
          </cell>
          <cell r="G1739">
            <v>32379</v>
          </cell>
        </row>
        <row r="1740">
          <cell r="C1740" t="str">
            <v>23012024-A-055083</v>
          </cell>
          <cell r="D1740">
            <v>45314</v>
          </cell>
          <cell r="E1740" t="str">
            <v>Raw Material</v>
          </cell>
          <cell r="F1740" t="str">
            <v>Closed</v>
          </cell>
          <cell r="G1740">
            <v>32175</v>
          </cell>
        </row>
        <row r="1741">
          <cell r="C1741" t="str">
            <v>23012024-A-055087</v>
          </cell>
          <cell r="D1741">
            <v>45314</v>
          </cell>
          <cell r="E1741" t="str">
            <v>Raw Material</v>
          </cell>
          <cell r="F1741" t="str">
            <v>Closed</v>
          </cell>
          <cell r="G1741">
            <v>61430</v>
          </cell>
        </row>
        <row r="1742">
          <cell r="C1742" t="str">
            <v>23012024-A-055089</v>
          </cell>
          <cell r="D1742">
            <v>45314</v>
          </cell>
          <cell r="E1742" t="str">
            <v>Raw Material</v>
          </cell>
          <cell r="F1742" t="str">
            <v>Closed</v>
          </cell>
          <cell r="G1742">
            <v>32257</v>
          </cell>
        </row>
        <row r="1743">
          <cell r="C1743" t="str">
            <v>23012024-A-055094</v>
          </cell>
          <cell r="D1743">
            <v>45314</v>
          </cell>
          <cell r="E1743" t="str">
            <v>Raw Material</v>
          </cell>
          <cell r="F1743" t="str">
            <v>Closed</v>
          </cell>
          <cell r="G1743">
            <v>30934</v>
          </cell>
        </row>
        <row r="1744">
          <cell r="C1744" t="str">
            <v>23012024-A-055098</v>
          </cell>
          <cell r="D1744">
            <v>45314</v>
          </cell>
          <cell r="E1744" t="str">
            <v>Raw Material</v>
          </cell>
          <cell r="F1744" t="str">
            <v>Closed</v>
          </cell>
          <cell r="G1744">
            <v>63000</v>
          </cell>
        </row>
        <row r="1745">
          <cell r="C1745" t="str">
            <v>23012024-A-055101</v>
          </cell>
          <cell r="D1745">
            <v>45314</v>
          </cell>
          <cell r="E1745" t="str">
            <v>Raw Material</v>
          </cell>
          <cell r="F1745" t="str">
            <v>Closed</v>
          </cell>
          <cell r="G1745">
            <v>90625</v>
          </cell>
        </row>
        <row r="1746">
          <cell r="C1746" t="str">
            <v>23012024-A-055107</v>
          </cell>
          <cell r="D1746">
            <v>45314</v>
          </cell>
          <cell r="E1746" t="str">
            <v>Raw Material</v>
          </cell>
          <cell r="F1746" t="str">
            <v>Closed</v>
          </cell>
          <cell r="G1746">
            <v>30640</v>
          </cell>
        </row>
        <row r="1747">
          <cell r="C1747" t="str">
            <v>23012024-A-055109</v>
          </cell>
          <cell r="D1747">
            <v>45314</v>
          </cell>
          <cell r="E1747" t="str">
            <v>Raw Material</v>
          </cell>
          <cell r="F1747" t="str">
            <v>Closed</v>
          </cell>
          <cell r="G1747">
            <v>30807</v>
          </cell>
        </row>
        <row r="1748">
          <cell r="C1748" t="str">
            <v>23012024-A-055112</v>
          </cell>
          <cell r="D1748">
            <v>45314</v>
          </cell>
          <cell r="E1748" t="str">
            <v>Raw Material</v>
          </cell>
          <cell r="F1748" t="str">
            <v>Closed</v>
          </cell>
          <cell r="G1748">
            <v>30438</v>
          </cell>
        </row>
        <row r="1749">
          <cell r="C1749" t="str">
            <v>23012024-A-055115</v>
          </cell>
          <cell r="D1749">
            <v>45314</v>
          </cell>
          <cell r="E1749" t="str">
            <v>Raw Material</v>
          </cell>
          <cell r="F1749" t="str">
            <v>Closed</v>
          </cell>
          <cell r="G1749">
            <v>30488</v>
          </cell>
        </row>
        <row r="1750">
          <cell r="C1750" t="str">
            <v>23012024-A-055118</v>
          </cell>
          <cell r="D1750">
            <v>45314</v>
          </cell>
          <cell r="E1750" t="str">
            <v>Raw Material</v>
          </cell>
          <cell r="F1750" t="str">
            <v>Closed</v>
          </cell>
          <cell r="G1750">
            <v>30835</v>
          </cell>
        </row>
        <row r="1751">
          <cell r="C1751" t="str">
            <v>23012024-A-055121</v>
          </cell>
          <cell r="D1751">
            <v>45314</v>
          </cell>
          <cell r="E1751" t="str">
            <v>Raw Material</v>
          </cell>
          <cell r="F1751" t="str">
            <v>Closed</v>
          </cell>
          <cell r="G1751">
            <v>5115</v>
          </cell>
        </row>
        <row r="1752">
          <cell r="C1752" t="str">
            <v>23012024-A-055125</v>
          </cell>
          <cell r="D1752">
            <v>45314</v>
          </cell>
          <cell r="E1752" t="str">
            <v>Raw Material</v>
          </cell>
          <cell r="F1752" t="str">
            <v>Closed</v>
          </cell>
          <cell r="G1752">
            <v>5115</v>
          </cell>
        </row>
        <row r="1753">
          <cell r="C1753" t="str">
            <v>23012024-A-055132</v>
          </cell>
          <cell r="D1753">
            <v>45314</v>
          </cell>
          <cell r="E1753" t="str">
            <v>Raw Material</v>
          </cell>
          <cell r="F1753" t="str">
            <v>Closed</v>
          </cell>
          <cell r="G1753">
            <v>12497</v>
          </cell>
        </row>
        <row r="1754">
          <cell r="C1754" t="str">
            <v>23012024-A-055134</v>
          </cell>
          <cell r="D1754">
            <v>45314</v>
          </cell>
          <cell r="E1754" t="str">
            <v>Raw Material</v>
          </cell>
          <cell r="F1754" t="str">
            <v>Closed</v>
          </cell>
          <cell r="G1754">
            <v>13174</v>
          </cell>
        </row>
        <row r="1755">
          <cell r="C1755" t="str">
            <v>23012024-A-055138</v>
          </cell>
          <cell r="D1755">
            <v>45314</v>
          </cell>
          <cell r="E1755" t="str">
            <v>Raw Material</v>
          </cell>
          <cell r="F1755" t="str">
            <v>Closed</v>
          </cell>
          <cell r="G1755">
            <v>12714</v>
          </cell>
        </row>
        <row r="1756">
          <cell r="C1756" t="str">
            <v>23012024-A-055143</v>
          </cell>
          <cell r="D1756">
            <v>45314</v>
          </cell>
          <cell r="E1756" t="str">
            <v>Raw Material</v>
          </cell>
          <cell r="F1756" t="str">
            <v>Closed</v>
          </cell>
          <cell r="G1756">
            <v>9192</v>
          </cell>
        </row>
        <row r="1757">
          <cell r="C1757" t="str">
            <v>23012024-A-055145</v>
          </cell>
          <cell r="D1757">
            <v>45314</v>
          </cell>
          <cell r="E1757" t="str">
            <v>Raw Material</v>
          </cell>
          <cell r="F1757" t="str">
            <v>Closed</v>
          </cell>
          <cell r="G1757">
            <v>12547</v>
          </cell>
        </row>
        <row r="1758">
          <cell r="C1758" t="str">
            <v>23012024-A-055147</v>
          </cell>
          <cell r="D1758">
            <v>45314</v>
          </cell>
          <cell r="E1758" t="str">
            <v>Raw Material</v>
          </cell>
          <cell r="F1758" t="str">
            <v>Closed</v>
          </cell>
          <cell r="G1758">
            <v>5579</v>
          </cell>
        </row>
        <row r="1759">
          <cell r="C1759" t="str">
            <v>23012024-A-055149</v>
          </cell>
          <cell r="D1759">
            <v>45314</v>
          </cell>
          <cell r="E1759" t="str">
            <v>Raw Material</v>
          </cell>
          <cell r="F1759" t="str">
            <v>Closed</v>
          </cell>
          <cell r="G1759">
            <v>20412</v>
          </cell>
        </row>
        <row r="1760">
          <cell r="C1760" t="str">
            <v>23012024-A-055150</v>
          </cell>
          <cell r="D1760">
            <v>45314</v>
          </cell>
          <cell r="E1760" t="str">
            <v>Raw Material</v>
          </cell>
          <cell r="F1760" t="str">
            <v>Closed</v>
          </cell>
          <cell r="G1760">
            <v>19340</v>
          </cell>
        </row>
        <row r="1761">
          <cell r="C1761" t="str">
            <v>23012024-A-055152</v>
          </cell>
          <cell r="D1761">
            <v>45314</v>
          </cell>
          <cell r="E1761" t="str">
            <v>Raw Material</v>
          </cell>
          <cell r="F1761" t="str">
            <v>Closed</v>
          </cell>
          <cell r="G1761">
            <v>2060</v>
          </cell>
        </row>
        <row r="1762">
          <cell r="C1762" t="str">
            <v>23012024-A-055154</v>
          </cell>
          <cell r="D1762">
            <v>45314</v>
          </cell>
          <cell r="E1762" t="str">
            <v>Raw Material</v>
          </cell>
          <cell r="F1762" t="str">
            <v>-</v>
          </cell>
          <cell r="G1762">
            <v>2706</v>
          </cell>
        </row>
        <row r="1763">
          <cell r="C1763" t="str">
            <v>23012024-A-055167</v>
          </cell>
          <cell r="D1763">
            <v>45314</v>
          </cell>
          <cell r="E1763" t="str">
            <v>Raw Material</v>
          </cell>
          <cell r="F1763" t="str">
            <v>Closed</v>
          </cell>
          <cell r="G1763">
            <v>2884</v>
          </cell>
        </row>
        <row r="1764">
          <cell r="C1764" t="str">
            <v>23012024-A-055169</v>
          </cell>
          <cell r="D1764">
            <v>45314</v>
          </cell>
          <cell r="E1764" t="str">
            <v>Raw Material</v>
          </cell>
          <cell r="F1764" t="str">
            <v>Closed</v>
          </cell>
          <cell r="G1764">
            <v>9199</v>
          </cell>
        </row>
        <row r="1765">
          <cell r="C1765" t="str">
            <v>23012024-A-055170</v>
          </cell>
          <cell r="D1765">
            <v>45314</v>
          </cell>
          <cell r="E1765" t="str">
            <v>Raw Material</v>
          </cell>
          <cell r="F1765" t="str">
            <v>Closed</v>
          </cell>
          <cell r="G1765">
            <v>4741</v>
          </cell>
        </row>
        <row r="1766">
          <cell r="C1766" t="str">
            <v>23012024-A-055171</v>
          </cell>
          <cell r="D1766">
            <v>45314</v>
          </cell>
          <cell r="E1766" t="str">
            <v>Raw Material</v>
          </cell>
          <cell r="F1766" t="str">
            <v>-</v>
          </cell>
          <cell r="G1766">
            <v>1253</v>
          </cell>
        </row>
        <row r="1767">
          <cell r="C1767" t="str">
            <v>23012024-A-055173</v>
          </cell>
          <cell r="D1767">
            <v>45314</v>
          </cell>
          <cell r="E1767" t="str">
            <v>Raw Material</v>
          </cell>
          <cell r="F1767" t="str">
            <v>-</v>
          </cell>
          <cell r="G1767">
            <v>390</v>
          </cell>
        </row>
        <row r="1768">
          <cell r="C1768" t="str">
            <v>23012024-A-055177</v>
          </cell>
          <cell r="D1768">
            <v>45314</v>
          </cell>
          <cell r="E1768" t="str">
            <v>Raw Material</v>
          </cell>
          <cell r="F1768" t="str">
            <v>Closed</v>
          </cell>
          <cell r="G1768">
            <v>8774</v>
          </cell>
        </row>
        <row r="1769">
          <cell r="C1769" t="str">
            <v>23012024-A-055178</v>
          </cell>
          <cell r="D1769">
            <v>45314</v>
          </cell>
          <cell r="E1769" t="str">
            <v>Raw Material</v>
          </cell>
          <cell r="F1769" t="str">
            <v>Closed</v>
          </cell>
          <cell r="G1769">
            <v>29620</v>
          </cell>
        </row>
        <row r="1770">
          <cell r="C1770" t="str">
            <v>23012024-A-055188</v>
          </cell>
          <cell r="D1770">
            <v>45314</v>
          </cell>
          <cell r="E1770" t="str">
            <v>Raw Material</v>
          </cell>
          <cell r="F1770" t="str">
            <v>Closed</v>
          </cell>
          <cell r="G1770">
            <v>29520</v>
          </cell>
        </row>
        <row r="1771">
          <cell r="C1771" t="str">
            <v>23012024-A-055193</v>
          </cell>
          <cell r="D1771">
            <v>45314</v>
          </cell>
          <cell r="E1771" t="str">
            <v>Raw Material</v>
          </cell>
          <cell r="F1771" t="str">
            <v>Closed</v>
          </cell>
          <cell r="G1771">
            <v>29520</v>
          </cell>
        </row>
        <row r="1772">
          <cell r="C1772" t="str">
            <v>23012024-A-055194</v>
          </cell>
          <cell r="D1772">
            <v>45314</v>
          </cell>
          <cell r="E1772" t="str">
            <v>Raw Material</v>
          </cell>
          <cell r="F1772" t="str">
            <v>Closed</v>
          </cell>
          <cell r="G1772">
            <v>29410</v>
          </cell>
        </row>
        <row r="1773">
          <cell r="C1773" t="str">
            <v>23012024-A-055197</v>
          </cell>
          <cell r="D1773">
            <v>45314</v>
          </cell>
          <cell r="E1773" t="str">
            <v>Raw Material</v>
          </cell>
          <cell r="F1773" t="str">
            <v>Closed</v>
          </cell>
          <cell r="G1773">
            <v>29580</v>
          </cell>
        </row>
        <row r="1774">
          <cell r="C1774" t="str">
            <v>23012024-A-055199</v>
          </cell>
          <cell r="D1774">
            <v>45314</v>
          </cell>
          <cell r="E1774" t="str">
            <v>Raw Material</v>
          </cell>
          <cell r="F1774" t="str">
            <v>Closed</v>
          </cell>
          <cell r="G1774">
            <v>29600</v>
          </cell>
        </row>
        <row r="1775">
          <cell r="C1775" t="str">
            <v>23012024-A-055203</v>
          </cell>
          <cell r="D1775">
            <v>45314</v>
          </cell>
          <cell r="E1775" t="str">
            <v>Raw Material</v>
          </cell>
          <cell r="F1775" t="str">
            <v>Closed</v>
          </cell>
          <cell r="G1775">
            <v>5000</v>
          </cell>
        </row>
        <row r="1776">
          <cell r="C1776" t="str">
            <v>23012024-A-055204</v>
          </cell>
          <cell r="D1776">
            <v>45314</v>
          </cell>
          <cell r="E1776" t="str">
            <v>Raw Material</v>
          </cell>
          <cell r="F1776" t="str">
            <v>Closed</v>
          </cell>
          <cell r="G1776">
            <v>5000</v>
          </cell>
        </row>
        <row r="1777">
          <cell r="C1777" t="str">
            <v>23012024-A-055209</v>
          </cell>
          <cell r="D1777">
            <v>45314</v>
          </cell>
          <cell r="E1777" t="str">
            <v>Raw Material</v>
          </cell>
          <cell r="F1777" t="str">
            <v>Closed</v>
          </cell>
          <cell r="G1777">
            <v>5000</v>
          </cell>
        </row>
        <row r="1778">
          <cell r="C1778" t="str">
            <v>23012024-A-055212</v>
          </cell>
          <cell r="D1778">
            <v>45314</v>
          </cell>
          <cell r="E1778" t="str">
            <v>Raw Material</v>
          </cell>
          <cell r="F1778" t="str">
            <v>Closed</v>
          </cell>
          <cell r="G1778">
            <v>2000</v>
          </cell>
        </row>
        <row r="1779">
          <cell r="C1779" t="str">
            <v>23012024-A-055217</v>
          </cell>
          <cell r="D1779">
            <v>45314</v>
          </cell>
          <cell r="E1779" t="str">
            <v>Raw Material</v>
          </cell>
          <cell r="F1779" t="str">
            <v>Closed</v>
          </cell>
          <cell r="G1779">
            <v>2200</v>
          </cell>
        </row>
        <row r="1780">
          <cell r="C1780" t="str">
            <v>23012024-A-055222</v>
          </cell>
          <cell r="D1780">
            <v>45314</v>
          </cell>
          <cell r="E1780" t="str">
            <v>Raw Material</v>
          </cell>
          <cell r="F1780" t="str">
            <v>Closed</v>
          </cell>
          <cell r="G1780">
            <v>360</v>
          </cell>
        </row>
        <row r="1781">
          <cell r="C1781" t="str">
            <v>23012024-A-055227</v>
          </cell>
          <cell r="D1781">
            <v>45314</v>
          </cell>
          <cell r="E1781" t="str">
            <v>Raw Material</v>
          </cell>
          <cell r="F1781" t="str">
            <v>Closed</v>
          </cell>
          <cell r="G1781">
            <v>3000</v>
          </cell>
        </row>
        <row r="1782">
          <cell r="C1782" t="str">
            <v>23012024-A-055231</v>
          </cell>
          <cell r="D1782">
            <v>45314</v>
          </cell>
          <cell r="E1782" t="str">
            <v>Raw Material</v>
          </cell>
          <cell r="F1782" t="str">
            <v>Closed</v>
          </cell>
          <cell r="G1782">
            <v>360</v>
          </cell>
        </row>
        <row r="1783">
          <cell r="C1783" t="str">
            <v>31012024-A-058217</v>
          </cell>
          <cell r="D1783">
            <v>45322</v>
          </cell>
          <cell r="E1783" t="str">
            <v>Raw Material</v>
          </cell>
          <cell r="F1783" t="str">
            <v>Closed</v>
          </cell>
          <cell r="G1783">
            <v>2800</v>
          </cell>
        </row>
        <row r="1784">
          <cell r="C1784" t="str">
            <v>31012024-A-058228</v>
          </cell>
          <cell r="D1784">
            <v>45322</v>
          </cell>
          <cell r="E1784" t="str">
            <v>Raw Material</v>
          </cell>
          <cell r="F1784" t="str">
            <v>Closed</v>
          </cell>
          <cell r="G1784">
            <v>2200</v>
          </cell>
        </row>
        <row r="1785">
          <cell r="C1785" t="str">
            <v>31012024-A-058228</v>
          </cell>
          <cell r="D1785">
            <v>45322</v>
          </cell>
          <cell r="E1785" t="str">
            <v>Raw Material</v>
          </cell>
          <cell r="F1785" t="str">
            <v>Closed</v>
          </cell>
          <cell r="G1785">
            <v>3080</v>
          </cell>
        </row>
        <row r="1786">
          <cell r="C1786" t="str">
            <v>31012024-A-058228</v>
          </cell>
          <cell r="D1786">
            <v>45322</v>
          </cell>
          <cell r="E1786" t="str">
            <v>Raw Material</v>
          </cell>
          <cell r="F1786" t="str">
            <v>Closed</v>
          </cell>
          <cell r="G1786">
            <v>400</v>
          </cell>
        </row>
        <row r="1787">
          <cell r="C1787" t="str">
            <v>31012024-A-058261</v>
          </cell>
          <cell r="D1787">
            <v>45322</v>
          </cell>
          <cell r="E1787" t="str">
            <v>Raw Material</v>
          </cell>
          <cell r="F1787" t="str">
            <v>Closed</v>
          </cell>
          <cell r="G1787">
            <v>1900</v>
          </cell>
        </row>
        <row r="1788">
          <cell r="C1788" t="str">
            <v>31012024-A-058261</v>
          </cell>
          <cell r="D1788">
            <v>45322</v>
          </cell>
          <cell r="E1788" t="str">
            <v>Raw Material</v>
          </cell>
          <cell r="F1788" t="str">
            <v>Closed</v>
          </cell>
          <cell r="G1788">
            <v>600</v>
          </cell>
        </row>
        <row r="1789">
          <cell r="C1789" t="str">
            <v>31012024-A-058276</v>
          </cell>
          <cell r="D1789">
            <v>45322</v>
          </cell>
          <cell r="E1789" t="str">
            <v>Raw Material</v>
          </cell>
          <cell r="F1789" t="str">
            <v>Closed</v>
          </cell>
          <cell r="G1789">
            <v>360</v>
          </cell>
        </row>
        <row r="1790">
          <cell r="C1790" t="str">
            <v>31012024-A-058280</v>
          </cell>
          <cell r="D1790">
            <v>45322</v>
          </cell>
          <cell r="E1790" t="str">
            <v>Raw Material</v>
          </cell>
          <cell r="F1790" t="str">
            <v>Closed</v>
          </cell>
          <cell r="G1790">
            <v>60</v>
          </cell>
        </row>
        <row r="1791">
          <cell r="C1791" t="str">
            <v>31012024-A-058297</v>
          </cell>
          <cell r="D1791">
            <v>45322</v>
          </cell>
          <cell r="E1791" t="str">
            <v>Raw Material</v>
          </cell>
          <cell r="F1791" t="str">
            <v>Closed</v>
          </cell>
          <cell r="G1791">
            <v>1760</v>
          </cell>
        </row>
        <row r="1792">
          <cell r="C1792" t="str">
            <v>31012024-A-058297</v>
          </cell>
          <cell r="D1792">
            <v>45322</v>
          </cell>
          <cell r="E1792" t="str">
            <v>Raw Material</v>
          </cell>
          <cell r="F1792" t="str">
            <v>Closed</v>
          </cell>
          <cell r="G1792">
            <v>100</v>
          </cell>
        </row>
        <row r="1793">
          <cell r="C1793" t="str">
            <v>31012024-A-058430</v>
          </cell>
          <cell r="D1793">
            <v>45322</v>
          </cell>
          <cell r="E1793" t="str">
            <v>Raw Material</v>
          </cell>
          <cell r="F1793" t="str">
            <v>Closed</v>
          </cell>
          <cell r="G1793">
            <v>6380</v>
          </cell>
        </row>
        <row r="1794">
          <cell r="C1794" t="str">
            <v>31012024-A-058440</v>
          </cell>
          <cell r="D1794">
            <v>45322</v>
          </cell>
          <cell r="E1794" t="str">
            <v>Raw Material</v>
          </cell>
          <cell r="F1794" t="str">
            <v>Closed</v>
          </cell>
          <cell r="G1794">
            <v>4200</v>
          </cell>
        </row>
        <row r="1795">
          <cell r="C1795" t="str">
            <v>31012024-A-058443</v>
          </cell>
          <cell r="D1795">
            <v>45322</v>
          </cell>
          <cell r="E1795" t="str">
            <v>Raw Material</v>
          </cell>
          <cell r="F1795" t="str">
            <v>Closed</v>
          </cell>
          <cell r="G1795">
            <v>5500</v>
          </cell>
        </row>
        <row r="1796">
          <cell r="C1796" t="str">
            <v>31012024-A-058448</v>
          </cell>
          <cell r="D1796">
            <v>45322</v>
          </cell>
          <cell r="E1796" t="str">
            <v>Raw Material</v>
          </cell>
          <cell r="F1796" t="str">
            <v>Closed</v>
          </cell>
          <cell r="G1796">
            <v>100</v>
          </cell>
        </row>
        <row r="1797">
          <cell r="C1797" t="str">
            <v>31012024-A-058454</v>
          </cell>
          <cell r="D1797">
            <v>45322</v>
          </cell>
          <cell r="E1797" t="str">
            <v>Raw Material</v>
          </cell>
          <cell r="F1797" t="str">
            <v>Closed</v>
          </cell>
          <cell r="G1797">
            <v>150</v>
          </cell>
        </row>
        <row r="1798">
          <cell r="C1798" t="str">
            <v>31012024-A-058466</v>
          </cell>
          <cell r="D1798">
            <v>45322</v>
          </cell>
          <cell r="E1798" t="str">
            <v>Raw Material</v>
          </cell>
          <cell r="F1798" t="str">
            <v>Closed</v>
          </cell>
          <cell r="G1798">
            <v>467</v>
          </cell>
        </row>
        <row r="1799">
          <cell r="C1799" t="str">
            <v>31012024-A-058474</v>
          </cell>
          <cell r="D1799">
            <v>45322</v>
          </cell>
          <cell r="E1799" t="str">
            <v>Raw Material</v>
          </cell>
          <cell r="F1799" t="str">
            <v>Closed</v>
          </cell>
          <cell r="G1799">
            <v>120</v>
          </cell>
        </row>
        <row r="1800">
          <cell r="C1800" t="str">
            <v>31012024-A-058482</v>
          </cell>
          <cell r="D1800">
            <v>45322</v>
          </cell>
          <cell r="E1800" t="str">
            <v>Raw Material</v>
          </cell>
          <cell r="F1800" t="str">
            <v>Closed</v>
          </cell>
          <cell r="G1800">
            <v>5000</v>
          </cell>
        </row>
        <row r="1801">
          <cell r="C1801" t="str">
            <v>31012024-A-058490</v>
          </cell>
          <cell r="D1801">
            <v>45322</v>
          </cell>
          <cell r="E1801" t="str">
            <v>Raw Material</v>
          </cell>
          <cell r="F1801" t="str">
            <v>Closed</v>
          </cell>
          <cell r="G1801">
            <v>5000</v>
          </cell>
        </row>
        <row r="1802">
          <cell r="C1802" t="str">
            <v>31012024-A-058494</v>
          </cell>
          <cell r="D1802">
            <v>45322</v>
          </cell>
          <cell r="E1802" t="str">
            <v>Raw Material</v>
          </cell>
          <cell r="F1802" t="str">
            <v>Closed</v>
          </cell>
          <cell r="G1802">
            <v>5000</v>
          </cell>
        </row>
        <row r="1803">
          <cell r="C1803" t="str">
            <v>31012024-A-058499</v>
          </cell>
          <cell r="D1803">
            <v>45322</v>
          </cell>
          <cell r="E1803" t="str">
            <v>Raw Material</v>
          </cell>
          <cell r="F1803" t="str">
            <v>Closed</v>
          </cell>
          <cell r="G1803">
            <v>5000</v>
          </cell>
        </row>
        <row r="1804">
          <cell r="C1804" t="str">
            <v>31012024-A-058504</v>
          </cell>
          <cell r="D1804">
            <v>45322</v>
          </cell>
          <cell r="E1804" t="str">
            <v>Raw Material</v>
          </cell>
          <cell r="F1804" t="str">
            <v>Closed</v>
          </cell>
          <cell r="G1804">
            <v>5000</v>
          </cell>
        </row>
        <row r="1805">
          <cell r="C1805" t="str">
            <v>31012024-A-058508</v>
          </cell>
          <cell r="D1805">
            <v>45322</v>
          </cell>
          <cell r="E1805" t="str">
            <v>Raw Material</v>
          </cell>
          <cell r="F1805" t="str">
            <v>Closed</v>
          </cell>
          <cell r="G1805">
            <v>28580</v>
          </cell>
        </row>
        <row r="1806">
          <cell r="C1806" t="str">
            <v>31012024-A-058516</v>
          </cell>
          <cell r="D1806">
            <v>45322</v>
          </cell>
          <cell r="E1806" t="str">
            <v>Raw Material</v>
          </cell>
          <cell r="F1806" t="str">
            <v>Running</v>
          </cell>
          <cell r="G1806">
            <v>29630</v>
          </cell>
        </row>
        <row r="1807">
          <cell r="C1807" t="str">
            <v>31012024-A-058519</v>
          </cell>
          <cell r="D1807">
            <v>45322</v>
          </cell>
          <cell r="E1807" t="str">
            <v>Raw Material</v>
          </cell>
          <cell r="F1807" t="str">
            <v>-</v>
          </cell>
          <cell r="G1807">
            <v>29610</v>
          </cell>
        </row>
        <row r="1808">
          <cell r="C1808" t="str">
            <v>31012024-A-058522</v>
          </cell>
          <cell r="D1808">
            <v>45322</v>
          </cell>
          <cell r="E1808" t="str">
            <v>Raw Material</v>
          </cell>
          <cell r="F1808" t="str">
            <v>Closed</v>
          </cell>
          <cell r="G1808">
            <v>360</v>
          </cell>
        </row>
        <row r="1809">
          <cell r="C1809" t="str">
            <v>31012024-A-058527</v>
          </cell>
          <cell r="D1809">
            <v>45322</v>
          </cell>
          <cell r="E1809" t="str">
            <v>Raw Material</v>
          </cell>
          <cell r="F1809" t="str">
            <v>Closed</v>
          </cell>
          <cell r="G1809">
            <v>200</v>
          </cell>
        </row>
        <row r="1810">
          <cell r="C1810" t="str">
            <v>31012024-A-058532</v>
          </cell>
          <cell r="D1810">
            <v>45322</v>
          </cell>
          <cell r="E1810" t="str">
            <v>Raw Material</v>
          </cell>
          <cell r="F1810" t="str">
            <v>Closed</v>
          </cell>
          <cell r="G1810">
            <v>10125</v>
          </cell>
        </row>
        <row r="1811">
          <cell r="C1811" t="str">
            <v>31012024-A-058535</v>
          </cell>
          <cell r="D1811">
            <v>45322</v>
          </cell>
          <cell r="E1811" t="str">
            <v>Raw Material</v>
          </cell>
          <cell r="F1811" t="str">
            <v>Closed</v>
          </cell>
          <cell r="G1811">
            <v>12130</v>
          </cell>
        </row>
        <row r="1812">
          <cell r="C1812" t="str">
            <v>31012024-A-058538</v>
          </cell>
          <cell r="D1812">
            <v>45322</v>
          </cell>
          <cell r="E1812" t="str">
            <v>Raw Material</v>
          </cell>
          <cell r="F1812" t="str">
            <v>Closed</v>
          </cell>
          <cell r="G1812">
            <v>13044</v>
          </cell>
        </row>
        <row r="1813">
          <cell r="C1813" t="str">
            <v>31012024-A-058554</v>
          </cell>
          <cell r="D1813">
            <v>45322</v>
          </cell>
          <cell r="E1813" t="str">
            <v>Raw Material</v>
          </cell>
          <cell r="F1813" t="str">
            <v>Closed</v>
          </cell>
          <cell r="G1813">
            <v>12644</v>
          </cell>
        </row>
        <row r="1814">
          <cell r="C1814" t="str">
            <v>31012024-A-058555</v>
          </cell>
          <cell r="D1814">
            <v>45322</v>
          </cell>
          <cell r="E1814" t="str">
            <v>Raw Material</v>
          </cell>
          <cell r="F1814" t="str">
            <v>Closed</v>
          </cell>
          <cell r="G1814">
            <v>12280</v>
          </cell>
        </row>
        <row r="1815">
          <cell r="C1815" t="str">
            <v>31012024-A-058556</v>
          </cell>
          <cell r="D1815">
            <v>45322</v>
          </cell>
          <cell r="E1815" t="str">
            <v>Raw Material</v>
          </cell>
          <cell r="F1815" t="str">
            <v>Closed</v>
          </cell>
          <cell r="G1815">
            <v>9816</v>
          </cell>
        </row>
        <row r="1816">
          <cell r="C1816" t="str">
            <v>31012024-A-058557</v>
          </cell>
          <cell r="D1816">
            <v>45322</v>
          </cell>
          <cell r="E1816" t="str">
            <v>Raw Material</v>
          </cell>
          <cell r="F1816" t="str">
            <v>Closed</v>
          </cell>
          <cell r="G1816">
            <v>10425</v>
          </cell>
        </row>
        <row r="1817">
          <cell r="C1817" t="str">
            <v>31012024-A-058558</v>
          </cell>
          <cell r="D1817">
            <v>45322</v>
          </cell>
          <cell r="E1817" t="str">
            <v>Raw Material</v>
          </cell>
          <cell r="F1817" t="str">
            <v>Closed</v>
          </cell>
          <cell r="G1817">
            <v>10115</v>
          </cell>
        </row>
        <row r="1818">
          <cell r="C1818" t="str">
            <v>31012024-A-058559</v>
          </cell>
          <cell r="D1818">
            <v>45322</v>
          </cell>
          <cell r="E1818" t="str">
            <v>Raw Material</v>
          </cell>
          <cell r="F1818" t="str">
            <v>Closed</v>
          </cell>
          <cell r="G1818">
            <v>9955</v>
          </cell>
        </row>
        <row r="1819">
          <cell r="C1819" t="str">
            <v>31012024-A-058560</v>
          </cell>
          <cell r="D1819">
            <v>45322</v>
          </cell>
          <cell r="E1819" t="str">
            <v>Raw Material</v>
          </cell>
          <cell r="F1819" t="str">
            <v>Closed</v>
          </cell>
          <cell r="G1819">
            <v>20412</v>
          </cell>
        </row>
        <row r="1820">
          <cell r="C1820" t="str">
            <v>31012024-A-058561</v>
          </cell>
          <cell r="D1820">
            <v>45322</v>
          </cell>
          <cell r="E1820" t="str">
            <v>Raw Material</v>
          </cell>
          <cell r="F1820" t="str">
            <v>Closed</v>
          </cell>
          <cell r="G1820">
            <v>11340</v>
          </cell>
        </row>
        <row r="1821">
          <cell r="C1821" t="str">
            <v>20022024-A-063898</v>
          </cell>
          <cell r="D1821">
            <v>45342</v>
          </cell>
          <cell r="E1821" t="str">
            <v>Raw Material</v>
          </cell>
          <cell r="F1821" t="str">
            <v>Closed</v>
          </cell>
          <cell r="G1821">
            <v>4000</v>
          </cell>
        </row>
        <row r="1822">
          <cell r="C1822" t="str">
            <v>20022024-A-063927</v>
          </cell>
          <cell r="D1822">
            <v>45342</v>
          </cell>
          <cell r="E1822" t="str">
            <v>Raw Material</v>
          </cell>
          <cell r="F1822" t="str">
            <v>Closed</v>
          </cell>
          <cell r="G1822">
            <v>1000</v>
          </cell>
        </row>
        <row r="1823">
          <cell r="C1823" t="str">
            <v>20022024-A-063934</v>
          </cell>
          <cell r="D1823">
            <v>45342</v>
          </cell>
          <cell r="E1823" t="str">
            <v>Raw Material</v>
          </cell>
          <cell r="F1823" t="str">
            <v>Closed</v>
          </cell>
          <cell r="G1823">
            <v>5000</v>
          </cell>
        </row>
        <row r="1824">
          <cell r="C1824" t="str">
            <v>20022024-A-063940</v>
          </cell>
          <cell r="D1824">
            <v>45342</v>
          </cell>
          <cell r="E1824" t="str">
            <v>Raw Material</v>
          </cell>
          <cell r="F1824" t="str">
            <v>-</v>
          </cell>
          <cell r="G1824">
            <v>19290</v>
          </cell>
        </row>
        <row r="1825">
          <cell r="C1825" t="str">
            <v>20022024-A-063948</v>
          </cell>
          <cell r="D1825">
            <v>45342</v>
          </cell>
          <cell r="E1825" t="str">
            <v>Raw Material</v>
          </cell>
          <cell r="F1825" t="str">
            <v>-</v>
          </cell>
          <cell r="G1825">
            <v>19500</v>
          </cell>
        </row>
        <row r="1826">
          <cell r="C1826" t="str">
            <v>20022024-A-063955</v>
          </cell>
          <cell r="D1826">
            <v>45342</v>
          </cell>
          <cell r="E1826" t="str">
            <v>Raw Material</v>
          </cell>
          <cell r="F1826" t="str">
            <v>-</v>
          </cell>
          <cell r="G1826">
            <v>29570</v>
          </cell>
        </row>
        <row r="1827">
          <cell r="C1827" t="str">
            <v>20022024-A-063958</v>
          </cell>
          <cell r="D1827">
            <v>45342</v>
          </cell>
          <cell r="E1827" t="str">
            <v>Raw Material</v>
          </cell>
          <cell r="F1827" t="str">
            <v>-</v>
          </cell>
          <cell r="G1827">
            <v>29670</v>
          </cell>
        </row>
        <row r="1828">
          <cell r="C1828" t="str">
            <v>20022024-A-063959</v>
          </cell>
          <cell r="D1828">
            <v>45342</v>
          </cell>
          <cell r="E1828" t="str">
            <v>Raw Material</v>
          </cell>
          <cell r="F1828" t="str">
            <v>-</v>
          </cell>
          <cell r="G1828">
            <v>29380</v>
          </cell>
        </row>
        <row r="1829">
          <cell r="C1829" t="str">
            <v>20022024-A-063961</v>
          </cell>
          <cell r="D1829">
            <v>45342</v>
          </cell>
          <cell r="E1829" t="str">
            <v>Raw Material</v>
          </cell>
          <cell r="F1829" t="str">
            <v>-</v>
          </cell>
          <cell r="G1829">
            <v>29580</v>
          </cell>
        </row>
        <row r="1830">
          <cell r="C1830" t="str">
            <v>20022024-A-063971</v>
          </cell>
          <cell r="D1830">
            <v>45342</v>
          </cell>
          <cell r="E1830" t="str">
            <v>Raw Material</v>
          </cell>
          <cell r="F1830" t="str">
            <v>Closed</v>
          </cell>
          <cell r="G1830">
            <v>2</v>
          </cell>
        </row>
        <row r="1831">
          <cell r="C1831" t="str">
            <v>20022024-A-063977</v>
          </cell>
          <cell r="D1831">
            <v>45342</v>
          </cell>
          <cell r="E1831" t="str">
            <v>Raw Material</v>
          </cell>
          <cell r="F1831" t="str">
            <v>Closed</v>
          </cell>
          <cell r="G1831">
            <v>8</v>
          </cell>
        </row>
        <row r="1832">
          <cell r="C1832" t="str">
            <v>20022024-A-063982</v>
          </cell>
          <cell r="D1832">
            <v>45342</v>
          </cell>
          <cell r="E1832" t="str">
            <v>Raw Material</v>
          </cell>
          <cell r="F1832" t="str">
            <v>Closed</v>
          </cell>
          <cell r="G1832">
            <v>1000</v>
          </cell>
        </row>
        <row r="1833">
          <cell r="C1833" t="str">
            <v>20022024-A-063987</v>
          </cell>
          <cell r="D1833">
            <v>45342</v>
          </cell>
          <cell r="E1833" t="str">
            <v>Raw Material</v>
          </cell>
          <cell r="F1833" t="str">
            <v>Closed</v>
          </cell>
          <cell r="G1833">
            <v>510</v>
          </cell>
        </row>
        <row r="1834">
          <cell r="C1834" t="str">
            <v>20022024-A-063992</v>
          </cell>
          <cell r="D1834">
            <v>45342</v>
          </cell>
          <cell r="E1834" t="str">
            <v>Raw Material</v>
          </cell>
          <cell r="F1834" t="str">
            <v>Closed</v>
          </cell>
          <cell r="G1834">
            <v>2010</v>
          </cell>
        </row>
        <row r="1835">
          <cell r="C1835" t="str">
            <v>20022024-A-063996</v>
          </cell>
          <cell r="D1835">
            <v>45342</v>
          </cell>
          <cell r="E1835" t="str">
            <v>Raw Material</v>
          </cell>
          <cell r="F1835" t="str">
            <v>Closed</v>
          </cell>
          <cell r="G1835">
            <v>2010</v>
          </cell>
        </row>
        <row r="1836">
          <cell r="C1836" t="str">
            <v>20022024-A-064002</v>
          </cell>
          <cell r="D1836">
            <v>45342</v>
          </cell>
          <cell r="E1836" t="str">
            <v>Raw Material</v>
          </cell>
          <cell r="F1836" t="str">
            <v>Closed</v>
          </cell>
          <cell r="G1836">
            <v>780</v>
          </cell>
        </row>
        <row r="1837">
          <cell r="C1837" t="str">
            <v>20022024-A-064011</v>
          </cell>
          <cell r="D1837">
            <v>45342</v>
          </cell>
          <cell r="E1837" t="str">
            <v>Raw Material</v>
          </cell>
          <cell r="F1837" t="str">
            <v>Closed</v>
          </cell>
          <cell r="G1837">
            <v>960</v>
          </cell>
        </row>
        <row r="1838">
          <cell r="C1838" t="str">
            <v>20022024-A-064016</v>
          </cell>
          <cell r="D1838">
            <v>45342</v>
          </cell>
          <cell r="E1838" t="str">
            <v>Raw Material</v>
          </cell>
          <cell r="F1838" t="str">
            <v>Closed</v>
          </cell>
          <cell r="G1838">
            <v>120</v>
          </cell>
        </row>
        <row r="1839">
          <cell r="C1839" t="str">
            <v>20022024-A-064021</v>
          </cell>
          <cell r="D1839">
            <v>45342</v>
          </cell>
          <cell r="E1839" t="str">
            <v>Raw Material</v>
          </cell>
          <cell r="F1839" t="str">
            <v>Closed</v>
          </cell>
          <cell r="G1839">
            <v>3000</v>
          </cell>
        </row>
        <row r="1840">
          <cell r="C1840" t="str">
            <v>26022024-A-065247</v>
          </cell>
          <cell r="D1840">
            <v>45348</v>
          </cell>
          <cell r="E1840" t="str">
            <v>Raw Material</v>
          </cell>
          <cell r="F1840" t="str">
            <v>Closed</v>
          </cell>
          <cell r="G1840">
            <v>10275</v>
          </cell>
        </row>
        <row r="1841">
          <cell r="C1841" t="str">
            <v>26022024-A-065263</v>
          </cell>
          <cell r="D1841">
            <v>45348</v>
          </cell>
          <cell r="E1841" t="str">
            <v>Raw Material</v>
          </cell>
          <cell r="F1841" t="str">
            <v>Closed</v>
          </cell>
          <cell r="G1841">
            <v>9221</v>
          </cell>
        </row>
        <row r="1842">
          <cell r="C1842" t="str">
            <v>26022024-A-065269</v>
          </cell>
          <cell r="D1842">
            <v>45348</v>
          </cell>
          <cell r="E1842" t="str">
            <v>Raw Material</v>
          </cell>
          <cell r="F1842" t="str">
            <v>Closed</v>
          </cell>
          <cell r="G1842">
            <v>13124</v>
          </cell>
        </row>
        <row r="1843">
          <cell r="C1843" t="str">
            <v>26022024-A-065308</v>
          </cell>
          <cell r="D1843">
            <v>45348</v>
          </cell>
          <cell r="E1843" t="str">
            <v>Raw Material</v>
          </cell>
          <cell r="F1843" t="str">
            <v>Closed</v>
          </cell>
          <cell r="G1843">
            <v>12050</v>
          </cell>
        </row>
        <row r="1844">
          <cell r="C1844" t="str">
            <v>26022024-A-065311</v>
          </cell>
          <cell r="D1844">
            <v>45348</v>
          </cell>
          <cell r="E1844" t="str">
            <v>Raw Material</v>
          </cell>
          <cell r="F1844" t="str">
            <v>Closed</v>
          </cell>
          <cell r="G1844">
            <v>12160</v>
          </cell>
        </row>
        <row r="1845">
          <cell r="C1845" t="str">
            <v>26022024-A-065315</v>
          </cell>
          <cell r="D1845">
            <v>45348</v>
          </cell>
          <cell r="E1845" t="str">
            <v>Raw Material</v>
          </cell>
          <cell r="F1845" t="str">
            <v>Closed</v>
          </cell>
          <cell r="G1845">
            <v>13054</v>
          </cell>
        </row>
        <row r="1846">
          <cell r="C1846" t="str">
            <v>26022024-A-065321</v>
          </cell>
          <cell r="D1846">
            <v>45348</v>
          </cell>
          <cell r="E1846" t="str">
            <v>Raw Material</v>
          </cell>
          <cell r="F1846" t="str">
            <v>Closed</v>
          </cell>
          <cell r="G1846">
            <v>9688</v>
          </cell>
        </row>
        <row r="1847">
          <cell r="C1847" t="str">
            <v>26022024-A-065323</v>
          </cell>
          <cell r="D1847">
            <v>45348</v>
          </cell>
          <cell r="E1847" t="str">
            <v>Raw Material</v>
          </cell>
          <cell r="F1847" t="str">
            <v>Closed</v>
          </cell>
          <cell r="G1847">
            <v>7970</v>
          </cell>
        </row>
        <row r="1848">
          <cell r="C1848" t="str">
            <v>26022024-A-065330</v>
          </cell>
          <cell r="D1848">
            <v>45348</v>
          </cell>
          <cell r="E1848" t="str">
            <v>Raw Material</v>
          </cell>
          <cell r="F1848" t="str">
            <v>Closed</v>
          </cell>
          <cell r="G1848">
            <v>7017</v>
          </cell>
        </row>
        <row r="1849">
          <cell r="C1849" t="str">
            <v>26022024-A-065440</v>
          </cell>
          <cell r="D1849">
            <v>45348</v>
          </cell>
          <cell r="E1849" t="str">
            <v>Raw Material</v>
          </cell>
          <cell r="F1849" t="str">
            <v>Closed</v>
          </cell>
          <cell r="G1849">
            <v>7017</v>
          </cell>
        </row>
        <row r="1850">
          <cell r="C1850" t="str">
            <v>26022024-A-065447</v>
          </cell>
          <cell r="D1850">
            <v>45348</v>
          </cell>
          <cell r="E1850" t="str">
            <v>Raw Material</v>
          </cell>
          <cell r="F1850" t="str">
            <v>Closed</v>
          </cell>
          <cell r="G1850">
            <v>7630</v>
          </cell>
        </row>
        <row r="1851">
          <cell r="C1851" t="str">
            <v>26022024-A-065453</v>
          </cell>
          <cell r="D1851">
            <v>45348</v>
          </cell>
          <cell r="E1851" t="str">
            <v>Raw Material</v>
          </cell>
          <cell r="F1851" t="str">
            <v>Closed</v>
          </cell>
          <cell r="G1851">
            <v>10543</v>
          </cell>
        </row>
        <row r="1852">
          <cell r="C1852" t="str">
            <v>26022024-A-065488</v>
          </cell>
          <cell r="D1852">
            <v>45348</v>
          </cell>
          <cell r="E1852" t="str">
            <v>Raw Material</v>
          </cell>
          <cell r="F1852" t="str">
            <v>Closed</v>
          </cell>
          <cell r="G1852">
            <v>10035</v>
          </cell>
        </row>
        <row r="1853">
          <cell r="C1853" t="str">
            <v>26022024-A-065493</v>
          </cell>
          <cell r="D1853">
            <v>45348</v>
          </cell>
          <cell r="E1853" t="str">
            <v>Raw Material</v>
          </cell>
          <cell r="F1853" t="str">
            <v>Closed</v>
          </cell>
          <cell r="G1853">
            <v>9788</v>
          </cell>
        </row>
        <row r="1854">
          <cell r="C1854" t="str">
            <v>26022024-A-065500</v>
          </cell>
          <cell r="D1854">
            <v>45348</v>
          </cell>
          <cell r="E1854" t="str">
            <v>Raw Material</v>
          </cell>
          <cell r="F1854" t="str">
            <v>Closed</v>
          </cell>
          <cell r="G1854">
            <v>7783</v>
          </cell>
        </row>
        <row r="1855">
          <cell r="C1855" t="str">
            <v>26022024-A-065503</v>
          </cell>
          <cell r="D1855">
            <v>45348</v>
          </cell>
          <cell r="E1855" t="str">
            <v>Raw Material</v>
          </cell>
          <cell r="F1855" t="str">
            <v>Closed</v>
          </cell>
          <cell r="G1855">
            <v>7404</v>
          </cell>
        </row>
        <row r="1856">
          <cell r="C1856" t="str">
            <v>26022024-A-065504</v>
          </cell>
          <cell r="D1856">
            <v>45348</v>
          </cell>
          <cell r="E1856" t="str">
            <v>Raw Material</v>
          </cell>
          <cell r="F1856" t="str">
            <v>Closed</v>
          </cell>
          <cell r="G1856">
            <v>7683</v>
          </cell>
        </row>
        <row r="1857">
          <cell r="C1857" t="str">
            <v>26022024-A-065509</v>
          </cell>
          <cell r="D1857">
            <v>45348</v>
          </cell>
          <cell r="E1857" t="str">
            <v>Raw Material</v>
          </cell>
          <cell r="F1857" t="str">
            <v>Closed</v>
          </cell>
          <cell r="G1857">
            <v>7156</v>
          </cell>
        </row>
        <row r="1858">
          <cell r="C1858" t="str">
            <v>26022024-A-065514</v>
          </cell>
          <cell r="D1858">
            <v>45348</v>
          </cell>
          <cell r="E1858" t="str">
            <v>Raw Material</v>
          </cell>
          <cell r="F1858" t="str">
            <v>Closed</v>
          </cell>
          <cell r="G1858">
            <v>7086</v>
          </cell>
        </row>
        <row r="1859">
          <cell r="C1859" t="str">
            <v>26022024-A-065520</v>
          </cell>
          <cell r="D1859">
            <v>45348</v>
          </cell>
          <cell r="E1859" t="str">
            <v>Raw Material</v>
          </cell>
          <cell r="F1859" t="str">
            <v>Closed</v>
          </cell>
          <cell r="G1859">
            <v>7553</v>
          </cell>
        </row>
        <row r="1860">
          <cell r="C1860" t="str">
            <v>27022024-A-065952</v>
          </cell>
          <cell r="D1860">
            <v>45349</v>
          </cell>
          <cell r="E1860" t="str">
            <v>Raw Material</v>
          </cell>
          <cell r="F1860" t="str">
            <v>-</v>
          </cell>
          <cell r="G1860">
            <v>29770</v>
          </cell>
        </row>
        <row r="1861">
          <cell r="C1861" t="str">
            <v>27022024-A-065967</v>
          </cell>
          <cell r="D1861">
            <v>45349</v>
          </cell>
          <cell r="E1861" t="str">
            <v>Raw Material</v>
          </cell>
          <cell r="F1861" t="str">
            <v>-</v>
          </cell>
          <cell r="G1861">
            <v>19930</v>
          </cell>
        </row>
        <row r="1862">
          <cell r="C1862" t="str">
            <v>27022024-A-065976</v>
          </cell>
          <cell r="D1862">
            <v>45349</v>
          </cell>
          <cell r="E1862" t="str">
            <v>Raw Material</v>
          </cell>
          <cell r="F1862" t="str">
            <v>-</v>
          </cell>
          <cell r="G1862">
            <v>19930</v>
          </cell>
        </row>
        <row r="1863">
          <cell r="C1863" t="str">
            <v>27022024-A-065985</v>
          </cell>
          <cell r="D1863">
            <v>45349</v>
          </cell>
          <cell r="E1863" t="str">
            <v>Raw Material</v>
          </cell>
          <cell r="F1863" t="str">
            <v>-</v>
          </cell>
          <cell r="G1863">
            <v>29630</v>
          </cell>
        </row>
        <row r="1864">
          <cell r="C1864" t="str">
            <v>27022024-A-065993</v>
          </cell>
          <cell r="D1864">
            <v>45349</v>
          </cell>
          <cell r="E1864" t="str">
            <v>Raw Material</v>
          </cell>
          <cell r="F1864" t="str">
            <v>-</v>
          </cell>
          <cell r="G1864">
            <v>19880</v>
          </cell>
        </row>
        <row r="1865">
          <cell r="C1865" t="str">
            <v>27022024-A-066000</v>
          </cell>
          <cell r="D1865">
            <v>45349</v>
          </cell>
          <cell r="E1865" t="str">
            <v>Raw Material</v>
          </cell>
          <cell r="F1865" t="str">
            <v>-</v>
          </cell>
          <cell r="G1865">
            <v>9730</v>
          </cell>
        </row>
        <row r="1866">
          <cell r="C1866" t="str">
            <v>27022024-A-066011</v>
          </cell>
          <cell r="D1866">
            <v>45349</v>
          </cell>
          <cell r="E1866" t="str">
            <v>Raw Material</v>
          </cell>
          <cell r="F1866" t="str">
            <v>-</v>
          </cell>
          <cell r="G1866">
            <v>19530</v>
          </cell>
        </row>
        <row r="1867">
          <cell r="C1867" t="str">
            <v>27022024-A-066016</v>
          </cell>
          <cell r="D1867">
            <v>45349</v>
          </cell>
          <cell r="E1867" t="str">
            <v>Raw Material</v>
          </cell>
          <cell r="F1867" t="str">
            <v>-</v>
          </cell>
          <cell r="G1867">
            <v>19470</v>
          </cell>
        </row>
        <row r="1868">
          <cell r="C1868" t="str">
            <v>27022024-A-066025</v>
          </cell>
          <cell r="D1868">
            <v>45349</v>
          </cell>
          <cell r="E1868" t="str">
            <v>Raw Material</v>
          </cell>
          <cell r="F1868" t="str">
            <v>-</v>
          </cell>
          <cell r="G1868">
            <v>29370</v>
          </cell>
        </row>
        <row r="1869">
          <cell r="C1869" t="str">
            <v>27022024-A-066033</v>
          </cell>
          <cell r="D1869">
            <v>45349</v>
          </cell>
          <cell r="E1869" t="str">
            <v>Raw Material</v>
          </cell>
          <cell r="F1869" t="str">
            <v>-</v>
          </cell>
          <cell r="G1869">
            <v>29210</v>
          </cell>
        </row>
        <row r="1870">
          <cell r="C1870" t="str">
            <v>27022024-A-066039</v>
          </cell>
          <cell r="D1870">
            <v>45349</v>
          </cell>
          <cell r="E1870" t="str">
            <v>Raw Material</v>
          </cell>
          <cell r="F1870" t="str">
            <v>-</v>
          </cell>
          <cell r="G1870">
            <v>29440</v>
          </cell>
        </row>
        <row r="1871">
          <cell r="C1871" t="str">
            <v>27022024-A-066064</v>
          </cell>
          <cell r="D1871">
            <v>45349</v>
          </cell>
          <cell r="E1871" t="str">
            <v>Raw Material</v>
          </cell>
          <cell r="F1871" t="str">
            <v>Closed</v>
          </cell>
          <cell r="G1871">
            <v>500</v>
          </cell>
        </row>
        <row r="1872">
          <cell r="C1872" t="str">
            <v>27022024-A-066064</v>
          </cell>
          <cell r="D1872">
            <v>45349</v>
          </cell>
          <cell r="E1872" t="str">
            <v>Raw Material</v>
          </cell>
          <cell r="F1872" t="str">
            <v>Closed</v>
          </cell>
          <cell r="G1872">
            <v>400</v>
          </cell>
        </row>
        <row r="1873">
          <cell r="C1873" t="str">
            <v>27022024-A-066064</v>
          </cell>
          <cell r="D1873">
            <v>45349</v>
          </cell>
          <cell r="E1873" t="str">
            <v>Raw Material</v>
          </cell>
          <cell r="F1873" t="str">
            <v>Closed</v>
          </cell>
          <cell r="G1873">
            <v>990</v>
          </cell>
        </row>
        <row r="1874">
          <cell r="C1874" t="str">
            <v>27022024-A-066079</v>
          </cell>
          <cell r="D1874">
            <v>45349</v>
          </cell>
          <cell r="E1874" t="str">
            <v>Raw Material</v>
          </cell>
          <cell r="F1874" t="str">
            <v>Closed</v>
          </cell>
          <cell r="G1874">
            <v>2640</v>
          </cell>
        </row>
        <row r="1875">
          <cell r="C1875" t="str">
            <v>27022024-A-066079</v>
          </cell>
          <cell r="D1875">
            <v>45349</v>
          </cell>
          <cell r="E1875" t="str">
            <v>Raw Material</v>
          </cell>
          <cell r="F1875" t="str">
            <v>Closed</v>
          </cell>
          <cell r="G1875">
            <v>1540</v>
          </cell>
        </row>
        <row r="1876">
          <cell r="C1876" t="str">
            <v>27022024-A-066079</v>
          </cell>
          <cell r="D1876">
            <v>45349</v>
          </cell>
          <cell r="E1876" t="str">
            <v>Raw Material</v>
          </cell>
          <cell r="F1876" t="str">
            <v>Closed</v>
          </cell>
          <cell r="G1876">
            <v>900</v>
          </cell>
        </row>
        <row r="1877">
          <cell r="C1877" t="str">
            <v>27022024-A-066094</v>
          </cell>
          <cell r="D1877">
            <v>45349</v>
          </cell>
          <cell r="E1877" t="str">
            <v>Raw Material</v>
          </cell>
          <cell r="F1877" t="str">
            <v>Closed</v>
          </cell>
          <cell r="G1877">
            <v>1980</v>
          </cell>
        </row>
        <row r="1878">
          <cell r="C1878" t="str">
            <v>27022024-A-066094</v>
          </cell>
          <cell r="D1878">
            <v>45349</v>
          </cell>
          <cell r="E1878" t="str">
            <v>Raw Material</v>
          </cell>
          <cell r="F1878" t="str">
            <v>Closed</v>
          </cell>
          <cell r="G1878">
            <v>1320</v>
          </cell>
        </row>
        <row r="1879">
          <cell r="C1879" t="str">
            <v>27022024-A-066094</v>
          </cell>
          <cell r="D1879">
            <v>45349</v>
          </cell>
          <cell r="E1879" t="str">
            <v>Raw Material</v>
          </cell>
          <cell r="F1879" t="str">
            <v>Closed</v>
          </cell>
          <cell r="G1879">
            <v>720</v>
          </cell>
        </row>
        <row r="1880">
          <cell r="C1880" t="str">
            <v>27022024-A-066109</v>
          </cell>
          <cell r="D1880">
            <v>45349</v>
          </cell>
          <cell r="E1880" t="str">
            <v>Raw Material</v>
          </cell>
          <cell r="F1880" t="str">
            <v>Closed</v>
          </cell>
          <cell r="G1880">
            <v>4200</v>
          </cell>
        </row>
        <row r="1881">
          <cell r="C1881" t="str">
            <v>27022024-A-066116</v>
          </cell>
          <cell r="D1881">
            <v>45349</v>
          </cell>
          <cell r="E1881" t="str">
            <v>Raw Material</v>
          </cell>
          <cell r="F1881" t="str">
            <v>Closed</v>
          </cell>
          <cell r="G1881">
            <v>5280</v>
          </cell>
        </row>
        <row r="1882">
          <cell r="C1882" t="str">
            <v>27022024-A-066222</v>
          </cell>
          <cell r="D1882">
            <v>45349</v>
          </cell>
          <cell r="E1882" t="str">
            <v>Raw Material</v>
          </cell>
          <cell r="F1882" t="str">
            <v>Closed</v>
          </cell>
          <cell r="G1882">
            <v>1210</v>
          </cell>
        </row>
        <row r="1883">
          <cell r="C1883" t="str">
            <v>27022024-A-066222</v>
          </cell>
          <cell r="D1883">
            <v>45349</v>
          </cell>
          <cell r="E1883" t="str">
            <v>Raw Material</v>
          </cell>
          <cell r="F1883" t="str">
            <v>Closed</v>
          </cell>
          <cell r="G1883">
            <v>1200</v>
          </cell>
        </row>
        <row r="1884">
          <cell r="C1884" t="str">
            <v>27022024-A-066141</v>
          </cell>
          <cell r="D1884">
            <v>45349</v>
          </cell>
          <cell r="E1884" t="str">
            <v>Raw Material</v>
          </cell>
          <cell r="F1884" t="str">
            <v>Closed</v>
          </cell>
          <cell r="G1884">
            <v>3520</v>
          </cell>
        </row>
        <row r="1885">
          <cell r="C1885" t="str">
            <v>27022024-A-066145</v>
          </cell>
          <cell r="D1885">
            <v>45349</v>
          </cell>
          <cell r="E1885" t="str">
            <v>Raw Material</v>
          </cell>
          <cell r="F1885" t="str">
            <v>Closed</v>
          </cell>
          <cell r="G1885">
            <v>900</v>
          </cell>
        </row>
        <row r="1886">
          <cell r="C1886" t="str">
            <v>27022024-A-066156</v>
          </cell>
          <cell r="D1886">
            <v>45349</v>
          </cell>
          <cell r="E1886" t="str">
            <v>Raw Material</v>
          </cell>
          <cell r="F1886" t="str">
            <v>Closed</v>
          </cell>
          <cell r="G1886">
            <v>750</v>
          </cell>
        </row>
        <row r="1887">
          <cell r="C1887" t="str">
            <v>27022024-A-066163</v>
          </cell>
          <cell r="D1887">
            <v>45349</v>
          </cell>
          <cell r="E1887" t="str">
            <v>Raw Material</v>
          </cell>
          <cell r="F1887" t="str">
            <v>Closed</v>
          </cell>
          <cell r="G1887">
            <v>120</v>
          </cell>
        </row>
        <row r="1888">
          <cell r="C1888" t="str">
            <v>27022024-A-066169</v>
          </cell>
          <cell r="D1888">
            <v>45349</v>
          </cell>
          <cell r="E1888" t="str">
            <v>Raw Material</v>
          </cell>
          <cell r="F1888" t="str">
            <v>Closed</v>
          </cell>
          <cell r="G1888">
            <v>2000</v>
          </cell>
        </row>
        <row r="1889">
          <cell r="C1889" t="str">
            <v>27022024-A-066220</v>
          </cell>
          <cell r="D1889">
            <v>45349</v>
          </cell>
          <cell r="E1889" t="str">
            <v>Raw Material</v>
          </cell>
          <cell r="F1889" t="str">
            <v>Closed</v>
          </cell>
          <cell r="G1889">
            <v>12000</v>
          </cell>
        </row>
        <row r="1890">
          <cell r="C1890" t="str">
            <v>27022024-A-066227</v>
          </cell>
          <cell r="D1890">
            <v>45349</v>
          </cell>
          <cell r="E1890" t="str">
            <v>Raw Material</v>
          </cell>
          <cell r="F1890" t="str">
            <v>Closed</v>
          </cell>
          <cell r="G1890">
            <v>240</v>
          </cell>
        </row>
        <row r="1891">
          <cell r="C1891" t="str">
            <v>27022024-A-066228</v>
          </cell>
          <cell r="D1891">
            <v>45349</v>
          </cell>
          <cell r="E1891" t="str">
            <v>Raw Material</v>
          </cell>
          <cell r="F1891" t="str">
            <v>Closed</v>
          </cell>
          <cell r="G1891">
            <v>250</v>
          </cell>
        </row>
        <row r="1892">
          <cell r="C1892" t="str">
            <v>28022024-A-066299</v>
          </cell>
          <cell r="D1892">
            <v>45350</v>
          </cell>
          <cell r="E1892" t="str">
            <v>Raw Material</v>
          </cell>
          <cell r="F1892" t="str">
            <v>Closed</v>
          </cell>
          <cell r="G1892">
            <v>960</v>
          </cell>
        </row>
        <row r="1893">
          <cell r="C1893" t="str">
            <v>28022024-A-066302</v>
          </cell>
          <cell r="D1893">
            <v>45350</v>
          </cell>
          <cell r="E1893" t="str">
            <v>Raw Material</v>
          </cell>
          <cell r="F1893" t="str">
            <v>Closed</v>
          </cell>
          <cell r="G1893">
            <v>300</v>
          </cell>
        </row>
        <row r="1894">
          <cell r="C1894" t="str">
            <v>28022024-A-066313</v>
          </cell>
          <cell r="D1894">
            <v>45350</v>
          </cell>
          <cell r="E1894" t="str">
            <v>Raw Material</v>
          </cell>
          <cell r="F1894" t="str">
            <v>Closed</v>
          </cell>
          <cell r="G1894">
            <v>480</v>
          </cell>
        </row>
        <row r="1895">
          <cell r="C1895" t="str">
            <v>28022024-A-066318</v>
          </cell>
          <cell r="D1895">
            <v>45350</v>
          </cell>
          <cell r="E1895" t="str">
            <v>Raw Material</v>
          </cell>
          <cell r="F1895" t="str">
            <v>Closed</v>
          </cell>
          <cell r="G1895">
            <v>150</v>
          </cell>
        </row>
        <row r="1896">
          <cell r="C1896" t="str">
            <v>04032024-A-068165</v>
          </cell>
          <cell r="D1896">
            <v>45355</v>
          </cell>
          <cell r="E1896" t="str">
            <v>Raw Material</v>
          </cell>
          <cell r="F1896" t="str">
            <v>Closed</v>
          </cell>
          <cell r="G1896">
            <v>10183</v>
          </cell>
        </row>
        <row r="1897">
          <cell r="C1897" t="str">
            <v>04032024-A-068168</v>
          </cell>
          <cell r="D1897">
            <v>45355</v>
          </cell>
          <cell r="E1897" t="str">
            <v>Raw Material</v>
          </cell>
          <cell r="F1897" t="str">
            <v>Closed</v>
          </cell>
          <cell r="G1897">
            <v>9885</v>
          </cell>
        </row>
        <row r="1898">
          <cell r="C1898" t="str">
            <v>08032024-A-070139</v>
          </cell>
          <cell r="D1898">
            <v>45359</v>
          </cell>
          <cell r="E1898" t="str">
            <v>Raw Material</v>
          </cell>
          <cell r="F1898" t="str">
            <v>Closed</v>
          </cell>
          <cell r="G1898">
            <v>420</v>
          </cell>
        </row>
        <row r="1899">
          <cell r="C1899" t="str">
            <v>08032024-A-070148</v>
          </cell>
          <cell r="D1899">
            <v>45359</v>
          </cell>
          <cell r="E1899" t="str">
            <v>Raw Material</v>
          </cell>
          <cell r="F1899" t="str">
            <v>Closed</v>
          </cell>
          <cell r="G1899">
            <v>360</v>
          </cell>
        </row>
        <row r="1900">
          <cell r="C1900" t="str">
            <v>08032024-A-070152</v>
          </cell>
          <cell r="D1900">
            <v>45359</v>
          </cell>
          <cell r="E1900" t="str">
            <v>Raw Material</v>
          </cell>
          <cell r="F1900" t="str">
            <v>-</v>
          </cell>
          <cell r="G1900">
            <v>29620</v>
          </cell>
        </row>
        <row r="1901">
          <cell r="C1901" t="str">
            <v>08032024-A-070159</v>
          </cell>
          <cell r="D1901">
            <v>45359</v>
          </cell>
          <cell r="E1901" t="str">
            <v>Raw Material</v>
          </cell>
          <cell r="F1901" t="str">
            <v>-</v>
          </cell>
          <cell r="G1901">
            <v>29620</v>
          </cell>
        </row>
        <row r="1902">
          <cell r="C1902" t="str">
            <v>08032024-A-070166</v>
          </cell>
          <cell r="D1902">
            <v>45359</v>
          </cell>
          <cell r="E1902" t="str">
            <v>Raw Material</v>
          </cell>
          <cell r="F1902" t="str">
            <v>-</v>
          </cell>
          <cell r="G1902">
            <v>19920</v>
          </cell>
        </row>
        <row r="1903">
          <cell r="C1903" t="str">
            <v>08032024-A-070172</v>
          </cell>
          <cell r="D1903">
            <v>45359</v>
          </cell>
          <cell r="E1903" t="str">
            <v>Raw Material</v>
          </cell>
          <cell r="F1903" t="str">
            <v>-</v>
          </cell>
          <cell r="G1903">
            <v>29930</v>
          </cell>
        </row>
        <row r="1904">
          <cell r="C1904" t="str">
            <v>08032024-A-070178</v>
          </cell>
          <cell r="D1904">
            <v>45359</v>
          </cell>
          <cell r="E1904" t="str">
            <v>Raw Material</v>
          </cell>
          <cell r="F1904" t="str">
            <v>-</v>
          </cell>
          <cell r="G1904">
            <v>29940</v>
          </cell>
        </row>
        <row r="1905">
          <cell r="C1905" t="str">
            <v>08032024-A-070186</v>
          </cell>
          <cell r="D1905">
            <v>45359</v>
          </cell>
          <cell r="E1905" t="str">
            <v>Raw Material</v>
          </cell>
          <cell r="F1905" t="str">
            <v>Closed</v>
          </cell>
          <cell r="G1905">
            <v>2520</v>
          </cell>
        </row>
        <row r="1906">
          <cell r="C1906" t="str">
            <v>08032024-A-070192</v>
          </cell>
          <cell r="D1906">
            <v>45359</v>
          </cell>
          <cell r="E1906" t="str">
            <v>Raw Material</v>
          </cell>
          <cell r="F1906" t="str">
            <v>Closed</v>
          </cell>
          <cell r="G1906">
            <v>480</v>
          </cell>
        </row>
        <row r="1907">
          <cell r="C1907" t="str">
            <v>08032024-A-070198</v>
          </cell>
          <cell r="D1907">
            <v>45359</v>
          </cell>
          <cell r="E1907" t="str">
            <v>Raw Material</v>
          </cell>
          <cell r="F1907" t="str">
            <v>Closed</v>
          </cell>
          <cell r="G1907">
            <v>4920</v>
          </cell>
        </row>
        <row r="1908">
          <cell r="C1908" t="str">
            <v>08032024-A-070202</v>
          </cell>
          <cell r="D1908">
            <v>45359</v>
          </cell>
          <cell r="E1908" t="str">
            <v>Raw Material</v>
          </cell>
          <cell r="F1908" t="str">
            <v>Closed</v>
          </cell>
          <cell r="G1908">
            <v>1210</v>
          </cell>
        </row>
        <row r="1909">
          <cell r="C1909" t="str">
            <v>08032024-A-070202</v>
          </cell>
          <cell r="D1909">
            <v>45359</v>
          </cell>
          <cell r="E1909" t="str">
            <v>Raw Material</v>
          </cell>
          <cell r="F1909" t="str">
            <v>Closed</v>
          </cell>
          <cell r="G1909">
            <v>1320</v>
          </cell>
        </row>
        <row r="1910">
          <cell r="C1910" t="str">
            <v>08032024-A-070202</v>
          </cell>
          <cell r="D1910">
            <v>45359</v>
          </cell>
          <cell r="E1910" t="str">
            <v>Raw Material</v>
          </cell>
          <cell r="F1910" t="str">
            <v>Closed</v>
          </cell>
          <cell r="G1910">
            <v>2000</v>
          </cell>
        </row>
        <row r="1911">
          <cell r="C1911" t="str">
            <v>08032024-A-070214</v>
          </cell>
          <cell r="D1911">
            <v>45359</v>
          </cell>
          <cell r="E1911" t="str">
            <v>Raw Material</v>
          </cell>
          <cell r="F1911" t="str">
            <v>Closed</v>
          </cell>
          <cell r="G1911">
            <v>1</v>
          </cell>
        </row>
        <row r="1912">
          <cell r="C1912" t="str">
            <v>08032024-A-070219</v>
          </cell>
          <cell r="D1912">
            <v>45359</v>
          </cell>
          <cell r="E1912" t="str">
            <v>Raw Material</v>
          </cell>
          <cell r="F1912" t="str">
            <v>Closed</v>
          </cell>
          <cell r="G1912">
            <v>2</v>
          </cell>
        </row>
        <row r="1913">
          <cell r="C1913" t="str">
            <v>08032024-A-070223</v>
          </cell>
          <cell r="D1913">
            <v>45359</v>
          </cell>
          <cell r="E1913" t="str">
            <v>Raw Material</v>
          </cell>
          <cell r="F1913" t="str">
            <v>Closed</v>
          </cell>
          <cell r="G1913">
            <v>5000</v>
          </cell>
        </row>
        <row r="1914">
          <cell r="C1914" t="str">
            <v>08032024-A-070227</v>
          </cell>
          <cell r="D1914">
            <v>45359</v>
          </cell>
          <cell r="E1914" t="str">
            <v>Raw Material</v>
          </cell>
          <cell r="F1914" t="str">
            <v>Closed</v>
          </cell>
          <cell r="G1914">
            <v>5000</v>
          </cell>
        </row>
        <row r="1915">
          <cell r="C1915" t="str">
            <v>08032024-A-070232</v>
          </cell>
          <cell r="D1915">
            <v>45359</v>
          </cell>
          <cell r="E1915" t="str">
            <v>Raw Material</v>
          </cell>
          <cell r="F1915" t="str">
            <v>Closed</v>
          </cell>
          <cell r="G1915">
            <v>5000</v>
          </cell>
        </row>
        <row r="1916">
          <cell r="C1916" t="str">
            <v>13032024-A-072273</v>
          </cell>
          <cell r="D1916">
            <v>45364</v>
          </cell>
          <cell r="E1916" t="str">
            <v>Raw Material</v>
          </cell>
          <cell r="F1916" t="str">
            <v>Closed</v>
          </cell>
          <cell r="G1916">
            <v>35046</v>
          </cell>
        </row>
        <row r="1917">
          <cell r="C1917" t="str">
            <v>13032024-A-072296</v>
          </cell>
          <cell r="D1917">
            <v>45364</v>
          </cell>
          <cell r="E1917" t="str">
            <v>Raw Material</v>
          </cell>
          <cell r="F1917" t="str">
            <v>Closed</v>
          </cell>
          <cell r="G1917">
            <v>35052</v>
          </cell>
        </row>
        <row r="1918">
          <cell r="C1918" t="str">
            <v>13032024-A-072314</v>
          </cell>
          <cell r="D1918">
            <v>45364</v>
          </cell>
          <cell r="E1918" t="str">
            <v>Raw Material</v>
          </cell>
          <cell r="F1918" t="str">
            <v>Closed</v>
          </cell>
          <cell r="G1918">
            <v>28785</v>
          </cell>
        </row>
        <row r="1919">
          <cell r="C1919" t="str">
            <v>13032024-A-072326</v>
          </cell>
          <cell r="D1919">
            <v>45364</v>
          </cell>
          <cell r="E1919" t="str">
            <v>Raw Material</v>
          </cell>
          <cell r="F1919" t="str">
            <v>Closed</v>
          </cell>
          <cell r="G1919">
            <v>27542</v>
          </cell>
        </row>
        <row r="1920">
          <cell r="C1920" t="str">
            <v>11032024-A-071139</v>
          </cell>
          <cell r="D1920">
            <v>45362</v>
          </cell>
          <cell r="E1920" t="str">
            <v>Raw Material</v>
          </cell>
          <cell r="F1920" t="str">
            <v>Closed</v>
          </cell>
          <cell r="G1920">
            <v>7463</v>
          </cell>
        </row>
        <row r="1921">
          <cell r="C1921" t="str">
            <v>11032024-A-071149</v>
          </cell>
          <cell r="D1921">
            <v>45362</v>
          </cell>
          <cell r="E1921" t="str">
            <v>Raw Material</v>
          </cell>
          <cell r="F1921" t="str">
            <v>Closed</v>
          </cell>
          <cell r="G1921">
            <v>7683</v>
          </cell>
        </row>
        <row r="1922">
          <cell r="C1922" t="str">
            <v>11032024-A-071156</v>
          </cell>
          <cell r="D1922">
            <v>45362</v>
          </cell>
          <cell r="E1922" t="str">
            <v>Raw Material</v>
          </cell>
          <cell r="F1922" t="str">
            <v>Closed</v>
          </cell>
          <cell r="G1922">
            <v>7423</v>
          </cell>
        </row>
        <row r="1923">
          <cell r="C1923" t="str">
            <v>11032024-A-071164</v>
          </cell>
          <cell r="D1923">
            <v>45362</v>
          </cell>
          <cell r="E1923" t="str">
            <v>Raw Material</v>
          </cell>
          <cell r="F1923" t="str">
            <v>Closed</v>
          </cell>
          <cell r="G1923">
            <v>7473</v>
          </cell>
        </row>
        <row r="1924">
          <cell r="C1924" t="str">
            <v>11032024-A-071172</v>
          </cell>
          <cell r="D1924">
            <v>45362</v>
          </cell>
          <cell r="E1924" t="str">
            <v>Raw Material</v>
          </cell>
          <cell r="F1924" t="str">
            <v>Closed</v>
          </cell>
          <cell r="G1924">
            <v>7653</v>
          </cell>
        </row>
        <row r="1925">
          <cell r="C1925" t="str">
            <v>11032024-A-071177</v>
          </cell>
          <cell r="D1925">
            <v>45362</v>
          </cell>
          <cell r="E1925" t="str">
            <v>Raw Material</v>
          </cell>
          <cell r="F1925" t="str">
            <v>Closed</v>
          </cell>
          <cell r="G1925">
            <v>7431</v>
          </cell>
        </row>
        <row r="1926">
          <cell r="C1926" t="str">
            <v>11032024-A-071192</v>
          </cell>
          <cell r="D1926">
            <v>45362</v>
          </cell>
          <cell r="E1926" t="str">
            <v>Raw Material</v>
          </cell>
          <cell r="F1926" t="str">
            <v>Closed</v>
          </cell>
          <cell r="G1926">
            <v>7690</v>
          </cell>
        </row>
        <row r="1927">
          <cell r="C1927" t="str">
            <v>11032024-A-071205</v>
          </cell>
          <cell r="D1927">
            <v>45362</v>
          </cell>
          <cell r="E1927" t="str">
            <v>Raw Material</v>
          </cell>
          <cell r="F1927" t="str">
            <v>Closed</v>
          </cell>
          <cell r="G1927">
            <v>7126</v>
          </cell>
        </row>
        <row r="1928">
          <cell r="C1928" t="str">
            <v>11032024-A-071215</v>
          </cell>
          <cell r="D1928">
            <v>45362</v>
          </cell>
          <cell r="E1928" t="str">
            <v>Raw Material</v>
          </cell>
          <cell r="F1928" t="str">
            <v>Closed</v>
          </cell>
          <cell r="G1928">
            <v>7503</v>
          </cell>
        </row>
        <row r="1929">
          <cell r="C1929" t="str">
            <v>11032024-A-071224</v>
          </cell>
          <cell r="D1929">
            <v>45362</v>
          </cell>
          <cell r="E1929" t="str">
            <v>Raw Material</v>
          </cell>
          <cell r="F1929" t="str">
            <v>Closed</v>
          </cell>
          <cell r="G1929">
            <v>7643</v>
          </cell>
        </row>
        <row r="1930">
          <cell r="C1930" t="str">
            <v>13032024-A-072205</v>
          </cell>
          <cell r="D1930">
            <v>45364</v>
          </cell>
          <cell r="E1930" t="str">
            <v>Raw Material</v>
          </cell>
          <cell r="F1930" t="str">
            <v>Closed</v>
          </cell>
          <cell r="G1930">
            <v>7730</v>
          </cell>
        </row>
        <row r="1931">
          <cell r="C1931" t="str">
            <v>13032024-A-072225</v>
          </cell>
          <cell r="D1931">
            <v>45364</v>
          </cell>
          <cell r="E1931" t="str">
            <v>Raw Material</v>
          </cell>
          <cell r="F1931" t="str">
            <v>Closed</v>
          </cell>
          <cell r="G1931">
            <v>7096</v>
          </cell>
        </row>
        <row r="1932">
          <cell r="C1932" t="str">
            <v>13032024-A-072233</v>
          </cell>
          <cell r="D1932">
            <v>45364</v>
          </cell>
          <cell r="E1932" t="str">
            <v>Raw Material</v>
          </cell>
          <cell r="F1932" t="str">
            <v>Closed</v>
          </cell>
          <cell r="G1932">
            <v>7653</v>
          </cell>
        </row>
        <row r="1933">
          <cell r="C1933" t="str">
            <v>13032024-A-072241</v>
          </cell>
          <cell r="D1933">
            <v>45364</v>
          </cell>
          <cell r="E1933" t="str">
            <v>Raw Material</v>
          </cell>
          <cell r="F1933" t="str">
            <v>Closed</v>
          </cell>
          <cell r="G1933">
            <v>7216</v>
          </cell>
        </row>
        <row r="1934">
          <cell r="C1934" t="str">
            <v>13032024-A-072247</v>
          </cell>
          <cell r="D1934">
            <v>45364</v>
          </cell>
          <cell r="E1934" t="str">
            <v>Raw Material</v>
          </cell>
          <cell r="F1934" t="str">
            <v>Closed</v>
          </cell>
          <cell r="G1934">
            <v>7730</v>
          </cell>
        </row>
        <row r="1935">
          <cell r="C1935" t="str">
            <v>13032024-A-072261</v>
          </cell>
          <cell r="D1935">
            <v>45364</v>
          </cell>
          <cell r="E1935" t="str">
            <v>Raw Material</v>
          </cell>
          <cell r="F1935" t="str">
            <v>Closed</v>
          </cell>
          <cell r="G1935">
            <v>7294</v>
          </cell>
        </row>
        <row r="1936">
          <cell r="C1936" t="str">
            <v>16032024-A-073979</v>
          </cell>
          <cell r="D1936">
            <v>45367</v>
          </cell>
          <cell r="E1936" t="str">
            <v>Raw Material</v>
          </cell>
          <cell r="F1936" t="str">
            <v>Closed</v>
          </cell>
          <cell r="G1936">
            <v>600</v>
          </cell>
        </row>
        <row r="1937">
          <cell r="C1937" t="str">
            <v>16032024-A-073985</v>
          </cell>
          <cell r="D1937">
            <v>45367</v>
          </cell>
          <cell r="E1937" t="str">
            <v>Raw Material</v>
          </cell>
          <cell r="F1937" t="str">
            <v>-</v>
          </cell>
          <cell r="G1937">
            <v>19910</v>
          </cell>
        </row>
        <row r="1938">
          <cell r="C1938" t="str">
            <v>16032024-A-073990</v>
          </cell>
          <cell r="D1938">
            <v>45367</v>
          </cell>
          <cell r="E1938" t="str">
            <v>Raw Material</v>
          </cell>
          <cell r="F1938" t="str">
            <v>-</v>
          </cell>
          <cell r="G1938">
            <v>19920</v>
          </cell>
        </row>
        <row r="1939">
          <cell r="C1939" t="str">
            <v>16032024-A-073993</v>
          </cell>
          <cell r="D1939">
            <v>45367</v>
          </cell>
          <cell r="E1939" t="str">
            <v>Raw Material</v>
          </cell>
          <cell r="F1939" t="str">
            <v>-</v>
          </cell>
          <cell r="G1939">
            <v>29900</v>
          </cell>
        </row>
        <row r="1940">
          <cell r="C1940" t="str">
            <v>16032024-A-073995</v>
          </cell>
          <cell r="D1940">
            <v>45367</v>
          </cell>
          <cell r="E1940" t="str">
            <v>Raw Material</v>
          </cell>
          <cell r="F1940" t="str">
            <v>-</v>
          </cell>
          <cell r="G1940">
            <v>29890</v>
          </cell>
        </row>
        <row r="1941">
          <cell r="C1941" t="str">
            <v>16032024-A-073997</v>
          </cell>
          <cell r="D1941">
            <v>45367</v>
          </cell>
          <cell r="E1941" t="str">
            <v>Raw Material</v>
          </cell>
          <cell r="F1941" t="str">
            <v>-</v>
          </cell>
          <cell r="G1941">
            <v>29890</v>
          </cell>
        </row>
        <row r="1942">
          <cell r="C1942" t="str">
            <v>16032024-A-074002</v>
          </cell>
          <cell r="D1942">
            <v>45367</v>
          </cell>
          <cell r="E1942" t="str">
            <v>Raw Material</v>
          </cell>
          <cell r="F1942" t="str">
            <v>Closed</v>
          </cell>
          <cell r="G1942">
            <v>600</v>
          </cell>
        </row>
        <row r="1943">
          <cell r="C1943" t="str">
            <v>16032024-A-074005</v>
          </cell>
          <cell r="D1943">
            <v>45367</v>
          </cell>
          <cell r="E1943" t="str">
            <v>Raw Material</v>
          </cell>
          <cell r="F1943" t="str">
            <v>Closed</v>
          </cell>
          <cell r="G1943">
            <v>60</v>
          </cell>
        </row>
        <row r="1944">
          <cell r="C1944" t="str">
            <v>16032024-A-074009</v>
          </cell>
          <cell r="D1944">
            <v>45367</v>
          </cell>
          <cell r="E1944" t="str">
            <v>Raw Material</v>
          </cell>
          <cell r="F1944" t="str">
            <v>Closed</v>
          </cell>
          <cell r="G1944">
            <v>1500</v>
          </cell>
        </row>
        <row r="1945">
          <cell r="C1945" t="str">
            <v>16032024-A-074012</v>
          </cell>
          <cell r="D1945">
            <v>45367</v>
          </cell>
          <cell r="E1945" t="str">
            <v>Raw Material</v>
          </cell>
          <cell r="F1945" t="str">
            <v>Closed</v>
          </cell>
          <cell r="G1945">
            <v>1200</v>
          </cell>
        </row>
        <row r="1946">
          <cell r="C1946" t="str">
            <v>16032024-A-074015</v>
          </cell>
          <cell r="D1946">
            <v>45367</v>
          </cell>
          <cell r="E1946" t="str">
            <v>Raw Material</v>
          </cell>
          <cell r="F1946" t="str">
            <v>Closed</v>
          </cell>
          <cell r="G1946">
            <v>500</v>
          </cell>
        </row>
        <row r="1947">
          <cell r="C1947" t="str">
            <v>16032024-A-074017</v>
          </cell>
          <cell r="D1947">
            <v>45367</v>
          </cell>
          <cell r="E1947" t="str">
            <v>Raw Material</v>
          </cell>
          <cell r="F1947" t="str">
            <v>Closed</v>
          </cell>
          <cell r="G1947">
            <v>1020</v>
          </cell>
        </row>
        <row r="1948">
          <cell r="C1948" t="str">
            <v>16032024-A-074019</v>
          </cell>
          <cell r="D1948">
            <v>45367</v>
          </cell>
          <cell r="E1948" t="str">
            <v>Raw Material</v>
          </cell>
          <cell r="F1948" t="str">
            <v>Closed</v>
          </cell>
          <cell r="G1948">
            <v>300</v>
          </cell>
        </row>
        <row r="1949">
          <cell r="C1949" t="str">
            <v>16032024-A-074022</v>
          </cell>
          <cell r="D1949">
            <v>45367</v>
          </cell>
          <cell r="E1949" t="str">
            <v>Raw Material</v>
          </cell>
          <cell r="F1949" t="str">
            <v>Closed</v>
          </cell>
          <cell r="G1949">
            <v>250</v>
          </cell>
        </row>
        <row r="1950">
          <cell r="C1950" t="str">
            <v>16032024-A-074024</v>
          </cell>
          <cell r="D1950">
            <v>45367</v>
          </cell>
          <cell r="E1950" t="str">
            <v>Raw Material</v>
          </cell>
          <cell r="F1950" t="str">
            <v>Closed</v>
          </cell>
          <cell r="G1950">
            <v>480</v>
          </cell>
        </row>
        <row r="1951">
          <cell r="C1951" t="str">
            <v>16032024-A-074026</v>
          </cell>
          <cell r="D1951">
            <v>45367</v>
          </cell>
          <cell r="E1951" t="str">
            <v>Raw Material</v>
          </cell>
          <cell r="F1951" t="str">
            <v>Closed</v>
          </cell>
          <cell r="G1951">
            <v>12500</v>
          </cell>
        </row>
        <row r="1952">
          <cell r="C1952" t="str">
            <v>16032024-A-074029</v>
          </cell>
          <cell r="D1952">
            <v>45367</v>
          </cell>
          <cell r="E1952" t="str">
            <v>Raw Material</v>
          </cell>
          <cell r="F1952" t="str">
            <v>Closed</v>
          </cell>
          <cell r="G1952">
            <v>7500</v>
          </cell>
        </row>
        <row r="1953">
          <cell r="C1953" t="str">
            <v>16032024-A-074031</v>
          </cell>
          <cell r="D1953">
            <v>45367</v>
          </cell>
          <cell r="E1953" t="str">
            <v>Raw Material</v>
          </cell>
          <cell r="F1953" t="str">
            <v>Closed</v>
          </cell>
          <cell r="G1953">
            <v>5000</v>
          </cell>
        </row>
        <row r="1954">
          <cell r="C1954" t="str">
            <v>16032024-A-074032</v>
          </cell>
          <cell r="D1954">
            <v>45367</v>
          </cell>
          <cell r="E1954" t="str">
            <v>Raw Material</v>
          </cell>
          <cell r="F1954" t="str">
            <v>Closed</v>
          </cell>
          <cell r="G1954">
            <v>5000</v>
          </cell>
        </row>
        <row r="1955">
          <cell r="C1955" t="str">
            <v>16032024-A-074033</v>
          </cell>
          <cell r="D1955">
            <v>45367</v>
          </cell>
          <cell r="E1955" t="str">
            <v>Raw Material</v>
          </cell>
          <cell r="F1955" t="str">
            <v>Closed</v>
          </cell>
          <cell r="G1955">
            <v>5000</v>
          </cell>
        </row>
        <row r="1956">
          <cell r="C1956" t="str">
            <v>29032024-A-078648</v>
          </cell>
          <cell r="D1956">
            <v>45380</v>
          </cell>
          <cell r="E1956" t="str">
            <v>Raw Material</v>
          </cell>
          <cell r="F1956" t="str">
            <v>Closed</v>
          </cell>
          <cell r="G1956">
            <v>14010</v>
          </cell>
        </row>
        <row r="1957">
          <cell r="C1957" t="str">
            <v>29032024-A-078661</v>
          </cell>
          <cell r="D1957">
            <v>45380</v>
          </cell>
          <cell r="E1957" t="str">
            <v>Raw Material</v>
          </cell>
          <cell r="F1957" t="str">
            <v>Closed</v>
          </cell>
          <cell r="G1957">
            <v>10973</v>
          </cell>
        </row>
        <row r="1958">
          <cell r="C1958" t="str">
            <v>29032024-A-078662</v>
          </cell>
          <cell r="D1958">
            <v>45380</v>
          </cell>
          <cell r="E1958" t="str">
            <v>Raw Material</v>
          </cell>
          <cell r="F1958" t="str">
            <v>Closed</v>
          </cell>
          <cell r="G1958">
            <v>12558</v>
          </cell>
        </row>
        <row r="1959">
          <cell r="C1959" t="str">
            <v>29032024-A-078667</v>
          </cell>
          <cell r="D1959">
            <v>45380</v>
          </cell>
          <cell r="E1959" t="str">
            <v>Raw Material</v>
          </cell>
          <cell r="F1959" t="str">
            <v>Closed</v>
          </cell>
          <cell r="G1959">
            <v>10931</v>
          </cell>
        </row>
        <row r="1960">
          <cell r="C1960" t="str">
            <v>29032024-A-078677</v>
          </cell>
          <cell r="D1960">
            <v>45380</v>
          </cell>
          <cell r="E1960" t="str">
            <v>Raw Material</v>
          </cell>
          <cell r="F1960" t="str">
            <v>Closed</v>
          </cell>
          <cell r="G1960">
            <v>1769</v>
          </cell>
        </row>
        <row r="1961">
          <cell r="C1961" t="str">
            <v>29032024-A-078686</v>
          </cell>
          <cell r="D1961">
            <v>45380</v>
          </cell>
          <cell r="E1961" t="str">
            <v>Raw Material</v>
          </cell>
          <cell r="F1961" t="str">
            <v>Closed</v>
          </cell>
          <cell r="G1961">
            <v>5280</v>
          </cell>
        </row>
        <row r="1962">
          <cell r="C1962" t="str">
            <v>29032024-A-078696</v>
          </cell>
          <cell r="D1962">
            <v>45380</v>
          </cell>
          <cell r="E1962" t="str">
            <v>Raw Material</v>
          </cell>
          <cell r="F1962" t="str">
            <v>Closed</v>
          </cell>
          <cell r="G1962">
            <v>3992</v>
          </cell>
        </row>
        <row r="1963">
          <cell r="C1963" t="str">
            <v>29032024-A-078700</v>
          </cell>
          <cell r="D1963">
            <v>45380</v>
          </cell>
          <cell r="E1963" t="str">
            <v>Raw Material</v>
          </cell>
          <cell r="F1963" t="str">
            <v>Closed</v>
          </cell>
          <cell r="G1963">
            <v>862</v>
          </cell>
        </row>
        <row r="1964">
          <cell r="C1964" t="str">
            <v>29032024-A-078704</v>
          </cell>
          <cell r="D1964">
            <v>45380</v>
          </cell>
          <cell r="E1964" t="str">
            <v>Raw Material</v>
          </cell>
          <cell r="F1964" t="str">
            <v>Closed</v>
          </cell>
          <cell r="G1964">
            <v>2268</v>
          </cell>
        </row>
        <row r="1965">
          <cell r="C1965" t="str">
            <v>29032024-A-078713</v>
          </cell>
          <cell r="D1965">
            <v>45380</v>
          </cell>
          <cell r="E1965" t="str">
            <v>Raw Material</v>
          </cell>
          <cell r="F1965" t="str">
            <v>Closed</v>
          </cell>
          <cell r="G1965">
            <v>4536</v>
          </cell>
        </row>
        <row r="1966">
          <cell r="C1966" t="str">
            <v>29032024-A-078722</v>
          </cell>
          <cell r="D1966">
            <v>45380</v>
          </cell>
          <cell r="E1966" t="str">
            <v>Raw Material</v>
          </cell>
          <cell r="F1966" t="str">
            <v>Closed</v>
          </cell>
          <cell r="G1966">
            <v>2268</v>
          </cell>
        </row>
        <row r="1967">
          <cell r="C1967" t="str">
            <v>29032024-A-078730</v>
          </cell>
          <cell r="D1967">
            <v>45380</v>
          </cell>
          <cell r="E1967" t="str">
            <v>Raw Material</v>
          </cell>
          <cell r="F1967" t="str">
            <v>Closed</v>
          </cell>
          <cell r="G1967">
            <v>3221</v>
          </cell>
        </row>
        <row r="1968">
          <cell r="C1968" t="str">
            <v>29032024-A-078735</v>
          </cell>
          <cell r="D1968">
            <v>45380</v>
          </cell>
          <cell r="E1968" t="str">
            <v>Raw Material</v>
          </cell>
          <cell r="F1968" t="str">
            <v>Closed</v>
          </cell>
          <cell r="G1968">
            <v>1315</v>
          </cell>
        </row>
        <row r="1969">
          <cell r="C1969" t="str">
            <v>29032024-A-078740</v>
          </cell>
          <cell r="D1969">
            <v>45380</v>
          </cell>
          <cell r="E1969" t="str">
            <v>Raw Material</v>
          </cell>
          <cell r="F1969" t="str">
            <v>Closed</v>
          </cell>
          <cell r="G1969">
            <v>2268</v>
          </cell>
        </row>
        <row r="1970">
          <cell r="C1970" t="str">
            <v>29032024-A-078744</v>
          </cell>
          <cell r="D1970">
            <v>45380</v>
          </cell>
          <cell r="E1970" t="str">
            <v>Raw Material</v>
          </cell>
          <cell r="F1970" t="str">
            <v>Closed</v>
          </cell>
          <cell r="G1970">
            <v>4536</v>
          </cell>
        </row>
        <row r="1971">
          <cell r="C1971" t="str">
            <v>29032024-A-078748</v>
          </cell>
          <cell r="D1971">
            <v>45380</v>
          </cell>
          <cell r="E1971" t="str">
            <v>Raw Material</v>
          </cell>
          <cell r="F1971" t="str">
            <v>Running</v>
          </cell>
          <cell r="G1971">
            <v>47262</v>
          </cell>
        </row>
        <row r="1972">
          <cell r="C1972" t="str">
            <v>29032024-A-078759</v>
          </cell>
          <cell r="D1972">
            <v>45380</v>
          </cell>
          <cell r="E1972" t="str">
            <v>Raw Material</v>
          </cell>
          <cell r="F1972" t="str">
            <v>-</v>
          </cell>
          <cell r="G1972">
            <v>46801</v>
          </cell>
        </row>
        <row r="1973">
          <cell r="C1973" t="str">
            <v>29032024-A-078773</v>
          </cell>
          <cell r="D1973">
            <v>45380</v>
          </cell>
          <cell r="E1973" t="str">
            <v>Raw Material</v>
          </cell>
          <cell r="F1973" t="str">
            <v>Closed</v>
          </cell>
          <cell r="G1973">
            <v>7333</v>
          </cell>
        </row>
        <row r="1974">
          <cell r="C1974" t="str">
            <v>29032024-A-078783</v>
          </cell>
          <cell r="D1974">
            <v>45380</v>
          </cell>
          <cell r="E1974" t="str">
            <v>Raw Material</v>
          </cell>
          <cell r="F1974" t="str">
            <v>Closed</v>
          </cell>
          <cell r="G1974">
            <v>7850</v>
          </cell>
        </row>
        <row r="1975">
          <cell r="C1975" t="str">
            <v>29032024-A-078796</v>
          </cell>
          <cell r="D1975">
            <v>45380</v>
          </cell>
          <cell r="E1975" t="str">
            <v>Raw Material</v>
          </cell>
          <cell r="F1975" t="str">
            <v>Closed</v>
          </cell>
          <cell r="G1975">
            <v>8010</v>
          </cell>
        </row>
        <row r="1976">
          <cell r="C1976" t="str">
            <v>29032024-A-078800</v>
          </cell>
          <cell r="D1976">
            <v>45380</v>
          </cell>
          <cell r="E1976" t="str">
            <v>Raw Material</v>
          </cell>
          <cell r="F1976" t="str">
            <v>Closed</v>
          </cell>
          <cell r="G1976">
            <v>6679</v>
          </cell>
        </row>
        <row r="1977">
          <cell r="C1977" t="str">
            <v>29032024-A-078803</v>
          </cell>
          <cell r="D1977">
            <v>45380</v>
          </cell>
          <cell r="E1977" t="str">
            <v>Raw Material</v>
          </cell>
          <cell r="F1977" t="str">
            <v>Closed</v>
          </cell>
          <cell r="G1977">
            <v>7890</v>
          </cell>
        </row>
        <row r="1978">
          <cell r="C1978" t="str">
            <v>29032024-A-078807</v>
          </cell>
          <cell r="D1978">
            <v>45380</v>
          </cell>
          <cell r="E1978" t="str">
            <v>Raw Material</v>
          </cell>
          <cell r="F1978" t="str">
            <v>Closed</v>
          </cell>
          <cell r="G1978">
            <v>7613</v>
          </cell>
        </row>
        <row r="1979">
          <cell r="C1979" t="str">
            <v>29032024-A-078809</v>
          </cell>
          <cell r="D1979">
            <v>45380</v>
          </cell>
          <cell r="E1979" t="str">
            <v>Raw Material</v>
          </cell>
          <cell r="F1979" t="str">
            <v>Closed</v>
          </cell>
          <cell r="G1979">
            <v>7196</v>
          </cell>
        </row>
        <row r="1980">
          <cell r="C1980" t="str">
            <v>29032024-A-078810</v>
          </cell>
          <cell r="D1980">
            <v>45380</v>
          </cell>
          <cell r="E1980" t="str">
            <v>Raw Material</v>
          </cell>
          <cell r="F1980" t="str">
            <v>Closed</v>
          </cell>
          <cell r="G1980">
            <v>7363</v>
          </cell>
        </row>
        <row r="1981">
          <cell r="C1981" t="str">
            <v>29032024-A-078812</v>
          </cell>
          <cell r="D1981">
            <v>45380</v>
          </cell>
          <cell r="E1981" t="str">
            <v>Raw Material</v>
          </cell>
          <cell r="F1981" t="str">
            <v>Closed</v>
          </cell>
          <cell r="G1981">
            <v>7613</v>
          </cell>
        </row>
        <row r="1982">
          <cell r="C1982" t="str">
            <v>29032024-A-078813</v>
          </cell>
          <cell r="D1982">
            <v>45380</v>
          </cell>
          <cell r="E1982" t="str">
            <v>Raw Material</v>
          </cell>
          <cell r="F1982" t="str">
            <v>Closed</v>
          </cell>
          <cell r="G1982">
            <v>7453</v>
          </cell>
        </row>
        <row r="1983">
          <cell r="C1983" t="str">
            <v>29032024-A-078814</v>
          </cell>
          <cell r="D1983">
            <v>45380</v>
          </cell>
          <cell r="E1983" t="str">
            <v>Raw Material</v>
          </cell>
          <cell r="F1983" t="str">
            <v>Closed</v>
          </cell>
          <cell r="G1983">
            <v>7840</v>
          </cell>
        </row>
        <row r="1984">
          <cell r="C1984" t="str">
            <v>29032024-A-078815</v>
          </cell>
          <cell r="D1984">
            <v>45380</v>
          </cell>
          <cell r="E1984" t="str">
            <v>Raw Material</v>
          </cell>
          <cell r="F1984" t="str">
            <v>Closed</v>
          </cell>
          <cell r="G1984">
            <v>8030</v>
          </cell>
        </row>
        <row r="1985">
          <cell r="C1985" t="str">
            <v>29032024-A-078816</v>
          </cell>
          <cell r="D1985">
            <v>45380</v>
          </cell>
          <cell r="E1985" t="str">
            <v>Raw Material</v>
          </cell>
          <cell r="F1985" t="str">
            <v>Closed</v>
          </cell>
          <cell r="G1985">
            <v>6946</v>
          </cell>
        </row>
        <row r="1986">
          <cell r="C1986" t="str">
            <v>29032024-A-078817</v>
          </cell>
          <cell r="D1986">
            <v>45380</v>
          </cell>
          <cell r="E1986" t="str">
            <v>Raw Material</v>
          </cell>
          <cell r="F1986" t="str">
            <v>Closed</v>
          </cell>
          <cell r="G1986">
            <v>7740</v>
          </cell>
        </row>
        <row r="1987">
          <cell r="C1987" t="str">
            <v>29032024-A-078818</v>
          </cell>
          <cell r="D1987">
            <v>45380</v>
          </cell>
          <cell r="E1987" t="str">
            <v>Raw Material</v>
          </cell>
          <cell r="F1987" t="str">
            <v>Closed</v>
          </cell>
          <cell r="G1987">
            <v>7006</v>
          </cell>
        </row>
        <row r="1988">
          <cell r="C1988" t="str">
            <v>29032024-A-078819</v>
          </cell>
          <cell r="D1988">
            <v>45380</v>
          </cell>
          <cell r="E1988" t="str">
            <v>Raw Material</v>
          </cell>
          <cell r="F1988" t="str">
            <v>Closed</v>
          </cell>
          <cell r="G1988">
            <v>7900</v>
          </cell>
        </row>
        <row r="1989">
          <cell r="C1989" t="str">
            <v>29032024-A-078820</v>
          </cell>
          <cell r="D1989">
            <v>45380</v>
          </cell>
          <cell r="E1989" t="str">
            <v>Raw Material</v>
          </cell>
          <cell r="F1989" t="str">
            <v>Closed</v>
          </cell>
          <cell r="G1989">
            <v>7670</v>
          </cell>
        </row>
        <row r="1990">
          <cell r="C1990" t="str">
            <v>29032024-A-078821</v>
          </cell>
          <cell r="D1990">
            <v>45380</v>
          </cell>
          <cell r="E1990" t="str">
            <v>Raw Material</v>
          </cell>
          <cell r="F1990" t="str">
            <v>Closed</v>
          </cell>
          <cell r="G1990">
            <v>7533</v>
          </cell>
        </row>
        <row r="1991">
          <cell r="C1991" t="str">
            <v>29032024-A-078822</v>
          </cell>
          <cell r="D1991">
            <v>45380</v>
          </cell>
          <cell r="E1991" t="str">
            <v>Raw Material</v>
          </cell>
          <cell r="F1991" t="str">
            <v>Closed</v>
          </cell>
          <cell r="G1991">
            <v>7186</v>
          </cell>
        </row>
        <row r="1992">
          <cell r="C1992" t="str">
            <v>16042024-A-083595</v>
          </cell>
          <cell r="D1992">
            <v>45398</v>
          </cell>
          <cell r="E1992" t="str">
            <v>Raw Material</v>
          </cell>
          <cell r="F1992" t="str">
            <v>-</v>
          </cell>
          <cell r="G1992">
            <v>9650</v>
          </cell>
        </row>
        <row r="1993">
          <cell r="C1993" t="str">
            <v>16042024-A-083609</v>
          </cell>
          <cell r="D1993">
            <v>45398</v>
          </cell>
          <cell r="E1993" t="str">
            <v>Raw Material</v>
          </cell>
          <cell r="F1993" t="str">
            <v>-</v>
          </cell>
          <cell r="G1993">
            <v>29478</v>
          </cell>
        </row>
        <row r="1994">
          <cell r="C1994" t="str">
            <v>16042024-A-083611</v>
          </cell>
          <cell r="D1994">
            <v>45398</v>
          </cell>
          <cell r="E1994" t="str">
            <v>Raw Material</v>
          </cell>
          <cell r="F1994" t="str">
            <v>-</v>
          </cell>
          <cell r="G1994">
            <v>29448</v>
          </cell>
        </row>
        <row r="1995">
          <cell r="C1995" t="str">
            <v>16042024-A-083622</v>
          </cell>
          <cell r="D1995">
            <v>45398</v>
          </cell>
          <cell r="E1995" t="str">
            <v>Raw Material</v>
          </cell>
          <cell r="F1995" t="str">
            <v>-</v>
          </cell>
          <cell r="G1995">
            <v>29458</v>
          </cell>
        </row>
        <row r="1996">
          <cell r="C1996" t="str">
            <v>16042024-A-083625</v>
          </cell>
          <cell r="D1996">
            <v>45398</v>
          </cell>
          <cell r="E1996" t="str">
            <v>Raw Material</v>
          </cell>
          <cell r="F1996" t="str">
            <v>-</v>
          </cell>
          <cell r="G1996">
            <v>29270</v>
          </cell>
        </row>
        <row r="1997">
          <cell r="C1997" t="str">
            <v>16042024-A-083635</v>
          </cell>
          <cell r="D1997">
            <v>45398</v>
          </cell>
          <cell r="E1997" t="str">
            <v>Raw Material</v>
          </cell>
          <cell r="F1997" t="str">
            <v>-</v>
          </cell>
          <cell r="G1997">
            <v>29290</v>
          </cell>
        </row>
        <row r="1998">
          <cell r="C1998" t="str">
            <v>16042024-A-083639</v>
          </cell>
          <cell r="D1998">
            <v>45398</v>
          </cell>
          <cell r="E1998" t="str">
            <v>Raw Material</v>
          </cell>
          <cell r="F1998" t="str">
            <v>-</v>
          </cell>
          <cell r="G1998">
            <v>29310</v>
          </cell>
        </row>
        <row r="1999">
          <cell r="C1999" t="str">
            <v>16042024-A-083643</v>
          </cell>
          <cell r="D1999">
            <v>45398</v>
          </cell>
          <cell r="E1999" t="str">
            <v>Raw Material</v>
          </cell>
          <cell r="F1999" t="str">
            <v>-</v>
          </cell>
          <cell r="G1999">
            <v>29330</v>
          </cell>
        </row>
        <row r="2000">
          <cell r="C2000" t="str">
            <v>16042024-A-083647</v>
          </cell>
          <cell r="D2000">
            <v>45398</v>
          </cell>
          <cell r="E2000" t="str">
            <v>Raw Material</v>
          </cell>
          <cell r="F2000" t="str">
            <v>-</v>
          </cell>
          <cell r="G2000">
            <v>29330</v>
          </cell>
        </row>
        <row r="2001">
          <cell r="C2001" t="str">
            <v>16042024-A-083648</v>
          </cell>
          <cell r="D2001">
            <v>45398</v>
          </cell>
          <cell r="E2001" t="str">
            <v>Raw Material</v>
          </cell>
          <cell r="F2001" t="str">
            <v>-</v>
          </cell>
          <cell r="G2001">
            <v>29500</v>
          </cell>
        </row>
        <row r="2002">
          <cell r="C2002" t="str">
            <v>16042024-A-083651</v>
          </cell>
          <cell r="D2002">
            <v>45398</v>
          </cell>
          <cell r="E2002" t="str">
            <v>Raw Material</v>
          </cell>
          <cell r="F2002" t="str">
            <v>-</v>
          </cell>
          <cell r="G2002">
            <v>29930</v>
          </cell>
        </row>
        <row r="2003">
          <cell r="C2003" t="str">
            <v>16042024-A-083653</v>
          </cell>
          <cell r="D2003">
            <v>45398</v>
          </cell>
          <cell r="E2003" t="str">
            <v>Raw Material</v>
          </cell>
          <cell r="F2003" t="str">
            <v>-</v>
          </cell>
          <cell r="G2003">
            <v>19910</v>
          </cell>
        </row>
        <row r="2004">
          <cell r="C2004" t="str">
            <v>16042024-A-083655</v>
          </cell>
          <cell r="D2004">
            <v>45398</v>
          </cell>
          <cell r="E2004" t="str">
            <v>Raw Material</v>
          </cell>
          <cell r="F2004" t="str">
            <v>-</v>
          </cell>
          <cell r="G2004">
            <v>29740</v>
          </cell>
        </row>
        <row r="2005">
          <cell r="C2005" t="str">
            <v>16042024-A-083657</v>
          </cell>
          <cell r="D2005">
            <v>45398</v>
          </cell>
          <cell r="E2005" t="str">
            <v>Raw Material</v>
          </cell>
          <cell r="F2005" t="str">
            <v>-</v>
          </cell>
          <cell r="G2005">
            <v>29900</v>
          </cell>
        </row>
        <row r="2006">
          <cell r="C2006" t="str">
            <v>16042024-A-083663</v>
          </cell>
          <cell r="D2006">
            <v>45398</v>
          </cell>
          <cell r="E2006" t="str">
            <v>Raw Material</v>
          </cell>
          <cell r="F2006" t="str">
            <v>Closed</v>
          </cell>
          <cell r="G2006">
            <v>30</v>
          </cell>
        </row>
        <row r="2007">
          <cell r="C2007" t="str">
            <v>16042024-A-083667</v>
          </cell>
          <cell r="D2007">
            <v>45398</v>
          </cell>
          <cell r="E2007" t="str">
            <v>Raw Material</v>
          </cell>
          <cell r="F2007" t="str">
            <v>Closed</v>
          </cell>
          <cell r="G2007">
            <v>30</v>
          </cell>
        </row>
        <row r="2008">
          <cell r="C2008" t="str">
            <v>16042024-A-083669</v>
          </cell>
          <cell r="D2008">
            <v>45398</v>
          </cell>
          <cell r="E2008" t="str">
            <v>Raw Material</v>
          </cell>
          <cell r="F2008" t="str">
            <v>Closed</v>
          </cell>
          <cell r="G2008">
            <v>990</v>
          </cell>
        </row>
        <row r="2009">
          <cell r="C2009" t="str">
            <v>16042024-A-083669</v>
          </cell>
          <cell r="D2009">
            <v>45398</v>
          </cell>
          <cell r="E2009" t="str">
            <v>Raw Material</v>
          </cell>
          <cell r="F2009" t="str">
            <v>Closed</v>
          </cell>
          <cell r="G2009">
            <v>880</v>
          </cell>
        </row>
        <row r="2010">
          <cell r="C2010" t="str">
            <v>16042024-A-083669</v>
          </cell>
          <cell r="D2010">
            <v>45398</v>
          </cell>
          <cell r="E2010" t="str">
            <v>Raw Material</v>
          </cell>
          <cell r="F2010" t="str">
            <v>Closed</v>
          </cell>
          <cell r="G2010">
            <v>600</v>
          </cell>
        </row>
        <row r="2011">
          <cell r="C2011" t="str">
            <v>16042024-A-083669</v>
          </cell>
          <cell r="D2011">
            <v>45398</v>
          </cell>
          <cell r="E2011" t="str">
            <v>Raw Material</v>
          </cell>
          <cell r="F2011" t="str">
            <v>Closed</v>
          </cell>
          <cell r="G2011">
            <v>400</v>
          </cell>
        </row>
        <row r="2012">
          <cell r="C2012" t="str">
            <v>16042024-A-083671</v>
          </cell>
          <cell r="D2012">
            <v>45398</v>
          </cell>
          <cell r="E2012" t="str">
            <v>Raw Material</v>
          </cell>
          <cell r="F2012" t="str">
            <v>Closed</v>
          </cell>
          <cell r="G2012">
            <v>510</v>
          </cell>
        </row>
        <row r="2013">
          <cell r="C2013" t="str">
            <v>16042024-A-083671</v>
          </cell>
          <cell r="D2013">
            <v>45398</v>
          </cell>
          <cell r="E2013" t="str">
            <v>Raw Material</v>
          </cell>
          <cell r="F2013" t="str">
            <v>Closed</v>
          </cell>
          <cell r="G2013">
            <v>500</v>
          </cell>
        </row>
        <row r="2014">
          <cell r="C2014" t="str">
            <v>17042024-A-083905</v>
          </cell>
          <cell r="D2014">
            <v>45399</v>
          </cell>
          <cell r="E2014" t="str">
            <v>Raw Material</v>
          </cell>
          <cell r="F2014" t="str">
            <v>Closed</v>
          </cell>
          <cell r="G2014">
            <v>200</v>
          </cell>
        </row>
        <row r="2015">
          <cell r="C2015" t="str">
            <v>17042024-A-083917</v>
          </cell>
          <cell r="D2015">
            <v>45399</v>
          </cell>
          <cell r="E2015" t="str">
            <v>Raw Material</v>
          </cell>
          <cell r="F2015" t="str">
            <v>Closed</v>
          </cell>
          <cell r="G2015">
            <v>400</v>
          </cell>
        </row>
        <row r="2016">
          <cell r="C2016" t="str">
            <v>17042024-A-083920</v>
          </cell>
          <cell r="D2016">
            <v>45399</v>
          </cell>
          <cell r="E2016" t="str">
            <v>Raw Material</v>
          </cell>
          <cell r="F2016" t="str">
            <v>Closed</v>
          </cell>
          <cell r="G2016">
            <v>3080</v>
          </cell>
        </row>
        <row r="2017">
          <cell r="C2017" t="str">
            <v>17042024-A-083920</v>
          </cell>
          <cell r="D2017">
            <v>45399</v>
          </cell>
          <cell r="E2017" t="str">
            <v>Raw Material</v>
          </cell>
          <cell r="F2017" t="str">
            <v>Closed</v>
          </cell>
          <cell r="G2017">
            <v>3080</v>
          </cell>
        </row>
        <row r="2018">
          <cell r="C2018" t="str">
            <v>17042024-A-083930</v>
          </cell>
          <cell r="D2018">
            <v>45399</v>
          </cell>
          <cell r="E2018" t="str">
            <v>Raw Material</v>
          </cell>
          <cell r="F2018" t="str">
            <v>Closed</v>
          </cell>
          <cell r="G2018">
            <v>400</v>
          </cell>
        </row>
        <row r="2019">
          <cell r="C2019" t="str">
            <v>17042024-A-083938</v>
          </cell>
          <cell r="D2019">
            <v>45399</v>
          </cell>
          <cell r="E2019" t="str">
            <v>Raw Material</v>
          </cell>
          <cell r="F2019" t="str">
            <v>Closed</v>
          </cell>
          <cell r="G2019">
            <v>1400</v>
          </cell>
        </row>
        <row r="2020">
          <cell r="C2020" t="str">
            <v>17042024-A-083938</v>
          </cell>
          <cell r="D2020">
            <v>45399</v>
          </cell>
          <cell r="E2020" t="str">
            <v>Raw Material</v>
          </cell>
          <cell r="F2020" t="str">
            <v>Closed</v>
          </cell>
          <cell r="G2020">
            <v>840</v>
          </cell>
        </row>
        <row r="2021">
          <cell r="C2021" t="str">
            <v>17042024-A-083938</v>
          </cell>
          <cell r="D2021">
            <v>45399</v>
          </cell>
          <cell r="E2021" t="str">
            <v>Raw Material</v>
          </cell>
          <cell r="F2021" t="str">
            <v>Closed</v>
          </cell>
          <cell r="G2021">
            <v>900</v>
          </cell>
        </row>
        <row r="2022">
          <cell r="C2022" t="str">
            <v>17042024-A-083953</v>
          </cell>
          <cell r="D2022">
            <v>45399</v>
          </cell>
          <cell r="E2022" t="str">
            <v>Raw Material</v>
          </cell>
          <cell r="F2022" t="str">
            <v>Closed</v>
          </cell>
          <cell r="G2022">
            <v>180</v>
          </cell>
        </row>
        <row r="2023">
          <cell r="C2023" t="str">
            <v>17042024-A-083966</v>
          </cell>
          <cell r="D2023">
            <v>45399</v>
          </cell>
          <cell r="E2023" t="str">
            <v>Raw Material</v>
          </cell>
          <cell r="F2023" t="str">
            <v>Closed</v>
          </cell>
          <cell r="G2023">
            <v>1870</v>
          </cell>
        </row>
        <row r="2024">
          <cell r="C2024" t="str">
            <v>17042024-A-083966</v>
          </cell>
          <cell r="D2024">
            <v>45399</v>
          </cell>
          <cell r="E2024" t="str">
            <v>Raw Material</v>
          </cell>
          <cell r="F2024" t="str">
            <v>Closed</v>
          </cell>
          <cell r="G2024">
            <v>2860</v>
          </cell>
        </row>
        <row r="2025">
          <cell r="C2025" t="str">
            <v>17042024-A-083966</v>
          </cell>
          <cell r="D2025">
            <v>45399</v>
          </cell>
          <cell r="E2025" t="str">
            <v>Raw Material</v>
          </cell>
          <cell r="F2025" t="str">
            <v>Closed</v>
          </cell>
          <cell r="G2025">
            <v>400</v>
          </cell>
        </row>
        <row r="2026">
          <cell r="C2026" t="str">
            <v>17042024-A-083977</v>
          </cell>
          <cell r="D2026">
            <v>45399</v>
          </cell>
          <cell r="E2026" t="str">
            <v>Raw Material</v>
          </cell>
          <cell r="F2026" t="str">
            <v>Closed</v>
          </cell>
          <cell r="G2026">
            <v>130</v>
          </cell>
        </row>
        <row r="2027">
          <cell r="C2027" t="str">
            <v>17042024-A-083984</v>
          </cell>
          <cell r="D2027">
            <v>45399</v>
          </cell>
          <cell r="E2027" t="str">
            <v>Raw Material</v>
          </cell>
          <cell r="F2027" t="str">
            <v>Closed</v>
          </cell>
          <cell r="G2027">
            <v>2640</v>
          </cell>
        </row>
        <row r="2028">
          <cell r="C2028" t="str">
            <v>17042024-A-083984</v>
          </cell>
          <cell r="D2028">
            <v>45399</v>
          </cell>
          <cell r="E2028" t="str">
            <v>Raw Material</v>
          </cell>
          <cell r="F2028" t="str">
            <v>Closed</v>
          </cell>
          <cell r="G2028">
            <v>200</v>
          </cell>
        </row>
        <row r="2029">
          <cell r="C2029" t="str">
            <v>17042024-A-083991</v>
          </cell>
          <cell r="D2029">
            <v>45399</v>
          </cell>
          <cell r="E2029" t="str">
            <v>Raw Material</v>
          </cell>
          <cell r="F2029" t="str">
            <v>Closed</v>
          </cell>
          <cell r="G2029">
            <v>25</v>
          </cell>
        </row>
        <row r="2030">
          <cell r="C2030" t="str">
            <v>17042024-A-084000</v>
          </cell>
          <cell r="D2030">
            <v>45399</v>
          </cell>
          <cell r="E2030" t="str">
            <v>Raw Material</v>
          </cell>
          <cell r="F2030" t="str">
            <v>Closed</v>
          </cell>
          <cell r="G2030">
            <v>2200</v>
          </cell>
        </row>
        <row r="2031">
          <cell r="C2031" t="str">
            <v>17042024-A-084000</v>
          </cell>
          <cell r="D2031">
            <v>45399</v>
          </cell>
          <cell r="E2031" t="str">
            <v>Raw Material</v>
          </cell>
          <cell r="F2031" t="str">
            <v>Closed</v>
          </cell>
          <cell r="G2031">
            <v>1000</v>
          </cell>
        </row>
        <row r="2032">
          <cell r="C2032" t="str">
            <v>17042024-A-084004</v>
          </cell>
          <cell r="D2032">
            <v>45399</v>
          </cell>
          <cell r="E2032" t="str">
            <v>Raw Material</v>
          </cell>
          <cell r="F2032" t="str">
            <v>Closed</v>
          </cell>
          <cell r="G2032">
            <v>2420</v>
          </cell>
        </row>
        <row r="2033">
          <cell r="C2033" t="str">
            <v>17042024-A-084006</v>
          </cell>
          <cell r="D2033">
            <v>45399</v>
          </cell>
          <cell r="E2033" t="str">
            <v>Raw Material</v>
          </cell>
          <cell r="F2033" t="str">
            <v>Closed</v>
          </cell>
          <cell r="G2033">
            <v>90</v>
          </cell>
        </row>
        <row r="2034">
          <cell r="C2034" t="str">
            <v>17042024-A-084030</v>
          </cell>
          <cell r="D2034">
            <v>45399</v>
          </cell>
          <cell r="E2034" t="str">
            <v>Raw Material</v>
          </cell>
          <cell r="F2034" t="str">
            <v>Closed</v>
          </cell>
          <cell r="G2034">
            <v>120</v>
          </cell>
        </row>
        <row r="2035">
          <cell r="C2035" t="str">
            <v>17042024-A-084033</v>
          </cell>
          <cell r="D2035">
            <v>45399</v>
          </cell>
          <cell r="E2035" t="str">
            <v>Raw Material</v>
          </cell>
          <cell r="F2035" t="str">
            <v>Closed</v>
          </cell>
          <cell r="G2035">
            <v>800</v>
          </cell>
        </row>
        <row r="2036">
          <cell r="C2036" t="str">
            <v>17042024-A-084037</v>
          </cell>
          <cell r="D2036">
            <v>45399</v>
          </cell>
          <cell r="E2036" t="str">
            <v>Raw Material</v>
          </cell>
          <cell r="F2036" t="str">
            <v>Running</v>
          </cell>
          <cell r="G2036">
            <v>180</v>
          </cell>
        </row>
        <row r="2037">
          <cell r="C2037" t="str">
            <v>17042024-A-084058</v>
          </cell>
          <cell r="D2037">
            <v>45399</v>
          </cell>
          <cell r="E2037" t="str">
            <v>Raw Material</v>
          </cell>
          <cell r="F2037" t="str">
            <v>Closed</v>
          </cell>
          <cell r="G2037">
            <v>5000</v>
          </cell>
        </row>
        <row r="2038">
          <cell r="C2038" t="str">
            <v>17042024-A-084067</v>
          </cell>
          <cell r="D2038">
            <v>45399</v>
          </cell>
          <cell r="E2038" t="str">
            <v>Raw Material</v>
          </cell>
          <cell r="F2038" t="str">
            <v>Closed</v>
          </cell>
          <cell r="G2038">
            <v>5000</v>
          </cell>
        </row>
        <row r="2039">
          <cell r="C2039" t="str">
            <v>17042024-A-084073</v>
          </cell>
          <cell r="D2039">
            <v>45399</v>
          </cell>
          <cell r="E2039" t="str">
            <v>Raw Material</v>
          </cell>
          <cell r="F2039" t="str">
            <v>Closed</v>
          </cell>
          <cell r="G2039">
            <v>1300</v>
          </cell>
        </row>
        <row r="2040">
          <cell r="C2040" t="str">
            <v>17042024-A-084078</v>
          </cell>
          <cell r="D2040">
            <v>45399</v>
          </cell>
          <cell r="E2040" t="str">
            <v>Raw Material</v>
          </cell>
          <cell r="F2040" t="str">
            <v>Closed</v>
          </cell>
          <cell r="G2040">
            <v>5000</v>
          </cell>
        </row>
        <row r="2041">
          <cell r="C2041" t="str">
            <v>17042024-A-084083</v>
          </cell>
          <cell r="D2041">
            <v>45399</v>
          </cell>
          <cell r="E2041" t="str">
            <v>Raw Material</v>
          </cell>
          <cell r="F2041" t="str">
            <v>Closed</v>
          </cell>
          <cell r="G2041">
            <v>5000</v>
          </cell>
        </row>
        <row r="2042">
          <cell r="C2042" t="str">
            <v>17042024-A-084088</v>
          </cell>
          <cell r="D2042">
            <v>45399</v>
          </cell>
          <cell r="E2042" t="str">
            <v>Raw Material</v>
          </cell>
          <cell r="F2042" t="str">
            <v>Closed</v>
          </cell>
          <cell r="G2042">
            <v>5000</v>
          </cell>
        </row>
        <row r="2043">
          <cell r="C2043" t="str">
            <v>17042024-A-084091</v>
          </cell>
          <cell r="D2043">
            <v>45399</v>
          </cell>
          <cell r="E2043" t="str">
            <v>Raw Material</v>
          </cell>
          <cell r="F2043" t="str">
            <v>Closed</v>
          </cell>
          <cell r="G2043">
            <v>5000</v>
          </cell>
        </row>
        <row r="2044">
          <cell r="C2044" t="str">
            <v>17042024-A-084096</v>
          </cell>
          <cell r="D2044">
            <v>45399</v>
          </cell>
          <cell r="E2044" t="str">
            <v>Raw Material</v>
          </cell>
          <cell r="F2044" t="str">
            <v>Closed</v>
          </cell>
          <cell r="G2044">
            <v>5000</v>
          </cell>
        </row>
        <row r="2045">
          <cell r="C2045" t="str">
            <v>17042024-A-084100</v>
          </cell>
          <cell r="D2045">
            <v>45399</v>
          </cell>
          <cell r="E2045" t="str">
            <v>Raw Material</v>
          </cell>
          <cell r="F2045" t="str">
            <v>Closed</v>
          </cell>
          <cell r="G2045">
            <v>5000</v>
          </cell>
        </row>
        <row r="2046">
          <cell r="C2046" t="str">
            <v>17042024-A-084103</v>
          </cell>
          <cell r="D2046">
            <v>45399</v>
          </cell>
          <cell r="E2046" t="str">
            <v>Raw Material</v>
          </cell>
          <cell r="F2046" t="str">
            <v>Closed</v>
          </cell>
          <cell r="G2046">
            <v>5000</v>
          </cell>
        </row>
        <row r="2047">
          <cell r="C2047" t="str">
            <v>17042024-A-084110</v>
          </cell>
          <cell r="D2047">
            <v>45399</v>
          </cell>
          <cell r="E2047" t="str">
            <v>Raw Material</v>
          </cell>
          <cell r="F2047" t="str">
            <v>Closed</v>
          </cell>
          <cell r="G2047">
            <v>5000</v>
          </cell>
        </row>
        <row r="2048">
          <cell r="C2048" t="str">
            <v>17042024-A-084120</v>
          </cell>
          <cell r="D2048">
            <v>45399</v>
          </cell>
          <cell r="E2048" t="str">
            <v>Raw Material</v>
          </cell>
          <cell r="F2048" t="str">
            <v>Closed</v>
          </cell>
          <cell r="G2048">
            <v>720</v>
          </cell>
        </row>
        <row r="2049">
          <cell r="C2049" t="str">
            <v>17042024-A-084120</v>
          </cell>
          <cell r="D2049">
            <v>45399</v>
          </cell>
          <cell r="E2049" t="str">
            <v>Raw Material</v>
          </cell>
          <cell r="F2049" t="str">
            <v>Closed</v>
          </cell>
          <cell r="G2049">
            <v>360</v>
          </cell>
        </row>
        <row r="2050">
          <cell r="C2050" t="str">
            <v>17042024-A-084132</v>
          </cell>
          <cell r="D2050">
            <v>45399</v>
          </cell>
          <cell r="E2050" t="str">
            <v>Raw Material</v>
          </cell>
          <cell r="F2050" t="str">
            <v>Closed</v>
          </cell>
          <cell r="G2050">
            <v>240</v>
          </cell>
        </row>
        <row r="2051">
          <cell r="C2051" t="str">
            <v>17042024-A-084139</v>
          </cell>
          <cell r="D2051">
            <v>45399</v>
          </cell>
          <cell r="E2051" t="str">
            <v>Raw Material</v>
          </cell>
          <cell r="F2051" t="str">
            <v>Closed</v>
          </cell>
          <cell r="G2051">
            <v>720</v>
          </cell>
        </row>
        <row r="2052">
          <cell r="C2052" t="str">
            <v>17042024-A-084145</v>
          </cell>
          <cell r="D2052">
            <v>45399</v>
          </cell>
          <cell r="E2052" t="str">
            <v>Raw Material</v>
          </cell>
          <cell r="F2052" t="str">
            <v>Closed</v>
          </cell>
          <cell r="G2052">
            <v>2400</v>
          </cell>
        </row>
        <row r="2053">
          <cell r="C2053" t="str">
            <v>17042024-A-084151</v>
          </cell>
          <cell r="D2053">
            <v>45399</v>
          </cell>
          <cell r="E2053" t="str">
            <v>Raw Material</v>
          </cell>
          <cell r="F2053" t="str">
            <v>Closed</v>
          </cell>
          <cell r="G2053">
            <v>600</v>
          </cell>
        </row>
        <row r="2054">
          <cell r="C2054" t="str">
            <v>17042024-A-084157</v>
          </cell>
          <cell r="D2054">
            <v>45399</v>
          </cell>
          <cell r="E2054" t="str">
            <v>Raw Material</v>
          </cell>
          <cell r="F2054" t="str">
            <v>Closed</v>
          </cell>
          <cell r="G2054">
            <v>1200</v>
          </cell>
        </row>
        <row r="2055">
          <cell r="C2055" t="str">
            <v>17042024-A-084165</v>
          </cell>
          <cell r="D2055">
            <v>45399</v>
          </cell>
          <cell r="E2055" t="str">
            <v>Raw Material</v>
          </cell>
          <cell r="F2055" t="str">
            <v>Closed</v>
          </cell>
          <cell r="G2055">
            <v>25</v>
          </cell>
        </row>
        <row r="2056">
          <cell r="C2056" t="str">
            <v>17042024-A-084170</v>
          </cell>
          <cell r="D2056">
            <v>45399</v>
          </cell>
          <cell r="E2056" t="str">
            <v>Raw Material</v>
          </cell>
          <cell r="F2056" t="str">
            <v>Running</v>
          </cell>
          <cell r="G2056">
            <v>400</v>
          </cell>
        </row>
        <row r="2057">
          <cell r="C2057" t="str">
            <v>17042024-A-084202</v>
          </cell>
          <cell r="D2057">
            <v>45399</v>
          </cell>
          <cell r="E2057" t="str">
            <v>Raw Material</v>
          </cell>
          <cell r="F2057" t="str">
            <v>Closed</v>
          </cell>
          <cell r="G2057">
            <v>1050</v>
          </cell>
        </row>
        <row r="2058">
          <cell r="C2058" t="str">
            <v>17042024-A-084212</v>
          </cell>
          <cell r="D2058">
            <v>45399</v>
          </cell>
          <cell r="E2058" t="str">
            <v>Raw Material</v>
          </cell>
          <cell r="F2058" t="str">
            <v>Closed</v>
          </cell>
          <cell r="G2058">
            <v>300</v>
          </cell>
        </row>
        <row r="2059">
          <cell r="C2059" t="str">
            <v>17042024-A-084217</v>
          </cell>
          <cell r="D2059">
            <v>45399</v>
          </cell>
          <cell r="E2059" t="str">
            <v>Raw Material</v>
          </cell>
          <cell r="F2059" t="str">
            <v>Closed</v>
          </cell>
          <cell r="G2059">
            <v>2010</v>
          </cell>
        </row>
        <row r="2060">
          <cell r="C2060" t="str">
            <v>17042024-A-084220</v>
          </cell>
          <cell r="D2060">
            <v>45399</v>
          </cell>
          <cell r="E2060" t="str">
            <v>Raw Material</v>
          </cell>
          <cell r="F2060" t="str">
            <v>Closed</v>
          </cell>
          <cell r="G2060">
            <v>210</v>
          </cell>
        </row>
        <row r="2061">
          <cell r="C2061" t="str">
            <v>17042024-A-084226</v>
          </cell>
          <cell r="D2061">
            <v>45399</v>
          </cell>
          <cell r="E2061" t="str">
            <v>Raw Material</v>
          </cell>
          <cell r="F2061" t="str">
            <v>Closed</v>
          </cell>
          <cell r="G2061">
            <v>20000</v>
          </cell>
        </row>
        <row r="2062">
          <cell r="C2062" t="str">
            <v>17042024-A-084242</v>
          </cell>
          <cell r="D2062">
            <v>45399</v>
          </cell>
          <cell r="E2062" t="str">
            <v>Raw Material</v>
          </cell>
          <cell r="F2062" t="str">
            <v>Closed</v>
          </cell>
          <cell r="G2062">
            <v>600</v>
          </cell>
        </row>
        <row r="2063">
          <cell r="C2063" t="str">
            <v>17042024-A-084248</v>
          </cell>
          <cell r="D2063">
            <v>45399</v>
          </cell>
          <cell r="E2063" t="str">
            <v>Raw Material</v>
          </cell>
          <cell r="F2063" t="str">
            <v>Closed</v>
          </cell>
          <cell r="G2063">
            <v>10000</v>
          </cell>
        </row>
        <row r="2064">
          <cell r="C2064" t="str">
            <v>26042024-A-089508</v>
          </cell>
          <cell r="D2064">
            <v>840905</v>
          </cell>
          <cell r="E2064" t="str">
            <v>Raw Material</v>
          </cell>
          <cell r="F2064" t="str">
            <v>-</v>
          </cell>
          <cell r="G2064">
            <v>570</v>
          </cell>
        </row>
        <row r="2065">
          <cell r="C2065" t="str">
            <v>22042024-A-087190</v>
          </cell>
          <cell r="D2065">
            <v>840901</v>
          </cell>
          <cell r="E2065" t="str">
            <v>Raw Material</v>
          </cell>
          <cell r="F2065" t="str">
            <v>-</v>
          </cell>
          <cell r="G2065">
            <v>29250</v>
          </cell>
        </row>
        <row r="2066">
          <cell r="C2066" t="str">
            <v>22042024-A-087193</v>
          </cell>
          <cell r="D2066">
            <v>840901</v>
          </cell>
          <cell r="E2066" t="str">
            <v>Raw Material</v>
          </cell>
          <cell r="F2066" t="str">
            <v>-</v>
          </cell>
          <cell r="G2066">
            <v>29630</v>
          </cell>
        </row>
        <row r="2067">
          <cell r="C2067" t="str">
            <v>22042024-A-087195</v>
          </cell>
          <cell r="D2067">
            <v>840901</v>
          </cell>
          <cell r="E2067" t="str">
            <v>Raw Material</v>
          </cell>
          <cell r="F2067" t="str">
            <v>Closed</v>
          </cell>
          <cell r="G2067">
            <v>150</v>
          </cell>
        </row>
        <row r="2068">
          <cell r="C2068" t="str">
            <v>22042024-A-087196</v>
          </cell>
          <cell r="D2068">
            <v>840901</v>
          </cell>
          <cell r="E2068" t="str">
            <v>Raw Material</v>
          </cell>
          <cell r="F2068" t="str">
            <v>Closed</v>
          </cell>
          <cell r="G2068">
            <v>105</v>
          </cell>
        </row>
        <row r="2069">
          <cell r="C2069" t="str">
            <v>02052024-A-091930</v>
          </cell>
          <cell r="D2069">
            <v>1206154</v>
          </cell>
          <cell r="E2069" t="str">
            <v>Raw Material</v>
          </cell>
          <cell r="F2069" t="str">
            <v>Closed</v>
          </cell>
          <cell r="G2069">
            <v>200</v>
          </cell>
        </row>
        <row r="2070">
          <cell r="C2070" t="str">
            <v>23042024-A-087325</v>
          </cell>
          <cell r="D2070">
            <v>840902</v>
          </cell>
          <cell r="E2070" t="str">
            <v>Raw Material</v>
          </cell>
          <cell r="F2070" t="str">
            <v>Closed</v>
          </cell>
          <cell r="G2070">
            <v>2000</v>
          </cell>
        </row>
        <row r="2071">
          <cell r="C2071" t="str">
            <v>23042024-A-087336</v>
          </cell>
          <cell r="D2071">
            <v>840902</v>
          </cell>
          <cell r="E2071" t="str">
            <v>Raw Material</v>
          </cell>
          <cell r="F2071" t="str">
            <v>Closed</v>
          </cell>
          <cell r="G2071">
            <v>120</v>
          </cell>
        </row>
        <row r="2072">
          <cell r="C2072" t="str">
            <v>23042024-A-087351</v>
          </cell>
          <cell r="D2072">
            <v>840902</v>
          </cell>
          <cell r="E2072" t="str">
            <v>Raw Material</v>
          </cell>
          <cell r="F2072" t="str">
            <v>Closed</v>
          </cell>
          <cell r="G2072">
            <v>40000</v>
          </cell>
        </row>
        <row r="2073">
          <cell r="C2073" t="str">
            <v>23042024-A-087358</v>
          </cell>
          <cell r="D2073">
            <v>840902</v>
          </cell>
          <cell r="E2073" t="str">
            <v>Raw Material</v>
          </cell>
          <cell r="F2073" t="str">
            <v>Closed</v>
          </cell>
          <cell r="G2073">
            <v>5000</v>
          </cell>
        </row>
        <row r="2074">
          <cell r="C2074" t="str">
            <v>25042024-A-088911</v>
          </cell>
          <cell r="D2074">
            <v>840904</v>
          </cell>
          <cell r="E2074" t="str">
            <v>Raw Material</v>
          </cell>
          <cell r="F2074" t="str">
            <v>Closed</v>
          </cell>
          <cell r="G2074">
            <v>12664</v>
          </cell>
        </row>
        <row r="2075">
          <cell r="C2075" t="str">
            <v>25042024-A-088917</v>
          </cell>
          <cell r="D2075">
            <v>840904</v>
          </cell>
          <cell r="E2075" t="str">
            <v>Raw Material</v>
          </cell>
          <cell r="F2075" t="str">
            <v>Closed</v>
          </cell>
          <cell r="G2075">
            <v>12437</v>
          </cell>
        </row>
        <row r="2076">
          <cell r="C2076" t="str">
            <v>25042024-A-088923</v>
          </cell>
          <cell r="D2076">
            <v>840904</v>
          </cell>
          <cell r="E2076" t="str">
            <v>Raw Material</v>
          </cell>
          <cell r="F2076" t="str">
            <v>Closed</v>
          </cell>
          <cell r="G2076">
            <v>12664</v>
          </cell>
        </row>
        <row r="2077">
          <cell r="C2077" t="str">
            <v>25042024-A-088957</v>
          </cell>
          <cell r="D2077">
            <v>840904</v>
          </cell>
          <cell r="E2077" t="str">
            <v>Raw Material</v>
          </cell>
          <cell r="F2077" t="str">
            <v>Closed</v>
          </cell>
          <cell r="G2077">
            <v>12467</v>
          </cell>
        </row>
        <row r="2078">
          <cell r="C2078" t="str">
            <v>25042024-A-088964</v>
          </cell>
          <cell r="D2078">
            <v>840904</v>
          </cell>
          <cell r="E2078" t="str">
            <v>Raw Material</v>
          </cell>
          <cell r="F2078" t="str">
            <v>Closed</v>
          </cell>
          <cell r="G2078">
            <v>12360</v>
          </cell>
        </row>
        <row r="2079">
          <cell r="C2079" t="str">
            <v>25042024-A-088969</v>
          </cell>
          <cell r="D2079">
            <v>840904</v>
          </cell>
          <cell r="E2079" t="str">
            <v>Raw Material</v>
          </cell>
          <cell r="F2079" t="str">
            <v>Closed</v>
          </cell>
          <cell r="G2079">
            <v>12457</v>
          </cell>
        </row>
        <row r="2080">
          <cell r="C2080" t="str">
            <v>25042024-A-088978</v>
          </cell>
          <cell r="D2080">
            <v>840904</v>
          </cell>
          <cell r="E2080" t="str">
            <v>Raw Material</v>
          </cell>
          <cell r="F2080" t="str">
            <v>Closed</v>
          </cell>
          <cell r="G2080">
            <v>12505</v>
          </cell>
        </row>
        <row r="2081">
          <cell r="C2081" t="str">
            <v>25042024-A-088985</v>
          </cell>
          <cell r="D2081">
            <v>840904</v>
          </cell>
          <cell r="E2081" t="str">
            <v>Raw Material</v>
          </cell>
          <cell r="F2081" t="str">
            <v>Closed</v>
          </cell>
          <cell r="G2081">
            <v>13074</v>
          </cell>
        </row>
        <row r="2082">
          <cell r="C2082" t="str">
            <v>25042024-A-088993</v>
          </cell>
          <cell r="D2082">
            <v>840904</v>
          </cell>
          <cell r="E2082" t="str">
            <v>Raw Material</v>
          </cell>
          <cell r="F2082" t="str">
            <v>Closed</v>
          </cell>
          <cell r="G2082">
            <v>12577</v>
          </cell>
        </row>
        <row r="2083">
          <cell r="C2083" t="str">
            <v>25042024-A-089007</v>
          </cell>
          <cell r="D2083">
            <v>840904</v>
          </cell>
          <cell r="E2083" t="str">
            <v>Raw Material</v>
          </cell>
          <cell r="F2083" t="str">
            <v>Closed</v>
          </cell>
          <cell r="G2083">
            <v>12030</v>
          </cell>
        </row>
        <row r="2084">
          <cell r="C2084" t="str">
            <v>25042024-A-089022</v>
          </cell>
          <cell r="D2084">
            <v>840904</v>
          </cell>
          <cell r="E2084" t="str">
            <v>Raw Material</v>
          </cell>
          <cell r="F2084" t="str">
            <v>Closed</v>
          </cell>
          <cell r="G2084">
            <v>12924</v>
          </cell>
        </row>
        <row r="2085">
          <cell r="C2085" t="str">
            <v>25042024-A-089030</v>
          </cell>
          <cell r="D2085">
            <v>840904</v>
          </cell>
          <cell r="E2085" t="str">
            <v>Raw Material</v>
          </cell>
          <cell r="F2085" t="str">
            <v>Closed</v>
          </cell>
          <cell r="G2085">
            <v>12200</v>
          </cell>
        </row>
        <row r="2086">
          <cell r="C2086" t="str">
            <v>25042024-A-089040</v>
          </cell>
          <cell r="D2086">
            <v>840904</v>
          </cell>
          <cell r="E2086" t="str">
            <v>Raw Material</v>
          </cell>
          <cell r="F2086" t="str">
            <v>Closed</v>
          </cell>
          <cell r="G2086">
            <v>12974</v>
          </cell>
        </row>
        <row r="2087">
          <cell r="C2087" t="str">
            <v>25042024-A-089053</v>
          </cell>
          <cell r="D2087">
            <v>840904</v>
          </cell>
          <cell r="E2087" t="str">
            <v>Raw Material</v>
          </cell>
          <cell r="F2087" t="str">
            <v>Closed</v>
          </cell>
          <cell r="G2087">
            <v>12270</v>
          </cell>
        </row>
        <row r="2088">
          <cell r="C2088" t="str">
            <v>25042024-A-089059</v>
          </cell>
          <cell r="D2088">
            <v>840904</v>
          </cell>
          <cell r="E2088" t="str">
            <v>Raw Material</v>
          </cell>
          <cell r="F2088" t="str">
            <v>Closed</v>
          </cell>
          <cell r="G2088">
            <v>12474</v>
          </cell>
        </row>
        <row r="2089">
          <cell r="C2089" t="str">
            <v>25042024-A-089068</v>
          </cell>
          <cell r="D2089">
            <v>840904</v>
          </cell>
          <cell r="E2089" t="str">
            <v>Raw Material</v>
          </cell>
          <cell r="F2089" t="str">
            <v>Closed</v>
          </cell>
          <cell r="G2089">
            <v>12395</v>
          </cell>
        </row>
        <row r="2090">
          <cell r="C2090" t="str">
            <v>25042024-A-089080</v>
          </cell>
          <cell r="D2090">
            <v>840904</v>
          </cell>
          <cell r="E2090" t="str">
            <v>Raw Material</v>
          </cell>
          <cell r="F2090" t="str">
            <v>Closed</v>
          </cell>
          <cell r="G2090">
            <v>12624</v>
          </cell>
        </row>
        <row r="2091">
          <cell r="C2091" t="str">
            <v>25042024-A-089085</v>
          </cell>
          <cell r="D2091">
            <v>840904</v>
          </cell>
          <cell r="E2091" t="str">
            <v>Raw Material</v>
          </cell>
          <cell r="F2091" t="str">
            <v>Closed</v>
          </cell>
          <cell r="G2091">
            <v>12188</v>
          </cell>
        </row>
        <row r="2092">
          <cell r="C2092" t="str">
            <v>25042024-A-089093</v>
          </cell>
          <cell r="D2092">
            <v>840904</v>
          </cell>
          <cell r="E2092" t="str">
            <v>Raw Material</v>
          </cell>
          <cell r="F2092" t="str">
            <v>Running</v>
          </cell>
          <cell r="G2092">
            <v>12574</v>
          </cell>
        </row>
        <row r="2093">
          <cell r="C2093" t="str">
            <v>25042024-A-089099</v>
          </cell>
          <cell r="D2093">
            <v>840904</v>
          </cell>
          <cell r="E2093" t="str">
            <v>Raw Material</v>
          </cell>
          <cell r="F2093" t="str">
            <v>Running</v>
          </cell>
          <cell r="G2093">
            <v>12705</v>
          </cell>
        </row>
        <row r="2094">
          <cell r="C2094" t="str">
            <v>27042024-A-089895</v>
          </cell>
          <cell r="D2094">
            <v>840906</v>
          </cell>
          <cell r="E2094" t="str">
            <v>Raw Material</v>
          </cell>
          <cell r="F2094" t="str">
            <v>-</v>
          </cell>
          <cell r="G2094">
            <v>939</v>
          </cell>
        </row>
        <row r="2095">
          <cell r="C2095" t="str">
            <v>27042024-A-089922</v>
          </cell>
          <cell r="D2095">
            <v>840906</v>
          </cell>
          <cell r="E2095" t="str">
            <v>Raw Material</v>
          </cell>
          <cell r="F2095" t="str">
            <v>-</v>
          </cell>
          <cell r="G2095">
            <v>654</v>
          </cell>
        </row>
        <row r="2096">
          <cell r="C2096" t="str">
            <v>27042024-A-089928</v>
          </cell>
          <cell r="D2096">
            <v>840906</v>
          </cell>
          <cell r="E2096" t="str">
            <v>Raw Material</v>
          </cell>
          <cell r="F2096" t="str">
            <v>-</v>
          </cell>
          <cell r="G2096">
            <v>612</v>
          </cell>
        </row>
        <row r="2097">
          <cell r="C2097" t="str">
            <v>27042024-A-089938</v>
          </cell>
          <cell r="D2097">
            <v>840906</v>
          </cell>
          <cell r="E2097" t="str">
            <v>Raw Material</v>
          </cell>
          <cell r="F2097" t="str">
            <v>-</v>
          </cell>
          <cell r="G2097">
            <v>14630</v>
          </cell>
        </row>
        <row r="2098">
          <cell r="C2098" t="str">
            <v>27042024-A-089945</v>
          </cell>
          <cell r="D2098">
            <v>840906</v>
          </cell>
          <cell r="E2098" t="str">
            <v>Raw Material</v>
          </cell>
          <cell r="F2098" t="str">
            <v>Closed</v>
          </cell>
          <cell r="G2098">
            <v>7136</v>
          </cell>
        </row>
        <row r="2099">
          <cell r="C2099" t="str">
            <v>27042024-A-089947</v>
          </cell>
          <cell r="D2099">
            <v>840906</v>
          </cell>
          <cell r="E2099" t="str">
            <v>Raw Material</v>
          </cell>
          <cell r="F2099" t="str">
            <v>Closed</v>
          </cell>
          <cell r="G2099">
            <v>14271</v>
          </cell>
        </row>
        <row r="2100">
          <cell r="C2100" t="str">
            <v>27042024-A-089950</v>
          </cell>
          <cell r="D2100">
            <v>840906</v>
          </cell>
          <cell r="E2100" t="str">
            <v>Raw Material</v>
          </cell>
          <cell r="F2100" t="str">
            <v>Closed</v>
          </cell>
          <cell r="G2100">
            <v>8553</v>
          </cell>
        </row>
        <row r="2101">
          <cell r="C2101" t="str">
            <v>27042024-A-089955</v>
          </cell>
          <cell r="D2101">
            <v>840906</v>
          </cell>
          <cell r="E2101" t="str">
            <v>Raw Material</v>
          </cell>
          <cell r="F2101" t="str">
            <v>Running</v>
          </cell>
          <cell r="G2101">
            <v>7634</v>
          </cell>
        </row>
        <row r="2102">
          <cell r="C2102" t="str">
            <v>27042024-A-089960</v>
          </cell>
          <cell r="D2102">
            <v>840906</v>
          </cell>
          <cell r="E2102" t="str">
            <v>Raw Material</v>
          </cell>
          <cell r="F2102" t="str">
            <v>Closed</v>
          </cell>
          <cell r="G2102">
            <v>6889</v>
          </cell>
        </row>
        <row r="2103">
          <cell r="C2103" t="str">
            <v>03052024-A-093090</v>
          </cell>
          <cell r="D2103">
            <v>1206155</v>
          </cell>
          <cell r="E2103" t="str">
            <v>Raw Material</v>
          </cell>
          <cell r="F2103" t="str">
            <v>Closed</v>
          </cell>
          <cell r="G2103">
            <v>10000</v>
          </cell>
        </row>
        <row r="2104">
          <cell r="C2104" t="str">
            <v>03052024-A-093103</v>
          </cell>
          <cell r="D2104">
            <v>1206155</v>
          </cell>
          <cell r="E2104" t="str">
            <v>Raw Material</v>
          </cell>
          <cell r="F2104" t="str">
            <v>Closed</v>
          </cell>
          <cell r="G2104">
            <v>200</v>
          </cell>
        </row>
        <row r="2105">
          <cell r="C2105" t="str">
            <v>03052024-A-093118</v>
          </cell>
          <cell r="D2105">
            <v>1206155</v>
          </cell>
          <cell r="E2105" t="str">
            <v>Raw Material</v>
          </cell>
          <cell r="F2105" t="str">
            <v>Closed</v>
          </cell>
          <cell r="G2105">
            <v>12000</v>
          </cell>
        </row>
        <row r="2106">
          <cell r="C2106" t="str">
            <v>03052024-A-093202</v>
          </cell>
          <cell r="D2106">
            <v>1206155</v>
          </cell>
          <cell r="E2106" t="str">
            <v>Raw Material</v>
          </cell>
          <cell r="F2106" t="str">
            <v>Closed</v>
          </cell>
          <cell r="G2106">
            <v>280</v>
          </cell>
        </row>
        <row r="2107">
          <cell r="C2107" t="str">
            <v>03052024-A-093212</v>
          </cell>
          <cell r="D2107">
            <v>1206155</v>
          </cell>
          <cell r="E2107" t="str">
            <v>Raw Material</v>
          </cell>
          <cell r="F2107" t="str">
            <v>Closed</v>
          </cell>
          <cell r="G2107">
            <v>375</v>
          </cell>
        </row>
        <row r="2108">
          <cell r="C2108" t="str">
            <v>03052024-A-093218</v>
          </cell>
          <cell r="D2108">
            <v>1206155</v>
          </cell>
          <cell r="E2108" t="str">
            <v>Raw Material</v>
          </cell>
          <cell r="F2108" t="str">
            <v>Closed</v>
          </cell>
          <cell r="G2108">
            <v>1210</v>
          </cell>
        </row>
        <row r="2109">
          <cell r="C2109" t="str">
            <v>03052024-A-093218</v>
          </cell>
          <cell r="D2109">
            <v>1206155</v>
          </cell>
          <cell r="E2109" t="str">
            <v>Raw Material</v>
          </cell>
          <cell r="F2109" t="str">
            <v>Closed</v>
          </cell>
          <cell r="G2109">
            <v>880</v>
          </cell>
        </row>
        <row r="2110">
          <cell r="C2110" t="str">
            <v>03052024-A-093218</v>
          </cell>
          <cell r="D2110">
            <v>1206155</v>
          </cell>
          <cell r="E2110" t="str">
            <v>Raw Material</v>
          </cell>
          <cell r="F2110" t="str">
            <v>Closed</v>
          </cell>
          <cell r="G2110">
            <v>2000</v>
          </cell>
        </row>
        <row r="2111">
          <cell r="C2111" t="str">
            <v>03052024-A-093225</v>
          </cell>
          <cell r="D2111">
            <v>1206155</v>
          </cell>
          <cell r="E2111" t="str">
            <v>Raw Material</v>
          </cell>
          <cell r="F2111" t="str">
            <v>Closed</v>
          </cell>
          <cell r="G2111">
            <v>990</v>
          </cell>
        </row>
        <row r="2112">
          <cell r="C2112" t="str">
            <v>03052024-A-093225</v>
          </cell>
          <cell r="D2112">
            <v>1206155</v>
          </cell>
          <cell r="E2112" t="str">
            <v>Raw Material</v>
          </cell>
          <cell r="F2112" t="str">
            <v>Closed</v>
          </cell>
          <cell r="G2112">
            <v>2000</v>
          </cell>
        </row>
        <row r="2113">
          <cell r="C2113" t="str">
            <v>03052024-A-093225</v>
          </cell>
          <cell r="D2113">
            <v>1206155</v>
          </cell>
          <cell r="E2113" t="str">
            <v>Raw Material</v>
          </cell>
          <cell r="F2113" t="str">
            <v>Closed</v>
          </cell>
          <cell r="G2113">
            <v>200</v>
          </cell>
        </row>
        <row r="2114">
          <cell r="C2114" t="str">
            <v>03052024-A-093225</v>
          </cell>
          <cell r="D2114">
            <v>1206155</v>
          </cell>
          <cell r="E2114" t="str">
            <v>Raw Material</v>
          </cell>
          <cell r="F2114" t="str">
            <v>Closed</v>
          </cell>
          <cell r="G2114">
            <v>1320</v>
          </cell>
        </row>
        <row r="2115">
          <cell r="C2115" t="str">
            <v>03052024-A-093229</v>
          </cell>
          <cell r="D2115">
            <v>1206155</v>
          </cell>
          <cell r="E2115" t="str">
            <v>Raw Material</v>
          </cell>
          <cell r="F2115" t="str">
            <v>-</v>
          </cell>
          <cell r="G2115">
            <v>200</v>
          </cell>
        </row>
        <row r="2116">
          <cell r="C2116" t="str">
            <v>03052024-A-093231</v>
          </cell>
          <cell r="D2116">
            <v>1206155</v>
          </cell>
          <cell r="E2116" t="str">
            <v>Raw Material</v>
          </cell>
          <cell r="F2116" t="str">
            <v>Closed</v>
          </cell>
          <cell r="G2116">
            <v>25</v>
          </cell>
        </row>
        <row r="2117">
          <cell r="C2117" t="str">
            <v>03052024-A-093232</v>
          </cell>
          <cell r="D2117">
            <v>1206155</v>
          </cell>
          <cell r="E2117" t="str">
            <v>Raw Material</v>
          </cell>
          <cell r="F2117" t="str">
            <v>Closed</v>
          </cell>
          <cell r="G2117">
            <v>880</v>
          </cell>
        </row>
        <row r="2118">
          <cell r="C2118" t="str">
            <v>03052024-A-093232</v>
          </cell>
          <cell r="D2118">
            <v>1206155</v>
          </cell>
          <cell r="E2118" t="str">
            <v>Raw Material</v>
          </cell>
          <cell r="F2118" t="str">
            <v>Closed</v>
          </cell>
          <cell r="G2118">
            <v>2000</v>
          </cell>
        </row>
        <row r="2119">
          <cell r="C2119" t="str">
            <v>03052024-A-093240</v>
          </cell>
          <cell r="D2119">
            <v>1206155</v>
          </cell>
          <cell r="E2119" t="str">
            <v>Raw Material</v>
          </cell>
          <cell r="F2119" t="str">
            <v>Closed</v>
          </cell>
          <cell r="G2119">
            <v>5940</v>
          </cell>
        </row>
        <row r="2120">
          <cell r="C2120" t="str">
            <v>03052024-A-093241</v>
          </cell>
          <cell r="D2120">
            <v>1206155</v>
          </cell>
          <cell r="E2120" t="str">
            <v>Raw Material</v>
          </cell>
          <cell r="F2120" t="str">
            <v>Closed</v>
          </cell>
          <cell r="G2120">
            <v>1200</v>
          </cell>
        </row>
        <row r="2121">
          <cell r="C2121" t="str">
            <v>03052024-A-093243</v>
          </cell>
          <cell r="D2121">
            <v>1206155</v>
          </cell>
          <cell r="E2121" t="str">
            <v>Raw Material</v>
          </cell>
          <cell r="F2121" t="str">
            <v>Closed</v>
          </cell>
          <cell r="G2121">
            <v>2000</v>
          </cell>
        </row>
        <row r="2122">
          <cell r="C2122" t="str">
            <v>03052024-A-093244</v>
          </cell>
          <cell r="D2122">
            <v>1206155</v>
          </cell>
          <cell r="E2122" t="str">
            <v>Raw Material</v>
          </cell>
          <cell r="F2122" t="str">
            <v>Closed</v>
          </cell>
          <cell r="G2122">
            <v>3300</v>
          </cell>
        </row>
        <row r="2123">
          <cell r="C2123" t="str">
            <v>03052024-A-093246</v>
          </cell>
          <cell r="D2123">
            <v>1206155</v>
          </cell>
          <cell r="E2123" t="str">
            <v>Raw Material</v>
          </cell>
          <cell r="F2123" t="str">
            <v>Closed</v>
          </cell>
          <cell r="G2123">
            <v>500</v>
          </cell>
        </row>
        <row r="2124">
          <cell r="C2124" t="str">
            <v>03052024-A-093247</v>
          </cell>
          <cell r="D2124">
            <v>1206155</v>
          </cell>
          <cell r="E2124" t="str">
            <v>Raw Material</v>
          </cell>
          <cell r="F2124" t="str">
            <v>Closed</v>
          </cell>
          <cell r="G2124">
            <v>130</v>
          </cell>
        </row>
        <row r="2125">
          <cell r="C2125" t="str">
            <v>03052024-A-093248</v>
          </cell>
          <cell r="D2125">
            <v>1206155</v>
          </cell>
          <cell r="E2125" t="str">
            <v>Raw Material</v>
          </cell>
          <cell r="F2125" t="str">
            <v>Closed</v>
          </cell>
          <cell r="G2125">
            <v>2200</v>
          </cell>
        </row>
        <row r="2126">
          <cell r="C2126" t="str">
            <v>03052024-A-093249</v>
          </cell>
          <cell r="D2126">
            <v>1206155</v>
          </cell>
          <cell r="E2126" t="str">
            <v>Raw Material</v>
          </cell>
          <cell r="F2126" t="str">
            <v>Closed</v>
          </cell>
          <cell r="G2126">
            <v>1300</v>
          </cell>
        </row>
        <row r="2127">
          <cell r="C2127" t="str">
            <v>03052024-A-093250</v>
          </cell>
          <cell r="D2127">
            <v>1206155</v>
          </cell>
          <cell r="E2127" t="str">
            <v>Raw Material</v>
          </cell>
          <cell r="F2127" t="str">
            <v>Closed</v>
          </cell>
          <cell r="G2127">
            <v>3080</v>
          </cell>
        </row>
        <row r="2128">
          <cell r="C2128" t="str">
            <v>03052024-A-093251</v>
          </cell>
          <cell r="D2128">
            <v>1206155</v>
          </cell>
          <cell r="E2128" t="str">
            <v>Raw Material</v>
          </cell>
          <cell r="F2128" t="str">
            <v>Closed</v>
          </cell>
          <cell r="G2128">
            <v>480</v>
          </cell>
        </row>
        <row r="2129">
          <cell r="C2129" t="str">
            <v>03052024-A-093252</v>
          </cell>
          <cell r="D2129">
            <v>1206155</v>
          </cell>
          <cell r="E2129" t="str">
            <v>Raw Material</v>
          </cell>
          <cell r="F2129" t="str">
            <v>-</v>
          </cell>
          <cell r="G2129">
            <v>175</v>
          </cell>
        </row>
        <row r="2130">
          <cell r="C2130" t="str">
            <v>03052024-A-093253</v>
          </cell>
          <cell r="D2130">
            <v>1206155</v>
          </cell>
          <cell r="E2130" t="str">
            <v>Raw Material</v>
          </cell>
          <cell r="F2130" t="str">
            <v>-</v>
          </cell>
          <cell r="G2130">
            <v>225</v>
          </cell>
        </row>
        <row r="2131">
          <cell r="C2131" t="str">
            <v>03052024-A-093254</v>
          </cell>
          <cell r="D2131">
            <v>1206155</v>
          </cell>
          <cell r="E2131" t="str">
            <v>Raw Material</v>
          </cell>
          <cell r="F2131" t="str">
            <v>Closed</v>
          </cell>
          <cell r="G2131">
            <v>240</v>
          </cell>
        </row>
        <row r="2132">
          <cell r="C2132" t="str">
            <v>04052024-A-093294</v>
          </cell>
          <cell r="D2132">
            <v>1206156</v>
          </cell>
          <cell r="E2132" t="str">
            <v>Raw Material</v>
          </cell>
          <cell r="F2132" t="str">
            <v>Closed</v>
          </cell>
          <cell r="G2132">
            <v>5000</v>
          </cell>
        </row>
        <row r="2133">
          <cell r="C2133" t="str">
            <v>04052024-A-093296</v>
          </cell>
          <cell r="D2133">
            <v>1206156</v>
          </cell>
          <cell r="E2133" t="str">
            <v>Raw Material</v>
          </cell>
          <cell r="F2133" t="str">
            <v>Closed</v>
          </cell>
          <cell r="G2133">
            <v>5000</v>
          </cell>
        </row>
        <row r="2134">
          <cell r="C2134" t="str">
            <v>04052024-A-093299</v>
          </cell>
          <cell r="D2134">
            <v>1206156</v>
          </cell>
          <cell r="E2134" t="str">
            <v>Raw Material</v>
          </cell>
          <cell r="F2134" t="str">
            <v>Closed</v>
          </cell>
          <cell r="G2134">
            <v>5000</v>
          </cell>
        </row>
        <row r="2135">
          <cell r="C2135" t="str">
            <v>04052024-A-093302</v>
          </cell>
          <cell r="D2135">
            <v>1206156</v>
          </cell>
          <cell r="E2135" t="str">
            <v>Raw Material</v>
          </cell>
          <cell r="F2135" t="str">
            <v>-</v>
          </cell>
          <cell r="G2135">
            <v>29520</v>
          </cell>
        </row>
        <row r="2136">
          <cell r="C2136" t="str">
            <v>04052024-A-093303</v>
          </cell>
          <cell r="D2136">
            <v>1206156</v>
          </cell>
          <cell r="E2136" t="str">
            <v>Raw Material</v>
          </cell>
          <cell r="F2136" t="str">
            <v>-</v>
          </cell>
          <cell r="G2136">
            <v>29420</v>
          </cell>
        </row>
        <row r="2137">
          <cell r="C2137" t="str">
            <v>04052024-A-093306</v>
          </cell>
          <cell r="D2137">
            <v>1206156</v>
          </cell>
          <cell r="E2137" t="str">
            <v>Raw Material</v>
          </cell>
          <cell r="F2137" t="str">
            <v>-</v>
          </cell>
          <cell r="G2137">
            <v>29620</v>
          </cell>
        </row>
        <row r="2138">
          <cell r="C2138" t="str">
            <v>07052024-A-094605</v>
          </cell>
          <cell r="D2138">
            <v>45419</v>
          </cell>
          <cell r="E2138" t="str">
            <v>Raw Material</v>
          </cell>
          <cell r="F2138" t="str">
            <v>-</v>
          </cell>
          <cell r="G2138">
            <v>13074</v>
          </cell>
        </row>
        <row r="2139">
          <cell r="C2139" t="str">
            <v>07052024-A-094631</v>
          </cell>
          <cell r="D2139">
            <v>45419</v>
          </cell>
          <cell r="E2139" t="str">
            <v>Raw Material</v>
          </cell>
          <cell r="F2139" t="str">
            <v>-</v>
          </cell>
          <cell r="G2139">
            <v>12654</v>
          </cell>
        </row>
        <row r="2140">
          <cell r="C2140" t="str">
            <v>07052024-A-094659</v>
          </cell>
          <cell r="D2140">
            <v>45419</v>
          </cell>
          <cell r="E2140" t="str">
            <v>Raw Material</v>
          </cell>
          <cell r="F2140" t="str">
            <v>-</v>
          </cell>
          <cell r="G2140">
            <v>12128</v>
          </cell>
        </row>
        <row r="2141">
          <cell r="C2141" t="str">
            <v>07052024-A-094668</v>
          </cell>
          <cell r="D2141">
            <v>45419</v>
          </cell>
          <cell r="E2141" t="str">
            <v>Raw Material</v>
          </cell>
          <cell r="F2141" t="str">
            <v>-</v>
          </cell>
          <cell r="G2141">
            <v>12070</v>
          </cell>
        </row>
        <row r="2142">
          <cell r="C2142" t="str">
            <v>07052024-A-094678</v>
          </cell>
          <cell r="D2142">
            <v>45419</v>
          </cell>
          <cell r="E2142" t="str">
            <v>Raw Material</v>
          </cell>
          <cell r="F2142" t="str">
            <v>-</v>
          </cell>
          <cell r="G2142">
            <v>12814</v>
          </cell>
        </row>
        <row r="2143">
          <cell r="C2143" t="str">
            <v>07052024-A-094693</v>
          </cell>
          <cell r="D2143">
            <v>45419</v>
          </cell>
          <cell r="E2143" t="str">
            <v>Raw Material</v>
          </cell>
          <cell r="F2143" t="str">
            <v>-</v>
          </cell>
          <cell r="G2143">
            <v>12447</v>
          </cell>
        </row>
        <row r="2144">
          <cell r="C2144" t="str">
            <v>07052024-A-094704</v>
          </cell>
          <cell r="D2144">
            <v>45419</v>
          </cell>
          <cell r="E2144" t="str">
            <v>Raw Material</v>
          </cell>
          <cell r="F2144" t="str">
            <v>-</v>
          </cell>
          <cell r="G2144">
            <v>12108</v>
          </cell>
        </row>
        <row r="2145">
          <cell r="C2145" t="str">
            <v>07052024-A-094719</v>
          </cell>
          <cell r="D2145">
            <v>45419</v>
          </cell>
          <cell r="E2145" t="str">
            <v>Raw Material</v>
          </cell>
          <cell r="F2145" t="str">
            <v>Closed</v>
          </cell>
          <cell r="G2145">
            <v>2268</v>
          </cell>
        </row>
        <row r="2146">
          <cell r="C2146" t="str">
            <v>07052024-A-094854</v>
          </cell>
          <cell r="D2146">
            <v>45419</v>
          </cell>
          <cell r="E2146" t="str">
            <v>Raw Material</v>
          </cell>
          <cell r="F2146" t="str">
            <v>-</v>
          </cell>
          <cell r="G2146">
            <v>4354</v>
          </cell>
        </row>
        <row r="2147">
          <cell r="C2147" t="str">
            <v>07052024-A-094898</v>
          </cell>
          <cell r="D2147">
            <v>45419</v>
          </cell>
          <cell r="E2147" t="str">
            <v>Raw Material</v>
          </cell>
          <cell r="F2147" t="str">
            <v>Closed</v>
          </cell>
          <cell r="G2147">
            <v>4536</v>
          </cell>
        </row>
        <row r="2148">
          <cell r="C2148" t="str">
            <v>07052024-A-094913</v>
          </cell>
          <cell r="D2148">
            <v>45419</v>
          </cell>
          <cell r="E2148" t="str">
            <v>Raw Material</v>
          </cell>
          <cell r="F2148" t="str">
            <v>Closed</v>
          </cell>
          <cell r="G2148">
            <v>2268</v>
          </cell>
        </row>
        <row r="2149">
          <cell r="C2149" t="str">
            <v>07052024-A-094927</v>
          </cell>
          <cell r="D2149">
            <v>45419</v>
          </cell>
          <cell r="E2149" t="str">
            <v>Raw Material</v>
          </cell>
          <cell r="F2149" t="str">
            <v>Running</v>
          </cell>
          <cell r="G2149">
            <v>4536</v>
          </cell>
        </row>
        <row r="2150">
          <cell r="C2150" t="str">
            <v>07052024-A-094942</v>
          </cell>
          <cell r="D2150">
            <v>45419</v>
          </cell>
          <cell r="E2150" t="str">
            <v>Raw Material</v>
          </cell>
          <cell r="F2150" t="str">
            <v>Closed</v>
          </cell>
          <cell r="G2150">
            <v>2268</v>
          </cell>
        </row>
        <row r="2151">
          <cell r="C2151" t="str">
            <v>07052024-A-094954</v>
          </cell>
          <cell r="D2151">
            <v>45419</v>
          </cell>
          <cell r="E2151" t="str">
            <v>Raw Material</v>
          </cell>
          <cell r="F2151" t="str">
            <v>Closed</v>
          </cell>
          <cell r="G2151">
            <v>2268</v>
          </cell>
        </row>
        <row r="2152">
          <cell r="C2152" t="str">
            <v>07052024-A-094968</v>
          </cell>
          <cell r="D2152">
            <v>45419</v>
          </cell>
          <cell r="E2152" t="str">
            <v>Raw Material</v>
          </cell>
          <cell r="F2152" t="str">
            <v>Running</v>
          </cell>
          <cell r="G2152">
            <v>4536</v>
          </cell>
        </row>
        <row r="2153">
          <cell r="C2153" t="str">
            <v>07052024-A-094983</v>
          </cell>
          <cell r="D2153">
            <v>45419</v>
          </cell>
          <cell r="E2153" t="str">
            <v>Raw Material</v>
          </cell>
          <cell r="F2153" t="str">
            <v>Closed</v>
          </cell>
          <cell r="G2153">
            <v>4082</v>
          </cell>
        </row>
        <row r="2154">
          <cell r="C2154" t="str">
            <v>07052024-A-095004</v>
          </cell>
          <cell r="D2154">
            <v>45419</v>
          </cell>
          <cell r="E2154" t="str">
            <v>Raw Material</v>
          </cell>
          <cell r="F2154" t="str">
            <v>Closed</v>
          </cell>
          <cell r="G2154">
            <v>1814</v>
          </cell>
        </row>
        <row r="2155">
          <cell r="C2155" t="str">
            <v>07052024-A-095015</v>
          </cell>
          <cell r="D2155">
            <v>45419</v>
          </cell>
          <cell r="E2155" t="str">
            <v>Raw Material</v>
          </cell>
          <cell r="F2155" t="str">
            <v>Closed</v>
          </cell>
          <cell r="G2155">
            <v>3130</v>
          </cell>
        </row>
        <row r="2156">
          <cell r="C2156" t="str">
            <v>07052024-A-095032</v>
          </cell>
          <cell r="D2156">
            <v>45419</v>
          </cell>
          <cell r="E2156" t="str">
            <v>Raw Material</v>
          </cell>
          <cell r="F2156" t="str">
            <v>Closed</v>
          </cell>
          <cell r="G2156">
            <v>2631</v>
          </cell>
        </row>
        <row r="2157">
          <cell r="C2157" t="str">
            <v>07052024-A-095047</v>
          </cell>
          <cell r="D2157">
            <v>45419</v>
          </cell>
          <cell r="E2157" t="str">
            <v>Raw Material</v>
          </cell>
          <cell r="F2157" t="str">
            <v>Closed</v>
          </cell>
          <cell r="G2157">
            <v>2798</v>
          </cell>
        </row>
        <row r="2158">
          <cell r="C2158" t="str">
            <v>24052024-A-103130</v>
          </cell>
          <cell r="D2158">
            <v>1206176</v>
          </cell>
          <cell r="E2158" t="str">
            <v>Raw Material</v>
          </cell>
          <cell r="F2158" t="str">
            <v>Closed</v>
          </cell>
          <cell r="G2158">
            <v>2010</v>
          </cell>
        </row>
        <row r="2159">
          <cell r="C2159" t="str">
            <v>24052024-A-103146</v>
          </cell>
          <cell r="D2159">
            <v>1206176</v>
          </cell>
          <cell r="E2159" t="str">
            <v>Raw Material</v>
          </cell>
          <cell r="F2159" t="str">
            <v>Closed</v>
          </cell>
          <cell r="G2159">
            <v>1050</v>
          </cell>
        </row>
        <row r="2160">
          <cell r="C2160" t="str">
            <v>24052024-A-103156</v>
          </cell>
          <cell r="D2160">
            <v>1206176</v>
          </cell>
          <cell r="E2160" t="str">
            <v>Raw Material</v>
          </cell>
          <cell r="F2160" t="str">
            <v>Closed</v>
          </cell>
          <cell r="G2160">
            <v>210</v>
          </cell>
        </row>
        <row r="2161">
          <cell r="C2161" t="str">
            <v>24052024-A-103170</v>
          </cell>
          <cell r="D2161">
            <v>1206176</v>
          </cell>
          <cell r="E2161" t="str">
            <v>Raw Material</v>
          </cell>
          <cell r="F2161" t="str">
            <v>-</v>
          </cell>
          <cell r="G2161">
            <v>29302</v>
          </cell>
        </row>
        <row r="2162">
          <cell r="C2162" t="str">
            <v>24052024-A-103193</v>
          </cell>
          <cell r="D2162">
            <v>1206176</v>
          </cell>
          <cell r="E2162" t="str">
            <v>Raw Material</v>
          </cell>
          <cell r="F2162" t="str">
            <v>-</v>
          </cell>
          <cell r="G2162">
            <v>29460</v>
          </cell>
        </row>
        <row r="2163">
          <cell r="C2163" t="str">
            <v>24052024-A-103197</v>
          </cell>
          <cell r="D2163">
            <v>1206176</v>
          </cell>
          <cell r="E2163" t="str">
            <v>Raw Material</v>
          </cell>
          <cell r="F2163" t="str">
            <v>-</v>
          </cell>
          <cell r="G2163">
            <v>29080</v>
          </cell>
        </row>
        <row r="2164">
          <cell r="C2164" t="str">
            <v>24052024-A-103211</v>
          </cell>
          <cell r="D2164">
            <v>1206176</v>
          </cell>
          <cell r="E2164" t="str">
            <v>Raw Material</v>
          </cell>
          <cell r="F2164" t="str">
            <v>-</v>
          </cell>
          <cell r="G2164">
            <v>29250</v>
          </cell>
        </row>
        <row r="2165">
          <cell r="C2165" t="str">
            <v>24052024-A-103219</v>
          </cell>
          <cell r="D2165">
            <v>1206176</v>
          </cell>
          <cell r="E2165" t="str">
            <v>Raw Material</v>
          </cell>
          <cell r="F2165" t="str">
            <v>-</v>
          </cell>
          <cell r="G2165">
            <v>29330</v>
          </cell>
        </row>
        <row r="2166">
          <cell r="C2166" t="str">
            <v>24052024-A-103228</v>
          </cell>
          <cell r="D2166">
            <v>1206176</v>
          </cell>
          <cell r="E2166" t="str">
            <v>Raw Material</v>
          </cell>
          <cell r="F2166" t="str">
            <v>-</v>
          </cell>
          <cell r="G2166">
            <v>29302</v>
          </cell>
        </row>
        <row r="2167">
          <cell r="C2167" t="str">
            <v>24052024-A-103235</v>
          </cell>
          <cell r="D2167">
            <v>1206176</v>
          </cell>
          <cell r="E2167" t="str">
            <v>Raw Material</v>
          </cell>
          <cell r="F2167" t="str">
            <v>Closed</v>
          </cell>
          <cell r="G2167">
            <v>25</v>
          </cell>
        </row>
        <row r="2168">
          <cell r="C2168" t="str">
            <v>24052024-A-103235</v>
          </cell>
          <cell r="D2168">
            <v>1206176</v>
          </cell>
          <cell r="E2168" t="str">
            <v>Raw Material</v>
          </cell>
          <cell r="F2168" t="str">
            <v>Closed</v>
          </cell>
          <cell r="G2168">
            <v>30</v>
          </cell>
        </row>
        <row r="2169">
          <cell r="C2169" t="str">
            <v>24052024-A-103243</v>
          </cell>
          <cell r="D2169">
            <v>1206176</v>
          </cell>
          <cell r="E2169" t="str">
            <v>Raw Material</v>
          </cell>
          <cell r="F2169" t="str">
            <v>Closed</v>
          </cell>
          <cell r="G2169">
            <v>5000</v>
          </cell>
        </row>
        <row r="2170">
          <cell r="C2170" t="str">
            <v>24052024-A-103248</v>
          </cell>
          <cell r="D2170">
            <v>1206176</v>
          </cell>
          <cell r="E2170" t="str">
            <v>Raw Material</v>
          </cell>
          <cell r="F2170" t="str">
            <v>Closed</v>
          </cell>
          <cell r="G2170">
            <v>5000</v>
          </cell>
        </row>
        <row r="2171">
          <cell r="C2171" t="str">
            <v>24052024-A-103255</v>
          </cell>
          <cell r="D2171">
            <v>1206176</v>
          </cell>
          <cell r="E2171" t="str">
            <v>Raw Material</v>
          </cell>
          <cell r="F2171" t="str">
            <v>Closed</v>
          </cell>
          <cell r="G2171">
            <v>5000</v>
          </cell>
        </row>
        <row r="2172">
          <cell r="C2172" t="str">
            <v>24052024-A-103261</v>
          </cell>
          <cell r="D2172">
            <v>1206176</v>
          </cell>
          <cell r="E2172" t="str">
            <v>Raw Material</v>
          </cell>
          <cell r="F2172" t="str">
            <v>Closed</v>
          </cell>
          <cell r="G2172">
            <v>5000</v>
          </cell>
        </row>
        <row r="2173">
          <cell r="C2173" t="str">
            <v>24052024-A-103269</v>
          </cell>
          <cell r="D2173">
            <v>1206176</v>
          </cell>
          <cell r="E2173" t="str">
            <v>Raw Material</v>
          </cell>
          <cell r="F2173" t="str">
            <v>Closed</v>
          </cell>
          <cell r="G2173">
            <v>5000</v>
          </cell>
        </row>
        <row r="2174">
          <cell r="C2174" t="str">
            <v>24052024-A-103276</v>
          </cell>
          <cell r="D2174">
            <v>1206176</v>
          </cell>
          <cell r="E2174" t="str">
            <v>Raw Material</v>
          </cell>
          <cell r="F2174" t="str">
            <v>Closed</v>
          </cell>
          <cell r="G2174">
            <v>5000</v>
          </cell>
        </row>
        <row r="2175">
          <cell r="C2175" t="str">
            <v>24052024-A-103279</v>
          </cell>
          <cell r="D2175">
            <v>1206176</v>
          </cell>
          <cell r="E2175" t="str">
            <v>Raw Material</v>
          </cell>
          <cell r="F2175" t="str">
            <v>Closed</v>
          </cell>
          <cell r="G2175">
            <v>5000</v>
          </cell>
        </row>
        <row r="2176">
          <cell r="C2176" t="str">
            <v>24052024-A-103317</v>
          </cell>
          <cell r="D2176">
            <v>1206176</v>
          </cell>
          <cell r="E2176" t="str">
            <v>Raw Material</v>
          </cell>
          <cell r="F2176" t="str">
            <v>Closed</v>
          </cell>
          <cell r="G2176">
            <v>480</v>
          </cell>
        </row>
        <row r="2177">
          <cell r="C2177" t="str">
            <v>24052024-A-103325</v>
          </cell>
          <cell r="D2177">
            <v>1206176</v>
          </cell>
          <cell r="E2177" t="str">
            <v>Raw Material</v>
          </cell>
          <cell r="F2177" t="str">
            <v>-</v>
          </cell>
          <cell r="G2177">
            <v>400</v>
          </cell>
        </row>
        <row r="2178">
          <cell r="C2178" t="str">
            <v>24052024-A-103409</v>
          </cell>
          <cell r="D2178">
            <v>1206176</v>
          </cell>
          <cell r="E2178" t="str">
            <v>Raw Material</v>
          </cell>
          <cell r="F2178" t="str">
            <v>Closed</v>
          </cell>
          <cell r="G2178">
            <v>800</v>
          </cell>
        </row>
        <row r="2179">
          <cell r="C2179" t="str">
            <v>24052024-A-103444</v>
          </cell>
          <cell r="D2179">
            <v>1206176</v>
          </cell>
          <cell r="E2179" t="str">
            <v>Raw Material</v>
          </cell>
          <cell r="F2179" t="str">
            <v>Closed</v>
          </cell>
          <cell r="G2179">
            <v>800</v>
          </cell>
        </row>
        <row r="2180">
          <cell r="C2180" t="str">
            <v>24052024-A-103447</v>
          </cell>
          <cell r="D2180">
            <v>1206176</v>
          </cell>
          <cell r="E2180" t="str">
            <v>Raw Material</v>
          </cell>
          <cell r="F2180" t="str">
            <v>Closed</v>
          </cell>
          <cell r="G2180">
            <v>1200</v>
          </cell>
        </row>
        <row r="2181">
          <cell r="C2181" t="str">
            <v>24052024-A-103454</v>
          </cell>
          <cell r="D2181">
            <v>1206176</v>
          </cell>
          <cell r="E2181" t="str">
            <v>Raw Material</v>
          </cell>
          <cell r="F2181" t="str">
            <v>Closed</v>
          </cell>
          <cell r="G2181">
            <v>1200</v>
          </cell>
        </row>
        <row r="2182">
          <cell r="C2182" t="str">
            <v>24052024-A-103465</v>
          </cell>
          <cell r="D2182">
            <v>1206176</v>
          </cell>
          <cell r="E2182" t="str">
            <v>Raw Material</v>
          </cell>
          <cell r="F2182" t="str">
            <v>Closed</v>
          </cell>
          <cell r="G2182">
            <v>960</v>
          </cell>
        </row>
        <row r="2183">
          <cell r="C2183" t="str">
            <v>24052024-A-103475</v>
          </cell>
          <cell r="D2183">
            <v>1206176</v>
          </cell>
          <cell r="E2183" t="str">
            <v>Raw Material</v>
          </cell>
          <cell r="F2183" t="str">
            <v>Closed</v>
          </cell>
          <cell r="G2183">
            <v>1440</v>
          </cell>
        </row>
        <row r="2184">
          <cell r="C2184" t="str">
            <v>24052024-A-103482</v>
          </cell>
          <cell r="D2184">
            <v>1206176</v>
          </cell>
          <cell r="E2184" t="str">
            <v>Raw Material</v>
          </cell>
          <cell r="F2184" t="str">
            <v>Closed</v>
          </cell>
          <cell r="G2184">
            <v>1680</v>
          </cell>
        </row>
        <row r="2185">
          <cell r="C2185" t="str">
            <v>24052024-A-103491</v>
          </cell>
          <cell r="D2185">
            <v>1206176</v>
          </cell>
          <cell r="E2185" t="str">
            <v>Raw Material</v>
          </cell>
          <cell r="F2185" t="str">
            <v>Closed</v>
          </cell>
          <cell r="G2185">
            <v>510</v>
          </cell>
        </row>
        <row r="2186">
          <cell r="C2186" t="str">
            <v>24052024-A-103500</v>
          </cell>
          <cell r="D2186">
            <v>1206176</v>
          </cell>
          <cell r="E2186" t="str">
            <v>Raw Material</v>
          </cell>
          <cell r="F2186" t="str">
            <v>Closed</v>
          </cell>
          <cell r="G2186">
            <v>35000</v>
          </cell>
        </row>
        <row r="2187">
          <cell r="C2187" t="str">
            <v>24052024-A-103525</v>
          </cell>
          <cell r="D2187">
            <v>1206176</v>
          </cell>
          <cell r="E2187" t="str">
            <v>Raw Material</v>
          </cell>
          <cell r="F2187" t="str">
            <v>Closed</v>
          </cell>
          <cell r="G2187">
            <v>600</v>
          </cell>
        </row>
        <row r="2188">
          <cell r="C2188" t="str">
            <v>24052024-A-103531</v>
          </cell>
          <cell r="D2188">
            <v>1206176</v>
          </cell>
          <cell r="E2188" t="str">
            <v>Raw Material</v>
          </cell>
          <cell r="F2188" t="str">
            <v>Closed</v>
          </cell>
          <cell r="G2188">
            <v>200</v>
          </cell>
        </row>
        <row r="2189">
          <cell r="C2189" t="str">
            <v>24052024-A-103544</v>
          </cell>
          <cell r="D2189">
            <v>1206176</v>
          </cell>
          <cell r="E2189" t="str">
            <v>Raw Material</v>
          </cell>
          <cell r="F2189" t="str">
            <v>Closed</v>
          </cell>
          <cell r="G2189">
            <v>5040</v>
          </cell>
        </row>
        <row r="2190">
          <cell r="C2190" t="str">
            <v>24052024-A-103590</v>
          </cell>
          <cell r="D2190">
            <v>1206176</v>
          </cell>
          <cell r="E2190" t="str">
            <v>Raw Material</v>
          </cell>
          <cell r="F2190" t="str">
            <v>-</v>
          </cell>
          <cell r="G2190">
            <v>8126</v>
          </cell>
        </row>
        <row r="2191">
          <cell r="C2191" t="str">
            <v>24052024-A-103591</v>
          </cell>
          <cell r="D2191">
            <v>1206176</v>
          </cell>
          <cell r="E2191" t="str">
            <v>Raw Material</v>
          </cell>
          <cell r="F2191" t="str">
            <v>-</v>
          </cell>
          <cell r="G2191">
            <v>3485</v>
          </cell>
        </row>
        <row r="2192">
          <cell r="C2192" t="str">
            <v>24052024-A-103594</v>
          </cell>
          <cell r="D2192">
            <v>1206176</v>
          </cell>
          <cell r="E2192" t="str">
            <v>Raw Material</v>
          </cell>
          <cell r="F2192" t="str">
            <v>-</v>
          </cell>
          <cell r="G2192">
            <v>3857</v>
          </cell>
        </row>
        <row r="2193">
          <cell r="C2193" t="str">
            <v>24052024-A-103597</v>
          </cell>
          <cell r="D2193">
            <v>1206176</v>
          </cell>
          <cell r="E2193" t="str">
            <v>Raw Material</v>
          </cell>
          <cell r="F2193" t="str">
            <v>Closed</v>
          </cell>
          <cell r="G2193">
            <v>2125</v>
          </cell>
        </row>
        <row r="2194">
          <cell r="C2194" t="str">
            <v>24052024-A-103600</v>
          </cell>
          <cell r="D2194">
            <v>1206176</v>
          </cell>
          <cell r="E2194" t="str">
            <v>Raw Material</v>
          </cell>
          <cell r="F2194" t="str">
            <v>-</v>
          </cell>
          <cell r="G2194">
            <v>2490</v>
          </cell>
        </row>
        <row r="2195">
          <cell r="C2195" t="str">
            <v>24052024-A-103605</v>
          </cell>
          <cell r="D2195">
            <v>1206176</v>
          </cell>
          <cell r="E2195" t="str">
            <v>Raw Material</v>
          </cell>
          <cell r="F2195" t="str">
            <v>Running</v>
          </cell>
          <cell r="G2195">
            <v>17700</v>
          </cell>
        </row>
        <row r="2196">
          <cell r="C2196" t="str">
            <v>24052024-A-103608</v>
          </cell>
          <cell r="D2196">
            <v>1206176</v>
          </cell>
          <cell r="E2196" t="str">
            <v>Raw Material</v>
          </cell>
          <cell r="F2196" t="str">
            <v>Closed</v>
          </cell>
          <cell r="G2196">
            <v>11135</v>
          </cell>
        </row>
        <row r="2197">
          <cell r="C2197" t="str">
            <v>24052024-A-103609</v>
          </cell>
          <cell r="D2197">
            <v>1206176</v>
          </cell>
          <cell r="E2197" t="str">
            <v>Raw Material</v>
          </cell>
          <cell r="F2197" t="str">
            <v>Closed</v>
          </cell>
          <cell r="G2197">
            <v>11804</v>
          </cell>
        </row>
        <row r="2198">
          <cell r="C2198" t="str">
            <v>29052024-A-105977</v>
          </cell>
          <cell r="D2198">
            <v>1206181</v>
          </cell>
          <cell r="E2198" t="str">
            <v>Raw Material</v>
          </cell>
          <cell r="F2198" t="str">
            <v>Closed</v>
          </cell>
          <cell r="G2198">
            <v>469</v>
          </cell>
        </row>
        <row r="2199">
          <cell r="C2199" t="str">
            <v>29052024-A-105995</v>
          </cell>
          <cell r="D2199">
            <v>1206181</v>
          </cell>
          <cell r="E2199" t="str">
            <v>Raw Material</v>
          </cell>
          <cell r="F2199" t="str">
            <v>Closed</v>
          </cell>
          <cell r="G2199">
            <v>196</v>
          </cell>
        </row>
        <row r="2200">
          <cell r="C2200" t="str">
            <v>29052024-A-105997</v>
          </cell>
          <cell r="D2200">
            <v>1206181</v>
          </cell>
          <cell r="E2200" t="str">
            <v>Raw Material</v>
          </cell>
          <cell r="F2200" t="str">
            <v>Running</v>
          </cell>
          <cell r="G2200">
            <v>3083</v>
          </cell>
        </row>
        <row r="2201">
          <cell r="C2201" t="str">
            <v>30052024-A-106238</v>
          </cell>
          <cell r="D2201">
            <v>1206182</v>
          </cell>
          <cell r="E2201" t="str">
            <v>Raw Material</v>
          </cell>
          <cell r="F2201" t="str">
            <v>Closed</v>
          </cell>
          <cell r="G2201">
            <v>30069</v>
          </cell>
        </row>
        <row r="2202">
          <cell r="C2202" t="str">
            <v>30052024-A-106371</v>
          </cell>
          <cell r="D2202">
            <v>1206182</v>
          </cell>
          <cell r="E2202" t="str">
            <v>Raw Material</v>
          </cell>
          <cell r="F2202" t="str">
            <v>Closed</v>
          </cell>
          <cell r="G2202">
            <v>29879</v>
          </cell>
        </row>
        <row r="2203">
          <cell r="C2203" t="str">
            <v>30052024-A-106387</v>
          </cell>
          <cell r="D2203">
            <v>1206182</v>
          </cell>
          <cell r="E2203" t="str">
            <v>Raw Material</v>
          </cell>
          <cell r="F2203" t="str">
            <v>Closed</v>
          </cell>
          <cell r="G2203">
            <v>30073</v>
          </cell>
        </row>
        <row r="2204">
          <cell r="C2204" t="str">
            <v>30052024-A-106398</v>
          </cell>
          <cell r="D2204">
            <v>1206182</v>
          </cell>
          <cell r="E2204" t="str">
            <v>Raw Material</v>
          </cell>
          <cell r="F2204" t="str">
            <v>Closed</v>
          </cell>
          <cell r="G2204">
            <v>29921</v>
          </cell>
        </row>
        <row r="2205">
          <cell r="C2205" t="str">
            <v>30052024-A-106404</v>
          </cell>
          <cell r="D2205">
            <v>1206182</v>
          </cell>
          <cell r="E2205" t="str">
            <v>Raw Material</v>
          </cell>
          <cell r="F2205" t="str">
            <v>Closed</v>
          </cell>
          <cell r="G2205">
            <v>820</v>
          </cell>
        </row>
        <row r="2206">
          <cell r="C2206" t="str">
            <v>30052024-A-106409</v>
          </cell>
          <cell r="D2206">
            <v>1206182</v>
          </cell>
          <cell r="E2206" t="str">
            <v>Raw Material</v>
          </cell>
          <cell r="F2206" t="str">
            <v>Closed</v>
          </cell>
          <cell r="G2206">
            <v>5096</v>
          </cell>
        </row>
        <row r="2207">
          <cell r="C2207" t="str">
            <v>30052024-A-106415</v>
          </cell>
          <cell r="D2207">
            <v>1206182</v>
          </cell>
          <cell r="E2207" t="str">
            <v>Raw Material</v>
          </cell>
          <cell r="F2207" t="str">
            <v>-</v>
          </cell>
          <cell r="G2207">
            <v>12437</v>
          </cell>
        </row>
        <row r="2208">
          <cell r="C2208" t="str">
            <v>30052024-A-106422</v>
          </cell>
          <cell r="D2208">
            <v>1206182</v>
          </cell>
          <cell r="E2208" t="str">
            <v>Raw Material</v>
          </cell>
          <cell r="F2208" t="str">
            <v>-</v>
          </cell>
          <cell r="G2208">
            <v>12884</v>
          </cell>
        </row>
        <row r="2209">
          <cell r="C2209" t="str">
            <v>30052024-A-106431</v>
          </cell>
          <cell r="D2209">
            <v>1206182</v>
          </cell>
          <cell r="E2209" t="str">
            <v>Raw Material</v>
          </cell>
          <cell r="F2209" t="str">
            <v>-</v>
          </cell>
          <cell r="G2209">
            <v>11920</v>
          </cell>
        </row>
        <row r="2210">
          <cell r="C2210" t="str">
            <v>30052024-A-106434</v>
          </cell>
          <cell r="D2210">
            <v>1206182</v>
          </cell>
          <cell r="E2210" t="str">
            <v>Raw Material</v>
          </cell>
          <cell r="F2210" t="str">
            <v>-</v>
          </cell>
          <cell r="G2210">
            <v>12397</v>
          </cell>
        </row>
        <row r="2211">
          <cell r="C2211" t="str">
            <v>30052024-A-106438</v>
          </cell>
          <cell r="D2211">
            <v>1206182</v>
          </cell>
          <cell r="E2211" t="str">
            <v>Raw Material</v>
          </cell>
          <cell r="F2211" t="str">
            <v>-</v>
          </cell>
          <cell r="G2211">
            <v>12147</v>
          </cell>
        </row>
        <row r="2212">
          <cell r="C2212" t="str">
            <v>30052024-A-106515</v>
          </cell>
          <cell r="D2212">
            <v>1206182</v>
          </cell>
          <cell r="E2212" t="str">
            <v>Raw Material</v>
          </cell>
          <cell r="F2212" t="str">
            <v>-</v>
          </cell>
          <cell r="G2212">
            <v>12244</v>
          </cell>
        </row>
        <row r="2213">
          <cell r="C2213" t="str">
            <v>30052024-A-106523</v>
          </cell>
          <cell r="D2213">
            <v>1206182</v>
          </cell>
          <cell r="E2213" t="str">
            <v>Raw Material</v>
          </cell>
          <cell r="F2213" t="str">
            <v>-</v>
          </cell>
          <cell r="G2213">
            <v>12442</v>
          </cell>
        </row>
        <row r="2214">
          <cell r="C2214" t="str">
            <v>30052024-A-106527</v>
          </cell>
          <cell r="D2214">
            <v>1206182</v>
          </cell>
          <cell r="E2214" t="str">
            <v>Raw Material</v>
          </cell>
          <cell r="F2214" t="str">
            <v>-</v>
          </cell>
          <cell r="G2214">
            <v>12584</v>
          </cell>
        </row>
        <row r="2215">
          <cell r="C2215" t="str">
            <v>30052024-A-106533</v>
          </cell>
          <cell r="D2215">
            <v>1206182</v>
          </cell>
          <cell r="E2215" t="str">
            <v>Raw Material</v>
          </cell>
          <cell r="F2215" t="str">
            <v>-</v>
          </cell>
          <cell r="G2215">
            <v>12851</v>
          </cell>
        </row>
        <row r="2216">
          <cell r="C2216" t="str">
            <v>30052024-A-106540</v>
          </cell>
          <cell r="D2216">
            <v>1206182</v>
          </cell>
          <cell r="E2216" t="str">
            <v>Raw Material</v>
          </cell>
          <cell r="F2216" t="str">
            <v>-</v>
          </cell>
          <cell r="G2216">
            <v>13122</v>
          </cell>
        </row>
        <row r="2217">
          <cell r="C2217" t="str">
            <v>30052024-A-106543</v>
          </cell>
          <cell r="D2217">
            <v>1206182</v>
          </cell>
          <cell r="E2217" t="str">
            <v>Raw Material</v>
          </cell>
          <cell r="F2217" t="str">
            <v>-</v>
          </cell>
          <cell r="G2217">
            <v>12028</v>
          </cell>
        </row>
        <row r="2218">
          <cell r="C2218" t="str">
            <v>30052024-A-106549</v>
          </cell>
          <cell r="D2218">
            <v>1206182</v>
          </cell>
          <cell r="E2218" t="str">
            <v>Raw Material</v>
          </cell>
          <cell r="F2218" t="str">
            <v>-</v>
          </cell>
          <cell r="G2218">
            <v>12582</v>
          </cell>
        </row>
        <row r="2219">
          <cell r="C2219" t="str">
            <v>30052024-A-106554</v>
          </cell>
          <cell r="D2219">
            <v>1206182</v>
          </cell>
          <cell r="E2219" t="str">
            <v>Raw Material</v>
          </cell>
          <cell r="F2219" t="str">
            <v>-</v>
          </cell>
          <cell r="G2219">
            <v>12805</v>
          </cell>
        </row>
        <row r="2220">
          <cell r="C2220" t="str">
            <v>30052024-A-106567</v>
          </cell>
          <cell r="D2220">
            <v>1206182</v>
          </cell>
          <cell r="E2220" t="str">
            <v>Raw Material</v>
          </cell>
          <cell r="F2220" t="str">
            <v>-</v>
          </cell>
          <cell r="G2220">
            <v>12077</v>
          </cell>
        </row>
        <row r="2221">
          <cell r="C2221" t="str">
            <v>30052024-A-106576</v>
          </cell>
          <cell r="D2221">
            <v>1206182</v>
          </cell>
          <cell r="E2221" t="str">
            <v>Raw Material</v>
          </cell>
          <cell r="F2221" t="str">
            <v>-</v>
          </cell>
          <cell r="G2221">
            <v>12664</v>
          </cell>
        </row>
        <row r="2222">
          <cell r="C2222" t="str">
            <v>30052024-A-106583</v>
          </cell>
          <cell r="D2222">
            <v>1206182</v>
          </cell>
          <cell r="E2222" t="str">
            <v>Raw Material</v>
          </cell>
          <cell r="F2222" t="str">
            <v>-</v>
          </cell>
          <cell r="G2222">
            <v>12335</v>
          </cell>
        </row>
        <row r="2223">
          <cell r="C2223" t="str">
            <v>30052024-A-106590</v>
          </cell>
          <cell r="D2223">
            <v>1206182</v>
          </cell>
          <cell r="E2223" t="str">
            <v>Raw Material</v>
          </cell>
          <cell r="F2223" t="str">
            <v>-</v>
          </cell>
          <cell r="G2223">
            <v>12224</v>
          </cell>
        </row>
        <row r="2224">
          <cell r="C2224" t="str">
            <v>30052024-A-106595</v>
          </cell>
          <cell r="D2224">
            <v>1206182</v>
          </cell>
          <cell r="E2224" t="str">
            <v>Raw Material</v>
          </cell>
          <cell r="F2224" t="str">
            <v>-</v>
          </cell>
          <cell r="G2224">
            <v>12095</v>
          </cell>
        </row>
        <row r="2225">
          <cell r="C2225" t="str">
            <v>30052024-A-106602</v>
          </cell>
          <cell r="D2225">
            <v>1206182</v>
          </cell>
          <cell r="E2225" t="str">
            <v>Raw Material</v>
          </cell>
          <cell r="F2225" t="str">
            <v>-</v>
          </cell>
          <cell r="G2225">
            <v>13081</v>
          </cell>
        </row>
        <row r="2226">
          <cell r="C2226" t="str">
            <v>03062024-A-108361</v>
          </cell>
          <cell r="D2226">
            <v>1571428</v>
          </cell>
          <cell r="E2226" t="str">
            <v>Raw Material</v>
          </cell>
          <cell r="F2226" t="str">
            <v>Closed</v>
          </cell>
          <cell r="G2226">
            <v>2000</v>
          </cell>
        </row>
        <row r="2227">
          <cell r="C2227" t="str">
            <v>03062024-A-108373</v>
          </cell>
          <cell r="D2227">
            <v>1571428</v>
          </cell>
          <cell r="E2227" t="str">
            <v>Raw Material</v>
          </cell>
          <cell r="F2227" t="str">
            <v>Closed</v>
          </cell>
          <cell r="G2227">
            <v>90</v>
          </cell>
        </row>
        <row r="2228">
          <cell r="C2228" t="str">
            <v>03062024-A-108393</v>
          </cell>
          <cell r="D2228">
            <v>1571428</v>
          </cell>
          <cell r="E2228" t="str">
            <v>Raw Material</v>
          </cell>
          <cell r="F2228" t="str">
            <v>Closed</v>
          </cell>
          <cell r="G2228">
            <v>4840</v>
          </cell>
        </row>
        <row r="2229">
          <cell r="C2229" t="str">
            <v>03062024-A-108403</v>
          </cell>
          <cell r="D2229">
            <v>1571428</v>
          </cell>
          <cell r="E2229" t="str">
            <v>Raw Material</v>
          </cell>
          <cell r="F2229" t="str">
            <v>Closed</v>
          </cell>
          <cell r="G2229">
            <v>5060</v>
          </cell>
        </row>
        <row r="2230">
          <cell r="C2230" t="str">
            <v>03062024-A-108417</v>
          </cell>
          <cell r="D2230">
            <v>1571428</v>
          </cell>
          <cell r="E2230" t="str">
            <v>Raw Material</v>
          </cell>
          <cell r="F2230" t="str">
            <v>Closed</v>
          </cell>
          <cell r="G2230">
            <v>24</v>
          </cell>
        </row>
        <row r="2231">
          <cell r="C2231" t="str">
            <v>03062024-A-108446</v>
          </cell>
          <cell r="D2231">
            <v>1571428</v>
          </cell>
          <cell r="E2231" t="str">
            <v>Raw Material</v>
          </cell>
          <cell r="F2231" t="str">
            <v>Closed</v>
          </cell>
          <cell r="G2231">
            <v>220</v>
          </cell>
        </row>
        <row r="2232">
          <cell r="C2232" t="str">
            <v>03062024-A-108450</v>
          </cell>
          <cell r="D2232">
            <v>1571428</v>
          </cell>
          <cell r="E2232" t="str">
            <v>Raw Material</v>
          </cell>
          <cell r="F2232" t="str">
            <v>Closed</v>
          </cell>
          <cell r="G2232">
            <v>1980</v>
          </cell>
        </row>
        <row r="2233">
          <cell r="C2233" t="str">
            <v>03062024-A-108450</v>
          </cell>
          <cell r="D2233">
            <v>1571428</v>
          </cell>
          <cell r="E2233" t="str">
            <v>Raw Material</v>
          </cell>
          <cell r="F2233" t="str">
            <v>Closed</v>
          </cell>
          <cell r="G2233">
            <v>800</v>
          </cell>
        </row>
        <row r="2234">
          <cell r="C2234" t="str">
            <v>03062024-A-108450</v>
          </cell>
          <cell r="D2234">
            <v>1571428</v>
          </cell>
          <cell r="E2234" t="str">
            <v>Raw Material</v>
          </cell>
          <cell r="F2234" t="str">
            <v>Closed</v>
          </cell>
          <cell r="G2234">
            <v>360</v>
          </cell>
        </row>
        <row r="2235">
          <cell r="C2235" t="str">
            <v>03062024-A-108468</v>
          </cell>
          <cell r="D2235">
            <v>1571428</v>
          </cell>
          <cell r="E2235" t="str">
            <v>Raw Material</v>
          </cell>
          <cell r="F2235" t="str">
            <v>Closed</v>
          </cell>
          <cell r="G2235">
            <v>2200</v>
          </cell>
        </row>
        <row r="2236">
          <cell r="C2236" t="str">
            <v>03062024-A-108468</v>
          </cell>
          <cell r="D2236">
            <v>1571428</v>
          </cell>
          <cell r="E2236" t="str">
            <v>Raw Material</v>
          </cell>
          <cell r="F2236" t="str">
            <v>Closed</v>
          </cell>
          <cell r="G2236">
            <v>200</v>
          </cell>
        </row>
        <row r="2237">
          <cell r="C2237" t="str">
            <v>03062024-A-108468</v>
          </cell>
          <cell r="D2237">
            <v>1571428</v>
          </cell>
          <cell r="E2237" t="str">
            <v>Raw Material</v>
          </cell>
          <cell r="F2237" t="str">
            <v>Closed</v>
          </cell>
          <cell r="G2237">
            <v>200</v>
          </cell>
        </row>
        <row r="2238">
          <cell r="C2238" t="str">
            <v>03062024-A-108477</v>
          </cell>
          <cell r="D2238">
            <v>1571428</v>
          </cell>
          <cell r="E2238" t="str">
            <v>Raw Material</v>
          </cell>
          <cell r="F2238" t="str">
            <v>Closed</v>
          </cell>
          <cell r="G2238">
            <v>120</v>
          </cell>
        </row>
        <row r="2239">
          <cell r="C2239" t="str">
            <v>03062024-A-108477</v>
          </cell>
          <cell r="D2239">
            <v>1571428</v>
          </cell>
          <cell r="E2239" t="str">
            <v>Raw Material</v>
          </cell>
          <cell r="F2239" t="str">
            <v>Closed</v>
          </cell>
          <cell r="G2239">
            <v>150</v>
          </cell>
        </row>
        <row r="2240">
          <cell r="C2240" t="str">
            <v>03062024-A-108479</v>
          </cell>
          <cell r="D2240">
            <v>1571428</v>
          </cell>
          <cell r="E2240" t="str">
            <v>Raw Material</v>
          </cell>
          <cell r="F2240" t="str">
            <v>Closed</v>
          </cell>
          <cell r="G2240">
            <v>1000</v>
          </cell>
        </row>
        <row r="2241">
          <cell r="C2241" t="str">
            <v>03062024-A-108481</v>
          </cell>
          <cell r="D2241">
            <v>1571428</v>
          </cell>
          <cell r="E2241" t="str">
            <v>Raw Material</v>
          </cell>
          <cell r="F2241" t="str">
            <v>Closed</v>
          </cell>
          <cell r="G2241">
            <v>1760</v>
          </cell>
        </row>
        <row r="2242">
          <cell r="C2242" t="str">
            <v>03062024-A-108482</v>
          </cell>
          <cell r="D2242">
            <v>1571428</v>
          </cell>
          <cell r="E2242" t="str">
            <v>Raw Material</v>
          </cell>
          <cell r="F2242" t="str">
            <v>Closed</v>
          </cell>
          <cell r="G2242">
            <v>880</v>
          </cell>
        </row>
        <row r="2243">
          <cell r="C2243" t="str">
            <v>03062024-A-108482</v>
          </cell>
          <cell r="D2243">
            <v>1571428</v>
          </cell>
          <cell r="E2243" t="str">
            <v>Raw Material</v>
          </cell>
          <cell r="F2243" t="str">
            <v>Closed</v>
          </cell>
          <cell r="G2243">
            <v>1000</v>
          </cell>
        </row>
        <row r="2244">
          <cell r="C2244" t="str">
            <v>03062024-A-108483</v>
          </cell>
          <cell r="D2244">
            <v>1571428</v>
          </cell>
          <cell r="E2244" t="str">
            <v>Raw Material</v>
          </cell>
          <cell r="F2244" t="str">
            <v>Closed</v>
          </cell>
          <cell r="G2244">
            <v>1540</v>
          </cell>
        </row>
        <row r="2245">
          <cell r="C2245" t="str">
            <v>03062024-A-108485</v>
          </cell>
          <cell r="D2245">
            <v>1571428</v>
          </cell>
          <cell r="E2245" t="str">
            <v>Raw Material</v>
          </cell>
          <cell r="F2245" t="str">
            <v>Closed</v>
          </cell>
          <cell r="G2245">
            <v>220</v>
          </cell>
        </row>
        <row r="2246">
          <cell r="C2246" t="str">
            <v>03062024-A-108486</v>
          </cell>
          <cell r="D2246">
            <v>1571428</v>
          </cell>
          <cell r="E2246" t="str">
            <v>Raw Material</v>
          </cell>
          <cell r="F2246" t="str">
            <v>Closed</v>
          </cell>
          <cell r="G2246">
            <v>760</v>
          </cell>
        </row>
        <row r="2247">
          <cell r="C2247" t="str">
            <v>03062024-A-108486</v>
          </cell>
          <cell r="D2247">
            <v>1571428</v>
          </cell>
          <cell r="E2247" t="str">
            <v>Raw Material</v>
          </cell>
          <cell r="F2247" t="str">
            <v>Closed</v>
          </cell>
          <cell r="G2247">
            <v>90</v>
          </cell>
        </row>
        <row r="2248">
          <cell r="C2248" t="str">
            <v>03062024-A-108486</v>
          </cell>
          <cell r="D2248">
            <v>1571428</v>
          </cell>
          <cell r="E2248" t="str">
            <v>Raw Material</v>
          </cell>
          <cell r="F2248" t="str">
            <v>Closed</v>
          </cell>
          <cell r="G2248">
            <v>90</v>
          </cell>
        </row>
        <row r="2249">
          <cell r="C2249" t="str">
            <v>03062024-A-108487</v>
          </cell>
          <cell r="D2249">
            <v>1571428</v>
          </cell>
          <cell r="E2249" t="str">
            <v>Raw Material</v>
          </cell>
          <cell r="F2249" t="str">
            <v>Closed</v>
          </cell>
          <cell r="G2249">
            <v>16</v>
          </cell>
        </row>
        <row r="2250">
          <cell r="C2250" t="str">
            <v>03062024-A-108487</v>
          </cell>
          <cell r="D2250">
            <v>1571428</v>
          </cell>
          <cell r="E2250" t="str">
            <v>Raw Material</v>
          </cell>
          <cell r="F2250" t="str">
            <v>Closed</v>
          </cell>
          <cell r="G2250">
            <v>280</v>
          </cell>
        </row>
        <row r="2251">
          <cell r="C2251" t="str">
            <v>03062024-A-108489</v>
          </cell>
          <cell r="D2251">
            <v>1571428</v>
          </cell>
          <cell r="E2251" t="str">
            <v>Raw Material</v>
          </cell>
          <cell r="F2251" t="str">
            <v>Closed</v>
          </cell>
          <cell r="G2251">
            <v>5000</v>
          </cell>
        </row>
        <row r="2252">
          <cell r="C2252" t="str">
            <v>03062024-A-108490</v>
          </cell>
          <cell r="D2252">
            <v>1571428</v>
          </cell>
          <cell r="E2252" t="str">
            <v>Raw Material</v>
          </cell>
          <cell r="F2252" t="str">
            <v>Closed</v>
          </cell>
          <cell r="G2252">
            <v>5000</v>
          </cell>
        </row>
        <row r="2253">
          <cell r="C2253" t="str">
            <v>03062024-A-108491</v>
          </cell>
          <cell r="D2253">
            <v>1571428</v>
          </cell>
          <cell r="E2253" t="str">
            <v>Raw Material</v>
          </cell>
          <cell r="F2253" t="str">
            <v>Closed</v>
          </cell>
          <cell r="G2253">
            <v>650</v>
          </cell>
        </row>
        <row r="2254">
          <cell r="C2254" t="str">
            <v>03062024-A-108492</v>
          </cell>
          <cell r="D2254">
            <v>1571428</v>
          </cell>
          <cell r="E2254" t="str">
            <v>Raw Material</v>
          </cell>
          <cell r="F2254" t="str">
            <v>Closed</v>
          </cell>
          <cell r="G2254">
            <v>5000</v>
          </cell>
        </row>
        <row r="2255">
          <cell r="C2255" t="str">
            <v>04062024-A-108590</v>
          </cell>
          <cell r="D2255">
            <v>1571429</v>
          </cell>
          <cell r="E2255" t="str">
            <v>Raw Material</v>
          </cell>
          <cell r="F2255" t="str">
            <v>Closed</v>
          </cell>
          <cell r="G2255">
            <v>5000</v>
          </cell>
        </row>
        <row r="2256">
          <cell r="C2256" t="str">
            <v>04062024-A-108596</v>
          </cell>
          <cell r="D2256">
            <v>1571429</v>
          </cell>
          <cell r="E2256" t="str">
            <v>Raw Material</v>
          </cell>
          <cell r="F2256" t="str">
            <v>Closed</v>
          </cell>
          <cell r="G2256">
            <v>5000</v>
          </cell>
        </row>
        <row r="2257">
          <cell r="C2257" t="str">
            <v>04062024-A-108600</v>
          </cell>
          <cell r="D2257">
            <v>1571429</v>
          </cell>
          <cell r="E2257" t="str">
            <v>Raw Material</v>
          </cell>
          <cell r="F2257" t="str">
            <v>Closed</v>
          </cell>
          <cell r="G2257">
            <v>5000</v>
          </cell>
        </row>
        <row r="2258">
          <cell r="C2258" t="str">
            <v>04062024-A-108604</v>
          </cell>
          <cell r="D2258">
            <v>1571429</v>
          </cell>
          <cell r="E2258" t="str">
            <v>Raw Material</v>
          </cell>
          <cell r="F2258" t="str">
            <v>Closed</v>
          </cell>
          <cell r="G2258">
            <v>5000</v>
          </cell>
        </row>
        <row r="2259">
          <cell r="C2259" t="str">
            <v>04062024-A-108606</v>
          </cell>
          <cell r="D2259">
            <v>1571429</v>
          </cell>
          <cell r="E2259" t="str">
            <v>Raw Material</v>
          </cell>
          <cell r="F2259" t="str">
            <v>Closed</v>
          </cell>
          <cell r="G2259">
            <v>5000</v>
          </cell>
        </row>
        <row r="2260">
          <cell r="C2260" t="str">
            <v>04062024-A-108609</v>
          </cell>
          <cell r="D2260">
            <v>1571429</v>
          </cell>
          <cell r="E2260" t="str">
            <v>Raw Material</v>
          </cell>
          <cell r="F2260" t="str">
            <v>Closed</v>
          </cell>
          <cell r="G2260">
            <v>5000</v>
          </cell>
        </row>
        <row r="2261">
          <cell r="C2261" t="str">
            <v>04062024-A-108615</v>
          </cell>
          <cell r="D2261">
            <v>1571429</v>
          </cell>
          <cell r="E2261" t="str">
            <v>Raw Material</v>
          </cell>
          <cell r="F2261" t="str">
            <v>-</v>
          </cell>
          <cell r="G2261">
            <v>9690</v>
          </cell>
        </row>
        <row r="2262">
          <cell r="C2262" t="str">
            <v>04062024-A-108622</v>
          </cell>
          <cell r="D2262">
            <v>1571429</v>
          </cell>
          <cell r="E2262" t="str">
            <v>Raw Material</v>
          </cell>
          <cell r="F2262" t="str">
            <v>-</v>
          </cell>
          <cell r="G2262">
            <v>29080</v>
          </cell>
        </row>
        <row r="2263">
          <cell r="C2263" t="str">
            <v>04062024-A-108631</v>
          </cell>
          <cell r="D2263">
            <v>1571429</v>
          </cell>
          <cell r="E2263" t="str">
            <v>Raw Material</v>
          </cell>
          <cell r="F2263" t="str">
            <v>-</v>
          </cell>
          <cell r="G2263">
            <v>29310</v>
          </cell>
        </row>
        <row r="2264">
          <cell r="C2264" t="str">
            <v>04062024-A-108635</v>
          </cell>
          <cell r="D2264">
            <v>1571429</v>
          </cell>
          <cell r="E2264" t="str">
            <v>Raw Material</v>
          </cell>
          <cell r="F2264" t="str">
            <v>-</v>
          </cell>
          <cell r="G2264">
            <v>29030</v>
          </cell>
        </row>
        <row r="2265">
          <cell r="C2265" t="str">
            <v>04062024-A-108638</v>
          </cell>
          <cell r="D2265">
            <v>1571429</v>
          </cell>
          <cell r="E2265" t="str">
            <v>Raw Material</v>
          </cell>
          <cell r="F2265" t="str">
            <v>-</v>
          </cell>
          <cell r="G2265">
            <v>29110</v>
          </cell>
        </row>
        <row r="2266">
          <cell r="C2266" t="str">
            <v>04062024-A-108644</v>
          </cell>
          <cell r="D2266">
            <v>1571429</v>
          </cell>
          <cell r="E2266" t="str">
            <v>Raw Material</v>
          </cell>
          <cell r="F2266" t="str">
            <v>-</v>
          </cell>
          <cell r="G2266">
            <v>29420</v>
          </cell>
        </row>
        <row r="2267">
          <cell r="C2267" t="str">
            <v>04062024-A-108650</v>
          </cell>
          <cell r="D2267">
            <v>1571429</v>
          </cell>
          <cell r="E2267" t="str">
            <v>Raw Material</v>
          </cell>
          <cell r="F2267" t="str">
            <v>-</v>
          </cell>
          <cell r="G2267">
            <v>29060</v>
          </cell>
        </row>
        <row r="2268">
          <cell r="C2268" t="str">
            <v>04062024-A-108654</v>
          </cell>
          <cell r="D2268">
            <v>1571429</v>
          </cell>
          <cell r="E2268" t="str">
            <v>Raw Material</v>
          </cell>
          <cell r="F2268" t="str">
            <v>-</v>
          </cell>
          <cell r="G2268">
            <v>29460</v>
          </cell>
        </row>
        <row r="2269">
          <cell r="C2269" t="str">
            <v>04062024-A-108664</v>
          </cell>
          <cell r="D2269">
            <v>1571429</v>
          </cell>
          <cell r="E2269" t="str">
            <v>Raw Material</v>
          </cell>
          <cell r="F2269" t="str">
            <v>-</v>
          </cell>
          <cell r="G2269">
            <v>29260</v>
          </cell>
        </row>
        <row r="2270">
          <cell r="C2270" t="str">
            <v>04062024-A-108671</v>
          </cell>
          <cell r="D2270">
            <v>1571429</v>
          </cell>
          <cell r="E2270" t="str">
            <v>Raw Material</v>
          </cell>
          <cell r="F2270" t="str">
            <v>-</v>
          </cell>
          <cell r="G2270">
            <v>29020</v>
          </cell>
        </row>
        <row r="2271">
          <cell r="C2271" t="str">
            <v>04062024-A-108676</v>
          </cell>
          <cell r="D2271">
            <v>1571429</v>
          </cell>
          <cell r="E2271" t="str">
            <v>Raw Material</v>
          </cell>
          <cell r="F2271" t="str">
            <v>-</v>
          </cell>
          <cell r="G2271">
            <v>29320</v>
          </cell>
        </row>
        <row r="2272">
          <cell r="C2272" t="str">
            <v>04062024-A-108681</v>
          </cell>
          <cell r="D2272">
            <v>1571429</v>
          </cell>
          <cell r="E2272" t="str">
            <v>Raw Material</v>
          </cell>
          <cell r="F2272" t="str">
            <v>-</v>
          </cell>
          <cell r="G2272">
            <v>29352</v>
          </cell>
        </row>
        <row r="2273">
          <cell r="C2273" t="str">
            <v>04062024-A-108688</v>
          </cell>
          <cell r="D2273">
            <v>1571429</v>
          </cell>
          <cell r="E2273" t="str">
            <v>Raw Material</v>
          </cell>
          <cell r="F2273" t="str">
            <v>-</v>
          </cell>
          <cell r="G2273">
            <v>29690</v>
          </cell>
        </row>
        <row r="2274">
          <cell r="C2274" t="str">
            <v>04062024-A-108709</v>
          </cell>
          <cell r="D2274">
            <v>1571429</v>
          </cell>
          <cell r="E2274" t="str">
            <v>Raw Material</v>
          </cell>
          <cell r="F2274" t="str">
            <v>Closed</v>
          </cell>
          <cell r="G2274">
            <v>420</v>
          </cell>
        </row>
        <row r="2275">
          <cell r="C2275" t="str">
            <v>04062024-A-108736</v>
          </cell>
          <cell r="D2275">
            <v>1571429</v>
          </cell>
          <cell r="E2275" t="str">
            <v>Raw Material</v>
          </cell>
          <cell r="F2275" t="str">
            <v>Closed</v>
          </cell>
          <cell r="G2275">
            <v>480</v>
          </cell>
        </row>
        <row r="2276">
          <cell r="C2276" t="str">
            <v>04062024-A-108741</v>
          </cell>
          <cell r="D2276">
            <v>1571429</v>
          </cell>
          <cell r="E2276" t="str">
            <v>Raw Material</v>
          </cell>
          <cell r="F2276" t="str">
            <v>Closed</v>
          </cell>
          <cell r="G2276">
            <v>990</v>
          </cell>
        </row>
        <row r="2277">
          <cell r="C2277" t="str">
            <v>04062024-A-108748</v>
          </cell>
          <cell r="D2277">
            <v>1571429</v>
          </cell>
          <cell r="E2277" t="str">
            <v>Raw Material</v>
          </cell>
          <cell r="F2277" t="str">
            <v>Closed</v>
          </cell>
          <cell r="G2277">
            <v>200</v>
          </cell>
        </row>
        <row r="2278">
          <cell r="C2278" t="str">
            <v>07062024-A-111142</v>
          </cell>
          <cell r="D2278">
            <v>1571432</v>
          </cell>
          <cell r="E2278" t="str">
            <v>Raw Material</v>
          </cell>
          <cell r="F2278" t="str">
            <v>-</v>
          </cell>
          <cell r="G2278">
            <v>12821</v>
          </cell>
        </row>
        <row r="2279">
          <cell r="C2279" t="str">
            <v>07062024-A-111148</v>
          </cell>
          <cell r="D2279">
            <v>1571432</v>
          </cell>
          <cell r="E2279" t="str">
            <v>Raw Material</v>
          </cell>
          <cell r="F2279" t="str">
            <v>-</v>
          </cell>
          <cell r="G2279">
            <v>12594</v>
          </cell>
        </row>
        <row r="2280">
          <cell r="C2280" t="str">
            <v>07062024-A-111158</v>
          </cell>
          <cell r="D2280">
            <v>1571432</v>
          </cell>
          <cell r="E2280" t="str">
            <v>Raw Material</v>
          </cell>
          <cell r="F2280" t="str">
            <v>Closed</v>
          </cell>
          <cell r="G2280">
            <v>13064</v>
          </cell>
        </row>
        <row r="2281">
          <cell r="C2281" t="str">
            <v>07062024-A-111163</v>
          </cell>
          <cell r="D2281">
            <v>1571432</v>
          </cell>
          <cell r="E2281" t="str">
            <v>Raw Material</v>
          </cell>
          <cell r="F2281" t="str">
            <v>Closed</v>
          </cell>
          <cell r="G2281">
            <v>8528</v>
          </cell>
        </row>
        <row r="2282">
          <cell r="C2282" t="str">
            <v>13062024-A-115010</v>
          </cell>
          <cell r="D2282">
            <v>1571438</v>
          </cell>
          <cell r="E2282" t="str">
            <v>Raw Material</v>
          </cell>
          <cell r="F2282" t="str">
            <v>-</v>
          </cell>
          <cell r="G2282">
            <v>29000</v>
          </cell>
        </row>
        <row r="2283">
          <cell r="C2283" t="str">
            <v>13062024-A-115058</v>
          </cell>
          <cell r="D2283">
            <v>1571438</v>
          </cell>
          <cell r="E2283" t="str">
            <v>Raw Material</v>
          </cell>
          <cell r="F2283" t="str">
            <v>-</v>
          </cell>
          <cell r="G2283">
            <v>29020</v>
          </cell>
        </row>
        <row r="2284">
          <cell r="C2284" t="str">
            <v>13062024-A-115074</v>
          </cell>
          <cell r="D2284">
            <v>1571438</v>
          </cell>
          <cell r="E2284" t="str">
            <v>Raw Material</v>
          </cell>
          <cell r="F2284" t="str">
            <v>-</v>
          </cell>
          <cell r="G2284">
            <v>29312</v>
          </cell>
        </row>
        <row r="2285">
          <cell r="C2285" t="str">
            <v>13062024-A-115082</v>
          </cell>
          <cell r="D2285">
            <v>1571438</v>
          </cell>
          <cell r="E2285" t="str">
            <v>Raw Material</v>
          </cell>
          <cell r="F2285" t="str">
            <v>-</v>
          </cell>
          <cell r="G2285">
            <v>29440</v>
          </cell>
        </row>
        <row r="2286">
          <cell r="C2286" t="str">
            <v>13062024-A-115091</v>
          </cell>
          <cell r="D2286">
            <v>1571438</v>
          </cell>
          <cell r="E2286" t="str">
            <v>Raw Material</v>
          </cell>
          <cell r="F2286" t="str">
            <v>Closed</v>
          </cell>
          <cell r="G2286">
            <v>500</v>
          </cell>
        </row>
        <row r="2287">
          <cell r="C2287" t="str">
            <v>13062024-A-115099</v>
          </cell>
          <cell r="D2287">
            <v>1571438</v>
          </cell>
          <cell r="E2287" t="str">
            <v>Raw Material</v>
          </cell>
          <cell r="F2287" t="str">
            <v>Closed</v>
          </cell>
          <cell r="G2287">
            <v>500</v>
          </cell>
        </row>
        <row r="2288">
          <cell r="C2288" t="str">
            <v>13062024-A-115106</v>
          </cell>
          <cell r="D2288">
            <v>1571438</v>
          </cell>
          <cell r="E2288" t="str">
            <v>Raw Material</v>
          </cell>
          <cell r="F2288" t="str">
            <v>Closed</v>
          </cell>
          <cell r="G2288">
            <v>1000</v>
          </cell>
        </row>
        <row r="2289">
          <cell r="C2289" t="str">
            <v>13062024-A-115110</v>
          </cell>
          <cell r="D2289">
            <v>1571438</v>
          </cell>
          <cell r="E2289" t="str">
            <v>Raw Material</v>
          </cell>
          <cell r="F2289" t="str">
            <v>Running</v>
          </cell>
          <cell r="G2289">
            <v>440</v>
          </cell>
        </row>
        <row r="2290">
          <cell r="C2290" t="str">
            <v>13062024-A-115110</v>
          </cell>
          <cell r="D2290">
            <v>1571438</v>
          </cell>
          <cell r="E2290" t="str">
            <v>Raw Material</v>
          </cell>
          <cell r="F2290" t="str">
            <v>Running</v>
          </cell>
          <cell r="G2290">
            <v>400</v>
          </cell>
        </row>
        <row r="2291">
          <cell r="C2291" t="str">
            <v>13062024-A-115125</v>
          </cell>
          <cell r="D2291">
            <v>1571438</v>
          </cell>
          <cell r="E2291" t="str">
            <v>Raw Material</v>
          </cell>
          <cell r="F2291" t="str">
            <v>Closed</v>
          </cell>
          <cell r="G2291">
            <v>100</v>
          </cell>
        </row>
        <row r="2292">
          <cell r="C2292" t="str">
            <v>13062024-A-115133</v>
          </cell>
          <cell r="D2292">
            <v>1571438</v>
          </cell>
          <cell r="E2292" t="str">
            <v>Raw Material</v>
          </cell>
          <cell r="F2292" t="str">
            <v>Closed</v>
          </cell>
          <cell r="G2292">
            <v>1980</v>
          </cell>
        </row>
        <row r="2293">
          <cell r="C2293" t="str">
            <v>13062024-A-115133</v>
          </cell>
          <cell r="D2293">
            <v>1571438</v>
          </cell>
          <cell r="E2293" t="str">
            <v>Raw Material</v>
          </cell>
          <cell r="F2293" t="str">
            <v>Closed</v>
          </cell>
          <cell r="G2293">
            <v>500</v>
          </cell>
        </row>
        <row r="2294">
          <cell r="C2294" t="str">
            <v>13062024-A-115144</v>
          </cell>
          <cell r="D2294">
            <v>1571438</v>
          </cell>
          <cell r="E2294" t="str">
            <v>Raw Material</v>
          </cell>
          <cell r="F2294" t="str">
            <v>Closed</v>
          </cell>
          <cell r="G2294">
            <v>200</v>
          </cell>
        </row>
        <row r="2295">
          <cell r="C2295" t="str">
            <v>13062024-A-115144</v>
          </cell>
          <cell r="D2295">
            <v>1571438</v>
          </cell>
          <cell r="E2295" t="str">
            <v>Raw Material</v>
          </cell>
          <cell r="F2295" t="str">
            <v>Closed</v>
          </cell>
          <cell r="G2295">
            <v>200</v>
          </cell>
        </row>
        <row r="2296">
          <cell r="C2296" t="str">
            <v>13062024-A-115152</v>
          </cell>
          <cell r="D2296">
            <v>1571438</v>
          </cell>
          <cell r="E2296" t="str">
            <v>Raw Material</v>
          </cell>
          <cell r="F2296" t="str">
            <v>Closed</v>
          </cell>
          <cell r="G2296">
            <v>90</v>
          </cell>
        </row>
        <row r="2297">
          <cell r="C2297" t="str">
            <v>13062024-A-115164</v>
          </cell>
          <cell r="D2297">
            <v>1571438</v>
          </cell>
          <cell r="E2297" t="str">
            <v>Raw Material</v>
          </cell>
          <cell r="F2297" t="str">
            <v>Closed</v>
          </cell>
          <cell r="G2297">
            <v>1200</v>
          </cell>
        </row>
        <row r="2298">
          <cell r="C2298" t="str">
            <v>13062024-A-115200</v>
          </cell>
          <cell r="D2298">
            <v>1571438</v>
          </cell>
          <cell r="E2298" t="str">
            <v>Raw Material</v>
          </cell>
          <cell r="F2298" t="str">
            <v>Closed</v>
          </cell>
          <cell r="G2298">
            <v>150</v>
          </cell>
        </row>
        <row r="2299">
          <cell r="C2299" t="str">
            <v>13062024-A-115204</v>
          </cell>
          <cell r="D2299">
            <v>1571438</v>
          </cell>
          <cell r="E2299" t="str">
            <v>Raw Material</v>
          </cell>
          <cell r="F2299" t="str">
            <v>Closed</v>
          </cell>
          <cell r="G2299">
            <v>3000</v>
          </cell>
        </row>
        <row r="2300">
          <cell r="C2300" t="str">
            <v>13062024-A-115207</v>
          </cell>
          <cell r="D2300">
            <v>1571438</v>
          </cell>
          <cell r="E2300" t="str">
            <v>Raw Material</v>
          </cell>
          <cell r="F2300" t="str">
            <v>Closed</v>
          </cell>
          <cell r="G2300">
            <v>2000</v>
          </cell>
        </row>
        <row r="2301">
          <cell r="C2301" t="str">
            <v>13062024-A-115208</v>
          </cell>
          <cell r="D2301">
            <v>1571438</v>
          </cell>
          <cell r="E2301" t="str">
            <v>Raw Material</v>
          </cell>
          <cell r="F2301" t="str">
            <v>Closed</v>
          </cell>
          <cell r="G2301">
            <v>3000</v>
          </cell>
        </row>
        <row r="2302">
          <cell r="C2302" t="str">
            <v>13062024-A-115210</v>
          </cell>
          <cell r="D2302">
            <v>1571438</v>
          </cell>
          <cell r="E2302" t="str">
            <v>Raw Material</v>
          </cell>
          <cell r="F2302" t="str">
            <v>Closed</v>
          </cell>
          <cell r="G2302">
            <v>5000</v>
          </cell>
        </row>
        <row r="2303">
          <cell r="C2303" t="str">
            <v>13062024-A-115212</v>
          </cell>
          <cell r="D2303">
            <v>1571438</v>
          </cell>
          <cell r="E2303" t="str">
            <v>Raw Material</v>
          </cell>
          <cell r="F2303" t="str">
            <v>Closed</v>
          </cell>
          <cell r="G2303">
            <v>2000</v>
          </cell>
        </row>
        <row r="2304">
          <cell r="C2304" t="str">
            <v>13062024-A-115216</v>
          </cell>
          <cell r="D2304">
            <v>1571438</v>
          </cell>
          <cell r="E2304" t="str">
            <v>Raw Material</v>
          </cell>
          <cell r="F2304" t="str">
            <v>Closed</v>
          </cell>
          <cell r="G2304">
            <v>2400</v>
          </cell>
        </row>
        <row r="2305">
          <cell r="C2305" t="str">
            <v>13062024-A-115219</v>
          </cell>
          <cell r="D2305">
            <v>1571438</v>
          </cell>
          <cell r="E2305" t="str">
            <v>Raw Material</v>
          </cell>
          <cell r="F2305" t="str">
            <v>Closed</v>
          </cell>
          <cell r="G2305">
            <v>720</v>
          </cell>
        </row>
        <row r="2306">
          <cell r="C2306" t="str">
            <v>13062024-A-115222</v>
          </cell>
          <cell r="D2306">
            <v>1571438</v>
          </cell>
          <cell r="E2306" t="str">
            <v>Raw Material</v>
          </cell>
          <cell r="F2306" t="str">
            <v>Closed</v>
          </cell>
          <cell r="G2306">
            <v>1050</v>
          </cell>
        </row>
        <row r="2307">
          <cell r="C2307" t="str">
            <v>13062024-A-115226</v>
          </cell>
          <cell r="D2307">
            <v>1571438</v>
          </cell>
          <cell r="E2307" t="str">
            <v>Raw Material</v>
          </cell>
          <cell r="F2307" t="str">
            <v>Closed</v>
          </cell>
          <cell r="G2307">
            <v>3600</v>
          </cell>
        </row>
        <row r="2308">
          <cell r="C2308" t="str">
            <v>13062024-A-115229</v>
          </cell>
          <cell r="D2308">
            <v>1571438</v>
          </cell>
          <cell r="E2308" t="str">
            <v>Raw Material</v>
          </cell>
          <cell r="F2308" t="str">
            <v>Closed</v>
          </cell>
          <cell r="G2308">
            <v>720</v>
          </cell>
        </row>
        <row r="2309">
          <cell r="C2309" t="str">
            <v>13062024-A-115231</v>
          </cell>
          <cell r="D2309">
            <v>1571438</v>
          </cell>
          <cell r="E2309" t="str">
            <v>Raw Material</v>
          </cell>
          <cell r="F2309" t="str">
            <v>Closed</v>
          </cell>
          <cell r="G2309">
            <v>720</v>
          </cell>
        </row>
        <row r="2310">
          <cell r="C2310" t="str">
            <v>13062024-A-115234</v>
          </cell>
          <cell r="D2310">
            <v>1571438</v>
          </cell>
          <cell r="E2310" t="str">
            <v>Raw Material</v>
          </cell>
          <cell r="F2310" t="str">
            <v>Closed</v>
          </cell>
          <cell r="G2310">
            <v>2070</v>
          </cell>
        </row>
        <row r="2311">
          <cell r="C2311" t="str">
            <v>13062024-A-115237</v>
          </cell>
          <cell r="D2311">
            <v>1571438</v>
          </cell>
          <cell r="E2311" t="str">
            <v>Raw Material</v>
          </cell>
          <cell r="F2311" t="str">
            <v>Closed</v>
          </cell>
          <cell r="G2311">
            <v>4590</v>
          </cell>
        </row>
        <row r="2312">
          <cell r="C2312" t="str">
            <v>13062024-A-115241</v>
          </cell>
          <cell r="D2312">
            <v>1571438</v>
          </cell>
          <cell r="E2312" t="str">
            <v>Raw Material</v>
          </cell>
          <cell r="F2312" t="str">
            <v>-</v>
          </cell>
          <cell r="G2312">
            <v>500</v>
          </cell>
        </row>
        <row r="2313">
          <cell r="C2313" t="str">
            <v>13062024-A-115244</v>
          </cell>
          <cell r="D2313">
            <v>1571438</v>
          </cell>
          <cell r="E2313" t="str">
            <v>Raw Material</v>
          </cell>
          <cell r="F2313" t="str">
            <v>Closed</v>
          </cell>
          <cell r="G2313">
            <v>600</v>
          </cell>
        </row>
        <row r="2314">
          <cell r="C2314" t="str">
            <v>13062024-A-115248</v>
          </cell>
          <cell r="D2314">
            <v>1571438</v>
          </cell>
          <cell r="E2314" t="str">
            <v>Raw Material</v>
          </cell>
          <cell r="F2314" t="str">
            <v>Closed</v>
          </cell>
          <cell r="G2314">
            <v>240</v>
          </cell>
        </row>
        <row r="2315">
          <cell r="C2315" t="str">
            <v>14062024-A-115442</v>
          </cell>
          <cell r="D2315">
            <v>1571439</v>
          </cell>
          <cell r="E2315" t="str">
            <v>Raw Material</v>
          </cell>
          <cell r="F2315" t="str">
            <v>Closed</v>
          </cell>
          <cell r="G2315">
            <v>210</v>
          </cell>
        </row>
        <row r="2316">
          <cell r="C2316" t="str">
            <v>14062024-A-115448</v>
          </cell>
          <cell r="D2316">
            <v>1571439</v>
          </cell>
          <cell r="E2316" t="str">
            <v>Raw Material</v>
          </cell>
          <cell r="F2316" t="str">
            <v>Closed</v>
          </cell>
          <cell r="G2316">
            <v>450</v>
          </cell>
        </row>
        <row r="2317">
          <cell r="C2317" t="str">
            <v>14062024-A-115459</v>
          </cell>
          <cell r="D2317">
            <v>1571439</v>
          </cell>
          <cell r="E2317" t="str">
            <v>Raw Material</v>
          </cell>
          <cell r="F2317" t="str">
            <v>Closed</v>
          </cell>
          <cell r="G2317">
            <v>200</v>
          </cell>
        </row>
        <row r="2318">
          <cell r="C2318" t="str">
            <v>14062024-A-115471</v>
          </cell>
          <cell r="D2318">
            <v>1571439</v>
          </cell>
          <cell r="E2318" t="str">
            <v>Raw Material</v>
          </cell>
          <cell r="F2318" t="str">
            <v>Closed</v>
          </cell>
          <cell r="G2318">
            <v>270</v>
          </cell>
        </row>
        <row r="2319">
          <cell r="C2319" t="str">
            <v>14062024-A-115480</v>
          </cell>
          <cell r="D2319">
            <v>1571439</v>
          </cell>
          <cell r="E2319" t="str">
            <v>Raw Material</v>
          </cell>
          <cell r="F2319" t="str">
            <v>Closed</v>
          </cell>
          <cell r="G2319">
            <v>900</v>
          </cell>
        </row>
        <row r="2320">
          <cell r="C2320" t="str">
            <v>14062024-A-115491</v>
          </cell>
          <cell r="D2320">
            <v>1571439</v>
          </cell>
          <cell r="E2320" t="str">
            <v>Raw Material</v>
          </cell>
          <cell r="F2320" t="str">
            <v>Closed</v>
          </cell>
          <cell r="G2320">
            <v>600</v>
          </cell>
        </row>
        <row r="2321">
          <cell r="C2321" t="str">
            <v>14062024-A-115502</v>
          </cell>
          <cell r="D2321">
            <v>1571439</v>
          </cell>
          <cell r="E2321" t="str">
            <v>Raw Material</v>
          </cell>
          <cell r="F2321" t="str">
            <v>Closed</v>
          </cell>
          <cell r="G2321">
            <v>480</v>
          </cell>
        </row>
        <row r="2322">
          <cell r="C2322" t="str">
            <v>14062024-A-115517</v>
          </cell>
          <cell r="D2322">
            <v>1571439</v>
          </cell>
          <cell r="E2322" t="str">
            <v>Raw Material</v>
          </cell>
          <cell r="F2322" t="str">
            <v>Closed</v>
          </cell>
          <cell r="G2322">
            <v>5000</v>
          </cell>
        </row>
        <row r="2323">
          <cell r="C2323" t="str">
            <v>14062024-A-115530</v>
          </cell>
          <cell r="D2323">
            <v>1571439</v>
          </cell>
          <cell r="E2323" t="str">
            <v>Raw Material</v>
          </cell>
          <cell r="F2323" t="str">
            <v>Running</v>
          </cell>
          <cell r="G2323">
            <v>100</v>
          </cell>
        </row>
        <row r="2324">
          <cell r="C2324" t="str">
            <v>14062024-A-115536</v>
          </cell>
          <cell r="D2324">
            <v>1571439</v>
          </cell>
          <cell r="E2324" t="str">
            <v>Raw Material</v>
          </cell>
          <cell r="F2324" t="str">
            <v>Closed</v>
          </cell>
          <cell r="G2324">
            <v>480</v>
          </cell>
        </row>
        <row r="2325">
          <cell r="C2325" t="str">
            <v>14062024-A-115541</v>
          </cell>
          <cell r="D2325">
            <v>1571439</v>
          </cell>
          <cell r="E2325" t="str">
            <v>Raw Material</v>
          </cell>
          <cell r="F2325" t="str">
            <v>Closed</v>
          </cell>
          <cell r="G2325">
            <v>1560</v>
          </cell>
        </row>
        <row r="2326">
          <cell r="C2326" t="str">
            <v>14062024-A-115549</v>
          </cell>
          <cell r="D2326">
            <v>1571439</v>
          </cell>
          <cell r="E2326" t="str">
            <v>Raw Material</v>
          </cell>
          <cell r="F2326" t="str">
            <v>Closed</v>
          </cell>
          <cell r="G2326">
            <v>1440</v>
          </cell>
        </row>
        <row r="2327">
          <cell r="C2327" t="str">
            <v>14062024-A-115558</v>
          </cell>
          <cell r="D2327">
            <v>1571439</v>
          </cell>
          <cell r="E2327" t="str">
            <v>Raw Material</v>
          </cell>
          <cell r="F2327" t="str">
            <v>Running</v>
          </cell>
          <cell r="G2327">
            <v>30000</v>
          </cell>
        </row>
        <row r="2328">
          <cell r="C2328" t="str">
            <v>25062024-A-118686</v>
          </cell>
          <cell r="D2328">
            <v>1571450</v>
          </cell>
          <cell r="E2328" t="str">
            <v>Raw Material</v>
          </cell>
          <cell r="F2328" t="str">
            <v>-</v>
          </cell>
          <cell r="G2328">
            <v>5870</v>
          </cell>
        </row>
        <row r="2329">
          <cell r="C2329" t="str">
            <v>25062024-A-118710</v>
          </cell>
          <cell r="D2329">
            <v>1571450</v>
          </cell>
          <cell r="E2329" t="str">
            <v>Raw Material</v>
          </cell>
          <cell r="F2329" t="str">
            <v>-</v>
          </cell>
          <cell r="G2329">
            <v>7671</v>
          </cell>
        </row>
        <row r="2330">
          <cell r="C2330" t="str">
            <v>25062024-A-118717</v>
          </cell>
          <cell r="D2330">
            <v>1571450</v>
          </cell>
          <cell r="E2330" t="str">
            <v>Raw Material</v>
          </cell>
          <cell r="F2330" t="str">
            <v>-</v>
          </cell>
          <cell r="G2330">
            <v>9823</v>
          </cell>
        </row>
        <row r="2331">
          <cell r="C2331" t="str">
            <v>25062024-A-118726</v>
          </cell>
          <cell r="D2331">
            <v>1571450</v>
          </cell>
          <cell r="E2331" t="str">
            <v>Raw Material</v>
          </cell>
          <cell r="F2331" t="str">
            <v>Running</v>
          </cell>
          <cell r="G2331">
            <v>13822</v>
          </cell>
        </row>
        <row r="2332">
          <cell r="C2332" t="str">
            <v>25062024-A-118728</v>
          </cell>
          <cell r="D2332">
            <v>1571450</v>
          </cell>
          <cell r="E2332" t="str">
            <v>Raw Material</v>
          </cell>
          <cell r="F2332" t="str">
            <v>-</v>
          </cell>
          <cell r="G2332">
            <v>14057</v>
          </cell>
        </row>
        <row r="2333">
          <cell r="C2333" t="str">
            <v>26062024-A-119544</v>
          </cell>
          <cell r="D2333">
            <v>1571451</v>
          </cell>
          <cell r="E2333" t="str">
            <v>Raw Material</v>
          </cell>
          <cell r="F2333" t="str">
            <v>Closed</v>
          </cell>
          <cell r="G2333">
            <v>2233</v>
          </cell>
        </row>
        <row r="2334">
          <cell r="C2334" t="str">
            <v>26062024-A-119546</v>
          </cell>
          <cell r="D2334">
            <v>1571451</v>
          </cell>
          <cell r="E2334" t="str">
            <v>Raw Material</v>
          </cell>
          <cell r="F2334" t="str">
            <v>Closed</v>
          </cell>
          <cell r="G2334">
            <v>5988</v>
          </cell>
        </row>
        <row r="2335">
          <cell r="C2335" t="str">
            <v>26062024-A-119549</v>
          </cell>
          <cell r="D2335">
            <v>1571451</v>
          </cell>
          <cell r="E2335" t="str">
            <v>Raw Material</v>
          </cell>
          <cell r="F2335" t="str">
            <v>Closed</v>
          </cell>
          <cell r="G2335">
            <v>8119</v>
          </cell>
        </row>
        <row r="2336">
          <cell r="C2336" t="str">
            <v>03072024-A-123382</v>
          </cell>
          <cell r="D2336">
            <v>45476</v>
          </cell>
          <cell r="E2336" t="str">
            <v>Raw Material</v>
          </cell>
          <cell r="F2336" t="str">
            <v>Closed</v>
          </cell>
          <cell r="G2336">
            <v>500</v>
          </cell>
        </row>
        <row r="2337">
          <cell r="C2337" t="str">
            <v>03072024-A-123394</v>
          </cell>
          <cell r="D2337">
            <v>45476</v>
          </cell>
          <cell r="E2337" t="str">
            <v>Raw Material</v>
          </cell>
          <cell r="F2337" t="str">
            <v>Closed</v>
          </cell>
          <cell r="G2337">
            <v>1980</v>
          </cell>
        </row>
        <row r="2338">
          <cell r="C2338" t="str">
            <v>03072024-A-123403</v>
          </cell>
          <cell r="D2338">
            <v>45476</v>
          </cell>
          <cell r="E2338" t="str">
            <v>Raw Material</v>
          </cell>
          <cell r="F2338" t="str">
            <v>Closed</v>
          </cell>
          <cell r="G2338">
            <v>1980</v>
          </cell>
        </row>
        <row r="2339">
          <cell r="C2339" t="str">
            <v>03072024-A-123409</v>
          </cell>
          <cell r="D2339">
            <v>45476</v>
          </cell>
          <cell r="E2339" t="str">
            <v>Raw Material</v>
          </cell>
          <cell r="F2339" t="str">
            <v>Closed</v>
          </cell>
          <cell r="G2339">
            <v>900</v>
          </cell>
        </row>
        <row r="2340">
          <cell r="C2340" t="str">
            <v>03072024-A-123416</v>
          </cell>
          <cell r="D2340">
            <v>45476</v>
          </cell>
          <cell r="E2340" t="str">
            <v>Raw Material</v>
          </cell>
          <cell r="F2340" t="str">
            <v>Closed</v>
          </cell>
          <cell r="G2340">
            <v>900</v>
          </cell>
        </row>
        <row r="2341">
          <cell r="C2341" t="str">
            <v>03072024-A-123422</v>
          </cell>
          <cell r="D2341">
            <v>45476</v>
          </cell>
          <cell r="E2341" t="str">
            <v>Raw Material</v>
          </cell>
          <cell r="F2341" t="str">
            <v>Closed</v>
          </cell>
          <cell r="G2341">
            <v>2900</v>
          </cell>
        </row>
        <row r="2342">
          <cell r="C2342" t="str">
            <v>03072024-A-123429</v>
          </cell>
          <cell r="D2342">
            <v>45476</v>
          </cell>
          <cell r="E2342" t="str">
            <v>Raw Material</v>
          </cell>
          <cell r="F2342" t="str">
            <v>Closed</v>
          </cell>
          <cell r="G2342">
            <v>1760</v>
          </cell>
        </row>
        <row r="2343">
          <cell r="C2343" t="str">
            <v>03072024-A-123437</v>
          </cell>
          <cell r="D2343">
            <v>45476</v>
          </cell>
          <cell r="E2343" t="str">
            <v>Raw Material</v>
          </cell>
          <cell r="F2343" t="str">
            <v>Closed</v>
          </cell>
          <cell r="G2343">
            <v>220</v>
          </cell>
        </row>
        <row r="2344">
          <cell r="C2344" t="str">
            <v>03072024-A-123445</v>
          </cell>
          <cell r="D2344">
            <v>45476</v>
          </cell>
          <cell r="E2344" t="str">
            <v>Raw Material</v>
          </cell>
          <cell r="F2344" t="str">
            <v>Closed</v>
          </cell>
          <cell r="G2344">
            <v>200</v>
          </cell>
        </row>
        <row r="2345">
          <cell r="C2345" t="str">
            <v>03072024-A-123456</v>
          </cell>
          <cell r="D2345">
            <v>45476</v>
          </cell>
          <cell r="E2345" t="str">
            <v>Raw Material</v>
          </cell>
          <cell r="F2345" t="str">
            <v>Closed</v>
          </cell>
          <cell r="G2345">
            <v>1000</v>
          </cell>
        </row>
        <row r="2346">
          <cell r="C2346" t="str">
            <v>03072024-A-123470</v>
          </cell>
          <cell r="D2346">
            <v>45476</v>
          </cell>
          <cell r="E2346" t="str">
            <v>Raw Material</v>
          </cell>
          <cell r="F2346" t="str">
            <v>Closed</v>
          </cell>
          <cell r="G2346">
            <v>7</v>
          </cell>
        </row>
        <row r="2347">
          <cell r="C2347" t="str">
            <v>03072024-A-123470</v>
          </cell>
          <cell r="D2347">
            <v>45476</v>
          </cell>
          <cell r="E2347" t="str">
            <v>Raw Material</v>
          </cell>
          <cell r="F2347" t="str">
            <v>Closed</v>
          </cell>
          <cell r="G2347">
            <v>10</v>
          </cell>
        </row>
        <row r="2348">
          <cell r="C2348" t="str">
            <v>03072024-A-123487</v>
          </cell>
          <cell r="D2348">
            <v>45476</v>
          </cell>
          <cell r="E2348" t="str">
            <v>Raw Material</v>
          </cell>
          <cell r="F2348" t="str">
            <v>Closed</v>
          </cell>
          <cell r="G2348">
            <v>4</v>
          </cell>
        </row>
        <row r="2349">
          <cell r="C2349" t="str">
            <v>03072024-A-123487</v>
          </cell>
          <cell r="D2349">
            <v>45476</v>
          </cell>
          <cell r="E2349" t="str">
            <v>Raw Material</v>
          </cell>
          <cell r="F2349" t="str">
            <v>Closed</v>
          </cell>
          <cell r="G2349">
            <v>9</v>
          </cell>
        </row>
        <row r="2350">
          <cell r="C2350" t="str">
            <v>03072024-A-123487</v>
          </cell>
          <cell r="D2350">
            <v>45476</v>
          </cell>
          <cell r="E2350" t="str">
            <v>Raw Material</v>
          </cell>
          <cell r="F2350" t="str">
            <v>Closed</v>
          </cell>
          <cell r="G2350">
            <v>9</v>
          </cell>
        </row>
        <row r="2351">
          <cell r="C2351" t="str">
            <v>03072024-A-123501</v>
          </cell>
          <cell r="D2351">
            <v>45476</v>
          </cell>
          <cell r="E2351" t="str">
            <v>Raw Material</v>
          </cell>
          <cell r="F2351" t="str">
            <v>Running</v>
          </cell>
          <cell r="G2351">
            <v>1540</v>
          </cell>
        </row>
        <row r="2352">
          <cell r="C2352" t="str">
            <v>03072024-A-123511</v>
          </cell>
          <cell r="D2352">
            <v>45476</v>
          </cell>
          <cell r="E2352" t="str">
            <v>Raw Material</v>
          </cell>
          <cell r="F2352" t="str">
            <v>Closed</v>
          </cell>
          <cell r="G2352">
            <v>390</v>
          </cell>
        </row>
        <row r="2353">
          <cell r="C2353" t="str">
            <v>03072024-A-123519</v>
          </cell>
          <cell r="D2353">
            <v>45476</v>
          </cell>
          <cell r="E2353" t="str">
            <v>Raw Material</v>
          </cell>
          <cell r="F2353" t="str">
            <v>Closed</v>
          </cell>
          <cell r="G2353">
            <v>130</v>
          </cell>
        </row>
        <row r="2354">
          <cell r="C2354" t="str">
            <v>03072024-A-123569</v>
          </cell>
          <cell r="D2354">
            <v>45476</v>
          </cell>
          <cell r="E2354" t="str">
            <v>Raw Material</v>
          </cell>
          <cell r="F2354" t="str">
            <v>Closed</v>
          </cell>
          <cell r="G2354">
            <v>3</v>
          </cell>
        </row>
        <row r="2355">
          <cell r="C2355" t="str">
            <v>03072024-A-123586</v>
          </cell>
          <cell r="D2355">
            <v>45476</v>
          </cell>
          <cell r="E2355" t="str">
            <v>Raw Material</v>
          </cell>
          <cell r="F2355" t="str">
            <v>Closed</v>
          </cell>
          <cell r="G2355">
            <v>1980</v>
          </cell>
        </row>
        <row r="2356">
          <cell r="C2356" t="str">
            <v>03072024-A-123590</v>
          </cell>
          <cell r="D2356">
            <v>45476</v>
          </cell>
          <cell r="E2356" t="str">
            <v>Raw Material</v>
          </cell>
          <cell r="F2356" t="str">
            <v>Closed</v>
          </cell>
          <cell r="G2356">
            <v>360</v>
          </cell>
        </row>
        <row r="2357">
          <cell r="C2357" t="str">
            <v>03072024-A-123604</v>
          </cell>
          <cell r="D2357">
            <v>45476</v>
          </cell>
          <cell r="E2357" t="str">
            <v>Raw Material</v>
          </cell>
          <cell r="F2357" t="str">
            <v>Closed</v>
          </cell>
          <cell r="G2357">
            <v>90</v>
          </cell>
        </row>
        <row r="2358">
          <cell r="C2358" t="str">
            <v>03072024-A-123615</v>
          </cell>
          <cell r="D2358">
            <v>45476</v>
          </cell>
          <cell r="E2358" t="str">
            <v>Raw Material</v>
          </cell>
          <cell r="F2358" t="str">
            <v>Closed</v>
          </cell>
          <cell r="G2358">
            <v>300</v>
          </cell>
        </row>
        <row r="2359">
          <cell r="C2359" t="str">
            <v>03072024-A-123620</v>
          </cell>
          <cell r="D2359">
            <v>45476</v>
          </cell>
          <cell r="E2359" t="str">
            <v>Raw Material</v>
          </cell>
          <cell r="F2359" t="str">
            <v>Closed</v>
          </cell>
          <cell r="G2359">
            <v>1980</v>
          </cell>
        </row>
        <row r="2360">
          <cell r="C2360" t="str">
            <v>03072024-A-123631</v>
          </cell>
          <cell r="D2360">
            <v>45476</v>
          </cell>
          <cell r="E2360" t="str">
            <v>Raw Material</v>
          </cell>
          <cell r="F2360" t="str">
            <v>Closed</v>
          </cell>
          <cell r="G2360">
            <v>300</v>
          </cell>
        </row>
        <row r="2361">
          <cell r="C2361" t="str">
            <v>03072024-A-123637</v>
          </cell>
          <cell r="D2361">
            <v>45476</v>
          </cell>
          <cell r="E2361" t="str">
            <v>Raw Material</v>
          </cell>
          <cell r="F2361" t="str">
            <v>Closed</v>
          </cell>
          <cell r="G2361">
            <v>1980</v>
          </cell>
        </row>
        <row r="2362">
          <cell r="C2362" t="str">
            <v>03072024-A-123643</v>
          </cell>
          <cell r="D2362">
            <v>45476</v>
          </cell>
          <cell r="E2362" t="str">
            <v>Raw Material</v>
          </cell>
          <cell r="F2362" t="str">
            <v>Closed</v>
          </cell>
          <cell r="G2362">
            <v>450</v>
          </cell>
        </row>
        <row r="2363">
          <cell r="C2363" t="str">
            <v>03072024-A-123649</v>
          </cell>
          <cell r="D2363">
            <v>45476</v>
          </cell>
          <cell r="E2363" t="str">
            <v>Raw Material</v>
          </cell>
          <cell r="F2363" t="str">
            <v>Closed</v>
          </cell>
          <cell r="G2363">
            <v>670</v>
          </cell>
        </row>
        <row r="2364">
          <cell r="C2364" t="str">
            <v>03072024-A-123654</v>
          </cell>
          <cell r="D2364">
            <v>45476</v>
          </cell>
          <cell r="E2364" t="str">
            <v>Raw Material</v>
          </cell>
          <cell r="F2364" t="str">
            <v>Closed</v>
          </cell>
          <cell r="G2364">
            <v>560</v>
          </cell>
        </row>
        <row r="2365">
          <cell r="C2365" t="str">
            <v>03072024-A-123656</v>
          </cell>
          <cell r="D2365">
            <v>45476</v>
          </cell>
          <cell r="E2365" t="str">
            <v>Raw Material</v>
          </cell>
          <cell r="F2365" t="str">
            <v>Closed</v>
          </cell>
          <cell r="G2365">
            <v>5000</v>
          </cell>
        </row>
        <row r="2366">
          <cell r="C2366" t="str">
            <v>03072024-A-123659</v>
          </cell>
          <cell r="D2366">
            <v>45476</v>
          </cell>
          <cell r="E2366" t="str">
            <v>Raw Material</v>
          </cell>
          <cell r="F2366" t="str">
            <v>Closed</v>
          </cell>
          <cell r="G2366">
            <v>5000</v>
          </cell>
        </row>
        <row r="2367">
          <cell r="C2367" t="str">
            <v>03072024-A-123660</v>
          </cell>
          <cell r="D2367">
            <v>45476</v>
          </cell>
          <cell r="E2367" t="str">
            <v>Raw Material</v>
          </cell>
          <cell r="F2367" t="str">
            <v>Closed</v>
          </cell>
          <cell r="G2367">
            <v>5000</v>
          </cell>
        </row>
        <row r="2368">
          <cell r="C2368" t="str">
            <v>03072024-A-123662</v>
          </cell>
          <cell r="D2368">
            <v>45476</v>
          </cell>
          <cell r="E2368" t="str">
            <v>Raw Material</v>
          </cell>
          <cell r="F2368" t="str">
            <v>Closed</v>
          </cell>
          <cell r="G2368">
            <v>390</v>
          </cell>
        </row>
        <row r="2369">
          <cell r="C2369" t="str">
            <v>03072024-A-123689</v>
          </cell>
          <cell r="D2369">
            <v>45476</v>
          </cell>
          <cell r="E2369" t="str">
            <v>Raw Material</v>
          </cell>
          <cell r="F2369" t="str">
            <v>Closed</v>
          </cell>
          <cell r="G2369">
            <v>5000</v>
          </cell>
        </row>
        <row r="2370">
          <cell r="C2370" t="str">
            <v>03072024-A-123695</v>
          </cell>
          <cell r="D2370">
            <v>45476</v>
          </cell>
          <cell r="E2370" t="str">
            <v>Raw Material</v>
          </cell>
          <cell r="F2370" t="str">
            <v>Closed</v>
          </cell>
          <cell r="G2370">
            <v>5000</v>
          </cell>
        </row>
        <row r="2371">
          <cell r="C2371" t="str">
            <v>03072024-A-123703</v>
          </cell>
          <cell r="D2371">
            <v>45476</v>
          </cell>
          <cell r="E2371" t="str">
            <v>Raw Material</v>
          </cell>
          <cell r="F2371" t="str">
            <v>Closed</v>
          </cell>
          <cell r="G2371">
            <v>5000</v>
          </cell>
        </row>
        <row r="2372">
          <cell r="C2372" t="str">
            <v>03072024-A-123708</v>
          </cell>
          <cell r="D2372">
            <v>45476</v>
          </cell>
          <cell r="E2372" t="str">
            <v>Raw Material</v>
          </cell>
          <cell r="F2372" t="str">
            <v>Closed</v>
          </cell>
          <cell r="G2372">
            <v>5000</v>
          </cell>
        </row>
        <row r="2373">
          <cell r="C2373" t="str">
            <v>03072024-A-123712</v>
          </cell>
          <cell r="D2373">
            <v>45476</v>
          </cell>
          <cell r="E2373" t="str">
            <v>Raw Material</v>
          </cell>
          <cell r="F2373" t="str">
            <v>Closed</v>
          </cell>
          <cell r="G2373">
            <v>5000</v>
          </cell>
        </row>
        <row r="2374">
          <cell r="C2374" t="str">
            <v>03072024-A-123718</v>
          </cell>
          <cell r="D2374">
            <v>45476</v>
          </cell>
          <cell r="E2374" t="str">
            <v>Raw Material</v>
          </cell>
          <cell r="F2374" t="str">
            <v>Closed</v>
          </cell>
          <cell r="G2374">
            <v>3000</v>
          </cell>
        </row>
        <row r="2375">
          <cell r="C2375" t="str">
            <v>03072024-A-123724</v>
          </cell>
          <cell r="D2375">
            <v>45476</v>
          </cell>
          <cell r="E2375" t="str">
            <v>Raw Material</v>
          </cell>
          <cell r="F2375" t="str">
            <v>Closed</v>
          </cell>
          <cell r="G2375">
            <v>1660</v>
          </cell>
        </row>
        <row r="2376">
          <cell r="C2376" t="str">
            <v>03072024-A-123743</v>
          </cell>
          <cell r="D2376">
            <v>45476</v>
          </cell>
          <cell r="E2376" t="str">
            <v>Raw Material</v>
          </cell>
          <cell r="F2376" t="str">
            <v>Closed</v>
          </cell>
          <cell r="G2376">
            <v>1360</v>
          </cell>
        </row>
        <row r="2377">
          <cell r="C2377" t="str">
            <v>03072024-A-123749</v>
          </cell>
          <cell r="D2377">
            <v>45476</v>
          </cell>
          <cell r="E2377" t="str">
            <v>Raw Material</v>
          </cell>
          <cell r="F2377" t="str">
            <v>Closed</v>
          </cell>
          <cell r="G2377">
            <v>130</v>
          </cell>
        </row>
        <row r="2378">
          <cell r="C2378" t="str">
            <v>03072024-A-123754</v>
          </cell>
          <cell r="D2378">
            <v>45476</v>
          </cell>
          <cell r="E2378" t="str">
            <v>Raw Material</v>
          </cell>
          <cell r="F2378" t="str">
            <v>Closed</v>
          </cell>
          <cell r="G2378">
            <v>5000</v>
          </cell>
        </row>
        <row r="2379">
          <cell r="C2379" t="str">
            <v>03072024-A-123759</v>
          </cell>
          <cell r="D2379">
            <v>45476</v>
          </cell>
          <cell r="E2379" t="str">
            <v>Raw Material</v>
          </cell>
          <cell r="F2379" t="str">
            <v>-</v>
          </cell>
          <cell r="G2379">
            <v>29450</v>
          </cell>
        </row>
        <row r="2380">
          <cell r="C2380" t="str">
            <v>03072024-A-123765</v>
          </cell>
          <cell r="D2380">
            <v>45476</v>
          </cell>
          <cell r="E2380" t="str">
            <v>Raw Material</v>
          </cell>
          <cell r="F2380" t="str">
            <v>-</v>
          </cell>
          <cell r="G2380">
            <v>29360</v>
          </cell>
        </row>
        <row r="2381">
          <cell r="C2381" t="str">
            <v>03072024-A-123778</v>
          </cell>
          <cell r="D2381">
            <v>45476</v>
          </cell>
          <cell r="E2381" t="str">
            <v>Raw Material</v>
          </cell>
          <cell r="F2381" t="str">
            <v>-</v>
          </cell>
          <cell r="G2381">
            <v>29450</v>
          </cell>
        </row>
        <row r="2382">
          <cell r="C2382" t="str">
            <v>03072024-A-123787</v>
          </cell>
          <cell r="D2382">
            <v>45476</v>
          </cell>
          <cell r="E2382" t="str">
            <v>Raw Material</v>
          </cell>
          <cell r="F2382" t="str">
            <v>-</v>
          </cell>
          <cell r="G2382">
            <v>29352</v>
          </cell>
        </row>
        <row r="2383">
          <cell r="C2383" t="str">
            <v>03072024-A-123798</v>
          </cell>
          <cell r="D2383">
            <v>45476</v>
          </cell>
          <cell r="E2383" t="str">
            <v>Raw Material</v>
          </cell>
          <cell r="F2383" t="str">
            <v>-</v>
          </cell>
          <cell r="G2383">
            <v>29332</v>
          </cell>
        </row>
        <row r="2384">
          <cell r="C2384" t="str">
            <v>03072024-A-123825</v>
          </cell>
          <cell r="D2384">
            <v>45476</v>
          </cell>
          <cell r="E2384" t="str">
            <v>Raw Material</v>
          </cell>
          <cell r="F2384" t="str">
            <v>-</v>
          </cell>
          <cell r="G2384">
            <v>29410</v>
          </cell>
        </row>
        <row r="2385">
          <cell r="C2385" t="str">
            <v>03072024-A-123834</v>
          </cell>
          <cell r="D2385">
            <v>45476</v>
          </cell>
          <cell r="E2385" t="str">
            <v>Raw Material</v>
          </cell>
          <cell r="F2385" t="str">
            <v>-</v>
          </cell>
          <cell r="G2385">
            <v>29350</v>
          </cell>
        </row>
        <row r="2386">
          <cell r="C2386" t="str">
            <v>03072024-A-123851</v>
          </cell>
          <cell r="D2386">
            <v>45476</v>
          </cell>
          <cell r="E2386" t="str">
            <v>Raw Material</v>
          </cell>
          <cell r="F2386" t="str">
            <v>-</v>
          </cell>
          <cell r="G2386">
            <v>29410</v>
          </cell>
        </row>
        <row r="2387">
          <cell r="C2387" t="str">
            <v>03072024-A-123861</v>
          </cell>
          <cell r="D2387">
            <v>45476</v>
          </cell>
          <cell r="E2387" t="str">
            <v>Raw Material</v>
          </cell>
          <cell r="F2387" t="str">
            <v>-</v>
          </cell>
          <cell r="G2387">
            <v>29430</v>
          </cell>
        </row>
        <row r="2388">
          <cell r="C2388" t="str">
            <v>03072024-A-123876</v>
          </cell>
          <cell r="D2388">
            <v>45476</v>
          </cell>
          <cell r="E2388" t="str">
            <v>Raw Material</v>
          </cell>
          <cell r="F2388" t="str">
            <v>Closed</v>
          </cell>
          <cell r="G2388">
            <v>10000</v>
          </cell>
        </row>
        <row r="2389">
          <cell r="C2389" t="str">
            <v>03072024-A-123888</v>
          </cell>
          <cell r="D2389">
            <v>45476</v>
          </cell>
          <cell r="E2389" t="str">
            <v>Raw Material</v>
          </cell>
          <cell r="F2389" t="str">
            <v>Closed</v>
          </cell>
          <cell r="G2389">
            <v>20000</v>
          </cell>
        </row>
        <row r="2390">
          <cell r="C2390" t="str">
            <v>03072024-A-123911</v>
          </cell>
          <cell r="D2390">
            <v>45476</v>
          </cell>
          <cell r="E2390" t="str">
            <v>Raw Material</v>
          </cell>
          <cell r="F2390" t="str">
            <v>-</v>
          </cell>
          <cell r="G2390">
            <v>40000</v>
          </cell>
        </row>
        <row r="2391">
          <cell r="C2391" t="str">
            <v>03072024-A-123917</v>
          </cell>
          <cell r="D2391">
            <v>45476</v>
          </cell>
          <cell r="E2391" t="str">
            <v>Raw Material</v>
          </cell>
          <cell r="F2391" t="str">
            <v>Closed</v>
          </cell>
          <cell r="G2391">
            <v>6660</v>
          </cell>
        </row>
        <row r="2392">
          <cell r="C2392" t="str">
            <v>04072024-A-124583</v>
          </cell>
          <cell r="D2392">
            <v>45477</v>
          </cell>
          <cell r="E2392" t="str">
            <v>Raw Material</v>
          </cell>
          <cell r="F2392" t="str">
            <v>Closed</v>
          </cell>
          <cell r="G2392">
            <v>3266</v>
          </cell>
        </row>
        <row r="2393">
          <cell r="C2393" t="str">
            <v>04072024-A-124590</v>
          </cell>
          <cell r="D2393">
            <v>45477</v>
          </cell>
          <cell r="E2393" t="str">
            <v>Raw Material</v>
          </cell>
          <cell r="F2393" t="str">
            <v>Closed</v>
          </cell>
          <cell r="G2393">
            <v>7757</v>
          </cell>
        </row>
        <row r="2394">
          <cell r="C2394" t="str">
            <v>04072024-A-124593</v>
          </cell>
          <cell r="D2394">
            <v>45477</v>
          </cell>
          <cell r="E2394" t="str">
            <v>Raw Material</v>
          </cell>
          <cell r="F2394" t="str">
            <v>Closed</v>
          </cell>
          <cell r="G2394">
            <v>23665</v>
          </cell>
        </row>
        <row r="2395">
          <cell r="C2395" t="str">
            <v>04072024-A-124594</v>
          </cell>
          <cell r="D2395">
            <v>45477</v>
          </cell>
          <cell r="E2395" t="str">
            <v>Raw Material</v>
          </cell>
          <cell r="F2395" t="str">
            <v>Closed</v>
          </cell>
          <cell r="G2395">
            <v>558</v>
          </cell>
        </row>
        <row r="2396">
          <cell r="C2396" t="str">
            <v>04072024-A-124595</v>
          </cell>
          <cell r="D2396">
            <v>45477</v>
          </cell>
          <cell r="E2396" t="str">
            <v>Raw Material</v>
          </cell>
          <cell r="F2396" t="str">
            <v>Closed</v>
          </cell>
          <cell r="G2396">
            <v>23969</v>
          </cell>
        </row>
        <row r="2397">
          <cell r="C2397" t="str">
            <v>06072024-A-125012</v>
          </cell>
          <cell r="D2397">
            <v>45479</v>
          </cell>
          <cell r="E2397" t="str">
            <v>Raw Material</v>
          </cell>
          <cell r="F2397" t="str">
            <v>Closed</v>
          </cell>
          <cell r="G2397">
            <v>375</v>
          </cell>
        </row>
        <row r="2398">
          <cell r="C2398" t="str">
            <v>06072024-A-125019</v>
          </cell>
          <cell r="D2398">
            <v>45479</v>
          </cell>
          <cell r="E2398" t="str">
            <v>Raw Material</v>
          </cell>
          <cell r="F2398" t="str">
            <v>Closed</v>
          </cell>
          <cell r="G2398">
            <v>375</v>
          </cell>
        </row>
        <row r="2399">
          <cell r="C2399" t="str">
            <v>06072024-A-125021</v>
          </cell>
          <cell r="D2399">
            <v>45479</v>
          </cell>
          <cell r="E2399" t="str">
            <v>Raw Material</v>
          </cell>
          <cell r="F2399" t="str">
            <v>Closed</v>
          </cell>
          <cell r="G2399">
            <v>120</v>
          </cell>
        </row>
        <row r="2400">
          <cell r="C2400" t="str">
            <v>06072024-A-125028</v>
          </cell>
          <cell r="D2400">
            <v>45479</v>
          </cell>
          <cell r="E2400" t="str">
            <v>Raw Material</v>
          </cell>
          <cell r="F2400" t="str">
            <v>Closed</v>
          </cell>
          <cell r="G2400">
            <v>1950</v>
          </cell>
        </row>
        <row r="2401">
          <cell r="C2401" t="str">
            <v>06072024-A-125030</v>
          </cell>
          <cell r="D2401">
            <v>45479</v>
          </cell>
          <cell r="E2401" t="str">
            <v>Raw Material</v>
          </cell>
          <cell r="F2401" t="str">
            <v>Closed</v>
          </cell>
          <cell r="G2401">
            <v>450</v>
          </cell>
        </row>
        <row r="2402">
          <cell r="C2402" t="str">
            <v>06072024-A-125032</v>
          </cell>
          <cell r="D2402">
            <v>45479</v>
          </cell>
          <cell r="E2402" t="str">
            <v>Raw Material</v>
          </cell>
          <cell r="F2402" t="str">
            <v>Closed</v>
          </cell>
          <cell r="G2402">
            <v>150</v>
          </cell>
        </row>
        <row r="2403">
          <cell r="C2403" t="str">
            <v>06072024-A-125034</v>
          </cell>
          <cell r="D2403">
            <v>45479</v>
          </cell>
          <cell r="E2403" t="str">
            <v>Raw Material</v>
          </cell>
          <cell r="F2403" t="str">
            <v>Closed</v>
          </cell>
          <cell r="G2403">
            <v>150</v>
          </cell>
        </row>
        <row r="2404">
          <cell r="C2404" t="str">
            <v>06072024-A-125039</v>
          </cell>
          <cell r="D2404">
            <v>45479</v>
          </cell>
          <cell r="E2404" t="str">
            <v>Raw Material</v>
          </cell>
          <cell r="F2404" t="str">
            <v>Closed</v>
          </cell>
          <cell r="G2404">
            <v>300</v>
          </cell>
        </row>
        <row r="2405">
          <cell r="C2405" t="str">
            <v>06072024-A-125044</v>
          </cell>
          <cell r="D2405">
            <v>45479</v>
          </cell>
          <cell r="E2405" t="str">
            <v>Raw Material</v>
          </cell>
          <cell r="F2405" t="str">
            <v>Closed</v>
          </cell>
          <cell r="G2405">
            <v>1040</v>
          </cell>
        </row>
        <row r="2406">
          <cell r="C2406" t="str">
            <v>06072024-A-125055</v>
          </cell>
          <cell r="D2406">
            <v>45479</v>
          </cell>
          <cell r="E2406" t="str">
            <v>Raw Material</v>
          </cell>
          <cell r="F2406" t="str">
            <v>Closed</v>
          </cell>
          <cell r="G2406">
            <v>5000</v>
          </cell>
        </row>
        <row r="2407">
          <cell r="C2407" t="str">
            <v>06072024-A-125057</v>
          </cell>
          <cell r="D2407">
            <v>45479</v>
          </cell>
          <cell r="E2407" t="str">
            <v>Raw Material</v>
          </cell>
          <cell r="F2407" t="str">
            <v>Closed</v>
          </cell>
          <cell r="G2407">
            <v>5000</v>
          </cell>
        </row>
        <row r="2408">
          <cell r="C2408" t="str">
            <v>06072024-A-125061</v>
          </cell>
          <cell r="D2408">
            <v>45479</v>
          </cell>
          <cell r="E2408" t="str">
            <v>Raw Material</v>
          </cell>
          <cell r="F2408" t="str">
            <v>Closed</v>
          </cell>
          <cell r="G2408">
            <v>600</v>
          </cell>
        </row>
        <row r="2409">
          <cell r="C2409" t="str">
            <v>06072024-A-125065</v>
          </cell>
          <cell r="D2409">
            <v>45479</v>
          </cell>
          <cell r="E2409" t="str">
            <v>Raw Material</v>
          </cell>
          <cell r="F2409" t="str">
            <v>Closed</v>
          </cell>
          <cell r="G2409">
            <v>1950</v>
          </cell>
        </row>
        <row r="2410">
          <cell r="C2410" t="str">
            <v>06072024-A-125070</v>
          </cell>
          <cell r="D2410">
            <v>45479</v>
          </cell>
          <cell r="E2410" t="str">
            <v>Raw Material</v>
          </cell>
          <cell r="F2410" t="str">
            <v>Closed</v>
          </cell>
          <cell r="G2410">
            <v>750</v>
          </cell>
        </row>
        <row r="2411">
          <cell r="C2411" t="str">
            <v>06072024-A-125073</v>
          </cell>
          <cell r="D2411">
            <v>45479</v>
          </cell>
          <cell r="E2411" t="str">
            <v>Raw Material</v>
          </cell>
          <cell r="F2411" t="str">
            <v>Closed</v>
          </cell>
          <cell r="G2411">
            <v>300</v>
          </cell>
        </row>
        <row r="2412">
          <cell r="C2412" t="str">
            <v>06072024-A-125077</v>
          </cell>
          <cell r="D2412">
            <v>45479</v>
          </cell>
          <cell r="E2412" t="str">
            <v>Raw Material</v>
          </cell>
          <cell r="F2412" t="str">
            <v>Closed</v>
          </cell>
          <cell r="G2412">
            <v>1040</v>
          </cell>
        </row>
        <row r="2413">
          <cell r="C2413" t="str">
            <v>06072024-A-125086</v>
          </cell>
          <cell r="D2413">
            <v>45479</v>
          </cell>
          <cell r="E2413" t="str">
            <v>Raw Material</v>
          </cell>
          <cell r="F2413" t="str">
            <v>Closed</v>
          </cell>
          <cell r="G2413">
            <v>210</v>
          </cell>
        </row>
        <row r="2414">
          <cell r="C2414" t="str">
            <v>06072024-A-125091</v>
          </cell>
          <cell r="D2414">
            <v>45479</v>
          </cell>
          <cell r="E2414" t="str">
            <v>Raw Material</v>
          </cell>
          <cell r="F2414" t="str">
            <v>Closed</v>
          </cell>
          <cell r="G2414">
            <v>120</v>
          </cell>
        </row>
        <row r="2415">
          <cell r="C2415" t="str">
            <v>06072024-A-125093</v>
          </cell>
          <cell r="D2415">
            <v>45479</v>
          </cell>
          <cell r="E2415" t="str">
            <v>Raw Material</v>
          </cell>
          <cell r="F2415" t="str">
            <v>Closed</v>
          </cell>
          <cell r="G2415">
            <v>1500</v>
          </cell>
        </row>
        <row r="2416">
          <cell r="C2416" t="str">
            <v>06072024-A-125095</v>
          </cell>
          <cell r="D2416">
            <v>45479</v>
          </cell>
          <cell r="E2416" t="str">
            <v>Raw Material</v>
          </cell>
          <cell r="F2416" t="str">
            <v>Closed</v>
          </cell>
          <cell r="G2416">
            <v>210</v>
          </cell>
        </row>
        <row r="2417">
          <cell r="C2417" t="str">
            <v>06072024-A-125099</v>
          </cell>
          <cell r="D2417">
            <v>45479</v>
          </cell>
          <cell r="E2417" t="str">
            <v>Raw Material</v>
          </cell>
          <cell r="F2417" t="str">
            <v>Closed</v>
          </cell>
          <cell r="G2417">
            <v>120</v>
          </cell>
        </row>
        <row r="2418">
          <cell r="C2418" t="str">
            <v>06072024-A-125108</v>
          </cell>
          <cell r="D2418">
            <v>45479</v>
          </cell>
          <cell r="E2418" t="str">
            <v>Raw Material</v>
          </cell>
          <cell r="F2418" t="str">
            <v>Closed</v>
          </cell>
          <cell r="G2418">
            <v>1020</v>
          </cell>
        </row>
        <row r="2419">
          <cell r="C2419" t="str">
            <v>06072024-A-125115</v>
          </cell>
          <cell r="D2419">
            <v>45479</v>
          </cell>
          <cell r="E2419" t="str">
            <v>Raw Material</v>
          </cell>
          <cell r="F2419" t="str">
            <v>Closed</v>
          </cell>
          <cell r="G2419">
            <v>1020</v>
          </cell>
        </row>
        <row r="2420">
          <cell r="C2420" t="str">
            <v>06072024-A-125119</v>
          </cell>
          <cell r="D2420">
            <v>45479</v>
          </cell>
          <cell r="E2420" t="str">
            <v>Raw Material</v>
          </cell>
          <cell r="F2420" t="str">
            <v>Closed</v>
          </cell>
          <cell r="G2420">
            <v>930</v>
          </cell>
        </row>
        <row r="2421">
          <cell r="C2421" t="str">
            <v>06072024-A-125124</v>
          </cell>
          <cell r="D2421">
            <v>45479</v>
          </cell>
          <cell r="E2421" t="str">
            <v>Raw Material</v>
          </cell>
          <cell r="F2421" t="str">
            <v>Closed</v>
          </cell>
          <cell r="G2421">
            <v>900</v>
          </cell>
        </row>
        <row r="2422">
          <cell r="C2422" t="str">
            <v>06072024-A-125130</v>
          </cell>
          <cell r="D2422">
            <v>45479</v>
          </cell>
          <cell r="E2422" t="str">
            <v>Raw Material</v>
          </cell>
          <cell r="F2422" t="str">
            <v>Closed</v>
          </cell>
          <cell r="G2422">
            <v>900</v>
          </cell>
        </row>
        <row r="2423">
          <cell r="C2423" t="str">
            <v>06072024-A-125137</v>
          </cell>
          <cell r="D2423">
            <v>45479</v>
          </cell>
          <cell r="E2423" t="str">
            <v>Raw Material</v>
          </cell>
          <cell r="F2423" t="str">
            <v>Closed</v>
          </cell>
          <cell r="G2423">
            <v>90</v>
          </cell>
        </row>
        <row r="2424">
          <cell r="C2424" t="str">
            <v>06072024-A-125143</v>
          </cell>
          <cell r="D2424">
            <v>45479</v>
          </cell>
          <cell r="E2424" t="str">
            <v>Raw Material</v>
          </cell>
          <cell r="F2424" t="str">
            <v>Closed</v>
          </cell>
          <cell r="G2424">
            <v>50</v>
          </cell>
        </row>
        <row r="2425">
          <cell r="C2425" t="str">
            <v>06072024-A-125149</v>
          </cell>
          <cell r="D2425">
            <v>45479</v>
          </cell>
          <cell r="E2425" t="str">
            <v>Raw Material</v>
          </cell>
          <cell r="F2425" t="str">
            <v>-</v>
          </cell>
          <cell r="G2425">
            <v>29320</v>
          </cell>
        </row>
        <row r="2426">
          <cell r="C2426" t="str">
            <v>06072024-A-125153</v>
          </cell>
          <cell r="D2426">
            <v>45479</v>
          </cell>
          <cell r="E2426" t="str">
            <v>Raw Material</v>
          </cell>
          <cell r="F2426" t="str">
            <v>Closed</v>
          </cell>
          <cell r="G2426">
            <v>600</v>
          </cell>
        </row>
        <row r="2427">
          <cell r="C2427" t="str">
            <v>06072024-A-125155</v>
          </cell>
          <cell r="D2427">
            <v>45479</v>
          </cell>
          <cell r="E2427" t="str">
            <v>Raw Material</v>
          </cell>
          <cell r="F2427" t="str">
            <v>Closed</v>
          </cell>
          <cell r="G2427">
            <v>4536</v>
          </cell>
        </row>
        <row r="2428">
          <cell r="C2428" t="str">
            <v>06072024-A-125196</v>
          </cell>
          <cell r="D2428">
            <v>45479</v>
          </cell>
          <cell r="E2428" t="str">
            <v>Raw Material</v>
          </cell>
          <cell r="F2428" t="str">
            <v>Closed</v>
          </cell>
          <cell r="G2428">
            <v>2000</v>
          </cell>
        </row>
        <row r="2429">
          <cell r="C2429" t="str">
            <v>06072024-A-125196</v>
          </cell>
          <cell r="D2429">
            <v>45479</v>
          </cell>
          <cell r="E2429" t="str">
            <v>Raw Material</v>
          </cell>
          <cell r="F2429" t="str">
            <v>Closed</v>
          </cell>
          <cell r="G2429">
            <v>800</v>
          </cell>
        </row>
        <row r="2430">
          <cell r="C2430" t="str">
            <v>06072024-A-125209</v>
          </cell>
          <cell r="D2430">
            <v>45479</v>
          </cell>
          <cell r="E2430" t="str">
            <v>Raw Material</v>
          </cell>
          <cell r="F2430" t="str">
            <v>Closed</v>
          </cell>
          <cell r="G2430">
            <v>3000</v>
          </cell>
        </row>
        <row r="2431">
          <cell r="C2431" t="str">
            <v>06072024-A-125210</v>
          </cell>
          <cell r="D2431">
            <v>45479</v>
          </cell>
          <cell r="E2431" t="str">
            <v>Raw Material</v>
          </cell>
          <cell r="F2431" t="str">
            <v>Closed</v>
          </cell>
          <cell r="G2431">
            <v>540</v>
          </cell>
        </row>
        <row r="2432">
          <cell r="C2432" t="str">
            <v>06072024-A-125212</v>
          </cell>
          <cell r="D2432">
            <v>45479</v>
          </cell>
          <cell r="E2432" t="str">
            <v>Raw Material</v>
          </cell>
          <cell r="F2432" t="str">
            <v>Closed</v>
          </cell>
          <cell r="G2432">
            <v>600</v>
          </cell>
        </row>
        <row r="2433">
          <cell r="C2433" t="str">
            <v>06072024-A-125215</v>
          </cell>
          <cell r="D2433">
            <v>45479</v>
          </cell>
          <cell r="E2433" t="str">
            <v>Raw Material</v>
          </cell>
          <cell r="F2433" t="str">
            <v>Closed</v>
          </cell>
          <cell r="G2433">
            <v>600</v>
          </cell>
        </row>
        <row r="2434">
          <cell r="C2434" t="str">
            <v>06072024-A-125219</v>
          </cell>
          <cell r="D2434">
            <v>45479</v>
          </cell>
          <cell r="E2434" t="str">
            <v>Raw Material</v>
          </cell>
          <cell r="F2434" t="str">
            <v>Closed</v>
          </cell>
          <cell r="G2434">
            <v>720</v>
          </cell>
        </row>
        <row r="2435">
          <cell r="C2435" t="str">
            <v>06072024-A-125222</v>
          </cell>
          <cell r="D2435">
            <v>45479</v>
          </cell>
          <cell r="E2435" t="str">
            <v>Raw Material</v>
          </cell>
          <cell r="F2435" t="str">
            <v>Closed</v>
          </cell>
          <cell r="G2435">
            <v>1110</v>
          </cell>
        </row>
        <row r="2436">
          <cell r="C2436" t="str">
            <v>06072024-A-125224</v>
          </cell>
          <cell r="D2436">
            <v>45479</v>
          </cell>
          <cell r="E2436" t="str">
            <v>Raw Material</v>
          </cell>
          <cell r="F2436" t="str">
            <v>Closed</v>
          </cell>
          <cell r="G2436">
            <v>200</v>
          </cell>
        </row>
        <row r="2437">
          <cell r="C2437" t="str">
            <v>12072024-A-128155</v>
          </cell>
          <cell r="D2437">
            <v>45485</v>
          </cell>
          <cell r="E2437" t="str">
            <v>Raw Material</v>
          </cell>
          <cell r="F2437" t="str">
            <v>Closed</v>
          </cell>
          <cell r="G2437">
            <v>18189</v>
          </cell>
        </row>
        <row r="2438">
          <cell r="C2438" t="str">
            <v>12072024-A-128159</v>
          </cell>
          <cell r="D2438">
            <v>45485</v>
          </cell>
          <cell r="E2438" t="str">
            <v>Raw Material</v>
          </cell>
          <cell r="F2438" t="str">
            <v>Closed</v>
          </cell>
          <cell r="G2438">
            <v>8618</v>
          </cell>
        </row>
        <row r="2439">
          <cell r="C2439" t="str">
            <v>19072024-A-129717</v>
          </cell>
          <cell r="D2439">
            <v>45492</v>
          </cell>
          <cell r="E2439" t="str">
            <v>Raw Material</v>
          </cell>
          <cell r="F2439" t="str">
            <v>Closed</v>
          </cell>
          <cell r="G2439">
            <v>9072</v>
          </cell>
        </row>
        <row r="2440">
          <cell r="C2440" t="str">
            <v>19072024-A-129723</v>
          </cell>
          <cell r="D2440">
            <v>45492</v>
          </cell>
          <cell r="E2440" t="str">
            <v>Raw Material</v>
          </cell>
          <cell r="F2440" t="str">
            <v>Running</v>
          </cell>
          <cell r="G2440">
            <v>5352</v>
          </cell>
        </row>
      </sheetData>
      <sheetData sheetId="32"/>
      <sheetData sheetId="33"/>
      <sheetData sheetId="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up"/>
      <sheetName val="Data"/>
      <sheetName val="Check"/>
      <sheetName val="Entries"/>
      <sheetName val="Final Data"/>
      <sheetName val="Report"/>
      <sheetName val="Entries - for EC"/>
      <sheetName val="WebocBal"/>
    </sheetNames>
    <sheetDataSet>
      <sheetData sheetId="0"/>
      <sheetData sheetId="1">
        <row r="1">
          <cell r="B1" t="str">
            <v>Inv. No.</v>
          </cell>
          <cell r="I1" t="str">
            <v>BE</v>
          </cell>
          <cell r="J1" t="str">
            <v>HS Code</v>
          </cell>
          <cell r="M1" t="str">
            <v>Cons.</v>
          </cell>
        </row>
        <row r="2">
          <cell r="B2" t="str">
            <v>LTM/0438/24-25</v>
          </cell>
          <cell r="I2" t="str">
            <v>31012024-A-058516</v>
          </cell>
          <cell r="J2">
            <v>2815.12</v>
          </cell>
          <cell r="M2">
            <v>187</v>
          </cell>
        </row>
        <row r="3">
          <cell r="B3" t="str">
            <v>LTM/0438/24-25</v>
          </cell>
          <cell r="I3" t="str">
            <v>KAPW-FS-199895-27-06-2024</v>
          </cell>
          <cell r="J3">
            <v>2847</v>
          </cell>
          <cell r="M3">
            <v>140.16</v>
          </cell>
        </row>
        <row r="4">
          <cell r="B4" t="str">
            <v>LTM/0438/24-25</v>
          </cell>
          <cell r="I4" t="str">
            <v>24052024-A-103500</v>
          </cell>
          <cell r="J4">
            <v>2501.009</v>
          </cell>
          <cell r="M4">
            <v>146</v>
          </cell>
        </row>
        <row r="5">
          <cell r="B5" t="str">
            <v>LTM/0438/24-25</v>
          </cell>
          <cell r="I5" t="str">
            <v>KAPS-FS-2068-04-07-2024</v>
          </cell>
          <cell r="J5">
            <v>3809.9189999999999</v>
          </cell>
          <cell r="M5">
            <v>186.88</v>
          </cell>
        </row>
        <row r="6">
          <cell r="B6" t="str">
            <v>LTM/0438/24-25</v>
          </cell>
          <cell r="I6" t="str">
            <v>14062024-A-115558</v>
          </cell>
          <cell r="J6">
            <v>2501.009</v>
          </cell>
          <cell r="M6">
            <v>41</v>
          </cell>
        </row>
        <row r="7">
          <cell r="B7" t="str">
            <v>LTM/0438/24-25</v>
          </cell>
          <cell r="I7" t="str">
            <v>KAPS-FS-133478-17-05-2024</v>
          </cell>
          <cell r="J7">
            <v>5503.201</v>
          </cell>
          <cell r="M7">
            <v>2123.66</v>
          </cell>
        </row>
        <row r="8">
          <cell r="B8" t="str">
            <v>LTM/0438/24-25</v>
          </cell>
          <cell r="I8" t="str">
            <v>25042024-A-089085</v>
          </cell>
          <cell r="J8">
            <v>5505.1</v>
          </cell>
          <cell r="M8">
            <v>2596</v>
          </cell>
        </row>
        <row r="9">
          <cell r="B9" t="str">
            <v>LTM/0438/24-25</v>
          </cell>
          <cell r="I9" t="str">
            <v>31012024-A-058516</v>
          </cell>
          <cell r="J9">
            <v>2815.12</v>
          </cell>
          <cell r="M9">
            <v>326</v>
          </cell>
        </row>
        <row r="10">
          <cell r="B10" t="str">
            <v>LTM/0438/24-25</v>
          </cell>
          <cell r="I10" t="str">
            <v>KAPW-FS-199895-27-06-2024</v>
          </cell>
          <cell r="J10">
            <v>2847</v>
          </cell>
          <cell r="M10">
            <v>244.86</v>
          </cell>
        </row>
        <row r="11">
          <cell r="B11" t="str">
            <v>LTM/0438/24-25</v>
          </cell>
          <cell r="I11" t="str">
            <v>14062024-A-115558</v>
          </cell>
          <cell r="J11">
            <v>2501.009</v>
          </cell>
          <cell r="M11">
            <v>326</v>
          </cell>
        </row>
        <row r="12">
          <cell r="B12" t="str">
            <v>LTM/0438/24-25</v>
          </cell>
          <cell r="I12" t="str">
            <v>KAPS-FS-2068-04-07-2024</v>
          </cell>
          <cell r="J12">
            <v>3809.9189999999999</v>
          </cell>
          <cell r="M12">
            <v>326.48</v>
          </cell>
        </row>
        <row r="13">
          <cell r="B13" t="str">
            <v>LTM/0438/24-25</v>
          </cell>
          <cell r="I13" t="str">
            <v>25042024-A-089085</v>
          </cell>
          <cell r="J13">
            <v>5505.1</v>
          </cell>
          <cell r="M13">
            <v>1419</v>
          </cell>
        </row>
        <row r="14">
          <cell r="B14" t="str">
            <v>LTM/0438/24-25</v>
          </cell>
          <cell r="I14" t="str">
            <v>KAPS-FS-133478-17-05-2024</v>
          </cell>
          <cell r="J14">
            <v>5503.201</v>
          </cell>
          <cell r="M14">
            <v>4287.09</v>
          </cell>
        </row>
        <row r="15">
          <cell r="B15" t="str">
            <v>LTM/0438/24-25</v>
          </cell>
          <cell r="I15" t="str">
            <v>25042024-A-089099</v>
          </cell>
          <cell r="J15">
            <v>5505.1</v>
          </cell>
          <cell r="M15">
            <v>2538</v>
          </cell>
        </row>
        <row r="16">
          <cell r="B16" t="str">
            <v>LTM/0438/24-25</v>
          </cell>
          <cell r="I16" t="str">
            <v>31012024-A-058516</v>
          </cell>
          <cell r="J16">
            <v>2815.12</v>
          </cell>
          <cell r="M16">
            <v>131</v>
          </cell>
        </row>
        <row r="17">
          <cell r="B17" t="str">
            <v>LTM/0438/24-25</v>
          </cell>
          <cell r="I17" t="str">
            <v>KAPW-FS-199895-27-06-2024</v>
          </cell>
          <cell r="J17">
            <v>2847</v>
          </cell>
          <cell r="M17">
            <v>98.52</v>
          </cell>
        </row>
        <row r="18">
          <cell r="B18" t="str">
            <v>LTM/0438/24-25</v>
          </cell>
          <cell r="I18" t="str">
            <v>14062024-A-115558</v>
          </cell>
          <cell r="J18">
            <v>2501.009</v>
          </cell>
          <cell r="M18">
            <v>131</v>
          </cell>
        </row>
        <row r="19">
          <cell r="B19" t="str">
            <v>LTM/0438/24-25</v>
          </cell>
          <cell r="I19" t="str">
            <v>KAPS-FS-2068-04-07-2024</v>
          </cell>
          <cell r="J19">
            <v>3809.9189999999999</v>
          </cell>
          <cell r="M19">
            <v>131.36000000000001</v>
          </cell>
        </row>
        <row r="20">
          <cell r="B20" t="str">
            <v>LTM/0438/24-25</v>
          </cell>
          <cell r="I20" t="str">
            <v>25042024-A-089099</v>
          </cell>
          <cell r="J20">
            <v>5505.1</v>
          </cell>
          <cell r="M20">
            <v>556</v>
          </cell>
        </row>
        <row r="21">
          <cell r="B21" t="str">
            <v>LTM/0438/24-25</v>
          </cell>
          <cell r="I21" t="str">
            <v>KAPS-FS-133478-17-05-2024</v>
          </cell>
          <cell r="J21">
            <v>5503.201</v>
          </cell>
          <cell r="M21">
            <v>1724.92</v>
          </cell>
        </row>
        <row r="22">
          <cell r="B22" t="str">
            <v>LTM/0438/24-25</v>
          </cell>
          <cell r="I22" t="str">
            <v>25042024-A-089093</v>
          </cell>
          <cell r="J22">
            <v>5505.1</v>
          </cell>
          <cell r="M22">
            <v>1036</v>
          </cell>
        </row>
        <row r="23">
          <cell r="B23" t="str">
            <v>LTM/0446/24-25</v>
          </cell>
          <cell r="I23" t="str">
            <v>31012024-A-058516</v>
          </cell>
          <cell r="J23">
            <v>2815.12</v>
          </cell>
          <cell r="M23">
            <v>1374</v>
          </cell>
        </row>
        <row r="24">
          <cell r="B24" t="str">
            <v>LTM/0446/24-25</v>
          </cell>
          <cell r="I24" t="str">
            <v>KAPW-FS-199895-27-06-2024</v>
          </cell>
          <cell r="J24">
            <v>2847</v>
          </cell>
          <cell r="M24">
            <v>1030.25</v>
          </cell>
        </row>
        <row r="25">
          <cell r="B25" t="str">
            <v>LTM/0446/24-25</v>
          </cell>
          <cell r="I25" t="str">
            <v>14062024-A-115558</v>
          </cell>
          <cell r="J25">
            <v>2501.009</v>
          </cell>
          <cell r="M25">
            <v>1374</v>
          </cell>
        </row>
        <row r="26">
          <cell r="B26" t="str">
            <v>LTM/0446/24-25</v>
          </cell>
          <cell r="I26" t="str">
            <v>KPPI-FS-7424-08-08-2024</v>
          </cell>
          <cell r="J26">
            <v>5201.009</v>
          </cell>
          <cell r="M26">
            <v>6244.03</v>
          </cell>
        </row>
        <row r="27">
          <cell r="B27" t="str">
            <v>LTM/0446/24-25</v>
          </cell>
          <cell r="I27" t="str">
            <v>KAPS-FS-133478-17-05-2024</v>
          </cell>
          <cell r="J27">
            <v>5503.201</v>
          </cell>
          <cell r="M27">
            <v>11447.15</v>
          </cell>
        </row>
        <row r="28">
          <cell r="B28" t="str">
            <v>LTM/0446/24-25</v>
          </cell>
          <cell r="I28" t="str">
            <v>KAPS-FS-2075-04-07-2024</v>
          </cell>
          <cell r="J28">
            <v>3910</v>
          </cell>
          <cell r="M28">
            <v>1373.67</v>
          </cell>
        </row>
        <row r="29">
          <cell r="B29" t="str">
            <v>LTM/0446/24-25</v>
          </cell>
          <cell r="I29" t="str">
            <v>PQZI-EI-7599-03-09-2024</v>
          </cell>
          <cell r="J29">
            <v>3919.9090000000001</v>
          </cell>
          <cell r="M29">
            <v>1373.67</v>
          </cell>
        </row>
        <row r="30">
          <cell r="B30" t="str">
            <v>LTM/0446/24-25</v>
          </cell>
          <cell r="I30" t="str">
            <v>KAPE-TI-17958-12-09-2023</v>
          </cell>
          <cell r="J30">
            <v>9606.2099999999991</v>
          </cell>
          <cell r="M30">
            <v>268</v>
          </cell>
        </row>
        <row r="31">
          <cell r="B31" t="str">
            <v>LTM/0446/24-25</v>
          </cell>
          <cell r="I31" t="str">
            <v>KAPE-TI-17343-08-09-2023</v>
          </cell>
          <cell r="J31">
            <v>5807.1030000000001</v>
          </cell>
          <cell r="M31">
            <v>26</v>
          </cell>
        </row>
        <row r="32">
          <cell r="B32" t="str">
            <v>LTM/0446/24-25</v>
          </cell>
          <cell r="I32" t="str">
            <v>KPAF-TI-24467-21-11-2023</v>
          </cell>
          <cell r="J32">
            <v>5807.9</v>
          </cell>
          <cell r="M32">
            <v>69</v>
          </cell>
        </row>
        <row r="33">
          <cell r="B33" t="str">
            <v>LTM/0446/24-25</v>
          </cell>
          <cell r="I33" t="str">
            <v>KAPE-TI-78911-11-06-2024</v>
          </cell>
          <cell r="J33">
            <v>9606.2919999999995</v>
          </cell>
          <cell r="M33">
            <v>62.21</v>
          </cell>
        </row>
        <row r="34">
          <cell r="B34" t="str">
            <v>LTM/0446/24-25</v>
          </cell>
          <cell r="I34" t="str">
            <v>KAPW-FS-199895-27-06-2024</v>
          </cell>
          <cell r="J34">
            <v>2847</v>
          </cell>
          <cell r="M34">
            <v>1156.4100000000001</v>
          </cell>
        </row>
        <row r="35">
          <cell r="B35" t="str">
            <v>LTM/0446/24-25</v>
          </cell>
          <cell r="I35" t="str">
            <v>KAPW-TI-192662-11-06-2024</v>
          </cell>
          <cell r="J35">
            <v>9606.2099999999991</v>
          </cell>
          <cell r="M35">
            <v>263</v>
          </cell>
        </row>
        <row r="36">
          <cell r="B36" t="str">
            <v>LTM/0446/24-25</v>
          </cell>
          <cell r="I36" t="str">
            <v>KAPE-TI-17957-12-09-2023</v>
          </cell>
          <cell r="J36">
            <v>9606.2099999999991</v>
          </cell>
          <cell r="M36">
            <v>219.5</v>
          </cell>
        </row>
        <row r="37">
          <cell r="B37" t="str">
            <v>LTM/0446/24-25</v>
          </cell>
          <cell r="I37" t="str">
            <v>KAPE-TI-387-05-07-2023</v>
          </cell>
          <cell r="J37">
            <v>5807.1030000000001</v>
          </cell>
          <cell r="M37">
            <v>269</v>
          </cell>
        </row>
        <row r="38">
          <cell r="B38" t="str">
            <v>LTM/0446/24-25</v>
          </cell>
          <cell r="I38" t="str">
            <v>KAPE-TI-78911-11-06-2024</v>
          </cell>
          <cell r="J38">
            <v>9606.2919999999995</v>
          </cell>
          <cell r="M38">
            <v>139</v>
          </cell>
        </row>
        <row r="39">
          <cell r="B39" t="str">
            <v>LTM/0447/24-25</v>
          </cell>
          <cell r="I39" t="str">
            <v>31012024-A-058516</v>
          </cell>
          <cell r="J39">
            <v>2815.12</v>
          </cell>
          <cell r="M39">
            <v>931</v>
          </cell>
        </row>
        <row r="40">
          <cell r="B40" t="str">
            <v>LTM/0447/24-25</v>
          </cell>
          <cell r="I40" t="str">
            <v>KAPW-FS-199895-27-06-2024</v>
          </cell>
          <cell r="J40">
            <v>2847</v>
          </cell>
          <cell r="M40">
            <v>698.62</v>
          </cell>
        </row>
        <row r="41">
          <cell r="B41" t="str">
            <v>LTM/0447/24-25</v>
          </cell>
          <cell r="I41" t="str">
            <v>14062024-A-115558</v>
          </cell>
          <cell r="J41">
            <v>2501.009</v>
          </cell>
          <cell r="M41">
            <v>931</v>
          </cell>
        </row>
        <row r="42">
          <cell r="B42" t="str">
            <v>LTM/0447/24-25</v>
          </cell>
          <cell r="I42" t="str">
            <v>LPEX-PF-924-09-07-2024</v>
          </cell>
          <cell r="J42">
            <v>5206.12</v>
          </cell>
          <cell r="M42">
            <v>9409</v>
          </cell>
        </row>
        <row r="43">
          <cell r="B43" t="str">
            <v>LTM/0447/24-25</v>
          </cell>
          <cell r="I43" t="str">
            <v>KAPS-FS-2075-04-07-2024</v>
          </cell>
          <cell r="J43">
            <v>3910</v>
          </cell>
          <cell r="M43">
            <v>931.49</v>
          </cell>
        </row>
        <row r="44">
          <cell r="B44" t="str">
            <v>LTM/0447/24-25</v>
          </cell>
          <cell r="I44" t="str">
            <v>KPAF-TI-24467-21-11-2023</v>
          </cell>
          <cell r="J44">
            <v>5807.9</v>
          </cell>
          <cell r="M44">
            <v>89</v>
          </cell>
        </row>
        <row r="45">
          <cell r="B45" t="str">
            <v>LTM/0447/24-25</v>
          </cell>
          <cell r="I45" t="str">
            <v>KAPE-TI-78911-11-06-2024</v>
          </cell>
          <cell r="J45">
            <v>9606.2919999999995</v>
          </cell>
          <cell r="M45">
            <v>49</v>
          </cell>
        </row>
        <row r="46">
          <cell r="B46" t="str">
            <v>LTM/0447/24-25</v>
          </cell>
          <cell r="I46" t="str">
            <v>KAPW-TI-192997-12-06-2024</v>
          </cell>
          <cell r="J46">
            <v>3926.9099000000001</v>
          </cell>
          <cell r="M46">
            <v>13545</v>
          </cell>
        </row>
        <row r="47">
          <cell r="B47" t="str">
            <v>LTM/0447/24-25</v>
          </cell>
          <cell r="I47" t="str">
            <v>KAPW-FS-199895-27-06-2024</v>
          </cell>
          <cell r="J47">
            <v>2847</v>
          </cell>
          <cell r="M47">
            <v>522.74</v>
          </cell>
        </row>
        <row r="48">
          <cell r="B48" t="str">
            <v>LTM/0447/24-25</v>
          </cell>
          <cell r="I48" t="str">
            <v>KPAF-TI-24467-21-11-2023</v>
          </cell>
          <cell r="J48">
            <v>5807.9</v>
          </cell>
          <cell r="M48">
            <v>93</v>
          </cell>
        </row>
        <row r="49">
          <cell r="B49" t="str">
            <v>LTM/0447/24-25</v>
          </cell>
          <cell r="I49" t="str">
            <v>KAPE-TI-78911-11-06-2024</v>
          </cell>
          <cell r="J49">
            <v>9606.2919999999995</v>
          </cell>
          <cell r="M49">
            <v>59</v>
          </cell>
        </row>
        <row r="50">
          <cell r="B50" t="str">
            <v>LTM/0447/24-25</v>
          </cell>
          <cell r="I50" t="str">
            <v>KAPW-TI-192997-12-06-2024</v>
          </cell>
          <cell r="J50">
            <v>3926.9099000000001</v>
          </cell>
          <cell r="M50">
            <v>18059</v>
          </cell>
        </row>
        <row r="51">
          <cell r="B51" t="str">
            <v>LTM/0448/24-25</v>
          </cell>
          <cell r="I51" t="str">
            <v>31012024-A-058516</v>
          </cell>
          <cell r="J51">
            <v>2815.12</v>
          </cell>
          <cell r="M51">
            <v>2115</v>
          </cell>
        </row>
        <row r="52">
          <cell r="B52" t="str">
            <v>LTM/0448/24-25</v>
          </cell>
          <cell r="I52" t="str">
            <v>KAPW-FS-199895-27-06-2024</v>
          </cell>
          <cell r="J52">
            <v>2847</v>
          </cell>
          <cell r="M52">
            <v>1585.91</v>
          </cell>
        </row>
        <row r="53">
          <cell r="B53" t="str">
            <v>LTM/0448/24-25</v>
          </cell>
          <cell r="I53" t="str">
            <v>14062024-A-115558</v>
          </cell>
          <cell r="J53">
            <v>2501.009</v>
          </cell>
          <cell r="M53">
            <v>2115</v>
          </cell>
        </row>
        <row r="54">
          <cell r="B54" t="str">
            <v>LTM/0448/24-25</v>
          </cell>
          <cell r="I54" t="str">
            <v>KPPI-FS-7424-08-08-2024</v>
          </cell>
          <cell r="J54">
            <v>5201.009</v>
          </cell>
          <cell r="M54">
            <v>9611.66</v>
          </cell>
        </row>
        <row r="55">
          <cell r="B55" t="str">
            <v>LTM/0448/24-25</v>
          </cell>
          <cell r="I55" t="str">
            <v>KAPS-FS-133478-17-05-2024</v>
          </cell>
          <cell r="J55">
            <v>5503.201</v>
          </cell>
          <cell r="M55">
            <v>17621.02</v>
          </cell>
        </row>
        <row r="56">
          <cell r="B56" t="str">
            <v>LTM/0448/24-25</v>
          </cell>
          <cell r="I56" t="str">
            <v>KAPS-FS-2075-04-07-2024</v>
          </cell>
          <cell r="J56">
            <v>3910</v>
          </cell>
          <cell r="M56">
            <v>2114.54</v>
          </cell>
        </row>
        <row r="57">
          <cell r="B57" t="str">
            <v>LTM/0448/24-25</v>
          </cell>
          <cell r="I57" t="str">
            <v>KAPW-TI-192997-12-06-2024</v>
          </cell>
          <cell r="J57">
            <v>3926.9099000000001</v>
          </cell>
          <cell r="M57">
            <v>28056</v>
          </cell>
        </row>
        <row r="58">
          <cell r="B58" t="str">
            <v>LTM/0448/24-25</v>
          </cell>
          <cell r="I58" t="str">
            <v>KPAF-TI-24467-21-11-2023</v>
          </cell>
          <cell r="J58">
            <v>5807.9</v>
          </cell>
          <cell r="M58">
            <v>109</v>
          </cell>
        </row>
        <row r="59">
          <cell r="B59" t="str">
            <v>LTM/0448/24-25</v>
          </cell>
          <cell r="I59" t="str">
            <v>KPAF-TI-13848-21-09-2023</v>
          </cell>
          <cell r="J59">
            <v>5807.9</v>
          </cell>
          <cell r="M59">
            <v>31</v>
          </cell>
        </row>
        <row r="60">
          <cell r="B60" t="str">
            <v>LTM/0448/24-25</v>
          </cell>
          <cell r="I60" t="str">
            <v>KAPE-TI-78911-11-06-2024</v>
          </cell>
          <cell r="J60">
            <v>9606.2919999999995</v>
          </cell>
          <cell r="M60">
            <v>119</v>
          </cell>
        </row>
        <row r="61">
          <cell r="B61" t="str">
            <v>LTM/0448/24-25</v>
          </cell>
          <cell r="I61" t="str">
            <v>KAPW-FS-199895-27-06-2024</v>
          </cell>
          <cell r="J61">
            <v>2847</v>
          </cell>
          <cell r="M61">
            <v>1800.71</v>
          </cell>
        </row>
        <row r="62">
          <cell r="B62" t="str">
            <v>LTM/0448/24-25</v>
          </cell>
          <cell r="I62" t="str">
            <v>KAPW-TI-192997-12-06-2024</v>
          </cell>
          <cell r="J62">
            <v>3926.9099000000001</v>
          </cell>
          <cell r="M62">
            <v>47486</v>
          </cell>
        </row>
        <row r="63">
          <cell r="B63" t="str">
            <v>LTM/0448/24-25</v>
          </cell>
          <cell r="I63" t="str">
            <v>KPAF-TI-13848-21-09-2023</v>
          </cell>
          <cell r="J63">
            <v>5807.9</v>
          </cell>
          <cell r="M63">
            <v>231</v>
          </cell>
        </row>
        <row r="64">
          <cell r="B64" t="str">
            <v>LTM/0448/24-25</v>
          </cell>
          <cell r="I64" t="str">
            <v>KPAF-TI-60878-03-06-2024</v>
          </cell>
          <cell r="J64">
            <v>5807.1030000000001</v>
          </cell>
          <cell r="M64">
            <v>47</v>
          </cell>
        </row>
        <row r="65">
          <cell r="B65" t="str">
            <v>LTM/0448/24-25</v>
          </cell>
          <cell r="I65" t="str">
            <v>KPAF-TI-30809-27-12-2023</v>
          </cell>
          <cell r="J65">
            <v>5807.9</v>
          </cell>
          <cell r="M65">
            <v>51</v>
          </cell>
        </row>
        <row r="66">
          <cell r="B66" t="str">
            <v>LTM/0448/24-25</v>
          </cell>
          <cell r="I66" t="str">
            <v>KAPE-TI-78911-11-06-2024</v>
          </cell>
          <cell r="J66">
            <v>9606.2919999999995</v>
          </cell>
          <cell r="M66">
            <v>233</v>
          </cell>
        </row>
        <row r="476">
          <cell r="B476" t="str">
            <v>KPPE-EF-73562-27-09-2024</v>
          </cell>
        </row>
        <row r="495">
          <cell r="B495" t="str">
            <v>KPPE-EF-75801-30-09-2024</v>
          </cell>
        </row>
        <row r="496">
          <cell r="B496" t="str">
            <v>KPPE-EF-75780-30-09-2024</v>
          </cell>
        </row>
        <row r="497">
          <cell r="B497" t="str">
            <v>KPPE-EF-75793-30-09-2024</v>
          </cell>
        </row>
        <row r="498">
          <cell r="B498" t="str">
            <v>KPEX-EF-58463-01-10-2024</v>
          </cell>
        </row>
        <row r="545">
          <cell r="B545" t="str">
            <v>NON EFS GDS DATA</v>
          </cell>
        </row>
        <row r="546">
          <cell r="B546" t="str">
            <v>KPPE-SB-64-01-07-2024</v>
          </cell>
        </row>
        <row r="547">
          <cell r="B547" t="str">
            <v>KPPE-SB-2438-03-07-2024</v>
          </cell>
        </row>
        <row r="548">
          <cell r="B548" t="str">
            <v>KPEX-SB-4288-07-07-2024</v>
          </cell>
        </row>
        <row r="549">
          <cell r="B549" t="str">
            <v>KPPE-SB-5722-07-07-2024</v>
          </cell>
        </row>
        <row r="550">
          <cell r="B550" t="str">
            <v>KPPE-SB-6616-08-07-2024</v>
          </cell>
        </row>
        <row r="551">
          <cell r="B551" t="str">
            <v>KPEX-SB-5238-08-07-2024</v>
          </cell>
        </row>
        <row r="552">
          <cell r="B552" t="str">
            <v>KPAE-SB-3303-10-07-2024</v>
          </cell>
        </row>
        <row r="553">
          <cell r="B553" t="str">
            <v>KPAE-SB-3306-10-07-2024</v>
          </cell>
        </row>
        <row r="554">
          <cell r="B554" t="str">
            <v>KPPE-SB-12590-14-07-2024</v>
          </cell>
        </row>
        <row r="555">
          <cell r="B555" t="str">
            <v>KPPE-SB-13862-15-07-2024</v>
          </cell>
        </row>
        <row r="556">
          <cell r="B556" t="str">
            <v>KPAE-SB-5956-19-07-2024</v>
          </cell>
        </row>
        <row r="557">
          <cell r="B557" t="str">
            <v>KPPE-SB-15594-19-07-2024</v>
          </cell>
        </row>
        <row r="558">
          <cell r="B558" t="str">
            <v>KPPE-SB-21252-26-07-2024</v>
          </cell>
        </row>
        <row r="559">
          <cell r="B559" t="str">
            <v>KPPE-SB-24586-30-07-2024</v>
          </cell>
        </row>
        <row r="560">
          <cell r="B560" t="str">
            <v>KPPE-SB-25267-30-07-2024</v>
          </cell>
        </row>
        <row r="561">
          <cell r="B561" t="str">
            <v>KPEX-SB-19061-31-07-2024</v>
          </cell>
        </row>
        <row r="562">
          <cell r="B562" t="str">
            <v>KPEX-SB-19614-31-07-2024</v>
          </cell>
        </row>
        <row r="563">
          <cell r="B563" t="str">
            <v>KPAE-SB-12725-07-08-2024</v>
          </cell>
        </row>
        <row r="564">
          <cell r="B564" t="str">
            <v>KPPE-SB-35013-10-08-2024</v>
          </cell>
        </row>
        <row r="565">
          <cell r="B565" t="str">
            <v>KPEX-SB-29576-17-08-2024</v>
          </cell>
        </row>
        <row r="566">
          <cell r="B566" t="str">
            <v>KPPE-SB-42499-20-08-2024</v>
          </cell>
        </row>
        <row r="567">
          <cell r="B567" t="str">
            <v>KPPE-SB-42493-20-08-2024</v>
          </cell>
        </row>
        <row r="568">
          <cell r="B568" t="str">
            <v>KPPE-SB-43381-21-08-2024</v>
          </cell>
        </row>
        <row r="569">
          <cell r="B569" t="str">
            <v>KPAE-SB-18415-24-08-2024</v>
          </cell>
        </row>
        <row r="570">
          <cell r="B570" t="str">
            <v>KPAE-SB-20249-30-08-2024</v>
          </cell>
        </row>
        <row r="571">
          <cell r="B571" t="str">
            <v>KPAE-SB-20929-31-08-2024</v>
          </cell>
        </row>
        <row r="572">
          <cell r="B572" t="str">
            <v>KPEX-SB-38779-31-08-2024</v>
          </cell>
        </row>
        <row r="573">
          <cell r="B573" t="str">
            <v>KPAE-SB-20793-31-08-2024</v>
          </cell>
        </row>
        <row r="574">
          <cell r="B574" t="str">
            <v>KPPE-SB-53163-02-09-2024</v>
          </cell>
        </row>
        <row r="575">
          <cell r="B575" t="str">
            <v>KPAE-SB-21215-02-09-2024</v>
          </cell>
        </row>
        <row r="576">
          <cell r="B576" t="str">
            <v>KPAE-SB-21640-03-09-2024</v>
          </cell>
        </row>
        <row r="577">
          <cell r="B577" t="str">
            <v>KPPE-SB-54169-03-09-2024</v>
          </cell>
        </row>
        <row r="578">
          <cell r="B578" t="str">
            <v>KPEX-SB-42420-06-09-2024</v>
          </cell>
        </row>
        <row r="579">
          <cell r="B579" t="str">
            <v>KPAE-SB-22766-06-09-2024</v>
          </cell>
        </row>
        <row r="580">
          <cell r="B580" t="str">
            <v>KPPE-SB-57085-06-09-2024</v>
          </cell>
        </row>
        <row r="581">
          <cell r="B581" t="str">
            <v>KPEX-SB-42846-07-09-2024</v>
          </cell>
        </row>
        <row r="582">
          <cell r="B582" t="str">
            <v>KPPE-SB-59434-09-09-2024</v>
          </cell>
        </row>
        <row r="583">
          <cell r="B583" t="str">
            <v>KPAE-SB-23689-10-09-2024</v>
          </cell>
        </row>
        <row r="584">
          <cell r="B584" t="str">
            <v>KPAE-SB-23896-10-09-2024</v>
          </cell>
        </row>
        <row r="585">
          <cell r="B585" t="str">
            <v>KPEX-SB-47528-14-09-2024</v>
          </cell>
        </row>
        <row r="586">
          <cell r="B586" t="str">
            <v>KPAE-SB-25973-16-09-2024</v>
          </cell>
        </row>
        <row r="587">
          <cell r="B587" t="str">
            <v>KPPE-SB-67120-20-09-2024</v>
          </cell>
        </row>
        <row r="588">
          <cell r="B588" t="str">
            <v>KPEX-SB-52359-21-09-2024</v>
          </cell>
        </row>
        <row r="589">
          <cell r="B589" t="str">
            <v>KPAE-SB-27829-21-09-2024</v>
          </cell>
        </row>
        <row r="590">
          <cell r="B590" t="str">
            <v>KPPE-SB-69779-23-09-2024</v>
          </cell>
        </row>
        <row r="591">
          <cell r="B591" t="str">
            <v>KPPE-SB-70911-24-09-2024</v>
          </cell>
        </row>
        <row r="592">
          <cell r="B592" t="str">
            <v>KPEX-SB-57416-28-09-2024</v>
          </cell>
        </row>
        <row r="593">
          <cell r="B593" t="str">
            <v>KPAE-SB-30175-28-09-2024</v>
          </cell>
        </row>
        <row r="594">
          <cell r="B594" t="str">
            <v>KPPE-SB-73925-28-09-2024</v>
          </cell>
        </row>
        <row r="595">
          <cell r="B595" t="str">
            <v>KPPE-SB-73929-28-09-2024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nan" refreshedDate="45566.536456481481" createdVersion="6" refreshedVersion="8" minRefreshableVersion="3" recordCount="103" xr:uid="{00000000-000A-0000-FFFF-FFFF04000000}">
  <cacheSource type="worksheet">
    <worksheetSource name="Balance"/>
  </cacheSource>
  <cacheFields count="4">
    <cacheField name="Inv.No" numFmtId="0">
      <sharedItems containsMixedTypes="1" containsNumber="1" containsInteger="1" minValue="-9" maxValue="11900000" count="1286">
        <s v="New"/>
        <n v="443"/>
        <n v="444"/>
        <n v="445"/>
        <n v="449"/>
        <n v="452"/>
        <n v="426000"/>
        <n v="1702" u="1"/>
        <n v="417" u="1"/>
        <n v="1637" u="1"/>
        <n v="1572" u="1"/>
        <n v="25" u="1"/>
        <n v="1507" u="1"/>
        <n v="94" u="1"/>
        <n v="1442" u="1"/>
        <n v="70200" u="1"/>
        <n v="352" u="1"/>
        <n v="1377" u="1"/>
        <n v="1247" u="1"/>
        <n v="1182" u="1"/>
        <n v="287" u="1"/>
        <n v="239" u="1"/>
        <n v="778" u="1"/>
        <n v="2660" u="1"/>
        <n v="648" u="1"/>
        <n v="450" u="1"/>
        <n v="1704" u="1"/>
        <n v="1639" u="1"/>
        <n v="1574" u="1"/>
        <n v="385" u="1"/>
        <n v="1509" u="1"/>
        <n v="1444" u="1"/>
        <n v="23" u="1"/>
        <n v="1379" u="1"/>
        <n v="86" u="1"/>
        <n v="320" u="1"/>
        <n v="1249" u="1"/>
        <n v="1184" u="1"/>
        <n v="1119" u="1"/>
        <n v="1054" u="1"/>
        <n v="974" u="1"/>
        <n v="223" u="1"/>
        <n v="16660" u="1"/>
        <n v="714" u="1"/>
        <n v="649" u="1"/>
        <n v="584" u="1"/>
        <n v="519" u="1"/>
        <n v="1706" u="1"/>
        <n v="418" u="1"/>
        <n v="1641" u="1"/>
        <n v="1576" u="1"/>
        <n v="1511" u="1"/>
        <n v="1446" u="1"/>
        <n v="353" u="1"/>
        <n v="1381" u="1"/>
        <n v="1316" u="1"/>
        <n v="21" u="1"/>
        <n v="1251" u="1"/>
        <n v="78" u="1"/>
        <n v="1186" u="1"/>
        <n v="288" u="1"/>
        <n v="1121" u="1"/>
        <n v="4100" u="1"/>
        <n v="780" u="1"/>
        <n v="72600" u="1"/>
        <n v="715" u="1"/>
        <n v="585" u="1"/>
        <n v="142" u="1"/>
        <n v="520" u="1"/>
        <n v="451" u="1"/>
        <n v="1708" u="1"/>
        <n v="1643" u="1"/>
        <n v="1578" u="1"/>
        <n v="386" u="1"/>
        <n v="1513" u="1"/>
        <n v="1448" u="1"/>
        <n v="321" u="1"/>
        <n v="1188" u="1"/>
        <n v="19" u="1"/>
        <n v="1123" u="1"/>
        <n v="70" u="1"/>
        <n v="256" u="1"/>
        <n v="191" u="1"/>
        <n v="716" u="1"/>
        <n v="651" u="1"/>
        <n v="521" u="1"/>
        <n v="484" u="1"/>
        <n v="1710" u="1"/>
        <n v="419" u="1"/>
        <n v="1645" u="1"/>
        <n v="1580" u="1"/>
        <n v="1515" u="1"/>
        <n v="1450" u="1"/>
        <n v="354" u="1"/>
        <n v="1385" u="1"/>
        <n v="1255" u="1"/>
        <n v="1190" u="1"/>
        <n v="289" u="1"/>
        <n v="1125" u="1"/>
        <n v="1060" u="1"/>
        <n v="17" u="1"/>
        <n v="63" u="1"/>
        <n v="847" u="1"/>
        <n v="717" u="1"/>
        <n v="175" u="1"/>
        <n v="652" u="1"/>
        <n v="587" u="1"/>
        <n v="522" u="1"/>
        <n v="31600" u="1"/>
        <n v="1712" u="1"/>
        <n v="1647" u="1"/>
        <n v="1582" u="1"/>
        <n v="387" u="1"/>
        <n v="1452" u="1"/>
        <n v="1387" u="1"/>
        <n v="1322" u="1"/>
        <n v="322" u="1"/>
        <n v="1257" u="1"/>
        <n v="403000" u="1"/>
        <n v="1192" u="1"/>
        <n v="1127" u="1"/>
        <n v="1062" u="1"/>
        <n v="257" u="1"/>
        <n v="913" u="1"/>
        <n v="224" u="1"/>
        <n v="718" u="1"/>
        <n v="2680" u="1"/>
        <n v="653" u="1"/>
        <n v="159" u="1"/>
        <n v="588" u="1"/>
        <n v="523" u="1"/>
        <n v="485" u="1"/>
        <n v="111" u="1"/>
        <n v="1714" u="1"/>
        <n v="420" u="1"/>
        <n v="1649" u="1"/>
        <n v="1584" u="1"/>
        <n v="1454" u="1"/>
        <n v="355" u="1"/>
        <n v="1389" u="1"/>
        <n v="1259" u="1"/>
        <n v="1194" u="1"/>
        <n v="290" u="1"/>
        <n v="1129" u="1"/>
        <n v="1" u="1"/>
        <n v="914" u="1"/>
        <n v="55" u="1"/>
        <n v="849" u="1"/>
        <n v="784" u="1"/>
        <n v="719" u="1"/>
        <n v="654" u="1"/>
        <n v="524" u="1"/>
        <n v="7260" u="1"/>
        <n v="453" u="1"/>
        <n v="1716" u="1"/>
        <n v="1651" u="1"/>
        <n v="103" u="1"/>
        <n v="1586" u="1"/>
        <n v="388" u="1"/>
        <n v="1521" u="1"/>
        <n v="1391" u="1"/>
        <n v="17230" u="1"/>
        <n v="323" u="1"/>
        <n v="1196" u="1"/>
        <n v="119000" u="1"/>
        <n v="1131" u="1"/>
        <n v="1066" u="1"/>
        <n v="258" u="1"/>
        <n v="980" u="1"/>
        <n v="915" u="1"/>
        <n v="850" u="1"/>
        <n v="192" u="1"/>
        <n v="720" u="1"/>
        <n v="655" u="1"/>
        <n v="525" u="1"/>
        <n v="486" u="1"/>
        <n v="42600" u="1"/>
        <n v="1718" u="1"/>
        <n v="421" u="1"/>
        <n v="1653" u="1"/>
        <n v="1588" u="1"/>
        <n v="1523" u="1"/>
        <n v="95" u="1"/>
        <n v="1458" u="1"/>
        <n v="356" u="1"/>
        <n v="1328" u="1"/>
        <n v="1198" u="1"/>
        <n v="291" u="1"/>
        <n v="1133" u="1"/>
        <n v="1068" u="1"/>
        <n v="241" u="1"/>
        <n v="721" u="1"/>
        <n v="656" u="1"/>
        <n v="526" u="1"/>
        <n v="454" u="1"/>
        <n v="1720" u="1"/>
        <n v="1655" u="1"/>
        <n v="1590" u="1"/>
        <n v="389" u="1"/>
        <n v="1525" u="1"/>
        <n v="1460" u="1"/>
        <n v="1395" u="1"/>
        <n v="87" u="1"/>
        <n v="1330" u="1"/>
        <n v="324" u="1"/>
        <n v="1265" u="1"/>
        <n v="1135" u="1"/>
        <n v="259" u="1"/>
        <n v="982" u="1"/>
        <n v="852" u="1"/>
        <n v="787" u="1"/>
        <n v="722" u="1"/>
        <n v="16790" u="1"/>
        <n v="43" u="1"/>
        <n v="657" u="1"/>
        <n v="10016" u="1"/>
        <n v="160" u="1"/>
        <n v="121400" u="1"/>
        <n v="76900" u="1"/>
        <n v="527" u="1"/>
        <n v="487" u="1"/>
        <n v="1722" u="1"/>
        <n v="422" u="1"/>
        <n v="1657" u="1"/>
        <n v="1592" u="1"/>
        <n v="1462" u="1"/>
        <n v="1397" u="1"/>
        <n v="1332" u="1"/>
        <n v="1267" u="1"/>
        <n v="79" u="1"/>
        <n v="292" u="1"/>
        <n v="1137" u="1"/>
        <n v="1072" u="1"/>
        <n v="918" u="1"/>
        <n v="853" u="1"/>
        <n v="723" u="1"/>
        <n v="2830" u="1"/>
        <n v="39" u="1"/>
        <n v="593" u="1"/>
        <n v="528" u="1"/>
        <n v="455" u="1"/>
        <n v="1724" u="1"/>
        <n v="1659" u="1"/>
        <n v="1594" u="1"/>
        <n v="390" u="1"/>
        <n v="1464" u="1"/>
        <n v="1399" u="1"/>
        <n v="325" u="1"/>
        <n v="1204" u="1"/>
        <n v="1139" u="1"/>
        <n v="71" u="1"/>
        <n v="1074" u="1"/>
        <n v="260" u="1"/>
        <n v="854" u="1"/>
        <n v="789" u="1"/>
        <n v="193" u="1"/>
        <n v="724" u="1"/>
        <n v="659" u="1"/>
        <n v="35" u="1"/>
        <n v="1726" u="1"/>
        <n v="423" u="1"/>
        <n v="1661" u="1"/>
        <n v="1531" u="1"/>
        <n v="1466" u="1"/>
        <n v="358" u="1"/>
        <n v="1336" u="1"/>
        <n v="293" u="1"/>
        <n v="1141" u="1"/>
        <n v="1076" u="1"/>
        <n v="242" u="1"/>
        <n v="790" u="1"/>
        <n v="725" u="1"/>
        <n v="660" u="1"/>
        <n v="530" u="1"/>
        <n v="10001" u="1"/>
        <n v="120" u="1"/>
        <n v="1728" u="1"/>
        <n v="1663" u="1"/>
        <n v="1598" u="1"/>
        <n v="391" u="1"/>
        <n v="1533" u="1"/>
        <n v="1468" u="1"/>
        <n v="1403" u="1"/>
        <n v="326" u="1"/>
        <n v="1273" u="1"/>
        <n v="1208" u="1"/>
        <n v="1078" u="1"/>
        <n v="261" u="1"/>
        <n v="921" u="1"/>
        <n v="226" u="1"/>
        <n v="791" u="1"/>
        <n v="726" u="1"/>
        <n v="661" u="1"/>
        <n v="161" u="1"/>
        <n v="531" u="1"/>
        <n v="14051" u="1"/>
        <n v="489" u="1"/>
        <n v="1730" u="1"/>
        <n v="424" u="1"/>
        <n v="1665" u="1"/>
        <n v="1600" u="1"/>
        <n v="1535" u="1"/>
        <n v="1470" u="1"/>
        <n v="359" u="1"/>
        <n v="1405" u="1"/>
        <n v="1340" u="1"/>
        <n v="1275" u="1"/>
        <n v="294" u="1"/>
        <n v="987" u="1"/>
        <n v="922" u="1"/>
        <n v="792" u="1"/>
        <n v="16950" u="1"/>
        <n v="145" u="1"/>
        <n v="532" u="1"/>
        <n v="457" u="1"/>
        <n v="1732" u="1"/>
        <n v="1667" u="1"/>
        <n v="104" u="1"/>
        <n v="1602" u="1"/>
        <n v="392" u="1"/>
        <n v="1537" u="1"/>
        <n v="1472" u="1"/>
        <n v="1407" u="1"/>
        <n v="1342" u="1"/>
        <n v="327" u="1"/>
        <n v="1212" u="1"/>
        <n v="1147" u="1"/>
        <n v="262" u="1"/>
        <n v="858" u="1"/>
        <n v="663" u="1"/>
        <n v="598" u="1"/>
        <n v="129" u="1"/>
        <n v="490" u="1"/>
        <n v="425" u="1"/>
        <n v="1669" u="1"/>
        <n v="1604" u="1"/>
        <n v="1539" u="1"/>
        <n v="96" u="1"/>
        <n v="360" u="1"/>
        <n v="1409" u="1"/>
        <n v="1344" u="1"/>
        <n v="1279" u="1"/>
        <n v="1214" u="1"/>
        <n v="26500" u="1"/>
        <n v="295" u="1"/>
        <n v="1149" u="1"/>
        <n v="1084" u="1"/>
        <n v="989" u="1"/>
        <n v="243" u="1"/>
        <n v="924" u="1"/>
        <n v="8694" u="1"/>
        <n v="178" u="1"/>
        <n v="599" u="1"/>
        <n v="534" u="1"/>
        <n v="458" u="1"/>
        <n v="10002" u="1"/>
        <n v="1671" u="1"/>
        <n v="1606" u="1"/>
        <n v="393" u="1"/>
        <n v="88" u="1"/>
        <n v="1346" u="1"/>
        <n v="328" u="1"/>
        <n v="1281" u="1"/>
        <n v="1216" u="1"/>
        <n v="1151" u="1"/>
        <n v="1086" u="1"/>
        <n v="263" u="1"/>
        <n v="990" u="1"/>
        <n v="860" u="1"/>
        <n v="665" u="1"/>
        <n v="600" u="1"/>
        <n v="10018" u="1"/>
        <n v="426" u="1"/>
        <n v="1673" u="1"/>
        <n v="1608" u="1"/>
        <n v="1478" u="1"/>
        <n v="361" u="1"/>
        <n v="1413" u="1"/>
        <n v="1348" u="1"/>
        <n v="1283" u="1"/>
        <n v="80" u="1"/>
        <n v="1218" u="1"/>
        <n v="1153" u="1"/>
        <n v="1088" u="1"/>
        <n v="991" u="1"/>
        <n v="796" u="1"/>
        <n v="731" u="1"/>
        <n v="11200" u="1"/>
        <n v="666" u="1"/>
        <n v="601" u="1"/>
        <n v="459" u="1"/>
        <n v="1675" u="1"/>
        <n v="1610" u="1"/>
        <n v="394" u="1"/>
        <n v="1545" u="1"/>
        <n v="1480" u="1"/>
        <n v="1415" u="1"/>
        <n v="1350" u="1"/>
        <n v="329" u="1"/>
        <n v="1155" u="1"/>
        <n v="72" u="1"/>
        <n v="992" u="1"/>
        <n v="927" u="1"/>
        <n v="16290" u="1"/>
        <n v="195" u="1"/>
        <n v="732" u="1"/>
        <n v="537" u="1"/>
        <n v="130" u="1"/>
        <n v="1742" u="1"/>
        <n v="427" u="1"/>
        <n v="1612" u="1"/>
        <n v="1547" u="1"/>
        <n v="1482" u="1"/>
        <n v="362" u="1"/>
        <n v="1417" u="1"/>
        <n v="1287" u="1"/>
        <n v="1222" u="1"/>
        <n v="297" u="1"/>
        <n v="1092" u="1"/>
        <n v="1027" u="1"/>
        <n v="3520" u="1"/>
        <n v="733" u="1"/>
        <n v="179" u="1"/>
        <n v="538" u="1"/>
        <n v="460" u="1"/>
        <n v="1744" u="1"/>
        <n v="1679" u="1"/>
        <n v="1614" u="1"/>
        <n v="395" u="1"/>
        <n v="1549" u="1"/>
        <n v="10003" u="1"/>
        <n v="1354" u="1"/>
        <n v="330" u="1"/>
        <n v="1289" u="1"/>
        <n v="1224" u="1"/>
        <n v="1159" u="1"/>
        <n v="265" u="1"/>
        <n v="60" u="1"/>
        <n v="163" u="1"/>
        <n v="113" u="1"/>
        <n v="428" u="1"/>
        <n v="1681" u="1"/>
        <n v="1551" u="1"/>
        <n v="10019" u="1"/>
        <n v="1486" u="1"/>
        <n v="363" u="1"/>
        <n v="1421" u="1"/>
        <n v="1356" u="1"/>
        <n v="1291" u="1"/>
        <n v="1226" u="1"/>
        <n v="298" u="1"/>
        <n v="1161" u="1"/>
        <n v="1096" u="1"/>
        <n v="4260" u="1"/>
        <n v="1031" u="1"/>
        <n v="56" u="1"/>
        <n v="800" u="1"/>
        <n v="670" u="1"/>
        <n v="540" u="1"/>
        <n v="461" u="1"/>
        <n v="1748" u="1"/>
        <n v="1683" u="1"/>
        <n v="105" u="1"/>
        <n v="1618" u="1"/>
        <n v="396" u="1"/>
        <n v="1553" u="1"/>
        <n v="1423" u="1"/>
        <n v="1358" u="1"/>
        <n v="331" u="1"/>
        <n v="1293" u="1"/>
        <n v="1228" u="1"/>
        <n v="1098" u="1"/>
        <n v="266" u="1"/>
        <n v="931" u="1"/>
        <n v="52" u="1"/>
        <n v="801" u="1"/>
        <n v="196" u="1"/>
        <n v="11280" u="1"/>
        <n v="671" u="1"/>
        <n v="606" u="1"/>
        <n v="541" u="1"/>
        <n v="429" u="1"/>
        <n v="1685" u="1"/>
        <n v="1620" u="1"/>
        <n v="1555" u="1"/>
        <n v="97" u="1"/>
        <n v="364" u="1"/>
        <n v="1295" u="1"/>
        <n v="1230" u="1"/>
        <n v="299" u="1"/>
        <n v="1100" u="1"/>
        <n v="1035" u="1"/>
        <n v="245" u="1"/>
        <n v="802" u="1"/>
        <n v="48" u="1"/>
        <n v="607" u="1"/>
        <n v="542" u="1"/>
        <n v="462" u="1"/>
        <n v="1687" u="1"/>
        <n v="1622" u="1"/>
        <n v="397" u="1"/>
        <n v="1557" u="1"/>
        <n v="1427" u="1"/>
        <n v="89" u="1"/>
        <n v="1362" u="1"/>
        <n v="332" u="1"/>
        <n v="10004" u="1"/>
        <n v="1167" u="1"/>
        <n v="1102" u="1"/>
        <n v="267" u="1"/>
        <n v="998" u="1"/>
        <n v="933" u="1"/>
        <n v="44" u="1"/>
        <n v="673" u="1"/>
        <n v="164" u="1"/>
        <n v="172300" u="1"/>
        <n v="608" u="1"/>
        <n v="543" u="1"/>
        <n v="495" u="1"/>
        <n v="430" u="1"/>
        <n v="1689" u="1"/>
        <n v="1624" u="1"/>
        <n v="1559" u="1"/>
        <n v="365" u="1"/>
        <n v="1364" u="1"/>
        <n v="1299" u="1"/>
        <n v="10020" u="1"/>
        <n v="81" u="1"/>
        <n v="1234" u="1"/>
        <n v="300" u="1"/>
        <n v="1104" u="1"/>
        <n v="934" u="1"/>
        <n v="265000" u="1"/>
        <n v="869" u="1"/>
        <n v="739" u="1"/>
        <n v="40" u="1"/>
        <n v="148" u="1"/>
        <n v="463" u="1"/>
        <n v="1691" u="1"/>
        <n v="1626" u="1"/>
        <n v="398" u="1"/>
        <n v="1561" u="1"/>
        <n v="1496" u="1"/>
        <n v="1431" u="1"/>
        <n v="1366" u="1"/>
        <n v="333" u="1"/>
        <n v="1301" u="1"/>
        <n v="1171" u="1"/>
        <n v="73" u="1"/>
        <n v="268" u="1"/>
        <n v="1041" u="1"/>
        <n v="1000" u="1"/>
        <n v="935" u="1"/>
        <n v="805" u="1"/>
        <n v="197" u="1"/>
        <n v="740" u="1"/>
        <n v="36" u="1"/>
        <n v="431" u="1"/>
        <n v="1693" u="1"/>
        <n v="1628" u="1"/>
        <n v="1498" u="1"/>
        <n v="366" u="1"/>
        <n v="1433" u="1"/>
        <n v="1303" u="1"/>
        <n v="301" u="1"/>
        <n v="1173" u="1"/>
        <n v="1043" u="1"/>
        <n v="65" u="1"/>
        <n v="1001" u="1"/>
        <n v="246" u="1"/>
        <n v="936" u="1"/>
        <n v="871" u="1"/>
        <n v="806" u="1"/>
        <n v="741" u="1"/>
        <n v="611" u="1"/>
        <n v="546" u="1"/>
        <n v="32" u="1"/>
        <n v="1890" u="1"/>
        <n v="464" u="1"/>
        <n v="1695" u="1"/>
        <n v="1630" u="1"/>
        <n v="1500" u="1"/>
        <n v="334" u="1"/>
        <n v="1305" u="1"/>
        <n v="1175" u="1"/>
        <n v="1110" u="1"/>
        <n v="269" u="1"/>
        <n v="10005" u="1"/>
        <n v="937" u="1"/>
        <n v="807" u="1"/>
        <n v="742" u="1"/>
        <n v="677" u="1"/>
        <n v="165" u="1"/>
        <n v="547" u="1"/>
        <n v="11770" u="1"/>
        <n v="30" u="1"/>
        <n v="432" u="1"/>
        <n v="1697" u="1"/>
        <n v="1632" u="1"/>
        <n v="1567" u="1"/>
        <n v="1502" u="1"/>
        <n v="367" u="1"/>
        <n v="1307" u="1"/>
        <n v="1242" u="1"/>
        <n v="302" u="1"/>
        <n v="1177" u="1"/>
        <n v="1047" u="1"/>
        <n v="4080" u="1"/>
        <n v="10021" u="1"/>
        <n v="1003" u="1"/>
        <n v="873" u="1"/>
        <n v="808" u="1"/>
        <n v="743" u="1"/>
        <n v="678" u="1"/>
        <n v="2650" u="1"/>
        <n v="613" u="1"/>
        <n v="149" u="1"/>
        <n v="548" u="1"/>
        <n v="28" u="1"/>
        <n v="1699" u="1"/>
        <n v="106" u="1"/>
        <n v="1634" u="1"/>
        <n v="400" u="1"/>
        <n v="1569" u="1"/>
        <n v="1504" u="1"/>
        <n v="1439" u="1"/>
        <n v="1374" u="1"/>
        <n v="335" u="1"/>
        <n v="1309" u="1"/>
        <n v="1244" u="1"/>
        <n v="1179" u="1"/>
        <n v="1114" u="1"/>
        <n v="270" u="1"/>
        <n v="1049" u="1"/>
        <n v="939" u="1"/>
        <n v="874" u="1"/>
        <n v="809" u="1"/>
        <n v="744" u="1"/>
        <n v="614" u="1"/>
        <n v="549" u="1"/>
        <n v="498" u="1"/>
        <n v="7720" u="1"/>
        <n v="433" u="1"/>
        <n v="1701" u="1"/>
        <n v="1636" u="1"/>
        <n v="10699" u="1"/>
        <n v="26" u="1"/>
        <n v="1571" u="1"/>
        <n v="98" u="1"/>
        <n v="1441" u="1"/>
        <n v="1376" u="1"/>
        <n v="1311" u="1"/>
        <n v="1246" u="1"/>
        <n v="303" u="1"/>
        <n v="1116" u="1"/>
        <n v="940" u="1"/>
        <n v="875" u="1"/>
        <n v="810" u="1"/>
        <n v="680" u="1"/>
        <n v="550" u="1"/>
        <n v="466" u="1"/>
        <n v="1703" u="1"/>
        <n v="1638" u="1"/>
        <n v="1508" u="1"/>
        <n v="24" u="1"/>
        <n v="1443" u="1"/>
        <n v="90" u="1"/>
        <n v="1378" u="1"/>
        <n v="336" u="1"/>
        <n v="1183" u="1"/>
        <n v="271" u="1"/>
        <n v="1053" u="1"/>
        <n v="941" u="1"/>
        <n v="231" u="1"/>
        <n v="10006" u="1"/>
        <n v="811" u="1"/>
        <n v="681" u="1"/>
        <n v="616" u="1"/>
        <n v="551" u="1"/>
        <n v="499" u="1"/>
        <n v="434" u="1"/>
        <n v="1705" u="1"/>
        <n v="1640" u="1"/>
        <n v="1575" u="1"/>
        <n v="369" u="1"/>
        <n v="1445" u="1"/>
        <n v="1380" u="1"/>
        <n v="22" u="1"/>
        <n v="1315" u="1"/>
        <n v="82" u="1"/>
        <n v="1250" u="1"/>
        <n v="304" u="1"/>
        <n v="1185" u="1"/>
        <n v="1120" u="1"/>
        <n v="1055" u="1"/>
        <n v="942" u="1"/>
        <n v="10022" u="1"/>
        <n v="812" u="1"/>
        <n v="617" u="1"/>
        <n v="150" u="1"/>
        <n v="11850" u="1"/>
        <n v="1707" u="1"/>
        <n v="402" u="1"/>
        <n v="1577" u="1"/>
        <n v="1512" u="1"/>
        <n v="1447" u="1"/>
        <n v="1382" u="1"/>
        <n v="337" u="1"/>
        <n v="1252" u="1"/>
        <n v="20" u="1"/>
        <n v="74" u="1"/>
        <n v="1122" u="1"/>
        <n v="272" u="1"/>
        <n v="1057" u="1"/>
        <n v="943" u="1"/>
        <n v="813" u="1"/>
        <n v="199" u="1"/>
        <n v="3060" u="1"/>
        <n v="167800" u="1"/>
        <n v="748" u="1"/>
        <n v="683" u="1"/>
        <n v="2670" u="1"/>
        <n v="618" u="1"/>
        <n v="435" u="1"/>
        <n v="1709" u="1"/>
        <n v="1644" u="1"/>
        <n v="1579" u="1"/>
        <n v="1514" u="1"/>
        <n v="370" u="1"/>
        <n v="1449" u="1"/>
        <n v="1384" u="1"/>
        <n v="305" u="1"/>
        <n v="1189" u="1"/>
        <n v="1124" u="1"/>
        <n v="18" u="1"/>
        <n v="1059" u="1"/>
        <n v="66" u="1"/>
        <n v="248" u="1"/>
        <n v="879" u="1"/>
        <n v="814" u="1"/>
        <n v="749" u="1"/>
        <n v="183" u="1"/>
        <n v="554" u="1"/>
        <n v="1711" u="1"/>
        <n v="1646" u="1"/>
        <n v="403" u="1"/>
        <n v="1581" u="1"/>
        <n v="1516" u="1"/>
        <n v="1451" u="1"/>
        <n v="1386" u="1"/>
        <n v="1321" u="1"/>
        <n v="1256" u="1"/>
        <n v="1191" u="1"/>
        <n v="732000" u="1"/>
        <n v="273" u="1"/>
        <n v="12150" u="1"/>
        <n v="16" u="1"/>
        <n v="61" u="1"/>
        <n v="232" u="1"/>
        <n v="880" u="1"/>
        <n v="815" u="1"/>
        <n v="10007" u="1"/>
        <n v="750" u="1"/>
        <n v="501" u="1"/>
        <n v="115" u="1"/>
        <n v="436" u="1"/>
        <n v="1713" u="1"/>
        <n v="1648" u="1"/>
        <n v="1583" u="1"/>
        <n v="1518" u="1"/>
        <n v="371" u="1"/>
        <n v="1453" u="1"/>
        <n v="1323" u="1"/>
        <n v="306" u="1"/>
        <n v="1128" u="1"/>
        <n v="1063" u="1"/>
        <n v="15" u="1"/>
        <n v="57" u="1"/>
        <n v="881" u="1"/>
        <n v="816" u="1"/>
        <n v="10023" u="1"/>
        <n v="751" u="1"/>
        <n v="621" u="1"/>
        <n v="469" u="1"/>
        <n v="1715" u="1"/>
        <n v="1650" u="1"/>
        <n v="404" u="1"/>
        <n v="1585" u="1"/>
        <n v="1455" u="1"/>
        <n v="1390" u="1"/>
        <n v="339" u="1"/>
        <n v="1325" u="1"/>
        <n v="1260" u="1"/>
        <n v="1130" u="1"/>
        <n v="274" u="1"/>
        <n v="947" u="1"/>
        <n v="882" u="1"/>
        <n v="14" u="1"/>
        <n v="53" u="1"/>
        <n v="817" u="1"/>
        <n v="135" u="1"/>
        <n v="502" u="1"/>
        <n v="11410" u="1"/>
        <n v="437" u="1"/>
        <n v="1717" u="1"/>
        <n v="1652" u="1"/>
        <n v="1587" u="1"/>
        <n v="99" u="1"/>
        <n v="1522" u="1"/>
        <n v="1392" u="1"/>
        <n v="1327" u="1"/>
        <n v="307" u="1"/>
        <n v="1197" u="1"/>
        <n v="1067" u="1"/>
        <n v="883" u="1"/>
        <n v="818" u="1"/>
        <n v="13" u="1"/>
        <n v="49" u="1"/>
        <n v="753" u="1"/>
        <n v="470" u="1"/>
        <n v="1719" u="1"/>
        <n v="1654" u="1"/>
        <n v="405" u="1"/>
        <n v="1589" u="1"/>
        <n v="40300" u="1"/>
        <n v="-9" u="1"/>
        <n v="1459" u="1"/>
        <n v="91" u="1"/>
        <n v="1394" u="1"/>
        <n v="340" u="1"/>
        <n v="1264" u="1"/>
        <n v="1199" u="1"/>
        <n v="1134" u="1"/>
        <n v="275" u="1"/>
        <n v="1069" u="1"/>
        <n v="1014" u="1"/>
        <n v="819" u="1"/>
        <n v="754" u="1"/>
        <n v="12" u="1"/>
        <n v="45" u="1"/>
        <n v="624" u="1"/>
        <n v="559" u="1"/>
        <n v="503" u="1"/>
        <n v="7020" u="1"/>
        <n v="438" u="1"/>
        <n v="1721" u="1"/>
        <n v="1656" u="1"/>
        <n v="1591" u="1"/>
        <n v="1526" u="1"/>
        <n v="1461" u="1"/>
        <n v="-8" u="1"/>
        <n v="1396" u="1"/>
        <n v="1331" u="1"/>
        <n v="83" u="1"/>
        <n v="1266" u="1"/>
        <n v="308" u="1"/>
        <n v="1201" u="1"/>
        <n v="1136" u="1"/>
        <n v="1071" u="1"/>
        <n v="1015" u="1"/>
        <n v="950" u="1"/>
        <n v="885" u="1"/>
        <n v="820" u="1"/>
        <n v="11" u="1"/>
        <n v="10024" u="1"/>
        <n v="41" u="1"/>
        <n v="152" u="1"/>
        <n v="1723" u="1"/>
        <n v="1658" u="1"/>
        <n v="406" u="1"/>
        <n v="1593" u="1"/>
        <n v="1463" u="1"/>
        <n v="341" u="1"/>
        <n v="1268" u="1"/>
        <n v="1203" u="1"/>
        <n v="75" u="1"/>
        <n v="276" u="1"/>
        <n v="1073" u="1"/>
        <n v="1016" u="1"/>
        <n v="17090" u="1"/>
        <n v="821" u="1"/>
        <n v="12640" u="1"/>
        <n v="626" u="1"/>
        <n v="10" u="1"/>
        <n v="37" u="1"/>
        <n v="561" u="1"/>
        <n v="136" u="1"/>
        <n v="504" u="1"/>
        <n v="439" u="1"/>
        <n v="1725" u="1"/>
        <n v="1660" u="1"/>
        <n v="374" u="1"/>
        <n v="1400" u="1"/>
        <n v="1335" u="1"/>
        <n v="1270" u="1"/>
        <n v="309" u="1"/>
        <n v="1205" u="1"/>
        <n v="-7" u="1"/>
        <n v="1075" u="1"/>
        <n v="67" u="1"/>
        <n v="7690" u="1"/>
        <n v="952" u="1"/>
        <n v="822" u="1"/>
        <n v="757" u="1"/>
        <n v="692" u="1"/>
        <n v="627" u="1"/>
        <n v="562" u="1"/>
        <n v="9" u="1"/>
        <n v="33" u="1"/>
        <n v="472" u="1"/>
        <n v="1727" u="1"/>
        <n v="1662" u="1"/>
        <n v="407" u="1"/>
        <n v="1402" u="1"/>
        <n v="1272" u="1"/>
        <n v="277" u="1"/>
        <n v="1077" u="1"/>
        <n v="1018" u="1"/>
        <n v="953" u="1"/>
        <n v="234" u="1"/>
        <n v="888" u="1"/>
        <n v="823" u="1"/>
        <n v="11900000" u="1"/>
        <n v="758" u="1"/>
        <n v="693" u="1"/>
        <n v="169" u="1"/>
        <n v="628" u="1"/>
        <n v="8" u="1"/>
        <n v="116" u="1"/>
        <n v="440" u="1"/>
        <n v="1729" u="1"/>
        <n v="1664" u="1"/>
        <n v="1599" u="1"/>
        <n v="1534" u="1"/>
        <n v="11900" u="1"/>
        <n v="375" u="1"/>
        <n v="1469" u="1"/>
        <n v="1404" u="1"/>
        <n v="1339" u="1"/>
        <n v="310" u="1"/>
        <n v="1079" u="1"/>
        <n v="1019" u="1"/>
        <n v="-6" u="1"/>
        <n v="824" u="1"/>
        <n v="759" u="1"/>
        <n v="694" u="1"/>
        <n v="629" u="1"/>
        <n v="564" u="1"/>
        <n v="10025" u="1"/>
        <n v="7320" u="1"/>
        <n v="1666" u="1"/>
        <n v="408" u="1"/>
        <n v="1601" u="1"/>
        <n v="1471" u="1"/>
        <n v="1406" u="1"/>
        <n v="343" u="1"/>
        <n v="1341" u="1"/>
        <n v="1211" u="1"/>
        <n v="278" u="1"/>
        <n v="825" u="1"/>
        <n v="202" u="1"/>
        <n v="695" u="1"/>
        <n v="565" u="1"/>
        <n v="137" u="1"/>
        <n v="441" u="1"/>
        <n v="1733" u="1"/>
        <n v="7" u="1"/>
        <n v="1668" u="1"/>
        <n v="1603" u="1"/>
        <n v="100" u="1"/>
        <n v="1538" u="1"/>
        <n v="376" u="1"/>
        <n v="1473" u="1"/>
        <n v="1408" u="1"/>
        <n v="1343" u="1"/>
        <n v="311" u="1"/>
        <n v="1213" u="1"/>
        <n v="1148" u="1"/>
        <n v="251" u="1"/>
        <n v="956" u="1"/>
        <n v="826" u="1"/>
        <n v="761" u="1"/>
        <n v="696" u="1"/>
        <n v="566" u="1"/>
        <n v="1735" u="1"/>
        <n v="1670" u="1"/>
        <n v="409" u="1"/>
        <n v="16620" u="1"/>
        <n v="1540" u="1"/>
        <n v="1475" u="1"/>
        <n v="92" u="1"/>
        <n v="344" u="1"/>
        <n v="1345" u="1"/>
        <n v="1280" u="1"/>
        <n v="1215" u="1"/>
        <n v="1150" u="1"/>
        <n v="279" u="1"/>
        <n v="1085" u="1"/>
        <n v="957" u="1"/>
        <n v="235" u="1"/>
        <n v="827" u="1"/>
        <n v="762" u="1"/>
        <n v="170" u="1"/>
        <n v="567" u="1"/>
        <n v="507" u="1"/>
        <n v="1737" u="1"/>
        <n v="1672" u="1"/>
        <n v="1607" u="1"/>
        <n v="377" u="1"/>
        <n v="1477" u="1"/>
        <n v="6" u="1"/>
        <n v="1412" u="1"/>
        <n v="1347" u="1"/>
        <n v="84" u="1"/>
        <n v="312" u="1"/>
        <n v="1152" u="1"/>
        <n v="1087" u="1"/>
        <n v="4030" u="1"/>
        <n v="958" u="1"/>
        <n v="219" u="1"/>
        <n v="154" u="1"/>
        <n v="475" u="1"/>
        <n v="1739" u="1"/>
        <n v="1674" u="1"/>
        <n v="410" u="1"/>
        <n v="1609" u="1"/>
        <n v="1479" u="1"/>
        <n v="1414" u="1"/>
        <n v="345" u="1"/>
        <n v="1349" u="1"/>
        <n v="166600" u="1"/>
        <n v="1219" u="1"/>
        <n v="76" u="1"/>
        <n v="1154" u="1"/>
        <n v="280" u="1"/>
        <n v="959" u="1"/>
        <n v="699" u="1"/>
        <n v="138" u="1"/>
        <n v="1741" u="1"/>
        <n v="73200" u="1"/>
        <n v="1676" u="1"/>
        <n v="1611" u="1"/>
        <n v="378" u="1"/>
        <n v="1481" u="1"/>
        <n v="1351" u="1"/>
        <n v="16590" u="1"/>
        <n v="1286" u="1"/>
        <n v="313" u="1"/>
        <n v="1221" u="1"/>
        <n v="5" u="1"/>
        <n v="1156" u="1"/>
        <n v="68" u="1"/>
        <n v="252" u="1"/>
        <n v="960" u="1"/>
        <n v="830" u="1"/>
        <n v="187" u="1"/>
        <n v="700" u="1"/>
        <n v="635" u="1"/>
        <n v="570" u="1"/>
        <n v="126400" u="1"/>
        <n v="476" u="1"/>
        <n v="1743" u="1"/>
        <n v="1678" u="1"/>
        <n v="411" u="1"/>
        <n v="1613" u="1"/>
        <n v="1548" u="1"/>
        <n v="1418" u="1"/>
        <n v="346" u="1"/>
        <n v="1353" u="1"/>
        <n v="1288" u="1"/>
        <n v="1223" u="1"/>
        <n v="281" u="1"/>
        <n v="1093" u="1"/>
        <n v="1028" u="1"/>
        <n v="62" u="1"/>
        <n v="961" u="1"/>
        <n v="236" u="1"/>
        <n v="831" u="1"/>
        <n v="701" u="1"/>
        <n v="636" u="1"/>
        <n v="571" u="1"/>
        <n v="509" u="1"/>
        <n v="117" u="1"/>
        <n v="1745" u="1"/>
        <n v="1680" u="1"/>
        <n v="16780" u="1"/>
        <n v="1550" u="1"/>
        <n v="379" u="1"/>
        <n v="1420" u="1"/>
        <n v="1355" u="1"/>
        <n v="1290" u="1"/>
        <n v="314" u="1"/>
        <n v="1225" u="1"/>
        <n v="1030" u="1"/>
        <n v="58" u="1"/>
        <n v="220" u="1"/>
        <n v="832" u="1"/>
        <n v="702" u="1"/>
        <n v="155" u="1"/>
        <n v="572" u="1"/>
        <n v="477" u="1"/>
        <n v="1747" u="1"/>
        <n v="109" u="1"/>
        <n v="1682" u="1"/>
        <n v="412" u="1"/>
        <n v="1617" u="1"/>
        <n v="1552" u="1"/>
        <n v="1487" u="1"/>
        <n v="347" u="1"/>
        <n v="1357" u="1"/>
        <n v="1292" u="1"/>
        <n v="1227" u="1"/>
        <n v="1162" u="1"/>
        <n v="282" u="1"/>
        <n v="1097" u="1"/>
        <n v="1723000" u="1"/>
        <n v="1032" u="1"/>
        <n v="898" u="1"/>
        <n v="54" u="1"/>
        <n v="833" u="1"/>
        <n v="204" u="1"/>
        <n v="768" u="1"/>
        <n v="638" u="1"/>
        <n v="573" u="1"/>
        <n v="1128000" u="1"/>
        <n v="510" u="1"/>
        <n v="1749" u="1"/>
        <n v="1684" u="1"/>
        <n v="1619" u="1"/>
        <n v="101" u="1"/>
        <n v="1554" u="1"/>
        <n v="380" u="1"/>
        <n v="1424" u="1"/>
        <n v="1359" u="1"/>
        <n v="1294" u="1"/>
        <n v="315" u="1"/>
        <n v="1164" u="1"/>
        <n v="1099" u="1"/>
        <n v="1034" u="1"/>
        <n v="253" u="1"/>
        <n v="899" u="1"/>
        <n v="50" u="1"/>
        <n v="769" u="1"/>
        <n v="188" u="1"/>
        <n v="639" u="1"/>
        <n v="574" u="1"/>
        <n v="1686" u="1"/>
        <n v="413" u="1"/>
        <n v="1621" u="1"/>
        <n v="1556" u="1"/>
        <n v="1491" u="1"/>
        <n v="93" u="1"/>
        <n v="348" u="1"/>
        <n v="1361" u="1"/>
        <n v="1296" u="1"/>
        <n v="1166" u="1"/>
        <n v="283" u="1"/>
        <n v="1101" u="1"/>
        <n v="1036" u="1"/>
        <n v="237" u="1"/>
        <n v="46" u="1"/>
        <n v="575" u="1"/>
        <n v="446" u="1"/>
        <n v="1688" u="1"/>
        <n v="1623" u="1"/>
        <n v="1558" u="1"/>
        <n v="381" u="1"/>
        <n v="1493" u="1"/>
        <n v="1363" u="1"/>
        <n v="85" u="1"/>
        <n v="316" u="1"/>
        <n v="1103" u="1"/>
        <n v="1038" u="1"/>
        <n v="221" u="1"/>
        <n v="836" u="1"/>
        <n v="771" u="1"/>
        <n v="3" u="1"/>
        <n v="42" u="1"/>
        <n v="641" u="1"/>
        <n v="156" u="1"/>
        <n v="576" u="1"/>
        <n v="479" u="1"/>
        <n v="414" u="1"/>
        <n v="1625" u="1"/>
        <n v="1430" u="1"/>
        <n v="349" u="1"/>
        <n v="1365" u="1"/>
        <n v="1300" u="1"/>
        <n v="1235" u="1"/>
        <n v="77" u="1"/>
        <n v="1170" u="1"/>
        <n v="284" u="1"/>
        <n v="1040" u="1"/>
        <n v="837" u="1"/>
        <n v="205" u="1"/>
        <n v="707" u="1"/>
        <n v="5470" u="1"/>
        <n v="577" u="1"/>
        <n v="512" u="1"/>
        <n v="447" u="1"/>
        <n v="1692" u="1"/>
        <n v="1627" u="1"/>
        <n v="1562" u="1"/>
        <n v="382" u="1"/>
        <n v="1432" u="1"/>
        <n v="13101" u="1"/>
        <n v="1367" u="1"/>
        <n v="1302" u="1"/>
        <n v="317" u="1"/>
        <n v="1172" u="1"/>
        <n v="1107" u="1"/>
        <n v="69" u="1"/>
        <n v="254" u="1"/>
        <n v="112800" u="1"/>
        <n v="838" u="1"/>
        <n v="3160" u="1"/>
        <n v="189" u="1"/>
        <n v="708" u="1"/>
        <n v="34" u="1"/>
        <n v="513" u="1"/>
        <n v="126" u="1"/>
        <n v="480" u="1"/>
        <n v="1694" u="1"/>
        <n v="415" u="1"/>
        <n v="1629" u="1"/>
        <n v="12140" u="1"/>
        <n v="1499" u="1"/>
        <n v="350" u="1"/>
        <n v="1304" u="1"/>
        <n v="1174" u="1"/>
        <n v="285" u="1"/>
        <n v="121500" u="1"/>
        <n v="1044" u="1"/>
        <n v="839" u="1"/>
        <n v="774" u="1"/>
        <n v="709" u="1"/>
        <n v="514" u="1"/>
        <n v="31" u="1"/>
        <n v="448" u="1"/>
        <n v="1696" u="1"/>
        <n v="1631" u="1"/>
        <n v="1566" u="1"/>
        <n v="383" u="1"/>
        <n v="1501" u="1"/>
        <n v="1436" u="1"/>
        <n v="1306" u="1"/>
        <n v="318" u="1"/>
        <n v="1241" u="1"/>
        <n v="1111" u="1"/>
        <n v="1046" u="1"/>
        <n v="222" u="1"/>
        <n v="775" u="1"/>
        <n v="710" u="1"/>
        <n v="157" u="1"/>
        <n v="580" u="1"/>
        <n v="2" u="1"/>
        <n v="481" u="1"/>
        <n v="29" u="1"/>
        <n v="1698" u="1"/>
        <n v="1633" u="1"/>
        <n v="1503" u="1"/>
        <n v="1438" u="1"/>
        <n v="351" u="1"/>
        <n v="1373" u="1"/>
        <n v="1178" u="1"/>
        <n v="286" u="1"/>
        <n v="1048" u="1"/>
        <n v="206" u="1"/>
        <n v="776" u="1"/>
        <n v="711" u="1"/>
        <n v="646" u="1"/>
        <n v="1700" u="1"/>
        <n v="27" u="1"/>
        <n v="1635" u="1"/>
        <n v="102" u="1"/>
        <n v="384" u="1"/>
        <n v="1505" u="1"/>
        <n v="1440" u="1"/>
        <n v="1310" u="1"/>
        <n v="319" u="1"/>
        <n v="1245" u="1"/>
        <n v="255" u="1"/>
        <n v="842" u="1"/>
        <n v="6290" u="1"/>
        <n v="777" u="1"/>
        <n v="712" u="1"/>
      </sharedItems>
    </cacheField>
    <cacheField name="Utilized" numFmtId="0">
      <sharedItems containsSemiMixedTypes="0" containsString="0" containsNumber="1" minValue="1.1300000000000026" maxValue="476837.23"/>
    </cacheField>
    <cacheField name="B.E. No. &amp; Date" numFmtId="0">
      <sharedItems containsBlank="1" count="1531">
        <s v="KAPW-FS-199895-27-06-2024"/>
        <s v="31012024-A-058516"/>
        <s v="HCSE-PF-392-21-08-2024"/>
        <s v="14062024-A-115558"/>
        <s v="KAPS-FS-2068-04-07-2024"/>
        <s v="KPPI-FS-7424-08-08-2024"/>
        <s v="29032024-A-078748"/>
        <s v="25042024-A-089099"/>
        <s v="25042024-A-089093"/>
        <s v="13092023-A-010750"/>
        <s v="LPEX-PF-5733-16-01-2024"/>
        <s v="GWDE-PF-142-14-02-2024"/>
        <s v="19072024-A-129723"/>
        <s v="LPEX-PF-16461-14-05-2024"/>
        <s v="29052024-A-105997"/>
        <s v="KPEX-PF-9832-15-07-2024"/>
        <s v="PCSE-PF-320-12-01-2024"/>
        <s v="PCSE-PF-249-07-12-2023"/>
        <s v="PCSE-PF-302-03-01-2024"/>
        <s v="LPEX-PF-721-16-10-2023"/>
        <s v="27042024-A-089955"/>
        <s v="24052024-A-103605"/>
        <s v="MCSE-PF-2911-18-03-2024"/>
        <s v="LPEX-PF-762-08-07-2024"/>
        <s v="LPEX-PF-924-09-07-2024"/>
        <s v="07052024-A-094927"/>
        <s v="07052024-A-094968"/>
        <s v="PCSE-PF-60-24-08-2024"/>
        <s v="FPEX-PF-2104-13-01-2024"/>
        <s v="25062024-A-118726"/>
        <s v="LPEX-PF-1628-15-07-2024"/>
        <s v="LPEX-PF-21646-29-06-2024"/>
        <s v="KAPW-FS-125038-15-02-2024"/>
        <s v="KAPS-FS-133478-17-05-2024"/>
        <s v="KAPW-FS-110804-23-01-2024"/>
        <s v="KAPW-FS-39893-18-09-2023"/>
        <s v="KAPS-FS-19691-07-08-2024"/>
        <s v="KAPS-FS-127356-06-05-2024"/>
        <s v="KAPS-FS-106914-18-03-2024"/>
        <s v="17042024-A-084037"/>
        <s v="14062024-A-115530"/>
        <s v="17042024-A-084170"/>
        <s v="03072024-A-123501"/>
        <s v="KAPW-FS-100035-05-01-2024"/>
        <s v="KAPS-FS-2075-04-07-2024"/>
        <s v="KAPE-FS-7207-09-08-2024"/>
        <s v="KAPW-FS-31082-27-08-2024"/>
        <s v="KAPW-FS-158790-18-04-2024"/>
        <s v="KAPS-FS-67466-21-12-2023"/>
        <s v="KAPW-FS-124277-14-02-2024"/>
        <s v="KPPE-PF-16017-20-07-2024"/>
        <s v="KAPS-FS-146212-12-06-2024"/>
        <s v="KAPW-FS-25994-17-08-2024"/>
        <s v="PQZI-EI-7599-03-09-2024"/>
        <s v="PQZI-EI-9297-14-09-2024"/>
        <s v="KAPW-FS-29065-22-08-2024"/>
        <s v="KPEX-PF-7211-11-07-2024"/>
        <s v="KPPE-PF-282570-26-06-2024"/>
        <s v="LPEX-PF-1507-12-07-2024"/>
        <s v="LPEX-PF-5740-16-01-2024"/>
        <s v="LPEX-PF-7865-13-02-2024"/>
        <s v="LPEX-PF-7867-13-02-2024"/>
        <s v="13062024-A-115110"/>
        <m u="1"/>
        <s v="23012024-A-055147" u="1"/>
        <s v="KAPS-FS-23283-28-08-2023" u="1"/>
        <s v="KAPW-FS-55507-18-10-2023" u="1"/>
        <s v="KAPW-IB-93598-24-01-2023" u="1"/>
        <s v="SKZI-EP-167-14-06-2022" u="1"/>
        <s v="KAPE-IB-127848-09-02-2023" u="1"/>
        <s v="KAPE-IB-132411-19-01-2022" u="1"/>
        <s v="23012024-A-055087" u="1"/>
        <s v="PCSE-PF-9-25-07-2023" u="1"/>
        <s v="KAPW-IB-190015-30-06-2022" u="1"/>
        <s v="04062024-A-108606" u="1"/>
        <s v="27122023-A-044607" u="1"/>
        <s v="PCSE-PF-267-18-12-2023" u="1"/>
        <s v="PCSE-PF-268-18-12-2023" u="1"/>
        <s v="PCSE-PF-270-18-12-2023" u="1"/>
        <s v="17012024-A-052798" u="1"/>
        <s v="17112023-A-026305" u="1"/>
        <s v="MCSE-PF-116-03-07-2024" u="1"/>
        <s v="19092023-A-011706" u="1"/>
        <s v="23012024-A-055071" u="1"/>
        <s v="24052024-A-103269" u="1"/>
        <s v="27122023-A-044639" u="1"/>
        <s v="27122023-A-044707" u="1"/>
        <s v="KAPE-IB-12583-26-07-2022" u="1"/>
        <s v="KAPE-IB-12604-26-07-2022" u="1"/>
        <s v="KAPW-FS-81819-04-12-2023" u="1"/>
        <s v="KAPW-IB-73558-08-12-2022" u="1"/>
        <s v="03012024-A-047464" u="1"/>
        <s v="03012024-A-047556" u="1"/>
        <s v="03012024-A-047648" u="1"/>
        <s v="30102023-A-020733" u="1"/>
        <s v="KAPE-IB-17136-02-08-2022" u="1"/>
        <s v="KAPE-IB-17173-02-08-2022" u="1"/>
        <s v="KAPE-IB-22786-12-08-2022" u="1"/>
        <s v="03012024-A-047532" u="1"/>
        <s v="03012024-A-047716" u="1"/>
        <s v="24082023-A-006506" u="1"/>
        <s v="17112023-A-026245" u="1"/>
        <s v="KAPE-IB-136853-15-03-2023" u="1"/>
        <s v="KAPE-IB-138483-25-03-2023" u="1"/>
        <s v="KAPE-IB-177816-29-03-2022" u="1"/>
        <s v="KAPE-IB-178010-29-03-2022" u="1"/>
        <s v="17112023-A-026313" u="1"/>
        <s v="KAPE-IB-132648-21-02-2023" u="1"/>
        <s v="27122023-A-044647" u="1"/>
        <s v="PCSE-PF-182-30-10-2023" u="1"/>
        <s v="17112023-A-026529" u="1"/>
        <s v="17112023-A-026321" u="1"/>
        <s v="KPFI-FS-26919-07-02-2024" u="1"/>
        <s v="KPFI-FS-26920-07-02-2024" u="1"/>
        <s v="17042024-A-084033" u="1"/>
        <s v="17042024-A-084217" u="1"/>
        <s v="27122023-A-044747" u="1"/>
        <s v="24052024-A-103261" u="1"/>
        <s v="KAPE-FS-12872-22-08-2023" u="1"/>
        <s v="KAPE-IB-20052-06-08-2022" u="1"/>
        <s v="KAPE-IB-20059-06-08-2022" u="1"/>
        <s v="KAPE-IB-20079-06-08-2022" u="1"/>
        <s v="KAPE-IB-24256-16-08-2022" u="1"/>
        <s v="03012024-A-047480" u="1"/>
        <s v="KAPE-IB-40552-12-09-2022" u="1"/>
        <s v="03012024-A-047916" u="1"/>
        <s v="KAPE-IB-145570-05-05-2023" u="1"/>
        <s v="KAPE-IB-199160-09-05-2022" u="1"/>
        <s v="KAPE-IB-199558-09-05-2022" u="1"/>
        <s v="17112023-A-026537" u="1"/>
        <s v="KAPE-IB-187220-15-04-2022" u="1"/>
        <s v="KAPE-IB-193166-25-04-2022" u="1"/>
        <s v="17112023-A-026513" u="1"/>
        <s v="KAPE-IB-173183-21-03-2022" u="1"/>
        <s v="13062024-A-115099" u="1"/>
        <s v="18092023-A-011664" u="1"/>
        <s v="17042024-A-084157" u="1"/>
        <s v="KAPW-IB-648-04-07-2023" u="1"/>
        <s v="27122023-A-044687" u="1"/>
        <s v="27122023-A-044663" u="1"/>
        <s v="03012024-A-047788" u="1"/>
        <s v="27022024-A-066079" u="1"/>
        <s v="03012024-A-047672" u="1"/>
        <s v="PCSE-PF-248-07-12-2023" u="1"/>
        <s v="LPEX-PF-16336-13-05-2024" u="1"/>
        <s v="LPEX-PF-16350-13-05-2024" u="1"/>
        <s v="LPEX-PF-17864-23-05-2024" u="1"/>
        <s v="LPEX-PF-17866-23-05-2024" u="1"/>
        <s v="LPEX-PF-17868-23-05-2024" u="1"/>
        <s v="15082023-A-005332" u="1"/>
        <s v="KPFI-TI-33748-27-04-2023" u="1"/>
        <s v="KPFI-IB-34367-03-05-2023" u="1"/>
        <s v="KPFI-TI-36799-23-05-2023" u="1"/>
        <s v="KPFI-TI-36802-23-05-2023" u="1"/>
        <s v="14062024-A-115517" u="1"/>
        <s v="17042024-A-084073" u="1"/>
        <s v="17042024-A-084165" u="1"/>
        <s v="28022024-A-066313" u="1"/>
        <s v="PCSE-PF-208-13-11-2023" u="1"/>
        <s v="PCSE-PF-209-13-11-2023" u="1"/>
        <s v="PCSE-PF-210-13-11-2023" u="1"/>
        <s v="PCSE-PF-211-13-11-2023" u="1"/>
        <s v="PCSE-PF-227-23-11-2023" u="1"/>
        <s v="PCSE-PF-228-23-11-2023" u="1"/>
        <s v="17112023-A-026461" u="1"/>
        <s v="15082023-A-005340" u="1"/>
        <s v="03052024-A-093212" u="1"/>
        <s v="13032024-A-072273" u="1"/>
        <s v="13062024-A-115091" u="1"/>
        <s v="14062024-A-115549" u="1"/>
        <s v="08032024-A-070219" u="1"/>
        <s v="31012024-A-058508" u="1"/>
        <s v="KPPI-IB-54759-27-04-2023" u="1"/>
        <s v="04122023-A-034314" u="1"/>
        <s v="PCSE-PF-34-16-08-2023" u="1"/>
        <s v="PCSE-PF-35-16-08-2023" u="1"/>
        <s v="03012024-A-047872" u="1"/>
        <s v="27022024-A-066163" u="1"/>
        <s v="LPEX-PF-19066-03-06-2024" u="1"/>
        <s v="03052024-A-093244" u="1"/>
        <s v="08032024-A-070227" u="1"/>
        <s v="31012024-A-058448" u="1"/>
        <s v="16032024-A-074012" u="1"/>
        <s v="PCSE-PF-92-12-09-2023" u="1"/>
        <s v="PCSE-PF-93-12-09-2023" u="1"/>
        <s v="KAPE-FS-16848-06-09-2023" u="1"/>
        <s v="16082023-A-005562" u="1"/>
        <s v="KAPW-FS-112745-25-01-2024" u="1"/>
        <s v="KPEX-PF-219975-13-06-2024" u="1"/>
        <s v="KAPW-IB-191-03-07-2023" u="1"/>
        <s v="16082023-A-005570" u="1"/>
        <s v="31012024-A-058280" u="1"/>
        <s v="31012024-A-058556" u="1"/>
        <s v="18012024-A-053565" u="1"/>
        <s v="31012024-A-058440" u="1"/>
        <s v="31012024-A-058532" u="1"/>
        <s v="KAPS-IB-6595-10-03-2023" u="1"/>
        <s v="KAPS-IB-9008-20-03-2023" u="1"/>
        <s v="KAPW-FS-10366-20-07-2023" u="1"/>
        <s v="KAPW-FS-10367-20-07-2023" u="1"/>
        <s v="KAPW-FS-10509-20-07-2023" u="1"/>
        <s v="03072024-A-123422" u="1"/>
        <s v="KAPW-IB-38705-10-09-2021" u="1"/>
        <s v="KAPW-IB-38720-10-09-2021" u="1"/>
        <s v="17082023-A-005944" u="1"/>
        <s v="18012024-A-053481" u="1"/>
        <s v="PQEB-PF-476-28-02-2024" u="1"/>
        <s v="PQEB-PF-477-28-02-2024" u="1"/>
        <s v="KAPS-FS-127354-06-05-2024" u="1"/>
        <s v="KPPE-PF-113533-30-11-2023" u="1"/>
        <s v="13092023-A-010742" u="1"/>
        <s v="KAPW-FS-12037-24-07-2023" u="1"/>
        <s v="KAPW-FS-12038-24-07-2023" u="1"/>
        <s v="03072024-A-123394" u="1"/>
        <s v="KAPS-IB-4531-02-03-2023" u="1"/>
        <s v="KAPW-FS-20224-10-08-2023" u="1"/>
        <s v="26122023-A-043781" u="1"/>
        <s v="26122023-A-043965" u="1"/>
        <s v="KAPW-FS-174553-15-05-2024" u="1"/>
        <s v="KAPW-IB-133211-09-05-2023" u="1"/>
        <s v="KAPW-IB-140973-29-05-2023" u="1"/>
        <s v="24102023-A-019233" u="1"/>
        <s v="06072024-A-125057" u="1"/>
        <s v="KAPS-FS-5256-12-07-2023" u="1"/>
        <s v="KAPS-FS-9486-22-07-2023" u="1"/>
        <s v="KAPW-IB-119882-31-03-2023" u="1"/>
        <s v="KAPW-IB-119999-31-03-2023" u="1"/>
        <s v="KAPW-IB-122139-11-02-2022" u="1"/>
        <s v="KAPW-IB-122238-11-02-2022" u="1"/>
        <s v="KAPW-IB-127797-21-02-2022" u="1"/>
        <s v="29032024-A-078819" u="1"/>
        <s v="16012024-A-052629" u="1"/>
        <s v="03072024-A-123586" u="1"/>
        <s v="03072024-A-123470" u="1"/>
        <s v="03072024-A-123654" u="1"/>
        <s v="26122023-A-043973" u="1"/>
        <s v="KPAF-IB-22405-30-11-2022" u="1"/>
        <s v="KPAF-TI-19318-10-11-2022" u="1"/>
        <s v="06072024-A-125065" u="1"/>
        <s v="PCSE-PF-242-05-12-2023" u="1"/>
        <s v="PCSE-PF-243-05-12-2023" u="1"/>
        <s v="29032024-A-078667" u="1"/>
        <s v="02012024-A-047159" u="1"/>
        <s v="PCSE-PF-529-21-03-2024" u="1"/>
        <s v="02012024-A-047319" u="1"/>
        <s v="29032024-A-078803" u="1"/>
        <s v="KAPS-FS-146211-12-06-2024" u="1"/>
        <s v="22042024-A-087196" u="1"/>
        <s v="KAPW-IB-34999-14-09-2022" u="1"/>
        <s v="03072024-A-123662" u="1"/>
        <s v="KAPS-FS-47364-01-11-2023" u="1"/>
        <s v="KAPS-FS-47366-01-11-2023" u="1"/>
        <s v="KAPW-FS-184827-01-06-2024" u="1"/>
        <s v="KAPW-FS-192762-11-06-2024" u="1"/>
        <s v="KAPW-FS-192859-11-06-2024" u="1"/>
        <s v="KAPW-IB-142009-31-05-2023" u="1"/>
        <s v="06072024-A-125073" u="1"/>
        <s v="KAPS-FS-5048-10-07-2024" u="1"/>
        <s v="KAPS-FS-6492-14-07-2023" u="1"/>
        <s v="PCSE-PF-184-01-11-2023" u="1"/>
        <s v="PCSE-PF-185-01-11-2023" u="1"/>
        <s v="26122023-A-044226" u="1"/>
        <s v="02012024-A-047167" u="1"/>
        <s v="16012024-A-052669" u="1"/>
        <s v="KPPE-PF-92855-04-11-2023" u="1"/>
        <s v="KPAF-IB-30221-20-01-2023" u="1"/>
        <s v="17042024-A-083917" u="1"/>
        <s v="26122023-A-044234" u="1"/>
        <s v="02012024-A-047267" u="1"/>
        <s v="26122023-A-044210" u="1"/>
        <s v="KAPE-IB-116620-26-01-2023" u="1"/>
        <s v="KAPE-IB-116635-26-01-2023" u="1"/>
        <s v="KAPS-FS-84173-31-01-2024" u="1"/>
        <s v="KAPS-FS-84174-31-01-2024" u="1"/>
        <s v="KAPW-IB-40776-28-09-2022" u="1"/>
        <s v="KAPW-IB-40843-28-09-2022" u="1"/>
        <s v="KAPS-IB-5460-06-03-2023" u="1"/>
        <s v="23012024-A-055132" u="1"/>
        <s v="25042024-A-089059" u="1"/>
        <s v="KAPS-IB-1409-06-07-2023" u="1"/>
        <s v="20022024-A-064021" u="1"/>
        <s v="24052024-A-103146" u="1"/>
        <s v="29032024-A-078783" u="1"/>
        <s v="23012024-A-055188" u="1"/>
        <s v="19092023-A-011707" u="1"/>
        <s v="20022024-A-063992" u="1"/>
        <s v="KPAF-IB-33775-28-12-2021" u="1"/>
        <s v="03012024-A-047649" u="1"/>
        <s v="24052024-A-103130" u="1"/>
        <s v="PCSE-PF-240-04-12-2023" u="1"/>
        <s v="PCSE-PF-241-04-12-2023" u="1"/>
        <s v="PCSE-PF-265-14-12-2023" u="1"/>
        <s v="KPAF-IB-650-05-07-2023" u="1"/>
        <s v="KPAF-IB-670-05-07-2023" u="1"/>
        <s v="20112023-A-027064" u="1"/>
        <s v="16012024-A-052693" u="1"/>
        <s v="KAPW-FS-20695-08-08-2024" u="1"/>
        <s v="KAPW-FS-35064-08-09-2023" u="1"/>
        <s v="KAPW-FS-35066-08-09-2023" u="1"/>
        <s v="KAPW-FS-35299-08-09-2023" u="1"/>
        <s v="KAPW-FS-35531-08-09-2023" u="1"/>
        <s v="KAPW-FS-39892-18-09-2023" u="1"/>
        <s v="KAPS-IB-3675-28-02-2023" u="1"/>
        <s v="KAPS-IB-6074-08-03-2023" u="1"/>
        <s v="26102023-A-019921" u="1"/>
        <s v="PQIB-IB-9547-06-12-2022" u="1"/>
        <s v="11092023-A-010007" u="1"/>
        <s v="03062024-A-108489" u="1"/>
        <s v="03062024-A-108373" u="1"/>
        <s v="16102023-A-017233" u="1"/>
        <s v="03012024-A-047589" u="1"/>
        <s v="30102023-A-020742" u="1"/>
        <s v="03012024-A-047725" u="1"/>
        <s v="07062024-A-111163" u="1"/>
        <s v="17042024-A-084058" u="1"/>
        <s v="03012024-A-047917" u="1"/>
        <s v="27022024-A-066116" u="1"/>
        <s v="03012024-A-047801" u="1"/>
        <s v="KAPE-IB-182264-06-04-2022" u="1"/>
        <s v="KAPE-IB-193652-26-04-2022" u="1"/>
        <s v="17112023-A-026330" u="1"/>
        <s v="KAPS-FS-65794-19-12-2023" u="1"/>
        <s v="13062024-A-115144" u="1"/>
        <s v="KAPE-FS-26063-13-10-2023" u="1"/>
        <s v="KAPE-IB-58949-17-10-2022" u="1"/>
        <s v="KAPE-IB-58962-17-10-2022" u="1"/>
        <s v="KAPE-IB-65330-27-10-2022" u="1"/>
        <s v="KAPE-IB-65375-27-10-2022" u="1"/>
        <s v="KAPE-IB-65524-27-10-2022" u="1"/>
        <s v="KPEX-PF-165506-18-03-2024" u="1"/>
        <s v="31012024-A-058217" u="1"/>
        <s v="17042024-A-084226" u="1"/>
        <s v="21122023-A-041859" u="1"/>
        <s v="03062024-A-108481" u="1"/>
        <s v="17042024-A-084110" u="1"/>
        <s v="17042024-A-084202" u="1"/>
        <s v="24052024-A-103454" u="1"/>
        <s v="03012024-A-047741" u="1"/>
        <s v="03012024-A-047901" u="1"/>
        <s v="KPAF-IB-34893-28-02-2023" u="1"/>
        <s v="19092023-A-011695" u="1"/>
        <s v="13062024-A-115152" u="1"/>
        <s v="HCSE-PF-74-09-07-2024" u="1"/>
        <s v="03012024-A-047797" u="1"/>
        <s v="30082023-A-007767" u="1"/>
        <s v="27022024-A-066064" u="1"/>
        <s v="27022024-A-066156" u="1"/>
        <s v="KAPE-FS-30144-27-10-2023" u="1"/>
        <s v="KAPS-IB-22072-11-05-2023" u="1"/>
        <s v="KAPE-IB-70582-07-11-2022" u="1"/>
        <s v="KAPE-IB-70589-07-11-2022" u="1"/>
        <s v="14062024-A-115502" u="1"/>
        <s v="16032024-A-074029" u="1"/>
        <s v="KAPE-TI-98935-23-12-2022" u="1"/>
        <s v="KPEX-PF-109996-28-12-2023" u="1"/>
        <s v="16032024-A-074005" u="1"/>
        <s v="KAPW-IB-8287-20-07-2022" u="1"/>
        <s v="27122023-A-044680" u="1"/>
        <s v="PCSE-PF-61-24-08-2024" u="1"/>
        <s v="03012024-A-047897" u="1"/>
        <s v="30082023-A-007775" u="1"/>
        <s v="07052024-A-094913" u="1"/>
        <s v="16082023-A-005579" u="1"/>
        <s v="16082023-A-005623" u="1"/>
        <s v="14062024-A-115442" u="1"/>
        <s v="18012024-A-053526" u="1"/>
        <s v="04122023-A-034323" u="1"/>
        <s v="02052024-A-091930" u="1"/>
        <s v="04052024-A-093299" u="1"/>
        <s v="KAPS-IB-29015-01-06-2023" u="1"/>
        <s v="KPEX-PF-213367-04-06-2024" u="1"/>
        <s v="KPEX-PF-213370-04-06-2024" u="1"/>
        <s v="KPEX-PF-213372-04-06-2024" u="1"/>
        <s v="31012024-A-058297" u="1"/>
        <s v="KPEX-PF-203176-20-05-2024" u="1"/>
        <s v="18012024-A-053558" u="1"/>
        <s v="27042024-A-089947" u="1"/>
        <s v="KAPW-IB-53792-11-10-2021" u="1"/>
        <s v="04122023-A-034423" u="1"/>
        <s v="31012024-A-058557" u="1"/>
        <s v="KAPS-FS-110169-27-03-2024" u="1"/>
        <s v="26122023-A-043742" u="1"/>
        <s v="KAPW-EB-148150-26-03-2024" u="1"/>
        <s v="17082023-A-005945" u="1"/>
        <s v="KAPW-IB-100096-06-02-2023" u="1"/>
        <s v="KAPW-IB-57410-15-10-2021" u="1"/>
        <s v="18012024-A-053574" u="1"/>
        <s v="KAPW-FS-4230-10-07-2023" u="1"/>
        <s v="KAPW-IB-4709-14-07-2022" u="1"/>
        <s v="18102023-A-018022" u="1"/>
        <s v="PQZI-EP-8460-30-09-2022" u="1"/>
        <s v="03072024-A-123487" u="1"/>
        <s v="06072024-A-125034" u="1"/>
        <s v="KAPW-IB-115923-02-02-2022" u="1"/>
        <s v="KAPE-EB-60624-13-03-2024" u="1"/>
        <s v="KAPE-FS-60621-13-03-2024" u="1"/>
        <s v="KAPS-FS-17123-11-08-2023" u="1"/>
        <s v="29032024-A-078704" u="1"/>
        <s v="16012024-A-052606" u="1"/>
        <s v="23012024-A-055109" u="1"/>
        <s v="03072024-A-123631" u="1"/>
        <s v="KPPI-IB-25585-14-11-2022" u="1"/>
        <s v="KPPE-PF-272567-11-06-2024" u="1"/>
        <s v="26122023-A-044127" u="1"/>
        <s v="KAPW-FS-6474-13-07-2023" u="1"/>
        <s v="PQZI-EP-7563-22-09-2022" u="1"/>
        <s v="25042024-A-088911" u="1"/>
        <s v="23012024-A-055209" u="1"/>
        <s v="KAPW-IB-143970-06-06-2023" u="1"/>
        <s v="KAPW-IB-143982-06-06-2023" u="1"/>
        <s v="KAPW-IB-129446-02-05-2023" u="1"/>
        <s v="KAPW-IB-174152-26-05-2022" u="1"/>
        <s v="KAPS-FS-24917-01-09-2023" u="1"/>
        <s v="29032024-A-078744" u="1"/>
        <s v="29032024-A-078812" u="1"/>
        <s v="KAPW-IB-79770-21-12-2022" u="1"/>
        <s v="20022024-A-063977" u="1"/>
        <s v="23012024-A-055149" u="1"/>
        <s v="23012024-A-055125" u="1"/>
        <s v="23012024-A-055217" u="1"/>
        <s v="23012024-A-055101" u="1"/>
        <s v="29052024-A-105977" u="1"/>
        <s v="KPPI-FS-23796-28-10-2023" u="1"/>
        <s v="PQZI-EP-10702-21-10-2022" u="1"/>
        <s v="29032024-A-078820" u="1"/>
        <s v="02012024-A-047312" u="1"/>
        <s v="KAPW-FS-7620-15-07-2023" u="1"/>
        <s v="KAPW-FS-7622-15-07-2023" u="1"/>
        <s v="KAPW-FS-7623-15-07-2023" u="1"/>
        <s v="LPEX-PF-11402-20-03-2024" u="1"/>
        <s v="LPEX-PF-11426-20-03-2024" u="1"/>
        <s v="LPEX-PF-11487-20-03-2024" u="1"/>
        <s v="KAPE-TI-111216-17-01-2023" u="1"/>
        <s v="23012024-A-055089" u="1"/>
        <s v="KAPW-IB-176924-02-06-2022" u="1"/>
        <s v="23122023-A-042856" u="1"/>
        <s v="KAPS-FS-23743-29-08-2023" u="1"/>
        <s v="02012024-A-047184" u="1"/>
        <s v="02012024-A-047320" u="1"/>
        <s v="03012024-A-047502" u="1"/>
        <s v="KAPW-IB-2040-06-07-2023" u="1"/>
        <s v="KAPW-IB-2468-06-07-2023" u="1"/>
        <s v="25042024-A-089068" u="1"/>
        <s v="KPPI-IB-50645-30-03-2023" u="1"/>
        <s v="PQZI-EP-10899-25-10-2022" u="1"/>
        <s v="PQZI-EP-11660-01-11-2022" u="1"/>
        <s v="KAPE-IB-138782-27-03-2023" u="1"/>
        <s v="KPEX-PF-95472-07-12-2023 " u="1"/>
        <s v="KAPE-IB-121219-03-01-2022" u="1"/>
        <s v="KAPE-IB-121234-03-01-2022" u="1"/>
        <s v="17042024-A-083966" u="1"/>
        <s v="23012024-A-055197" u="1"/>
        <s v="KAPE-EB-75231-27-05-2024" u="1"/>
        <s v="KAPS-FS-31014-19-09-2023" u="1"/>
        <s v="24052024-A-103279" u="1"/>
        <s v="KAPE-FS-79606-13-06-2024" u="1"/>
        <s v="24052024-A-103255" u="1"/>
        <s v="27122023-A-044625" u="1"/>
        <s v="27122023-A-044717" u="1"/>
        <s v="KAPW-FS-82713-05-12-2023" u="1"/>
        <s v="KAPW-IB-78434-19-12-2022" u="1"/>
        <s v="03012024-A-047474" u="1"/>
        <s v="04062024-A-108600" u="1"/>
        <s v="PCSE-PF-292-30-12-2023" u="1"/>
        <s v="PCSE-PF-293-30-12-2023" u="1"/>
        <s v="PCSE-PF-295-30-12-2023" u="1"/>
        <s v="KAPE-IB-18161-03-08-2022" u="1"/>
        <s v="KAPE-IB-32245-17-08-2021" u="1"/>
        <s v="27022024-A-066109" u="1"/>
        <s v="KPAF-FS-119-01-07-2024" u="1"/>
        <s v="15082023-A-005318" u="1"/>
        <s v="05092023-A-009015" u="1"/>
        <s v="13062024-A-115229" u="1"/>
        <s v="27122023-A-044589" u="1"/>
        <s v="04062024-A-108748" u="1"/>
        <s v="17042024-A-084103" u="1"/>
        <s v="27122023-A-044657" u="1"/>
        <s v="27122023-A-044749" u="1"/>
        <s v="03062024-A-108450" u="1"/>
        <s v="24052024-A-103447" u="1"/>
        <s v="PQZI-EI-3010-30-07-2024" u="1"/>
        <s v="17112023-A-026287" u="1"/>
        <s v="LPEX-PF-10311-08-03-2024" u="1"/>
        <s v="LPEX-PF-12204-28-03-2024" u="1"/>
        <s v="KAPE-TI-141878-13-04-2023" u="1"/>
        <s v="LPEX-PF-18515-30-05-2024" u="1"/>
        <s v="LPEX-PF-18518-30-05-2024" u="1"/>
        <s v="13062024-A-115237" u="1"/>
        <s v="KPPI-IB-298-04-07-2023" u="1"/>
        <s v="KPPI-IB-321-04-07-2023" u="1"/>
        <s v="11092023-A-010048" u="1"/>
        <s v="17042024-A-084067" u="1"/>
        <s v="04062024-A-108596" u="1"/>
        <s v="03062024-A-108482" u="1"/>
        <s v="12072024-A-128155" u="1"/>
        <s v="16102023-A-017250" u="1"/>
        <s v="PQEB-PF-466-22-02-2024" u="1"/>
        <s v="03012024-A-047490" u="1"/>
        <s v="17112023-A-026523" u="1"/>
        <s v="18092023-A-011674" u="1"/>
        <s v="18012024-A-053419" u="1"/>
        <s v="PQZI-EP-18983-25-01-2023" u="1"/>
        <s v="03062024-A-108490" u="1"/>
        <s v="27122023-A-044581" u="1"/>
        <s v="27122023-A-044673" u="1"/>
        <s v="03012024-A-047774" u="1"/>
        <s v="24052024-A-103531" u="1"/>
        <s v="03012024-A-047910" u="1"/>
        <s v="LPEX-PF-13687-18-04-2024" u="1"/>
        <s v="KAPE-IB-156608-23-06-2023" u="1"/>
        <s v="KAPE-IB-218987-07-06-2022" u="1"/>
        <s v="KAPE-IB-219641-07-06-2022" u="1"/>
        <s v="KAPE-IB-219669-07-06-2022" u="1"/>
        <s v="KAPE-IB-219687-07-06-2022" u="1"/>
        <s v="KAPE-IB-209572-23-05-2022" u="1"/>
        <s v="KAPE-IB-209585-23-05-2022" u="1"/>
        <s v="15082023-A-005342" u="1"/>
        <s v="16082023-A-005616" u="1"/>
        <s v="KAPE-IB-101874-03-12-2021" u="1"/>
        <s v="KAPE-IB-115712-23-12-2021" u="1"/>
        <s v="14062024-A-115459" u="1"/>
        <s v="KPEX-PF-180742-15-04-2024" u="1"/>
        <s v="KPEX-PF-167450-21-03-2024" u="1"/>
        <s v="11092023-A-010040" u="1"/>
        <s v="17042024-A-084083" u="1"/>
        <s v="17042024-A-084151" u="1"/>
        <s v="30082023-A-007776" u="1"/>
        <s v="03012024-A-047690" u="1"/>
        <s v="27022024-A-066141" u="1"/>
        <s v="PQZI-EI-2076-23-07-2024" u="1"/>
        <s v="17112023-A-026471" u="1"/>
        <s v="PQZI-EI-7567-03-09-2024" u="1"/>
        <s v="03052024-A-093246" u="1"/>
        <s v="26062024-A-119544" u="1"/>
        <s v="07122023-A-035810" u="1"/>
        <s v="PQZI-EP-17647-09-01-2023" u="1"/>
        <s v="17042024-A-084091" u="1"/>
        <s v="PQZI-EP-24023-21-03-2023" u="1"/>
        <s v="PQZI-EP-24025-21-03-2023" u="1"/>
        <s v="03012024-A-047882" u="1"/>
        <s v="26122023-A-043819" u="1"/>
        <s v="PQZI-EI-6283-24-08-2024" u="1"/>
        <s v="LPEX-PF-17174-18-05-2024" u="1"/>
        <s v="LPEX-PF-17178-18-05-2024" u="1"/>
        <s v="03052024-A-093254" u="1"/>
        <s v="KPFI-IB-35047-08-05-2023" u="1"/>
        <s v="18012024-A-053467" u="1"/>
        <s v="18012024-A-053535" u="1"/>
        <s v="03072024-A-123416" u="1"/>
        <s v="07052024-A-094954" u="1"/>
        <s v="07052024-A-095015" u="1"/>
        <s v="18012024-A-053499" u="1"/>
        <s v="31012024-A-058466" u="1"/>
        <s v="31012024-A-058558" u="1"/>
        <s v="KPPI-FS-61552-04-05-2024" u="1"/>
        <s v="KAPS-FS-106916-18-03-2024" u="1"/>
        <s v="KAPS-FS-106917-18-03-2024" u="1"/>
        <s v="KAPS-FS-106918-18-03-2024" u="1"/>
        <s v="PQZI-EI-3871-06-08-2024" u="1"/>
        <s v="KAPW-FS-137643-07-03-2024" u="1"/>
        <s v="06072024-A-125019" u="1"/>
        <s v="14062024-A-115491" u="1"/>
        <s v="31012024-A-058474" u="1"/>
        <s v="KAPW-IB-17639-11-08-2022" u="1"/>
        <s v="03072024-A-123708" u="1"/>
        <s v="PQZI-EP-9473-10-10-2022" u="1"/>
        <s v="PQZI-EP-9476-10-10-2022" u="1"/>
        <s v="PQZI-EP-9478-10-10-2022" u="1"/>
        <s v="17082023-A-005930" u="1"/>
        <s v="31012024-A-058482" u="1"/>
        <s v="13092023-A-010744" u="1"/>
        <s v="PQZI-EI-6670-28-08-2024" u="1"/>
        <s v="KAPW-IB-111548-03-03-2023" u="1"/>
        <s v="26022024-A-065311" u="1"/>
        <s v="31012024-A-058490" u="1"/>
        <s v="KAPW-FS-12729-25-07-2023" u="1"/>
        <s v="26122023-A-043999" u="1"/>
        <s v="KAPW-IB-25951-25-08-2022" u="1"/>
        <s v="03072024-A-123656" u="1"/>
        <s v="KAPS-FS-34666-02-10-2023" u="1"/>
        <s v="03072024-A-123724" u="1"/>
        <s v="KPAF-IB-6908-09-08-2021" u="1"/>
        <s v="26022024-A-065503" u="1"/>
        <s v="02012024-A-047229" u="1"/>
        <s v="KPPI-FS-11015-24-08-2023" u="1"/>
        <s v="PQZI-EP-27015-19-04-2023" u="1"/>
        <s v="PQZI-EP-28027-05-05-2023" u="1"/>
        <s v="PQZI-EP-30689-25-05-2023" u="1"/>
        <s v="23012024-A-055118" u="1"/>
        <s v="KPAF-IB-34697-31-12-2021" u="1"/>
        <s v="KAPW-IB-152829-27-06-2023" u="1"/>
        <s v="KAPW-IB-130351-03-05-2023" u="1"/>
        <s v="06072024-A-125143" u="1"/>
        <s v="29032024-A-078677" u="1"/>
        <s v="02012024-A-047329" u="1"/>
        <s v="29032024-A-078813" u="1"/>
        <s v="16042024-A-083669" u="1"/>
        <s v="17012024-A-052805" u="1"/>
        <s v="KAPS-FS-36818-06-10-2023" u="1"/>
        <s v="KAPS-FS-44579-26-10-2023" u="1"/>
        <s v="KAPW-FS-31229-01-09-2023" u="1"/>
        <s v="02012024-A-047177" u="1"/>
        <s v="26122023-A-044120" u="1"/>
        <s v="29032024-A-078821" u="1"/>
        <s v="KPPI-FS-11649-28-08-2023" u="1"/>
        <s v="KPPI-FS-11650-28-08-2023" u="1"/>
        <s v="03072024-A-123888" u="1"/>
        <s v="KPAF-IB-43364-21-02-2022" u="1"/>
        <s v="23012024-A-055134" u="1"/>
        <s v="KPAF-FS-3882-20-07-2024" u="1"/>
        <s v="KAPW-IB-182158-13-06-2022" u="1"/>
        <s v="20112023-A-026973" u="1"/>
        <s v="16102023-A-017219" u="1"/>
        <s v="04062024-A-108609" u="1"/>
        <s v="26122023-A-044152" u="1"/>
        <s v="03062024-A-108403" u="1"/>
        <s v="16012024-A-052687" u="1"/>
        <s v="KAPW-FS-29391-29-08-2023" u="1"/>
        <s v="23012024-A-055098" u="1"/>
        <s v="KAPS-FS-76288-12-01-2024" u="1"/>
        <s v="KAPS-FS-76290-12-01-2024" u="1"/>
        <s v="KAPW-IB-36748-19-09-2022" u="1"/>
        <s v="KAPW-IB-36765-19-09-2022" u="1"/>
        <s v="KAPS-FS-48907-06-11-2023" u="1"/>
        <s v="KAPS-FS-52107-16-11-2023" u="1"/>
        <s v="KAPS-FS-62965-12-12-2023" u="1"/>
        <s v="KAPS-FS-67818-22-12-2023" u="1"/>
        <s v="KPAF-FS-2302-15-07-2023" u="1"/>
        <s v="24052024-A-103156" u="1"/>
        <s v="24052024-A-103248" u="1"/>
        <s v="27122023-A-044618" u="1"/>
        <s v="KPPI-FS-13968-08-09-2023" u="1"/>
        <s v="KPPI-FS-13969-08-09-2023" u="1"/>
        <s v="16012024-A-052695" u="1"/>
        <s v="17112023-A-026316" u="1"/>
        <s v="KAPE-IB-113131-20-01-2023" u="1"/>
        <s v="KAPE-IB-120077-30-01-2023" u="1"/>
        <s v="KAPE-IB-120271-30-01-2023" u="1"/>
        <s v="KPAF-IB-46150-25-03-2021" u="1"/>
        <s v="23012024-A-055150" u="1"/>
        <s v="13062024-A-115106" u="1"/>
        <s v="26102023-A-019923" u="1"/>
        <s v="25042024-A-089053" u="1"/>
        <s v="17042024-A-084004" u="1"/>
        <s v="27122023-A-044558" u="1"/>
        <s v="27122023-A-044626" u="1"/>
        <s v="03012024-A-047567" u="1"/>
        <s v="03012024-A-047727" u="1"/>
        <s v="KAPS-FS-77946-16-01-2024" u="1"/>
        <s v="KAPW-FS-40378-19-09-2023" u="1"/>
        <s v="KAPS-FS-64757-16-12-2023" u="1"/>
        <s v="KAPS-FS-68864-26-12-2023" u="1"/>
        <s v="KAPE-FS-28369-20-10-2023" u="1"/>
        <s v="KAPE-IB-63343-24-10-2022" u="1"/>
        <s v="25042024-A-089085" u="1"/>
        <s v="KAPE-IB-71811-10-11-2022" u="1"/>
        <s v="KAPE-IB-95153-24-11-2021" u="1"/>
        <s v="16102023-A-017243" u="1"/>
        <s v="26122023-A-044292" u="1"/>
        <s v="27122023-A-044566" u="1"/>
        <s v="03012024-A-047599" u="1"/>
        <s v="27122023-A-044634" u="1"/>
        <s v="03012024-A-047759" u="1"/>
        <s v="24052024-A-103608" u="1"/>
        <s v="27122023-A-044610" u="1"/>
        <s v="03012024-A-047919" u="1"/>
        <s v="17112023-A-026264" u="1"/>
        <s v="17112023-A-026448" u="1"/>
        <s v="24082023-A-006501" u="1"/>
        <s v="KAPE-IB-188943-18-04-2022" u="1"/>
        <s v="KAPE-IB-188953-18-04-2022" u="1"/>
        <s v="17112023-A-026240" u="1"/>
        <s v="KAPE-IB-168611-14-03-2022" u="1"/>
        <s v="KAPE-IB-175040-24-03-2022" u="1"/>
        <s v="KAPE-IB-175199-24-03-2022" u="1"/>
        <s v="KPAF-IB-52645-11-04-2022" u="1"/>
        <s v="KPEX-PF-151682-26-02-2024" u="1"/>
        <s v="KPEX-PF-151687-26-02-2024" u="1"/>
        <s v="KPEX-PF-119701-12-01-2024" u="1"/>
        <s v="03062024-A-108483" u="1"/>
        <s v="24052024-A-103500" u="1"/>
        <s v="17112023-A-026456" u="1"/>
        <s v="16082023-A-005609" u="1"/>
        <s v="19092023-A-011697" u="1"/>
        <s v="17042024-A-083991" u="1"/>
        <s v="18092023-A-011675" u="1"/>
        <s v="KAPS-IB-14376-12-04-2023" u="1"/>
        <s v="KAPE-IB-69395-04-11-2022" u="1"/>
        <s v="KAPE-IB-69401-04-11-2022" u="1"/>
        <s v="KAPE-IB-73625-14-11-2022" u="1"/>
        <s v="KAPE-IB-91732-18-11-2021" u="1"/>
        <s v="04122023-A-034309" u="1"/>
        <s v="03062024-A-108491" u="1"/>
        <s v="17042024-A-084120" u="1"/>
        <s v="17042024-A-084212" u="1"/>
        <s v="04062024-A-108741" u="1"/>
        <s v="27122023-A-044650" u="1"/>
        <s v="17112023-A-026488" u="1"/>
        <s v="17112023-A-026280" u="1"/>
        <s v="17112023-A-026464" u="1"/>
        <s v="KPAF-FS-43681-11-03-2024" u="1"/>
        <s v="KPAF-IB-37027-15-03-2023" u="1"/>
        <s v="KAPE-IB-108499-14-12-2021" u="1"/>
        <s v="KPEX-PF-178431-06-04-2024" u="1"/>
        <s v="KPEX-PF-181236-16-04-2024" u="1"/>
        <s v="KPEX-PF-181238-16-04-2024" u="1"/>
        <s v="KPEX-PF-181243-16-04-2024" u="1"/>
        <s v="KPEX-PF-161676-12-03-2024" u="1"/>
        <s v="30082023-A-007777" u="1"/>
        <s v="03052024-A-093247" u="1"/>
        <s v="KAPS-IB-15484-16-04-2023" u="1"/>
        <s v="KAPS-IB-25629-22-05-2023" u="1"/>
        <s v="KAPE-FS-32181-04-11-2023" u="1"/>
        <s v="KAPE-IB-81883-28-11-2022" u="1"/>
        <s v="KAPE-IB-82182-28-11-2022" u="1"/>
        <s v="Document Reference No" u="1"/>
        <s v="16032024-A-074015" u="1"/>
        <s v="04122023-A-034417" u="1"/>
        <s v="FPEX-PF-2105-13-01-2024" u="1"/>
        <s v="FPEX-PF-2106-13-01-2024" u="1"/>
        <s v="03012024-A-047791" u="1"/>
        <s v="03072024-A-123409" u="1"/>
        <s v="16082023-A-005565" u="1"/>
        <s v="KAPW-FS-107801-18-01-2024" u="1"/>
        <s v="KAPW-FS-107833-18-01-2024" u="1"/>
        <s v="03052024-A-093231" u="1"/>
        <s v="KPEX-PF-214738-06-06-2024" u="1"/>
        <s v="08032024-A-070214" u="1"/>
        <s v="04122023-A-034357" u="1"/>
        <s v="18012024-A-053512" u="1"/>
        <s v="KPEX-PF-61133-13-10-2023" u="1"/>
        <s v="26122023-A-043804" u="1"/>
        <s v="KAPE-FS-46606-04-01-2024" u="1"/>
        <s v="KAPS-IB-27445-26-05-2023" u="1"/>
        <s v="11032024-A-071224" u="1"/>
        <s v="31012024-A-058559" u="1"/>
        <s v="16032024-A-074031" u="1"/>
        <s v="31012024-A-058443" u="1"/>
        <s v="31012024-A-058535" u="1"/>
        <s v="KAPW-IB-54903-12-10-2021" u="1"/>
        <s v="KAPS-FS-107200-19-03-2024" u="1"/>
        <s v="04072024-A-124595" u="1"/>
        <s v="26122023-A-043812" u="1"/>
        <s v="KAPW-FS-124476-14-02-2024" u="1"/>
        <s v="KAPW-IB-101716-08-02-2023" u="1"/>
        <s v="18102023-A-018016" u="1"/>
        <s v="KPFI-IB-1486-15-07-2022" u="1"/>
        <s v="KPAF-TI-43320-29-04-2023" u="1"/>
        <s v="KAPW-IB-113511-28-01-2022" u="1"/>
        <s v="08032024-A-070186" u="1"/>
        <s v="31012024-A-058499" u="1"/>
        <s v="27112023-A-030698" u="1"/>
        <s v="KPPI-FS-8357-10-08-2023" u="1"/>
        <s v="KPPI-FS-8359-10-08-2023" u="1"/>
        <s v="24102023-A-019228" u="1"/>
        <s v="06072024-A-125028" u="1"/>
        <s v="09082023-A-004755" u="1"/>
        <s v="KAPS-IB-36381-26-06-2023" u="1"/>
        <s v="KAPS-IB-36447-26-06-2023" u="1"/>
        <s v="KPPE-PF-239595-07-05-2024" u="1"/>
        <s v="KAPE-FS-43019-18-12-2023" u="1"/>
        <s v="KPPE-PF-214884-03-04-2024" u="1"/>
        <s v="07052024-A-095032" u="1"/>
        <s v="18012024-A-053584" u="1"/>
        <s v="KAPS-FS-114599-05-04-2024" u="1"/>
        <s v="KAPS-FS-108088-21-03-2024" u="1"/>
        <s v="LPEX-PF-9440-01-03-2024" u="1"/>
        <s v="03072024-A-123649" u="1"/>
        <s v="26122023-A-043760" u="1"/>
        <s v="LPEX-PF-1392-11-07-2024" u="1"/>
        <s v="KAPW-IB-128480-28-04-2023" u="1"/>
        <s v="KAPW-IB-128979-28-04-2023" u="1"/>
        <s v="KAPW-FS-150133-30-03-2024" u="1"/>
        <s v="06072024-A-125012" u="1"/>
        <s v="KAPE-IB-159-04-07-2023" u="1"/>
        <s v="KAPE-IB-167-04-07-2023" u="1"/>
        <s v="KPPI-IB-27083-21-11-2022" u="1"/>
        <s v="KPPI-FS-2370-12-07-2023" u="1"/>
        <s v="KPPI-FS-2374-12-07-2023" u="1"/>
        <s v="KPPI-FS-2379-12-07-2023" u="1"/>
        <s v="13092023-A-010753" u="1"/>
        <s v="LPEX-PF-7269-02-02-2024" u="1"/>
        <s v="KPEX-PF-76735-07-11-2023" u="1"/>
        <s v="03072024-A-123749" u="1"/>
        <s v="23042024-A-087325" u="1"/>
        <s v="HCSE-PF-150-13-07-2024" u="1"/>
        <s v="HCSE-PF-151-13-07-2024" u="1"/>
        <s v="PQEB-PF-553-20-03-2024" u="1"/>
        <s v="PQEB-PF-554-20-03-2024" u="1"/>
        <s v="06072024-A-125044" u="1"/>
        <s v="KPFI-IB-1749-18-07-2022" u="1"/>
        <s v="KPFI-IB-1754-18-07-2022" u="1"/>
        <s v="KAPS-FS-10920-26-07-2023" u="1"/>
        <s v="KAPS-FS-13465-02-08-2023" u="1"/>
        <s v="KAPW-IB-53419-26-10-2022" u="1"/>
        <s v="KAPW-IB-65578-22-11-2022" u="1"/>
        <s v="KAPS-FS-130888-11-05-2024" u="1"/>
        <s v="LPEX-PF-4732-03-01-2024" u="1"/>
        <s v="LPEX-PF-7853-13-02-2024" u="1"/>
        <s v="LPEX-PF-7864-13-02-2024" u="1"/>
        <s v="LPEX-PF-7866-13-02-2024" u="1"/>
        <s v="KAPW-EB-194894-14-06-2024" u="1"/>
        <s v="KAPW-IB-170426-18-05-2022" u="1"/>
        <s v="KAPW-IB-123024-10-04-2023" u="1"/>
        <s v="KAPW-IB-123040-10-04-2023" u="1"/>
        <s v="KPPI-FS-19300-05-10-2023" u="1"/>
        <s v="06072024-A-125212" u="1"/>
        <s v="KPPI-FS-2177-10-07-2024" u="1"/>
        <s v="29032024-A-078722" u="1"/>
        <s v="29032024-A-078814" u="1"/>
        <s v="25042024-A-088969" u="1"/>
        <s v="LPEX-PF-7995-14-02-2024" u="1"/>
        <s v="KPEX-PF-95472-07-12-2023" u="1"/>
        <s v="20022024-A-064016" u="1"/>
        <s v="26122023-A-044237" u="1"/>
        <s v="29032024-A-078686" u="1"/>
        <s v="KAPS-FS-32026-22-09-2023" u="1"/>
        <s v="KAPW-FS-49133-06-10-2023" u="1"/>
        <s v="KAPW-FS-49134-06-10-2023" u="1"/>
        <s v="KAPW-IB-67708-26-11-2022" u="1"/>
        <s v="KAPW-IB-67755-26-11-2022" u="1"/>
        <s v="02012024-A-047246" u="1"/>
        <s v="29032024-A-078822" u="1"/>
        <s v="KAPW-IB-75086-12-12-2022" u="1"/>
        <s v="02012024-A-047222" u="1"/>
        <s v="KAPE-IB-107391-09-01-2023" u="1"/>
        <s v="20022024-A-063987" u="1"/>
        <s v="23012024-A-055227" u="1"/>
        <s v="23012024-A-055203" u="1"/>
        <s v="HCSE-PF-383-16-08-2024" u="1"/>
        <s v="KAPW-IB-182586-14-06-2022" u="1"/>
        <s v="KAPW-IB-164566-10-05-2022" u="1"/>
        <s v="02012024-A-047254" u="1"/>
        <s v="03012024-A-047436" u="1"/>
        <s v="03012024-A-047528" u="1"/>
        <s v="LPEX-PF-5659-16-01-2024" u="1"/>
        <s v="LPEX-PF-5661-16-01-2024" u="1"/>
        <s v="LPEX-PF-5727-16-01-2024" u="1"/>
        <s v="LPEX-PF-6657-26-01-2024" u="1"/>
        <s v="25042024-A-088985" u="1"/>
        <s v="20022024-A-063971" u="1"/>
        <s v="23012024-A-055143" u="1"/>
        <s v="KPFI-TI-27918-01-03-2023" u="1"/>
        <s v="KPFI-TI-27919-01-03-2023" u="1"/>
        <s v="29052024-A-105995" u="1"/>
        <s v="25042024-A-089022" u="1"/>
        <s v="02102023-A-014163" u="1"/>
        <s v="16102023-A-017228" u="1"/>
        <s v="KAPS-FS-26675-06-09-2023" u="1"/>
        <s v="KAPW-IB-90120-16-01-2023" u="1"/>
        <s v="24052024-A-103317" u="1"/>
        <s v="24052024-A-103409" u="1"/>
        <s v="03012024-A-047536" u="1"/>
        <s v="KAPE-IB-20806-10-08-2022" u="1"/>
        <s v="25042024-A-088993" u="1"/>
        <s v="KAPE-IB-108364-11-01-2023" u="1"/>
        <s v="KAPE-IB-113930-21-01-2023" u="1"/>
        <s v="KAPE-IB-123067-05-01-2022" u="1"/>
        <s v="KAPE-IB-135164-25-01-2022" u="1"/>
        <s v="23012024-A-055199" u="1"/>
        <s v="23012024-A-055083" u="1"/>
        <s v="17042024-A-083920" u="1"/>
        <s v="GWDE-PF-11-18-08-2023" u="1"/>
        <s v="KPFI-FS-49-01-07-2024" u="1"/>
        <s v="KPPI-IB-38567-19-01-2023" u="1"/>
        <s v="KPPI-FS-46101-21-02-2024" u="1"/>
        <s v="25042024-A-089030" u="1"/>
        <s v="03062024-A-108468" u="1"/>
        <s v="04032024-A-068165" u="1"/>
        <s v="16102023-A-017236" u="1"/>
        <s v="30102023-A-020769" u="1"/>
        <s v="30102023-A-020745" u="1"/>
        <s v="02012024-A-047270" u="1"/>
        <s v="03012024-A-047728" u="1"/>
        <s v="LPEX-PF-11080-15-03-2024" u="1"/>
        <s v="LPEX-PF-11081-15-03-2024" u="1"/>
        <s v="LPEX-PF-11084-15-03-2024" u="1"/>
        <s v="LPEX-PF-11091-15-03-2024" u="1"/>
        <s v="05092023-A-009017" u="1"/>
        <s v="17112023-A-026301" u="1"/>
        <s v="13062024-A-115207" u="1"/>
        <s v="24052024-A-103609" u="1"/>
        <s v="KPPI-FS-2930-15-07-2024" u="1"/>
        <s v="KPPI-FS-2931-15-07-2024" u="1"/>
        <s v="KAPE-IB-44820-20-09-2022" u="1"/>
        <s v="KAPE-IB-196703-29-04-2022" u="1"/>
        <s v="KAPE-IB-196874-29-04-2022" u="1"/>
        <s v="KAPE-IB-175809-25-03-2022" u="1"/>
        <s v="17042024-A-083984" u="1"/>
        <s v="18092023-A-011668" u="1"/>
        <s v="19092023-A-011710" u="1"/>
        <s v="KPEX-PF-152493-27-02-2024" u="1"/>
        <s v="11092023-A-010002" u="1"/>
        <s v="27122023-A-044575" u="1"/>
        <s v="24052024-A-103525" u="1"/>
        <s v="27122023-A-044711" u="1"/>
        <s v="03012024-A-047652" u="1"/>
        <s v="03012024-A-047812" u="1"/>
        <s v="LPEX-PF-11267-19-03-2024" u="1"/>
        <s v="LPEX-PF-11369-19-03-2024" u="1"/>
        <s v="31012024-A-058228" u="1"/>
        <s v="17042024-A-084145" u="1"/>
        <s v="03062024-A-108492" u="1"/>
        <s v="24052024-A-103465" u="1"/>
        <s v="KAPE-FS-13569-24-08-2023" u="1"/>
        <s v="03012024-A-047684" u="1"/>
        <s v="27022024-A-066227" u="1"/>
        <s v="03012024-A-047820" u="1"/>
        <s v="03012024-A-047912" u="1"/>
        <s v="17112023-A-026533" u="1"/>
        <s v="04122023-A-034318" u="1"/>
        <s v="04062024-A-108590" u="1"/>
        <s v="03012024-A-047784" u="1"/>
        <s v="03012024-A-047920" u="1"/>
        <s v="16032024-A-073979" u="1"/>
        <s v="LPEX-PF-13736-19-04-2024" u="1"/>
        <s v="03052024-A-093248" u="1"/>
        <s v="LPEX-PF-19923-11-06-2024" u="1"/>
        <s v="26062024-A-119546" u="1"/>
        <s v="24052024-A-103597" u="1"/>
        <s v="27122023-A-044691" u="1"/>
        <s v="30082023-A-007762" u="1"/>
        <s v="03012024-A-047860" u="1"/>
        <s v="KAPE-IB-226928-21-06-2022" u="1"/>
        <s v="KAPE-IB-226952-21-06-2022" u="1"/>
        <s v="03052024-A-093232" u="1"/>
        <s v="KPEX-PF-197895-13-05-2024" u="1"/>
        <s v="KPEX-PF-197897-13-05-2024" u="1"/>
        <s v="31012024-A-058276" u="1"/>
        <s v="16032024-A-074024" u="1"/>
        <s v="KPPI-FS-59812-25-04-2024" u="1"/>
        <s v="18012024-A-053445" u="1"/>
        <s v="31012024-A-058504" u="1"/>
        <s v="KPPI-FS-65099-21-05-2024" u="1"/>
        <s v="03012024-A-047892" u="1"/>
        <s v="LPEX-PF-15809-09-05-2024" u="1"/>
        <s v="03052024-A-093240" u="1"/>
        <s v="KPPE-PF-209601-28-03-2024" u="1"/>
        <s v="KPPE-PF-209612-28-03-2024" u="1"/>
        <s v="KPPE-PF-164011-30-01-2024" u="1"/>
        <s v="KPPE-PF-164013-30-01-2024" u="1"/>
        <s v="08032024-A-070223" u="1"/>
        <s v="16032024-A-074032" u="1"/>
        <s v="LPEX-PF-2286-23-11-2023" u="1"/>
        <s v="04122023-A-034274" u="1"/>
        <s v="KAPE-FS-17348-08-09-2023" u="1"/>
        <s v="KAPE-FS-19649-18-09-2023" u="1"/>
        <s v="KAPW-FS-139283-09-03-2024" u="1"/>
        <s v="04052024-A-093294" u="1"/>
        <s v="KAPW-IB-102354-09-02-2023" u="1"/>
        <s v="18012024-A-053553" u="1"/>
        <s v="04122023-A-034374" u="1"/>
        <s v="LPEX-PF-2815-04-12-2023" u="1"/>
        <s v="LPEX-PF-2828-04-12-2023" u="1"/>
        <s v="LPEX-PF-3489-14-12-2023" u="1"/>
        <s v="04122023-A-034350" u="1"/>
        <s v="KPPE-PF-202915-20-03-2024" u="1"/>
        <s v="13092023-A-010746" u="1"/>
        <s v="27112023-A-030683" u="1"/>
        <s v="18012024-A-053561" u="1"/>
        <s v="KAPS-FS-104215-12-03-2024" u="1"/>
        <s v="KAPW-FS-11805-22-07-2023" u="1"/>
        <s v="KAPW-FS-11807-22-07-2023" u="1"/>
        <s v="KAPW-FS-11808-22-07-2023" u="1"/>
        <s v="KAPW-IB-10863-26-07-2022" u="1"/>
        <s v="KAPW-IB-14172-02-08-2022" u="1"/>
        <s v="KAPW-IB-14182-02-08-2022" u="1"/>
        <s v="KAPW-IB-14373-02-08-2022" u="1"/>
        <s v="03072024-A-123718" u="1"/>
        <s v="26022024-A-065269" u="1"/>
        <s v="KAPW-IB-136039-09-03-2022" u="1"/>
        <s v="KAPW-IB-114076-31-01-2022" u="1"/>
        <s v="31012024-A-058560" u="1"/>
        <s v="KPPI-IB-63603-19-06-2023" u="1"/>
        <s v="KPPI-IB-63604-19-06-2023" u="1"/>
        <s v="KPPI-IB-63605-19-06-2023" u="1"/>
        <s v="PQZI-EP-27705-02-05-2023" u="1"/>
        <s v="03072024-A-123382" u="1"/>
        <s v="06072024-A-125137" u="1"/>
        <s v="26022024-A-065321" u="1"/>
        <s v="KPPE-PF-276187-14-06-2024" u="1"/>
        <s v="29032024-A-078807" u="1"/>
        <s v="KPPE-PF-138364-30-12-2023" u="1"/>
        <s v="KAPS-FS-136023-22-05-2024" u="1"/>
        <s v="KAPW-FS-13483-26-07-2023" u="1"/>
        <s v="23042024-A-087358" u="1"/>
        <s v="KAPW-IB-131668-05-05-2023" u="1"/>
        <s v="KAPW-IB-135626-15-05-2023" u="1"/>
        <s v="06072024-A-125077" u="1"/>
        <s v="KAPE-IB-9650-20-07-2022" u="1"/>
        <s v="KAPW-IB-132268-01-03-2022" u="1"/>
        <s v="KAPW-IB-132362-01-03-2022" u="1"/>
        <s v="KAPW-IB-147499-31-03-2022" u="1"/>
        <s v="26122023-A-044206" u="1"/>
        <s v="29032024-A-078815" u="1"/>
        <s v="02012024-A-047215" u="1"/>
        <s v="LPEX-PF-3200-08-12-2023" u="1"/>
        <s v="KPPI-FS-12579-01-09-2023" u="1"/>
        <s v="KPPI-FS-12580-01-09-2023" u="1"/>
        <s v="26022024-A-065453" u="1"/>
        <s v="06072024-A-125061" u="1"/>
        <s v="25042024-A-089007" u="1"/>
        <s v="02012024-A-047155" u="1"/>
        <s v="25042024-A-088978" u="1"/>
        <s v="KAPW-FS-36581-12-09-2023" u="1"/>
        <s v="03072024-A-123590" u="1"/>
        <s v="17042024-A-083905" u="1"/>
        <s v="KAPS-FS-55283-23-11-2023" u="1"/>
        <s v="23012024-A-055112" u="1"/>
        <s v="23012024-A-055204" u="1"/>
        <s v="KAPW-IB-149837-21-06-2023" u="1"/>
        <s v="20112023-A-026999" u="1"/>
        <s v="KAPE-IB-65345-11-10-2021" u="1"/>
        <s v="KAPE-IB-65347-11-10-2021" u="1"/>
        <s v="KAPW-IB-165902-11-05-2022" u="1"/>
        <s v="15082023-A-004760" u="1"/>
        <s v="26122023-A-044222" u="1"/>
        <s v="02012024-A-047163" u="1"/>
        <s v="KPPI-FS-13434-05-09-2023" u="1"/>
        <s v="KPPI-FS-13437-05-09-2023" u="1"/>
        <s v="17012024-A-052779" u="1"/>
        <s v="20022024-A-063996" u="1"/>
        <s v="23012024-A-055212" u="1"/>
        <s v="26022024-A-065493" u="1"/>
        <s v="26102023-A-019917" u="1"/>
        <s v="26122023-A-044278" u="1"/>
        <s v="02012024-A-047195" u="1"/>
        <s v="16012024-A-052697" u="1"/>
        <s v="17012024-A-052787" u="1"/>
        <s v="KAPE-IB-124652-06-02-2023" u="1"/>
        <s v="16042024-A-083671" u="1"/>
        <s v="KAPE-IB-55926-11-10-2022" u="1"/>
        <s v="KAPE-IB-73827-25-10-2021" u="1"/>
        <s v="KAPE-IB-73834-25-10-2021" u="1"/>
        <s v="KAPE-IB-1995-04-07-2022" u="1"/>
        <s v="KAPE-IB-2006-04-07-2022" u="1"/>
        <s v="KAPE-IB-2011-04-07-2022" u="1"/>
        <s v="KAPE-FS-9741-10-08-2023" u="1"/>
        <s v="17042024-A-084006" u="1"/>
        <s v="26122023-A-044286" u="1"/>
        <s v="27122023-A-044604" u="1"/>
        <s v="17112023-A-026326" u="1"/>
        <s v="KPAF-FS-31625-02-01-2024" u="1"/>
        <s v="KPAF-IB-29515-16-01-2023" u="1"/>
        <s v="17042024-A-083977" u="1"/>
        <s v="17042024-A-083953" u="1"/>
        <s v="19092023-A-011703" u="1"/>
        <s v="KAPE-FS-1994-11-07-2023" u="1"/>
        <s v="KAPE-IB-6713-15-07-2022" u="1"/>
        <s v="27122023-A-044568" u="1"/>
        <s v="03062024-A-108361" u="1"/>
        <s v="27122023-A-044612" u="1"/>
        <s v="03012024-A-047645" u="1"/>
        <s v="24082023-A-006503" u="1"/>
        <s v="KAPE-IB-143556-26-04-2023" u="1"/>
        <s v="17112023-A-026518" u="1"/>
        <s v="KAPE-IB-134719-02-03-2023" u="1"/>
        <s v="KAPS-FS-95844-23-02-2024" u="1"/>
        <s v="KAPE-IB-52786-05-10-2022" u="1"/>
        <s v="KPEX-PF-127903-24-01-2024" u="1"/>
        <s v="KPEX-PF-128435-24-01-2024" u="1"/>
        <s v="KPEX-PF-128446-24-01-2024" u="1"/>
        <s v="11092023-A-010003" u="1"/>
        <s v="KAPE-FS-5500-22-07-2023" u="1"/>
        <s v="KAPE-IB-3802-06-07-2022" u="1"/>
        <s v="KAPE-IB-3878-06-07-2022" u="1"/>
        <s v="03062024-A-108393" u="1"/>
        <s v="27122023-A-044668" u="1"/>
        <s v="30102023-A-020762" u="1"/>
        <s v="03012024-A-047653" u="1"/>
        <s v="03012024-A-047905" u="1"/>
        <s v="HCSE-PF-2660-12-06-2024" u="1"/>
        <s v="HCSE-PF-2661-12-06-2024" u="1"/>
        <s v="17112023-A-026250" u="1"/>
        <s v="KPAF-IB-38071-22-03-2023" u="1"/>
        <s v="17042024-A-084078" u="1"/>
        <s v="KAPE-IB-4498-07-07-2022" u="1"/>
        <s v="17042024-A-084030" u="1"/>
        <s v="27122023-A-044676" u="1"/>
        <s v="30102023-A-020770" u="1"/>
        <s v="28022024-A-066318" u="1"/>
        <s v="HCSE-PF-2471-03-06-2024" u="1"/>
        <s v="KAPE-IB-149372-22-05-2023" u="1"/>
        <s v="KAPE-IB-212426-26-05-2022" u="1"/>
        <s v="KAPS-IB-11803-03-04-2023" u="1"/>
        <s v="KAPS-IB-11991-03-04-2023" u="1"/>
        <s v="13062024-A-115164" u="1"/>
        <s v="KPEX-PF-182817-18-04-2024" u="1"/>
        <s v="KAPE-IB-83971-09-11-2021" u="1"/>
        <s v="16032024-A-074009" u="1"/>
        <s v="30082023-A-007779" u="1"/>
        <s v="03012024-A-047921" u="1"/>
        <s v="17112023-A-026498" u="1"/>
        <s v="28022024-A-066302" u="1"/>
        <s v="HCSE-PF-2773-24-06-2024" u="1"/>
        <s v="17112023-A-026474" u="1"/>
        <s v="03052024-A-093249" u="1"/>
        <s v="17112023-A-026542" u="1"/>
        <s v="03052024-A-093225" u="1"/>
        <s v="16032024-A-074017" u="1"/>
        <s v="18012024-A-053438" u="1"/>
        <s v="18012024-A-053414" u="1"/>
        <s v="18012024-A-053506" u="1"/>
        <s v="KAPE-IB-8569-19-07-2022" u="1"/>
        <s v="24052024-A-103482" u="1"/>
        <s v="27022024-A-066220" u="1"/>
        <s v="KAPE-IB-228399-22-06-2022" u="1"/>
        <s v="KAPS-IB-17584-27-04-2023" u="1"/>
        <s v="KAPS-IB-17617-27-04-2023" u="1"/>
        <s v="KAPE-FS-45579-01-01-2024" u="1"/>
        <s v="KPEX-PF-227079-28-06-2024" u="1"/>
        <s v="KPEX-PF-227108-28-06-2024" u="1"/>
        <s v="KPEX-PF-198947-14-05-2024" u="1"/>
        <s v="KAPE-IB-93423-15-12-2022" u="1"/>
        <s v="KAPE-EB-6086-02-08-2024" u="1"/>
        <s v="KAPE-EB-6087-02-08-2024" u="1"/>
        <s v="04122023-A-034403" u="1"/>
        <s v="26122023-A-043738" u="1"/>
        <s v="HCSE-PF-2865-26-06-2024" u="1"/>
        <s v="HCSE-PF-2866-26-06-2024" u="1"/>
        <s v="16082023-A-005575" u="1"/>
        <s v="03052024-A-093241" u="1"/>
        <s v="KPAF-IB-56483-06-05-2022" u="1"/>
        <s v="16032024-A-074033" u="1"/>
        <s v="31012024-A-058261" u="1"/>
        <s v="18012024-A-053430" u="1"/>
        <s v="KAPE-FS-9023-07-08-2023" u="1"/>
        <s v="03072024-A-123403" u="1"/>
        <s v="KAPW-FS-119331-06-02-2024" u="1"/>
        <s v="KAPW-FS-119521-06-02-2024" u="1"/>
        <s v="KAPW-FS-104585-12-01-2024" u="1"/>
        <s v="PCSE-PF-329-16-01-2024" u="1"/>
        <s v="PCSE-PF-330-16-01-2024" u="1"/>
        <s v="08032024-A-070232" u="1"/>
        <s v="KAPW-IB-55540-13-10-2021" u="1"/>
        <s v="KAPE-FS-1496-08-07-2023" u="1"/>
        <s v="KAPE-FS-9119-08-08-2023" u="1"/>
        <s v="KPAF-IB-45892-16-05-2023" u="1"/>
        <s v="KPAF-TI-52368-22-06-2023" u="1"/>
        <s v="KPPE-PF-259491-29-05-2024" u="1"/>
        <s v="18012024-A-053494" u="1"/>
        <s v="KAPS-FS-104803-13-03-2024" u="1"/>
        <s v="14122023-A-038556" u="1"/>
        <s v="KPEX-PF-87079-24-11-2023" u="1"/>
        <s v="KAPS-IB-37294-27-06-2023" u="1"/>
        <s v="13092023-A-010755" u="1"/>
        <s v="03072024-A-123659" u="1"/>
        <s v="26122023-A-044107" u="1"/>
        <s v="KAPS-FS-136823-23-05-2024" u="1"/>
        <s v="KAPS-FS-136827-23-05-2024" u="1"/>
        <s v="03072024-A-123643" u="1"/>
        <s v="26022024-A-065330" u="1"/>
        <s v="06072024-A-125030" u="1"/>
        <s v="KAPS-FS-11539-23-07-2024" u="1"/>
        <s v="KAPW-FS-46787-03-10-2023" u="1"/>
        <s v="29032024-A-078816" u="1"/>
        <s v="02012024-A-047308" u="1"/>
        <s v="29032024-A-078700" u="1"/>
        <s v="25042024-A-088923" u="1"/>
        <s v="03072024-A-123743" u="1"/>
        <s v="26122023-A-044147" u="1"/>
        <s v="02012024-A-047316" u="1"/>
        <s v="29032024-A-078800" u="1"/>
        <s v="02012024-A-047200" u="1"/>
        <s v="PCSE-PF-10-25-07-2023" u="1"/>
        <s v="PCSE-PF-11-25-07-2023" u="1"/>
        <s v="PCSE-PF-12-25-07-2023" u="1"/>
        <s v="PCSE-PF-13-25-07-2023" u="1"/>
        <s v="PCSE-PF-14-25-07-2023" u="1"/>
        <s v="PCSE-PF-15-25-07-2023" u="1"/>
        <s v="23042024-A-087351" u="1"/>
        <s v="KPFI-IB-25327-02-02-2023" u="1"/>
        <s v="KAPW-IB-146777-12-06-2023" u="1"/>
        <s v="KAPW-IB-178347-06-06-2022" u="1"/>
        <s v="06072024-A-125070" u="1"/>
        <s v="KAPW-IB-151007-12-04-2021" u="1"/>
        <s v="02102023-A-014157" u="1"/>
        <s v="KAPS-FS-15113-07-08-2023" u="1"/>
        <s v="KAPS-FS-15439-07-08-2023" u="1"/>
        <s v="26122023-A-044247" u="1"/>
        <s v="29032024-A-078696" u="1"/>
        <s v="20022024-A-064002" u="1"/>
        <s v="KAPW-FS-68911-13-11-2023" u="1"/>
        <s v="KAPE-IB-10867-21-07-2022" u="1"/>
        <s v="02012024-A-047324" u="1"/>
        <s v="20112023-A-027037" u="1"/>
        <s v="17042024-A-083938" u="1"/>
        <s v="23012024-A-055169" u="1"/>
        <s v="23012024-A-055121" u="1"/>
        <s v="02102023-A-014165" u="1"/>
        <s v="29032024-A-078796" u="1"/>
        <s v="KAPE-IB-133908-27-02-2023" u="1"/>
        <s v="KAPE-IB-103699-03-01-2023" u="1"/>
        <s v="03062024-A-108446" u="1"/>
        <s v="04062024-A-108604" u="1"/>
        <s v="24052024-A-103235" u="1"/>
        <s v="17112023-A-026235" u="1"/>
        <s v="05092023-A-009019" u="1"/>
        <s v="17042024-A-083930" u="1"/>
        <s v="KPPI-FS-40049-16-01-2024" u="1"/>
        <s v="25042024-A-089040" u="1"/>
        <s v="16102023-A-017246" u="1"/>
        <s v="PQZI-EP-10160-17-10-2022" u="1"/>
        <s v="PQZI-EP-10161-17-10-2022" u="1"/>
        <s v="03012024-A-047578" u="1"/>
        <s v="24052024-A-103243" u="1"/>
        <s v="03012024-A-047646" u="1"/>
        <s v="03012024-A-047806" u="1"/>
        <s v="24082023-A-006504" u="1"/>
        <s v="17112023-A-026335" u="1"/>
        <s v="16012024-A-052690" u="1"/>
        <s v="23012024-A-055193" u="1"/>
        <s v="13062024-A-115125" u="1"/>
        <s v="KPEX-PF-139851-09-02-2024" u="1"/>
        <s v="KPEX-PF-139864-09-02-2024" u="1"/>
        <s v="17042024-A-084139" u="1"/>
        <s v="03062024-A-108486" u="1"/>
        <s v="12072024-A-128159" u="1"/>
        <s v="16102023-A-017254" u="1"/>
        <s v="27122023-A-044577" u="1"/>
        <s v="27122023-A-044645" u="1"/>
        <s v="27122023-A-044737" u="1"/>
        <s v="KAPE-IB-15088-29-07-2022" u="1"/>
        <s v="03012024-A-047586" u="1"/>
        <s v="KAPE-IB-35021-01-09-2022" u="1"/>
        <s v="KAPE-IB-45663-21-09-2022" u="1"/>
        <s v="03012024-A-047722" u="1"/>
        <s v="03052024-A-093118" u="1"/>
        <s v="05092023-A-009011" u="1"/>
        <s v="13062024-A-115133" u="1"/>
        <s v="11092023-A-010036" u="1"/>
        <s v="25042024-A-089080" u="1"/>
        <s v="27122023-A-044561" u="1"/>
        <s v="03012024-A-047570" u="1"/>
        <s v="03012024-A-047662" u="1"/>
        <s v="03012024-A-047754" u="1"/>
        <s v="KAPE-IB-153269-07-06-2023" u="1"/>
        <s v="LPEX-PF-15035-02-05-2024" u="1"/>
        <s v="LPEX-PF-17738-22-05-2024" u="1"/>
        <s v="LPEX-PF-17745-22-05-2024" u="1"/>
        <s v="03052024-A-093218" u="1"/>
        <s v="KAPE-IB-111629-17-12-2021" u="1"/>
        <s v="18092023-A-011662" u="1"/>
        <s v="KPEX-PF-156873-05-03-2024" u="1"/>
        <s v="KPEX-PF-147892-21-02-2024" u="1"/>
        <s v="24052024-A-103475" u="1"/>
        <s v="27122023-A-044753" u="1"/>
        <s v="27022024-A-066169" u="1"/>
        <s v="KAPE-FS-15673-01-09-2023" u="1"/>
        <s v="03012024-A-047762" u="1"/>
        <s v="27022024-A-066145" u="1"/>
        <s v="03012024-A-047830" u="1"/>
        <s v="03012024-A-047922" u="1"/>
        <s v="PCSE-PF-152-17-10-2023" u="1"/>
        <s v="PCSE-PF-154-17-10-2023" u="1"/>
        <s v="03052024-A-093202" u="1"/>
        <s v="18092023-A-011670" u="1"/>
        <s v="04122023-A-034304" u="1"/>
        <s v="30082023-A-007764" u="1"/>
        <s v="KPEX-PF-228386-29-06-2024" u="1"/>
        <s v="KPEX-PF-206700-25-05-2024" u="1"/>
        <s v="16032024-A-074026" u="1"/>
        <s v="16032024-A-074002" u="1"/>
        <s v="24052024-A-103491" u="1"/>
        <s v="28022024-A-066299" u="1"/>
        <s v="KAPE-IB-44112-19-09-2022" u="1"/>
        <s v="30082023-A-007772" u="1"/>
        <s v="PQEB-PF-835-11-06-2024" u="1"/>
        <s v="17112023-A-026491" u="1"/>
        <s v="31012024-A-058538" u="1"/>
        <s v="18012024-A-053455" u="1"/>
        <s v="18012024-A-053547" u="1"/>
        <s v="07052024-A-094898" u="1"/>
        <s v="30082023-A-007780" u="1"/>
        <s v="07052024-A-094942" u="1"/>
        <s v="04052024-A-093296" u="1"/>
        <s v="KAPW-FS-131726-27-02-2024" u="1"/>
        <s v="03052024-A-093090" u="1"/>
        <s v="16082023-A-005560" u="1"/>
        <s v="KAPW-FS-110799-23-01-2024" u="1"/>
        <s v="03052024-A-093250" u="1"/>
        <s v="KPEX-PF-217704-11-06-2024" u="1"/>
        <s v="KPEX-PF-217707-11-06-2024" u="1"/>
        <s v="18012024-A-053487" u="1"/>
        <s v="18012024-A-053463" u="1"/>
        <s v="31012024-A-058430" u="1"/>
        <s v="31012024-A-058522" u="1"/>
        <s v="18012024-A-053531" u="1"/>
        <s v="26122023-A-043755" u="1"/>
        <s v="17082023-A-005934" u="1"/>
        <s v="KPPE-PF-222368-16-04-2024" u="1"/>
        <s v="03072024-A-123604" u="1"/>
        <s v="26022024-A-065247" u="1"/>
        <s v="06072024-A-125039" u="1"/>
        <s v="17082023-A-005942" u="1"/>
        <s v="26022024-A-065315" u="1"/>
        <s v="KAPW-IB-118811-07-02-2022" u="1"/>
        <s v="KAPW-IB-125939-17-02-2022" u="1"/>
        <s v="KAPW-IB-106492-13-01-2022" u="1"/>
        <s v="26122023-A-044008" u="1"/>
        <s v="31012024-A-058494" u="1"/>
        <s v="13092023-A-010756" u="1"/>
        <s v="KAPW-IB-24417-23-08-2022" u="1"/>
        <s v="PQEB-PF-855-20-06-2024" u="1"/>
        <s v="PQEB-PF-859-20-06-2024" u="1"/>
        <s v="26022024-A-065323" u="1"/>
        <s v="06072024-A-125115" u="1"/>
        <s v="29032024-A-078809" u="1"/>
        <s v="PQIB-IB-16708-28-03-2023" u="1"/>
        <s v="KAPS-FS-131938-14-05-2024" u="1"/>
        <s v="KPPI-FS-10403-22-08-2023" u="1"/>
        <s v="PQZI-EP-25811-07-04-2023" u="1"/>
        <s v="PQZI-EP-25812-07-04-2023" u="1"/>
        <s v="PQZI-EP-27794-03-05-2023" u="1"/>
        <s v="PQZI-EP-30403-23-05-2023" u="1"/>
        <s v="23042024-A-087336" u="1"/>
        <s v="26122023-A-043963" u="1"/>
        <s v="03072024-A-123620" u="1"/>
        <s v="KAPW-IB-136592-17-05-2023" u="1"/>
        <s v="26022024-A-065263" u="1"/>
        <s v="26022024-A-065447" u="1"/>
        <s v="06072024-A-125055" u="1"/>
        <s v="06072024-A-125215" u="1"/>
        <s v="29032024-A-078817" u="1"/>
        <s v="KAPW-FS-11659-23-07-2024" u="1"/>
        <s v="KAPW-IB-27141-27-08-2022" u="1"/>
        <s v="20022024-A-063934" u="1"/>
        <s v="KAPS-FS-50062-10-11-2023" u="1"/>
        <s v="PCSE-PF-177-25-10-2023" u="1"/>
        <s v="26122023-A-044216" u="1"/>
        <s v="02012024-A-047249" u="1"/>
        <s v="PQZI-EP-30954-27-05-2023" u="1"/>
        <s v="20022024-A-063898" u="1"/>
        <s v="23012024-A-055138" u="1"/>
        <s v="03072024-A-123660" u="1"/>
        <s v="KAPW-IB-188078-27-06-2022" u="1"/>
        <s v="15082023-A-004762" u="1"/>
        <s v="02012024-A-047189" u="1"/>
        <s v="02012024-A-047233" u="1"/>
        <s v="03012024-A-047507" u="1"/>
        <s v="25042024-A-088964" u="1"/>
        <s v="KAPW-FS-23513-17-08-2023" u="1"/>
        <s v="23012024-A-055078" u="1"/>
        <s v="KAPS-FS-41324-18-10-2023" u="1"/>
        <s v="KAPW-FS-37553-13-09-2023" u="1"/>
        <s v="KAPW-FS-37554-13-09-2023" u="1"/>
        <s v="KAPW-IB-40528-27-09-2022" u="1"/>
        <s v="KAPW-IB-40583-27-09-2022" u="1"/>
        <s v="03072024-A-123876" u="1"/>
        <s v="KAPS-FS-51016-14-11-2023" u="1"/>
        <s v="KAPS-FS-51186-14-11-2023" u="1"/>
        <s v="KAPS-FS-51188-14-11-2023" u="1"/>
        <s v="20112023-A-026961" u="1"/>
        <s v="20022024-A-064011" u="1"/>
        <s v="26122023-A-044140" u="1"/>
        <s v="29032024-A-078773" u="1"/>
        <s v="26122023-A-044300" u="1"/>
        <s v="KPPI-FS-15582-16-09-2023" u="1"/>
        <s v="17012024-A-052765" u="1"/>
        <s v="KAPE-IB-137929-28-01-2022" u="1"/>
        <s v="23012024-A-055178" u="1"/>
        <s v="20022024-A-063982" u="1"/>
        <s v="23012024-A-055222" u="1"/>
        <s v="26102023-A-019927" u="1"/>
        <s v="04032024-A-068168" u="1"/>
        <s v="16102023-A-017239" u="1"/>
        <s v="27122023-A-044606" u="1"/>
        <s v="30102023-A-020748" u="1"/>
        <s v="KAPS-FS-72689-04-01-2024" u="1"/>
        <s v="KAPS-FS-72691-04-01-2024" u="1"/>
        <s v="23012024-A-055094" u="1"/>
        <s v="KAPS-FS-57525-28-11-2023" u="1"/>
        <s v="KAPS-FS-57526-28-11-2023" u="1"/>
        <s v="KAPE-IB-56267-12-10-2022" u="1"/>
        <s v="03062024-A-108479" u="1"/>
        <s v="16102023-A-017223" u="1"/>
        <s v="03012024-A-047647" u="1"/>
        <s v="17112023-A-026268" u="1"/>
        <s v="24082023-A-006505" u="1"/>
        <s v="17112023-A-026220" u="1"/>
        <s v="KAPE-IB-158262-24-02-2022" u="1"/>
        <s v="KAPE-IB-133444-20-01-2022" u="1"/>
        <s v="KPAF-IB-45390-03-03-2022" u="1"/>
        <s v="19092023-A-011713" u="1"/>
        <s v="23012024-A-055170" u="1"/>
        <s v="11092023-A-010005" u="1"/>
        <s v="17042024-A-084000" u="1"/>
        <s v="24052024-A-103276" u="1"/>
        <s v="03012024-A-047747" u="1"/>
        <s v="30102023-A-020740" u="1"/>
        <s v="07052024-A-094719" u="1"/>
        <s v="17112023-A-026276" u="1"/>
        <s v="15082023-A-005339" u="1"/>
        <s v="KAPS-FS-78581-18-01-2024" u="1"/>
        <s v="KAPS-FS-78582-18-01-2024" u="1"/>
        <s v="KAPS-FS-69884-28-12-2023" u="1"/>
        <s v="13062024-A-115226" u="1"/>
        <s v="KAPE-IB-53385-06-10-2022" u="1"/>
        <s v="KAPE-IB-68152-02-11-2022" u="1"/>
        <s v="11092023-A-010013" u="1"/>
        <s v="27122023-A-044586" u="1"/>
        <s v="17042024-A-084100" u="1"/>
        <s v="24052024-A-103444" u="1"/>
        <s v="27122023-A-044722" u="1"/>
        <s v="17112023-A-026284" u="1"/>
        <s v="KAPE-IB-207742-18-05-2022" u="1"/>
        <s v="KAPE-IB-178580-30-03-2022" u="1"/>
        <s v="13062024-A-115234" u="1"/>
        <s v="KPEX-PF-170454-26-03-2024" u="1"/>
        <s v="17042024-A-084088" u="1"/>
        <s v="17042024-A-084248" u="1"/>
        <s v="17042024-A-084132" u="1"/>
        <s v="24052024-A-103544" u="1"/>
        <s v="26062024-A-119549" u="1"/>
        <s v="14062024-A-115448" u="1"/>
        <s v="KAPS-IB-21933-10-05-2023" u="1"/>
        <s v="PQIB-IB-2406-11-08-2020" u="1"/>
        <s v="16032024-A-074019" u="1"/>
        <s v="17042024-A-084096" u="1"/>
        <s v="27022024-A-066222" u="1"/>
        <s v="17112023-A-026484" u="1"/>
        <s v="PCSE-PF-174-23-10-2023" u="1"/>
        <s v="KAPE-IB-155829-20-06-2023" u="1"/>
        <s v="KAPE-IB-213507-30-05-2022" u="1"/>
        <s v="13032024-A-072296" u="1"/>
        <s v="04122023-A-034429" u="1"/>
        <s v="PCSE-PF-16-04-08-2023" u="1"/>
        <s v="PCSE-PF-17-04-08-2023" u="1"/>
        <s v="PCSE-PF-18-04-08-2023" u="1"/>
        <s v="PCSE-PF-19-04-08-2023" u="1"/>
        <s v="PCSE-PF-20-04-08-2023" u="1"/>
        <s v="PCSE-PF-21-04-08-2023" u="1"/>
        <s v="PCSE-PF-22-04-08-2023" u="1"/>
        <s v="PCSE-PF-23-04-08-2023" u="1"/>
        <s v="KPEX-PF-66592-21-10-2023" u="1"/>
        <s v="KPEX-PF-66597-21-10-2023" u="1"/>
        <s v="03012024-A-047895" u="1"/>
        <s v="27022024-A-066094" u="1"/>
        <s v="30082023-A-007773" u="1"/>
        <s v="16082023-A-005553" u="1"/>
        <s v="03052024-A-093243" u="1"/>
        <s v="SKZI-EP-171-16-06-2022" u="1"/>
        <s v="KAPS-IB-26200-24-05-2023" u="1"/>
        <s v="KAPS-IB-26207-24-05-2023" u="1"/>
        <s v="KAPS-IB-34263-20-06-2023" u="1"/>
        <s v="08032024-A-070202" u="1"/>
        <s v="03072024-A-123429" u="1"/>
        <s v="KAPW-FS-132705-28-02-2024" u="1"/>
        <s v="KAPE-MB-228620-10-06-2021" u="1"/>
        <s v="03052024-A-093251" u="1"/>
        <s v="07052024-A-095004" u="1"/>
        <s v="PQIB-IB-3057-24-08-2020" u="1"/>
        <s v="27042024-A-089945" u="1"/>
        <s v="04072024-A-124583" u="1"/>
        <s v="03072024-A-123437" u="1"/>
        <s v="26022024-A-065308" u="1"/>
        <s v="PCSE-PF-469-22-02-2024" u="1"/>
        <s v="08032024-A-070198" u="1"/>
        <s v="14062024-A-115480" u="1"/>
        <s v="31012024-A-058555" u="1"/>
        <s v="KAPW-IB-56155-14-10-2021" u="1"/>
        <s v="18012024-A-053472" u="1"/>
        <s v="KAPW-IB-67471-10-11-2021" u="1"/>
        <s v="04122023-A-034385" u="1"/>
        <s v="18012024-A-053540" u="1"/>
        <s v="03072024-A-123445" u="1"/>
        <s v="07052024-A-094983" u="1"/>
        <s v="17082023-A-005943" u="1"/>
        <s v="KAPW-FS-122316-10-02-2024" u="1"/>
        <s v="KAPW-IB-108654-24-02-2023" u="1"/>
        <s v="KAPW-IB-108660-24-02-2023" u="1"/>
        <s v="KAPW-IB-108664-24-02-2023" u="1"/>
        <s v="06072024-A-125108" u="1"/>
        <s v="PCSE-PF-113-02-10-2023" u="1"/>
        <s v="PCSE-PF-114-02-10-2023" u="1"/>
        <s v="PCSE-PF-115-02-10-2023" u="1"/>
        <s v="PCSE-PF-116-02-10-2023" u="1"/>
        <s v="PCSE-PF-117-02-10-2023" u="1"/>
        <s v="PCSE-PF-121-02-10-2023" u="1"/>
        <s v="PCSE-PF-123-02-10-2023" u="1"/>
        <s v="PCSE-PF-125-02-10-2023" u="1"/>
        <s v="PCSE-PF-145-12-10-2023" u="1"/>
        <s v="PCSE-PF-146-12-10-2023" u="1"/>
        <s v="PCSE-PF-147-12-10-2023" u="1"/>
        <s v="KAPW-IB-106716-14-01-2022" u="1"/>
        <s v="27112023-A-030670" u="1"/>
        <s v="03072024-A-123569" u="1"/>
        <s v="03072024-A-123637" u="1"/>
        <s v="18102023-A-018020" u="1"/>
        <s v="KPPE-PF-236962-03-05-2024" u="1"/>
        <s v="KPPE-PF-237059-03-05-2024" u="1"/>
        <s v="PCSE-PF-615-29-04-2024" u="1"/>
        <s v="KAPW-FS-57519-20-10-2023" u="1"/>
        <s v="25042024-A-088917" u="1"/>
        <s v="20022024-A-063927" u="1"/>
        <s v="KAPW-IB-132473-08-05-2023" u="1"/>
        <s v="KAPW-IB-132481-08-05-2023" u="1"/>
        <s v="KAPW-IB-120896-04-04-2023" u="1"/>
        <s v="KAPW-IB-154711-18-04-2022" u="1"/>
        <s v="06072024-A-125032" u="1"/>
        <s v="KPPI-IB-20535-17-10-2022" u="1"/>
        <s v="KPPI-IB-20546-17-10-2022" u="1"/>
        <s v="KPPI-IB-27637-23-11-2022" u="1"/>
        <s v="29032024-A-078818" u="1"/>
        <s v="23012024-A-055107" u="1"/>
        <s v="26022024-A-065500" u="1"/>
        <s v="KAPS-FS-14441-04-08-2023" u="1"/>
        <s v="KAPS-FS-14443-04-08-2023" u="1"/>
        <s v="KAPS-FS-22034-24-08-2023" u="1"/>
        <s v="KAPW-IB-54840-28-10-2022" u="1"/>
        <s v="26122023-A-044101" u="1"/>
        <s v="KAPW-FS-80230-30-11-2023" u="1"/>
        <s v="KAPW-FS-80231-30-11-2023" u="1"/>
        <s v="KAPW-FS-80233-30-11-2023" u="1"/>
        <s v="KAPW-IB-57245-04-11-2022" u="1"/>
        <s v="25042024-A-088957" u="1"/>
        <s v="22042024-A-087195" u="1"/>
        <s v="23012024-A-055115" u="1"/>
        <s v="26022024-A-065488" u="1"/>
        <s v="20112023-A-026978" u="1"/>
        <s v="26022024-A-065440" u="1"/>
        <s v="20112023-A-026954" u="1"/>
        <s v="KPPI-IB-24375-07-11-2022" u="1"/>
        <s v="KAPW-IB-143645-30-03-2021" u="1"/>
        <s v="PCSE-PF-172-21-10-2023" u="1"/>
        <s v="26122023-A-044133" u="1"/>
        <s v="02012024-A-047258" u="1"/>
        <s v="02012024-A-047234" u="1"/>
        <s v="02012024-A-047326" u="1"/>
        <s v="29032024-A-078810" u="1"/>
        <s v="02012024-A-047210" u="1"/>
      </sharedItems>
    </cacheField>
    <cacheField name="HS.Code" numFmtId="0">
      <sharedItems containsSemiMixedTypes="0" containsString="0" containsNumber="1" minValue="2501.009" maxValue="9606.2990000000009" count="74">
        <n v="2847"/>
        <n v="2815.12"/>
        <n v="3402.42"/>
        <n v="2501.009"/>
        <n v="3809.9189999999999"/>
        <n v="5201.009"/>
        <n v="5505.1"/>
        <n v="5205.1099999999997"/>
        <n v="5206.12"/>
        <n v="5205.12"/>
        <n v="5205.13"/>
        <n v="5205.2299999999996"/>
        <n v="5205.24"/>
        <n v="5205.26"/>
        <n v="5205.2700000000004"/>
        <n v="5205.28"/>
        <n v="5208.1899999999996"/>
        <n v="5208.1099999999997"/>
        <n v="5206.1400000000003"/>
        <n v="5210.1099999999997"/>
        <n v="5210.41"/>
        <n v="5503.201"/>
        <n v="5402.33"/>
        <n v="5407.51"/>
        <n v="3909.5"/>
        <n v="3402.4189999999999"/>
        <n v="3402.9"/>
        <n v="2904.2089999999998"/>
        <n v="3204.172"/>
        <n v="3906.9029999999998"/>
        <n v="3910"/>
        <n v="3707.1"/>
        <n v="3204.16"/>
        <n v="4007.009"/>
        <n v="5901.9089999999997"/>
        <n v="5807.1009999999997"/>
        <n v="9606.2990000000009"/>
        <n v="4810.29"/>
        <n v="3919.9090000000001"/>
        <n v="3923.29"/>
        <n v="3926.9099000000001"/>
        <n v="5401.1"/>
        <n v="5401.2089999999998"/>
        <n v="5508.1"/>
        <n v="3809.9110000000001"/>
        <n v="3912.31" u="1"/>
        <n v="2915.11" u="1"/>
        <n v="5206.2299999999996" u="1"/>
        <n v="5503.2089999999998" u="1"/>
        <n v="3204.1590000000001" u="1"/>
        <n v="5205.22" u="1"/>
        <n v="5407.52" u="1"/>
        <n v="3204.1190000000001" u="1"/>
        <n v="3204.9" u="1"/>
        <n v="3507.9" u="1"/>
        <n v="9606.2909999999993" u="1"/>
        <n v="2513.1" u="1"/>
        <n v="5509.53" u="1"/>
        <n v="4821.1090000000004" u="1"/>
        <n v="3204.1109999999999" u="1"/>
        <n v="3204.2" u="1"/>
        <n v="3906.902" u="1"/>
        <n v="3215.1190000000001" u="1"/>
        <n v="5806.32" u="1"/>
        <n v="2836.2" u="1"/>
        <n v="5205.21" u="1"/>
        <n v="5209.42" u="1"/>
        <n v="3204.12" u="1"/>
        <n v="5206.25" u="1"/>
        <n v="4821.8999999999996" u="1"/>
        <n v="2836.3" u="1"/>
        <n v="3905.12" u="1"/>
        <n v="3906.9090000000001" u="1"/>
        <n v="2931.909000000000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x v="0"/>
    <n v="40902.14"/>
    <x v="0"/>
    <x v="0"/>
  </r>
  <r>
    <x v="0"/>
    <n v="5799"/>
    <x v="1"/>
    <x v="1"/>
  </r>
  <r>
    <x v="0"/>
    <n v="44.870000000000005"/>
    <x v="2"/>
    <x v="2"/>
  </r>
  <r>
    <x v="0"/>
    <n v="19108"/>
    <x v="3"/>
    <x v="3"/>
  </r>
  <r>
    <x v="0"/>
    <n v="14234.58"/>
    <x v="4"/>
    <x v="4"/>
  </r>
  <r>
    <x v="0"/>
    <n v="92808.518499999991"/>
    <x v="5"/>
    <x v="5"/>
  </r>
  <r>
    <x v="0"/>
    <n v="38885"/>
    <x v="6"/>
    <x v="5"/>
  </r>
  <r>
    <x v="0"/>
    <n v="575"/>
    <x v="7"/>
    <x v="6"/>
  </r>
  <r>
    <x v="0"/>
    <n v="2400"/>
    <x v="8"/>
    <x v="6"/>
  </r>
  <r>
    <x v="0"/>
    <n v="272"/>
    <x v="9"/>
    <x v="7"/>
  </r>
  <r>
    <x v="0"/>
    <n v="179.59559999999965"/>
    <x v="10"/>
    <x v="8"/>
  </r>
  <r>
    <x v="0"/>
    <n v="11668.24"/>
    <x v="11"/>
    <x v="9"/>
  </r>
  <r>
    <x v="0"/>
    <n v="94"/>
    <x v="12"/>
    <x v="9"/>
  </r>
  <r>
    <x v="0"/>
    <n v="358.44999999999982"/>
    <x v="13"/>
    <x v="10"/>
  </r>
  <r>
    <x v="0"/>
    <n v="210"/>
    <x v="14"/>
    <x v="10"/>
  </r>
  <r>
    <x v="0"/>
    <n v="1891.038"/>
    <x v="15"/>
    <x v="11"/>
  </r>
  <r>
    <x v="0"/>
    <n v="49029.9493"/>
    <x v="16"/>
    <x v="12"/>
  </r>
  <r>
    <x v="0"/>
    <n v="7871.3100000000013"/>
    <x v="17"/>
    <x v="13"/>
  </r>
  <r>
    <x v="0"/>
    <n v="2463.3900000000003"/>
    <x v="18"/>
    <x v="14"/>
  </r>
  <r>
    <x v="0"/>
    <n v="3084.4596999999999"/>
    <x v="19"/>
    <x v="15"/>
  </r>
  <r>
    <x v="0"/>
    <n v="3670"/>
    <x v="20"/>
    <x v="16"/>
  </r>
  <r>
    <x v="0"/>
    <n v="10000"/>
    <x v="21"/>
    <x v="17"/>
  </r>
  <r>
    <x v="0"/>
    <n v="1245.3799999999992"/>
    <x v="22"/>
    <x v="16"/>
  </r>
  <r>
    <x v="0"/>
    <n v="6106"/>
    <x v="23"/>
    <x v="16"/>
  </r>
  <r>
    <x v="0"/>
    <n v="4828.9624000000003"/>
    <x v="24"/>
    <x v="8"/>
  </r>
  <r>
    <x v="0"/>
    <n v="11"/>
    <x v="25"/>
    <x v="8"/>
  </r>
  <r>
    <x v="0"/>
    <n v="3988"/>
    <x v="26"/>
    <x v="8"/>
  </r>
  <r>
    <x v="0"/>
    <n v="21186.25"/>
    <x v="27"/>
    <x v="18"/>
  </r>
  <r>
    <x v="0"/>
    <n v="416.07999999999993"/>
    <x v="28"/>
    <x v="19"/>
  </r>
  <r>
    <x v="0"/>
    <n v="329"/>
    <x v="29"/>
    <x v="19"/>
  </r>
  <r>
    <x v="0"/>
    <n v="461.48000000000047"/>
    <x v="30"/>
    <x v="18"/>
  </r>
  <r>
    <x v="0"/>
    <n v="1523.64"/>
    <x v="31"/>
    <x v="18"/>
  </r>
  <r>
    <x v="0"/>
    <n v="1080.79"/>
    <x v="32"/>
    <x v="20"/>
  </r>
  <r>
    <x v="0"/>
    <n v="476837.23"/>
    <x v="33"/>
    <x v="21"/>
  </r>
  <r>
    <x v="0"/>
    <n v="22699.87"/>
    <x v="34"/>
    <x v="22"/>
  </r>
  <r>
    <x v="0"/>
    <n v="8080"/>
    <x v="35"/>
    <x v="23"/>
  </r>
  <r>
    <x v="0"/>
    <n v="18000"/>
    <x v="36"/>
    <x v="23"/>
  </r>
  <r>
    <x v="0"/>
    <n v="1.1300000000000026"/>
    <x v="37"/>
    <x v="24"/>
  </r>
  <r>
    <x v="0"/>
    <n v="116.82999999999916"/>
    <x v="38"/>
    <x v="25"/>
  </r>
  <r>
    <x v="0"/>
    <n v="155"/>
    <x v="39"/>
    <x v="25"/>
  </r>
  <r>
    <x v="0"/>
    <n v="5"/>
    <x v="40"/>
    <x v="26"/>
  </r>
  <r>
    <x v="0"/>
    <n v="26"/>
    <x v="41"/>
    <x v="27"/>
  </r>
  <r>
    <x v="0"/>
    <n v="58"/>
    <x v="42"/>
    <x v="28"/>
  </r>
  <r>
    <x v="0"/>
    <n v="10034.120000000001"/>
    <x v="43"/>
    <x v="29"/>
  </r>
  <r>
    <x v="0"/>
    <n v="12965.95"/>
    <x v="44"/>
    <x v="30"/>
  </r>
  <r>
    <x v="0"/>
    <n v="468.58"/>
    <x v="45"/>
    <x v="31"/>
  </r>
  <r>
    <x v="0"/>
    <n v="219.05999999999983"/>
    <x v="46"/>
    <x v="32"/>
  </r>
  <r>
    <x v="0"/>
    <n v="36.21"/>
    <x v="47"/>
    <x v="33"/>
  </r>
  <r>
    <x v="0"/>
    <n v="366.19000000000005"/>
    <x v="48"/>
    <x v="34"/>
  </r>
  <r>
    <x v="0"/>
    <n v="22.569999999999965"/>
    <x v="49"/>
    <x v="35"/>
  </r>
  <r>
    <x v="0"/>
    <n v="5.36"/>
    <x v="50"/>
    <x v="36"/>
  </r>
  <r>
    <x v="0"/>
    <n v="2.3099999999999881"/>
    <x v="51"/>
    <x v="37"/>
  </r>
  <r>
    <x v="0"/>
    <n v="24431.119999999999"/>
    <x v="52"/>
    <x v="37"/>
  </r>
  <r>
    <x v="0"/>
    <n v="776.10000000000036"/>
    <x v="53"/>
    <x v="38"/>
  </r>
  <r>
    <x v="0"/>
    <n v="75.610000000000014"/>
    <x v="54"/>
    <x v="39"/>
  </r>
  <r>
    <x v="0"/>
    <n v="8324.4"/>
    <x v="55"/>
    <x v="40"/>
  </r>
  <r>
    <x v="0"/>
    <n v="23.089000000000009"/>
    <x v="56"/>
    <x v="41"/>
  </r>
  <r>
    <x v="0"/>
    <n v="19.501899999999999"/>
    <x v="57"/>
    <x v="42"/>
  </r>
  <r>
    <x v="0"/>
    <n v="52.879999999999981"/>
    <x v="58"/>
    <x v="43"/>
  </r>
  <r>
    <x v="1"/>
    <n v="81.81"/>
    <x v="0"/>
    <x v="0"/>
  </r>
  <r>
    <x v="1"/>
    <n v="109"/>
    <x v="1"/>
    <x v="1"/>
  </r>
  <r>
    <x v="1"/>
    <n v="109"/>
    <x v="3"/>
    <x v="3"/>
  </r>
  <r>
    <x v="1"/>
    <n v="2754.54"/>
    <x v="5"/>
    <x v="5"/>
  </r>
  <r>
    <x v="1"/>
    <n v="109.08"/>
    <x v="43"/>
    <x v="29"/>
  </r>
  <r>
    <x v="1"/>
    <n v="109.08"/>
    <x v="44"/>
    <x v="30"/>
  </r>
  <r>
    <x v="2"/>
    <n v="270.45"/>
    <x v="0"/>
    <x v="0"/>
  </r>
  <r>
    <x v="2"/>
    <n v="361"/>
    <x v="1"/>
    <x v="1"/>
  </r>
  <r>
    <x v="2"/>
    <n v="361.00000000000006"/>
    <x v="3"/>
    <x v="3"/>
  </r>
  <r>
    <x v="2"/>
    <n v="9106.0499999999993"/>
    <x v="5"/>
    <x v="5"/>
  </r>
  <r>
    <x v="2"/>
    <n v="360.6"/>
    <x v="43"/>
    <x v="29"/>
  </r>
  <r>
    <x v="2"/>
    <n v="360.6"/>
    <x v="44"/>
    <x v="30"/>
  </r>
  <r>
    <x v="2"/>
    <n v="360.6"/>
    <x v="53"/>
    <x v="38"/>
  </r>
  <r>
    <x v="3"/>
    <n v="785.52"/>
    <x v="0"/>
    <x v="0"/>
  </r>
  <r>
    <x v="3"/>
    <n v="524"/>
    <x v="1"/>
    <x v="1"/>
  </r>
  <r>
    <x v="3"/>
    <n v="671.39819999999997"/>
    <x v="59"/>
    <x v="8"/>
  </r>
  <r>
    <x v="3"/>
    <n v="9071.9403999999995"/>
    <x v="60"/>
    <x v="8"/>
  </r>
  <r>
    <x v="3"/>
    <n v="15875.8958"/>
    <x v="61"/>
    <x v="8"/>
  </r>
  <r>
    <x v="3"/>
    <n v="829.17"/>
    <x v="24"/>
    <x v="8"/>
  </r>
  <r>
    <x v="4"/>
    <n v="404.67"/>
    <x v="0"/>
    <x v="0"/>
  </r>
  <r>
    <x v="4"/>
    <n v="493"/>
    <x v="1"/>
    <x v="1"/>
  </r>
  <r>
    <x v="4"/>
    <n v="447"/>
    <x v="3"/>
    <x v="3"/>
  </r>
  <r>
    <x v="4"/>
    <n v="446.96"/>
    <x v="4"/>
    <x v="4"/>
  </r>
  <r>
    <x v="4"/>
    <n v="7112.17"/>
    <x v="5"/>
    <x v="5"/>
  </r>
  <r>
    <x v="4"/>
    <n v="4174.6899999999996"/>
    <x v="33"/>
    <x v="21"/>
  </r>
  <r>
    <x v="4"/>
    <n v="317.92"/>
    <x v="43"/>
    <x v="29"/>
  </r>
  <r>
    <x v="4"/>
    <n v="92.6"/>
    <x v="45"/>
    <x v="31"/>
  </r>
  <r>
    <x v="4"/>
    <n v="64.400000000000006"/>
    <x v="46"/>
    <x v="32"/>
  </r>
  <r>
    <x v="4"/>
    <n v="476.88"/>
    <x v="52"/>
    <x v="37"/>
  </r>
  <r>
    <x v="5"/>
    <n v="181.56"/>
    <x v="0"/>
    <x v="0"/>
  </r>
  <r>
    <x v="5"/>
    <n v="121"/>
    <x v="1"/>
    <x v="1"/>
  </r>
  <r>
    <x v="5"/>
    <n v="28"/>
    <x v="2"/>
    <x v="2"/>
  </r>
  <r>
    <x v="5"/>
    <n v="2934.32"/>
    <x v="5"/>
    <x v="5"/>
  </r>
  <r>
    <x v="5"/>
    <n v="367.68"/>
    <x v="33"/>
    <x v="21"/>
  </r>
  <r>
    <x v="5"/>
    <n v="28"/>
    <x v="62"/>
    <x v="44"/>
  </r>
  <r>
    <x v="5"/>
    <n v="214.08"/>
    <x v="44"/>
    <x v="30"/>
  </r>
  <r>
    <x v="5"/>
    <n v="374.64"/>
    <x v="46"/>
    <x v="32"/>
  </r>
  <r>
    <x v="6"/>
    <n v="441.18"/>
    <x v="0"/>
    <x v="0"/>
  </r>
  <r>
    <x v="6"/>
    <n v="588"/>
    <x v="1"/>
    <x v="1"/>
  </r>
  <r>
    <x v="6"/>
    <n v="588"/>
    <x v="3"/>
    <x v="3"/>
  </r>
  <r>
    <x v="6"/>
    <n v="47.16"/>
    <x v="4"/>
    <x v="4"/>
  </r>
  <r>
    <x v="6"/>
    <n v="14854.53"/>
    <x v="5"/>
    <x v="5"/>
  </r>
  <r>
    <x v="6"/>
    <n v="541.08000000000004"/>
    <x v="43"/>
    <x v="29"/>
  </r>
  <r>
    <x v="6"/>
    <n v="541.08000000000004"/>
    <x v="44"/>
    <x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9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 rowHeaderCaption="GD No.">
  <location ref="C2:K67" firstHeaderRow="1" firstDataRow="2" firstDataCol="1"/>
  <pivotFields count="4">
    <pivotField axis="axisCol" showAll="0">
      <items count="1287">
        <item x="0"/>
        <item m="1" x="1160"/>
        <item m="1" x="380"/>
        <item m="1" x="853"/>
        <item m="1" x="1013"/>
        <item m="1" x="1169"/>
        <item m="1" x="34"/>
        <item m="1" x="202"/>
        <item m="1" x="1032"/>
        <item m="1" x="1151"/>
        <item m="1" x="990"/>
        <item m="1" x="13"/>
        <item m="1" x="182"/>
        <item m="1" x="337"/>
        <item m="1" x="485"/>
        <item m="1" x="648"/>
        <item m="1" x="807"/>
        <item m="1" x="156"/>
        <item m="1" x="317"/>
        <item m="1" x="462"/>
        <item m="1" x="620"/>
        <item m="1" x="359"/>
        <item m="1" x="1253"/>
        <item m="1" x="128"/>
        <item m="1" x="104"/>
        <item m="1" x="476"/>
        <item m="1" x="554"/>
        <item m="1" x="960"/>
        <item m="1" x="1120"/>
        <item m="1" x="124"/>
        <item m="1" x="1250"/>
        <item m="1" x="289"/>
        <item m="1" x="1173"/>
        <item m="1" x="673"/>
        <item m="1" x="999"/>
        <item m="1" x="1076"/>
        <item m="1" x="1159"/>
        <item m="1" x="758"/>
        <item m="1" x="1281"/>
        <item m="1" x="670"/>
        <item m="1" x="712"/>
        <item m="1" x="436"/>
        <item m="1" x="632"/>
        <item m="1" x="1034"/>
        <item m="1" x="142"/>
        <item m="1" x="97"/>
        <item m="1" x="1230"/>
        <item m="1" x="230"/>
        <item m="1" x="187"/>
        <item m="1" x="307"/>
        <item m="1" x="855"/>
        <item m="1" x="1047"/>
        <item m="1" x="939"/>
        <item m="1" x="895"/>
        <item m="1" x="1208"/>
        <item m="1" x="1246"/>
        <item m="1" x="1279"/>
        <item m="1" x="204"/>
        <item m="1" x="432"/>
        <item m="1" x="668"/>
        <item m="1" x="707"/>
        <item m="1" x="790"/>
        <item m="1" x="955"/>
        <item m="1" x="991"/>
        <item m="1" x="1067"/>
        <item m="1" x="184"/>
        <item m="1" x="1262"/>
        <item m="1" x="16"/>
        <item m="1" x="420"/>
        <item m="1" x="1274"/>
        <item m="1" x="303"/>
        <item m="1" x="338"/>
        <item m="1" x="393"/>
        <item m="1" x="428"/>
        <item m="1" x="986"/>
        <item m="1" x="1063"/>
        <item m="1" x="1024"/>
        <item m="1" x="62"/>
        <item m="1" x="1147"/>
        <item m="1" x="48"/>
        <item m="1" x="723"/>
        <item m="1" x="557"/>
        <item m="1" x="844"/>
        <item m="1" x="888"/>
        <item x="2"/>
        <item m="1" x="1199"/>
        <item m="1" x="424"/>
        <item m="1" x="459"/>
        <item m="1" x="783"/>
        <item m="1" x="1256"/>
        <item m="1" x="819"/>
        <item m="1" x="131"/>
        <item m="1" x="175"/>
        <item m="1" x="332"/>
        <item m="1" x="296"/>
        <item m="1" x="679"/>
        <item m="1" x="763"/>
        <item m="1" x="801"/>
        <item m="1" x="842"/>
        <item m="1" x="887"/>
        <item m="1" x="929"/>
        <item m="1" x="1236"/>
        <item m="1" x="1219"/>
        <item m="1" x="107"/>
        <item m="1" x="85"/>
        <item m="1" x="294"/>
        <item m="1" x="406"/>
        <item m="1" x="423"/>
        <item m="1" x="590"/>
        <item m="1" x="458"/>
        <item m="1" x="480"/>
        <item m="1" x="575"/>
        <item m="1" x="1196"/>
        <item m="1" x="593"/>
        <item m="1" x="496"/>
        <item m="1" x="678"/>
        <item m="1" x="639"/>
        <item m="1" x="659"/>
        <item m="1" x="841"/>
        <item m="1" x="983"/>
        <item m="1" x="947"/>
        <item m="1" x="1058"/>
        <item m="1" x="1003"/>
        <item m="1" x="1080"/>
        <item m="1" x="66"/>
        <item m="1" x="330"/>
        <item m="1" x="352"/>
        <item m="1" x="389"/>
        <item m="1" x="1254"/>
        <item m="1" x="495"/>
        <item m="1" x="516"/>
        <item m="1" x="479"/>
        <item m="1" x="677"/>
        <item m="1" x="698"/>
        <item m="1" x="782"/>
        <item m="1" x="840"/>
        <item m="1" x="1057"/>
        <item m="1" x="1079"/>
        <item m="1" x="1144"/>
        <item m="1" x="1122"/>
        <item m="1" x="1270"/>
        <item m="1" x="84"/>
        <item m="1" x="150"/>
        <item m="1" x="173"/>
        <item m="1" x="192"/>
        <item m="1" x="214"/>
        <item m="1" x="272"/>
        <item m="1" x="369"/>
        <item m="1" x="457"/>
        <item m="1" x="25"/>
        <item m="1" x="658"/>
        <item m="1" x="720"/>
        <item m="1" x="924"/>
        <item m="1" x="1056"/>
        <item m="1" x="1078"/>
        <item m="1" x="1195"/>
        <item m="1" x="1235"/>
        <item m="1" x="1217"/>
        <item m="1" x="43"/>
        <item m="1" x="65"/>
        <item m="1" x="125"/>
        <item m="1" x="256"/>
        <item m="1" x="386"/>
        <item m="1" x="573"/>
        <item m="1" x="637"/>
        <item m="1" x="781"/>
        <item m="1" x="740"/>
        <item m="1" x="818"/>
        <item m="1" x="837"/>
        <item m="1" x="923"/>
        <item m="1" x="903"/>
        <item m="1" x="1121"/>
        <item m="1" x="1142"/>
        <item m="1" x="1251"/>
        <item m="1" x="1268"/>
        <item m="1" x="1284"/>
        <item m="1" x="22"/>
        <item m="1" x="719"/>
        <item m="1" x="270"/>
        <item m="1" x="210"/>
        <item m="1" x="254"/>
        <item m="1" x="1275"/>
        <item m="1" x="475"/>
        <item m="1" x="553"/>
        <item m="1" x="589"/>
        <item m="1" x="697"/>
        <item m="1" x="779"/>
        <item m="1" x="799"/>
        <item m="1" x="815"/>
        <item m="1" x="836"/>
        <item m="1" x="921"/>
        <item m="1" x="943"/>
        <item m="1" x="959"/>
        <item m="1" x="880"/>
        <item m="1" x="862"/>
        <item m="1" x="902"/>
        <item m="1" x="980"/>
        <item m="1" x="1119"/>
        <item m="1" x="1174"/>
        <item m="1" x="860"/>
        <item m="1" x="510"/>
        <item m="1" x="835"/>
        <item m="1" x="859"/>
        <item m="1" x="878"/>
        <item m="1" x="1172"/>
        <item m="1" x="1249"/>
        <item m="1" x="671"/>
        <item m="1" x="735"/>
        <item m="1" x="713"/>
        <item m="1" x="550"/>
        <item m="1" x="694"/>
        <item m="1" x="121"/>
        <item m="1" x="775"/>
        <item m="1" x="834"/>
        <item m="1" x="166"/>
        <item m="1" x="813"/>
        <item m="1" x="877"/>
        <item m="1" x="232"/>
        <item m="1" x="1248"/>
        <item m="1" x="633"/>
        <item m="1" x="418"/>
        <item m="1" x="471"/>
        <item m="1" x="1137"/>
        <item m="1" x="1114"/>
        <item m="1" x="508"/>
        <item m="1" x="530"/>
        <item m="1" x="346"/>
        <item m="1" x="997"/>
        <item m="1" x="365"/>
        <item m="1" x="1016"/>
        <item m="1" x="1157"/>
        <item m="1" x="585"/>
        <item m="1" x="631"/>
        <item m="1" x="654"/>
        <item m="1" x="38"/>
        <item m="1" x="693"/>
        <item m="1" x="61"/>
        <item m="1" x="711"/>
        <item m="1" x="79"/>
        <item m="1" x="733"/>
        <item m="1" x="120"/>
        <item m="1" x="857"/>
        <item m="1" x="832"/>
        <item m="1" x="231"/>
        <item m="1" x="267"/>
        <item m="1" x="206"/>
        <item m="1" x="977"/>
        <item m="1" x="382"/>
        <item m="1" x="1033"/>
        <item m="1" x="399"/>
        <item m="1" x="435"/>
        <item m="1" x="364"/>
        <item m="1" x="451"/>
        <item m="1" x="1112"/>
        <item m="1" x="1155"/>
        <item m="1" x="1190"/>
        <item m="1" x="547"/>
        <item m="1" x="1209"/>
        <item m="1" x="584"/>
        <item m="1" x="19"/>
        <item m="1" x="1015"/>
        <item m="1" x="1136"/>
        <item m="1" x="732"/>
        <item m="1" x="605"/>
        <item m="1" x="37"/>
        <item m="1" x="669"/>
        <item m="1" x="630"/>
        <item m="1" x="1264"/>
        <item m="1" x="96"/>
        <item m="1" x="752"/>
        <item m="1" x="77"/>
        <item m="1" x="141"/>
        <item m="1" x="186"/>
        <item m="1" x="163"/>
        <item m="1" x="874"/>
        <item m="1" x="248"/>
        <item m="1" x="856"/>
        <item m="1" x="325"/>
        <item m="1" x="976"/>
        <item m="1" x="1031"/>
        <item m="1" x="381"/>
        <item m="1" x="1070"/>
        <item m="1" x="434"/>
        <item m="1" x="1092"/>
        <item m="1" x="342"/>
        <item m="1" x="488"/>
        <item m="1" x="1247"/>
        <item m="1" x="603"/>
        <item m="1" x="629"/>
        <item m="1" x="652"/>
        <item m="1" x="708"/>
        <item m="1" x="57"/>
        <item m="1" x="95"/>
        <item m="1" x="894"/>
        <item m="1" x="914"/>
        <item m="1" x="284"/>
        <item m="1" x="341"/>
        <item m="1" x="1046"/>
        <item m="1" x="415"/>
        <item m="1" x="993"/>
        <item m="1" x="1134"/>
        <item m="1" x="1069"/>
        <item m="1" x="433"/>
        <item m="1" x="1090"/>
        <item m="1" x="448"/>
        <item m="1" x="1110"/>
        <item m="1" x="469"/>
        <item m="1" x="306"/>
        <item m="1" x="487"/>
        <item m="1" x="792"/>
        <item m="1" x="1187"/>
        <item m="1" x="546"/>
        <item m="1" x="1228"/>
        <item m="1" x="1154"/>
        <item m="1" x="563"/>
        <item m="1" x="602"/>
        <item m="1" x="1278"/>
        <item m="1" x="525"/>
        <item m="1" x="1205"/>
        <item m="1" x="810"/>
        <item m="1" x="956"/>
        <item m="1" x="974"/>
        <item m="1" x="893"/>
        <item m="1" x="115"/>
        <item m="1" x="340"/>
        <item m="1" x="397"/>
        <item m="1" x="431"/>
        <item m="1" x="378"/>
        <item m="1" x="1133"/>
        <item m="1" x="750"/>
        <item m="1" x="1109"/>
        <item m="1" x="1153"/>
        <item m="1" x="650"/>
        <item m="1" x="17"/>
        <item m="1" x="1029"/>
        <item m="1" x="667"/>
        <item m="1" x="749"/>
        <item m="1" x="114"/>
        <item m="1" x="323"/>
        <item m="1" x="305"/>
        <item m="1" x="1186"/>
        <item m="1" x="938"/>
        <item m="1" x="94"/>
        <item m="1" x="789"/>
        <item m="1" x="201"/>
        <item m="1" x="414"/>
        <item m="1" x="377"/>
        <item m="1" x="892"/>
        <item m="1" x="282"/>
        <item m="1" x="544"/>
        <item m="1" x="304"/>
        <item m="1" x="973"/>
        <item m="1" x="322"/>
        <item m="1" x="954"/>
        <item m="1" x="339"/>
        <item m="1" x="1066"/>
        <item m="1" x="446"/>
        <item m="1" x="295"/>
        <item m="1" x="502"/>
        <item m="1" x="686"/>
        <item m="1" x="1206"/>
        <item m="1" x="226"/>
        <item m="1" x="1044"/>
        <item m="1" x="828"/>
        <item m="1" x="543"/>
        <item m="1" x="14"/>
        <item m="1" x="466"/>
        <item m="1" x="75"/>
        <item m="1" x="685"/>
        <item m="1" x="705"/>
        <item m="1" x="826"/>
        <item m="1" x="200"/>
        <item m="1" x="263"/>
        <item m="1" x="281"/>
        <item m="1" x="849"/>
        <item m="1" x="321"/>
        <item m="1" x="1261"/>
        <item m="1" x="989"/>
        <item m="1" x="183"/>
        <item m="1" x="972"/>
        <item m="1" x="1260"/>
        <item m="1" x="456"/>
        <item m="1" x="1011"/>
        <item m="1" x="871"/>
        <item m="1" x="1276"/>
        <item m="1" x="1243"/>
        <item m="1" x="581"/>
        <item m="1" x="245"/>
        <item m="1" x="1167"/>
        <item m="1" x="727"/>
        <item m="1" x="663"/>
        <item m="1" x="30"/>
        <item m="1" x="933"/>
        <item m="1" x="301"/>
        <item m="1" x="848"/>
        <item m="1" x="262"/>
        <item m="1" x="970"/>
        <item m="1" x="336"/>
        <item m="1" x="988"/>
        <item m="1" x="159"/>
        <item m="1" x="747"/>
        <item m="1" x="687"/>
        <item m="1" x="32"/>
        <item m="1" x="1010"/>
        <item m="1" x="966"/>
        <item m="1" x="838"/>
        <item m="1" x="1272"/>
        <item m="1" x="618"/>
        <item m="1" x="942"/>
        <item m="1" x="897"/>
        <item m="1" x="646"/>
        <item m="1" x="817"/>
        <item m="1" x="237"/>
        <item m="1" x="798"/>
        <item m="1" x="146"/>
        <item m="1" x="863"/>
        <item m="1" x="455"/>
        <item m="1" x="80"/>
        <item m="1" x="1257"/>
        <item m="1" x="1051"/>
        <item m="1" x="875"/>
        <item m="1" x="548"/>
        <item m="1" x="555"/>
        <item m="1" x="567"/>
        <item m="1" x="827"/>
        <item m="1" x="666"/>
        <item m="1" x="503"/>
        <item m="1" x="1129"/>
        <item m="1" x="400"/>
        <item m="1" x="1102"/>
        <item m="1" x="350"/>
        <item m="1" x="764"/>
        <item m="1" x="928"/>
        <item m="1" x="1082"/>
        <item m="1" x="439"/>
        <item m="1" x="132"/>
        <item m="1" x="275"/>
        <item m="1" x="1220"/>
        <item m="1" x="331"/>
        <item m="1" x="407"/>
        <item m="1" x="800"/>
        <item m="1" x="536"/>
        <item m="1" x="866"/>
        <item m="1" x="1020"/>
        <item m="1" x="1179"/>
        <item m="1" x="1098"/>
        <item m="1" x="67"/>
        <item m="1" x="438"/>
        <item m="1" x="1037"/>
        <item m="1" x="699"/>
        <item m="1" x="963"/>
        <item m="1" x="886"/>
        <item m="1" x="592"/>
        <item m="1" x="925"/>
        <item m="1" x="580"/>
        <item m="1" x="422"/>
        <item m="1" x="1216"/>
        <item m="1" x="577"/>
        <item m="1" x="741"/>
        <item m="1" x="171"/>
        <item m="1" x="1055"/>
        <item m="1" x="1143"/>
        <item m="1" x="82"/>
        <item m="1" x="404"/>
        <item m="1" x="551"/>
        <item m="1" x="351"/>
        <item m="1" x="312"/>
        <item m="1" x="616"/>
        <item m="1" x="1194"/>
        <item m="1" x="514"/>
        <item m="1" x="255"/>
        <item m="1" x="1019"/>
        <item m="1" x="1095"/>
        <item m="1" x="41"/>
        <item m="1" x="919"/>
        <item m="1" x="21"/>
        <item m="1" x="269"/>
        <item m="1" x="190"/>
        <item m="1" x="348"/>
        <item m="1" x="492"/>
        <item m="1" x="1139"/>
        <item m="1" x="1052"/>
        <item m="1" x="569"/>
        <item m="1" x="167"/>
        <item m="1" x="207"/>
        <item m="1" x="287"/>
        <item m="1" x="327"/>
        <item m="1" x="1071"/>
        <item m="1" x="1113"/>
        <item m="1" x="1267"/>
        <item m="1" x="266"/>
        <item m="1" x="958"/>
        <item m="1" x="653"/>
        <item m="1" x="691"/>
        <item m="1" x="450"/>
        <item m="1" x="489"/>
        <item m="1" x="344"/>
        <item m="1" x="731"/>
        <item m="1" x="773"/>
        <item m="1" x="811"/>
        <item m="1" x="604"/>
        <item m="1" x="996"/>
        <item m="1" x="293"/>
        <item m="1" x="366"/>
        <item m="1" x="116"/>
        <item m="1" x="1014"/>
        <item m="1" x="162"/>
        <item m="1" x="247"/>
        <item m="1" x="398"/>
        <item m="1" x="324"/>
        <item m="1" x="545"/>
        <item m="1" x="1028"/>
        <item m="1" x="138"/>
        <item m="1" x="975"/>
        <item m="1" x="1108"/>
        <item m="1" x="264"/>
        <item m="1" x="486"/>
        <item m="1" x="523"/>
        <item m="1" x="445"/>
        <item m="1" x="1152"/>
        <item m="1" x="417"/>
        <item m="1" x="73"/>
        <item m="1" x="468"/>
        <item m="1" x="1049"/>
        <item m="1" x="1087"/>
        <item m="1" x="684"/>
        <item m="1" x="112"/>
        <item m="1" x="158"/>
        <item m="1" x="1203"/>
        <item m="1" x="198"/>
        <item m="1" x="1242"/>
        <item m="1" x="1091"/>
        <item m="1" x="464"/>
        <item m="1" x="500"/>
        <item m="1" x="540"/>
        <item m="1" x="912"/>
        <item m="1" x="869"/>
        <item m="1" x="951"/>
        <item m="1" x="413"/>
        <item m="1" x="822"/>
        <item m="1" x="29"/>
        <item m="1" x="1223"/>
        <item m="1" x="88"/>
        <item m="1" x="561"/>
        <item m="1" x="298"/>
        <item m="1" x="372"/>
        <item m="1" x="440"/>
        <item m="1" x="702"/>
        <item m="1" x="765"/>
        <item m="1" x="803"/>
        <item x="1"/>
        <item x="3"/>
        <item x="5"/>
        <item m="1" x="194"/>
        <item m="1" x="240"/>
        <item m="1" x="69"/>
        <item m="1" x="964"/>
        <item m="1" x="314"/>
        <item m="1" x="153"/>
        <item m="1" x="354"/>
        <item m="1" x="660"/>
        <item m="1" x="497"/>
        <item m="1" x="537"/>
        <item m="1" x="578"/>
        <item m="1" x="390"/>
        <item m="1" x="909"/>
        <item m="1" x="1100"/>
        <item m="1" x="1060"/>
        <item m="1" x="1182"/>
        <item m="1" x="1021"/>
        <item m="1" x="220"/>
        <item m="1" x="518"/>
        <item m="1" x="86"/>
        <item m="1" x="1181"/>
        <item m="1" x="1221"/>
        <item m="1" x="1004"/>
        <item m="1" x="640"/>
        <item m="1" x="1125"/>
        <item m="1" x="1081"/>
        <item m="1" x="68"/>
        <item m="1" x="1198"/>
        <item m="1" x="46"/>
        <item m="1" x="130"/>
        <item m="1" x="151"/>
        <item m="1" x="174"/>
        <item m="1" x="193"/>
        <item m="1" x="313"/>
        <item m="1" x="219"/>
        <item m="1" x="239"/>
        <item m="1" x="353"/>
        <item m="1" x="517"/>
        <item m="1" x="273"/>
        <item m="1" x="617"/>
        <item m="1" x="742"/>
        <item m="1" x="935"/>
        <item m="1" x="885"/>
        <item m="1" x="906"/>
        <item m="1" x="962"/>
        <item m="1" x="1161"/>
        <item m="1" x="1180"/>
        <item m="1" x="1099"/>
        <item m="1" x="1197"/>
        <item m="1" x="1123"/>
        <item m="1" x="45"/>
        <item m="1" x="106"/>
        <item m="1" x="129"/>
        <item m="1" x="1145"/>
        <item m="1" x="238"/>
        <item m="1" x="370"/>
        <item m="1" x="574"/>
        <item m="1" x="615"/>
        <item m="1" x="638"/>
        <item m="1" x="926"/>
        <item m="1" x="905"/>
        <item m="1" x="946"/>
        <item m="1" x="1283"/>
        <item m="1" x="722"/>
        <item m="1" x="882"/>
        <item m="1" x="127"/>
        <item m="1" x="105"/>
        <item m="1" x="24"/>
        <item m="1" x="44"/>
        <item m="1" x="257"/>
        <item m="1" x="292"/>
        <item m="1" x="478"/>
        <item m="1" x="329"/>
        <item m="1" x="388"/>
        <item m="1" x="513"/>
        <item m="1" x="591"/>
        <item m="1" x="613"/>
        <item m="1" x="676"/>
        <item m="1" x="904"/>
        <item m="1" x="1178"/>
        <item m="1" x="1036"/>
        <item m="1" x="945"/>
        <item m="1" x="961"/>
        <item m="1" x="982"/>
        <item m="1" x="1097"/>
        <item m="1" x="1252"/>
        <item m="1" x="83"/>
        <item m="1" x="103"/>
        <item m="1" x="235"/>
        <item m="1" x="211"/>
        <item m="1" x="149"/>
        <item m="1" x="191"/>
        <item m="1" x="291"/>
        <item m="1" x="843"/>
        <item m="1" x="152"/>
        <item m="1" x="64"/>
        <item m="1" x="405"/>
        <item m="1" x="421"/>
        <item m="1" x="271"/>
        <item m="1" x="534"/>
        <item m="1" x="949"/>
        <item m="1" x="1039"/>
        <item m="1" x="753"/>
        <item m="1" x="1269"/>
        <item m="1" x="612"/>
        <item m="1" x="1285"/>
        <item m="1" x="762"/>
        <item m="1" x="15"/>
        <item m="1" x="944"/>
        <item m="1" x="1001"/>
        <item m="1" x="981"/>
        <item m="1" x="900"/>
        <item m="1" x="218"/>
        <item m="1" x="641"/>
        <item m="1" x="1175"/>
        <item m="1" x="1234"/>
        <item m="1" x="63"/>
        <item m="1" x="290"/>
        <item m="1" x="310"/>
        <item m="1" x="148"/>
        <item m="1" x="385"/>
        <item m="1" x="611"/>
        <item m="1" x="572"/>
        <item m="1" x="493"/>
        <item m="1" x="636"/>
        <item m="1" x="715"/>
        <item m="1" x="739"/>
        <item m="1" x="1000"/>
        <item m="1" x="760"/>
        <item m="1" x="1077"/>
        <item m="1" x="1096"/>
        <item m="1" x="1233"/>
        <item m="1" x="1193"/>
        <item m="1" x="1214"/>
        <item m="1" x="1282"/>
        <item m="1" x="102"/>
        <item m="1" x="144"/>
        <item m="1" x="147"/>
        <item m="1" x="368"/>
        <item m="1" x="209"/>
        <item m="1" x="571"/>
        <item m="1" x="533"/>
        <item m="1" x="1054"/>
        <item m="1" x="234"/>
        <item m="1" x="253"/>
        <item m="1" x="635"/>
        <item m="1" x="328"/>
        <item m="1" x="738"/>
        <item m="1" x="759"/>
        <item m="1" x="778"/>
        <item m="1" x="610"/>
        <item m="1" x="796"/>
        <item m="1" x="656"/>
        <item m="1" x="814"/>
        <item m="1" x="1117"/>
        <item m="1" x="1140"/>
        <item m="1" x="170"/>
        <item m="1" x="123"/>
        <item m="1" x="920"/>
        <item m="1" x="657"/>
        <item m="1" x="675"/>
        <item m="1" x="145"/>
        <item m="1" x="233"/>
        <item m="1" x="861"/>
        <item m="1" x="402"/>
        <item m="1" x="169"/>
        <item m="1" x="473"/>
        <item m="1" x="309"/>
        <item m="1" x="349"/>
        <item m="1" x="552"/>
        <item m="1" x="570"/>
        <item m="1" x="531"/>
        <item m="1" x="588"/>
        <item m="1" x="634"/>
        <item m="1" x="714"/>
        <item m="1" x="655"/>
        <item m="1" x="672"/>
        <item m="1" x="695"/>
        <item m="1" x="511"/>
        <item m="1" x="288"/>
        <item m="1" x="795"/>
        <item m="1" x="918"/>
        <item m="1" x="901"/>
        <item m="1" x="1075"/>
        <item m="1" x="979"/>
        <item m="1" x="998"/>
        <item m="1" x="1018"/>
        <item m="1" x="1053"/>
        <item m="1" x="1035"/>
        <item m="1" x="40"/>
        <item m="1" x="308"/>
        <item m="1" x="208"/>
        <item m="1" x="347"/>
        <item m="1" x="367"/>
        <item m="1" x="384"/>
        <item m="1" x="401"/>
        <item m="1" x="168"/>
        <item m="1" x="568"/>
        <item m="1" x="1073"/>
        <item m="1" x="419"/>
        <item m="1" x="1093"/>
        <item m="1" x="454"/>
        <item m="1" x="1116"/>
        <item m="1" x="1138"/>
        <item m="1" x="491"/>
        <item m="1" x="1158"/>
        <item m="1" x="566"/>
        <item m="1" x="917"/>
        <item m="1" x="941"/>
        <item m="1" x="1192"/>
        <item m="1" x="1232"/>
        <item m="1" x="1266"/>
        <item m="1" x="606"/>
        <item m="1" x="609"/>
        <item m="1" x="39"/>
        <item m="1" x="99"/>
        <item m="1" x="189"/>
        <item m="1" x="251"/>
        <item m="1" x="898"/>
        <item m="1" x="268"/>
        <item m="1" x="916"/>
        <item m="1" x="286"/>
        <item m="1" x="940"/>
        <item m="1" x="383"/>
        <item m="1" x="858"/>
        <item m="1" x="452"/>
        <item m="1" x="1171"/>
        <item m="1" x="645"/>
        <item m="1" x="1210"/>
        <item m="1" x="387"/>
        <item m="1" x="98"/>
        <item m="1" x="774"/>
        <item m="1" x="477"/>
        <item m="1" x="1213"/>
        <item m="1" x="1124"/>
        <item m="1" x="490"/>
        <item m="1" x="793"/>
        <item m="1" x="143"/>
        <item m="1" x="165"/>
        <item m="1" x="274"/>
        <item m="1" x="188"/>
        <item m="1" x="802"/>
        <item m="1" x="326"/>
        <item m="1" x="249"/>
        <item m="1" x="1050"/>
        <item m="1" x="995"/>
        <item m="1" x="345"/>
        <item m="1" x="507"/>
        <item m="1" x="1072"/>
        <item m="1" x="565"/>
        <item m="1" x="1229"/>
        <item m="1" x="594"/>
        <item m="1" x="59"/>
        <item m="1" x="692"/>
        <item m="1" x="700"/>
        <item m="1" x="934"/>
        <item m="1" x="922"/>
        <item m="1" x="164"/>
        <item m="1" x="119"/>
        <item m="1" x="812"/>
        <item m="1" x="896"/>
        <item m="1" x="285"/>
        <item m="1" x="355"/>
        <item m="1" x="957"/>
        <item m="1" x="217"/>
        <item m="1" x="1225"/>
        <item m="1" x="416"/>
        <item m="1" x="994"/>
        <item m="1" x="1111"/>
        <item m="1" x="470"/>
        <item m="1" x="363"/>
        <item m="1" x="1048"/>
        <item m="1" x="755"/>
        <item m="1" x="1231"/>
        <item m="1" x="449"/>
        <item m="1" x="831"/>
        <item m="1" x="528"/>
        <item m="1" x="1188"/>
        <item m="1" x="1280"/>
        <item m="1" x="18"/>
        <item m="1" x="690"/>
        <item m="1" x="36"/>
        <item m="1" x="751"/>
        <item m="1" x="117"/>
        <item m="1" x="430"/>
        <item m="1" x="506"/>
        <item m="1" x="228"/>
        <item m="1" x="830"/>
        <item m="1" x="873"/>
        <item m="1" x="205"/>
        <item m="1" x="854"/>
        <item m="1" x="140"/>
        <item m="1" x="881"/>
        <item m="1" x="1059"/>
        <item m="1" x="362"/>
        <item m="1" x="587"/>
        <item m="1" x="674"/>
        <item m="1" x="761"/>
        <item m="1" x="379"/>
        <item m="1" x="1207"/>
        <item m="1" x="583"/>
        <item m="1" x="1245"/>
        <item m="1" x="628"/>
        <item m="1" x="688"/>
        <item m="1" x="55"/>
        <item m="1" x="651"/>
        <item m="1" x="772"/>
        <item m="1" x="791"/>
        <item m="1" x="265"/>
        <item m="1" x="227"/>
        <item m="1" x="360"/>
        <item m="1" x="992"/>
        <item m="1" x="1012"/>
        <item m="1" x="185"/>
        <item m="1" x="1089"/>
        <item m="1" x="1068"/>
        <item m="1" x="467"/>
        <item m="1" x="1168"/>
        <item m="1" x="447"/>
        <item m="1" x="504"/>
        <item m="1" x="524"/>
        <item m="1" x="203"/>
        <item m="1" x="852"/>
        <item m="1" x="1263"/>
        <item m="1" x="626"/>
        <item m="1" x="927"/>
        <item m="1" x="907"/>
        <item m="1" x="883"/>
        <item m="1" x="816"/>
        <item m="1" x="797"/>
        <item m="1" x="776"/>
        <item m="1" x="33"/>
        <item m="1" x="706"/>
        <item m="1" x="730"/>
        <item m="1" x="54"/>
        <item m="1" x="850"/>
        <item m="1" x="825"/>
        <item m="1" x="809"/>
        <item m="1" x="246"/>
        <item m="1" x="913"/>
        <item m="1" x="139"/>
        <item m="1" x="937"/>
        <item m="1" x="851"/>
        <item m="1" x="396"/>
        <item m="1" x="1088"/>
        <item m="1" x="1132"/>
        <item m="1" x="1027"/>
        <item m="1" x="160"/>
        <item m="1" x="1184"/>
        <item m="1" x="1204"/>
        <item m="1" x="562"/>
        <item m="1" x="1244"/>
        <item m="1" x="625"/>
        <item m="1" x="1277"/>
        <item m="1" x="649"/>
        <item m="1" x="665"/>
        <item m="1" x="31"/>
        <item m="1" x="52"/>
        <item m="1" x="729"/>
        <item m="1" x="748"/>
        <item m="1" x="92"/>
        <item m="1" x="771"/>
        <item m="1" x="113"/>
        <item m="1" x="137"/>
        <item m="1" x="788"/>
        <item m="1" x="225"/>
        <item m="1" x="936"/>
        <item m="1" x="302"/>
        <item m="1" x="953"/>
        <item m="1" x="1009"/>
        <item m="1" x="375"/>
        <item m="1" x="395"/>
        <item m="1" x="1026"/>
        <item m="1" x="1043"/>
        <item m="1" x="412"/>
        <item m="1" x="444"/>
        <item m="1" x="1107"/>
        <item m="1" x="542"/>
        <item m="1" x="215"/>
        <item m="1" x="526"/>
        <item m="1" x="560"/>
        <item m="1" x="1226"/>
        <item m="1" x="600"/>
        <item m="1" x="624"/>
        <item m="1" x="1150"/>
        <item m="1" x="12"/>
        <item m="1" x="51"/>
        <item m="1" x="74"/>
        <item m="1" x="704"/>
        <item m="1" x="91"/>
        <item m="1" x="769"/>
        <item m="1" x="808"/>
        <item m="1" x="199"/>
        <item m="1" x="181"/>
        <item m="1" x="280"/>
        <item m="1" x="320"/>
        <item m="1" x="541"/>
        <item m="1" x="1065"/>
        <item m="1" x="411"/>
        <item m="1" x="442"/>
        <item m="1" x="429"/>
        <item m="1" x="484"/>
        <item m="1" x="1130"/>
        <item m="1" x="1106"/>
        <item m="1" x="465"/>
        <item m="1" x="1149"/>
        <item m="1" x="501"/>
        <item m="1" x="522"/>
        <item m="1" x="1165"/>
        <item m="1" x="394"/>
        <item m="1" x="1241"/>
        <item m="1" x="371"/>
        <item m="1" x="443"/>
        <item m="1" x="599"/>
        <item m="1" x="647"/>
        <item m="1" x="623"/>
        <item m="1" x="683"/>
        <item m="1" x="703"/>
        <item m="1" x="72"/>
        <item m="1" x="28"/>
        <item m="1" x="726"/>
        <item m="1" x="10"/>
        <item m="1" x="50"/>
        <item m="1" x="111"/>
        <item m="1" x="746"/>
        <item m="1" x="90"/>
        <item m="1" x="136"/>
        <item m="1" x="768"/>
        <item m="1" x="157"/>
        <item m="1" x="180"/>
        <item m="1" x="806"/>
        <item m="1" x="243"/>
        <item m="1" x="823"/>
        <item m="1" x="197"/>
        <item m="1" x="847"/>
        <item m="1" x="224"/>
        <item m="1" x="870"/>
        <item m="1" x="932"/>
        <item m="1" x="952"/>
        <item m="1" x="318"/>
        <item m="1" x="1202"/>
        <item m="1" x="968"/>
        <item m="1" x="335"/>
        <item m="1" x="278"/>
        <item m="1" x="374"/>
        <item m="1" x="1025"/>
        <item m="1" x="1041"/>
        <item m="1" x="392"/>
        <item m="1" x="410"/>
        <item m="1" x="1064"/>
        <item m="1" x="427"/>
        <item m="1" x="1007"/>
        <item m="1" x="1128"/>
        <item m="1" x="483"/>
        <item m="1" x="463"/>
        <item m="1" x="1148"/>
        <item m="1" x="1105"/>
        <item m="1" x="1164"/>
        <item m="1" x="499"/>
        <item m="1" x="539"/>
        <item m="1" x="1183"/>
        <item m="1" x="559"/>
        <item m="1" x="521"/>
        <item m="1" x="1224"/>
        <item m="1" x="1240"/>
        <item m="1" x="598"/>
        <item m="1" x="1259"/>
        <item m="1" x="621"/>
        <item m="1" x="49"/>
        <item m="1" x="89"/>
        <item m="1" x="725"/>
        <item m="1" x="71"/>
        <item m="1" x="767"/>
        <item m="1" x="110"/>
        <item m="1" x="357"/>
        <item m="1" x="644"/>
        <item m="1" x="9"/>
        <item m="1" x="662"/>
        <item m="1" x="403"/>
        <item m="1" x="155"/>
        <item m="1" x="805"/>
        <item m="1" x="179"/>
        <item m="1" x="682"/>
        <item m="1" x="135"/>
        <item m="1" x="744"/>
        <item m="1" x="223"/>
        <item m="1" x="846"/>
        <item m="1" x="821"/>
        <item m="1" x="196"/>
        <item m="1" x="242"/>
        <item m="1" x="27"/>
        <item m="1" x="868"/>
        <item m="1" x="261"/>
        <item m="1" x="787"/>
        <item m="1" x="890"/>
        <item m="1" x="1045"/>
        <item m="1" x="277"/>
        <item m="1" x="911"/>
        <item m="1" x="1201"/>
        <item m="1" x="931"/>
        <item m="1" x="299"/>
        <item m="1" x="987"/>
        <item m="1" x="316"/>
        <item m="1" x="967"/>
        <item m="1" x="334"/>
        <item m="1" x="950"/>
        <item m="1" x="985"/>
        <item m="1" x="356"/>
        <item m="1" x="1030"/>
        <item m="1" x="42"/>
        <item m="1" x="1006"/>
        <item m="1" x="373"/>
        <item m="1" x="1023"/>
        <item m="1" x="785"/>
        <item m="1" x="1273"/>
        <item m="1" x="482"/>
        <item m="1" x="1146"/>
        <item m="1" x="498"/>
        <item m="1" x="1163"/>
        <item m="1" x="441"/>
        <item m="1" x="520"/>
        <item m="1" x="538"/>
        <item m="1" x="391"/>
        <item m="1" x="1200"/>
        <item m="1" x="1062"/>
        <item m="1" x="1084"/>
        <item m="1" x="579"/>
        <item m="1" x="558"/>
        <item m="1" x="1239"/>
        <item m="1" x="597"/>
        <item m="1" x="1258"/>
        <item m="1" x="461"/>
        <item m="1" x="1127"/>
        <item m="1" x="1103"/>
        <item m="1" x="1085"/>
        <item m="1" x="311"/>
        <item m="1" x="718"/>
        <item m="1" x="426"/>
        <item m="1" x="212"/>
        <item m="1" x="1040"/>
        <item m="1" x="681"/>
        <item m="1" x="47"/>
        <item m="1" x="701"/>
        <item m="1" x="70"/>
        <item m="1" x="724"/>
        <item m="1" x="643"/>
        <item m="1" x="7"/>
        <item m="1" x="661"/>
        <item m="1" x="26"/>
        <item m="1" x="743"/>
        <item m="1" x="87"/>
        <item m="1" x="109"/>
        <item m="1" x="879"/>
        <item m="1" x="784"/>
        <item m="1" x="619"/>
        <item m="1" x="1222"/>
        <item m="1" x="766"/>
        <item m="1" x="154"/>
        <item m="1" x="804"/>
        <item m="1" x="133"/>
        <item m="1" x="820"/>
        <item m="1" x="177"/>
        <item m="1" x="195"/>
        <item m="1" x="845"/>
        <item m="1" x="221"/>
        <item m="1" x="889"/>
        <item m="1" x="259"/>
        <item m="1" x="276"/>
        <item m="1" x="867"/>
        <item m="1" x="241"/>
        <item m="1" x="161"/>
        <item m="1" x="515"/>
        <item m="1" x="1115"/>
        <item m="1" x="930"/>
        <item m="1" x="297"/>
        <item m="1" x="608"/>
        <item m="1" x="696"/>
        <item m="1" x="780"/>
        <item m="1" x="864"/>
        <item m="1" x="948"/>
        <item m="1" x="1086"/>
        <item m="1" x="965"/>
        <item m="1" x="315"/>
        <item m="1" x="300"/>
        <item m="1" x="910"/>
        <item m="1" x="172"/>
        <item m="1" x="408"/>
        <item m="1" x="1005"/>
        <item m="1" x="1022"/>
        <item m="1" x="425"/>
        <item m="1" x="1038"/>
        <item m="1" x="1061"/>
        <item m="1" x="1083"/>
        <item m="1" x="1101"/>
        <item m="1" x="460"/>
        <item m="1" x="1126"/>
        <item m="1" x="984"/>
        <item m="1" x="756"/>
        <item m="1" x="100"/>
        <item m="1" x="78"/>
        <item m="1" x="56"/>
        <item m="1" x="734"/>
        <item m="1" x="709"/>
        <item m="1" x="216"/>
        <item m="1" x="1002"/>
        <item m="1" x="1271"/>
        <item m="1" x="664"/>
        <item m="1" x="595"/>
        <item m="1" x="1237"/>
        <item m="1" x="258"/>
        <item m="1" x="556"/>
        <item m="1" x="1227"/>
        <item m="1" x="576"/>
        <item m="1" x="35"/>
        <item m="1" x="884"/>
        <item m="1" x="908"/>
        <item m="1" x="1218"/>
        <item m="1" x="865"/>
        <item m="1" x="1177"/>
        <item m="1" x="213"/>
        <item m="1" x="512"/>
        <item m="1" x="839"/>
        <item m="1" x="494"/>
        <item m="1" x="535"/>
        <item m="1" x="1141"/>
        <item m="1" x="474"/>
        <item m="1" x="1118"/>
        <item m="1" x="777"/>
        <item m="1" x="1094"/>
        <item m="1" x="437"/>
        <item m="1" x="757"/>
        <item m="1" x="1211"/>
        <item m="1" x="899"/>
        <item m="1" x="101"/>
        <item m="1" x="1074"/>
        <item m="1" x="250"/>
        <item m="1" x="11"/>
        <item m="1" x="58"/>
        <item m="1" x="710"/>
        <item m="1" x="1189"/>
        <item m="1" x="229"/>
        <item m="1" x="1255"/>
        <item m="1" x="527"/>
        <item m="1" x="689"/>
        <item m="1" x="736"/>
        <item m="1" x="969"/>
        <item m="1" x="978"/>
        <item m="1" x="1212"/>
        <item m="1" x="81"/>
        <item m="1" x="122"/>
        <item m="1" x="252"/>
        <item m="1" x="716"/>
        <item m="1" x="614"/>
        <item m="1" x="343"/>
        <item m="1" x="532"/>
        <item m="1" x="509"/>
        <item m="1" x="721"/>
        <item m="1" x="472"/>
        <item m="1" x="23"/>
        <item m="1" x="586"/>
        <item m="1" x="754"/>
        <item m="1" x="549"/>
        <item m="1" x="126"/>
        <item m="1" x="833"/>
        <item m="1" x="876"/>
        <item m="1" x="915"/>
        <item m="1" x="794"/>
        <item m="1" x="1156"/>
        <item m="1" x="236"/>
        <item m="1" x="1191"/>
        <item m="1" x="1265"/>
        <item m="1" x="20"/>
        <item m="1" x="737"/>
        <item m="1" x="60"/>
        <item m="1" x="564"/>
        <item m="1" x="529"/>
        <item m="1" x="717"/>
        <item m="1" x="1135"/>
        <item m="1" x="76"/>
        <item m="1" x="1170"/>
        <item m="1" x="1215"/>
        <item m="1" x="108"/>
        <item m="1" x="283"/>
        <item m="1" x="361"/>
        <item m="1" x="505"/>
        <item m="1" x="627"/>
        <item m="1" x="829"/>
        <item m="1" x="582"/>
        <item m="1" x="872"/>
        <item m="1" x="1185"/>
        <item m="1" x="53"/>
        <item m="1" x="93"/>
        <item m="1" x="376"/>
        <item m="1" x="1176"/>
        <item m="1" x="601"/>
        <item m="1" x="728"/>
        <item m="1" x="971"/>
        <item m="1" x="1008"/>
        <item m="1" x="891"/>
        <item m="1" x="1042"/>
        <item m="1" x="770"/>
        <item m="1" x="319"/>
        <item m="1" x="244"/>
        <item m="1" x="1166"/>
        <item m="1" x="358"/>
        <item m="1" x="1131"/>
        <item m="1" x="745"/>
        <item m="1" x="1017"/>
        <item m="1" x="824"/>
        <item m="1" x="118"/>
        <item m="1" x="279"/>
        <item m="1" x="786"/>
        <item m="1" x="622"/>
        <item m="1" x="1104"/>
        <item m="1" x="607"/>
        <item m="1" x="8"/>
        <item m="1" x="134"/>
        <item m="1" x="178"/>
        <item m="1" x="222"/>
        <item m="1" x="260"/>
        <item m="1" x="409"/>
        <item m="1" x="333"/>
        <item m="1" x="519"/>
        <item m="1" x="642"/>
        <item m="1" x="596"/>
        <item m="1" x="680"/>
        <item m="1" x="481"/>
        <item m="1" x="453"/>
        <item m="1" x="176"/>
        <item m="1" x="1162"/>
        <item m="1" x="1238"/>
        <item x="4"/>
        <item x="6"/>
        <item t="default"/>
      </items>
    </pivotField>
    <pivotField dataField="1" showAll="0"/>
    <pivotField axis="axisRow" showAll="0" sortType="ascending">
      <items count="1532">
        <item m="1" x="1002"/>
        <item m="1" x="242"/>
        <item m="1" x="1017"/>
        <item m="1" x="262"/>
        <item m="1" x="601"/>
        <item m="1" x="437"/>
        <item m="1" x="1337"/>
        <item m="1" x="1026"/>
        <item m="1" x="1163"/>
        <item m="1" x="1530"/>
        <item m="1" x="995"/>
        <item m="1" x="824"/>
        <item m="1" x="583"/>
        <item m="1" x="1338"/>
        <item m="1" x="1527"/>
        <item m="1" x="821"/>
        <item m="1" x="1330"/>
        <item m="1" x="832"/>
        <item m="1" x="1526"/>
        <item m="1" x="268"/>
        <item m="1" x="872"/>
        <item m="1" x="1156"/>
        <item m="1" x="425"/>
        <item m="1" x="1161"/>
        <item m="1" x="244"/>
        <item m="1" x="438"/>
        <item m="1" x="1184"/>
        <item m="1" x="1528"/>
        <item m="1" x="594"/>
        <item m="1" x="367"/>
        <item m="1" x="1176"/>
        <item m="1" x="846"/>
        <item m="1" x="1189"/>
        <item m="1" x="833"/>
        <item m="1" x="91"/>
        <item m="1" x="461"/>
        <item m="1" x="123"/>
        <item m="1" x="497"/>
        <item m="1" x="439"/>
        <item m="1" x="1339"/>
        <item m="1" x="834"/>
        <item m="1" x="98"/>
        <item m="1" x="852"/>
        <item m="1" x="92"/>
        <item m="1" x="646"/>
        <item m="1" x="1233"/>
        <item m="1" x="1204"/>
        <item m="1" x="1223"/>
        <item m="1" x="310"/>
        <item m="1" x="660"/>
        <item m="1" x="1052"/>
        <item m="1" x="1206"/>
        <item m="1" x="1376"/>
        <item m="1" x="93"/>
        <item m="1" x="287"/>
        <item m="1" x="896"/>
        <item m="1" x="1069"/>
        <item m="1" x="1234"/>
        <item m="1" x="142"/>
        <item m="1" x="905"/>
        <item m="1" x="527"/>
        <item m="1" x="99"/>
        <item m="1" x="1226"/>
        <item m="1" x="312"/>
        <item m="1" x="647"/>
        <item m="1" x="873"/>
        <item m="1" x="337"/>
        <item m="1" x="1388"/>
        <item m="1" x="1235"/>
        <item m="1" x="662"/>
        <item m="1" x="1249"/>
        <item m="1" x="505"/>
        <item m="1" x="912"/>
        <item m="1" x="140"/>
        <item m="1" x="720"/>
        <item m="1" x="343"/>
        <item m="1" x="317"/>
        <item m="1" x="1207"/>
        <item m="1" x="897"/>
        <item m="1" x="907"/>
        <item m="1" x="1251"/>
        <item m="1" x="922"/>
        <item m="1" x="176"/>
        <item m="1" x="539"/>
        <item m="1" x="934"/>
        <item m="1" x="1436"/>
        <item m="1" x="359"/>
        <item m="1" x="338"/>
        <item m="1" x="1070"/>
        <item m="1" x="507"/>
        <item m="1" x="908"/>
        <item m="1" x="125"/>
        <item m="1" x="315"/>
        <item m="1" x="665"/>
        <item m="1" x="913"/>
        <item m="1" x="1091"/>
        <item m="1" x="1252"/>
        <item m="1" x="1277"/>
        <item m="1" x="1227"/>
        <item m="1" x="1255"/>
        <item m="1" x="166"/>
        <item m="1" x="1240"/>
        <item m="1" x="1098"/>
        <item m="1" x="725"/>
        <item m="1" x="925"/>
        <item m="1" x="936"/>
        <item m="1" x="1121"/>
        <item m="1" x="1440"/>
        <item m="1" x="179"/>
        <item m="1" x="532"/>
        <item m="1" x="709"/>
        <item m="1" x="916"/>
        <item m="1" x="1096"/>
        <item m="1" x="1280"/>
        <item m="1" x="1449"/>
        <item m="1" x="544"/>
        <item m="1" x="1050"/>
        <item m="1" x="308"/>
        <item m="1" x="1066"/>
        <item m="1" x="615"/>
        <item m="1" x="1193"/>
        <item m="1" x="478"/>
        <item m="1" x="867"/>
        <item m="1" x="1374"/>
        <item m="1" x="333"/>
        <item m="1" x="493"/>
        <item m="1" x="679"/>
        <item m="1" x="1216"/>
        <item m="1" x="307"/>
        <item m="1" x="502"/>
        <item m="1" x="692"/>
        <item m="1" x="902"/>
        <item m="1" x="977"/>
        <item m="1" x="213"/>
        <item m="1" x="1127"/>
        <item m="1" x="721"/>
        <item m="1" x="548"/>
        <item m="1" x="201"/>
        <item m="1" x="1446"/>
        <item m="1" x="1454"/>
        <item m="1" x="1465"/>
        <item m="1" x="233"/>
        <item m="1" x="391"/>
        <item x="42"/>
        <item m="1" x="1486"/>
        <item m="1" x="232"/>
        <item m="1" x="1005"/>
        <item m="1" x="1291"/>
        <item m="1" x="1317"/>
        <item m="1" x="400"/>
        <item m="1" x="1487"/>
        <item m="1" x="1150"/>
        <item m="1" x="767"/>
        <item m="1" x="234"/>
        <item m="1" x="578"/>
        <item m="1" x="1146"/>
        <item m="1" x="1334"/>
        <item m="1" x="249"/>
        <item m="1" x="564"/>
        <item m="1" x="968"/>
        <item m="1" x="580"/>
        <item m="1" x="1159"/>
        <item m="1" x="783"/>
        <item m="1" x="1348"/>
        <item m="1" x="606"/>
        <item m="1" x="868"/>
        <item m="1" x="1364"/>
        <item m="1" x="948"/>
        <item m="1" x="1275"/>
        <item m="1" x="368"/>
        <item m="1" x="911"/>
        <item m="1" x="492"/>
        <item m="1" x="462"/>
        <item m="1" x="1194"/>
        <item m="1" x="74"/>
        <item m="1" x="613"/>
        <item m="1" x="695"/>
        <item m="1" x="474"/>
        <item m="1" x="1453"/>
        <item m="1" x="741"/>
        <item m="1" x="944"/>
        <item m="1" x="1257"/>
        <item m="1" x="691"/>
        <item m="1" x="173"/>
        <item m="1" x="910"/>
        <item m="1" x="366"/>
        <item m="1" x="955"/>
        <item m="1" x="728"/>
        <item m="1" x="951"/>
        <item m="1" x="1463"/>
        <item m="1" x="1116"/>
        <item m="1" x="717"/>
        <item m="1" x="378"/>
        <item m="1" x="1425"/>
        <item m="1" x="1228"/>
        <item m="1" x="471"/>
        <item m="1" x="878"/>
        <item m="1" x="1197"/>
        <item m="1" x="773"/>
        <item m="1" x="560"/>
        <item m="1" x="755"/>
        <item m="1" x="1152"/>
        <item m="1" x="1499"/>
        <item m="1" x="392"/>
        <item m="1" x="1293"/>
        <item m="1" x="789"/>
        <item m="1" x="1321"/>
        <item m="1" x="222"/>
        <item m="1" x="1000"/>
        <item m="1" x="238"/>
        <item m="1" x="1174"/>
        <item m="1" x="256"/>
        <item m="1" x="988"/>
        <item m="1" x="1472"/>
        <item m="1" x="1306"/>
        <item m="1" x="978"/>
        <item m="1" x="592"/>
        <item m="1" x="806"/>
        <item m="1" x="1322"/>
        <item m="1" x="1390"/>
        <item m="1" x="1272"/>
        <item m="1" x="361"/>
        <item x="25"/>
        <item m="1" x="1274"/>
        <item m="1" x="549"/>
        <item x="26"/>
        <item m="1" x="1466"/>
        <item m="1" x="1450"/>
        <item m="1" x="550"/>
        <item m="1" x="762"/>
        <item m="1" x="313"/>
        <item m="1" x="534"/>
        <item m="1" x="749"/>
        <item m="1" x="1457"/>
        <item m="1" x="1445"/>
        <item m="1" x="727"/>
        <item m="1" x="170"/>
        <item m="1" x="941"/>
        <item m="1" x="180"/>
        <item m="1" x="1133"/>
        <item m="1" x="756"/>
        <item m="1" x="734"/>
        <item m="1" x="892"/>
        <item m="1" x="1062"/>
        <item m="1" x="1385"/>
        <item m="1" x="306"/>
        <item m="1" x="1399"/>
        <item m="1" x="1230"/>
        <item m="1" x="523"/>
        <item m="1" x="490"/>
        <item m="1" x="494"/>
        <item m="1" x="1217"/>
        <item m="1" x="167"/>
        <item m="1" x="1424"/>
        <item m="1" x="168"/>
        <item m="1" x="134"/>
        <item m="1" x="640"/>
        <item x="62"/>
        <item m="1" x="1212"/>
        <item m="1" x="1229"/>
        <item m="1" x="322"/>
        <item m="1" x="341"/>
        <item m="1" x="1086"/>
        <item m="1" x="880"/>
        <item m="1" x="1396"/>
        <item m="1" x="472"/>
        <item m="1" x="1407"/>
        <item m="1" x="487"/>
        <item m="1" x="210"/>
        <item m="1" x="570"/>
        <item m="1" x="957"/>
        <item x="9"/>
        <item m="1" x="780"/>
        <item m="1" x="1145"/>
        <item m="1" x="1301"/>
        <item m="1" x="364"/>
        <item m="1" x="1414"/>
        <item m="1" x="520"/>
        <item m="1" x="1458"/>
        <item m="1" x="561"/>
        <item m="1" x="351"/>
        <item m="1" x="154"/>
        <item x="40"/>
        <item m="1" x="169"/>
        <item x="3"/>
        <item m="1" x="1142"/>
        <item m="1" x="1015"/>
        <item m="1" x="1336"/>
        <item m="1" x="470"/>
        <item m="1" x="149"/>
        <item m="1" x="1392"/>
        <item m="1" x="165"/>
        <item m="1" x="516"/>
        <item m="1" x="398"/>
        <item m="1" x="231"/>
        <item m="1" x="263"/>
        <item m="1" x="616"/>
        <item m="1" x="1210"/>
        <item m="1" x="295"/>
        <item m="1" x="633"/>
        <item m="1" x="1027"/>
        <item m="1" x="914"/>
        <item m="1" x="1262"/>
        <item m="1" x="355"/>
        <item m="1" x="1089"/>
        <item m="1" x="182"/>
        <item m="1" x="716"/>
        <item m="1" x="1099"/>
        <item m="1" x="1417"/>
        <item m="1" x="929"/>
        <item m="1" x="1261"/>
        <item m="1" x="352"/>
        <item m="1" x="736"/>
        <item m="1" x="942"/>
        <item m="1" x="1123"/>
        <item m="1" x="596"/>
        <item m="1" x="1030"/>
        <item m="1" x="1439"/>
        <item m="1" x="1278"/>
        <item m="1" x="186"/>
        <item m="1" x="722"/>
        <item m="1" x="190"/>
        <item m="1" x="1120"/>
        <item m="1" x="362"/>
        <item m="1" x="682"/>
        <item m="1" x="517"/>
        <item m="1" x="363"/>
        <item m="1" x="612"/>
        <item m="1" x="1375"/>
        <item m="1" x="847"/>
        <item m="1" x="309"/>
        <item m="1" x="869"/>
        <item m="1" x="1365"/>
        <item m="1" x="657"/>
        <item m="1" x="1201"/>
        <item m="1" x="495"/>
        <item m="1" x="1218"/>
        <item m="1" x="1358"/>
        <item m="1" x="1020"/>
        <item m="1" x="1028"/>
        <item m="1" x="79"/>
        <item m="1" x="597"/>
        <item m="1" x="1006"/>
        <item m="1" x="266"/>
        <item m="1" x="861"/>
        <item m="1" x="1198"/>
        <item m="1" x="1186"/>
        <item m="1" x="1045"/>
        <item m="1" x="450"/>
        <item m="1" x="1044"/>
        <item m="1" x="888"/>
        <item m="1" x="684"/>
        <item m="1" x="1386"/>
        <item m="1" x="643"/>
        <item m="1" x="1038"/>
        <item m="1" x="1077"/>
        <item m="1" x="114"/>
        <item x="39"/>
        <item m="1" x="314"/>
        <item m="1" x="491"/>
        <item m="1" x="155"/>
        <item m="1" x="1075"/>
        <item m="1" x="524"/>
        <item m="1" x="1409"/>
        <item m="1" x="536"/>
        <item m="1" x="1418"/>
        <item m="1" x="1401"/>
        <item m="1" x="475"/>
        <item m="1" x="334"/>
        <item m="1" x="693"/>
        <item m="1" x="1411"/>
        <item m="1" x="1215"/>
        <item m="1" x="901"/>
        <item m="1" x="525"/>
        <item m="1" x="136"/>
        <item m="1" x="156"/>
        <item x="41"/>
        <item m="1" x="335"/>
        <item m="1" x="694"/>
        <item m="1" x="115"/>
        <item m="1" x="331"/>
        <item m="1" x="1410"/>
        <item m="1" x="568"/>
        <item m="1" x="1289"/>
        <item m="1" x="1294"/>
        <item m="1" x="1467"/>
        <item m="1" x="204"/>
        <item m="1" x="383"/>
        <item m="1" x="1379"/>
        <item m="1" x="1196"/>
        <item m="1" x="671"/>
        <item m="1" x="101"/>
        <item m="1" x="1073"/>
        <item m="1" x="666"/>
        <item m="1" x="1377"/>
        <item m="1" x="1391"/>
        <item m="1" x="698"/>
        <item m="1" x="1404"/>
        <item m="1" x="481"/>
        <item m="1" x="879"/>
        <item m="1" x="80"/>
        <item m="1" x="106"/>
        <item m="1" x="634"/>
        <item m="1" x="111"/>
        <item m="1" x="1041"/>
        <item m="1" x="320"/>
        <item m="1" x="1209"/>
        <item m="1" x="667"/>
        <item m="1" x="681"/>
        <item m="1" x="164"/>
        <item m="1" x="699"/>
        <item m="1" x="530"/>
        <item m="1" x="1095"/>
        <item m="1" x="1420"/>
        <item m="1" x="697"/>
        <item m="1" x="1268"/>
        <item m="1" x="1092"/>
        <item m="1" x="132"/>
        <item m="1" x="1055"/>
        <item m="1" x="498"/>
        <item m="1" x="110"/>
        <item m="1" x="909"/>
        <item m="1" x="129"/>
        <item m="1" x="1097"/>
        <item m="1" x="1101"/>
        <item m="1" x="500"/>
        <item m="1" x="1125"/>
        <item m="1" x="1100"/>
        <item m="1" x="931"/>
        <item m="1" x="1270"/>
        <item m="1" x="1284"/>
        <item m="1" x="546"/>
        <item m="1" x="1461"/>
        <item m="1" x="205"/>
        <item m="1" x="1283"/>
        <item m="1" x="1140"/>
        <item m="1" x="551"/>
        <item m="1" x="1102"/>
        <item m="1" x="729"/>
        <item m="1" x="365"/>
        <item m="1" x="1287"/>
        <item m="1" x="547"/>
        <item m="1" x="1464"/>
        <item m="1" x="1271"/>
        <item m="1" x="950"/>
        <item m="1" x="375"/>
        <item m="1" x="959"/>
        <item m="1" x="193"/>
        <item m="1" x="386"/>
        <item m="1" x="763"/>
        <item m="1" x="1242"/>
        <item m="1" x="135"/>
        <item m="1" x="889"/>
        <item m="1" x="1256"/>
        <item m="1" x="499"/>
        <item m="1" x="685"/>
        <item m="1" x="745"/>
        <item m="1" x="1488"/>
        <item m="1" x="389"/>
        <item x="12"/>
        <item m="1" x="340"/>
        <item m="1" x="683"/>
        <item m="1" x="1046"/>
        <item m="1" x="82"/>
        <item m="1" x="284"/>
        <item m="1" x="890"/>
        <item m="1" x="1383"/>
        <item m="1" x="1332"/>
        <item m="1" x="1494"/>
        <item m="1" x="1326"/>
        <item m="1" x="840"/>
        <item m="1" x="416"/>
        <item m="1" x="1361"/>
        <item m="1" x="826"/>
        <item m="1" x="285"/>
        <item m="1" x="1021"/>
        <item m="1" x="1181"/>
        <item m="1" x="1353"/>
        <item m="1" x="813"/>
        <item m="1" x="280"/>
        <item m="1" x="1521"/>
        <item m="1" x="1352"/>
        <item m="1" x="611"/>
        <item m="1" x="1519"/>
        <item m="1" x="1011"/>
        <item m="1" x="1185"/>
        <item m="1" x="294"/>
        <item m="1" x="332"/>
        <item m="1" x="1516"/>
        <item m="1" x="247"/>
        <item m="1" x="83"/>
        <item m="1" x="1342"/>
        <item m="1" x="860"/>
        <item m="1" x="71"/>
        <item m="1" x="433"/>
        <item m="1" x="1370"/>
        <item m="1" x="618"/>
        <item m="1" x="420"/>
        <item m="1" x="1504"/>
        <item m="1" x="399"/>
        <item m="1" x="1008"/>
        <item m="1" x="1517"/>
        <item m="1" x="588"/>
        <item m="1" x="1188"/>
        <item m="1" x="418"/>
        <item m="1" x="277"/>
        <item m="1" x="608"/>
        <item m="1" x="1333"/>
        <item m="1" x="841"/>
        <item m="1" x="64"/>
        <item m="1" x="417"/>
        <item m="1" x="639"/>
        <item m="1" x="1187"/>
        <item m="1" x="1384"/>
        <item m="1" x="1360"/>
        <item m="1" x="283"/>
        <item m="1" x="1211"/>
        <item m="1" x="451"/>
        <item m="1" x="859"/>
        <item m="1" x="828"/>
        <item m="1" x="1009"/>
        <item m="1" x="407"/>
        <item m="1" x="1022"/>
        <item m="1" x="419"/>
        <item m="1" x="1362"/>
        <item m="1" x="827"/>
        <item m="1" x="784"/>
        <item m="1" x="1315"/>
        <item m="1" x="1170"/>
        <item m="1" x="985"/>
        <item m="1" x="435"/>
        <item m="1" x="288"/>
        <item m="1" x="281"/>
        <item m="1" x="628"/>
        <item m="1" x="1195"/>
        <item m="1" x="1205"/>
        <item m="1" x="629"/>
        <item m="1" x="456"/>
        <item m="1" x="117"/>
        <item m="1" x="84"/>
        <item m="1" x="1387"/>
        <item m="1" x="454"/>
        <item m="1" x="850"/>
        <item m="1" x="851"/>
        <item m="1" x="1402"/>
        <item m="1" x="479"/>
        <item m="1" x="336"/>
        <item m="1" x="903"/>
        <item m="1" x="1245"/>
        <item m="1" x="1104"/>
        <item m="1" x="1263"/>
        <item m="1" x="680"/>
        <item m="1" x="894"/>
        <item m="1" x="506"/>
        <item m="1" x="1412"/>
        <item m="1" x="919"/>
        <item x="21"/>
        <item m="1" x="663"/>
        <item m="1" x="881"/>
        <item m="1" x="668"/>
        <item m="1" x="1053"/>
        <item m="1" x="1208"/>
        <item m="1" x="1378"/>
        <item m="1" x="100"/>
        <item m="1" x="754"/>
        <item m="1" x="221"/>
        <item m="1" x="406"/>
        <item m="1" x="1493"/>
        <item m="1" x="1158"/>
        <item m="1" x="1515"/>
        <item m="1" x="1340"/>
        <item m="1" x="810"/>
        <item m="1" x="1003"/>
        <item m="1" x="839"/>
        <item m="1" x="854"/>
        <item m="1" x="1001"/>
        <item m="1" x="845"/>
        <item m="1" x="866"/>
        <item m="1" x="1200"/>
        <item m="1" x="642"/>
        <item m="1" x="278"/>
        <item m="1" x="442"/>
        <item m="1" x="1231"/>
        <item m="1" x="654"/>
        <item x="8"/>
        <item x="7"/>
        <item x="29"/>
        <item m="1" x="1292"/>
        <item m="1" x="1319"/>
        <item m="1" x="969"/>
        <item m="1" x="1455"/>
        <item m="1" x="573"/>
        <item m="1" x="1295"/>
        <item m="1" x="979"/>
        <item m="1" x="1305"/>
        <item m="1" x="1151"/>
        <item m="1" x="1520"/>
        <item m="1" x="1320"/>
        <item m="1" x="999"/>
        <item m="1" x="1518"/>
        <item m="1" x="1023"/>
        <item m="1" x="1505"/>
        <item m="1" x="582"/>
        <item m="1" x="533"/>
        <item m="1" x="918"/>
        <item m="1" x="1413"/>
        <item m="1" x="1024"/>
        <item m="1" x="304"/>
        <item m="1" x="641"/>
        <item m="1" x="1363"/>
        <item m="1" x="1117"/>
        <item m="1" x="381"/>
        <item m="1" x="1288"/>
        <item m="1" x="768"/>
        <item m="1" x="216"/>
        <item m="1" x="731"/>
        <item m="1" x="742"/>
        <item m="1" x="540"/>
        <item m="1" x="1316"/>
        <item m="1" x="217"/>
        <item m="1" x="235"/>
        <item m="1" x="576"/>
        <item m="1" x="1299"/>
        <item m="1" x="1510"/>
        <item m="1" x="1147"/>
        <item m="1" x="602"/>
        <item m="1" x="403"/>
        <item m="1" x="1525"/>
        <item m="1" x="1354"/>
        <item m="1" x="1160"/>
        <item m="1" x="614"/>
        <item m="1" x="993"/>
        <item m="1" x="269"/>
        <item m="1" x="1329"/>
        <item m="1" x="1016"/>
        <item m="1" x="261"/>
        <item m="1" x="267"/>
        <item m="1" x="814"/>
        <item m="1" x="1179"/>
        <item m="1" x="1025"/>
        <item m="1" x="1039"/>
        <item m="1" x="658"/>
        <item m="1" x="1356"/>
        <item m="1" x="345"/>
        <item m="1" x="141"/>
        <item m="1" x="1437"/>
        <item m="1" x="468"/>
        <item m="1" x="316"/>
        <item m="1" x="528"/>
        <item m="1" x="1250"/>
        <item m="1" x="346"/>
        <item m="1" x="177"/>
        <item m="1" x="1247"/>
        <item m="1" x="1105"/>
        <item m="1" x="1419"/>
        <item m="1" x="906"/>
        <item m="1" x="1452"/>
        <item m="1" x="376"/>
        <item x="20"/>
        <item m="1" x="1485"/>
        <item m="1" x="958"/>
        <item m="1" x="751"/>
        <item m="1" x="644"/>
        <item m="1" x="1232"/>
        <item m="1" x="659"/>
        <item m="1" x="1049"/>
        <item m="1" x="893"/>
        <item m="1" x="1219"/>
        <item m="1" x="503"/>
        <item m="1" x="1400"/>
        <item m="1" x="473"/>
        <item m="1" x="1040"/>
        <item m="1" x="1366"/>
        <item m="1" x="75"/>
        <item m="1" x="664"/>
        <item m="1" x="1051"/>
        <item m="1" x="630"/>
        <item m="1" x="457"/>
        <item m="1" x="645"/>
        <item m="1" x="661"/>
        <item m="1" x="85"/>
        <item m="1" x="1220"/>
        <item m="1" x="108"/>
        <item m="1" x="696"/>
        <item m="1" x="476"/>
        <item m="1" x="139"/>
        <item m="1" x="1067"/>
        <item m="1" x="504"/>
        <item m="1" x="1078"/>
        <item m="1" x="357"/>
        <item m="1" x="138"/>
        <item m="1" x="920"/>
        <item m="1" x="86"/>
        <item m="1" x="895"/>
        <item m="1" x="458"/>
        <item m="1" x="1403"/>
        <item m="1" x="1221"/>
        <item m="1" x="116"/>
        <item m="1" x="477"/>
        <item m="1" x="1246"/>
        <item m="1" x="1264"/>
        <item m="1" x="1093"/>
        <item m="1" x="157"/>
        <item m="1" x="1080"/>
        <item m="1" x="241"/>
        <item m="1" x="593"/>
        <item m="1" x="815"/>
        <item m="1" x="1180"/>
        <item m="1" x="1157"/>
        <item m="1" x="397"/>
        <item m="1" x="808"/>
        <item m="1" x="413"/>
        <item x="6"/>
        <item m="1" x="1355"/>
        <item m="1" x="282"/>
        <item m="1" x="1190"/>
        <item m="1" x="1162"/>
        <item m="1" x="245"/>
        <item m="1" x="981"/>
        <item m="1" x="1307"/>
        <item m="1" x="1529"/>
        <item m="1" x="414"/>
        <item m="1" x="595"/>
        <item m="1" x="809"/>
        <item m="1" x="994"/>
        <item m="1" x="1155"/>
        <item m="1" x="1323"/>
        <item m="1" x="1503"/>
        <item m="1" x="230"/>
        <item m="1" x="424"/>
        <item m="1" x="603"/>
        <item m="1" x="822"/>
        <item m="1" x="421"/>
        <item m="1" x="844"/>
        <item x="14"/>
        <item m="1" x="921"/>
        <item m="1" x="1258"/>
        <item m="1" x="344"/>
        <item m="1" x="1266"/>
        <item m="1" x="1438"/>
        <item m="1" x="360"/>
        <item m="1" x="526"/>
        <item m="1" x="708"/>
        <item m="1" x="1090"/>
        <item m="1" x="1273"/>
        <item m="1" x="94"/>
        <item m="1" x="1389"/>
        <item m="1" x="311"/>
        <item m="1" x="871"/>
        <item m="1" x="1367"/>
        <item m="1" x="1068"/>
        <item m="1" x="870"/>
        <item m="1" x="1079"/>
        <item m="1" x="330"/>
        <item m="1" x="900"/>
        <item m="1" x="1124"/>
        <item m="1" x="928"/>
        <item m="1" x="191"/>
        <item m="1" x="373"/>
        <item m="1" x="1285"/>
        <item m="1" x="194"/>
        <item m="1" x="737"/>
        <item m="1" x="181"/>
        <item m="1" x="552"/>
        <item m="1" x="562"/>
        <item m="1" x="569"/>
        <item m="1" x="574"/>
        <item m="1" x="1300"/>
        <item m="1" x="750"/>
        <item m="1" x="932"/>
        <item m="1" x="171"/>
        <item x="1"/>
        <item m="1" x="1286"/>
        <item m="1" x="195"/>
        <item m="1" x="738"/>
        <item m="1" x="1269"/>
        <item m="1" x="1459"/>
        <item m="1" x="192"/>
        <item m="1" x="379"/>
        <item m="1" x="553"/>
        <item m="1" x="735"/>
        <item m="1" x="972"/>
        <item m="1" x="715"/>
        <item x="28"/>
        <item m="1" x="718"/>
        <item m="1" x="719"/>
        <item m="1" x="862"/>
        <item x="11"/>
        <item m="1" x="785"/>
        <item m="1" x="786"/>
        <item m="1" x="1081"/>
        <item m="1" x="1071"/>
        <item m="1" x="1072"/>
        <item m="1" x="1094"/>
        <item m="1" x="1118"/>
        <item m="1" x="1119"/>
        <item m="1" x="829"/>
        <item x="2"/>
        <item m="1" x="342"/>
        <item m="1" x="394"/>
        <item m="1" x="1114"/>
        <item m="1" x="1115"/>
        <item m="1" x="452"/>
        <item m="1" x="118"/>
        <item m="1" x="904"/>
        <item m="1" x="1135"/>
        <item m="1" x="1248"/>
        <item m="1" x="185"/>
        <item m="1" x="945"/>
        <item m="1" x="946"/>
        <item m="1" x="1047"/>
        <item m="1" x="323"/>
        <item m="1" x="652"/>
        <item m="1" x="347"/>
        <item m="1" x="712"/>
        <item m="1" x="760"/>
        <item m="1" x="1109"/>
        <item m="1" x="732"/>
        <item m="1" x="1063"/>
        <item m="1" x="395"/>
        <item x="45"/>
        <item m="1" x="455"/>
        <item m="1" x="1126"/>
        <item m="1" x="1136"/>
        <item m="1" x="1037"/>
        <item m="1" x="518"/>
        <item m="1" x="1192"/>
        <item m="1" x="825"/>
        <item m="1" x="855"/>
        <item m="1" x="702"/>
        <item m="1" x="1183"/>
        <item m="1" x="1241"/>
        <item m="1" x="635"/>
        <item m="1" x="856"/>
        <item m="1" x="519"/>
        <item m="1" x="270"/>
        <item m="1" x="271"/>
        <item m="1" x="636"/>
        <item m="1" x="637"/>
        <item m="1" x="448"/>
        <item m="1" x="449"/>
        <item m="1" x="857"/>
        <item m="1" x="1029"/>
        <item m="1" x="87"/>
        <item m="1" x="88"/>
        <item m="1" x="69"/>
        <item m="1" x="70"/>
        <item m="1" x="107"/>
        <item m="1" x="1381"/>
        <item m="1" x="1191"/>
        <item m="1" x="1056"/>
        <item m="1" x="858"/>
        <item m="1" x="102"/>
        <item m="1" x="1359"/>
        <item m="1" x="103"/>
        <item m="1" x="446"/>
        <item m="1" x="1054"/>
        <item m="1" x="126"/>
        <item m="1" x="1082"/>
        <item m="1" x="1222"/>
        <item m="1" x="1236"/>
        <item m="1" x="1422"/>
        <item m="1" x="509"/>
        <item m="1" x="1380"/>
        <item m="1" x="774"/>
        <item m="1" x="775"/>
        <item m="1" x="672"/>
        <item m="1" x="95"/>
        <item m="1" x="96"/>
        <item m="1" x="133"/>
        <item m="1" x="673"/>
        <item m="1" x="674"/>
        <item m="1" x="887"/>
        <item m="1" x="104"/>
        <item m="1" x="105"/>
        <item m="1" x="1406"/>
        <item m="1" x="466"/>
        <item m="1" x="318"/>
        <item m="1" x="130"/>
        <item m="1" x="669"/>
        <item m="1" x="670"/>
        <item m="1" x="131"/>
        <item m="1" x="319"/>
        <item m="1" x="885"/>
        <item m="1" x="886"/>
        <item m="1" x="127"/>
        <item m="1" x="1034"/>
        <item m="1" x="128"/>
        <item m="1" x="119"/>
        <item m="1" x="120"/>
        <item m="1" x="1035"/>
        <item m="1" x="121"/>
        <item m="1" x="1036"/>
        <item m="1" x="1405"/>
        <item m="1" x="853"/>
        <item m="1" x="514"/>
        <item m="1" x="515"/>
        <item m="1" x="1083"/>
        <item m="1" x="1423"/>
        <item m="1" x="510"/>
        <item m="1" x="511"/>
        <item m="1" x="512"/>
        <item m="1" x="513"/>
        <item m="1" x="923"/>
        <item m="1" x="924"/>
        <item m="1" x="97"/>
        <item m="1" x="1106"/>
        <item m="1" x="122"/>
        <item m="1" x="467"/>
        <item m="1" x="1224"/>
        <item m="1" x="1064"/>
        <item m="1" x="1065"/>
        <item m="1" x="124"/>
        <item m="1" x="1265"/>
        <item m="1" x="884"/>
        <item m="1" x="1076"/>
        <item m="1" x="1225"/>
        <item m="1" x="1058"/>
        <item m="1" x="1397"/>
        <item m="1" x="1031"/>
        <item m="1" x="1373"/>
        <item m="1" x="324"/>
        <item m="1" x="325"/>
        <item m="1" x="653"/>
        <item m="1" x="326"/>
        <item m="1" x="1012"/>
        <item m="1" x="1013"/>
        <item m="1" x="327"/>
        <item m="1" x="328"/>
        <item m="1" x="1048"/>
        <item m="1" x="1398"/>
        <item m="1" x="687"/>
        <item m="1" x="688"/>
        <item m="1" x="349"/>
        <item m="1" x="350"/>
        <item m="1" x="655"/>
        <item m="1" x="689"/>
        <item m="1" x="1032"/>
        <item m="1" x="1033"/>
        <item m="1" x="713"/>
        <item m="1" x="714"/>
        <item m="1" x="1088"/>
        <item m="1" x="1103"/>
        <item m="1" x="690"/>
        <item m="1" x="1113"/>
        <item m="1" x="656"/>
        <item m="1" x="989"/>
        <item m="1" x="1448"/>
        <item m="1" x="432"/>
        <item m="1" x="484"/>
        <item m="1" x="353"/>
        <item m="1" x="960"/>
        <item m="1" x="1141"/>
        <item x="38"/>
        <item m="1" x="555"/>
        <item m="1" x="556"/>
        <item m="1" x="557"/>
        <item m="1" x="740"/>
        <item m="1" x="765"/>
        <item m="1" x="792"/>
        <item m="1" x="380"/>
        <item m="1" x="764"/>
        <item m="1" x="1153"/>
        <item m="1" x="208"/>
        <item x="37"/>
        <item m="1" x="796"/>
        <item m="1" x="1309"/>
        <item x="33"/>
        <item m="1" x="793"/>
        <item m="1" x="983"/>
        <item m="1" x="1148"/>
        <item m="1" x="1149"/>
        <item m="1" x="1506"/>
        <item m="1" x="1507"/>
        <item m="1" x="246"/>
        <item x="51"/>
        <item m="1" x="1177"/>
        <item m="1" x="1178"/>
        <item m="1" x="396"/>
        <item x="36"/>
        <item x="4"/>
        <item x="44"/>
        <item m="1" x="1508"/>
        <item m="1" x="65"/>
        <item m="1" x="436"/>
        <item m="1" x="412"/>
        <item m="1" x="848"/>
        <item m="1" x="453"/>
        <item m="1" x="816"/>
        <item m="1" x="579"/>
        <item m="1" x="598"/>
        <item m="1" x="1343"/>
        <item m="1" x="599"/>
        <item m="1" x="250"/>
        <item m="1" x="251"/>
        <item m="1" x="623"/>
        <item m="1" x="1327"/>
        <item m="1" x="257"/>
        <item m="1" x="1349"/>
        <item m="1" x="1350"/>
        <item m="1" x="1351"/>
        <item m="1" x="624"/>
        <item m="1" x="223"/>
        <item m="1" x="1007"/>
        <item m="1" x="1371"/>
        <item m="1" x="1372"/>
        <item m="1" x="625"/>
        <item m="1" x="650"/>
        <item m="1" x="258"/>
        <item m="1" x="321"/>
        <item x="48"/>
        <item m="1" x="626"/>
        <item m="1" x="651"/>
        <item m="1" x="1395"/>
        <item m="1" x="1368"/>
        <item m="1" x="1369"/>
        <item m="1" x="619"/>
        <item m="1" x="620"/>
        <item m="1" x="648"/>
        <item m="1" x="1393"/>
        <item m="1" x="1394"/>
        <item m="1" x="272"/>
        <item m="1" x="273"/>
        <item m="1" x="224"/>
        <item m="1" x="1057"/>
        <item m="1" x="1084"/>
        <item m="1" x="1085"/>
        <item m="1" x="279"/>
        <item m="1" x="686"/>
        <item m="1" x="710"/>
        <item m="1" x="1107"/>
        <item m="1" x="1108"/>
        <item m="1" x="1415"/>
        <item m="1" x="348"/>
        <item m="1" x="711"/>
        <item m="1" x="1442"/>
        <item m="1" x="1443"/>
        <item m="1" x="733"/>
        <item m="1" x="369"/>
        <item m="1" x="1444"/>
        <item m="1" x="757"/>
        <item m="1" x="758"/>
        <item m="1" x="302"/>
        <item m="1" x="1144"/>
        <item m="1" x="214"/>
        <item m="1" x="276"/>
        <item m="1" x="303"/>
        <item m="1" x="196"/>
        <item m="1" x="197"/>
        <item m="1" x="382"/>
        <item m="1" x="801"/>
        <item x="43"/>
        <item m="1" x="198"/>
        <item m="1" x="199"/>
        <item m="1" x="1130"/>
        <item m="1" x="200"/>
        <item m="1" x="723"/>
        <item m="1" x="724"/>
        <item m="1" x="1279"/>
        <item x="34"/>
        <item m="1" x="187"/>
        <item m="1" x="1324"/>
        <item m="1" x="961"/>
        <item m="1" x="962"/>
        <item m="1" x="963"/>
        <item m="1" x="1128"/>
        <item m="1" x="1129"/>
        <item m="1" x="211"/>
        <item m="1" x="212"/>
        <item m="1" x="1468"/>
        <item x="49"/>
        <item m="1" x="743"/>
        <item x="32"/>
        <item m="1" x="575"/>
        <item m="1" x="1276"/>
        <item m="1" x="1447"/>
        <item m="1" x="984"/>
        <item m="1" x="559"/>
        <item m="1" x="947"/>
        <item m="1" x="772"/>
        <item x="47"/>
        <item m="1" x="218"/>
        <item m="1" x="252"/>
        <item m="1" x="253"/>
        <item m="1" x="254"/>
        <item x="0"/>
        <item m="1" x="215"/>
        <item m="1" x="296"/>
        <item m="1" x="1341"/>
        <item x="52"/>
        <item x="55"/>
        <item m="1" x="617"/>
        <item x="46"/>
        <item m="1" x="600"/>
        <item m="1" x="297"/>
        <item m="1" x="298"/>
        <item m="1" x="299"/>
        <item m="1" x="300"/>
        <item m="1" x="1004"/>
        <item m="1" x="1344"/>
        <item m="1" x="1345"/>
        <item m="1" x="301"/>
        <item x="35"/>
        <item m="1" x="649"/>
        <item m="1" x="387"/>
        <item m="1" x="1154"/>
        <item m="1" x="817"/>
        <item m="1" x="818"/>
        <item m="1" x="66"/>
        <item m="1" x="1492"/>
        <item m="1" x="404"/>
        <item m="1" x="1182"/>
        <item m="1" x="426"/>
        <item m="1" x="427"/>
        <item m="1" x="428"/>
        <item m="1" x="1511"/>
        <item m="1" x="1512"/>
        <item m="1" x="1513"/>
        <item m="1" x="89"/>
        <item m="1" x="459"/>
        <item m="1" x="384"/>
        <item m="1" x="744"/>
        <item m="1" x="949"/>
        <item m="1" x="1298"/>
        <item m="1" x="1484"/>
        <item m="1" x="964"/>
        <item m="1" x="1469"/>
        <item m="1" x="1470"/>
        <item m="1" x="1471"/>
        <item m="1" x="572"/>
        <item m="1" x="748"/>
        <item m="1" x="971"/>
        <item m="1" x="393"/>
        <item m="1" x="1296"/>
        <item m="1" x="225"/>
        <item m="1" x="226"/>
        <item m="1" x="1497"/>
        <item m="1" x="227"/>
        <item m="1" x="228"/>
        <item m="1" x="803"/>
        <item m="1" x="804"/>
        <item m="1" x="1297"/>
        <item m="1" x="229"/>
        <item m="1" x="770"/>
        <item m="1" x="771"/>
        <item m="1" x="410"/>
        <item m="1" x="591"/>
        <item m="1" x="986"/>
        <item m="1" x="990"/>
        <item m="1" x="991"/>
        <item m="1" x="1495"/>
        <item m="1" x="1496"/>
        <item m="1" x="219"/>
        <item m="1" x="987"/>
        <item m="1" x="970"/>
        <item m="1" x="1318"/>
        <item m="1" x="220"/>
        <item m="1" x="965"/>
        <item m="1" x="966"/>
        <item m="1" x="255"/>
        <item m="1" x="1523"/>
        <item m="1" x="967"/>
        <item m="1" x="408"/>
        <item m="1" x="409"/>
        <item m="1" x="1172"/>
        <item m="1" x="992"/>
        <item m="1" x="1010"/>
        <item m="1" x="1175"/>
        <item m="1" x="590"/>
        <item m="1" x="1498"/>
        <item m="1" x="831"/>
        <item m="1" x="1014"/>
        <item m="1" x="802"/>
        <item m="1" x="411"/>
        <item m="1" x="563"/>
        <item m="1" x="434"/>
        <item m="1" x="1173"/>
        <item m="1" x="610"/>
        <item m="1" x="830"/>
        <item m="1" x="1335"/>
        <item m="1" x="73"/>
        <item m="1" x="189"/>
        <item m="1" x="440"/>
        <item m="1" x="1302"/>
        <item m="1" x="441"/>
        <item m="1" x="577"/>
        <item m="1" x="1325"/>
        <item m="1" x="248"/>
        <item m="1" x="621"/>
        <item m="1" x="622"/>
        <item m="1" x="202"/>
        <item m="1" x="203"/>
        <item m="1" x="1346"/>
        <item m="1" x="1347"/>
        <item m="1" x="274"/>
        <item m="1" x="275"/>
        <item m="1" x="388"/>
        <item m="1" x="794"/>
        <item m="1" x="377"/>
        <item m="1" x="1509"/>
        <item m="1" x="739"/>
        <item m="1" x="1134"/>
        <item m="1" x="1460"/>
        <item m="1" x="1514"/>
        <item m="1" x="385"/>
        <item m="1" x="137"/>
        <item m="1" x="795"/>
        <item m="1" x="1462"/>
        <item m="1" x="819"/>
        <item m="1" x="820"/>
        <item m="1" x="90"/>
        <item m="1" x="823"/>
        <item m="1" x="460"/>
        <item m="1" x="415"/>
        <item m="1" x="356"/>
        <item m="1" x="849"/>
        <item m="1" x="67"/>
        <item m="1" x="469"/>
        <item m="1" x="627"/>
        <item m="1" x="1042"/>
        <item m="1" x="609"/>
        <item m="1" x="700"/>
        <item m="1" x="236"/>
        <item m="1" x="1043"/>
        <item m="1" x="265"/>
        <item m="1" x="286"/>
        <item m="1" x="589"/>
        <item m="1" x="339"/>
        <item m="1" x="701"/>
        <item m="1" x="1074"/>
        <item m="1" x="607"/>
        <item m="1" x="1382"/>
        <item m="1" x="1137"/>
        <item m="1" x="638"/>
        <item m="1" x="675"/>
        <item m="1" x="1122"/>
        <item m="1" x="292"/>
        <item m="1" x="293"/>
        <item m="1" x="581"/>
        <item m="1" x="237"/>
        <item m="1" x="747"/>
        <item m="1" x="1138"/>
        <item m="1" x="354"/>
        <item m="1" x="678"/>
        <item m="1" x="1059"/>
        <item m="1" x="1060"/>
        <item m="1" x="1061"/>
        <item m="1" x="1213"/>
        <item m="1" x="1214"/>
        <item m="1" x="1244"/>
        <item m="1" x="676"/>
        <item m="1" x="677"/>
        <item m="1" x="891"/>
        <item m="1" x="1243"/>
        <item m="1" x="707"/>
        <item m="1" x="329"/>
        <item m="1" x="522"/>
        <item m="1" x="1408"/>
        <item m="1" x="703"/>
        <item m="1" x="521"/>
        <item m="1" x="704"/>
        <item m="1" x="705"/>
        <item m="1" x="706"/>
        <item m="1" x="1087"/>
        <item m="1" x="926"/>
        <item m="1" x="927"/>
        <item m="1" x="1112"/>
        <item m="1" x="374"/>
        <item m="1" x="1260"/>
        <item m="1" x="370"/>
        <item m="1" x="371"/>
        <item m="1" x="372"/>
        <item m="1" x="726"/>
        <item m="1" x="1281"/>
        <item m="1" x="1282"/>
        <item m="1" x="188"/>
        <item m="1" x="1110"/>
        <item m="1" x="1111"/>
        <item m="1" x="1259"/>
        <item m="1" x="730"/>
        <item m="1" x="1434"/>
        <item m="1" x="1435"/>
        <item x="56"/>
        <item m="1" x="782"/>
        <item m="1" x="1143"/>
        <item m="1" x="812"/>
        <item m="1" x="447"/>
        <item x="15"/>
        <item m="1" x="112"/>
        <item m="1" x="113"/>
        <item m="1" x="863"/>
        <item m="1" x="746"/>
        <item m="1" x="790"/>
        <item m="1" x="791"/>
        <item m="1" x="1171"/>
        <item m="1" x="151"/>
        <item m="1" x="545"/>
        <item m="1" x="842"/>
        <item m="1" x="843"/>
        <item m="1" x="150"/>
        <item m="1" x="152"/>
        <item m="1" x="153"/>
        <item m="1" x="209"/>
        <item m="1" x="982"/>
        <item x="50"/>
        <item m="1" x="939"/>
        <item m="1" x="940"/>
        <item m="1" x="956"/>
        <item m="1" x="937"/>
        <item m="1" x="938"/>
        <item m="1" x="761"/>
        <item m="1" x="1290"/>
        <item m="1" x="1489"/>
        <item m="1" x="1490"/>
        <item m="1" x="759"/>
        <item m="1" x="1139"/>
        <item m="1" x="402"/>
        <item m="1" x="980"/>
        <item x="57"/>
        <item m="1" x="264"/>
        <item m="1" x="1310"/>
        <item m="1" x="584"/>
        <item m="1" x="604"/>
        <item m="1" x="605"/>
        <item m="1" x="997"/>
        <item m="1" x="998"/>
        <item m="1" x="1018"/>
        <item m="1" x="1019"/>
        <item m="1" x="631"/>
        <item m="1" x="632"/>
        <item m="1" x="1357"/>
        <item m="1" x="805"/>
        <item m="1" x="807"/>
        <item m="1" x="777"/>
        <item m="1" x="778"/>
        <item m="1" x="779"/>
        <item m="1" x="422"/>
        <item m="1" x="882"/>
        <item m="1" x="883"/>
        <item m="1" x="1199"/>
        <item m="1" x="865"/>
        <item m="1" x="930"/>
        <item m="1" x="554"/>
        <item m="1" x="933"/>
        <item x="5"/>
        <item m="1" x="752"/>
        <item m="1" x="753"/>
        <item m="1" x="1500"/>
        <item m="1" x="1501"/>
        <item m="1" x="1522"/>
        <item m="1" x="401"/>
        <item m="1" x="776"/>
        <item m="1" x="1502"/>
        <item m="1" x="488"/>
        <item m="1" x="489"/>
        <item m="1" x="864"/>
        <item m="1" x="443"/>
        <item m="1" x="172"/>
        <item m="1" x="973"/>
        <item m="1" x="974"/>
        <item m="1" x="975"/>
        <item m="1" x="482"/>
        <item m="1" x="874"/>
        <item m="1" x="875"/>
        <item m="1" x="876"/>
        <item m="1" x="877"/>
        <item m="1" x="898"/>
        <item m="1" x="899"/>
        <item m="1" x="429"/>
        <item m="1" x="430"/>
        <item m="1" x="431"/>
        <item m="1" x="483"/>
        <item m="1" x="508"/>
        <item m="1" x="915"/>
        <item m="1" x="769"/>
        <item m="1" x="1237"/>
        <item x="58"/>
        <item m="1" x="935"/>
        <item x="30"/>
        <item m="1" x="144"/>
        <item m="1" x="145"/>
        <item x="13"/>
        <item m="1" x="542"/>
        <item m="1" x="543"/>
        <item m="1" x="1238"/>
        <item m="1" x="1239"/>
        <item m="1" x="146"/>
        <item m="1" x="147"/>
        <item m="1" x="148"/>
        <item m="1" x="485"/>
        <item m="1" x="486"/>
        <item m="1" x="178"/>
        <item m="1" x="917"/>
        <item x="31"/>
        <item m="1" x="943"/>
        <item m="1" x="952"/>
        <item m="1" x="953"/>
        <item m="1" x="996"/>
        <item m="1" x="954"/>
        <item m="1" x="797"/>
        <item m="1" x="835"/>
        <item m="1" x="836"/>
        <item m="1" x="837"/>
        <item x="10"/>
        <item x="59"/>
        <item m="1" x="838"/>
        <item x="19"/>
        <item m="1" x="781"/>
        <item x="23"/>
        <item m="1" x="798"/>
        <item m="1" x="799"/>
        <item x="60"/>
        <item m="1" x="800"/>
        <item x="61"/>
        <item m="1" x="811"/>
        <item x="24"/>
        <item m="1" x="766"/>
        <item m="1" x="81"/>
        <item x="22"/>
        <item m="1" x="1164"/>
        <item m="1" x="1165"/>
        <item m="1" x="1473"/>
        <item m="1" x="1474"/>
        <item m="1" x="1475"/>
        <item m="1" x="1476"/>
        <item m="1" x="1477"/>
        <item m="1" x="1478"/>
        <item m="1" x="1166"/>
        <item m="1" x="1479"/>
        <item m="1" x="1480"/>
        <item m="1" x="1167"/>
        <item m="1" x="1168"/>
        <item m="1" x="1481"/>
        <item m="1" x="1482"/>
        <item m="1" x="1483"/>
        <item m="1" x="1253"/>
        <item m="1" x="1169"/>
        <item m="1" x="1254"/>
        <item m="1" x="1426"/>
        <item m="1" x="1427"/>
        <item m="1" x="1524"/>
        <item m="1" x="1421"/>
        <item m="1" x="1328"/>
        <item m="1" x="1428"/>
        <item m="1" x="109"/>
        <item m="1" x="259"/>
        <item m="1" x="260"/>
        <item m="1" x="1429"/>
        <item m="1" x="1430"/>
        <item m="1" x="158"/>
        <item m="1" x="159"/>
        <item m="1" x="160"/>
        <item m="1" x="1431"/>
        <item m="1" x="161"/>
        <item m="1" x="1432"/>
        <item m="1" x="162"/>
        <item m="1" x="163"/>
        <item m="1" x="1433"/>
        <item m="1" x="289"/>
        <item m="1" x="290"/>
        <item m="1" x="239"/>
        <item m="1" x="240"/>
        <item m="1" x="143"/>
        <item x="17"/>
        <item m="1" x="291"/>
        <item m="1" x="76"/>
        <item m="1" x="77"/>
        <item m="1" x="78"/>
        <item m="1" x="463"/>
        <item m="1" x="464"/>
        <item m="1" x="465"/>
        <item x="18"/>
        <item x="16"/>
        <item m="1" x="1131"/>
        <item m="1" x="1132"/>
        <item m="1" x="174"/>
        <item m="1" x="175"/>
        <item m="1" x="1456"/>
        <item m="1" x="243"/>
        <item x="27"/>
        <item m="1" x="358"/>
        <item m="1" x="1491"/>
        <item m="1" x="183"/>
        <item m="1" x="72"/>
        <item m="1" x="184"/>
        <item m="1" x="496"/>
        <item m="1" x="206"/>
        <item m="1" x="207"/>
        <item m="1" x="787"/>
        <item m="1" x="788"/>
        <item m="1" x="1267"/>
        <item m="1" x="1303"/>
        <item m="1" x="1304"/>
        <item m="1" x="1308"/>
        <item m="1" x="1416"/>
        <item m="1" x="1451"/>
        <item m="1" x="305"/>
        <item m="1" x="529"/>
        <item m="1" x="480"/>
        <item m="1" x="558"/>
        <item m="1" x="541"/>
        <item m="1" x="571"/>
        <item m="1" x="531"/>
        <item x="53"/>
        <item x="54"/>
        <item m="1" x="1202"/>
        <item m="1" x="1203"/>
        <item m="1" x="423"/>
        <item m="1" x="444"/>
        <item m="1" x="445"/>
        <item m="1" x="535"/>
        <item m="1" x="501"/>
        <item m="1" x="537"/>
        <item m="1" x="538"/>
        <item m="1" x="1311"/>
        <item m="1" x="1312"/>
        <item m="1" x="585"/>
        <item m="1" x="976"/>
        <item m="1" x="1313"/>
        <item m="1" x="586"/>
        <item m="1" x="1314"/>
        <item m="1" x="587"/>
        <item m="1" x="1331"/>
        <item m="1" x="405"/>
        <item m="1" x="390"/>
        <item m="1" x="565"/>
        <item m="1" x="566"/>
        <item m="1" x="567"/>
        <item m="1" x="68"/>
        <item m="1" x="1441"/>
        <item m="1" x="63"/>
        <item t="default"/>
      </items>
    </pivotField>
    <pivotField showAll="0"/>
  </pivotFields>
  <rowFields count="1">
    <field x="2"/>
  </rowFields>
  <rowItems count="64">
    <i>
      <x v="143"/>
    </i>
    <i>
      <x v="222"/>
    </i>
    <i>
      <x v="225"/>
    </i>
    <i>
      <x v="257"/>
    </i>
    <i>
      <x v="271"/>
    </i>
    <i>
      <x v="282"/>
    </i>
    <i>
      <x v="284"/>
    </i>
    <i>
      <x v="357"/>
    </i>
    <i>
      <x v="376"/>
    </i>
    <i>
      <x v="459"/>
    </i>
    <i>
      <x v="556"/>
    </i>
    <i>
      <x v="584"/>
    </i>
    <i>
      <x v="585"/>
    </i>
    <i>
      <x v="586"/>
    </i>
    <i>
      <x v="658"/>
    </i>
    <i>
      <x v="712"/>
    </i>
    <i>
      <x v="734"/>
    </i>
    <i>
      <x v="771"/>
    </i>
    <i>
      <x v="783"/>
    </i>
    <i>
      <x v="787"/>
    </i>
    <i>
      <x v="797"/>
    </i>
    <i>
      <x v="820"/>
    </i>
    <i>
      <x v="953"/>
    </i>
    <i>
      <x v="964"/>
    </i>
    <i>
      <x v="967"/>
    </i>
    <i>
      <x v="975"/>
    </i>
    <i>
      <x v="979"/>
    </i>
    <i>
      <x v="980"/>
    </i>
    <i>
      <x v="981"/>
    </i>
    <i>
      <x v="1010"/>
    </i>
    <i>
      <x v="1051"/>
    </i>
    <i>
      <x v="1059"/>
    </i>
    <i>
      <x v="1070"/>
    </i>
    <i>
      <x v="1072"/>
    </i>
    <i>
      <x v="1080"/>
    </i>
    <i>
      <x v="1085"/>
    </i>
    <i>
      <x v="1089"/>
    </i>
    <i>
      <x v="1090"/>
    </i>
    <i>
      <x v="1092"/>
    </i>
    <i>
      <x v="1102"/>
    </i>
    <i>
      <x v="1282"/>
    </i>
    <i>
      <x v="1287"/>
    </i>
    <i>
      <x v="1304"/>
    </i>
    <i>
      <x v="1318"/>
    </i>
    <i>
      <x v="1344"/>
    </i>
    <i>
      <x v="1376"/>
    </i>
    <i>
      <x v="1378"/>
    </i>
    <i>
      <x v="1381"/>
    </i>
    <i>
      <x v="1393"/>
    </i>
    <i>
      <x v="1403"/>
    </i>
    <i>
      <x v="1404"/>
    </i>
    <i>
      <x v="1406"/>
    </i>
    <i>
      <x v="1408"/>
    </i>
    <i>
      <x v="1411"/>
    </i>
    <i>
      <x v="1413"/>
    </i>
    <i>
      <x v="1415"/>
    </i>
    <i>
      <x v="1418"/>
    </i>
    <i>
      <x v="1463"/>
    </i>
    <i>
      <x v="1471"/>
    </i>
    <i>
      <x v="1472"/>
    </i>
    <i>
      <x v="1479"/>
    </i>
    <i>
      <x v="1503"/>
    </i>
    <i>
      <x v="1504"/>
    </i>
    <i t="grand">
      <x/>
    </i>
  </rowItems>
  <colFields count="1">
    <field x="0"/>
  </colFields>
  <colItems count="8">
    <i>
      <x/>
    </i>
    <i>
      <x v="84"/>
    </i>
    <i>
      <x v="550"/>
    </i>
    <i>
      <x v="551"/>
    </i>
    <i>
      <x v="552"/>
    </i>
    <i>
      <x v="1284"/>
    </i>
    <i>
      <x v="1285"/>
    </i>
    <i t="grand">
      <x/>
    </i>
  </colItems>
  <dataFields count="1">
    <dataField name="Sum of Utilized" fld="1" baseField="0" baseItem="0"/>
  </dataFields>
  <formats count="20">
    <format dxfId="406">
      <pivotArea field="2" type="button" dataOnly="0" labelOnly="1" outline="0" axis="axisRow" fieldPosition="0"/>
    </format>
    <format dxfId="405">
      <pivotArea dataOnly="0" labelOnly="1" fieldPosition="0">
        <references count="1">
          <reference field="0" count="0"/>
        </references>
      </pivotArea>
    </format>
    <format dxfId="404">
      <pivotArea dataOnly="0" labelOnly="1" grandCol="1" outline="0" fieldPosition="0"/>
    </format>
    <format dxfId="403">
      <pivotArea field="2" type="button" dataOnly="0" labelOnly="1" outline="0" axis="axisRow" fieldPosition="0"/>
    </format>
    <format dxfId="402">
      <pivotArea dataOnly="0" labelOnly="1" fieldPosition="0">
        <references count="1">
          <reference field="0" count="1">
            <x v="0"/>
          </reference>
        </references>
      </pivotArea>
    </format>
    <format dxfId="401">
      <pivotArea type="all" dataOnly="0" outline="0" fieldPosition="0"/>
    </format>
    <format dxfId="400">
      <pivotArea outline="0" collapsedLevelsAreSubtotals="1" fieldPosition="0"/>
    </format>
    <format dxfId="399">
      <pivotArea type="origin" dataOnly="0" labelOnly="1" outline="0" fieldPosition="0"/>
    </format>
    <format dxfId="398">
      <pivotArea field="0" type="button" dataOnly="0" labelOnly="1" outline="0" axis="axisCol" fieldPosition="0"/>
    </format>
    <format dxfId="397">
      <pivotArea type="topRight" dataOnly="0" labelOnly="1" outline="0" fieldPosition="0"/>
    </format>
    <format dxfId="396">
      <pivotArea field="2" type="button" dataOnly="0" labelOnly="1" outline="0" axis="axisRow" fieldPosition="0"/>
    </format>
    <format dxfId="395">
      <pivotArea dataOnly="0" labelOnly="1" fieldPosition="0">
        <references count="1">
          <reference field="2" count="0"/>
        </references>
      </pivotArea>
    </format>
    <format dxfId="394">
      <pivotArea dataOnly="0" labelOnly="1" grandRow="1" outline="0" fieldPosition="0"/>
    </format>
    <format dxfId="393">
      <pivotArea dataOnly="0" labelOnly="1" fieldPosition="0">
        <references count="1">
          <reference field="0" count="0"/>
        </references>
      </pivotArea>
    </format>
    <format dxfId="392">
      <pivotArea dataOnly="0" labelOnly="1" grandCol="1" outline="0" fieldPosition="0"/>
    </format>
    <format dxfId="391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390">
      <pivotArea dataOnly="0" labelOnly="1" fieldPosition="0">
        <references count="1">
          <reference field="2" count="1">
            <x v="1019"/>
          </reference>
        </references>
      </pivotArea>
    </format>
    <format dxfId="389">
      <pivotArea collapsedLevelsAreSubtotals="1" fieldPosition="0">
        <references count="2">
          <reference field="0" count="3" selected="0">
            <x v="863"/>
            <x v="864"/>
            <x v="866"/>
          </reference>
          <reference field="2" count="1">
            <x v="768"/>
          </reference>
        </references>
      </pivotArea>
    </format>
    <format dxfId="388">
      <pivotArea collapsedLevelsAreSubtotals="1" fieldPosition="0">
        <references count="2">
          <reference field="0" count="1" selected="0">
            <x v="326"/>
          </reference>
          <reference field="2" count="1">
            <x v="767"/>
          </reference>
        </references>
      </pivotArea>
    </format>
    <format dxfId="387">
      <pivotArea collapsedLevelsAreSubtotals="1" fieldPosition="0">
        <references count="2">
          <reference field="0" count="2" selected="0">
            <x v="1027"/>
            <x v="1035"/>
          </reference>
          <reference field="2" count="6">
            <x v="344"/>
            <x v="348"/>
            <x v="349"/>
            <x v="380"/>
            <x v="432"/>
            <x v="463"/>
          </reference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67183-335A-4149-8D56-7811E8E0921C}" name="PivotTable1" cacheId="19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 rowHeaderCaption="GD No.">
  <location ref="C4:E15" firstHeaderRow="1" firstDataRow="1" firstDataCol="2" rowPageCount="1" colPageCount="1"/>
  <pivotFields count="4">
    <pivotField axis="axisPage" compact="0" outline="0" showAll="0">
      <items count="1287">
        <item x="0"/>
        <item m="1" x="1160"/>
        <item m="1" x="380"/>
        <item m="1" x="853"/>
        <item m="1" x="1013"/>
        <item m="1" x="1169"/>
        <item m="1" x="34"/>
        <item m="1" x="202"/>
        <item m="1" x="1032"/>
        <item m="1" x="1151"/>
        <item m="1" x="990"/>
        <item m="1" x="13"/>
        <item m="1" x="182"/>
        <item m="1" x="337"/>
        <item m="1" x="485"/>
        <item m="1" x="648"/>
        <item m="1" x="807"/>
        <item m="1" x="156"/>
        <item m="1" x="317"/>
        <item m="1" x="462"/>
        <item m="1" x="620"/>
        <item m="1" x="359"/>
        <item m="1" x="1253"/>
        <item m="1" x="128"/>
        <item m="1" x="104"/>
        <item m="1" x="476"/>
        <item m="1" x="554"/>
        <item m="1" x="960"/>
        <item m="1" x="1120"/>
        <item m="1" x="124"/>
        <item m="1" x="1250"/>
        <item m="1" x="289"/>
        <item m="1" x="1173"/>
        <item m="1" x="673"/>
        <item m="1" x="999"/>
        <item m="1" x="1076"/>
        <item m="1" x="1159"/>
        <item m="1" x="758"/>
        <item m="1" x="1281"/>
        <item m="1" x="670"/>
        <item m="1" x="712"/>
        <item m="1" x="436"/>
        <item m="1" x="632"/>
        <item m="1" x="1034"/>
        <item m="1" x="142"/>
        <item m="1" x="97"/>
        <item m="1" x="1230"/>
        <item m="1" x="230"/>
        <item m="1" x="187"/>
        <item m="1" x="307"/>
        <item m="1" x="855"/>
        <item m="1" x="1047"/>
        <item m="1" x="939"/>
        <item m="1" x="895"/>
        <item m="1" x="1208"/>
        <item m="1" x="1246"/>
        <item m="1" x="1279"/>
        <item m="1" x="204"/>
        <item m="1" x="432"/>
        <item m="1" x="668"/>
        <item m="1" x="707"/>
        <item m="1" x="790"/>
        <item m="1" x="955"/>
        <item m="1" x="991"/>
        <item m="1" x="1067"/>
        <item m="1" x="184"/>
        <item m="1" x="1262"/>
        <item m="1" x="16"/>
        <item m="1" x="420"/>
        <item m="1" x="1274"/>
        <item m="1" x="303"/>
        <item m="1" x="338"/>
        <item m="1" x="393"/>
        <item m="1" x="428"/>
        <item m="1" x="986"/>
        <item m="1" x="1063"/>
        <item m="1" x="1024"/>
        <item m="1" x="62"/>
        <item m="1" x="1147"/>
        <item m="1" x="48"/>
        <item m="1" x="723"/>
        <item m="1" x="557"/>
        <item m="1" x="844"/>
        <item m="1" x="888"/>
        <item x="2"/>
        <item m="1" x="1199"/>
        <item m="1" x="424"/>
        <item m="1" x="459"/>
        <item m="1" x="783"/>
        <item m="1" x="1256"/>
        <item m="1" x="819"/>
        <item m="1" x="131"/>
        <item m="1" x="175"/>
        <item m="1" x="332"/>
        <item m="1" x="296"/>
        <item m="1" x="679"/>
        <item m="1" x="763"/>
        <item m="1" x="801"/>
        <item m="1" x="842"/>
        <item m="1" x="887"/>
        <item m="1" x="929"/>
        <item m="1" x="1236"/>
        <item m="1" x="1219"/>
        <item m="1" x="107"/>
        <item m="1" x="85"/>
        <item m="1" x="294"/>
        <item m="1" x="406"/>
        <item m="1" x="423"/>
        <item m="1" x="590"/>
        <item m="1" x="458"/>
        <item m="1" x="480"/>
        <item m="1" x="575"/>
        <item m="1" x="1196"/>
        <item m="1" x="593"/>
        <item m="1" x="496"/>
        <item m="1" x="678"/>
        <item m="1" x="639"/>
        <item m="1" x="659"/>
        <item m="1" x="841"/>
        <item m="1" x="983"/>
        <item m="1" x="947"/>
        <item m="1" x="1058"/>
        <item m="1" x="1003"/>
        <item m="1" x="1080"/>
        <item m="1" x="66"/>
        <item m="1" x="330"/>
        <item m="1" x="352"/>
        <item m="1" x="389"/>
        <item m="1" x="1254"/>
        <item m="1" x="495"/>
        <item m="1" x="516"/>
        <item m="1" x="479"/>
        <item m="1" x="677"/>
        <item m="1" x="698"/>
        <item m="1" x="782"/>
        <item m="1" x="840"/>
        <item m="1" x="1057"/>
        <item m="1" x="1079"/>
        <item m="1" x="1144"/>
        <item m="1" x="1122"/>
        <item m="1" x="1270"/>
        <item m="1" x="84"/>
        <item m="1" x="150"/>
        <item m="1" x="173"/>
        <item m="1" x="192"/>
        <item m="1" x="214"/>
        <item m="1" x="272"/>
        <item m="1" x="369"/>
        <item m="1" x="457"/>
        <item m="1" x="25"/>
        <item m="1" x="658"/>
        <item m="1" x="720"/>
        <item m="1" x="924"/>
        <item m="1" x="1056"/>
        <item m="1" x="1078"/>
        <item m="1" x="1195"/>
        <item m="1" x="1235"/>
        <item m="1" x="1217"/>
        <item m="1" x="43"/>
        <item m="1" x="65"/>
        <item m="1" x="125"/>
        <item m="1" x="256"/>
        <item m="1" x="386"/>
        <item m="1" x="573"/>
        <item m="1" x="637"/>
        <item m="1" x="781"/>
        <item m="1" x="740"/>
        <item m="1" x="818"/>
        <item m="1" x="837"/>
        <item m="1" x="923"/>
        <item m="1" x="903"/>
        <item m="1" x="1121"/>
        <item m="1" x="1142"/>
        <item m="1" x="1251"/>
        <item m="1" x="1268"/>
        <item m="1" x="1284"/>
        <item m="1" x="22"/>
        <item m="1" x="719"/>
        <item m="1" x="270"/>
        <item m="1" x="210"/>
        <item m="1" x="254"/>
        <item m="1" x="1275"/>
        <item m="1" x="475"/>
        <item m="1" x="553"/>
        <item m="1" x="589"/>
        <item m="1" x="697"/>
        <item m="1" x="779"/>
        <item m="1" x="799"/>
        <item m="1" x="815"/>
        <item m="1" x="836"/>
        <item m="1" x="921"/>
        <item m="1" x="943"/>
        <item m="1" x="959"/>
        <item m="1" x="880"/>
        <item m="1" x="862"/>
        <item m="1" x="902"/>
        <item m="1" x="980"/>
        <item m="1" x="1119"/>
        <item m="1" x="1174"/>
        <item m="1" x="860"/>
        <item m="1" x="510"/>
        <item m="1" x="835"/>
        <item m="1" x="859"/>
        <item m="1" x="878"/>
        <item m="1" x="1172"/>
        <item m="1" x="1249"/>
        <item m="1" x="671"/>
        <item m="1" x="735"/>
        <item m="1" x="713"/>
        <item m="1" x="550"/>
        <item m="1" x="694"/>
        <item m="1" x="121"/>
        <item m="1" x="775"/>
        <item m="1" x="834"/>
        <item m="1" x="166"/>
        <item m="1" x="813"/>
        <item m="1" x="877"/>
        <item m="1" x="232"/>
        <item m="1" x="1248"/>
        <item m="1" x="633"/>
        <item m="1" x="418"/>
        <item m="1" x="471"/>
        <item m="1" x="1137"/>
        <item m="1" x="1114"/>
        <item m="1" x="508"/>
        <item m="1" x="530"/>
        <item m="1" x="346"/>
        <item m="1" x="997"/>
        <item m="1" x="365"/>
        <item m="1" x="1016"/>
        <item m="1" x="1157"/>
        <item m="1" x="585"/>
        <item m="1" x="631"/>
        <item m="1" x="654"/>
        <item m="1" x="38"/>
        <item m="1" x="693"/>
        <item m="1" x="61"/>
        <item m="1" x="711"/>
        <item m="1" x="79"/>
        <item m="1" x="733"/>
        <item m="1" x="120"/>
        <item m="1" x="857"/>
        <item m="1" x="832"/>
        <item m="1" x="231"/>
        <item m="1" x="267"/>
        <item m="1" x="206"/>
        <item m="1" x="977"/>
        <item m="1" x="382"/>
        <item m="1" x="1033"/>
        <item m="1" x="399"/>
        <item m="1" x="435"/>
        <item m="1" x="364"/>
        <item m="1" x="451"/>
        <item m="1" x="1112"/>
        <item m="1" x="1155"/>
        <item m="1" x="1190"/>
        <item m="1" x="547"/>
        <item m="1" x="1209"/>
        <item m="1" x="584"/>
        <item m="1" x="19"/>
        <item m="1" x="1015"/>
        <item m="1" x="1136"/>
        <item m="1" x="732"/>
        <item m="1" x="605"/>
        <item m="1" x="37"/>
        <item m="1" x="669"/>
        <item m="1" x="630"/>
        <item m="1" x="1264"/>
        <item m="1" x="96"/>
        <item m="1" x="752"/>
        <item m="1" x="77"/>
        <item m="1" x="141"/>
        <item m="1" x="186"/>
        <item m="1" x="163"/>
        <item m="1" x="874"/>
        <item m="1" x="248"/>
        <item m="1" x="856"/>
        <item m="1" x="325"/>
        <item m="1" x="976"/>
        <item m="1" x="1031"/>
        <item m="1" x="381"/>
        <item m="1" x="1070"/>
        <item m="1" x="434"/>
        <item m="1" x="1092"/>
        <item m="1" x="342"/>
        <item m="1" x="488"/>
        <item m="1" x="1247"/>
        <item m="1" x="603"/>
        <item m="1" x="629"/>
        <item m="1" x="652"/>
        <item m="1" x="708"/>
        <item m="1" x="57"/>
        <item m="1" x="95"/>
        <item m="1" x="894"/>
        <item m="1" x="914"/>
        <item m="1" x="284"/>
        <item m="1" x="341"/>
        <item m="1" x="1046"/>
        <item m="1" x="415"/>
        <item m="1" x="993"/>
        <item m="1" x="1134"/>
        <item m="1" x="1069"/>
        <item m="1" x="433"/>
        <item m="1" x="1090"/>
        <item m="1" x="448"/>
        <item m="1" x="1110"/>
        <item m="1" x="469"/>
        <item m="1" x="306"/>
        <item m="1" x="487"/>
        <item m="1" x="792"/>
        <item m="1" x="1187"/>
        <item m="1" x="546"/>
        <item m="1" x="1228"/>
        <item m="1" x="1154"/>
        <item m="1" x="563"/>
        <item m="1" x="602"/>
        <item m="1" x="1278"/>
        <item m="1" x="525"/>
        <item m="1" x="1205"/>
        <item m="1" x="810"/>
        <item m="1" x="956"/>
        <item m="1" x="974"/>
        <item m="1" x="893"/>
        <item m="1" x="115"/>
        <item m="1" x="340"/>
        <item m="1" x="397"/>
        <item m="1" x="431"/>
        <item m="1" x="378"/>
        <item m="1" x="1133"/>
        <item m="1" x="750"/>
        <item m="1" x="1109"/>
        <item m="1" x="1153"/>
        <item m="1" x="650"/>
        <item m="1" x="17"/>
        <item m="1" x="1029"/>
        <item m="1" x="667"/>
        <item m="1" x="749"/>
        <item m="1" x="114"/>
        <item m="1" x="323"/>
        <item m="1" x="305"/>
        <item m="1" x="1186"/>
        <item m="1" x="938"/>
        <item m="1" x="94"/>
        <item m="1" x="789"/>
        <item m="1" x="201"/>
        <item m="1" x="414"/>
        <item m="1" x="377"/>
        <item m="1" x="892"/>
        <item m="1" x="282"/>
        <item m="1" x="544"/>
        <item m="1" x="304"/>
        <item m="1" x="973"/>
        <item m="1" x="322"/>
        <item m="1" x="954"/>
        <item m="1" x="339"/>
        <item m="1" x="1066"/>
        <item m="1" x="446"/>
        <item m="1" x="295"/>
        <item m="1" x="502"/>
        <item m="1" x="686"/>
        <item m="1" x="1206"/>
        <item m="1" x="226"/>
        <item m="1" x="1044"/>
        <item m="1" x="828"/>
        <item m="1" x="543"/>
        <item m="1" x="14"/>
        <item m="1" x="466"/>
        <item m="1" x="75"/>
        <item m="1" x="685"/>
        <item m="1" x="705"/>
        <item m="1" x="826"/>
        <item m="1" x="200"/>
        <item m="1" x="263"/>
        <item m="1" x="281"/>
        <item m="1" x="849"/>
        <item m="1" x="321"/>
        <item m="1" x="1261"/>
        <item m="1" x="989"/>
        <item m="1" x="183"/>
        <item m="1" x="972"/>
        <item m="1" x="1260"/>
        <item m="1" x="456"/>
        <item m="1" x="1011"/>
        <item m="1" x="871"/>
        <item m="1" x="1276"/>
        <item m="1" x="1243"/>
        <item m="1" x="581"/>
        <item m="1" x="245"/>
        <item m="1" x="1167"/>
        <item m="1" x="727"/>
        <item m="1" x="663"/>
        <item m="1" x="30"/>
        <item m="1" x="933"/>
        <item m="1" x="301"/>
        <item m="1" x="848"/>
        <item m="1" x="262"/>
        <item m="1" x="970"/>
        <item m="1" x="336"/>
        <item m="1" x="988"/>
        <item m="1" x="159"/>
        <item m="1" x="747"/>
        <item m="1" x="687"/>
        <item m="1" x="32"/>
        <item m="1" x="1010"/>
        <item m="1" x="966"/>
        <item m="1" x="838"/>
        <item m="1" x="1272"/>
        <item m="1" x="618"/>
        <item m="1" x="942"/>
        <item m="1" x="897"/>
        <item m="1" x="646"/>
        <item m="1" x="817"/>
        <item m="1" x="237"/>
        <item m="1" x="798"/>
        <item m="1" x="146"/>
        <item m="1" x="863"/>
        <item m="1" x="455"/>
        <item m="1" x="80"/>
        <item m="1" x="1257"/>
        <item m="1" x="1051"/>
        <item m="1" x="875"/>
        <item m="1" x="548"/>
        <item m="1" x="555"/>
        <item m="1" x="567"/>
        <item m="1" x="827"/>
        <item m="1" x="666"/>
        <item m="1" x="503"/>
        <item m="1" x="1129"/>
        <item m="1" x="400"/>
        <item m="1" x="1102"/>
        <item m="1" x="350"/>
        <item m="1" x="764"/>
        <item m="1" x="928"/>
        <item m="1" x="1082"/>
        <item m="1" x="439"/>
        <item m="1" x="132"/>
        <item m="1" x="275"/>
        <item m="1" x="1220"/>
        <item m="1" x="331"/>
        <item m="1" x="407"/>
        <item m="1" x="800"/>
        <item m="1" x="536"/>
        <item m="1" x="866"/>
        <item m="1" x="1020"/>
        <item m="1" x="1179"/>
        <item m="1" x="1098"/>
        <item m="1" x="67"/>
        <item m="1" x="438"/>
        <item m="1" x="1037"/>
        <item m="1" x="699"/>
        <item m="1" x="963"/>
        <item m="1" x="886"/>
        <item m="1" x="592"/>
        <item m="1" x="925"/>
        <item m="1" x="580"/>
        <item m="1" x="422"/>
        <item m="1" x="1216"/>
        <item m="1" x="577"/>
        <item m="1" x="741"/>
        <item m="1" x="171"/>
        <item m="1" x="1055"/>
        <item m="1" x="1143"/>
        <item m="1" x="82"/>
        <item m="1" x="404"/>
        <item m="1" x="551"/>
        <item m="1" x="351"/>
        <item m="1" x="312"/>
        <item m="1" x="616"/>
        <item m="1" x="1194"/>
        <item m="1" x="514"/>
        <item m="1" x="255"/>
        <item m="1" x="1019"/>
        <item m="1" x="1095"/>
        <item m="1" x="41"/>
        <item m="1" x="919"/>
        <item m="1" x="21"/>
        <item m="1" x="269"/>
        <item m="1" x="190"/>
        <item m="1" x="348"/>
        <item m="1" x="492"/>
        <item m="1" x="1139"/>
        <item m="1" x="1052"/>
        <item m="1" x="569"/>
        <item m="1" x="167"/>
        <item m="1" x="207"/>
        <item n="264" m="1" x="287"/>
        <item m="1" x="327"/>
        <item m="1" x="1071"/>
        <item m="1" x="1113"/>
        <item m="1" x="1267"/>
        <item m="1" x="266"/>
        <item m="1" x="958"/>
        <item m="1" x="653"/>
        <item m="1" x="691"/>
        <item m="1" x="450"/>
        <item m="1" x="489"/>
        <item m="1" x="344"/>
        <item m="1" x="731"/>
        <item m="1" x="773"/>
        <item m="1" x="811"/>
        <item m="1" x="604"/>
        <item m="1" x="996"/>
        <item m="1" x="293"/>
        <item m="1" x="366"/>
        <item m="1" x="116"/>
        <item m="1" x="1014"/>
        <item m="1" x="162"/>
        <item m="1" x="247"/>
        <item m="1" x="398"/>
        <item m="1" x="324"/>
        <item m="1" x="545"/>
        <item m="1" x="1028"/>
        <item m="1" x="138"/>
        <item m="1" x="975"/>
        <item m="1" x="1108"/>
        <item m="1" x="264"/>
        <item n="403A" m="1" x="486"/>
        <item m="1" x="523"/>
        <item m="1" x="445"/>
        <item m="1" x="1152"/>
        <item m="1" x="417"/>
        <item m="1" x="73"/>
        <item m="1" x="468"/>
        <item m="1" x="1049"/>
        <item m="1" x="1087"/>
        <item m="1" x="684"/>
        <item m="1" x="112"/>
        <item m="1" x="158"/>
        <item m="1" x="1203"/>
        <item m="1" x="198"/>
        <item m="1" x="1242"/>
        <item m="1" x="1091"/>
        <item m="1" x="464"/>
        <item m="1" x="500"/>
        <item m="1" x="540"/>
        <item m="1" x="912"/>
        <item m="1" x="869"/>
        <item m="1" x="951"/>
        <item m="1" x="413"/>
        <item m="1" x="822"/>
        <item m="1" x="29"/>
        <item m="1" x="1223"/>
        <item m="1" x="88"/>
        <item m="1" x="561"/>
        <item m="1" x="298"/>
        <item m="1" x="372"/>
        <item m="1" x="440"/>
        <item m="1" x="702"/>
        <item m="1" x="765"/>
        <item m="1" x="803"/>
        <item x="1"/>
        <item x="3"/>
        <item x="5"/>
        <item m="1" x="194"/>
        <item m="1" x="240"/>
        <item m="1" x="69"/>
        <item m="1" x="964"/>
        <item m="1" x="314"/>
        <item m="1" x="153"/>
        <item m="1" x="354"/>
        <item m="1" x="660"/>
        <item m="1" x="497"/>
        <item m="1" x="537"/>
        <item m="1" x="578"/>
        <item m="1" x="390"/>
        <item m="1" x="909"/>
        <item m="1" x="1100"/>
        <item m="1" x="1060"/>
        <item m="1" x="1182"/>
        <item m="1" x="1021"/>
        <item m="1" x="220"/>
        <item m="1" x="518"/>
        <item m="1" x="86"/>
        <item m="1" x="1181"/>
        <item m="1" x="1221"/>
        <item m="1" x="1004"/>
        <item m="1" x="640"/>
        <item m="1" x="1125"/>
        <item m="1" x="1081"/>
        <item m="1" x="68"/>
        <item m="1" x="1198"/>
        <item m="1" x="46"/>
        <item m="1" x="130"/>
        <item m="1" x="151"/>
        <item m="1" x="174"/>
        <item m="1" x="193"/>
        <item m="1" x="313"/>
        <item m="1" x="219"/>
        <item m="1" x="239"/>
        <item m="1" x="353"/>
        <item m="1" x="517"/>
        <item m="1" x="273"/>
        <item m="1" x="617"/>
        <item m="1" x="742"/>
        <item m="1" x="935"/>
        <item m="1" x="885"/>
        <item m="1" x="906"/>
        <item m="1" x="962"/>
        <item m="1" x="1161"/>
        <item m="1" x="1180"/>
        <item m="1" x="1099"/>
        <item m="1" x="1197"/>
        <item m="1" x="1123"/>
        <item m="1" x="45"/>
        <item m="1" x="106"/>
        <item m="1" x="129"/>
        <item m="1" x="1145"/>
        <item m="1" x="238"/>
        <item m="1" x="370"/>
        <item m="1" x="574"/>
        <item m="1" x="615"/>
        <item m="1" x="638"/>
        <item m="1" x="926"/>
        <item m="1" x="905"/>
        <item m="1" x="946"/>
        <item m="1" x="1283"/>
        <item m="1" x="722"/>
        <item m="1" x="882"/>
        <item m="1" x="127"/>
        <item m="1" x="105"/>
        <item m="1" x="24"/>
        <item m="1" x="44"/>
        <item m="1" x="257"/>
        <item m="1" x="292"/>
        <item m="1" x="478"/>
        <item m="1" x="329"/>
        <item m="1" x="388"/>
        <item m="1" x="513"/>
        <item m="1" x="591"/>
        <item m="1" x="613"/>
        <item m="1" x="676"/>
        <item m="1" x="904"/>
        <item m="1" x="1178"/>
        <item m="1" x="1036"/>
        <item m="1" x="945"/>
        <item m="1" x="961"/>
        <item m="1" x="982"/>
        <item m="1" x="1097"/>
        <item m="1" x="1252"/>
        <item m="1" x="83"/>
        <item m="1" x="103"/>
        <item m="1" x="235"/>
        <item m="1" x="211"/>
        <item m="1" x="149"/>
        <item m="1" x="191"/>
        <item m="1" x="291"/>
        <item m="1" x="843"/>
        <item m="1" x="152"/>
        <item m="1" x="64"/>
        <item m="1" x="405"/>
        <item m="1" x="421"/>
        <item m="1" x="271"/>
        <item m="1" x="534"/>
        <item m="1" x="949"/>
        <item m="1" x="1039"/>
        <item m="1" x="753"/>
        <item m="1" x="1269"/>
        <item m="1" x="612"/>
        <item m="1" x="1285"/>
        <item m="1" x="762"/>
        <item m="1" x="15"/>
        <item m="1" x="944"/>
        <item m="1" x="1001"/>
        <item m="1" x="981"/>
        <item m="1" x="900"/>
        <item m="1" x="218"/>
        <item m="1" x="641"/>
        <item m="1" x="1175"/>
        <item m="1" x="1234"/>
        <item m="1" x="63"/>
        <item m="1" x="290"/>
        <item m="1" x="310"/>
        <item m="1" x="148"/>
        <item m="1" x="385"/>
        <item m="1" x="611"/>
        <item m="1" x="572"/>
        <item m="1" x="493"/>
        <item m="1" x="636"/>
        <item m="1" x="715"/>
        <item m="1" x="739"/>
        <item m="1" x="1000"/>
        <item m="1" x="760"/>
        <item m="1" x="1077"/>
        <item m="1" x="1096"/>
        <item m="1" x="1233"/>
        <item m="1" x="1193"/>
        <item m="1" x="1214"/>
        <item m="1" x="1282"/>
        <item m="1" x="102"/>
        <item m="1" x="144"/>
        <item m="1" x="147"/>
        <item m="1" x="368"/>
        <item m="1" x="209"/>
        <item m="1" x="571"/>
        <item m="1" x="533"/>
        <item m="1" x="1054"/>
        <item m="1" x="234"/>
        <item m="1" x="253"/>
        <item m="1" x="635"/>
        <item m="1" x="328"/>
        <item m="1" x="738"/>
        <item m="1" x="759"/>
        <item m="1" x="778"/>
        <item m="1" x="610"/>
        <item m="1" x="796"/>
        <item m="1" x="656"/>
        <item m="1" x="814"/>
        <item m="1" x="1117"/>
        <item m="1" x="1140"/>
        <item m="1" x="170"/>
        <item m="1" x="123"/>
        <item m="1" x="920"/>
        <item m="1" x="657"/>
        <item m="1" x="675"/>
        <item m="1" x="145"/>
        <item m="1" x="233"/>
        <item m="1" x="861"/>
        <item m="1" x="402"/>
        <item m="1" x="169"/>
        <item m="1" x="473"/>
        <item m="1" x="309"/>
        <item m="1" x="349"/>
        <item m="1" x="552"/>
        <item m="1" x="570"/>
        <item m="1" x="531"/>
        <item m="1" x="588"/>
        <item m="1" x="634"/>
        <item m="1" x="714"/>
        <item m="1" x="655"/>
        <item m="1" x="672"/>
        <item m="1" x="695"/>
        <item m="1" x="511"/>
        <item m="1" x="288"/>
        <item m="1" x="795"/>
        <item m="1" x="918"/>
        <item m="1" x="901"/>
        <item m="1" x="1075"/>
        <item m="1" x="979"/>
        <item m="1" x="998"/>
        <item m="1" x="1018"/>
        <item m="1" x="1053"/>
        <item m="1" x="1035"/>
        <item m="1" x="40"/>
        <item m="1" x="308"/>
        <item m="1" x="208"/>
        <item m="1" x="347"/>
        <item m="1" x="367"/>
        <item m="1" x="384"/>
        <item m="1" x="401"/>
        <item m="1" x="168"/>
        <item m="1" x="568"/>
        <item m="1" x="1073"/>
        <item m="1" x="419"/>
        <item m="1" x="1093"/>
        <item m="1" x="454"/>
        <item m="1" x="1116"/>
        <item m="1" x="1138"/>
        <item m="1" x="491"/>
        <item m="1" x="1158"/>
        <item m="1" x="566"/>
        <item m="1" x="917"/>
        <item m="1" x="941"/>
        <item m="1" x="1192"/>
        <item m="1" x="1232"/>
        <item m="1" x="1266"/>
        <item m="1" x="606"/>
        <item m="1" x="609"/>
        <item m="1" x="39"/>
        <item m="1" x="99"/>
        <item m="1" x="189"/>
        <item m="1" x="251"/>
        <item m="1" x="898"/>
        <item m="1" x="268"/>
        <item m="1" x="916"/>
        <item m="1" x="286"/>
        <item m="1" x="940"/>
        <item m="1" x="383"/>
        <item m="1" x="858"/>
        <item m="1" x="452"/>
        <item m="1" x="1171"/>
        <item m="1" x="645"/>
        <item m="1" x="1210"/>
        <item m="1" x="387"/>
        <item m="1" x="98"/>
        <item m="1" x="774"/>
        <item m="1" x="477"/>
        <item m="1" x="1213"/>
        <item m="1" x="1124"/>
        <item m="1" x="490"/>
        <item m="1" x="793"/>
        <item m="1" x="143"/>
        <item m="1" x="165"/>
        <item m="1" x="274"/>
        <item m="1" x="188"/>
        <item m="1" x="802"/>
        <item m="1" x="326"/>
        <item m="1" x="249"/>
        <item m="1" x="1050"/>
        <item m="1" x="995"/>
        <item m="1" x="345"/>
        <item m="1" x="507"/>
        <item m="1" x="1072"/>
        <item m="1" x="565"/>
        <item m="1" x="1229"/>
        <item m="1" x="594"/>
        <item m="1" x="59"/>
        <item m="1" x="692"/>
        <item m="1" x="700"/>
        <item m="1" x="934"/>
        <item m="1" x="922"/>
        <item m="1" x="164"/>
        <item m="1" x="119"/>
        <item m="1" x="812"/>
        <item m="1" x="896"/>
        <item m="1" x="285"/>
        <item m="1" x="355"/>
        <item m="1" x="957"/>
        <item m="1" x="217"/>
        <item m="1" x="1225"/>
        <item m="1" x="416"/>
        <item m="1" x="994"/>
        <item m="1" x="1111"/>
        <item m="1" x="470"/>
        <item m="1" x="363"/>
        <item m="1" x="1048"/>
        <item m="1" x="755"/>
        <item m="1" x="1231"/>
        <item m="1" x="449"/>
        <item m="1" x="831"/>
        <item m="1" x="528"/>
        <item m="1" x="1188"/>
        <item m="1" x="1280"/>
        <item m="1" x="18"/>
        <item m="1" x="690"/>
        <item m="1" x="36"/>
        <item m="1" x="751"/>
        <item m="1" x="117"/>
        <item m="1" x="430"/>
        <item m="1" x="506"/>
        <item m="1" x="228"/>
        <item m="1" x="830"/>
        <item m="1" x="873"/>
        <item m="1" x="205"/>
        <item m="1" x="854"/>
        <item m="1" x="140"/>
        <item m="1" x="881"/>
        <item m="1" x="1059"/>
        <item m="1" x="362"/>
        <item m="1" x="587"/>
        <item m="1" x="674"/>
        <item m="1" x="761"/>
        <item m="1" x="379"/>
        <item m="1" x="1207"/>
        <item m="1" x="583"/>
        <item m="1" x="1245"/>
        <item m="1" x="628"/>
        <item m="1" x="688"/>
        <item m="1" x="55"/>
        <item m="1" x="651"/>
        <item m="1" x="772"/>
        <item m="1" x="791"/>
        <item m="1" x="265"/>
        <item m="1" x="227"/>
        <item m="1" x="360"/>
        <item m="1" x="992"/>
        <item m="1" x="1012"/>
        <item m="1" x="185"/>
        <item m="1" x="1089"/>
        <item m="1" x="1068"/>
        <item m="1" x="467"/>
        <item m="1" x="1168"/>
        <item m="1" x="447"/>
        <item m="1" x="504"/>
        <item m="1" x="524"/>
        <item m="1" x="203"/>
        <item m="1" x="852"/>
        <item m="1" x="1263"/>
        <item m="1" x="626"/>
        <item m="1" x="927"/>
        <item m="1" x="907"/>
        <item m="1" x="883"/>
        <item m="1" x="816"/>
        <item m="1" x="797"/>
        <item m="1" x="776"/>
        <item m="1" x="33"/>
        <item m="1" x="706"/>
        <item m="1" x="730"/>
        <item m="1" x="54"/>
        <item m="1" x="850"/>
        <item m="1" x="825"/>
        <item m="1" x="809"/>
        <item m="1" x="246"/>
        <item m="1" x="913"/>
        <item m="1" x="139"/>
        <item m="1" x="937"/>
        <item m="1" x="851"/>
        <item m="1" x="396"/>
        <item m="1" x="1088"/>
        <item m="1" x="1132"/>
        <item m="1" x="1027"/>
        <item m="1" x="160"/>
        <item m="1" x="1184"/>
        <item m="1" x="1204"/>
        <item m="1" x="562"/>
        <item m="1" x="1244"/>
        <item m="1" x="625"/>
        <item m="1" x="1277"/>
        <item m="1" x="649"/>
        <item m="1" x="665"/>
        <item m="1" x="31"/>
        <item m="1" x="52"/>
        <item m="1" x="729"/>
        <item m="1" x="748"/>
        <item m="1" x="92"/>
        <item m="1" x="771"/>
        <item m="1" x="113"/>
        <item m="1" x="137"/>
        <item m="1" x="788"/>
        <item m="1" x="225"/>
        <item m="1" x="936"/>
        <item m="1" x="302"/>
        <item m="1" x="953"/>
        <item m="1" x="1009"/>
        <item m="1" x="375"/>
        <item m="1" x="395"/>
        <item m="1" x="1026"/>
        <item m="1" x="1043"/>
        <item m="1" x="412"/>
        <item m="1" x="444"/>
        <item m="1" x="1107"/>
        <item m="1" x="542"/>
        <item m="1" x="215"/>
        <item m="1" x="526"/>
        <item m="1" x="560"/>
        <item m="1" x="1226"/>
        <item m="1" x="600"/>
        <item m="1" x="624"/>
        <item m="1" x="1150"/>
        <item m="1" x="12"/>
        <item m="1" x="51"/>
        <item m="1" x="74"/>
        <item m="1" x="704"/>
        <item m="1" x="91"/>
        <item m="1" x="769"/>
        <item m="1" x="808"/>
        <item m="1" x="199"/>
        <item m="1" x="181"/>
        <item m="1" x="280"/>
        <item m="1" x="320"/>
        <item m="1" x="541"/>
        <item m="1" x="1065"/>
        <item m="1" x="411"/>
        <item m="1" x="442"/>
        <item m="1" x="429"/>
        <item m="1" x="484"/>
        <item m="1" x="1130"/>
        <item m="1" x="1106"/>
        <item m="1" x="465"/>
        <item m="1" x="1149"/>
        <item m="1" x="501"/>
        <item m="1" x="522"/>
        <item m="1" x="1165"/>
        <item m="1" x="394"/>
        <item m="1" x="1241"/>
        <item m="1" x="371"/>
        <item m="1" x="443"/>
        <item m="1" x="599"/>
        <item m="1" x="647"/>
        <item m="1" x="623"/>
        <item m="1" x="683"/>
        <item m="1" x="703"/>
        <item m="1" x="72"/>
        <item m="1" x="28"/>
        <item m="1" x="726"/>
        <item m="1" x="10"/>
        <item m="1" x="50"/>
        <item m="1" x="111"/>
        <item m="1" x="746"/>
        <item m="1" x="90"/>
        <item m="1" x="136"/>
        <item m="1" x="768"/>
        <item m="1" x="157"/>
        <item m="1" x="180"/>
        <item m="1" x="806"/>
        <item m="1" x="243"/>
        <item m="1" x="823"/>
        <item m="1" x="197"/>
        <item m="1" x="847"/>
        <item m="1" x="224"/>
        <item m="1" x="870"/>
        <item m="1" x="932"/>
        <item m="1" x="952"/>
        <item m="1" x="318"/>
        <item m="1" x="1202"/>
        <item m="1" x="968"/>
        <item m="1" x="335"/>
        <item m="1" x="278"/>
        <item m="1" x="374"/>
        <item m="1" x="1025"/>
        <item m="1" x="1041"/>
        <item m="1" x="392"/>
        <item m="1" x="410"/>
        <item m="1" x="1064"/>
        <item m="1" x="427"/>
        <item m="1" x="1007"/>
        <item m="1" x="1128"/>
        <item m="1" x="483"/>
        <item m="1" x="463"/>
        <item m="1" x="1148"/>
        <item m="1" x="1105"/>
        <item m="1" x="1164"/>
        <item m="1" x="499"/>
        <item m="1" x="539"/>
        <item m="1" x="1183"/>
        <item m="1" x="559"/>
        <item m="1" x="521"/>
        <item m="1" x="1224"/>
        <item m="1" x="1240"/>
        <item m="1" x="598"/>
        <item m="1" x="1259"/>
        <item m="1" x="621"/>
        <item m="1" x="49"/>
        <item m="1" x="89"/>
        <item m="1" x="725"/>
        <item m="1" x="71"/>
        <item m="1" x="767"/>
        <item m="1" x="110"/>
        <item m="1" x="357"/>
        <item n="1637" m="1" x="644"/>
        <item m="1" x="9"/>
        <item m="1" x="662"/>
        <item m="1" x="403"/>
        <item m="1" x="155"/>
        <item m="1" x="805"/>
        <item m="1" x="179"/>
        <item m="1" x="682"/>
        <item m="1" x="135"/>
        <item m="1" x="744"/>
        <item m="1" x="223"/>
        <item m="1" x="846"/>
        <item m="1" x="821"/>
        <item m="1" x="196"/>
        <item m="1" x="242"/>
        <item m="1" x="27"/>
        <item m="1" x="868"/>
        <item m="1" x="261"/>
        <item m="1" x="787"/>
        <item m="1" x="890"/>
        <item m="1" x="1045"/>
        <item m="1" x="277"/>
        <item m="1" x="911"/>
        <item m="1" x="1201"/>
        <item m="1" x="931"/>
        <item m="1" x="299"/>
        <item m="1" x="987"/>
        <item m="1" x="316"/>
        <item m="1" x="967"/>
        <item m="1" x="334"/>
        <item m="1" x="950"/>
        <item m="1" x="985"/>
        <item m="1" x="356"/>
        <item m="1" x="1030"/>
        <item m="1" x="42"/>
        <item m="1" x="1006"/>
        <item m="1" x="373"/>
        <item m="1" x="1023"/>
        <item m="1" x="785"/>
        <item m="1" x="1273"/>
        <item m="1" x="482"/>
        <item m="1" x="1146"/>
        <item m="1" x="498"/>
        <item m="1" x="1163"/>
        <item m="1" x="441"/>
        <item m="1" x="520"/>
        <item m="1" x="538"/>
        <item m="1" x="391"/>
        <item m="1" x="1200"/>
        <item m="1" x="1062"/>
        <item m="1" x="1084"/>
        <item m="1" x="579"/>
        <item m="1" x="558"/>
        <item m="1" x="1239"/>
        <item m="1" x="597"/>
        <item m="1" x="1258"/>
        <item m="1" x="461"/>
        <item m="1" x="1127"/>
        <item m="1" x="1103"/>
        <item m="1" x="1085"/>
        <item m="1" x="311"/>
        <item m="1" x="718"/>
        <item m="1" x="426"/>
        <item m="1" x="212"/>
        <item m="1" x="1040"/>
        <item m="1" x="681"/>
        <item m="1" x="47"/>
        <item m="1" x="701"/>
        <item m="1" x="70"/>
        <item m="1" x="724"/>
        <item m="1" x="643"/>
        <item m="1" x="7"/>
        <item m="1" x="661"/>
        <item m="1" x="26"/>
        <item m="1" x="743"/>
        <item m="1" x="87"/>
        <item m="1" x="109"/>
        <item m="1" x="879"/>
        <item m="1" x="784"/>
        <item m="1" x="619"/>
        <item m="1" x="1222"/>
        <item m="1" x="766"/>
        <item m="1" x="154"/>
        <item m="1" x="804"/>
        <item m="1" x="133"/>
        <item m="1" x="820"/>
        <item m="1" x="177"/>
        <item m="1" x="195"/>
        <item m="1" x="845"/>
        <item m="1" x="221"/>
        <item m="1" x="889"/>
        <item m="1" x="259"/>
        <item m="1" x="276"/>
        <item m="1" x="867"/>
        <item m="1" x="241"/>
        <item m="1" x="161"/>
        <item m="1" x="515"/>
        <item m="1" x="1115"/>
        <item m="1" x="930"/>
        <item m="1" x="297"/>
        <item m="1" x="608"/>
        <item m="1" x="696"/>
        <item m="1" x="780"/>
        <item m="1" x="864"/>
        <item m="1" x="948"/>
        <item m="1" x="1086"/>
        <item m="1" x="965"/>
        <item m="1" x="315"/>
        <item m="1" x="300"/>
        <item m="1" x="910"/>
        <item m="1" x="172"/>
        <item m="1" x="408"/>
        <item m="1" x="1005"/>
        <item m="1" x="1022"/>
        <item m="1" x="425"/>
        <item m="1" x="1038"/>
        <item m="1" x="1061"/>
        <item m="1" x="1083"/>
        <item m="1" x="1101"/>
        <item m="1" x="460"/>
        <item m="1" x="1126"/>
        <item m="1" x="984"/>
        <item m="1" x="756"/>
        <item m="1" x="100"/>
        <item m="1" x="78"/>
        <item m="1" x="56"/>
        <item m="1" x="734"/>
        <item m="1" x="709"/>
        <item m="1" x="216"/>
        <item m="1" x="1002"/>
        <item m="1" x="1271"/>
        <item m="1" x="664"/>
        <item m="1" x="595"/>
        <item m="1" x="1237"/>
        <item m="1" x="258"/>
        <item m="1" x="556"/>
        <item m="1" x="1227"/>
        <item m="1" x="576"/>
        <item m="1" x="35"/>
        <item m="1" x="884"/>
        <item m="1" x="908"/>
        <item m="1" x="1218"/>
        <item m="1" x="865"/>
        <item m="1" x="1177"/>
        <item m="1" x="213"/>
        <item m="1" x="512"/>
        <item m="1" x="839"/>
        <item m="1" x="494"/>
        <item m="1" x="535"/>
        <item m="1" x="1141"/>
        <item m="1" x="474"/>
        <item m="1" x="1118"/>
        <item m="1" x="777"/>
        <item m="1" x="1094"/>
        <item n="0600" m="1" x="437"/>
        <item m="1" x="757"/>
        <item m="1" x="1211"/>
        <item m="1" x="899"/>
        <item m="1" x="101"/>
        <item m="1" x="1074"/>
        <item m="1" x="250"/>
        <item m="1" x="11"/>
        <item m="1" x="58"/>
        <item m="1" x="710"/>
        <item m="1" x="1189"/>
        <item m="1" x="229"/>
        <item m="1" x="1255"/>
        <item m="1" x="527"/>
        <item m="1" x="689"/>
        <item m="1" x="736"/>
        <item m="1" x="969"/>
        <item m="1" x="978"/>
        <item m="1" x="1212"/>
        <item m="1" x="81"/>
        <item m="1" x="122"/>
        <item m="1" x="252"/>
        <item m="1" x="716"/>
        <item m="1" x="614"/>
        <item m="1" x="343"/>
        <item m="1" x="532"/>
        <item m="1" x="509"/>
        <item m="1" x="721"/>
        <item m="1" x="472"/>
        <item m="1" x="23"/>
        <item m="1" x="586"/>
        <item m="1" x="754"/>
        <item m="1" x="549"/>
        <item m="1" x="126"/>
        <item m="1" x="833"/>
        <item m="1" x="876"/>
        <item m="1" x="915"/>
        <item m="1" x="794"/>
        <item m="1" x="1156"/>
        <item m="1" x="236"/>
        <item m="1" x="1191"/>
        <item m="1" x="1265"/>
        <item m="1" x="20"/>
        <item m="1" x="737"/>
        <item m="1" x="60"/>
        <item m="1" x="564"/>
        <item m="1" x="529"/>
        <item m="1" x="717"/>
        <item m="1" x="1135"/>
        <item m="1" x="76"/>
        <item m="1" x="1170"/>
        <item m="1" x="1215"/>
        <item m="1" x="108"/>
        <item m="1" x="283"/>
        <item m="1" x="361"/>
        <item m="1" x="505"/>
        <item m="1" x="627"/>
        <item m="1" x="829"/>
        <item m="1" x="582"/>
        <item m="1" x="872"/>
        <item m="1" x="1185"/>
        <item m="1" x="53"/>
        <item m="1" x="93"/>
        <item m="1" x="376"/>
        <item m="1" x="1176"/>
        <item m="1" x="601"/>
        <item m="1" x="728"/>
        <item m="1" x="971"/>
        <item m="1" x="1008"/>
        <item m="1" x="891"/>
        <item m="1" x="1042"/>
        <item m="1" x="770"/>
        <item m="1" x="319"/>
        <item m="1" x="244"/>
        <item m="1" x="1166"/>
        <item m="1" x="358"/>
        <item m="1" x="1131"/>
        <item m="1" x="745"/>
        <item m="1" x="1017"/>
        <item m="1" x="824"/>
        <item m="1" x="118"/>
        <item m="1" x="279"/>
        <item m="1" x="786"/>
        <item m="1" x="622"/>
        <item m="1" x="1104"/>
        <item m="1" x="607"/>
        <item m="1" x="8"/>
        <item m="1" x="134"/>
        <item m="1" x="178"/>
        <item m="1" x="222"/>
        <item m="1" x="260"/>
        <item m="1" x="409"/>
        <item m="1" x="333"/>
        <item m="1" x="519"/>
        <item m="1" x="642"/>
        <item m="1" x="596"/>
        <item m="1" x="680"/>
        <item m="1" x="481"/>
        <item m="1" x="453"/>
        <item m="1" x="176"/>
        <item m="1" x="1162"/>
        <item m="1" x="1238"/>
        <item x="4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31">
        <item m="1" x="1002"/>
        <item m="1" x="242"/>
        <item m="1" x="1017"/>
        <item m="1" x="262"/>
        <item m="1" x="601"/>
        <item m="1" x="437"/>
        <item m="1" x="1337"/>
        <item m="1" x="1026"/>
        <item m="1" x="1163"/>
        <item m="1" x="1530"/>
        <item m="1" x="995"/>
        <item m="1" x="824"/>
        <item m="1" x="583"/>
        <item m="1" x="1338"/>
        <item m="1" x="1527"/>
        <item m="1" x="821"/>
        <item m="1" x="1330"/>
        <item m="1" x="832"/>
        <item m="1" x="1526"/>
        <item m="1" x="268"/>
        <item m="1" x="872"/>
        <item m="1" x="1156"/>
        <item m="1" x="425"/>
        <item m="1" x="1161"/>
        <item m="1" x="244"/>
        <item m="1" x="438"/>
        <item m="1" x="1184"/>
        <item m="1" x="1528"/>
        <item m="1" x="594"/>
        <item m="1" x="367"/>
        <item m="1" x="1176"/>
        <item m="1" x="846"/>
        <item m="1" x="1189"/>
        <item m="1" x="833"/>
        <item m="1" x="91"/>
        <item m="1" x="461"/>
        <item m="1" x="123"/>
        <item m="1" x="497"/>
        <item m="1" x="439"/>
        <item m="1" x="1339"/>
        <item m="1" x="834"/>
        <item m="1" x="98"/>
        <item m="1" x="852"/>
        <item m="1" x="92"/>
        <item m="1" x="646"/>
        <item m="1" x="1233"/>
        <item m="1" x="1204"/>
        <item m="1" x="1223"/>
        <item m="1" x="310"/>
        <item m="1" x="660"/>
        <item m="1" x="1052"/>
        <item m="1" x="1206"/>
        <item m="1" x="1376"/>
        <item m="1" x="93"/>
        <item m="1" x="287"/>
        <item m="1" x="896"/>
        <item m="1" x="1069"/>
        <item m="1" x="1234"/>
        <item m="1" x="142"/>
        <item m="1" x="905"/>
        <item m="1" x="527"/>
        <item m="1" x="99"/>
        <item m="1" x="1226"/>
        <item m="1" x="312"/>
        <item m="1" x="647"/>
        <item m="1" x="873"/>
        <item m="1" x="337"/>
        <item m="1" x="1388"/>
        <item m="1" x="1235"/>
        <item m="1" x="662"/>
        <item m="1" x="1249"/>
        <item m="1" x="505"/>
        <item m="1" x="912"/>
        <item m="1" x="140"/>
        <item m="1" x="720"/>
        <item m="1" x="343"/>
        <item m="1" x="317"/>
        <item m="1" x="1207"/>
        <item m="1" x="897"/>
        <item m="1" x="907"/>
        <item m="1" x="1251"/>
        <item m="1" x="922"/>
        <item m="1" x="176"/>
        <item m="1" x="539"/>
        <item m="1" x="934"/>
        <item m="1" x="1436"/>
        <item m="1" x="359"/>
        <item m="1" x="338"/>
        <item m="1" x="1070"/>
        <item m="1" x="507"/>
        <item m="1" x="908"/>
        <item m="1" x="125"/>
        <item m="1" x="315"/>
        <item m="1" x="665"/>
        <item m="1" x="913"/>
        <item m="1" x="1091"/>
        <item m="1" x="1252"/>
        <item m="1" x="1277"/>
        <item m="1" x="1227"/>
        <item m="1" x="1255"/>
        <item m="1" x="166"/>
        <item m="1" x="1240"/>
        <item m="1" x="1098"/>
        <item m="1" x="725"/>
        <item m="1" x="925"/>
        <item m="1" x="936"/>
        <item m="1" x="1121"/>
        <item m="1" x="1440"/>
        <item m="1" x="179"/>
        <item m="1" x="532"/>
        <item m="1" x="709"/>
        <item m="1" x="916"/>
        <item m="1" x="1096"/>
        <item m="1" x="1280"/>
        <item m="1" x="1449"/>
        <item m="1" x="544"/>
        <item m="1" x="1050"/>
        <item m="1" x="308"/>
        <item m="1" x="1066"/>
        <item m="1" x="615"/>
        <item m="1" x="1193"/>
        <item m="1" x="478"/>
        <item m="1" x="867"/>
        <item m="1" x="1374"/>
        <item m="1" x="333"/>
        <item m="1" x="493"/>
        <item m="1" x="679"/>
        <item m="1" x="1216"/>
        <item m="1" x="307"/>
        <item m="1" x="502"/>
        <item m="1" x="692"/>
        <item m="1" x="902"/>
        <item m="1" x="977"/>
        <item m="1" x="213"/>
        <item m="1" x="1127"/>
        <item m="1" x="721"/>
        <item m="1" x="548"/>
        <item m="1" x="201"/>
        <item m="1" x="1446"/>
        <item m="1" x="1454"/>
        <item m="1" x="1465"/>
        <item m="1" x="233"/>
        <item m="1" x="391"/>
        <item x="42"/>
        <item m="1" x="1486"/>
        <item m="1" x="232"/>
        <item m="1" x="1005"/>
        <item m="1" x="1291"/>
        <item m="1" x="1317"/>
        <item m="1" x="400"/>
        <item m="1" x="1487"/>
        <item m="1" x="1150"/>
        <item m="1" x="767"/>
        <item m="1" x="234"/>
        <item m="1" x="578"/>
        <item m="1" x="1146"/>
        <item m="1" x="1334"/>
        <item m="1" x="249"/>
        <item m="1" x="564"/>
        <item m="1" x="968"/>
        <item m="1" x="580"/>
        <item m="1" x="1159"/>
        <item m="1" x="783"/>
        <item m="1" x="1348"/>
        <item m="1" x="606"/>
        <item m="1" x="868"/>
        <item m="1" x="1364"/>
        <item m="1" x="948"/>
        <item m="1" x="1275"/>
        <item m="1" x="368"/>
        <item m="1" x="911"/>
        <item m="1" x="492"/>
        <item m="1" x="462"/>
        <item m="1" x="1194"/>
        <item m="1" x="74"/>
        <item m="1" x="613"/>
        <item m="1" x="695"/>
        <item m="1" x="474"/>
        <item m="1" x="1453"/>
        <item m="1" x="741"/>
        <item m="1" x="944"/>
        <item m="1" x="1257"/>
        <item m="1" x="691"/>
        <item m="1" x="173"/>
        <item m="1" x="910"/>
        <item m="1" x="366"/>
        <item m="1" x="955"/>
        <item m="1" x="728"/>
        <item m="1" x="951"/>
        <item m="1" x="1463"/>
        <item m="1" x="1116"/>
        <item m="1" x="717"/>
        <item m="1" x="378"/>
        <item m="1" x="1425"/>
        <item m="1" x="1228"/>
        <item m="1" x="471"/>
        <item m="1" x="878"/>
        <item m="1" x="1197"/>
        <item m="1" x="773"/>
        <item m="1" x="560"/>
        <item m="1" x="755"/>
        <item m="1" x="1152"/>
        <item m="1" x="1499"/>
        <item m="1" x="392"/>
        <item m="1" x="1293"/>
        <item m="1" x="789"/>
        <item m="1" x="1321"/>
        <item m="1" x="222"/>
        <item m="1" x="1000"/>
        <item m="1" x="238"/>
        <item m="1" x="1174"/>
        <item m="1" x="256"/>
        <item m="1" x="988"/>
        <item m="1" x="1472"/>
        <item m="1" x="1306"/>
        <item m="1" x="978"/>
        <item m="1" x="592"/>
        <item m="1" x="806"/>
        <item m="1" x="1322"/>
        <item m="1" x="1390"/>
        <item m="1" x="1272"/>
        <item m="1" x="361"/>
        <item x="25"/>
        <item m="1" x="1274"/>
        <item m="1" x="549"/>
        <item x="26"/>
        <item m="1" x="1466"/>
        <item m="1" x="1450"/>
        <item m="1" x="550"/>
        <item m="1" x="762"/>
        <item m="1" x="313"/>
        <item m="1" x="534"/>
        <item m="1" x="749"/>
        <item m="1" x="1457"/>
        <item m="1" x="1445"/>
        <item m="1" x="727"/>
        <item m="1" x="170"/>
        <item m="1" x="941"/>
        <item m="1" x="180"/>
        <item m="1" x="1133"/>
        <item m="1" x="756"/>
        <item m="1" x="734"/>
        <item m="1" x="892"/>
        <item m="1" x="1062"/>
        <item m="1" x="1385"/>
        <item m="1" x="306"/>
        <item m="1" x="1399"/>
        <item m="1" x="1230"/>
        <item m="1" x="523"/>
        <item m="1" x="490"/>
        <item m="1" x="494"/>
        <item m="1" x="1217"/>
        <item m="1" x="167"/>
        <item m="1" x="1424"/>
        <item m="1" x="168"/>
        <item m="1" x="134"/>
        <item m="1" x="640"/>
        <item x="62"/>
        <item m="1" x="1212"/>
        <item m="1" x="1229"/>
        <item m="1" x="322"/>
        <item m="1" x="341"/>
        <item m="1" x="1086"/>
        <item m="1" x="880"/>
        <item m="1" x="1396"/>
        <item m="1" x="472"/>
        <item m="1" x="1407"/>
        <item m="1" x="487"/>
        <item m="1" x="210"/>
        <item m="1" x="570"/>
        <item m="1" x="957"/>
        <item x="9"/>
        <item m="1" x="780"/>
        <item m="1" x="1145"/>
        <item m="1" x="1301"/>
        <item m="1" x="364"/>
        <item m="1" x="1414"/>
        <item m="1" x="520"/>
        <item m="1" x="1458"/>
        <item m="1" x="561"/>
        <item m="1" x="351"/>
        <item m="1" x="154"/>
        <item x="40"/>
        <item m="1" x="169"/>
        <item x="3"/>
        <item m="1" x="1142"/>
        <item m="1" x="1015"/>
        <item m="1" x="1336"/>
        <item m="1" x="470"/>
        <item m="1" x="149"/>
        <item m="1" x="1392"/>
        <item m="1" x="165"/>
        <item m="1" x="516"/>
        <item m="1" x="398"/>
        <item m="1" x="231"/>
        <item m="1" x="263"/>
        <item m="1" x="616"/>
        <item m="1" x="1210"/>
        <item m="1" x="295"/>
        <item m="1" x="633"/>
        <item m="1" x="1027"/>
        <item m="1" x="914"/>
        <item m="1" x="1262"/>
        <item m="1" x="355"/>
        <item m="1" x="1089"/>
        <item m="1" x="182"/>
        <item m="1" x="716"/>
        <item m="1" x="1099"/>
        <item m="1" x="1417"/>
        <item m="1" x="929"/>
        <item m="1" x="1261"/>
        <item m="1" x="352"/>
        <item m="1" x="736"/>
        <item m="1" x="942"/>
        <item m="1" x="1123"/>
        <item m="1" x="596"/>
        <item m="1" x="1030"/>
        <item m="1" x="1439"/>
        <item m="1" x="1278"/>
        <item m="1" x="186"/>
        <item m="1" x="722"/>
        <item m="1" x="190"/>
        <item m="1" x="1120"/>
        <item m="1" x="362"/>
        <item m="1" x="682"/>
        <item m="1" x="517"/>
        <item m="1" x="363"/>
        <item m="1" x="612"/>
        <item m="1" x="1375"/>
        <item m="1" x="847"/>
        <item m="1" x="309"/>
        <item m="1" x="869"/>
        <item m="1" x="1365"/>
        <item m="1" x="657"/>
        <item m="1" x="1201"/>
        <item m="1" x="495"/>
        <item m="1" x="1218"/>
        <item m="1" x="1358"/>
        <item m="1" x="1020"/>
        <item m="1" x="1028"/>
        <item m="1" x="79"/>
        <item m="1" x="597"/>
        <item m="1" x="1006"/>
        <item m="1" x="266"/>
        <item m="1" x="861"/>
        <item m="1" x="1198"/>
        <item m="1" x="1186"/>
        <item m="1" x="1045"/>
        <item m="1" x="450"/>
        <item m="1" x="1044"/>
        <item m="1" x="888"/>
        <item m="1" x="684"/>
        <item m="1" x="1386"/>
        <item m="1" x="643"/>
        <item m="1" x="1038"/>
        <item m="1" x="1077"/>
        <item m="1" x="114"/>
        <item x="39"/>
        <item m="1" x="314"/>
        <item m="1" x="491"/>
        <item m="1" x="155"/>
        <item m="1" x="1075"/>
        <item m="1" x="524"/>
        <item m="1" x="1409"/>
        <item m="1" x="536"/>
        <item m="1" x="1418"/>
        <item m="1" x="1401"/>
        <item m="1" x="475"/>
        <item m="1" x="334"/>
        <item m="1" x="693"/>
        <item m="1" x="1411"/>
        <item m="1" x="1215"/>
        <item m="1" x="901"/>
        <item m="1" x="525"/>
        <item m="1" x="136"/>
        <item m="1" x="156"/>
        <item x="41"/>
        <item m="1" x="335"/>
        <item m="1" x="694"/>
        <item m="1" x="115"/>
        <item m="1" x="331"/>
        <item m="1" x="1410"/>
        <item m="1" x="568"/>
        <item m="1" x="1289"/>
        <item m="1" x="1294"/>
        <item m="1" x="1467"/>
        <item m="1" x="204"/>
        <item m="1" x="383"/>
        <item m="1" x="1379"/>
        <item m="1" x="1196"/>
        <item m="1" x="671"/>
        <item m="1" x="101"/>
        <item m="1" x="1073"/>
        <item m="1" x="666"/>
        <item m="1" x="1377"/>
        <item m="1" x="1391"/>
        <item m="1" x="698"/>
        <item m="1" x="1404"/>
        <item m="1" x="481"/>
        <item m="1" x="879"/>
        <item m="1" x="80"/>
        <item m="1" x="106"/>
        <item m="1" x="634"/>
        <item m="1" x="111"/>
        <item m="1" x="1041"/>
        <item m="1" x="320"/>
        <item m="1" x="1209"/>
        <item m="1" x="667"/>
        <item m="1" x="681"/>
        <item m="1" x="164"/>
        <item m="1" x="699"/>
        <item m="1" x="530"/>
        <item m="1" x="1095"/>
        <item m="1" x="1420"/>
        <item m="1" x="697"/>
        <item m="1" x="1268"/>
        <item m="1" x="1092"/>
        <item m="1" x="132"/>
        <item m="1" x="1055"/>
        <item m="1" x="498"/>
        <item m="1" x="110"/>
        <item m="1" x="909"/>
        <item m="1" x="129"/>
        <item m="1" x="1097"/>
        <item m="1" x="1101"/>
        <item m="1" x="500"/>
        <item m="1" x="1125"/>
        <item m="1" x="1100"/>
        <item m="1" x="931"/>
        <item m="1" x="1270"/>
        <item m="1" x="1284"/>
        <item m="1" x="546"/>
        <item m="1" x="1461"/>
        <item m="1" x="205"/>
        <item m="1" x="1283"/>
        <item m="1" x="1140"/>
        <item m="1" x="551"/>
        <item m="1" x="1102"/>
        <item m="1" x="729"/>
        <item m="1" x="365"/>
        <item m="1" x="1287"/>
        <item m="1" x="547"/>
        <item m="1" x="1464"/>
        <item m="1" x="1271"/>
        <item m="1" x="950"/>
        <item m="1" x="375"/>
        <item m="1" x="959"/>
        <item m="1" x="193"/>
        <item m="1" x="386"/>
        <item m="1" x="763"/>
        <item m="1" x="1242"/>
        <item m="1" x="135"/>
        <item m="1" x="889"/>
        <item m="1" x="1256"/>
        <item m="1" x="499"/>
        <item m="1" x="685"/>
        <item m="1" x="745"/>
        <item m="1" x="1488"/>
        <item m="1" x="389"/>
        <item x="12"/>
        <item m="1" x="340"/>
        <item m="1" x="683"/>
        <item m="1" x="1046"/>
        <item m="1" x="82"/>
        <item m="1" x="284"/>
        <item m="1" x="890"/>
        <item m="1" x="1383"/>
        <item m="1" x="1332"/>
        <item m="1" x="1494"/>
        <item m="1" x="1326"/>
        <item m="1" x="840"/>
        <item m="1" x="416"/>
        <item m="1" x="1361"/>
        <item m="1" x="826"/>
        <item m="1" x="285"/>
        <item m="1" x="1021"/>
        <item m="1" x="1181"/>
        <item m="1" x="1353"/>
        <item m="1" x="813"/>
        <item m="1" x="280"/>
        <item m="1" x="1521"/>
        <item m="1" x="1352"/>
        <item m="1" x="611"/>
        <item m="1" x="1519"/>
        <item m="1" x="1011"/>
        <item m="1" x="1185"/>
        <item m="1" x="294"/>
        <item m="1" x="332"/>
        <item m="1" x="1516"/>
        <item m="1" x="247"/>
        <item m="1" x="83"/>
        <item m="1" x="1342"/>
        <item m="1" x="860"/>
        <item m="1" x="71"/>
        <item m="1" x="433"/>
        <item m="1" x="1370"/>
        <item m="1" x="618"/>
        <item m="1" x="420"/>
        <item m="1" x="1504"/>
        <item m="1" x="399"/>
        <item m="1" x="1008"/>
        <item m="1" x="1517"/>
        <item m="1" x="588"/>
        <item m="1" x="1188"/>
        <item m="1" x="418"/>
        <item m="1" x="277"/>
        <item m="1" x="608"/>
        <item m="1" x="1333"/>
        <item m="1" x="841"/>
        <item m="1" x="64"/>
        <item m="1" x="417"/>
        <item m="1" x="639"/>
        <item m="1" x="1187"/>
        <item m="1" x="1384"/>
        <item m="1" x="1360"/>
        <item m="1" x="283"/>
        <item m="1" x="1211"/>
        <item m="1" x="451"/>
        <item m="1" x="859"/>
        <item m="1" x="828"/>
        <item m="1" x="1009"/>
        <item m="1" x="407"/>
        <item m="1" x="1022"/>
        <item m="1" x="419"/>
        <item m="1" x="1362"/>
        <item m="1" x="827"/>
        <item m="1" x="784"/>
        <item m="1" x="1315"/>
        <item m="1" x="1170"/>
        <item m="1" x="985"/>
        <item m="1" x="435"/>
        <item m="1" x="288"/>
        <item m="1" x="281"/>
        <item m="1" x="628"/>
        <item m="1" x="1195"/>
        <item m="1" x="1205"/>
        <item m="1" x="629"/>
        <item m="1" x="456"/>
        <item m="1" x="117"/>
        <item m="1" x="84"/>
        <item m="1" x="1387"/>
        <item m="1" x="454"/>
        <item m="1" x="850"/>
        <item m="1" x="851"/>
        <item m="1" x="1402"/>
        <item m="1" x="479"/>
        <item m="1" x="336"/>
        <item m="1" x="903"/>
        <item m="1" x="1245"/>
        <item m="1" x="1104"/>
        <item m="1" x="1263"/>
        <item m="1" x="680"/>
        <item m="1" x="894"/>
        <item m="1" x="506"/>
        <item m="1" x="1412"/>
        <item m="1" x="919"/>
        <item x="21"/>
        <item m="1" x="663"/>
        <item m="1" x="881"/>
        <item m="1" x="668"/>
        <item m="1" x="1053"/>
        <item m="1" x="1208"/>
        <item m="1" x="1378"/>
        <item m="1" x="100"/>
        <item m="1" x="754"/>
        <item m="1" x="221"/>
        <item m="1" x="406"/>
        <item m="1" x="1493"/>
        <item m="1" x="1158"/>
        <item m="1" x="1515"/>
        <item m="1" x="1340"/>
        <item m="1" x="810"/>
        <item m="1" x="1003"/>
        <item m="1" x="839"/>
        <item m="1" x="854"/>
        <item m="1" x="1001"/>
        <item m="1" x="845"/>
        <item m="1" x="866"/>
        <item m="1" x="1200"/>
        <item m="1" x="642"/>
        <item m="1" x="278"/>
        <item m="1" x="442"/>
        <item m="1" x="1231"/>
        <item m="1" x="654"/>
        <item x="8"/>
        <item x="7"/>
        <item x="29"/>
        <item m="1" x="1292"/>
        <item m="1" x="1319"/>
        <item m="1" x="969"/>
        <item m="1" x="1455"/>
        <item m="1" x="573"/>
        <item m="1" x="1295"/>
        <item m="1" x="979"/>
        <item m="1" x="1305"/>
        <item m="1" x="1151"/>
        <item m="1" x="1520"/>
        <item m="1" x="1320"/>
        <item m="1" x="999"/>
        <item m="1" x="1518"/>
        <item m="1" x="1023"/>
        <item m="1" x="1505"/>
        <item m="1" x="582"/>
        <item m="1" x="533"/>
        <item m="1" x="918"/>
        <item m="1" x="1413"/>
        <item m="1" x="1024"/>
        <item m="1" x="304"/>
        <item m="1" x="641"/>
        <item m="1" x="1363"/>
        <item m="1" x="1117"/>
        <item m="1" x="381"/>
        <item m="1" x="1288"/>
        <item m="1" x="768"/>
        <item m="1" x="216"/>
        <item m="1" x="731"/>
        <item m="1" x="742"/>
        <item m="1" x="540"/>
        <item m="1" x="1316"/>
        <item m="1" x="217"/>
        <item m="1" x="235"/>
        <item m="1" x="576"/>
        <item m="1" x="1299"/>
        <item m="1" x="1510"/>
        <item m="1" x="1147"/>
        <item m="1" x="602"/>
        <item m="1" x="403"/>
        <item m="1" x="1525"/>
        <item m="1" x="1354"/>
        <item m="1" x="1160"/>
        <item m="1" x="614"/>
        <item m="1" x="993"/>
        <item m="1" x="269"/>
        <item m="1" x="1329"/>
        <item m="1" x="1016"/>
        <item m="1" x="261"/>
        <item m="1" x="267"/>
        <item m="1" x="814"/>
        <item m="1" x="1179"/>
        <item m="1" x="1025"/>
        <item m="1" x="1039"/>
        <item m="1" x="658"/>
        <item m="1" x="1356"/>
        <item m="1" x="345"/>
        <item m="1" x="141"/>
        <item m="1" x="1437"/>
        <item m="1" x="468"/>
        <item m="1" x="316"/>
        <item m="1" x="528"/>
        <item m="1" x="1250"/>
        <item m="1" x="346"/>
        <item m="1" x="177"/>
        <item m="1" x="1247"/>
        <item m="1" x="1105"/>
        <item m="1" x="1419"/>
        <item m="1" x="906"/>
        <item m="1" x="1452"/>
        <item m="1" x="376"/>
        <item x="20"/>
        <item m="1" x="1485"/>
        <item m="1" x="958"/>
        <item m="1" x="751"/>
        <item m="1" x="644"/>
        <item m="1" x="1232"/>
        <item m="1" x="659"/>
        <item m="1" x="1049"/>
        <item m="1" x="893"/>
        <item m="1" x="1219"/>
        <item m="1" x="503"/>
        <item m="1" x="1400"/>
        <item m="1" x="473"/>
        <item m="1" x="1040"/>
        <item m="1" x="1366"/>
        <item m="1" x="75"/>
        <item m="1" x="664"/>
        <item m="1" x="1051"/>
        <item m="1" x="630"/>
        <item m="1" x="457"/>
        <item m="1" x="645"/>
        <item m="1" x="661"/>
        <item m="1" x="85"/>
        <item m="1" x="1220"/>
        <item m="1" x="108"/>
        <item m="1" x="696"/>
        <item m="1" x="476"/>
        <item m="1" x="139"/>
        <item m="1" x="1067"/>
        <item m="1" x="504"/>
        <item m="1" x="1078"/>
        <item m="1" x="357"/>
        <item m="1" x="138"/>
        <item m="1" x="920"/>
        <item m="1" x="86"/>
        <item m="1" x="895"/>
        <item m="1" x="458"/>
        <item m="1" x="1403"/>
        <item m="1" x="1221"/>
        <item m="1" x="116"/>
        <item m="1" x="477"/>
        <item m="1" x="1246"/>
        <item m="1" x="1264"/>
        <item m="1" x="1093"/>
        <item m="1" x="157"/>
        <item m="1" x="1080"/>
        <item m="1" x="241"/>
        <item m="1" x="593"/>
        <item m="1" x="815"/>
        <item m="1" x="1180"/>
        <item m="1" x="1157"/>
        <item m="1" x="397"/>
        <item m="1" x="808"/>
        <item m="1" x="413"/>
        <item x="6"/>
        <item m="1" x="1355"/>
        <item m="1" x="282"/>
        <item m="1" x="1190"/>
        <item m="1" x="1162"/>
        <item m="1" x="245"/>
        <item m="1" x="981"/>
        <item m="1" x="1307"/>
        <item m="1" x="1529"/>
        <item m="1" x="414"/>
        <item m="1" x="595"/>
        <item m="1" x="809"/>
        <item m="1" x="994"/>
        <item m="1" x="1155"/>
        <item m="1" x="1323"/>
        <item m="1" x="1503"/>
        <item m="1" x="230"/>
        <item m="1" x="424"/>
        <item m="1" x="603"/>
        <item m="1" x="822"/>
        <item m="1" x="421"/>
        <item m="1" x="844"/>
        <item x="14"/>
        <item m="1" x="921"/>
        <item m="1" x="1258"/>
        <item m="1" x="344"/>
        <item m="1" x="1266"/>
        <item m="1" x="1438"/>
        <item m="1" x="360"/>
        <item m="1" x="526"/>
        <item m="1" x="708"/>
        <item m="1" x="1090"/>
        <item m="1" x="1273"/>
        <item m="1" x="94"/>
        <item m="1" x="1389"/>
        <item m="1" x="311"/>
        <item m="1" x="871"/>
        <item m="1" x="1367"/>
        <item m="1" x="1068"/>
        <item m="1" x="870"/>
        <item m="1" x="1079"/>
        <item m="1" x="330"/>
        <item m="1" x="900"/>
        <item m="1" x="1124"/>
        <item m="1" x="928"/>
        <item m="1" x="191"/>
        <item m="1" x="373"/>
        <item m="1" x="1285"/>
        <item m="1" x="194"/>
        <item m="1" x="737"/>
        <item m="1" x="181"/>
        <item m="1" x="552"/>
        <item m="1" x="562"/>
        <item m="1" x="569"/>
        <item m="1" x="574"/>
        <item m="1" x="1300"/>
        <item m="1" x="750"/>
        <item m="1" x="932"/>
        <item m="1" x="171"/>
        <item x="1"/>
        <item m="1" x="1286"/>
        <item m="1" x="195"/>
        <item m="1" x="738"/>
        <item m="1" x="1269"/>
        <item m="1" x="1459"/>
        <item m="1" x="192"/>
        <item m="1" x="379"/>
        <item m="1" x="553"/>
        <item m="1" x="735"/>
        <item m="1" x="972"/>
        <item m="1" x="715"/>
        <item x="28"/>
        <item m="1" x="718"/>
        <item m="1" x="719"/>
        <item m="1" x="862"/>
        <item x="11"/>
        <item m="1" x="785"/>
        <item m="1" x="786"/>
        <item m="1" x="1081"/>
        <item m="1" x="1071"/>
        <item m="1" x="1072"/>
        <item m="1" x="1094"/>
        <item m="1" x="1118"/>
        <item m="1" x="1119"/>
        <item m="1" x="829"/>
        <item x="2"/>
        <item m="1" x="342"/>
        <item m="1" x="394"/>
        <item m="1" x="1114"/>
        <item m="1" x="1115"/>
        <item m="1" x="452"/>
        <item m="1" x="118"/>
        <item m="1" x="904"/>
        <item m="1" x="1135"/>
        <item m="1" x="1248"/>
        <item m="1" x="185"/>
        <item m="1" x="945"/>
        <item m="1" x="946"/>
        <item m="1" x="1047"/>
        <item m="1" x="323"/>
        <item m="1" x="652"/>
        <item m="1" x="347"/>
        <item m="1" x="712"/>
        <item m="1" x="760"/>
        <item m="1" x="1109"/>
        <item m="1" x="732"/>
        <item m="1" x="1063"/>
        <item m="1" x="395"/>
        <item x="45"/>
        <item m="1" x="455"/>
        <item m="1" x="1126"/>
        <item m="1" x="1136"/>
        <item m="1" x="1037"/>
        <item m="1" x="518"/>
        <item m="1" x="1192"/>
        <item m="1" x="825"/>
        <item m="1" x="855"/>
        <item m="1" x="702"/>
        <item m="1" x="1183"/>
        <item m="1" x="1241"/>
        <item m="1" x="635"/>
        <item m="1" x="856"/>
        <item m="1" x="519"/>
        <item m="1" x="270"/>
        <item m="1" x="271"/>
        <item m="1" x="636"/>
        <item m="1" x="637"/>
        <item m="1" x="448"/>
        <item m="1" x="449"/>
        <item m="1" x="857"/>
        <item m="1" x="1029"/>
        <item m="1" x="87"/>
        <item m="1" x="88"/>
        <item m="1" x="69"/>
        <item m="1" x="70"/>
        <item m="1" x="107"/>
        <item m="1" x="1381"/>
        <item m="1" x="1191"/>
        <item m="1" x="1056"/>
        <item m="1" x="858"/>
        <item m="1" x="102"/>
        <item m="1" x="1359"/>
        <item m="1" x="103"/>
        <item m="1" x="446"/>
        <item m="1" x="1054"/>
        <item m="1" x="126"/>
        <item m="1" x="1082"/>
        <item m="1" x="1222"/>
        <item m="1" x="1236"/>
        <item m="1" x="1422"/>
        <item m="1" x="509"/>
        <item m="1" x="1380"/>
        <item m="1" x="774"/>
        <item m="1" x="775"/>
        <item m="1" x="672"/>
        <item m="1" x="95"/>
        <item m="1" x="96"/>
        <item m="1" x="133"/>
        <item m="1" x="673"/>
        <item m="1" x="674"/>
        <item m="1" x="887"/>
        <item m="1" x="104"/>
        <item m="1" x="105"/>
        <item m="1" x="1406"/>
        <item m="1" x="466"/>
        <item m="1" x="318"/>
        <item m="1" x="130"/>
        <item m="1" x="669"/>
        <item m="1" x="670"/>
        <item m="1" x="131"/>
        <item m="1" x="319"/>
        <item m="1" x="885"/>
        <item m="1" x="886"/>
        <item m="1" x="127"/>
        <item m="1" x="1034"/>
        <item m="1" x="128"/>
        <item m="1" x="119"/>
        <item m="1" x="120"/>
        <item m="1" x="1035"/>
        <item m="1" x="121"/>
        <item m="1" x="1036"/>
        <item m="1" x="1405"/>
        <item m="1" x="853"/>
        <item m="1" x="514"/>
        <item m="1" x="515"/>
        <item m="1" x="1083"/>
        <item m="1" x="1423"/>
        <item m="1" x="510"/>
        <item m="1" x="511"/>
        <item m="1" x="512"/>
        <item m="1" x="513"/>
        <item m="1" x="923"/>
        <item m="1" x="924"/>
        <item m="1" x="97"/>
        <item m="1" x="1106"/>
        <item m="1" x="122"/>
        <item m="1" x="467"/>
        <item m="1" x="1224"/>
        <item m="1" x="1064"/>
        <item m="1" x="1065"/>
        <item m="1" x="124"/>
        <item m="1" x="1265"/>
        <item m="1" x="884"/>
        <item m="1" x="1076"/>
        <item m="1" x="1225"/>
        <item m="1" x="1058"/>
        <item m="1" x="1397"/>
        <item m="1" x="1031"/>
        <item m="1" x="1373"/>
        <item m="1" x="324"/>
        <item m="1" x="325"/>
        <item m="1" x="653"/>
        <item m="1" x="326"/>
        <item m="1" x="1012"/>
        <item m="1" x="1013"/>
        <item m="1" x="327"/>
        <item m="1" x="328"/>
        <item m="1" x="1048"/>
        <item m="1" x="1398"/>
        <item m="1" x="687"/>
        <item m="1" x="688"/>
        <item m="1" x="349"/>
        <item m="1" x="350"/>
        <item m="1" x="655"/>
        <item m="1" x="689"/>
        <item m="1" x="1032"/>
        <item m="1" x="1033"/>
        <item m="1" x="713"/>
        <item m="1" x="714"/>
        <item m="1" x="1088"/>
        <item m="1" x="1103"/>
        <item m="1" x="690"/>
        <item m="1" x="1113"/>
        <item m="1" x="656"/>
        <item m="1" x="989"/>
        <item m="1" x="1448"/>
        <item m="1" x="432"/>
        <item m="1" x="484"/>
        <item m="1" x="353"/>
        <item m="1" x="960"/>
        <item m="1" x="1141"/>
        <item x="38"/>
        <item m="1" x="555"/>
        <item m="1" x="556"/>
        <item m="1" x="557"/>
        <item m="1" x="740"/>
        <item m="1" x="765"/>
        <item m="1" x="792"/>
        <item m="1" x="380"/>
        <item m="1" x="764"/>
        <item m="1" x="1153"/>
        <item m="1" x="208"/>
        <item x="37"/>
        <item m="1" x="796"/>
        <item m="1" x="1309"/>
        <item x="33"/>
        <item m="1" x="793"/>
        <item m="1" x="983"/>
        <item m="1" x="1148"/>
        <item m="1" x="1149"/>
        <item m="1" x="1506"/>
        <item m="1" x="1507"/>
        <item m="1" x="246"/>
        <item x="51"/>
        <item m="1" x="1177"/>
        <item m="1" x="1178"/>
        <item m="1" x="396"/>
        <item x="36"/>
        <item x="4"/>
        <item x="44"/>
        <item m="1" x="1508"/>
        <item m="1" x="65"/>
        <item m="1" x="436"/>
        <item m="1" x="412"/>
        <item m="1" x="848"/>
        <item m="1" x="453"/>
        <item m="1" x="816"/>
        <item m="1" x="579"/>
        <item m="1" x="598"/>
        <item m="1" x="1343"/>
        <item m="1" x="599"/>
        <item m="1" x="250"/>
        <item m="1" x="251"/>
        <item m="1" x="623"/>
        <item m="1" x="1327"/>
        <item m="1" x="257"/>
        <item m="1" x="1349"/>
        <item m="1" x="1350"/>
        <item m="1" x="1351"/>
        <item m="1" x="624"/>
        <item m="1" x="223"/>
        <item m="1" x="1007"/>
        <item m="1" x="1371"/>
        <item m="1" x="1372"/>
        <item m="1" x="625"/>
        <item m="1" x="650"/>
        <item m="1" x="258"/>
        <item m="1" x="321"/>
        <item x="48"/>
        <item m="1" x="626"/>
        <item m="1" x="651"/>
        <item m="1" x="1395"/>
        <item m="1" x="1368"/>
        <item m="1" x="1369"/>
        <item m="1" x="619"/>
        <item m="1" x="620"/>
        <item m="1" x="648"/>
        <item m="1" x="1393"/>
        <item m="1" x="1394"/>
        <item m="1" x="272"/>
        <item m="1" x="273"/>
        <item m="1" x="224"/>
        <item m="1" x="1057"/>
        <item m="1" x="1084"/>
        <item m="1" x="1085"/>
        <item m="1" x="279"/>
        <item m="1" x="686"/>
        <item m="1" x="710"/>
        <item m="1" x="1107"/>
        <item m="1" x="1108"/>
        <item m="1" x="1415"/>
        <item m="1" x="348"/>
        <item m="1" x="711"/>
        <item m="1" x="1442"/>
        <item m="1" x="1443"/>
        <item m="1" x="733"/>
        <item m="1" x="369"/>
        <item m="1" x="1444"/>
        <item m="1" x="757"/>
        <item m="1" x="758"/>
        <item m="1" x="302"/>
        <item m="1" x="1144"/>
        <item m="1" x="214"/>
        <item m="1" x="276"/>
        <item m="1" x="303"/>
        <item m="1" x="196"/>
        <item m="1" x="197"/>
        <item m="1" x="382"/>
        <item m="1" x="801"/>
        <item x="43"/>
        <item m="1" x="198"/>
        <item m="1" x="199"/>
        <item m="1" x="1130"/>
        <item m="1" x="200"/>
        <item m="1" x="723"/>
        <item m="1" x="724"/>
        <item m="1" x="1279"/>
        <item x="34"/>
        <item m="1" x="187"/>
        <item m="1" x="1324"/>
        <item m="1" x="961"/>
        <item m="1" x="962"/>
        <item m="1" x="963"/>
        <item m="1" x="1128"/>
        <item m="1" x="1129"/>
        <item m="1" x="211"/>
        <item m="1" x="212"/>
        <item m="1" x="1468"/>
        <item x="49"/>
        <item m="1" x="743"/>
        <item x="32"/>
        <item m="1" x="575"/>
        <item m="1" x="1276"/>
        <item m="1" x="1447"/>
        <item m="1" x="984"/>
        <item m="1" x="559"/>
        <item m="1" x="947"/>
        <item m="1" x="772"/>
        <item x="47"/>
        <item m="1" x="218"/>
        <item m="1" x="252"/>
        <item m="1" x="253"/>
        <item m="1" x="254"/>
        <item x="0"/>
        <item m="1" x="215"/>
        <item m="1" x="296"/>
        <item m="1" x="1341"/>
        <item x="52"/>
        <item x="55"/>
        <item m="1" x="617"/>
        <item x="46"/>
        <item m="1" x="600"/>
        <item m="1" x="297"/>
        <item m="1" x="298"/>
        <item m="1" x="299"/>
        <item m="1" x="300"/>
        <item m="1" x="1004"/>
        <item m="1" x="1344"/>
        <item m="1" x="1345"/>
        <item m="1" x="301"/>
        <item x="35"/>
        <item m="1" x="649"/>
        <item m="1" x="387"/>
        <item m="1" x="1154"/>
        <item m="1" x="817"/>
        <item m="1" x="818"/>
        <item m="1" x="66"/>
        <item m="1" x="1492"/>
        <item m="1" x="404"/>
        <item m="1" x="1182"/>
        <item m="1" x="426"/>
        <item m="1" x="427"/>
        <item m="1" x="428"/>
        <item m="1" x="1511"/>
        <item m="1" x="1512"/>
        <item m="1" x="1513"/>
        <item m="1" x="89"/>
        <item m="1" x="459"/>
        <item m="1" x="384"/>
        <item m="1" x="744"/>
        <item m="1" x="949"/>
        <item m="1" x="1298"/>
        <item m="1" x="1484"/>
        <item m="1" x="964"/>
        <item m="1" x="1469"/>
        <item m="1" x="1470"/>
        <item m="1" x="1471"/>
        <item m="1" x="572"/>
        <item m="1" x="748"/>
        <item m="1" x="971"/>
        <item m="1" x="393"/>
        <item m="1" x="1296"/>
        <item m="1" x="225"/>
        <item m="1" x="226"/>
        <item m="1" x="1497"/>
        <item m="1" x="227"/>
        <item m="1" x="228"/>
        <item m="1" x="803"/>
        <item m="1" x="804"/>
        <item m="1" x="1297"/>
        <item m="1" x="229"/>
        <item m="1" x="770"/>
        <item m="1" x="771"/>
        <item m="1" x="410"/>
        <item m="1" x="591"/>
        <item m="1" x="986"/>
        <item m="1" x="990"/>
        <item m="1" x="991"/>
        <item m="1" x="1495"/>
        <item m="1" x="1496"/>
        <item m="1" x="219"/>
        <item m="1" x="987"/>
        <item m="1" x="970"/>
        <item m="1" x="1318"/>
        <item m="1" x="220"/>
        <item m="1" x="965"/>
        <item m="1" x="966"/>
        <item m="1" x="255"/>
        <item m="1" x="1523"/>
        <item m="1" x="967"/>
        <item m="1" x="408"/>
        <item m="1" x="409"/>
        <item m="1" x="1172"/>
        <item m="1" x="992"/>
        <item m="1" x="1010"/>
        <item m="1" x="1175"/>
        <item m="1" x="590"/>
        <item m="1" x="1498"/>
        <item m="1" x="831"/>
        <item m="1" x="1014"/>
        <item m="1" x="802"/>
        <item m="1" x="411"/>
        <item m="1" x="563"/>
        <item m="1" x="434"/>
        <item m="1" x="1173"/>
        <item m="1" x="610"/>
        <item m="1" x="830"/>
        <item m="1" x="1335"/>
        <item m="1" x="73"/>
        <item m="1" x="189"/>
        <item m="1" x="440"/>
        <item m="1" x="1302"/>
        <item m="1" x="441"/>
        <item m="1" x="577"/>
        <item m="1" x="1325"/>
        <item m="1" x="248"/>
        <item m="1" x="621"/>
        <item m="1" x="622"/>
        <item m="1" x="202"/>
        <item m="1" x="203"/>
        <item m="1" x="1346"/>
        <item m="1" x="1347"/>
        <item m="1" x="274"/>
        <item m="1" x="275"/>
        <item m="1" x="388"/>
        <item m="1" x="794"/>
        <item m="1" x="377"/>
        <item m="1" x="1509"/>
        <item m="1" x="739"/>
        <item m="1" x="1134"/>
        <item m="1" x="1460"/>
        <item m="1" x="1514"/>
        <item m="1" x="385"/>
        <item m="1" x="137"/>
        <item m="1" x="795"/>
        <item m="1" x="1462"/>
        <item m="1" x="819"/>
        <item m="1" x="820"/>
        <item m="1" x="90"/>
        <item m="1" x="823"/>
        <item m="1" x="460"/>
        <item m="1" x="415"/>
        <item m="1" x="356"/>
        <item m="1" x="849"/>
        <item m="1" x="67"/>
        <item m="1" x="469"/>
        <item m="1" x="627"/>
        <item m="1" x="1042"/>
        <item m="1" x="609"/>
        <item m="1" x="700"/>
        <item m="1" x="236"/>
        <item m="1" x="1043"/>
        <item m="1" x="265"/>
        <item m="1" x="286"/>
        <item m="1" x="589"/>
        <item m="1" x="339"/>
        <item m="1" x="701"/>
        <item m="1" x="1074"/>
        <item m="1" x="607"/>
        <item m="1" x="1382"/>
        <item m="1" x="1137"/>
        <item m="1" x="638"/>
        <item m="1" x="675"/>
        <item m="1" x="1122"/>
        <item m="1" x="292"/>
        <item m="1" x="293"/>
        <item m="1" x="581"/>
        <item m="1" x="237"/>
        <item m="1" x="747"/>
        <item m="1" x="1138"/>
        <item m="1" x="354"/>
        <item m="1" x="678"/>
        <item m="1" x="1059"/>
        <item m="1" x="1060"/>
        <item m="1" x="1061"/>
        <item m="1" x="1213"/>
        <item m="1" x="1214"/>
        <item m="1" x="1244"/>
        <item m="1" x="676"/>
        <item m="1" x="677"/>
        <item m="1" x="891"/>
        <item m="1" x="1243"/>
        <item m="1" x="707"/>
        <item m="1" x="329"/>
        <item m="1" x="522"/>
        <item m="1" x="1408"/>
        <item m="1" x="703"/>
        <item m="1" x="521"/>
        <item m="1" x="704"/>
        <item m="1" x="705"/>
        <item m="1" x="706"/>
        <item m="1" x="1087"/>
        <item m="1" x="926"/>
        <item m="1" x="927"/>
        <item m="1" x="1112"/>
        <item m="1" x="374"/>
        <item m="1" x="1260"/>
        <item m="1" x="370"/>
        <item m="1" x="371"/>
        <item m="1" x="372"/>
        <item m="1" x="726"/>
        <item m="1" x="1281"/>
        <item m="1" x="1282"/>
        <item m="1" x="188"/>
        <item m="1" x="1110"/>
        <item m="1" x="1111"/>
        <item m="1" x="1259"/>
        <item m="1" x="730"/>
        <item m="1" x="1434"/>
        <item m="1" x="1435"/>
        <item x="56"/>
        <item m="1" x="782"/>
        <item m="1" x="1143"/>
        <item m="1" x="812"/>
        <item m="1" x="447"/>
        <item x="15"/>
        <item m="1" x="112"/>
        <item m="1" x="113"/>
        <item m="1" x="863"/>
        <item m="1" x="746"/>
        <item m="1" x="790"/>
        <item m="1" x="791"/>
        <item m="1" x="1171"/>
        <item m="1" x="151"/>
        <item m="1" x="545"/>
        <item m="1" x="842"/>
        <item m="1" x="843"/>
        <item m="1" x="150"/>
        <item m="1" x="152"/>
        <item m="1" x="153"/>
        <item m="1" x="209"/>
        <item m="1" x="982"/>
        <item x="50"/>
        <item m="1" x="939"/>
        <item m="1" x="940"/>
        <item m="1" x="956"/>
        <item m="1" x="937"/>
        <item m="1" x="938"/>
        <item m="1" x="761"/>
        <item m="1" x="1290"/>
        <item m="1" x="1489"/>
        <item m="1" x="1490"/>
        <item m="1" x="759"/>
        <item m="1" x="1139"/>
        <item m="1" x="402"/>
        <item m="1" x="980"/>
        <item x="57"/>
        <item m="1" x="264"/>
        <item m="1" x="1310"/>
        <item m="1" x="584"/>
        <item m="1" x="604"/>
        <item m="1" x="605"/>
        <item m="1" x="997"/>
        <item m="1" x="998"/>
        <item m="1" x="1018"/>
        <item m="1" x="1019"/>
        <item m="1" x="631"/>
        <item m="1" x="632"/>
        <item m="1" x="1357"/>
        <item m="1" x="805"/>
        <item m="1" x="807"/>
        <item m="1" x="777"/>
        <item m="1" x="778"/>
        <item m="1" x="779"/>
        <item m="1" x="422"/>
        <item m="1" x="882"/>
        <item m="1" x="883"/>
        <item m="1" x="1199"/>
        <item m="1" x="865"/>
        <item m="1" x="930"/>
        <item m="1" x="554"/>
        <item m="1" x="933"/>
        <item x="5"/>
        <item m="1" x="752"/>
        <item m="1" x="753"/>
        <item m="1" x="1500"/>
        <item m="1" x="1501"/>
        <item m="1" x="1522"/>
        <item m="1" x="401"/>
        <item m="1" x="776"/>
        <item m="1" x="1502"/>
        <item m="1" x="488"/>
        <item m="1" x="489"/>
        <item m="1" x="864"/>
        <item m="1" x="443"/>
        <item m="1" x="172"/>
        <item m="1" x="973"/>
        <item m="1" x="974"/>
        <item m="1" x="975"/>
        <item m="1" x="482"/>
        <item m="1" x="874"/>
        <item m="1" x="875"/>
        <item m="1" x="876"/>
        <item m="1" x="877"/>
        <item m="1" x="898"/>
        <item m="1" x="899"/>
        <item m="1" x="429"/>
        <item m="1" x="430"/>
        <item m="1" x="431"/>
        <item m="1" x="483"/>
        <item m="1" x="508"/>
        <item m="1" x="915"/>
        <item m="1" x="769"/>
        <item m="1" x="1237"/>
        <item x="58"/>
        <item m="1" x="935"/>
        <item x="30"/>
        <item m="1" x="144"/>
        <item m="1" x="145"/>
        <item x="13"/>
        <item m="1" x="542"/>
        <item m="1" x="543"/>
        <item m="1" x="1238"/>
        <item m="1" x="1239"/>
        <item m="1" x="146"/>
        <item m="1" x="147"/>
        <item m="1" x="148"/>
        <item m="1" x="485"/>
        <item m="1" x="486"/>
        <item m="1" x="178"/>
        <item m="1" x="917"/>
        <item x="31"/>
        <item m="1" x="943"/>
        <item m="1" x="952"/>
        <item m="1" x="953"/>
        <item m="1" x="996"/>
        <item m="1" x="954"/>
        <item m="1" x="797"/>
        <item m="1" x="835"/>
        <item m="1" x="836"/>
        <item m="1" x="837"/>
        <item x="10"/>
        <item x="59"/>
        <item m="1" x="838"/>
        <item x="19"/>
        <item m="1" x="781"/>
        <item x="23"/>
        <item m="1" x="798"/>
        <item m="1" x="799"/>
        <item x="60"/>
        <item m="1" x="800"/>
        <item x="61"/>
        <item m="1" x="811"/>
        <item x="24"/>
        <item m="1" x="766"/>
        <item m="1" x="81"/>
        <item x="22"/>
        <item m="1" x="1164"/>
        <item m="1" x="1165"/>
        <item m="1" x="1473"/>
        <item m="1" x="1474"/>
        <item m="1" x="1475"/>
        <item m="1" x="1476"/>
        <item m="1" x="1477"/>
        <item m="1" x="1478"/>
        <item m="1" x="1166"/>
        <item m="1" x="1479"/>
        <item m="1" x="1480"/>
        <item m="1" x="1167"/>
        <item m="1" x="1168"/>
        <item m="1" x="1481"/>
        <item m="1" x="1482"/>
        <item m="1" x="1483"/>
        <item m="1" x="1253"/>
        <item m="1" x="1169"/>
        <item m="1" x="1254"/>
        <item m="1" x="1426"/>
        <item m="1" x="1427"/>
        <item m="1" x="1524"/>
        <item m="1" x="1421"/>
        <item m="1" x="1328"/>
        <item m="1" x="1428"/>
        <item m="1" x="109"/>
        <item m="1" x="259"/>
        <item m="1" x="260"/>
        <item m="1" x="1429"/>
        <item m="1" x="1430"/>
        <item m="1" x="158"/>
        <item m="1" x="159"/>
        <item m="1" x="160"/>
        <item m="1" x="1431"/>
        <item m="1" x="161"/>
        <item m="1" x="1432"/>
        <item m="1" x="162"/>
        <item m="1" x="163"/>
        <item m="1" x="1433"/>
        <item m="1" x="289"/>
        <item m="1" x="290"/>
        <item m="1" x="239"/>
        <item m="1" x="240"/>
        <item m="1" x="143"/>
        <item x="17"/>
        <item m="1" x="291"/>
        <item m="1" x="76"/>
        <item m="1" x="77"/>
        <item m="1" x="78"/>
        <item m="1" x="463"/>
        <item m="1" x="464"/>
        <item m="1" x="465"/>
        <item x="18"/>
        <item x="16"/>
        <item m="1" x="1131"/>
        <item m="1" x="1132"/>
        <item m="1" x="174"/>
        <item m="1" x="175"/>
        <item m="1" x="1456"/>
        <item m="1" x="243"/>
        <item x="27"/>
        <item m="1" x="358"/>
        <item m="1" x="1491"/>
        <item m="1" x="183"/>
        <item m="1" x="72"/>
        <item m="1" x="184"/>
        <item m="1" x="496"/>
        <item m="1" x="206"/>
        <item m="1" x="207"/>
        <item m="1" x="787"/>
        <item m="1" x="788"/>
        <item m="1" x="1267"/>
        <item m="1" x="1303"/>
        <item m="1" x="1304"/>
        <item m="1" x="1308"/>
        <item m="1" x="1416"/>
        <item m="1" x="1451"/>
        <item m="1" x="305"/>
        <item m="1" x="529"/>
        <item m="1" x="480"/>
        <item m="1" x="558"/>
        <item m="1" x="541"/>
        <item m="1" x="571"/>
        <item m="1" x="531"/>
        <item x="53"/>
        <item x="54"/>
        <item m="1" x="1202"/>
        <item m="1" x="1203"/>
        <item m="1" x="423"/>
        <item m="1" x="444"/>
        <item m="1" x="445"/>
        <item m="1" x="535"/>
        <item m="1" x="501"/>
        <item m="1" x="537"/>
        <item m="1" x="538"/>
        <item m="1" x="1311"/>
        <item m="1" x="1312"/>
        <item m="1" x="585"/>
        <item m="1" x="976"/>
        <item m="1" x="1313"/>
        <item m="1" x="586"/>
        <item m="1" x="1314"/>
        <item m="1" x="587"/>
        <item m="1" x="1331"/>
        <item m="1" x="405"/>
        <item m="1" x="390"/>
        <item m="1" x="565"/>
        <item m="1" x="566"/>
        <item m="1" x="567"/>
        <item m="1" x="68"/>
        <item m="1" x="1441"/>
        <item m="1"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5">
        <item x="3"/>
        <item m="1" x="56"/>
        <item x="1"/>
        <item m="1" x="64"/>
        <item m="1" x="70"/>
        <item x="0"/>
        <item x="27"/>
        <item m="1" x="46"/>
        <item m="1" x="73"/>
        <item m="1" x="52"/>
        <item m="1" x="67"/>
        <item m="1" x="49"/>
        <item x="32"/>
        <item x="28"/>
        <item m="1" x="60"/>
        <item m="1" x="53"/>
        <item m="1" x="62"/>
        <item x="25"/>
        <item x="2"/>
        <item m="1" x="54"/>
        <item x="31"/>
        <item x="44"/>
        <item x="4"/>
        <item m="1" x="61"/>
        <item x="29"/>
        <item m="1" x="72"/>
        <item x="30"/>
        <item x="38"/>
        <item x="33"/>
        <item x="37"/>
        <item m="1" x="58"/>
        <item m="1" x="69"/>
        <item x="5"/>
        <item x="9"/>
        <item x="10"/>
        <item m="1" x="50"/>
        <item x="11"/>
        <item x="12"/>
        <item x="13"/>
        <item x="14"/>
        <item x="8"/>
        <item x="18"/>
        <item m="1" x="47"/>
        <item m="1" x="68"/>
        <item x="16"/>
        <item m="1" x="66"/>
        <item x="19"/>
        <item x="20"/>
        <item x="41"/>
        <item x="42"/>
        <item x="22"/>
        <item m="1" x="51"/>
        <item x="21"/>
        <item m="1" x="48"/>
        <item x="6"/>
        <item m="1" x="57"/>
        <item m="1" x="63"/>
        <item x="35"/>
        <item x="34"/>
        <item m="1" x="55"/>
        <item x="43"/>
        <item m="1" x="45"/>
        <item x="7"/>
        <item m="1" x="65"/>
        <item x="15"/>
        <item x="23"/>
        <item x="24"/>
        <item x="26"/>
        <item m="1" x="59"/>
        <item x="36"/>
        <item m="1" x="71"/>
        <item x="39"/>
        <item x="17"/>
        <item x="4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11">
    <i>
      <x v="284"/>
      <x/>
    </i>
    <i>
      <x v="771"/>
      <x v="2"/>
    </i>
    <i>
      <x v="820"/>
      <x v="20"/>
    </i>
    <i>
      <x v="967"/>
      <x v="52"/>
    </i>
    <i>
      <x v="980"/>
      <x v="22"/>
    </i>
    <i>
      <x v="1051"/>
      <x v="24"/>
    </i>
    <i>
      <x v="1085"/>
      <x v="5"/>
    </i>
    <i>
      <x v="1089"/>
      <x v="29"/>
    </i>
    <i>
      <x v="1092"/>
      <x v="12"/>
    </i>
    <i>
      <x v="1344"/>
      <x v="32"/>
    </i>
    <i t="grand">
      <x/>
    </i>
  </rowItems>
  <colItems count="1">
    <i/>
  </colItems>
  <pageFields count="1">
    <pageField fld="0" item="1284" hier="-1"/>
  </pageFields>
  <dataFields count="1">
    <dataField name="Sum of Utilized" fld="1" baseField="0" baseItem="0"/>
  </dataFields>
  <formats count="228">
    <format dxfId="386">
      <pivotArea field="2" type="button" dataOnly="0" labelOnly="1" outline="0" axis="axisRow" fieldPosition="0"/>
    </format>
    <format dxfId="385">
      <pivotArea dataOnly="0" labelOnly="1" fieldPosition="0">
        <references count="1">
          <reference field="0" count="0"/>
        </references>
      </pivotArea>
    </format>
    <format dxfId="384">
      <pivotArea dataOnly="0" labelOnly="1" grandCol="1" outline="0" fieldPosition="0"/>
    </format>
    <format dxfId="383">
      <pivotArea field="2" type="button" dataOnly="0" labelOnly="1" outline="0" axis="axisRow" fieldPosition="0"/>
    </format>
    <format dxfId="382">
      <pivotArea dataOnly="0" labelOnly="1" fieldPosition="0">
        <references count="1">
          <reference field="0" count="1">
            <x v="0"/>
          </reference>
        </references>
      </pivotArea>
    </format>
    <format dxfId="381">
      <pivotArea type="all" dataOnly="0" outline="0" fieldPosition="0"/>
    </format>
    <format dxfId="380">
      <pivotArea outline="0" collapsedLevelsAreSubtotals="1" fieldPosition="0"/>
    </format>
    <format dxfId="379">
      <pivotArea type="origin" dataOnly="0" labelOnly="1" outline="0" fieldPosition="0"/>
    </format>
    <format dxfId="378">
      <pivotArea field="0" type="button" dataOnly="0" labelOnly="1" outline="0" axis="axisPage" fieldPosition="0"/>
    </format>
    <format dxfId="377">
      <pivotArea type="topRight" dataOnly="0" labelOnly="1" outline="0" fieldPosition="0"/>
    </format>
    <format dxfId="376">
      <pivotArea field="2" type="button" dataOnly="0" labelOnly="1" outline="0" axis="axisRow" fieldPosition="0"/>
    </format>
    <format dxfId="375">
      <pivotArea dataOnly="0" labelOnly="1" fieldPosition="0">
        <references count="1">
          <reference field="2" count="0"/>
        </references>
      </pivotArea>
    </format>
    <format dxfId="374">
      <pivotArea dataOnly="0" labelOnly="1" grandRow="1" outline="0" fieldPosition="0"/>
    </format>
    <format dxfId="373">
      <pivotArea dataOnly="0" labelOnly="1" fieldPosition="0">
        <references count="1">
          <reference field="0" count="0"/>
        </references>
      </pivotArea>
    </format>
    <format dxfId="372">
      <pivotArea dataOnly="0" labelOnly="1" grandCol="1" outline="0" fieldPosition="0"/>
    </format>
    <format dxfId="371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370">
      <pivotArea dataOnly="0" labelOnly="1" fieldPosition="0">
        <references count="1">
          <reference field="2" count="1">
            <x v="1019"/>
          </reference>
        </references>
      </pivotArea>
    </format>
    <format dxfId="369">
      <pivotArea collapsedLevelsAreSubtotals="1" fieldPosition="0">
        <references count="2">
          <reference field="0" count="3" selected="0">
            <x v="863"/>
            <x v="864"/>
            <x v="866"/>
          </reference>
          <reference field="2" count="1">
            <x v="768"/>
          </reference>
        </references>
      </pivotArea>
    </format>
    <format dxfId="368">
      <pivotArea collapsedLevelsAreSubtotals="1" fieldPosition="0">
        <references count="2">
          <reference field="0" count="1" selected="0">
            <x v="326"/>
          </reference>
          <reference field="2" count="1">
            <x v="767"/>
          </reference>
        </references>
      </pivotArea>
    </format>
    <format dxfId="367">
      <pivotArea dataOnly="0" labelOnly="1" outline="0" fieldPosition="0">
        <references count="1">
          <reference field="0" count="1">
            <x v="967"/>
          </reference>
        </references>
      </pivotArea>
    </format>
    <format dxfId="366">
      <pivotArea field="3" type="button" dataOnly="0" labelOnly="1" outline="0" axis="axisRow" fieldPosition="1"/>
    </format>
    <format dxfId="365">
      <pivotArea dataOnly="0" labelOnly="1" grandRow="1" outline="0" fieldPosition="0"/>
    </format>
    <format dxfId="364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63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362">
      <pivotArea dataOnly="0" labelOnly="1" outline="0" fieldPosition="0">
        <references count="2">
          <reference field="2" count="1" selected="0">
            <x v="346"/>
          </reference>
          <reference field="3" count="1">
            <x v="14"/>
          </reference>
        </references>
      </pivotArea>
    </format>
    <format dxfId="361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360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359">
      <pivotArea dataOnly="0" labelOnly="1" outline="0" fieldPosition="0">
        <references count="2">
          <reference field="2" count="1" selected="0">
            <x v="636"/>
          </reference>
          <reference field="3" count="1">
            <x v="32"/>
          </reference>
        </references>
      </pivotArea>
    </format>
    <format dxfId="358">
      <pivotArea dataOnly="0" labelOnly="1" outline="0" fieldPosition="0">
        <references count="2">
          <reference field="2" count="1" selected="0">
            <x v="1056"/>
          </reference>
          <reference field="3" count="1">
            <x v="5"/>
          </reference>
        </references>
      </pivotArea>
    </format>
    <format dxfId="357">
      <pivotArea dataOnly="0" labelOnly="1" outline="0" fieldPosition="0">
        <references count="2">
          <reference field="2" count="1" selected="0">
            <x v="1078"/>
          </reference>
          <reference field="3" count="1">
            <x v="52"/>
          </reference>
        </references>
      </pivotArea>
    </format>
    <format dxfId="356">
      <pivotArea dataOnly="0" labelOnly="1" outline="0" fieldPosition="0">
        <references count="1">
          <reference field="0" count="1">
            <x v="967"/>
          </reference>
        </references>
      </pivotArea>
    </format>
    <format dxfId="355">
      <pivotArea field="3" type="button" dataOnly="0" labelOnly="1" outline="0" axis="axisRow" fieldPosition="1"/>
    </format>
    <format dxfId="354">
      <pivotArea dataOnly="0" labelOnly="1" grandRow="1" outline="0" fieldPosition="0"/>
    </format>
    <format dxfId="353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52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351">
      <pivotArea dataOnly="0" labelOnly="1" outline="0" fieldPosition="0">
        <references count="2">
          <reference field="2" count="1" selected="0">
            <x v="346"/>
          </reference>
          <reference field="3" count="1">
            <x v="14"/>
          </reference>
        </references>
      </pivotArea>
    </format>
    <format dxfId="350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349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348">
      <pivotArea dataOnly="0" labelOnly="1" outline="0" fieldPosition="0">
        <references count="2">
          <reference field="2" count="1" selected="0">
            <x v="636"/>
          </reference>
          <reference field="3" count="1">
            <x v="32"/>
          </reference>
        </references>
      </pivotArea>
    </format>
    <format dxfId="347">
      <pivotArea dataOnly="0" labelOnly="1" outline="0" fieldPosition="0">
        <references count="2">
          <reference field="2" count="1" selected="0">
            <x v="1056"/>
          </reference>
          <reference field="3" count="1">
            <x v="5"/>
          </reference>
        </references>
      </pivotArea>
    </format>
    <format dxfId="346">
      <pivotArea dataOnly="0" labelOnly="1" outline="0" fieldPosition="0">
        <references count="2">
          <reference field="2" count="1" selected="0">
            <x v="1078"/>
          </reference>
          <reference field="3" count="1">
            <x v="52"/>
          </reference>
        </references>
      </pivotArea>
    </format>
    <format dxfId="345">
      <pivotArea dataOnly="0" labelOnly="1" outline="0" fieldPosition="0">
        <references count="1">
          <reference field="0" count="0"/>
        </references>
      </pivotArea>
    </format>
    <format dxfId="344">
      <pivotArea field="3" type="button" dataOnly="0" labelOnly="1" outline="0" axis="axisRow" fieldPosition="1"/>
    </format>
    <format dxfId="343">
      <pivotArea dataOnly="0" labelOnly="1" grandRow="1" outline="0" fieldPosition="0"/>
    </format>
    <format dxfId="342">
      <pivotArea dataOnly="0" labelOnly="1" outline="0" fieldPosition="0">
        <references count="2">
          <reference field="2" count="1" selected="0">
            <x v="40"/>
          </reference>
          <reference field="3" count="1">
            <x v="44"/>
          </reference>
        </references>
      </pivotArea>
    </format>
    <format dxfId="341">
      <pivotArea dataOnly="0" labelOnly="1" outline="0" fieldPosition="0">
        <references count="2">
          <reference field="2" count="1" selected="0">
            <x v="66"/>
          </reference>
          <reference field="3" count="1">
            <x v="35"/>
          </reference>
        </references>
      </pivotArea>
    </format>
    <format dxfId="340">
      <pivotArea dataOnly="0" labelOnly="1" outline="0" fieldPosition="0">
        <references count="2">
          <reference field="2" count="1" selected="0">
            <x v="69"/>
          </reference>
          <reference field="3" count="1">
            <x v="23"/>
          </reference>
        </references>
      </pivotArea>
    </format>
    <format dxfId="339">
      <pivotArea dataOnly="0" labelOnly="1" outline="0" fieldPosition="0">
        <references count="2">
          <reference field="2" count="1" selected="0">
            <x v="89"/>
          </reference>
          <reference field="3" count="1">
            <x v="23"/>
          </reference>
        </references>
      </pivotArea>
    </format>
    <format dxfId="338">
      <pivotArea dataOnly="0" labelOnly="1" outline="0" fieldPosition="0">
        <references count="2">
          <reference field="2" count="1" selected="0">
            <x v="97"/>
          </reference>
          <reference field="3" count="1">
            <x v="4"/>
          </reference>
        </references>
      </pivotArea>
    </format>
    <format dxfId="337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36">
      <pivotArea dataOnly="0" labelOnly="1" outline="0" fieldPosition="0">
        <references count="2">
          <reference field="2" count="1" selected="0">
            <x v="112"/>
          </reference>
          <reference field="3" count="1">
            <x v="13"/>
          </reference>
        </references>
      </pivotArea>
    </format>
    <format dxfId="335">
      <pivotArea dataOnly="0" labelOnly="1" outline="0" fieldPosition="0">
        <references count="2">
          <reference field="2" count="1" selected="0">
            <x v="234"/>
          </reference>
          <reference field="3" count="2">
            <x v="8"/>
            <x v="22"/>
          </reference>
        </references>
      </pivotArea>
    </format>
    <format dxfId="334">
      <pivotArea dataOnly="0" labelOnly="1" outline="0" fieldPosition="0">
        <references count="2">
          <reference field="2" count="1" selected="0">
            <x v="294"/>
          </reference>
          <reference field="3" count="1">
            <x v="34"/>
          </reference>
        </references>
      </pivotArea>
    </format>
    <format dxfId="333">
      <pivotArea dataOnly="0" labelOnly="1" outline="0" fieldPosition="0">
        <references count="2">
          <reference field="2" count="1" selected="0">
            <x v="301"/>
          </reference>
          <reference field="3" count="1">
            <x v="22"/>
          </reference>
        </references>
      </pivotArea>
    </format>
    <format dxfId="332">
      <pivotArea dataOnly="0" labelOnly="1" outline="0" fieldPosition="0">
        <references count="2">
          <reference field="2" count="1" selected="0">
            <x v="309"/>
          </reference>
          <reference field="3" count="1">
            <x v="22"/>
          </reference>
        </references>
      </pivotArea>
    </format>
    <format dxfId="331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330">
      <pivotArea dataOnly="0" labelOnly="1" outline="0" fieldPosition="0">
        <references count="2">
          <reference field="2" count="1" selected="0">
            <x v="316"/>
          </reference>
          <reference field="3" count="1">
            <x v="21"/>
          </reference>
        </references>
      </pivotArea>
    </format>
    <format dxfId="329">
      <pivotArea dataOnly="0" labelOnly="1" outline="0" fieldPosition="0">
        <references count="2">
          <reference field="2" count="1" selected="0">
            <x v="342"/>
          </reference>
          <reference field="3" count="1">
            <x v="18"/>
          </reference>
        </references>
      </pivotArea>
    </format>
    <format dxfId="328">
      <pivotArea dataOnly="0" labelOnly="1" outline="0" fieldPosition="0">
        <references count="2">
          <reference field="2" count="1" selected="0">
            <x v="343"/>
          </reference>
          <reference field="3" count="1">
            <x v="18"/>
          </reference>
        </references>
      </pivotArea>
    </format>
    <format dxfId="327">
      <pivotArea dataOnly="0" labelOnly="1" outline="0" fieldPosition="0">
        <references count="2">
          <reference field="2" count="1" selected="0">
            <x v="362"/>
          </reference>
          <reference field="3" count="1">
            <x v="25"/>
          </reference>
        </references>
      </pivotArea>
    </format>
    <format dxfId="326">
      <pivotArea dataOnly="0" labelOnly="1" outline="0" fieldPosition="0">
        <references count="2">
          <reference field="2" count="1" selected="0">
            <x v="363"/>
          </reference>
          <reference field="3" count="1">
            <x v="25"/>
          </reference>
        </references>
      </pivotArea>
    </format>
    <format dxfId="325">
      <pivotArea dataOnly="0" labelOnly="1" outline="0" fieldPosition="0">
        <references count="2">
          <reference field="2" count="1" selected="0">
            <x v="364"/>
          </reference>
          <reference field="3" count="1">
            <x v="25"/>
          </reference>
        </references>
      </pivotArea>
    </format>
    <format dxfId="324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323">
      <pivotArea dataOnly="0" labelOnly="1" outline="0" fieldPosition="0">
        <references count="2">
          <reference field="2" count="1" selected="0">
            <x v="381"/>
          </reference>
          <reference field="3" count="1">
            <x v="18"/>
          </reference>
        </references>
      </pivotArea>
    </format>
    <format dxfId="322">
      <pivotArea dataOnly="0" labelOnly="1" outline="0" fieldPosition="0">
        <references count="2">
          <reference field="2" count="1" selected="0">
            <x v="425"/>
          </reference>
          <reference field="3" count="1">
            <x v="3"/>
          </reference>
        </references>
      </pivotArea>
    </format>
    <format dxfId="321">
      <pivotArea dataOnly="0" labelOnly="1" outline="0" fieldPosition="0">
        <references count="2">
          <reference field="2" count="1" selected="0">
            <x v="428"/>
          </reference>
          <reference field="3" count="1">
            <x v="2"/>
          </reference>
        </references>
      </pivotArea>
    </format>
    <format dxfId="320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319">
      <pivotArea dataOnly="0" labelOnly="1" outline="0" fieldPosition="0">
        <references count="2">
          <reference field="2" count="1" selected="0">
            <x v="434"/>
          </reference>
          <reference field="3" count="1">
            <x v="3"/>
          </reference>
        </references>
      </pivotArea>
    </format>
    <format dxfId="318">
      <pivotArea dataOnly="0" labelOnly="1" outline="0" fieldPosition="0">
        <references count="2">
          <reference field="2" count="1" selected="0">
            <x v="470"/>
          </reference>
          <reference field="3" count="1">
            <x v="16"/>
          </reference>
        </references>
      </pivotArea>
    </format>
    <format dxfId="317">
      <pivotArea dataOnly="0" labelOnly="1" outline="0" fieldPosition="0">
        <references count="2">
          <reference field="2" count="1" selected="0">
            <x v="471"/>
          </reference>
          <reference field="3" count="1">
            <x v="16"/>
          </reference>
        </references>
      </pivotArea>
    </format>
    <format dxfId="316">
      <pivotArea dataOnly="0" labelOnly="1" outline="0" fieldPosition="0">
        <references count="2">
          <reference field="2" count="1" selected="0">
            <x v="485"/>
          </reference>
          <reference field="3" count="1">
            <x v="35"/>
          </reference>
        </references>
      </pivotArea>
    </format>
    <format dxfId="315">
      <pivotArea dataOnly="0" labelOnly="1" outline="0" fieldPosition="0">
        <references count="2">
          <reference field="2" count="1" selected="0">
            <x v="522"/>
          </reference>
          <reference field="3" count="1">
            <x v="18"/>
          </reference>
        </references>
      </pivotArea>
    </format>
    <format dxfId="314">
      <pivotArea dataOnly="0" labelOnly="1" outline="0" fieldPosition="0">
        <references count="2">
          <reference field="2" count="1" selected="0">
            <x v="591"/>
          </reference>
          <reference field="3" count="1">
            <x v="54"/>
          </reference>
        </references>
      </pivotArea>
    </format>
    <format dxfId="313">
      <pivotArea dataOnly="0" labelOnly="1" outline="0" fieldPosition="0">
        <references count="2">
          <reference field="2" count="1" selected="0">
            <x v="592"/>
          </reference>
          <reference field="3" count="1">
            <x v="54"/>
          </reference>
        </references>
      </pivotArea>
    </format>
    <format dxfId="312">
      <pivotArea dataOnly="0" labelOnly="1" outline="0" fieldPosition="0">
        <references count="2">
          <reference field="2" count="1" selected="0">
            <x v="628"/>
          </reference>
          <reference field="3" count="1">
            <x v="32"/>
          </reference>
        </references>
      </pivotArea>
    </format>
    <format dxfId="311">
      <pivotArea dataOnly="0" labelOnly="1" outline="0" fieldPosition="0">
        <references count="2">
          <reference field="2" count="1" selected="0">
            <x v="629"/>
          </reference>
          <reference field="3" count="1">
            <x v="32"/>
          </reference>
        </references>
      </pivotArea>
    </format>
    <format dxfId="310">
      <pivotArea dataOnly="0" labelOnly="1" outline="0" fieldPosition="0">
        <references count="2">
          <reference field="2" count="1" selected="0">
            <x v="633"/>
          </reference>
          <reference field="3" count="1">
            <x v="32"/>
          </reference>
        </references>
      </pivotArea>
    </format>
    <format dxfId="309">
      <pivotArea dataOnly="0" labelOnly="1" outline="0" fieldPosition="0">
        <references count="2">
          <reference field="2" count="1" selected="0">
            <x v="634"/>
          </reference>
          <reference field="3" count="1">
            <x v="32"/>
          </reference>
        </references>
      </pivotArea>
    </format>
    <format dxfId="308">
      <pivotArea dataOnly="0" labelOnly="1" outline="0" fieldPosition="0">
        <references count="2">
          <reference field="2" count="1" selected="0">
            <x v="635"/>
          </reference>
          <reference field="3" count="1">
            <x v="32"/>
          </reference>
        </references>
      </pivotArea>
    </format>
    <format dxfId="307">
      <pivotArea dataOnly="0" labelOnly="1" outline="0" fieldPosition="0">
        <references count="2">
          <reference field="2" count="1" selected="0">
            <x v="636"/>
          </reference>
          <reference field="3" count="1">
            <x v="32"/>
          </reference>
        </references>
      </pivotArea>
    </format>
    <format dxfId="306">
      <pivotArea dataOnly="0" labelOnly="1" outline="0" fieldPosition="0">
        <references count="2">
          <reference field="2" count="1" selected="0">
            <x v="637"/>
          </reference>
          <reference field="3" count="1">
            <x v="32"/>
          </reference>
        </references>
      </pivotArea>
    </format>
    <format dxfId="305">
      <pivotArea dataOnly="0" labelOnly="1" outline="0" fieldPosition="0">
        <references count="2">
          <reference field="2" count="1" selected="0">
            <x v="643"/>
          </reference>
          <reference field="3" count="1">
            <x v="6"/>
          </reference>
        </references>
      </pivotArea>
    </format>
    <format dxfId="304">
      <pivotArea dataOnly="0" labelOnly="1" outline="0" fieldPosition="0">
        <references count="2">
          <reference field="2" count="1" selected="0">
            <x v="644"/>
          </reference>
          <reference field="3" count="1">
            <x v="8"/>
          </reference>
        </references>
      </pivotArea>
    </format>
    <format dxfId="303">
      <pivotArea dataOnly="0" labelOnly="1" outline="0" fieldPosition="0">
        <references count="2">
          <reference field="2" count="1" selected="0">
            <x v="645"/>
          </reference>
          <reference field="3" count="1">
            <x v="8"/>
          </reference>
        </references>
      </pivotArea>
    </format>
    <format dxfId="302">
      <pivotArea dataOnly="0" labelOnly="1" outline="0" fieldPosition="0">
        <references count="2">
          <reference field="2" count="1" selected="0">
            <x v="648"/>
          </reference>
          <reference field="3" count="1">
            <x v="22"/>
          </reference>
        </references>
      </pivotArea>
    </format>
    <format dxfId="301">
      <pivotArea dataOnly="0" labelOnly="1" outline="0" fieldPosition="0">
        <references count="2">
          <reference field="2" count="1" selected="0">
            <x v="653"/>
          </reference>
          <reference field="3" count="1">
            <x v="4"/>
          </reference>
        </references>
      </pivotArea>
    </format>
    <format dxfId="300">
      <pivotArea dataOnly="0" labelOnly="1" outline="0" fieldPosition="0">
        <references count="2">
          <reference field="2" count="1" selected="0">
            <x v="654"/>
          </reference>
          <reference field="3" count="2">
            <x v="8"/>
            <x v="14"/>
          </reference>
        </references>
      </pivotArea>
    </format>
    <format dxfId="299">
      <pivotArea dataOnly="0" labelOnly="1" outline="0" fieldPosition="0">
        <references count="2">
          <reference field="2" count="1" selected="0">
            <x v="660"/>
          </reference>
          <reference field="3" count="1">
            <x v="33"/>
          </reference>
        </references>
      </pivotArea>
    </format>
    <format dxfId="298">
      <pivotArea dataOnly="0" labelOnly="1" outline="0" fieldPosition="0">
        <references count="2">
          <reference field="2" count="1" selected="0">
            <x v="710"/>
          </reference>
          <reference field="3" count="1">
            <x v="40"/>
          </reference>
        </references>
      </pivotArea>
    </format>
    <format dxfId="297">
      <pivotArea dataOnly="0" labelOnly="1" outline="0" fieldPosition="0">
        <references count="2">
          <reference field="2" count="1" selected="0">
            <x v="785"/>
          </reference>
          <reference field="3" count="1">
            <x v="46"/>
          </reference>
        </references>
      </pivotArea>
    </format>
    <format dxfId="296">
      <pivotArea dataOnly="0" labelOnly="1" outline="0" fieldPosition="0">
        <references count="2">
          <reference field="2" count="1" selected="0">
            <x v="815"/>
          </reference>
          <reference field="3" count="1">
            <x v="47"/>
          </reference>
        </references>
      </pivotArea>
    </format>
    <format dxfId="295">
      <pivotArea dataOnly="0" labelOnly="1" outline="0" fieldPosition="0">
        <references count="2">
          <reference field="2" count="1" selected="0">
            <x v="832"/>
          </reference>
          <reference field="3" count="1">
            <x v="51"/>
          </reference>
        </references>
      </pivotArea>
    </format>
    <format dxfId="294">
      <pivotArea dataOnly="0" labelOnly="1" outline="0" fieldPosition="0">
        <references count="2">
          <reference field="2" count="1" selected="0">
            <x v="954"/>
          </reference>
          <reference field="3" count="1">
            <x v="29"/>
          </reference>
        </references>
      </pivotArea>
    </format>
    <format dxfId="293">
      <pivotArea dataOnly="0" labelOnly="1" outline="0" fieldPosition="0">
        <references count="2">
          <reference field="2" count="1" selected="0">
            <x v="955"/>
          </reference>
          <reference field="3" count="1">
            <x v="29"/>
          </reference>
        </references>
      </pivotArea>
    </format>
    <format dxfId="292">
      <pivotArea dataOnly="0" labelOnly="1" outline="0" fieldPosition="0">
        <references count="2">
          <reference field="2" count="1" selected="0">
            <x v="958"/>
          </reference>
          <reference field="3" count="2">
            <x v="18"/>
            <x v="25"/>
          </reference>
        </references>
      </pivotArea>
    </format>
    <format dxfId="291">
      <pivotArea dataOnly="0" labelOnly="1" outline="0" fieldPosition="0">
        <references count="2">
          <reference field="2" count="1" selected="0">
            <x v="960"/>
          </reference>
          <reference field="3" count="1">
            <x v="32"/>
          </reference>
        </references>
      </pivotArea>
    </format>
    <format dxfId="290">
      <pivotArea dataOnly="0" labelOnly="1" outline="0" fieldPosition="0">
        <references count="2">
          <reference field="2" count="1" selected="0">
            <x v="1005"/>
          </reference>
          <reference field="3" count="1">
            <x v="24"/>
          </reference>
        </references>
      </pivotArea>
    </format>
    <format dxfId="289">
      <pivotArea dataOnly="0" labelOnly="1" outline="0" fieldPosition="0">
        <references count="2">
          <reference field="2" count="1" selected="0">
            <x v="1007"/>
          </reference>
          <reference field="3" count="1">
            <x v="50"/>
          </reference>
        </references>
      </pivotArea>
    </format>
    <format dxfId="288">
      <pivotArea dataOnly="0" labelOnly="1" outline="0" fieldPosition="0">
        <references count="2">
          <reference field="2" count="1" selected="0">
            <x v="1010"/>
          </reference>
          <reference field="3" count="1">
            <x v="58"/>
          </reference>
        </references>
      </pivotArea>
    </format>
    <format dxfId="287">
      <pivotArea dataOnly="0" labelOnly="1" outline="0" fieldPosition="0">
        <references count="2">
          <reference field="2" count="1" selected="0">
            <x v="1018"/>
          </reference>
          <reference field="3" count="1">
            <x v="17"/>
          </reference>
        </references>
      </pivotArea>
    </format>
    <format dxfId="286">
      <pivotArea dataOnly="0" labelOnly="1" outline="0" fieldPosition="0">
        <references count="2">
          <reference field="2" count="1" selected="0">
            <x v="1020"/>
          </reference>
          <reference field="3" count="1">
            <x v="7"/>
          </reference>
        </references>
      </pivotArea>
    </format>
    <format dxfId="285">
      <pivotArea dataOnly="0" labelOnly="1" outline="0" fieldPosition="0">
        <references count="2">
          <reference field="2" count="1" selected="0">
            <x v="1022"/>
          </reference>
          <reference field="3" count="1">
            <x v="25"/>
          </reference>
        </references>
      </pivotArea>
    </format>
    <format dxfId="284">
      <pivotArea dataOnly="0" labelOnly="1" outline="0" fieldPosition="0">
        <references count="2">
          <reference field="2" count="1" selected="0">
            <x v="1056"/>
          </reference>
          <reference field="3" count="1">
            <x v="5"/>
          </reference>
        </references>
      </pivotArea>
    </format>
    <format dxfId="283">
      <pivotArea dataOnly="0" labelOnly="1" outline="0" fieldPosition="0">
        <references count="2">
          <reference field="2" count="1" selected="0">
            <x v="1058"/>
          </reference>
          <reference field="3" count="1">
            <x v="26"/>
          </reference>
        </references>
      </pivotArea>
    </format>
    <format dxfId="282">
      <pivotArea dataOnly="0" labelOnly="1" outline="0" fieldPosition="0">
        <references count="2">
          <reference field="2" count="1" selected="0">
            <x v="1060"/>
          </reference>
          <reference field="3" count="1">
            <x v="26"/>
          </reference>
        </references>
      </pivotArea>
    </format>
    <format dxfId="281">
      <pivotArea dataOnly="0" labelOnly="1" outline="0" fieldPosition="0">
        <references count="2">
          <reference field="2" count="1" selected="0">
            <x v="1066"/>
          </reference>
          <reference field="3" count="1">
            <x v="51"/>
          </reference>
        </references>
      </pivotArea>
    </format>
    <format dxfId="280">
      <pivotArea dataOnly="0" labelOnly="1" outline="0" fieldPosition="0">
        <references count="2">
          <reference field="2" count="1" selected="0">
            <x v="1070"/>
          </reference>
          <reference field="3" count="1">
            <x v="57"/>
          </reference>
        </references>
      </pivotArea>
    </format>
    <format dxfId="279">
      <pivotArea dataOnly="0" labelOnly="1" outline="0" fieldPosition="0">
        <references count="2">
          <reference field="2" count="1" selected="0">
            <x v="1078"/>
          </reference>
          <reference field="3" count="1">
            <x v="52"/>
          </reference>
        </references>
      </pivotArea>
    </format>
    <format dxfId="278">
      <pivotArea dataOnly="0" labelOnly="1" outline="0" fieldPosition="0">
        <references count="2">
          <reference field="2" count="1" selected="0">
            <x v="1079"/>
          </reference>
          <reference field="3" count="1">
            <x v="22"/>
          </reference>
        </references>
      </pivotArea>
    </format>
    <format dxfId="277">
      <pivotArea dataOnly="0" labelOnly="1" outline="0" fieldPosition="0">
        <references count="2">
          <reference field="2" count="1" selected="0">
            <x v="1080"/>
          </reference>
          <reference field="3" count="1">
            <x v="28"/>
          </reference>
        </references>
      </pivotArea>
    </format>
    <format dxfId="276">
      <pivotArea dataOnly="0" labelOnly="1" outline="0" fieldPosition="0">
        <references count="2">
          <reference field="2" count="1" selected="0">
            <x v="1096"/>
          </reference>
          <reference field="3" count="1">
            <x v="51"/>
          </reference>
        </references>
      </pivotArea>
    </format>
    <format dxfId="275">
      <pivotArea dataOnly="0" labelOnly="1" outline="0" fieldPosition="0">
        <references count="2">
          <reference field="2" count="1" selected="0">
            <x v="1166"/>
          </reference>
          <reference field="3" count="1">
            <x v="51"/>
          </reference>
        </references>
      </pivotArea>
    </format>
    <format dxfId="274">
      <pivotArea dataOnly="0" labelOnly="1" outline="0" fieldPosition="0">
        <references count="2">
          <reference field="2" count="1" selected="0">
            <x v="1245"/>
          </reference>
          <reference field="3" count="1">
            <x v="33"/>
          </reference>
        </references>
      </pivotArea>
    </format>
    <format dxfId="273">
      <pivotArea dataOnly="0" labelOnly="1" outline="0" fieldPosition="0">
        <references count="2">
          <reference field="2" count="1" selected="0">
            <x v="1247"/>
          </reference>
          <reference field="3" count="1">
            <x v="33"/>
          </reference>
        </references>
      </pivotArea>
    </format>
    <format dxfId="272">
      <pivotArea dataOnly="0" labelOnly="1" outline="0" fieldPosition="0">
        <references count="2">
          <reference field="2" count="1" selected="0">
            <x v="1249"/>
          </reference>
          <reference field="3" count="1">
            <x v="45"/>
          </reference>
        </references>
      </pivotArea>
    </format>
    <format dxfId="271">
      <pivotArea dataOnly="0" labelOnly="1" outline="0" fieldPosition="0">
        <references count="2">
          <reference field="2" count="1" selected="0">
            <x v="1250"/>
          </reference>
          <reference field="3" count="1">
            <x v="33"/>
          </reference>
        </references>
      </pivotArea>
    </format>
    <format dxfId="270">
      <pivotArea dataOnly="0" labelOnly="1" outline="0" fieldPosition="0">
        <references count="2">
          <reference field="2" count="1" selected="0">
            <x v="1252"/>
          </reference>
          <reference field="3" count="1">
            <x v="27"/>
          </reference>
        </references>
      </pivotArea>
    </format>
    <format dxfId="269">
      <pivotArea dataOnly="0" labelOnly="1" outline="0" fieldPosition="0">
        <references count="2">
          <reference field="2" count="1" selected="0">
            <x v="1288"/>
          </reference>
          <reference field="3" count="1">
            <x v="56"/>
          </reference>
        </references>
      </pivotArea>
    </format>
    <format dxfId="268">
      <pivotArea dataOnly="0" labelOnly="1" outline="0" fieldPosition="0">
        <references count="2">
          <reference field="2" count="1" selected="0">
            <x v="1289"/>
          </reference>
          <reference field="3" count="1">
            <x v="59"/>
          </reference>
        </references>
      </pivotArea>
    </format>
    <format dxfId="267">
      <pivotArea dataOnly="0" labelOnly="1" outline="0" fieldPosition="0">
        <references count="2">
          <reference field="2" count="1" selected="0">
            <x v="1306"/>
          </reference>
          <reference field="3" count="1">
            <x v="27"/>
          </reference>
        </references>
      </pivotArea>
    </format>
    <format dxfId="266">
      <pivotArea dataOnly="0" labelOnly="1" outline="0" fieldPosition="0">
        <references count="2">
          <reference field="2" count="1" selected="0">
            <x v="1308"/>
          </reference>
          <reference field="3" count="1">
            <x v="48"/>
          </reference>
        </references>
      </pivotArea>
    </format>
    <format dxfId="265">
      <pivotArea dataOnly="0" labelOnly="1" outline="0" fieldPosition="0">
        <references count="2">
          <reference field="2" count="1" selected="0">
            <x v="1309"/>
          </reference>
          <reference field="3" count="1">
            <x v="49"/>
          </reference>
        </references>
      </pivotArea>
    </format>
    <format dxfId="264">
      <pivotArea dataOnly="0" labelOnly="1" outline="0" fieldPosition="0">
        <references count="2">
          <reference field="2" count="1" selected="0">
            <x v="1312"/>
          </reference>
          <reference field="3" count="1">
            <x v="48"/>
          </reference>
        </references>
      </pivotArea>
    </format>
    <format dxfId="263">
      <pivotArea dataOnly="0" labelOnly="1" outline="0" fieldPosition="0">
        <references count="2">
          <reference field="2" count="1" selected="0">
            <x v="1313"/>
          </reference>
          <reference field="3" count="1">
            <x v="49"/>
          </reference>
        </references>
      </pivotArea>
    </format>
    <format dxfId="262">
      <pivotArea dataOnly="0" labelOnly="1" outline="0" fieldPosition="0">
        <references count="2">
          <reference field="2" count="1" selected="0">
            <x v="1314"/>
          </reference>
          <reference field="3" count="1">
            <x v="27"/>
          </reference>
        </references>
      </pivotArea>
    </format>
    <format dxfId="261">
      <pivotArea dataOnly="0" labelOnly="1" outline="0" fieldPosition="0">
        <references count="2">
          <reference field="2" count="1" selected="0">
            <x v="1371"/>
          </reference>
          <reference field="3" count="1">
            <x v="41"/>
          </reference>
        </references>
      </pivotArea>
    </format>
    <format dxfId="260">
      <pivotArea dataOnly="0" labelOnly="1" outline="0" fieldPosition="0">
        <references count="2">
          <reference field="2" count="1" selected="0">
            <x v="1372"/>
          </reference>
          <reference field="3" count="1">
            <x v="34"/>
          </reference>
        </references>
      </pivotArea>
    </format>
    <format dxfId="259">
      <pivotArea dataOnly="0" labelOnly="1" outline="0" fieldPosition="0">
        <references count="2">
          <reference field="2" count="1" selected="0">
            <x v="1394"/>
          </reference>
          <reference field="3" count="1">
            <x v="40"/>
          </reference>
        </references>
      </pivotArea>
    </format>
    <format dxfId="258">
      <pivotArea dataOnly="0" labelOnly="1" outline="0" fieldPosition="0">
        <references count="2">
          <reference field="2" count="1" selected="0">
            <x v="1442"/>
          </reference>
          <reference field="3" count="1">
            <x v="39"/>
          </reference>
        </references>
      </pivotArea>
    </format>
    <format dxfId="257">
      <pivotArea dataOnly="0" labelOnly="1" outline="0" fieldPosition="0">
        <references count="2">
          <reference field="2" count="1" selected="0">
            <x v="1451"/>
          </reference>
          <reference field="3" count="1">
            <x v="33"/>
          </reference>
        </references>
      </pivotArea>
    </format>
    <format dxfId="256">
      <pivotArea dataOnly="0" labelOnly="1" outline="0" fieldPosition="0">
        <references count="2">
          <reference field="2" count="1" selected="0">
            <x v="1461"/>
          </reference>
          <reference field="3" count="1">
            <x v="37"/>
          </reference>
        </references>
      </pivotArea>
    </format>
    <format dxfId="255">
      <pivotArea dataOnly="0" labelOnly="1" outline="0" fieldPosition="0">
        <references count="2">
          <reference field="2" count="1" selected="0">
            <x v="1463"/>
          </reference>
          <reference field="3" count="1">
            <x v="38"/>
          </reference>
        </references>
      </pivotArea>
    </format>
    <format dxfId="254">
      <pivotArea dataOnly="0" labelOnly="1" outline="0" fieldPosition="0">
        <references count="2">
          <reference field="2" count="1" selected="0">
            <x v="1489"/>
          </reference>
          <reference field="3" count="1">
            <x v="31"/>
          </reference>
        </references>
      </pivotArea>
    </format>
    <format dxfId="253">
      <pivotArea dataOnly="0" labelOnly="1" outline="0" fieldPosition="0">
        <references count="1">
          <reference field="0" count="0"/>
        </references>
      </pivotArea>
    </format>
    <format dxfId="252">
      <pivotArea field="3" type="button" dataOnly="0" labelOnly="1" outline="0" axis="axisRow" fieldPosition="1"/>
    </format>
    <format dxfId="251">
      <pivotArea dataOnly="0" labelOnly="1" grandRow="1" outline="0" fieldPosition="0"/>
    </format>
    <format dxfId="250">
      <pivotArea dataOnly="0" labelOnly="1" outline="0" fieldPosition="0">
        <references count="2">
          <reference field="2" count="1" selected="0">
            <x v="40"/>
          </reference>
          <reference field="3" count="1">
            <x v="44"/>
          </reference>
        </references>
      </pivotArea>
    </format>
    <format dxfId="249">
      <pivotArea dataOnly="0" labelOnly="1" outline="0" fieldPosition="0">
        <references count="2">
          <reference field="2" count="1" selected="0">
            <x v="66"/>
          </reference>
          <reference field="3" count="1">
            <x v="35"/>
          </reference>
        </references>
      </pivotArea>
    </format>
    <format dxfId="248">
      <pivotArea dataOnly="0" labelOnly="1" outline="0" fieldPosition="0">
        <references count="2">
          <reference field="2" count="1" selected="0">
            <x v="69"/>
          </reference>
          <reference field="3" count="1">
            <x v="23"/>
          </reference>
        </references>
      </pivotArea>
    </format>
    <format dxfId="247">
      <pivotArea dataOnly="0" labelOnly="1" outline="0" fieldPosition="0">
        <references count="2">
          <reference field="2" count="1" selected="0">
            <x v="89"/>
          </reference>
          <reference field="3" count="1">
            <x v="23"/>
          </reference>
        </references>
      </pivotArea>
    </format>
    <format dxfId="246">
      <pivotArea dataOnly="0" labelOnly="1" outline="0" fieldPosition="0">
        <references count="2">
          <reference field="2" count="1" selected="0">
            <x v="97"/>
          </reference>
          <reference field="3" count="1">
            <x v="4"/>
          </reference>
        </references>
      </pivotArea>
    </format>
    <format dxfId="245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244">
      <pivotArea dataOnly="0" labelOnly="1" outline="0" fieldPosition="0">
        <references count="2">
          <reference field="2" count="1" selected="0">
            <x v="112"/>
          </reference>
          <reference field="3" count="1">
            <x v="13"/>
          </reference>
        </references>
      </pivotArea>
    </format>
    <format dxfId="243">
      <pivotArea dataOnly="0" labelOnly="1" outline="0" fieldPosition="0">
        <references count="2">
          <reference field="2" count="1" selected="0">
            <x v="234"/>
          </reference>
          <reference field="3" count="2">
            <x v="8"/>
            <x v="22"/>
          </reference>
        </references>
      </pivotArea>
    </format>
    <format dxfId="242">
      <pivotArea dataOnly="0" labelOnly="1" outline="0" fieldPosition="0">
        <references count="2">
          <reference field="2" count="1" selected="0">
            <x v="294"/>
          </reference>
          <reference field="3" count="1">
            <x v="34"/>
          </reference>
        </references>
      </pivotArea>
    </format>
    <format dxfId="241">
      <pivotArea dataOnly="0" labelOnly="1" outline="0" fieldPosition="0">
        <references count="2">
          <reference field="2" count="1" selected="0">
            <x v="301"/>
          </reference>
          <reference field="3" count="1">
            <x v="22"/>
          </reference>
        </references>
      </pivotArea>
    </format>
    <format dxfId="240">
      <pivotArea dataOnly="0" labelOnly="1" outline="0" fieldPosition="0">
        <references count="2">
          <reference field="2" count="1" selected="0">
            <x v="309"/>
          </reference>
          <reference field="3" count="1">
            <x v="22"/>
          </reference>
        </references>
      </pivotArea>
    </format>
    <format dxfId="239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238">
      <pivotArea dataOnly="0" labelOnly="1" outline="0" fieldPosition="0">
        <references count="2">
          <reference field="2" count="1" selected="0">
            <x v="316"/>
          </reference>
          <reference field="3" count="1">
            <x v="21"/>
          </reference>
        </references>
      </pivotArea>
    </format>
    <format dxfId="237">
      <pivotArea dataOnly="0" labelOnly="1" outline="0" fieldPosition="0">
        <references count="2">
          <reference field="2" count="1" selected="0">
            <x v="342"/>
          </reference>
          <reference field="3" count="1">
            <x v="18"/>
          </reference>
        </references>
      </pivotArea>
    </format>
    <format dxfId="236">
      <pivotArea dataOnly="0" labelOnly="1" outline="0" fieldPosition="0">
        <references count="2">
          <reference field="2" count="1" selected="0">
            <x v="343"/>
          </reference>
          <reference field="3" count="1">
            <x v="18"/>
          </reference>
        </references>
      </pivotArea>
    </format>
    <format dxfId="235">
      <pivotArea dataOnly="0" labelOnly="1" outline="0" fieldPosition="0">
        <references count="2">
          <reference field="2" count="1" selected="0">
            <x v="362"/>
          </reference>
          <reference field="3" count="1">
            <x v="25"/>
          </reference>
        </references>
      </pivotArea>
    </format>
    <format dxfId="234">
      <pivotArea dataOnly="0" labelOnly="1" outline="0" fieldPosition="0">
        <references count="2">
          <reference field="2" count="1" selected="0">
            <x v="363"/>
          </reference>
          <reference field="3" count="1">
            <x v="25"/>
          </reference>
        </references>
      </pivotArea>
    </format>
    <format dxfId="233">
      <pivotArea dataOnly="0" labelOnly="1" outline="0" fieldPosition="0">
        <references count="2">
          <reference field="2" count="1" selected="0">
            <x v="364"/>
          </reference>
          <reference field="3" count="1">
            <x v="25"/>
          </reference>
        </references>
      </pivotArea>
    </format>
    <format dxfId="232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231">
      <pivotArea dataOnly="0" labelOnly="1" outline="0" fieldPosition="0">
        <references count="2">
          <reference field="2" count="1" selected="0">
            <x v="381"/>
          </reference>
          <reference field="3" count="1">
            <x v="18"/>
          </reference>
        </references>
      </pivotArea>
    </format>
    <format dxfId="230">
      <pivotArea dataOnly="0" labelOnly="1" outline="0" fieldPosition="0">
        <references count="2">
          <reference field="2" count="1" selected="0">
            <x v="425"/>
          </reference>
          <reference field="3" count="1">
            <x v="3"/>
          </reference>
        </references>
      </pivotArea>
    </format>
    <format dxfId="229">
      <pivotArea dataOnly="0" labelOnly="1" outline="0" fieldPosition="0">
        <references count="2">
          <reference field="2" count="1" selected="0">
            <x v="428"/>
          </reference>
          <reference field="3" count="1">
            <x v="2"/>
          </reference>
        </references>
      </pivotArea>
    </format>
    <format dxfId="228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227">
      <pivotArea dataOnly="0" labelOnly="1" outline="0" fieldPosition="0">
        <references count="2">
          <reference field="2" count="1" selected="0">
            <x v="434"/>
          </reference>
          <reference field="3" count="1">
            <x v="3"/>
          </reference>
        </references>
      </pivotArea>
    </format>
    <format dxfId="226">
      <pivotArea dataOnly="0" labelOnly="1" outline="0" fieldPosition="0">
        <references count="2">
          <reference field="2" count="1" selected="0">
            <x v="470"/>
          </reference>
          <reference field="3" count="1">
            <x v="16"/>
          </reference>
        </references>
      </pivotArea>
    </format>
    <format dxfId="225">
      <pivotArea dataOnly="0" labelOnly="1" outline="0" fieldPosition="0">
        <references count="2">
          <reference field="2" count="1" selected="0">
            <x v="471"/>
          </reference>
          <reference field="3" count="1">
            <x v="16"/>
          </reference>
        </references>
      </pivotArea>
    </format>
    <format dxfId="224">
      <pivotArea dataOnly="0" labelOnly="1" outline="0" fieldPosition="0">
        <references count="2">
          <reference field="2" count="1" selected="0">
            <x v="485"/>
          </reference>
          <reference field="3" count="1">
            <x v="35"/>
          </reference>
        </references>
      </pivotArea>
    </format>
    <format dxfId="223">
      <pivotArea dataOnly="0" labelOnly="1" outline="0" fieldPosition="0">
        <references count="2">
          <reference field="2" count="1" selected="0">
            <x v="522"/>
          </reference>
          <reference field="3" count="1">
            <x v="18"/>
          </reference>
        </references>
      </pivotArea>
    </format>
    <format dxfId="222">
      <pivotArea dataOnly="0" labelOnly="1" outline="0" fieldPosition="0">
        <references count="2">
          <reference field="2" count="1" selected="0">
            <x v="591"/>
          </reference>
          <reference field="3" count="1">
            <x v="54"/>
          </reference>
        </references>
      </pivotArea>
    </format>
    <format dxfId="221">
      <pivotArea dataOnly="0" labelOnly="1" outline="0" fieldPosition="0">
        <references count="2">
          <reference field="2" count="1" selected="0">
            <x v="592"/>
          </reference>
          <reference field="3" count="1">
            <x v="54"/>
          </reference>
        </references>
      </pivotArea>
    </format>
    <format dxfId="220">
      <pivotArea dataOnly="0" labelOnly="1" outline="0" fieldPosition="0">
        <references count="2">
          <reference field="2" count="1" selected="0">
            <x v="628"/>
          </reference>
          <reference field="3" count="1">
            <x v="32"/>
          </reference>
        </references>
      </pivotArea>
    </format>
    <format dxfId="219">
      <pivotArea dataOnly="0" labelOnly="1" outline="0" fieldPosition="0">
        <references count="2">
          <reference field="2" count="1" selected="0">
            <x v="629"/>
          </reference>
          <reference field="3" count="1">
            <x v="32"/>
          </reference>
        </references>
      </pivotArea>
    </format>
    <format dxfId="218">
      <pivotArea dataOnly="0" labelOnly="1" outline="0" fieldPosition="0">
        <references count="2">
          <reference field="2" count="1" selected="0">
            <x v="633"/>
          </reference>
          <reference field="3" count="1">
            <x v="32"/>
          </reference>
        </references>
      </pivotArea>
    </format>
    <format dxfId="217">
      <pivotArea dataOnly="0" labelOnly="1" outline="0" fieldPosition="0">
        <references count="2">
          <reference field="2" count="1" selected="0">
            <x v="634"/>
          </reference>
          <reference field="3" count="1">
            <x v="32"/>
          </reference>
        </references>
      </pivotArea>
    </format>
    <format dxfId="216">
      <pivotArea dataOnly="0" labelOnly="1" outline="0" fieldPosition="0">
        <references count="2">
          <reference field="2" count="1" selected="0">
            <x v="635"/>
          </reference>
          <reference field="3" count="1">
            <x v="32"/>
          </reference>
        </references>
      </pivotArea>
    </format>
    <format dxfId="215">
      <pivotArea dataOnly="0" labelOnly="1" outline="0" fieldPosition="0">
        <references count="2">
          <reference field="2" count="1" selected="0">
            <x v="636"/>
          </reference>
          <reference field="3" count="1">
            <x v="32"/>
          </reference>
        </references>
      </pivotArea>
    </format>
    <format dxfId="214">
      <pivotArea dataOnly="0" labelOnly="1" outline="0" fieldPosition="0">
        <references count="2">
          <reference field="2" count="1" selected="0">
            <x v="637"/>
          </reference>
          <reference field="3" count="1">
            <x v="32"/>
          </reference>
        </references>
      </pivotArea>
    </format>
    <format dxfId="213">
      <pivotArea dataOnly="0" labelOnly="1" outline="0" fieldPosition="0">
        <references count="2">
          <reference field="2" count="1" selected="0">
            <x v="643"/>
          </reference>
          <reference field="3" count="1">
            <x v="6"/>
          </reference>
        </references>
      </pivotArea>
    </format>
    <format dxfId="212">
      <pivotArea dataOnly="0" labelOnly="1" outline="0" fieldPosition="0">
        <references count="2">
          <reference field="2" count="1" selected="0">
            <x v="644"/>
          </reference>
          <reference field="3" count="1">
            <x v="8"/>
          </reference>
        </references>
      </pivotArea>
    </format>
    <format dxfId="211">
      <pivotArea dataOnly="0" labelOnly="1" outline="0" fieldPosition="0">
        <references count="2">
          <reference field="2" count="1" selected="0">
            <x v="645"/>
          </reference>
          <reference field="3" count="1">
            <x v="8"/>
          </reference>
        </references>
      </pivotArea>
    </format>
    <format dxfId="210">
      <pivotArea dataOnly="0" labelOnly="1" outline="0" fieldPosition="0">
        <references count="2">
          <reference field="2" count="1" selected="0">
            <x v="648"/>
          </reference>
          <reference field="3" count="1">
            <x v="22"/>
          </reference>
        </references>
      </pivotArea>
    </format>
    <format dxfId="209">
      <pivotArea dataOnly="0" labelOnly="1" outline="0" fieldPosition="0">
        <references count="2">
          <reference field="2" count="1" selected="0">
            <x v="653"/>
          </reference>
          <reference field="3" count="1">
            <x v="4"/>
          </reference>
        </references>
      </pivotArea>
    </format>
    <format dxfId="208">
      <pivotArea dataOnly="0" labelOnly="1" outline="0" fieldPosition="0">
        <references count="2">
          <reference field="2" count="1" selected="0">
            <x v="654"/>
          </reference>
          <reference field="3" count="2">
            <x v="8"/>
            <x v="14"/>
          </reference>
        </references>
      </pivotArea>
    </format>
    <format dxfId="207">
      <pivotArea dataOnly="0" labelOnly="1" outline="0" fieldPosition="0">
        <references count="2">
          <reference field="2" count="1" selected="0">
            <x v="660"/>
          </reference>
          <reference field="3" count="1">
            <x v="33"/>
          </reference>
        </references>
      </pivotArea>
    </format>
    <format dxfId="206">
      <pivotArea dataOnly="0" labelOnly="1" outline="0" fieldPosition="0">
        <references count="2">
          <reference field="2" count="1" selected="0">
            <x v="710"/>
          </reference>
          <reference field="3" count="1">
            <x v="40"/>
          </reference>
        </references>
      </pivotArea>
    </format>
    <format dxfId="205">
      <pivotArea dataOnly="0" labelOnly="1" outline="0" fieldPosition="0">
        <references count="2">
          <reference field="2" count="1" selected="0">
            <x v="785"/>
          </reference>
          <reference field="3" count="1">
            <x v="46"/>
          </reference>
        </references>
      </pivotArea>
    </format>
    <format dxfId="204">
      <pivotArea dataOnly="0" labelOnly="1" outline="0" fieldPosition="0">
        <references count="2">
          <reference field="2" count="1" selected="0">
            <x v="815"/>
          </reference>
          <reference field="3" count="1">
            <x v="47"/>
          </reference>
        </references>
      </pivotArea>
    </format>
    <format dxfId="203">
      <pivotArea dataOnly="0" labelOnly="1" outline="0" fieldPosition="0">
        <references count="2">
          <reference field="2" count="1" selected="0">
            <x v="832"/>
          </reference>
          <reference field="3" count="1">
            <x v="51"/>
          </reference>
        </references>
      </pivotArea>
    </format>
    <format dxfId="202">
      <pivotArea dataOnly="0" labelOnly="1" outline="0" fieldPosition="0">
        <references count="2">
          <reference field="2" count="1" selected="0">
            <x v="954"/>
          </reference>
          <reference field="3" count="1">
            <x v="29"/>
          </reference>
        </references>
      </pivotArea>
    </format>
    <format dxfId="201">
      <pivotArea dataOnly="0" labelOnly="1" outline="0" fieldPosition="0">
        <references count="2">
          <reference field="2" count="1" selected="0">
            <x v="955"/>
          </reference>
          <reference field="3" count="1">
            <x v="29"/>
          </reference>
        </references>
      </pivotArea>
    </format>
    <format dxfId="200">
      <pivotArea dataOnly="0" labelOnly="1" outline="0" fieldPosition="0">
        <references count="2">
          <reference field="2" count="1" selected="0">
            <x v="958"/>
          </reference>
          <reference field="3" count="2">
            <x v="18"/>
            <x v="25"/>
          </reference>
        </references>
      </pivotArea>
    </format>
    <format dxfId="199">
      <pivotArea dataOnly="0" labelOnly="1" outline="0" fieldPosition="0">
        <references count="2">
          <reference field="2" count="1" selected="0">
            <x v="960"/>
          </reference>
          <reference field="3" count="1">
            <x v="32"/>
          </reference>
        </references>
      </pivotArea>
    </format>
    <format dxfId="198">
      <pivotArea dataOnly="0" labelOnly="1" outline="0" fieldPosition="0">
        <references count="2">
          <reference field="2" count="1" selected="0">
            <x v="1005"/>
          </reference>
          <reference field="3" count="1">
            <x v="24"/>
          </reference>
        </references>
      </pivotArea>
    </format>
    <format dxfId="197">
      <pivotArea dataOnly="0" labelOnly="1" outline="0" fieldPosition="0">
        <references count="2">
          <reference field="2" count="1" selected="0">
            <x v="1007"/>
          </reference>
          <reference field="3" count="1">
            <x v="50"/>
          </reference>
        </references>
      </pivotArea>
    </format>
    <format dxfId="196">
      <pivotArea dataOnly="0" labelOnly="1" outline="0" fieldPosition="0">
        <references count="2">
          <reference field="2" count="1" selected="0">
            <x v="1010"/>
          </reference>
          <reference field="3" count="1">
            <x v="58"/>
          </reference>
        </references>
      </pivotArea>
    </format>
    <format dxfId="195">
      <pivotArea dataOnly="0" labelOnly="1" outline="0" fieldPosition="0">
        <references count="2">
          <reference field="2" count="1" selected="0">
            <x v="1018"/>
          </reference>
          <reference field="3" count="1">
            <x v="17"/>
          </reference>
        </references>
      </pivotArea>
    </format>
    <format dxfId="194">
      <pivotArea dataOnly="0" labelOnly="1" outline="0" fieldPosition="0">
        <references count="2">
          <reference field="2" count="1" selected="0">
            <x v="1020"/>
          </reference>
          <reference field="3" count="1">
            <x v="7"/>
          </reference>
        </references>
      </pivotArea>
    </format>
    <format dxfId="193">
      <pivotArea dataOnly="0" labelOnly="1" outline="0" fieldPosition="0">
        <references count="2">
          <reference field="2" count="1" selected="0">
            <x v="1022"/>
          </reference>
          <reference field="3" count="1">
            <x v="25"/>
          </reference>
        </references>
      </pivotArea>
    </format>
    <format dxfId="192">
      <pivotArea dataOnly="0" labelOnly="1" outline="0" fieldPosition="0">
        <references count="2">
          <reference field="2" count="1" selected="0">
            <x v="1056"/>
          </reference>
          <reference field="3" count="1">
            <x v="5"/>
          </reference>
        </references>
      </pivotArea>
    </format>
    <format dxfId="191">
      <pivotArea dataOnly="0" labelOnly="1" outline="0" fieldPosition="0">
        <references count="2">
          <reference field="2" count="1" selected="0">
            <x v="1058"/>
          </reference>
          <reference field="3" count="1">
            <x v="26"/>
          </reference>
        </references>
      </pivotArea>
    </format>
    <format dxfId="190">
      <pivotArea dataOnly="0" labelOnly="1" outline="0" fieldPosition="0">
        <references count="2">
          <reference field="2" count="1" selected="0">
            <x v="1060"/>
          </reference>
          <reference field="3" count="1">
            <x v="26"/>
          </reference>
        </references>
      </pivotArea>
    </format>
    <format dxfId="189">
      <pivotArea dataOnly="0" labelOnly="1" outline="0" fieldPosition="0">
        <references count="2">
          <reference field="2" count="1" selected="0">
            <x v="1066"/>
          </reference>
          <reference field="3" count="1">
            <x v="51"/>
          </reference>
        </references>
      </pivotArea>
    </format>
    <format dxfId="188">
      <pivotArea dataOnly="0" labelOnly="1" outline="0" fieldPosition="0">
        <references count="2">
          <reference field="2" count="1" selected="0">
            <x v="1070"/>
          </reference>
          <reference field="3" count="1">
            <x v="57"/>
          </reference>
        </references>
      </pivotArea>
    </format>
    <format dxfId="187">
      <pivotArea dataOnly="0" labelOnly="1" outline="0" fieldPosition="0">
        <references count="2">
          <reference field="2" count="1" selected="0">
            <x v="1078"/>
          </reference>
          <reference field="3" count="1">
            <x v="52"/>
          </reference>
        </references>
      </pivotArea>
    </format>
    <format dxfId="186">
      <pivotArea dataOnly="0" labelOnly="1" outline="0" fieldPosition="0">
        <references count="2">
          <reference field="2" count="1" selected="0">
            <x v="1079"/>
          </reference>
          <reference field="3" count="1">
            <x v="22"/>
          </reference>
        </references>
      </pivotArea>
    </format>
    <format dxfId="185">
      <pivotArea dataOnly="0" labelOnly="1" outline="0" fieldPosition="0">
        <references count="2">
          <reference field="2" count="1" selected="0">
            <x v="1080"/>
          </reference>
          <reference field="3" count="1">
            <x v="28"/>
          </reference>
        </references>
      </pivotArea>
    </format>
    <format dxfId="184">
      <pivotArea dataOnly="0" labelOnly="1" outline="0" fieldPosition="0">
        <references count="2">
          <reference field="2" count="1" selected="0">
            <x v="1096"/>
          </reference>
          <reference field="3" count="1">
            <x v="51"/>
          </reference>
        </references>
      </pivotArea>
    </format>
    <format dxfId="183">
      <pivotArea dataOnly="0" labelOnly="1" outline="0" fieldPosition="0">
        <references count="2">
          <reference field="2" count="1" selected="0">
            <x v="1166"/>
          </reference>
          <reference field="3" count="1">
            <x v="51"/>
          </reference>
        </references>
      </pivotArea>
    </format>
    <format dxfId="182">
      <pivotArea dataOnly="0" labelOnly="1" outline="0" fieldPosition="0">
        <references count="2">
          <reference field="2" count="1" selected="0">
            <x v="1245"/>
          </reference>
          <reference field="3" count="1">
            <x v="33"/>
          </reference>
        </references>
      </pivotArea>
    </format>
    <format dxfId="181">
      <pivotArea dataOnly="0" labelOnly="1" outline="0" fieldPosition="0">
        <references count="2">
          <reference field="2" count="1" selected="0">
            <x v="1247"/>
          </reference>
          <reference field="3" count="1">
            <x v="33"/>
          </reference>
        </references>
      </pivotArea>
    </format>
    <format dxfId="180">
      <pivotArea dataOnly="0" labelOnly="1" outline="0" fieldPosition="0">
        <references count="2">
          <reference field="2" count="1" selected="0">
            <x v="1249"/>
          </reference>
          <reference field="3" count="1">
            <x v="45"/>
          </reference>
        </references>
      </pivotArea>
    </format>
    <format dxfId="179">
      <pivotArea dataOnly="0" labelOnly="1" outline="0" fieldPosition="0">
        <references count="2">
          <reference field="2" count="1" selected="0">
            <x v="1250"/>
          </reference>
          <reference field="3" count="1">
            <x v="33"/>
          </reference>
        </references>
      </pivotArea>
    </format>
    <format dxfId="178">
      <pivotArea dataOnly="0" labelOnly="1" outline="0" fieldPosition="0">
        <references count="2">
          <reference field="2" count="1" selected="0">
            <x v="1252"/>
          </reference>
          <reference field="3" count="1">
            <x v="27"/>
          </reference>
        </references>
      </pivotArea>
    </format>
    <format dxfId="177">
      <pivotArea dataOnly="0" labelOnly="1" outline="0" fieldPosition="0">
        <references count="2">
          <reference field="2" count="1" selected="0">
            <x v="1288"/>
          </reference>
          <reference field="3" count="1">
            <x v="56"/>
          </reference>
        </references>
      </pivotArea>
    </format>
    <format dxfId="176">
      <pivotArea dataOnly="0" labelOnly="1" outline="0" fieldPosition="0">
        <references count="2">
          <reference field="2" count="1" selected="0">
            <x v="1289"/>
          </reference>
          <reference field="3" count="1">
            <x v="59"/>
          </reference>
        </references>
      </pivotArea>
    </format>
    <format dxfId="175">
      <pivotArea dataOnly="0" labelOnly="1" outline="0" fieldPosition="0">
        <references count="2">
          <reference field="2" count="1" selected="0">
            <x v="1306"/>
          </reference>
          <reference field="3" count="1">
            <x v="27"/>
          </reference>
        </references>
      </pivotArea>
    </format>
    <format dxfId="174">
      <pivotArea dataOnly="0" labelOnly="1" outline="0" fieldPosition="0">
        <references count="2">
          <reference field="2" count="1" selected="0">
            <x v="1308"/>
          </reference>
          <reference field="3" count="1">
            <x v="48"/>
          </reference>
        </references>
      </pivotArea>
    </format>
    <format dxfId="173">
      <pivotArea dataOnly="0" labelOnly="1" outline="0" fieldPosition="0">
        <references count="2">
          <reference field="2" count="1" selected="0">
            <x v="1309"/>
          </reference>
          <reference field="3" count="1">
            <x v="49"/>
          </reference>
        </references>
      </pivotArea>
    </format>
    <format dxfId="172">
      <pivotArea dataOnly="0" labelOnly="1" outline="0" fieldPosition="0">
        <references count="2">
          <reference field="2" count="1" selected="0">
            <x v="1312"/>
          </reference>
          <reference field="3" count="1">
            <x v="48"/>
          </reference>
        </references>
      </pivotArea>
    </format>
    <format dxfId="171">
      <pivotArea dataOnly="0" labelOnly="1" outline="0" fieldPosition="0">
        <references count="2">
          <reference field="2" count="1" selected="0">
            <x v="1313"/>
          </reference>
          <reference field="3" count="1">
            <x v="49"/>
          </reference>
        </references>
      </pivotArea>
    </format>
    <format dxfId="170">
      <pivotArea dataOnly="0" labelOnly="1" outline="0" fieldPosition="0">
        <references count="2">
          <reference field="2" count="1" selected="0">
            <x v="1314"/>
          </reference>
          <reference field="3" count="1">
            <x v="27"/>
          </reference>
        </references>
      </pivotArea>
    </format>
    <format dxfId="169">
      <pivotArea dataOnly="0" labelOnly="1" outline="0" fieldPosition="0">
        <references count="2">
          <reference field="2" count="1" selected="0">
            <x v="1371"/>
          </reference>
          <reference field="3" count="1">
            <x v="41"/>
          </reference>
        </references>
      </pivotArea>
    </format>
    <format dxfId="168">
      <pivotArea dataOnly="0" labelOnly="1" outline="0" fieldPosition="0">
        <references count="2">
          <reference field="2" count="1" selected="0">
            <x v="1372"/>
          </reference>
          <reference field="3" count="1">
            <x v="34"/>
          </reference>
        </references>
      </pivotArea>
    </format>
    <format dxfId="167">
      <pivotArea dataOnly="0" labelOnly="1" outline="0" fieldPosition="0">
        <references count="2">
          <reference field="2" count="1" selected="0">
            <x v="1394"/>
          </reference>
          <reference field="3" count="1">
            <x v="40"/>
          </reference>
        </references>
      </pivotArea>
    </format>
    <format dxfId="166">
      <pivotArea dataOnly="0" labelOnly="1" outline="0" fieldPosition="0">
        <references count="2">
          <reference field="2" count="1" selected="0">
            <x v="1442"/>
          </reference>
          <reference field="3" count="1">
            <x v="39"/>
          </reference>
        </references>
      </pivotArea>
    </format>
    <format dxfId="165">
      <pivotArea dataOnly="0" labelOnly="1" outline="0" fieldPosition="0">
        <references count="2">
          <reference field="2" count="1" selected="0">
            <x v="1451"/>
          </reference>
          <reference field="3" count="1">
            <x v="33"/>
          </reference>
        </references>
      </pivotArea>
    </format>
    <format dxfId="164">
      <pivotArea dataOnly="0" labelOnly="1" outline="0" fieldPosition="0">
        <references count="2">
          <reference field="2" count="1" selected="0">
            <x v="1461"/>
          </reference>
          <reference field="3" count="1">
            <x v="37"/>
          </reference>
        </references>
      </pivotArea>
    </format>
    <format dxfId="163">
      <pivotArea dataOnly="0" labelOnly="1" outline="0" fieldPosition="0">
        <references count="2">
          <reference field="2" count="1" selected="0">
            <x v="1463"/>
          </reference>
          <reference field="3" count="1">
            <x v="38"/>
          </reference>
        </references>
      </pivotArea>
    </format>
    <format dxfId="162">
      <pivotArea dataOnly="0" labelOnly="1" outline="0" fieldPosition="0">
        <references count="2">
          <reference field="2" count="1" selected="0">
            <x v="1489"/>
          </reference>
          <reference field="3" count="1">
            <x v="31"/>
          </reference>
        </references>
      </pivotArea>
    </format>
    <format dxfId="161">
      <pivotArea dataOnly="0" labelOnly="1" outline="0" fieldPosition="0">
        <references count="1">
          <reference field="0" count="0"/>
        </references>
      </pivotArea>
    </format>
    <format dxfId="160">
      <pivotArea dataOnly="0" labelOnly="1" outline="0" fieldPosition="0">
        <references count="1">
          <reference field="0" count="1">
            <x v="525"/>
          </reference>
        </references>
      </pivotArea>
    </format>
    <format dxfId="159">
      <pivotArea dataOnly="0" labelOnly="1" outline="0" fieldPosition="0">
        <references count="1">
          <reference field="0" count="1">
            <x v="525"/>
          </reference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37744-F3AE-4E0A-8977-27B15A97C048}" name="PivotTable1" cacheId="19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 rowHeaderCaption="GD No.">
  <location ref="C2:L67" firstHeaderRow="1" firstDataRow="2" firstDataCol="2"/>
  <pivotFields count="4">
    <pivotField axis="axisCol" compact="0" outline="0" showAll="0">
      <items count="1287">
        <item x="0"/>
        <item m="1" x="1160"/>
        <item m="1" x="380"/>
        <item m="1" x="853"/>
        <item m="1" x="1013"/>
        <item m="1" x="1169"/>
        <item m="1" x="34"/>
        <item m="1" x="202"/>
        <item m="1" x="1032"/>
        <item m="1" x="1151"/>
        <item m="1" x="990"/>
        <item m="1" x="13"/>
        <item m="1" x="182"/>
        <item m="1" x="337"/>
        <item m="1" x="485"/>
        <item m="1" x="648"/>
        <item m="1" x="807"/>
        <item m="1" x="156"/>
        <item m="1" x="317"/>
        <item m="1" x="462"/>
        <item m="1" x="620"/>
        <item m="1" x="359"/>
        <item m="1" x="1253"/>
        <item m="1" x="128"/>
        <item m="1" x="104"/>
        <item m="1" x="476"/>
        <item m="1" x="554"/>
        <item m="1" x="960"/>
        <item m="1" x="1120"/>
        <item m="1" x="124"/>
        <item m="1" x="1250"/>
        <item m="1" x="289"/>
        <item m="1" x="1173"/>
        <item m="1" x="673"/>
        <item m="1" x="999"/>
        <item m="1" x="1076"/>
        <item m="1" x="1159"/>
        <item m="1" x="758"/>
        <item m="1" x="1281"/>
        <item m="1" x="670"/>
        <item m="1" x="712"/>
        <item m="1" x="436"/>
        <item m="1" x="632"/>
        <item m="1" x="1034"/>
        <item m="1" x="142"/>
        <item m="1" x="97"/>
        <item m="1" x="1230"/>
        <item m="1" x="230"/>
        <item m="1" x="187"/>
        <item m="1" x="307"/>
        <item m="1" x="855"/>
        <item m="1" x="1047"/>
        <item m="1" x="939"/>
        <item m="1" x="895"/>
        <item m="1" x="1208"/>
        <item m="1" x="1246"/>
        <item m="1" x="1279"/>
        <item m="1" x="204"/>
        <item m="1" x="432"/>
        <item m="1" x="668"/>
        <item m="1" x="707"/>
        <item m="1" x="790"/>
        <item m="1" x="955"/>
        <item m="1" x="991"/>
        <item m="1" x="1067"/>
        <item m="1" x="184"/>
        <item m="1" x="1262"/>
        <item m="1" x="16"/>
        <item m="1" x="420"/>
        <item m="1" x="1274"/>
        <item m="1" x="303"/>
        <item m="1" x="338"/>
        <item m="1" x="393"/>
        <item m="1" x="428"/>
        <item m="1" x="986"/>
        <item m="1" x="1063"/>
        <item m="1" x="1024"/>
        <item m="1" x="62"/>
        <item m="1" x="1147"/>
        <item m="1" x="48"/>
        <item m="1" x="723"/>
        <item m="1" x="557"/>
        <item m="1" x="844"/>
        <item m="1" x="888"/>
        <item x="2"/>
        <item m="1" x="1199"/>
        <item m="1" x="424"/>
        <item m="1" x="459"/>
        <item m="1" x="783"/>
        <item m="1" x="1256"/>
        <item m="1" x="819"/>
        <item m="1" x="131"/>
        <item m="1" x="175"/>
        <item m="1" x="332"/>
        <item m="1" x="296"/>
        <item m="1" x="679"/>
        <item m="1" x="763"/>
        <item m="1" x="801"/>
        <item m="1" x="842"/>
        <item m="1" x="887"/>
        <item m="1" x="929"/>
        <item m="1" x="1236"/>
        <item m="1" x="1219"/>
        <item m="1" x="107"/>
        <item m="1" x="85"/>
        <item m="1" x="294"/>
        <item m="1" x="406"/>
        <item m="1" x="423"/>
        <item m="1" x="590"/>
        <item m="1" x="458"/>
        <item m="1" x="480"/>
        <item m="1" x="575"/>
        <item m="1" x="1196"/>
        <item m="1" x="593"/>
        <item m="1" x="496"/>
        <item m="1" x="678"/>
        <item m="1" x="639"/>
        <item m="1" x="659"/>
        <item m="1" x="841"/>
        <item m="1" x="983"/>
        <item m="1" x="947"/>
        <item m="1" x="1058"/>
        <item m="1" x="1003"/>
        <item m="1" x="1080"/>
        <item m="1" x="66"/>
        <item m="1" x="330"/>
        <item m="1" x="352"/>
        <item m="1" x="389"/>
        <item m="1" x="1254"/>
        <item m="1" x="495"/>
        <item m="1" x="516"/>
        <item m="1" x="479"/>
        <item m="1" x="677"/>
        <item m="1" x="698"/>
        <item m="1" x="782"/>
        <item m="1" x="840"/>
        <item m="1" x="1057"/>
        <item m="1" x="1079"/>
        <item m="1" x="1144"/>
        <item m="1" x="1122"/>
        <item m="1" x="1270"/>
        <item m="1" x="84"/>
        <item m="1" x="150"/>
        <item m="1" x="173"/>
        <item m="1" x="192"/>
        <item m="1" x="214"/>
        <item m="1" x="272"/>
        <item m="1" x="369"/>
        <item m="1" x="457"/>
        <item m="1" x="25"/>
        <item m="1" x="658"/>
        <item m="1" x="720"/>
        <item m="1" x="924"/>
        <item m="1" x="1056"/>
        <item m="1" x="1078"/>
        <item m="1" x="1195"/>
        <item m="1" x="1235"/>
        <item m="1" x="1217"/>
        <item m="1" x="43"/>
        <item m="1" x="65"/>
        <item m="1" x="125"/>
        <item m="1" x="256"/>
        <item m="1" x="386"/>
        <item m="1" x="573"/>
        <item m="1" x="637"/>
        <item m="1" x="781"/>
        <item m="1" x="740"/>
        <item m="1" x="818"/>
        <item m="1" x="837"/>
        <item m="1" x="923"/>
        <item m="1" x="903"/>
        <item m="1" x="1121"/>
        <item m="1" x="1142"/>
        <item m="1" x="1251"/>
        <item m="1" x="1268"/>
        <item m="1" x="1284"/>
        <item m="1" x="22"/>
        <item m="1" x="719"/>
        <item m="1" x="270"/>
        <item m="1" x="210"/>
        <item m="1" x="254"/>
        <item m="1" x="1275"/>
        <item m="1" x="475"/>
        <item m="1" x="553"/>
        <item m="1" x="589"/>
        <item m="1" x="697"/>
        <item m="1" x="779"/>
        <item m="1" x="799"/>
        <item m="1" x="815"/>
        <item m="1" x="836"/>
        <item m="1" x="921"/>
        <item m="1" x="943"/>
        <item m="1" x="959"/>
        <item m="1" x="880"/>
        <item m="1" x="862"/>
        <item m="1" x="902"/>
        <item m="1" x="980"/>
        <item m="1" x="1119"/>
        <item m="1" x="1174"/>
        <item m="1" x="860"/>
        <item m="1" x="510"/>
        <item m="1" x="835"/>
        <item m="1" x="859"/>
        <item m="1" x="878"/>
        <item m="1" x="1172"/>
        <item m="1" x="1249"/>
        <item m="1" x="671"/>
        <item m="1" x="735"/>
        <item m="1" x="713"/>
        <item m="1" x="550"/>
        <item m="1" x="694"/>
        <item m="1" x="121"/>
        <item m="1" x="775"/>
        <item m="1" x="834"/>
        <item m="1" x="166"/>
        <item m="1" x="813"/>
        <item m="1" x="877"/>
        <item m="1" x="232"/>
        <item m="1" x="1248"/>
        <item m="1" x="633"/>
        <item m="1" x="418"/>
        <item m="1" x="471"/>
        <item m="1" x="1137"/>
        <item m="1" x="1114"/>
        <item m="1" x="508"/>
        <item m="1" x="530"/>
        <item m="1" x="346"/>
        <item m="1" x="997"/>
        <item m="1" x="365"/>
        <item m="1" x="1016"/>
        <item m="1" x="1157"/>
        <item m="1" x="585"/>
        <item m="1" x="631"/>
        <item m="1" x="654"/>
        <item m="1" x="38"/>
        <item m="1" x="693"/>
        <item m="1" x="61"/>
        <item m="1" x="711"/>
        <item m="1" x="79"/>
        <item m="1" x="733"/>
        <item m="1" x="120"/>
        <item m="1" x="857"/>
        <item m="1" x="832"/>
        <item m="1" x="231"/>
        <item m="1" x="267"/>
        <item m="1" x="206"/>
        <item m="1" x="977"/>
        <item m="1" x="382"/>
        <item m="1" x="1033"/>
        <item m="1" x="399"/>
        <item m="1" x="435"/>
        <item m="1" x="364"/>
        <item m="1" x="451"/>
        <item m="1" x="1112"/>
        <item m="1" x="1155"/>
        <item m="1" x="1190"/>
        <item m="1" x="547"/>
        <item m="1" x="1209"/>
        <item m="1" x="584"/>
        <item m="1" x="19"/>
        <item m="1" x="1015"/>
        <item m="1" x="1136"/>
        <item m="1" x="732"/>
        <item m="1" x="605"/>
        <item m="1" x="37"/>
        <item m="1" x="669"/>
        <item m="1" x="630"/>
        <item m="1" x="1264"/>
        <item m="1" x="96"/>
        <item m="1" x="752"/>
        <item m="1" x="77"/>
        <item m="1" x="141"/>
        <item m="1" x="186"/>
        <item m="1" x="163"/>
        <item m="1" x="874"/>
        <item m="1" x="248"/>
        <item m="1" x="856"/>
        <item m="1" x="325"/>
        <item m="1" x="976"/>
        <item m="1" x="1031"/>
        <item m="1" x="381"/>
        <item m="1" x="1070"/>
        <item m="1" x="434"/>
        <item m="1" x="1092"/>
        <item m="1" x="342"/>
        <item m="1" x="488"/>
        <item m="1" x="1247"/>
        <item m="1" x="603"/>
        <item m="1" x="629"/>
        <item m="1" x="652"/>
        <item m="1" x="708"/>
        <item m="1" x="57"/>
        <item m="1" x="95"/>
        <item m="1" x="894"/>
        <item m="1" x="914"/>
        <item m="1" x="284"/>
        <item m="1" x="341"/>
        <item m="1" x="1046"/>
        <item m="1" x="415"/>
        <item m="1" x="993"/>
        <item m="1" x="1134"/>
        <item m="1" x="1069"/>
        <item m="1" x="433"/>
        <item m="1" x="1090"/>
        <item m="1" x="448"/>
        <item m="1" x="1110"/>
        <item m="1" x="469"/>
        <item m="1" x="306"/>
        <item m="1" x="487"/>
        <item m="1" x="792"/>
        <item m="1" x="1187"/>
        <item m="1" x="546"/>
        <item m="1" x="1228"/>
        <item m="1" x="1154"/>
        <item m="1" x="563"/>
        <item m="1" x="602"/>
        <item m="1" x="1278"/>
        <item m="1" x="525"/>
        <item m="1" x="1205"/>
        <item m="1" x="810"/>
        <item m="1" x="956"/>
        <item m="1" x="974"/>
        <item m="1" x="893"/>
        <item m="1" x="115"/>
        <item m="1" x="340"/>
        <item m="1" x="397"/>
        <item m="1" x="431"/>
        <item m="1" x="378"/>
        <item m="1" x="1133"/>
        <item m="1" x="750"/>
        <item m="1" x="1109"/>
        <item m="1" x="1153"/>
        <item m="1" x="650"/>
        <item m="1" x="17"/>
        <item m="1" x="1029"/>
        <item m="1" x="667"/>
        <item m="1" x="749"/>
        <item m="1" x="114"/>
        <item m="1" x="323"/>
        <item m="1" x="305"/>
        <item m="1" x="1186"/>
        <item m="1" x="938"/>
        <item m="1" x="94"/>
        <item m="1" x="789"/>
        <item m="1" x="201"/>
        <item m="1" x="414"/>
        <item m="1" x="377"/>
        <item m="1" x="892"/>
        <item m="1" x="282"/>
        <item m="1" x="544"/>
        <item m="1" x="304"/>
        <item m="1" x="973"/>
        <item m="1" x="322"/>
        <item m="1" x="954"/>
        <item m="1" x="339"/>
        <item m="1" x="1066"/>
        <item m="1" x="446"/>
        <item m="1" x="295"/>
        <item m="1" x="502"/>
        <item m="1" x="686"/>
        <item m="1" x="1206"/>
        <item m="1" x="226"/>
        <item m="1" x="1044"/>
        <item m="1" x="828"/>
        <item m="1" x="543"/>
        <item m="1" x="14"/>
        <item m="1" x="466"/>
        <item m="1" x="75"/>
        <item m="1" x="685"/>
        <item m="1" x="705"/>
        <item m="1" x="826"/>
        <item m="1" x="200"/>
        <item m="1" x="263"/>
        <item m="1" x="281"/>
        <item m="1" x="849"/>
        <item m="1" x="321"/>
        <item m="1" x="1261"/>
        <item m="1" x="989"/>
        <item m="1" x="183"/>
        <item m="1" x="972"/>
        <item m="1" x="1260"/>
        <item m="1" x="456"/>
        <item m="1" x="1011"/>
        <item m="1" x="871"/>
        <item m="1" x="1276"/>
        <item m="1" x="1243"/>
        <item m="1" x="581"/>
        <item m="1" x="245"/>
        <item m="1" x="1167"/>
        <item m="1" x="727"/>
        <item m="1" x="663"/>
        <item m="1" x="30"/>
        <item m="1" x="933"/>
        <item m="1" x="301"/>
        <item m="1" x="848"/>
        <item m="1" x="262"/>
        <item m="1" x="970"/>
        <item m="1" x="336"/>
        <item m="1" x="988"/>
        <item m="1" x="159"/>
        <item m="1" x="747"/>
        <item m="1" x="687"/>
        <item m="1" x="32"/>
        <item m="1" x="1010"/>
        <item m="1" x="966"/>
        <item m="1" x="838"/>
        <item m="1" x="1272"/>
        <item m="1" x="618"/>
        <item m="1" x="942"/>
        <item m="1" x="897"/>
        <item m="1" x="646"/>
        <item m="1" x="817"/>
        <item m="1" x="237"/>
        <item m="1" x="798"/>
        <item m="1" x="146"/>
        <item m="1" x="863"/>
        <item m="1" x="455"/>
        <item m="1" x="80"/>
        <item m="1" x="1257"/>
        <item m="1" x="1051"/>
        <item m="1" x="875"/>
        <item m="1" x="548"/>
        <item m="1" x="555"/>
        <item m="1" x="567"/>
        <item m="1" x="827"/>
        <item m="1" x="666"/>
        <item m="1" x="503"/>
        <item m="1" x="1129"/>
        <item m="1" x="400"/>
        <item m="1" x="1102"/>
        <item m="1" x="350"/>
        <item m="1" x="764"/>
        <item m="1" x="928"/>
        <item m="1" x="1082"/>
        <item m="1" x="439"/>
        <item m="1" x="132"/>
        <item m="1" x="275"/>
        <item m="1" x="1220"/>
        <item m="1" x="331"/>
        <item m="1" x="407"/>
        <item m="1" x="800"/>
        <item m="1" x="536"/>
        <item m="1" x="866"/>
        <item m="1" x="1020"/>
        <item m="1" x="1179"/>
        <item m="1" x="1098"/>
        <item m="1" x="67"/>
        <item m="1" x="438"/>
        <item m="1" x="1037"/>
        <item m="1" x="699"/>
        <item m="1" x="963"/>
        <item m="1" x="886"/>
        <item m="1" x="592"/>
        <item m="1" x="925"/>
        <item m="1" x="580"/>
        <item m="1" x="422"/>
        <item m="1" x="1216"/>
        <item m="1" x="577"/>
        <item m="1" x="741"/>
        <item m="1" x="171"/>
        <item m="1" x="1055"/>
        <item m="1" x="1143"/>
        <item m="1" x="82"/>
        <item m="1" x="404"/>
        <item m="1" x="551"/>
        <item m="1" x="351"/>
        <item m="1" x="312"/>
        <item m="1" x="616"/>
        <item m="1" x="1194"/>
        <item m="1" x="514"/>
        <item m="1" x="255"/>
        <item m="1" x="1019"/>
        <item m="1" x="1095"/>
        <item m="1" x="41"/>
        <item m="1" x="919"/>
        <item m="1" x="21"/>
        <item m="1" x="269"/>
        <item m="1" x="190"/>
        <item m="1" x="348"/>
        <item m="1" x="492"/>
        <item m="1" x="1139"/>
        <item m="1" x="1052"/>
        <item m="1" x="569"/>
        <item m="1" x="167"/>
        <item m="1" x="207"/>
        <item m="1" x="287"/>
        <item m="1" x="327"/>
        <item m="1" x="1071"/>
        <item m="1" x="1113"/>
        <item m="1" x="1267"/>
        <item m="1" x="266"/>
        <item m="1" x="958"/>
        <item m="1" x="653"/>
        <item m="1" x="691"/>
        <item m="1" x="450"/>
        <item m="1" x="489"/>
        <item m="1" x="344"/>
        <item m="1" x="731"/>
        <item m="1" x="773"/>
        <item m="1" x="811"/>
        <item m="1" x="604"/>
        <item m="1" x="996"/>
        <item m="1" x="293"/>
        <item m="1" x="366"/>
        <item m="1" x="116"/>
        <item m="1" x="1014"/>
        <item m="1" x="162"/>
        <item m="1" x="247"/>
        <item m="1" x="398"/>
        <item m="1" x="324"/>
        <item m="1" x="545"/>
        <item m="1" x="1028"/>
        <item m="1" x="138"/>
        <item m="1" x="975"/>
        <item m="1" x="1108"/>
        <item m="1" x="264"/>
        <item m="1" x="486"/>
        <item m="1" x="523"/>
        <item m="1" x="445"/>
        <item m="1" x="1152"/>
        <item m="1" x="417"/>
        <item m="1" x="73"/>
        <item m="1" x="468"/>
        <item m="1" x="1049"/>
        <item m="1" x="1087"/>
        <item m="1" x="684"/>
        <item m="1" x="112"/>
        <item m="1" x="158"/>
        <item m="1" x="1203"/>
        <item m="1" x="198"/>
        <item m="1" x="1242"/>
        <item m="1" x="1091"/>
        <item m="1" x="464"/>
        <item m="1" x="500"/>
        <item m="1" x="540"/>
        <item m="1" x="912"/>
        <item m="1" x="869"/>
        <item m="1" x="951"/>
        <item m="1" x="413"/>
        <item m="1" x="822"/>
        <item m="1" x="29"/>
        <item m="1" x="1223"/>
        <item m="1" x="88"/>
        <item m="1" x="561"/>
        <item m="1" x="298"/>
        <item m="1" x="372"/>
        <item m="1" x="440"/>
        <item m="1" x="702"/>
        <item m="1" x="765"/>
        <item m="1" x="803"/>
        <item x="1"/>
        <item x="3"/>
        <item x="5"/>
        <item m="1" x="194"/>
        <item m="1" x="240"/>
        <item m="1" x="69"/>
        <item m="1" x="964"/>
        <item m="1" x="314"/>
        <item m="1" x="153"/>
        <item m="1" x="354"/>
        <item m="1" x="660"/>
        <item m="1" x="497"/>
        <item m="1" x="537"/>
        <item m="1" x="578"/>
        <item m="1" x="390"/>
        <item m="1" x="909"/>
        <item m="1" x="1100"/>
        <item m="1" x="1060"/>
        <item m="1" x="1182"/>
        <item m="1" x="1021"/>
        <item m="1" x="220"/>
        <item m="1" x="518"/>
        <item m="1" x="86"/>
        <item m="1" x="1181"/>
        <item m="1" x="1221"/>
        <item m="1" x="1004"/>
        <item m="1" x="640"/>
        <item m="1" x="1125"/>
        <item m="1" x="1081"/>
        <item m="1" x="68"/>
        <item m="1" x="1198"/>
        <item m="1" x="46"/>
        <item m="1" x="130"/>
        <item m="1" x="151"/>
        <item m="1" x="174"/>
        <item m="1" x="193"/>
        <item m="1" x="313"/>
        <item m="1" x="219"/>
        <item m="1" x="239"/>
        <item m="1" x="353"/>
        <item m="1" x="517"/>
        <item m="1" x="273"/>
        <item m="1" x="617"/>
        <item m="1" x="742"/>
        <item m="1" x="935"/>
        <item m="1" x="885"/>
        <item m="1" x="906"/>
        <item m="1" x="962"/>
        <item m="1" x="1161"/>
        <item m="1" x="1180"/>
        <item m="1" x="1099"/>
        <item m="1" x="1197"/>
        <item m="1" x="1123"/>
        <item m="1" x="45"/>
        <item m="1" x="106"/>
        <item m="1" x="129"/>
        <item m="1" x="1145"/>
        <item m="1" x="238"/>
        <item m="1" x="370"/>
        <item m="1" x="574"/>
        <item m="1" x="615"/>
        <item m="1" x="638"/>
        <item m="1" x="926"/>
        <item m="1" x="905"/>
        <item m="1" x="946"/>
        <item m="1" x="1283"/>
        <item m="1" x="722"/>
        <item m="1" x="882"/>
        <item m="1" x="127"/>
        <item m="1" x="105"/>
        <item m="1" x="24"/>
        <item m="1" x="44"/>
        <item m="1" x="257"/>
        <item m="1" x="292"/>
        <item m="1" x="478"/>
        <item m="1" x="329"/>
        <item m="1" x="388"/>
        <item m="1" x="513"/>
        <item m="1" x="591"/>
        <item m="1" x="613"/>
        <item m="1" x="676"/>
        <item m="1" x="904"/>
        <item m="1" x="1178"/>
        <item m="1" x="1036"/>
        <item m="1" x="945"/>
        <item m="1" x="961"/>
        <item m="1" x="982"/>
        <item m="1" x="1097"/>
        <item m="1" x="1252"/>
        <item m="1" x="83"/>
        <item m="1" x="103"/>
        <item m="1" x="235"/>
        <item m="1" x="211"/>
        <item m="1" x="149"/>
        <item m="1" x="191"/>
        <item m="1" x="291"/>
        <item m="1" x="843"/>
        <item m="1" x="152"/>
        <item m="1" x="64"/>
        <item m="1" x="405"/>
        <item m="1" x="421"/>
        <item m="1" x="271"/>
        <item m="1" x="534"/>
        <item m="1" x="949"/>
        <item m="1" x="1039"/>
        <item m="1" x="753"/>
        <item m="1" x="1269"/>
        <item m="1" x="612"/>
        <item m="1" x="1285"/>
        <item m="1" x="762"/>
        <item m="1" x="15"/>
        <item m="1" x="944"/>
        <item m="1" x="1001"/>
        <item m="1" x="981"/>
        <item m="1" x="900"/>
        <item m="1" x="218"/>
        <item m="1" x="641"/>
        <item m="1" x="1175"/>
        <item m="1" x="1234"/>
        <item m="1" x="63"/>
        <item m="1" x="290"/>
        <item m="1" x="310"/>
        <item m="1" x="148"/>
        <item m="1" x="385"/>
        <item m="1" x="611"/>
        <item m="1" x="572"/>
        <item m="1" x="493"/>
        <item m="1" x="636"/>
        <item m="1" x="715"/>
        <item m="1" x="739"/>
        <item m="1" x="1000"/>
        <item m="1" x="760"/>
        <item m="1" x="1077"/>
        <item m="1" x="1096"/>
        <item m="1" x="1233"/>
        <item m="1" x="1193"/>
        <item m="1" x="1214"/>
        <item m="1" x="1282"/>
        <item m="1" x="102"/>
        <item m="1" x="144"/>
        <item m="1" x="147"/>
        <item m="1" x="368"/>
        <item m="1" x="209"/>
        <item m="1" x="571"/>
        <item m="1" x="533"/>
        <item m="1" x="1054"/>
        <item m="1" x="234"/>
        <item m="1" x="253"/>
        <item m="1" x="635"/>
        <item m="1" x="328"/>
        <item m="1" x="738"/>
        <item m="1" x="759"/>
        <item m="1" x="778"/>
        <item m="1" x="610"/>
        <item m="1" x="796"/>
        <item m="1" x="656"/>
        <item m="1" x="814"/>
        <item m="1" x="1117"/>
        <item m="1" x="1140"/>
        <item m="1" x="170"/>
        <item m="1" x="123"/>
        <item m="1" x="920"/>
        <item m="1" x="657"/>
        <item m="1" x="675"/>
        <item m="1" x="145"/>
        <item m="1" x="233"/>
        <item m="1" x="861"/>
        <item m="1" x="402"/>
        <item m="1" x="169"/>
        <item m="1" x="473"/>
        <item m="1" x="309"/>
        <item m="1" x="349"/>
        <item m="1" x="552"/>
        <item m="1" x="570"/>
        <item m="1" x="531"/>
        <item m="1" x="588"/>
        <item m="1" x="634"/>
        <item m="1" x="714"/>
        <item m="1" x="655"/>
        <item m="1" x="672"/>
        <item m="1" x="695"/>
        <item m="1" x="511"/>
        <item m="1" x="288"/>
        <item m="1" x="795"/>
        <item m="1" x="918"/>
        <item m="1" x="901"/>
        <item m="1" x="1075"/>
        <item m="1" x="979"/>
        <item m="1" x="998"/>
        <item m="1" x="1018"/>
        <item m="1" x="1053"/>
        <item m="1" x="1035"/>
        <item m="1" x="40"/>
        <item m="1" x="308"/>
        <item m="1" x="208"/>
        <item m="1" x="347"/>
        <item m="1" x="367"/>
        <item m="1" x="384"/>
        <item m="1" x="401"/>
        <item m="1" x="168"/>
        <item m="1" x="568"/>
        <item m="1" x="1073"/>
        <item m="1" x="419"/>
        <item m="1" x="1093"/>
        <item m="1" x="454"/>
        <item m="1" x="1116"/>
        <item m="1" x="1138"/>
        <item m="1" x="491"/>
        <item m="1" x="1158"/>
        <item m="1" x="566"/>
        <item m="1" x="917"/>
        <item m="1" x="941"/>
        <item m="1" x="1192"/>
        <item m="1" x="1232"/>
        <item m="1" x="1266"/>
        <item m="1" x="606"/>
        <item m="1" x="609"/>
        <item m="1" x="39"/>
        <item m="1" x="99"/>
        <item m="1" x="189"/>
        <item m="1" x="251"/>
        <item m="1" x="898"/>
        <item m="1" x="268"/>
        <item m="1" x="916"/>
        <item m="1" x="286"/>
        <item m="1" x="940"/>
        <item m="1" x="383"/>
        <item m="1" x="858"/>
        <item m="1" x="452"/>
        <item m="1" x="1171"/>
        <item m="1" x="645"/>
        <item m="1" x="1210"/>
        <item m="1" x="387"/>
        <item m="1" x="98"/>
        <item m="1" x="774"/>
        <item m="1" x="477"/>
        <item m="1" x="1213"/>
        <item m="1" x="1124"/>
        <item m="1" x="490"/>
        <item m="1" x="793"/>
        <item m="1" x="143"/>
        <item m="1" x="165"/>
        <item m="1" x="274"/>
        <item m="1" x="188"/>
        <item m="1" x="802"/>
        <item m="1" x="326"/>
        <item m="1" x="249"/>
        <item m="1" x="1050"/>
        <item m="1" x="995"/>
        <item m="1" x="345"/>
        <item m="1" x="507"/>
        <item m="1" x="1072"/>
        <item m="1" x="565"/>
        <item m="1" x="1229"/>
        <item m="1" x="594"/>
        <item m="1" x="59"/>
        <item m="1" x="692"/>
        <item m="1" x="700"/>
        <item m="1" x="934"/>
        <item m="1" x="922"/>
        <item m="1" x="164"/>
        <item m="1" x="119"/>
        <item m="1" x="812"/>
        <item m="1" x="896"/>
        <item m="1" x="285"/>
        <item m="1" x="355"/>
        <item m="1" x="957"/>
        <item m="1" x="217"/>
        <item m="1" x="1225"/>
        <item m="1" x="416"/>
        <item m="1" x="994"/>
        <item m="1" x="1111"/>
        <item m="1" x="470"/>
        <item m="1" x="363"/>
        <item m="1" x="1048"/>
        <item m="1" x="755"/>
        <item m="1" x="1231"/>
        <item m="1" x="449"/>
        <item m="1" x="831"/>
        <item m="1" x="528"/>
        <item m="1" x="1188"/>
        <item m="1" x="1280"/>
        <item m="1" x="18"/>
        <item m="1" x="690"/>
        <item m="1" x="36"/>
        <item m="1" x="751"/>
        <item m="1" x="117"/>
        <item m="1" x="430"/>
        <item m="1" x="506"/>
        <item m="1" x="228"/>
        <item m="1" x="830"/>
        <item m="1" x="873"/>
        <item m="1" x="205"/>
        <item m="1" x="854"/>
        <item m="1" x="140"/>
        <item m="1" x="881"/>
        <item m="1" x="1059"/>
        <item m="1" x="362"/>
        <item m="1" x="587"/>
        <item m="1" x="674"/>
        <item m="1" x="761"/>
        <item m="1" x="379"/>
        <item m="1" x="1207"/>
        <item m="1" x="583"/>
        <item m="1" x="1245"/>
        <item m="1" x="628"/>
        <item m="1" x="688"/>
        <item m="1" x="55"/>
        <item m="1" x="651"/>
        <item m="1" x="772"/>
        <item m="1" x="791"/>
        <item m="1" x="265"/>
        <item m="1" x="227"/>
        <item m="1" x="360"/>
        <item m="1" x="992"/>
        <item m="1" x="1012"/>
        <item m="1" x="185"/>
        <item m="1" x="1089"/>
        <item m="1" x="1068"/>
        <item m="1" x="467"/>
        <item m="1" x="1168"/>
        <item m="1" x="447"/>
        <item m="1" x="504"/>
        <item m="1" x="524"/>
        <item m="1" x="203"/>
        <item m="1" x="852"/>
        <item m="1" x="1263"/>
        <item m="1" x="626"/>
        <item m="1" x="927"/>
        <item m="1" x="907"/>
        <item m="1" x="883"/>
        <item m="1" x="816"/>
        <item m="1" x="797"/>
        <item m="1" x="776"/>
        <item m="1" x="33"/>
        <item m="1" x="706"/>
        <item m="1" x="730"/>
        <item m="1" x="54"/>
        <item m="1" x="850"/>
        <item m="1" x="825"/>
        <item m="1" x="809"/>
        <item m="1" x="246"/>
        <item m="1" x="913"/>
        <item m="1" x="139"/>
        <item m="1" x="937"/>
        <item m="1" x="851"/>
        <item m="1" x="396"/>
        <item m="1" x="1088"/>
        <item m="1" x="1132"/>
        <item m="1" x="1027"/>
        <item m="1" x="160"/>
        <item m="1" x="1184"/>
        <item m="1" x="1204"/>
        <item m="1" x="562"/>
        <item m="1" x="1244"/>
        <item m="1" x="625"/>
        <item m="1" x="1277"/>
        <item m="1" x="649"/>
        <item m="1" x="665"/>
        <item m="1" x="31"/>
        <item m="1" x="52"/>
        <item m="1" x="729"/>
        <item m="1" x="748"/>
        <item m="1" x="92"/>
        <item m="1" x="771"/>
        <item m="1" x="113"/>
        <item m="1" x="137"/>
        <item m="1" x="788"/>
        <item m="1" x="225"/>
        <item m="1" x="936"/>
        <item m="1" x="302"/>
        <item m="1" x="953"/>
        <item m="1" x="1009"/>
        <item m="1" x="375"/>
        <item m="1" x="395"/>
        <item m="1" x="1026"/>
        <item m="1" x="1043"/>
        <item m="1" x="412"/>
        <item m="1" x="444"/>
        <item m="1" x="1107"/>
        <item m="1" x="542"/>
        <item m="1" x="215"/>
        <item m="1" x="526"/>
        <item m="1" x="560"/>
        <item m="1" x="1226"/>
        <item m="1" x="600"/>
        <item m="1" x="624"/>
        <item m="1" x="1150"/>
        <item m="1" x="12"/>
        <item m="1" x="51"/>
        <item m="1" x="74"/>
        <item m="1" x="704"/>
        <item m="1" x="91"/>
        <item m="1" x="769"/>
        <item m="1" x="808"/>
        <item m="1" x="199"/>
        <item m="1" x="181"/>
        <item m="1" x="280"/>
        <item m="1" x="320"/>
        <item m="1" x="541"/>
        <item m="1" x="1065"/>
        <item m="1" x="411"/>
        <item m="1" x="442"/>
        <item m="1" x="429"/>
        <item m="1" x="484"/>
        <item m="1" x="1130"/>
        <item m="1" x="1106"/>
        <item m="1" x="465"/>
        <item m="1" x="1149"/>
        <item m="1" x="501"/>
        <item m="1" x="522"/>
        <item m="1" x="1165"/>
        <item m="1" x="394"/>
        <item m="1" x="1241"/>
        <item m="1" x="371"/>
        <item m="1" x="443"/>
        <item m="1" x="599"/>
        <item m="1" x="647"/>
        <item m="1" x="623"/>
        <item m="1" x="683"/>
        <item m="1" x="703"/>
        <item m="1" x="72"/>
        <item m="1" x="28"/>
        <item m="1" x="726"/>
        <item m="1" x="10"/>
        <item m="1" x="50"/>
        <item m="1" x="111"/>
        <item m="1" x="746"/>
        <item m="1" x="90"/>
        <item m="1" x="136"/>
        <item m="1" x="768"/>
        <item m="1" x="157"/>
        <item m="1" x="180"/>
        <item m="1" x="806"/>
        <item m="1" x="243"/>
        <item m="1" x="823"/>
        <item m="1" x="197"/>
        <item m="1" x="847"/>
        <item m="1" x="224"/>
        <item m="1" x="870"/>
        <item m="1" x="932"/>
        <item m="1" x="952"/>
        <item m="1" x="318"/>
        <item m="1" x="1202"/>
        <item m="1" x="968"/>
        <item m="1" x="335"/>
        <item m="1" x="278"/>
        <item m="1" x="374"/>
        <item m="1" x="1025"/>
        <item m="1" x="1041"/>
        <item m="1" x="392"/>
        <item m="1" x="410"/>
        <item m="1" x="1064"/>
        <item m="1" x="427"/>
        <item m="1" x="1007"/>
        <item m="1" x="1128"/>
        <item m="1" x="483"/>
        <item m="1" x="463"/>
        <item m="1" x="1148"/>
        <item m="1" x="1105"/>
        <item m="1" x="1164"/>
        <item m="1" x="499"/>
        <item m="1" x="539"/>
        <item m="1" x="1183"/>
        <item m="1" x="559"/>
        <item m="1" x="521"/>
        <item m="1" x="1224"/>
        <item m="1" x="1240"/>
        <item m="1" x="598"/>
        <item m="1" x="1259"/>
        <item m="1" x="621"/>
        <item m="1" x="49"/>
        <item m="1" x="89"/>
        <item m="1" x="725"/>
        <item m="1" x="71"/>
        <item m="1" x="767"/>
        <item m="1" x="110"/>
        <item m="1" x="357"/>
        <item m="1" x="644"/>
        <item m="1" x="9"/>
        <item m="1" x="662"/>
        <item m="1" x="403"/>
        <item m="1" x="155"/>
        <item m="1" x="805"/>
        <item m="1" x="179"/>
        <item m="1" x="682"/>
        <item m="1" x="135"/>
        <item m="1" x="744"/>
        <item m="1" x="223"/>
        <item m="1" x="846"/>
        <item m="1" x="821"/>
        <item m="1" x="196"/>
        <item m="1" x="242"/>
        <item m="1" x="27"/>
        <item m="1" x="868"/>
        <item m="1" x="261"/>
        <item m="1" x="787"/>
        <item m="1" x="890"/>
        <item m="1" x="1045"/>
        <item m="1" x="277"/>
        <item m="1" x="911"/>
        <item m="1" x="1201"/>
        <item m="1" x="931"/>
        <item m="1" x="299"/>
        <item m="1" x="987"/>
        <item m="1" x="316"/>
        <item m="1" x="967"/>
        <item m="1" x="334"/>
        <item m="1" x="950"/>
        <item m="1" x="985"/>
        <item m="1" x="356"/>
        <item m="1" x="1030"/>
        <item m="1" x="42"/>
        <item m="1" x="1006"/>
        <item m="1" x="373"/>
        <item m="1" x="1023"/>
        <item m="1" x="785"/>
        <item m="1" x="1273"/>
        <item m="1" x="482"/>
        <item m="1" x="1146"/>
        <item m="1" x="498"/>
        <item m="1" x="1163"/>
        <item m="1" x="441"/>
        <item m="1" x="520"/>
        <item m="1" x="538"/>
        <item m="1" x="391"/>
        <item m="1" x="1200"/>
        <item m="1" x="1062"/>
        <item m="1" x="1084"/>
        <item m="1" x="579"/>
        <item m="1" x="558"/>
        <item m="1" x="1239"/>
        <item m="1" x="597"/>
        <item m="1" x="1258"/>
        <item m="1" x="461"/>
        <item m="1" x="1127"/>
        <item m="1" x="1103"/>
        <item m="1" x="1085"/>
        <item m="1" x="311"/>
        <item m="1" x="718"/>
        <item m="1" x="426"/>
        <item m="1" x="212"/>
        <item m="1" x="1040"/>
        <item m="1" x="681"/>
        <item m="1" x="47"/>
        <item m="1" x="701"/>
        <item m="1" x="70"/>
        <item m="1" x="724"/>
        <item m="1" x="643"/>
        <item m="1" x="7"/>
        <item m="1" x="661"/>
        <item m="1" x="26"/>
        <item m="1" x="743"/>
        <item m="1" x="87"/>
        <item m="1" x="109"/>
        <item m="1" x="879"/>
        <item m="1" x="784"/>
        <item m="1" x="619"/>
        <item m="1" x="1222"/>
        <item m="1" x="766"/>
        <item m="1" x="154"/>
        <item m="1" x="804"/>
        <item m="1" x="133"/>
        <item m="1" x="820"/>
        <item m="1" x="177"/>
        <item m="1" x="195"/>
        <item m="1" x="845"/>
        <item m="1" x="221"/>
        <item m="1" x="889"/>
        <item m="1" x="259"/>
        <item m="1" x="276"/>
        <item m="1" x="867"/>
        <item m="1" x="241"/>
        <item m="1" x="161"/>
        <item m="1" x="515"/>
        <item m="1" x="1115"/>
        <item m="1" x="930"/>
        <item m="1" x="297"/>
        <item m="1" x="608"/>
        <item m="1" x="696"/>
        <item m="1" x="780"/>
        <item m="1" x="864"/>
        <item m="1" x="948"/>
        <item m="1" x="1086"/>
        <item m="1" x="965"/>
        <item m="1" x="315"/>
        <item m="1" x="300"/>
        <item m="1" x="910"/>
        <item m="1" x="172"/>
        <item m="1" x="408"/>
        <item m="1" x="1005"/>
        <item m="1" x="1022"/>
        <item m="1" x="425"/>
        <item m="1" x="1038"/>
        <item m="1" x="1061"/>
        <item m="1" x="1083"/>
        <item m="1" x="1101"/>
        <item m="1" x="460"/>
        <item m="1" x="1126"/>
        <item m="1" x="984"/>
        <item m="1" x="756"/>
        <item m="1" x="100"/>
        <item m="1" x="78"/>
        <item m="1" x="56"/>
        <item m="1" x="734"/>
        <item m="1" x="709"/>
        <item m="1" x="216"/>
        <item m="1" x="1002"/>
        <item m="1" x="1271"/>
        <item m="1" x="664"/>
        <item m="1" x="595"/>
        <item m="1" x="1237"/>
        <item m="1" x="258"/>
        <item m="1" x="556"/>
        <item m="1" x="1227"/>
        <item m="1" x="576"/>
        <item m="1" x="35"/>
        <item m="1" x="884"/>
        <item m="1" x="908"/>
        <item m="1" x="1218"/>
        <item m="1" x="865"/>
        <item m="1" x="1177"/>
        <item m="1" x="213"/>
        <item m="1" x="512"/>
        <item m="1" x="839"/>
        <item m="1" x="494"/>
        <item m="1" x="535"/>
        <item m="1" x="1141"/>
        <item m="1" x="474"/>
        <item m="1" x="1118"/>
        <item m="1" x="777"/>
        <item m="1" x="1094"/>
        <item m="1" x="437"/>
        <item m="1" x="757"/>
        <item m="1" x="1211"/>
        <item m="1" x="899"/>
        <item m="1" x="101"/>
        <item m="1" x="1074"/>
        <item m="1" x="250"/>
        <item m="1" x="11"/>
        <item m="1" x="58"/>
        <item m="1" x="710"/>
        <item m="1" x="1189"/>
        <item m="1" x="229"/>
        <item m="1" x="1255"/>
        <item m="1" x="527"/>
        <item m="1" x="689"/>
        <item m="1" x="736"/>
        <item m="1" x="969"/>
        <item m="1" x="978"/>
        <item m="1" x="1212"/>
        <item m="1" x="81"/>
        <item m="1" x="122"/>
        <item m="1" x="252"/>
        <item m="1" x="716"/>
        <item m="1" x="614"/>
        <item m="1" x="343"/>
        <item m="1" x="532"/>
        <item m="1" x="509"/>
        <item m="1" x="721"/>
        <item m="1" x="472"/>
        <item m="1" x="23"/>
        <item m="1" x="586"/>
        <item m="1" x="754"/>
        <item m="1" x="549"/>
        <item m="1" x="126"/>
        <item m="1" x="833"/>
        <item m="1" x="876"/>
        <item m="1" x="915"/>
        <item m="1" x="794"/>
        <item m="1" x="1156"/>
        <item m="1" x="236"/>
        <item m="1" x="1191"/>
        <item m="1" x="1265"/>
        <item m="1" x="20"/>
        <item m="1" x="737"/>
        <item m="1" x="60"/>
        <item m="1" x="564"/>
        <item m="1" x="529"/>
        <item m="1" x="717"/>
        <item m="1" x="1135"/>
        <item m="1" x="76"/>
        <item m="1" x="1170"/>
        <item m="1" x="1215"/>
        <item m="1" x="108"/>
        <item m="1" x="283"/>
        <item m="1" x="361"/>
        <item m="1" x="505"/>
        <item m="1" x="627"/>
        <item m="1" x="829"/>
        <item m="1" x="582"/>
        <item m="1" x="872"/>
        <item m="1" x="1185"/>
        <item m="1" x="53"/>
        <item m="1" x="93"/>
        <item m="1" x="376"/>
        <item m="1" x="1176"/>
        <item m="1" x="601"/>
        <item m="1" x="728"/>
        <item m="1" x="971"/>
        <item m="1" x="1008"/>
        <item m="1" x="891"/>
        <item m="1" x="1042"/>
        <item m="1" x="770"/>
        <item m="1" x="319"/>
        <item m="1" x="244"/>
        <item m="1" x="1166"/>
        <item m="1" x="358"/>
        <item m="1" x="1131"/>
        <item m="1" x="745"/>
        <item m="1" x="1017"/>
        <item m="1" x="824"/>
        <item m="1" x="118"/>
        <item m="1" x="279"/>
        <item m="1" x="786"/>
        <item m="1" x="622"/>
        <item m="1" x="1104"/>
        <item m="1" x="607"/>
        <item m="1" x="8"/>
        <item m="1" x="134"/>
        <item m="1" x="178"/>
        <item m="1" x="222"/>
        <item m="1" x="260"/>
        <item m="1" x="409"/>
        <item m="1" x="333"/>
        <item m="1" x="519"/>
        <item m="1" x="642"/>
        <item m="1" x="596"/>
        <item m="1" x="680"/>
        <item m="1" x="481"/>
        <item m="1" x="453"/>
        <item m="1" x="176"/>
        <item m="1" x="1162"/>
        <item m="1" x="1238"/>
        <item x="4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31">
        <item m="1" x="1002"/>
        <item m="1" x="242"/>
        <item m="1" x="1017"/>
        <item m="1" x="262"/>
        <item m="1" x="601"/>
        <item m="1" x="437"/>
        <item m="1" x="1337"/>
        <item m="1" x="1026"/>
        <item m="1" x="1163"/>
        <item m="1" x="1530"/>
        <item m="1" x="995"/>
        <item m="1" x="824"/>
        <item m="1" x="583"/>
        <item m="1" x="1338"/>
        <item m="1" x="1527"/>
        <item m="1" x="821"/>
        <item m="1" x="1330"/>
        <item m="1" x="832"/>
        <item m="1" x="1526"/>
        <item m="1" x="268"/>
        <item m="1" x="872"/>
        <item m="1" x="1156"/>
        <item m="1" x="425"/>
        <item m="1" x="1161"/>
        <item m="1" x="244"/>
        <item m="1" x="438"/>
        <item m="1" x="1184"/>
        <item m="1" x="1528"/>
        <item m="1" x="594"/>
        <item m="1" x="367"/>
        <item m="1" x="1176"/>
        <item m="1" x="846"/>
        <item m="1" x="1189"/>
        <item m="1" x="833"/>
        <item m="1" x="91"/>
        <item m="1" x="461"/>
        <item m="1" x="123"/>
        <item m="1" x="497"/>
        <item m="1" x="439"/>
        <item m="1" x="1339"/>
        <item m="1" x="834"/>
        <item m="1" x="98"/>
        <item m="1" x="852"/>
        <item m="1" x="92"/>
        <item m="1" x="646"/>
        <item m="1" x="1233"/>
        <item m="1" x="1204"/>
        <item m="1" x="1223"/>
        <item m="1" x="310"/>
        <item m="1" x="660"/>
        <item m="1" x="1052"/>
        <item m="1" x="1206"/>
        <item m="1" x="1376"/>
        <item m="1" x="93"/>
        <item m="1" x="287"/>
        <item m="1" x="896"/>
        <item m="1" x="1069"/>
        <item m="1" x="1234"/>
        <item m="1" x="142"/>
        <item m="1" x="905"/>
        <item m="1" x="527"/>
        <item m="1" x="99"/>
        <item m="1" x="1226"/>
        <item m="1" x="312"/>
        <item m="1" x="647"/>
        <item m="1" x="873"/>
        <item m="1" x="337"/>
        <item m="1" x="1388"/>
        <item m="1" x="1235"/>
        <item m="1" x="662"/>
        <item m="1" x="1249"/>
        <item m="1" x="505"/>
        <item m="1" x="912"/>
        <item m="1" x="140"/>
        <item m="1" x="720"/>
        <item m="1" x="343"/>
        <item m="1" x="317"/>
        <item m="1" x="1207"/>
        <item m="1" x="897"/>
        <item m="1" x="907"/>
        <item m="1" x="1251"/>
        <item m="1" x="922"/>
        <item m="1" x="176"/>
        <item m="1" x="539"/>
        <item m="1" x="934"/>
        <item m="1" x="1436"/>
        <item m="1" x="359"/>
        <item m="1" x="338"/>
        <item m="1" x="1070"/>
        <item m="1" x="507"/>
        <item m="1" x="908"/>
        <item m="1" x="125"/>
        <item m="1" x="315"/>
        <item m="1" x="665"/>
        <item m="1" x="913"/>
        <item m="1" x="1091"/>
        <item m="1" x="1252"/>
        <item m="1" x="1277"/>
        <item m="1" x="1227"/>
        <item m="1" x="1255"/>
        <item m="1" x="166"/>
        <item m="1" x="1240"/>
        <item m="1" x="1098"/>
        <item m="1" x="725"/>
        <item m="1" x="925"/>
        <item m="1" x="936"/>
        <item m="1" x="1121"/>
        <item m="1" x="1440"/>
        <item m="1" x="179"/>
        <item m="1" x="532"/>
        <item m="1" x="709"/>
        <item m="1" x="916"/>
        <item m="1" x="1096"/>
        <item m="1" x="1280"/>
        <item m="1" x="1449"/>
        <item m="1" x="544"/>
        <item m="1" x="1050"/>
        <item m="1" x="308"/>
        <item m="1" x="1066"/>
        <item m="1" x="615"/>
        <item m="1" x="1193"/>
        <item m="1" x="478"/>
        <item m="1" x="867"/>
        <item m="1" x="1374"/>
        <item m="1" x="333"/>
        <item m="1" x="493"/>
        <item m="1" x="679"/>
        <item m="1" x="1216"/>
        <item m="1" x="307"/>
        <item m="1" x="502"/>
        <item m="1" x="692"/>
        <item m="1" x="902"/>
        <item m="1" x="977"/>
        <item m="1" x="213"/>
        <item m="1" x="1127"/>
        <item m="1" x="721"/>
        <item m="1" x="548"/>
        <item m="1" x="201"/>
        <item m="1" x="1446"/>
        <item m="1" x="1454"/>
        <item m="1" x="1465"/>
        <item m="1" x="233"/>
        <item m="1" x="391"/>
        <item x="42"/>
        <item m="1" x="1486"/>
        <item m="1" x="232"/>
        <item m="1" x="1005"/>
        <item m="1" x="1291"/>
        <item m="1" x="1317"/>
        <item m="1" x="400"/>
        <item m="1" x="1487"/>
        <item m="1" x="1150"/>
        <item m="1" x="767"/>
        <item m="1" x="234"/>
        <item m="1" x="578"/>
        <item m="1" x="1146"/>
        <item m="1" x="1334"/>
        <item m="1" x="249"/>
        <item m="1" x="564"/>
        <item m="1" x="968"/>
        <item m="1" x="580"/>
        <item m="1" x="1159"/>
        <item m="1" x="783"/>
        <item m="1" x="1348"/>
        <item m="1" x="606"/>
        <item m="1" x="868"/>
        <item m="1" x="1364"/>
        <item m="1" x="948"/>
        <item m="1" x="1275"/>
        <item m="1" x="368"/>
        <item m="1" x="911"/>
        <item m="1" x="492"/>
        <item m="1" x="462"/>
        <item m="1" x="1194"/>
        <item m="1" x="74"/>
        <item m="1" x="613"/>
        <item m="1" x="695"/>
        <item m="1" x="474"/>
        <item m="1" x="1453"/>
        <item m="1" x="741"/>
        <item m="1" x="944"/>
        <item m="1" x="1257"/>
        <item m="1" x="691"/>
        <item m="1" x="173"/>
        <item m="1" x="910"/>
        <item m="1" x="366"/>
        <item m="1" x="955"/>
        <item m="1" x="728"/>
        <item m="1" x="951"/>
        <item m="1" x="1463"/>
        <item m="1" x="1116"/>
        <item m="1" x="717"/>
        <item m="1" x="378"/>
        <item m="1" x="1425"/>
        <item m="1" x="1228"/>
        <item m="1" x="471"/>
        <item m="1" x="878"/>
        <item m="1" x="1197"/>
        <item m="1" x="773"/>
        <item m="1" x="560"/>
        <item m="1" x="755"/>
        <item m="1" x="1152"/>
        <item m="1" x="1499"/>
        <item m="1" x="392"/>
        <item m="1" x="1293"/>
        <item m="1" x="789"/>
        <item m="1" x="1321"/>
        <item m="1" x="222"/>
        <item m="1" x="1000"/>
        <item m="1" x="238"/>
        <item m="1" x="1174"/>
        <item m="1" x="256"/>
        <item m="1" x="988"/>
        <item m="1" x="1472"/>
        <item m="1" x="1306"/>
        <item m="1" x="978"/>
        <item m="1" x="592"/>
        <item m="1" x="806"/>
        <item m="1" x="1322"/>
        <item m="1" x="1390"/>
        <item m="1" x="1272"/>
        <item m="1" x="361"/>
        <item x="25"/>
        <item m="1" x="1274"/>
        <item m="1" x="549"/>
        <item x="26"/>
        <item m="1" x="1466"/>
        <item m="1" x="1450"/>
        <item m="1" x="550"/>
        <item m="1" x="762"/>
        <item m="1" x="313"/>
        <item m="1" x="534"/>
        <item m="1" x="749"/>
        <item m="1" x="1457"/>
        <item m="1" x="1445"/>
        <item m="1" x="727"/>
        <item m="1" x="170"/>
        <item m="1" x="941"/>
        <item m="1" x="180"/>
        <item m="1" x="1133"/>
        <item m="1" x="756"/>
        <item m="1" x="734"/>
        <item m="1" x="892"/>
        <item m="1" x="1062"/>
        <item m="1" x="1385"/>
        <item m="1" x="306"/>
        <item m="1" x="1399"/>
        <item m="1" x="1230"/>
        <item m="1" x="523"/>
        <item m="1" x="490"/>
        <item m="1" x="494"/>
        <item m="1" x="1217"/>
        <item m="1" x="167"/>
        <item m="1" x="1424"/>
        <item m="1" x="168"/>
        <item m="1" x="134"/>
        <item m="1" x="640"/>
        <item x="62"/>
        <item m="1" x="1212"/>
        <item m="1" x="1229"/>
        <item m="1" x="322"/>
        <item m="1" x="341"/>
        <item m="1" x="1086"/>
        <item m="1" x="880"/>
        <item m="1" x="1396"/>
        <item m="1" x="472"/>
        <item m="1" x="1407"/>
        <item m="1" x="487"/>
        <item m="1" x="210"/>
        <item m="1" x="570"/>
        <item m="1" x="957"/>
        <item x="9"/>
        <item m="1" x="780"/>
        <item m="1" x="1145"/>
        <item m="1" x="1301"/>
        <item m="1" x="364"/>
        <item m="1" x="1414"/>
        <item m="1" x="520"/>
        <item m="1" x="1458"/>
        <item m="1" x="561"/>
        <item m="1" x="351"/>
        <item m="1" x="154"/>
        <item x="40"/>
        <item m="1" x="169"/>
        <item x="3"/>
        <item m="1" x="1142"/>
        <item m="1" x="1015"/>
        <item m="1" x="1336"/>
        <item m="1" x="470"/>
        <item m="1" x="149"/>
        <item m="1" x="1392"/>
        <item m="1" x="165"/>
        <item m="1" x="516"/>
        <item m="1" x="398"/>
        <item m="1" x="231"/>
        <item m="1" x="263"/>
        <item m="1" x="616"/>
        <item m="1" x="1210"/>
        <item m="1" x="295"/>
        <item m="1" x="633"/>
        <item m="1" x="1027"/>
        <item m="1" x="914"/>
        <item m="1" x="1262"/>
        <item m="1" x="355"/>
        <item m="1" x="1089"/>
        <item m="1" x="182"/>
        <item m="1" x="716"/>
        <item m="1" x="1099"/>
        <item m="1" x="1417"/>
        <item m="1" x="929"/>
        <item m="1" x="1261"/>
        <item m="1" x="352"/>
        <item m="1" x="736"/>
        <item m="1" x="942"/>
        <item m="1" x="1123"/>
        <item m="1" x="596"/>
        <item m="1" x="1030"/>
        <item m="1" x="1439"/>
        <item m="1" x="1278"/>
        <item m="1" x="186"/>
        <item m="1" x="722"/>
        <item m="1" x="190"/>
        <item m="1" x="1120"/>
        <item m="1" x="362"/>
        <item m="1" x="682"/>
        <item m="1" x="517"/>
        <item m="1" x="363"/>
        <item m="1" x="612"/>
        <item m="1" x="1375"/>
        <item m="1" x="847"/>
        <item m="1" x="309"/>
        <item m="1" x="869"/>
        <item m="1" x="1365"/>
        <item m="1" x="657"/>
        <item m="1" x="1201"/>
        <item m="1" x="495"/>
        <item m="1" x="1218"/>
        <item m="1" x="1358"/>
        <item m="1" x="1020"/>
        <item m="1" x="1028"/>
        <item m="1" x="79"/>
        <item m="1" x="597"/>
        <item m="1" x="1006"/>
        <item m="1" x="266"/>
        <item m="1" x="861"/>
        <item m="1" x="1198"/>
        <item m="1" x="1186"/>
        <item m="1" x="1045"/>
        <item m="1" x="450"/>
        <item m="1" x="1044"/>
        <item m="1" x="888"/>
        <item m="1" x="684"/>
        <item m="1" x="1386"/>
        <item m="1" x="643"/>
        <item m="1" x="1038"/>
        <item m="1" x="1077"/>
        <item m="1" x="114"/>
        <item x="39"/>
        <item m="1" x="314"/>
        <item m="1" x="491"/>
        <item m="1" x="155"/>
        <item m="1" x="1075"/>
        <item m="1" x="524"/>
        <item m="1" x="1409"/>
        <item m="1" x="536"/>
        <item m="1" x="1418"/>
        <item m="1" x="1401"/>
        <item m="1" x="475"/>
        <item m="1" x="334"/>
        <item m="1" x="693"/>
        <item m="1" x="1411"/>
        <item m="1" x="1215"/>
        <item m="1" x="901"/>
        <item m="1" x="525"/>
        <item m="1" x="136"/>
        <item m="1" x="156"/>
        <item x="41"/>
        <item m="1" x="335"/>
        <item m="1" x="694"/>
        <item m="1" x="115"/>
        <item m="1" x="331"/>
        <item m="1" x="1410"/>
        <item m="1" x="568"/>
        <item m="1" x="1289"/>
        <item m="1" x="1294"/>
        <item m="1" x="1467"/>
        <item m="1" x="204"/>
        <item m="1" x="383"/>
        <item m="1" x="1379"/>
        <item m="1" x="1196"/>
        <item m="1" x="671"/>
        <item m="1" x="101"/>
        <item m="1" x="1073"/>
        <item m="1" x="666"/>
        <item m="1" x="1377"/>
        <item m="1" x="1391"/>
        <item m="1" x="698"/>
        <item m="1" x="1404"/>
        <item m="1" x="481"/>
        <item m="1" x="879"/>
        <item m="1" x="80"/>
        <item m="1" x="106"/>
        <item m="1" x="634"/>
        <item m="1" x="111"/>
        <item m="1" x="1041"/>
        <item m="1" x="320"/>
        <item m="1" x="1209"/>
        <item m="1" x="667"/>
        <item m="1" x="681"/>
        <item m="1" x="164"/>
        <item m="1" x="699"/>
        <item m="1" x="530"/>
        <item m="1" x="1095"/>
        <item m="1" x="1420"/>
        <item m="1" x="697"/>
        <item m="1" x="1268"/>
        <item m="1" x="1092"/>
        <item m="1" x="132"/>
        <item m="1" x="1055"/>
        <item m="1" x="498"/>
        <item m="1" x="110"/>
        <item m="1" x="909"/>
        <item m="1" x="129"/>
        <item m="1" x="1097"/>
        <item m="1" x="1101"/>
        <item m="1" x="500"/>
        <item m="1" x="1125"/>
        <item m="1" x="1100"/>
        <item m="1" x="931"/>
        <item m="1" x="1270"/>
        <item m="1" x="1284"/>
        <item m="1" x="546"/>
        <item m="1" x="1461"/>
        <item m="1" x="205"/>
        <item m="1" x="1283"/>
        <item m="1" x="1140"/>
        <item m="1" x="551"/>
        <item m="1" x="1102"/>
        <item m="1" x="729"/>
        <item m="1" x="365"/>
        <item m="1" x="1287"/>
        <item m="1" x="547"/>
        <item m="1" x="1464"/>
        <item m="1" x="1271"/>
        <item m="1" x="950"/>
        <item m="1" x="375"/>
        <item m="1" x="959"/>
        <item m="1" x="193"/>
        <item m="1" x="386"/>
        <item m="1" x="763"/>
        <item m="1" x="1242"/>
        <item m="1" x="135"/>
        <item m="1" x="889"/>
        <item m="1" x="1256"/>
        <item m="1" x="499"/>
        <item m="1" x="685"/>
        <item m="1" x="745"/>
        <item m="1" x="1488"/>
        <item m="1" x="389"/>
        <item x="12"/>
        <item m="1" x="340"/>
        <item m="1" x="683"/>
        <item m="1" x="1046"/>
        <item m="1" x="82"/>
        <item m="1" x="284"/>
        <item m="1" x="890"/>
        <item m="1" x="1383"/>
        <item m="1" x="1332"/>
        <item m="1" x="1494"/>
        <item m="1" x="1326"/>
        <item m="1" x="840"/>
        <item m="1" x="416"/>
        <item m="1" x="1361"/>
        <item m="1" x="826"/>
        <item m="1" x="285"/>
        <item m="1" x="1021"/>
        <item m="1" x="1181"/>
        <item m="1" x="1353"/>
        <item m="1" x="813"/>
        <item m="1" x="280"/>
        <item m="1" x="1521"/>
        <item m="1" x="1352"/>
        <item m="1" x="611"/>
        <item m="1" x="1519"/>
        <item m="1" x="1011"/>
        <item m="1" x="1185"/>
        <item m="1" x="294"/>
        <item m="1" x="332"/>
        <item m="1" x="1516"/>
        <item m="1" x="247"/>
        <item m="1" x="83"/>
        <item m="1" x="1342"/>
        <item m="1" x="860"/>
        <item m="1" x="71"/>
        <item m="1" x="433"/>
        <item m="1" x="1370"/>
        <item m="1" x="618"/>
        <item m="1" x="420"/>
        <item m="1" x="1504"/>
        <item m="1" x="399"/>
        <item m="1" x="1008"/>
        <item m="1" x="1517"/>
        <item m="1" x="588"/>
        <item m="1" x="1188"/>
        <item m="1" x="418"/>
        <item m="1" x="277"/>
        <item m="1" x="608"/>
        <item m="1" x="1333"/>
        <item m="1" x="841"/>
        <item m="1" x="64"/>
        <item m="1" x="417"/>
        <item m="1" x="639"/>
        <item m="1" x="1187"/>
        <item m="1" x="1384"/>
        <item m="1" x="1360"/>
        <item m="1" x="283"/>
        <item m="1" x="1211"/>
        <item m="1" x="451"/>
        <item m="1" x="859"/>
        <item m="1" x="828"/>
        <item m="1" x="1009"/>
        <item m="1" x="407"/>
        <item m="1" x="1022"/>
        <item m="1" x="419"/>
        <item m="1" x="1362"/>
        <item m="1" x="827"/>
        <item m="1" x="784"/>
        <item m="1" x="1315"/>
        <item m="1" x="1170"/>
        <item m="1" x="985"/>
        <item m="1" x="435"/>
        <item m="1" x="288"/>
        <item m="1" x="281"/>
        <item m="1" x="628"/>
        <item m="1" x="1195"/>
        <item m="1" x="1205"/>
        <item m="1" x="629"/>
        <item m="1" x="456"/>
        <item m="1" x="117"/>
        <item m="1" x="84"/>
        <item m="1" x="1387"/>
        <item m="1" x="454"/>
        <item m="1" x="850"/>
        <item m="1" x="851"/>
        <item m="1" x="1402"/>
        <item m="1" x="479"/>
        <item m="1" x="336"/>
        <item m="1" x="903"/>
        <item m="1" x="1245"/>
        <item m="1" x="1104"/>
        <item m="1" x="1263"/>
        <item m="1" x="680"/>
        <item m="1" x="894"/>
        <item m="1" x="506"/>
        <item m="1" x="1412"/>
        <item m="1" x="919"/>
        <item x="21"/>
        <item m="1" x="663"/>
        <item m="1" x="881"/>
        <item m="1" x="668"/>
        <item m="1" x="1053"/>
        <item m="1" x="1208"/>
        <item m="1" x="1378"/>
        <item m="1" x="100"/>
        <item m="1" x="754"/>
        <item m="1" x="221"/>
        <item m="1" x="406"/>
        <item m="1" x="1493"/>
        <item m="1" x="1158"/>
        <item m="1" x="1515"/>
        <item m="1" x="1340"/>
        <item m="1" x="810"/>
        <item m="1" x="1003"/>
        <item m="1" x="839"/>
        <item m="1" x="854"/>
        <item m="1" x="1001"/>
        <item m="1" x="845"/>
        <item m="1" x="866"/>
        <item m="1" x="1200"/>
        <item m="1" x="642"/>
        <item m="1" x="278"/>
        <item m="1" x="442"/>
        <item m="1" x="1231"/>
        <item m="1" x="654"/>
        <item x="8"/>
        <item x="7"/>
        <item x="29"/>
        <item m="1" x="1292"/>
        <item m="1" x="1319"/>
        <item m="1" x="969"/>
        <item m="1" x="1455"/>
        <item m="1" x="573"/>
        <item m="1" x="1295"/>
        <item m="1" x="979"/>
        <item m="1" x="1305"/>
        <item m="1" x="1151"/>
        <item m="1" x="1520"/>
        <item m="1" x="1320"/>
        <item m="1" x="999"/>
        <item m="1" x="1518"/>
        <item m="1" x="1023"/>
        <item m="1" x="1505"/>
        <item m="1" x="582"/>
        <item m="1" x="533"/>
        <item m="1" x="918"/>
        <item m="1" x="1413"/>
        <item m="1" x="1024"/>
        <item m="1" x="304"/>
        <item m="1" x="641"/>
        <item m="1" x="1363"/>
        <item m="1" x="1117"/>
        <item m="1" x="381"/>
        <item m="1" x="1288"/>
        <item m="1" x="768"/>
        <item m="1" x="216"/>
        <item m="1" x="731"/>
        <item m="1" x="742"/>
        <item m="1" x="540"/>
        <item m="1" x="1316"/>
        <item m="1" x="217"/>
        <item m="1" x="235"/>
        <item m="1" x="576"/>
        <item m="1" x="1299"/>
        <item m="1" x="1510"/>
        <item m="1" x="1147"/>
        <item m="1" x="602"/>
        <item m="1" x="403"/>
        <item m="1" x="1525"/>
        <item m="1" x="1354"/>
        <item m="1" x="1160"/>
        <item m="1" x="614"/>
        <item m="1" x="993"/>
        <item m="1" x="269"/>
        <item m="1" x="1329"/>
        <item m="1" x="1016"/>
        <item m="1" x="261"/>
        <item m="1" x="267"/>
        <item m="1" x="814"/>
        <item m="1" x="1179"/>
        <item m="1" x="1025"/>
        <item m="1" x="1039"/>
        <item m="1" x="658"/>
        <item m="1" x="1356"/>
        <item m="1" x="345"/>
        <item m="1" x="141"/>
        <item m="1" x="1437"/>
        <item m="1" x="468"/>
        <item m="1" x="316"/>
        <item m="1" x="528"/>
        <item m="1" x="1250"/>
        <item m="1" x="346"/>
        <item m="1" x="177"/>
        <item m="1" x="1247"/>
        <item m="1" x="1105"/>
        <item m="1" x="1419"/>
        <item m="1" x="906"/>
        <item m="1" x="1452"/>
        <item m="1" x="376"/>
        <item x="20"/>
        <item m="1" x="1485"/>
        <item m="1" x="958"/>
        <item m="1" x="751"/>
        <item m="1" x="644"/>
        <item m="1" x="1232"/>
        <item m="1" x="659"/>
        <item m="1" x="1049"/>
        <item m="1" x="893"/>
        <item m="1" x="1219"/>
        <item m="1" x="503"/>
        <item m="1" x="1400"/>
        <item m="1" x="473"/>
        <item m="1" x="1040"/>
        <item m="1" x="1366"/>
        <item m="1" x="75"/>
        <item m="1" x="664"/>
        <item m="1" x="1051"/>
        <item m="1" x="630"/>
        <item m="1" x="457"/>
        <item m="1" x="645"/>
        <item m="1" x="661"/>
        <item m="1" x="85"/>
        <item m="1" x="1220"/>
        <item m="1" x="108"/>
        <item m="1" x="696"/>
        <item m="1" x="476"/>
        <item m="1" x="139"/>
        <item m="1" x="1067"/>
        <item m="1" x="504"/>
        <item m="1" x="1078"/>
        <item m="1" x="357"/>
        <item m="1" x="138"/>
        <item m="1" x="920"/>
        <item m="1" x="86"/>
        <item m="1" x="895"/>
        <item m="1" x="458"/>
        <item m="1" x="1403"/>
        <item m="1" x="1221"/>
        <item m="1" x="116"/>
        <item m="1" x="477"/>
        <item m="1" x="1246"/>
        <item m="1" x="1264"/>
        <item m="1" x="1093"/>
        <item m="1" x="157"/>
        <item m="1" x="1080"/>
        <item m="1" x="241"/>
        <item m="1" x="593"/>
        <item m="1" x="815"/>
        <item m="1" x="1180"/>
        <item m="1" x="1157"/>
        <item m="1" x="397"/>
        <item m="1" x="808"/>
        <item m="1" x="413"/>
        <item x="6"/>
        <item m="1" x="1355"/>
        <item m="1" x="282"/>
        <item m="1" x="1190"/>
        <item m="1" x="1162"/>
        <item m="1" x="245"/>
        <item m="1" x="981"/>
        <item m="1" x="1307"/>
        <item m="1" x="1529"/>
        <item m="1" x="414"/>
        <item m="1" x="595"/>
        <item m="1" x="809"/>
        <item m="1" x="994"/>
        <item m="1" x="1155"/>
        <item m="1" x="1323"/>
        <item m="1" x="1503"/>
        <item m="1" x="230"/>
        <item m="1" x="424"/>
        <item m="1" x="603"/>
        <item m="1" x="822"/>
        <item m="1" x="421"/>
        <item m="1" x="844"/>
        <item x="14"/>
        <item m="1" x="921"/>
        <item m="1" x="1258"/>
        <item m="1" x="344"/>
        <item m="1" x="1266"/>
        <item m="1" x="1438"/>
        <item m="1" x="360"/>
        <item m="1" x="526"/>
        <item m="1" x="708"/>
        <item m="1" x="1090"/>
        <item m="1" x="1273"/>
        <item m="1" x="94"/>
        <item m="1" x="1389"/>
        <item m="1" x="311"/>
        <item m="1" x="871"/>
        <item m="1" x="1367"/>
        <item m="1" x="1068"/>
        <item m="1" x="870"/>
        <item m="1" x="1079"/>
        <item m="1" x="330"/>
        <item m="1" x="900"/>
        <item m="1" x="1124"/>
        <item m="1" x="928"/>
        <item m="1" x="191"/>
        <item m="1" x="373"/>
        <item m="1" x="1285"/>
        <item m="1" x="194"/>
        <item m="1" x="737"/>
        <item m="1" x="181"/>
        <item m="1" x="552"/>
        <item m="1" x="562"/>
        <item m="1" x="569"/>
        <item m="1" x="574"/>
        <item m="1" x="1300"/>
        <item m="1" x="750"/>
        <item m="1" x="932"/>
        <item m="1" x="171"/>
        <item x="1"/>
        <item m="1" x="1286"/>
        <item m="1" x="195"/>
        <item m="1" x="738"/>
        <item m="1" x="1269"/>
        <item m="1" x="1459"/>
        <item m="1" x="192"/>
        <item m="1" x="379"/>
        <item m="1" x="553"/>
        <item m="1" x="735"/>
        <item m="1" x="972"/>
        <item m="1" x="715"/>
        <item x="28"/>
        <item m="1" x="718"/>
        <item m="1" x="719"/>
        <item m="1" x="862"/>
        <item x="11"/>
        <item m="1" x="785"/>
        <item m="1" x="786"/>
        <item m="1" x="1081"/>
        <item m="1" x="1071"/>
        <item m="1" x="1072"/>
        <item m="1" x="1094"/>
        <item m="1" x="1118"/>
        <item m="1" x="1119"/>
        <item m="1" x="829"/>
        <item x="2"/>
        <item m="1" x="342"/>
        <item m="1" x="394"/>
        <item m="1" x="1114"/>
        <item m="1" x="1115"/>
        <item m="1" x="452"/>
        <item m="1" x="118"/>
        <item m="1" x="904"/>
        <item m="1" x="1135"/>
        <item m="1" x="1248"/>
        <item m="1" x="185"/>
        <item m="1" x="945"/>
        <item m="1" x="946"/>
        <item m="1" x="1047"/>
        <item m="1" x="323"/>
        <item m="1" x="652"/>
        <item m="1" x="347"/>
        <item m="1" x="712"/>
        <item m="1" x="760"/>
        <item m="1" x="1109"/>
        <item m="1" x="732"/>
        <item m="1" x="1063"/>
        <item m="1" x="395"/>
        <item x="45"/>
        <item m="1" x="455"/>
        <item m="1" x="1126"/>
        <item m="1" x="1136"/>
        <item m="1" x="1037"/>
        <item m="1" x="518"/>
        <item m="1" x="1192"/>
        <item m="1" x="825"/>
        <item m="1" x="855"/>
        <item m="1" x="702"/>
        <item m="1" x="1183"/>
        <item m="1" x="1241"/>
        <item m="1" x="635"/>
        <item m="1" x="856"/>
        <item m="1" x="519"/>
        <item m="1" x="270"/>
        <item m="1" x="271"/>
        <item m="1" x="636"/>
        <item m="1" x="637"/>
        <item m="1" x="448"/>
        <item m="1" x="449"/>
        <item m="1" x="857"/>
        <item m="1" x="1029"/>
        <item m="1" x="87"/>
        <item m="1" x="88"/>
        <item m="1" x="69"/>
        <item m="1" x="70"/>
        <item m="1" x="107"/>
        <item m="1" x="1381"/>
        <item m="1" x="1191"/>
        <item m="1" x="1056"/>
        <item m="1" x="858"/>
        <item m="1" x="102"/>
        <item m="1" x="1359"/>
        <item m="1" x="103"/>
        <item m="1" x="446"/>
        <item m="1" x="1054"/>
        <item m="1" x="126"/>
        <item m="1" x="1082"/>
        <item m="1" x="1222"/>
        <item m="1" x="1236"/>
        <item m="1" x="1422"/>
        <item m="1" x="509"/>
        <item m="1" x="1380"/>
        <item m="1" x="774"/>
        <item m="1" x="775"/>
        <item m="1" x="672"/>
        <item m="1" x="95"/>
        <item m="1" x="96"/>
        <item m="1" x="133"/>
        <item m="1" x="673"/>
        <item m="1" x="674"/>
        <item m="1" x="887"/>
        <item m="1" x="104"/>
        <item m="1" x="105"/>
        <item m="1" x="1406"/>
        <item m="1" x="466"/>
        <item m="1" x="318"/>
        <item m="1" x="130"/>
        <item m="1" x="669"/>
        <item m="1" x="670"/>
        <item m="1" x="131"/>
        <item m="1" x="319"/>
        <item m="1" x="885"/>
        <item m="1" x="886"/>
        <item m="1" x="127"/>
        <item m="1" x="1034"/>
        <item m="1" x="128"/>
        <item m="1" x="119"/>
        <item m="1" x="120"/>
        <item m="1" x="1035"/>
        <item m="1" x="121"/>
        <item m="1" x="1036"/>
        <item m="1" x="1405"/>
        <item m="1" x="853"/>
        <item m="1" x="514"/>
        <item m="1" x="515"/>
        <item m="1" x="1083"/>
        <item m="1" x="1423"/>
        <item m="1" x="510"/>
        <item m="1" x="511"/>
        <item m="1" x="512"/>
        <item m="1" x="513"/>
        <item m="1" x="923"/>
        <item m="1" x="924"/>
        <item m="1" x="97"/>
        <item m="1" x="1106"/>
        <item m="1" x="122"/>
        <item m="1" x="467"/>
        <item m="1" x="1224"/>
        <item m="1" x="1064"/>
        <item m="1" x="1065"/>
        <item m="1" x="124"/>
        <item m="1" x="1265"/>
        <item m="1" x="884"/>
        <item m="1" x="1076"/>
        <item m="1" x="1225"/>
        <item m="1" x="1058"/>
        <item m="1" x="1397"/>
        <item m="1" x="1031"/>
        <item m="1" x="1373"/>
        <item m="1" x="324"/>
        <item m="1" x="325"/>
        <item m="1" x="653"/>
        <item m="1" x="326"/>
        <item m="1" x="1012"/>
        <item m="1" x="1013"/>
        <item m="1" x="327"/>
        <item m="1" x="328"/>
        <item m="1" x="1048"/>
        <item m="1" x="1398"/>
        <item m="1" x="687"/>
        <item m="1" x="688"/>
        <item m="1" x="349"/>
        <item m="1" x="350"/>
        <item m="1" x="655"/>
        <item m="1" x="689"/>
        <item m="1" x="1032"/>
        <item m="1" x="1033"/>
        <item m="1" x="713"/>
        <item m="1" x="714"/>
        <item m="1" x="1088"/>
        <item m="1" x="1103"/>
        <item m="1" x="690"/>
        <item m="1" x="1113"/>
        <item m="1" x="656"/>
        <item m="1" x="989"/>
        <item m="1" x="1448"/>
        <item m="1" x="432"/>
        <item m="1" x="484"/>
        <item m="1" x="353"/>
        <item m="1" x="960"/>
        <item m="1" x="1141"/>
        <item x="38"/>
        <item m="1" x="555"/>
        <item m="1" x="556"/>
        <item m="1" x="557"/>
        <item m="1" x="740"/>
        <item m="1" x="765"/>
        <item m="1" x="792"/>
        <item m="1" x="380"/>
        <item m="1" x="764"/>
        <item m="1" x="1153"/>
        <item m="1" x="208"/>
        <item x="37"/>
        <item m="1" x="796"/>
        <item m="1" x="1309"/>
        <item x="33"/>
        <item m="1" x="793"/>
        <item m="1" x="983"/>
        <item m="1" x="1148"/>
        <item m="1" x="1149"/>
        <item m="1" x="1506"/>
        <item m="1" x="1507"/>
        <item m="1" x="246"/>
        <item x="51"/>
        <item m="1" x="1177"/>
        <item m="1" x="1178"/>
        <item m="1" x="396"/>
        <item x="36"/>
        <item x="4"/>
        <item x="44"/>
        <item m="1" x="1508"/>
        <item m="1" x="65"/>
        <item m="1" x="436"/>
        <item m="1" x="412"/>
        <item m="1" x="848"/>
        <item m="1" x="453"/>
        <item m="1" x="816"/>
        <item m="1" x="579"/>
        <item m="1" x="598"/>
        <item m="1" x="1343"/>
        <item m="1" x="599"/>
        <item m="1" x="250"/>
        <item m="1" x="251"/>
        <item m="1" x="623"/>
        <item m="1" x="1327"/>
        <item m="1" x="257"/>
        <item m="1" x="1349"/>
        <item m="1" x="1350"/>
        <item m="1" x="1351"/>
        <item m="1" x="624"/>
        <item m="1" x="223"/>
        <item m="1" x="1007"/>
        <item m="1" x="1371"/>
        <item m="1" x="1372"/>
        <item m="1" x="625"/>
        <item m="1" x="650"/>
        <item m="1" x="258"/>
        <item m="1" x="321"/>
        <item x="48"/>
        <item m="1" x="626"/>
        <item m="1" x="651"/>
        <item m="1" x="1395"/>
        <item m="1" x="1368"/>
        <item m="1" x="1369"/>
        <item m="1" x="619"/>
        <item m="1" x="620"/>
        <item m="1" x="648"/>
        <item m="1" x="1393"/>
        <item m="1" x="1394"/>
        <item m="1" x="272"/>
        <item m="1" x="273"/>
        <item m="1" x="224"/>
        <item m="1" x="1057"/>
        <item m="1" x="1084"/>
        <item m="1" x="1085"/>
        <item m="1" x="279"/>
        <item m="1" x="686"/>
        <item m="1" x="710"/>
        <item m="1" x="1107"/>
        <item m="1" x="1108"/>
        <item m="1" x="1415"/>
        <item m="1" x="348"/>
        <item m="1" x="711"/>
        <item m="1" x="1442"/>
        <item m="1" x="1443"/>
        <item m="1" x="733"/>
        <item m="1" x="369"/>
        <item m="1" x="1444"/>
        <item m="1" x="757"/>
        <item m="1" x="758"/>
        <item m="1" x="302"/>
        <item m="1" x="1144"/>
        <item m="1" x="214"/>
        <item m="1" x="276"/>
        <item m="1" x="303"/>
        <item m="1" x="196"/>
        <item m="1" x="197"/>
        <item m="1" x="382"/>
        <item m="1" x="801"/>
        <item x="43"/>
        <item m="1" x="198"/>
        <item m="1" x="199"/>
        <item m="1" x="1130"/>
        <item m="1" x="200"/>
        <item m="1" x="723"/>
        <item m="1" x="724"/>
        <item m="1" x="1279"/>
        <item x="34"/>
        <item m="1" x="187"/>
        <item m="1" x="1324"/>
        <item m="1" x="961"/>
        <item m="1" x="962"/>
        <item m="1" x="963"/>
        <item m="1" x="1128"/>
        <item m="1" x="1129"/>
        <item m="1" x="211"/>
        <item m="1" x="212"/>
        <item m="1" x="1468"/>
        <item x="49"/>
        <item m="1" x="743"/>
        <item x="32"/>
        <item m="1" x="575"/>
        <item m="1" x="1276"/>
        <item m="1" x="1447"/>
        <item m="1" x="984"/>
        <item m="1" x="559"/>
        <item m="1" x="947"/>
        <item m="1" x="772"/>
        <item x="47"/>
        <item m="1" x="218"/>
        <item m="1" x="252"/>
        <item m="1" x="253"/>
        <item m="1" x="254"/>
        <item x="0"/>
        <item m="1" x="215"/>
        <item m="1" x="296"/>
        <item m="1" x="1341"/>
        <item x="52"/>
        <item x="55"/>
        <item m="1" x="617"/>
        <item x="46"/>
        <item m="1" x="600"/>
        <item m="1" x="297"/>
        <item m="1" x="298"/>
        <item m="1" x="299"/>
        <item m="1" x="300"/>
        <item m="1" x="1004"/>
        <item m="1" x="1344"/>
        <item m="1" x="1345"/>
        <item m="1" x="301"/>
        <item x="35"/>
        <item m="1" x="649"/>
        <item m="1" x="387"/>
        <item m="1" x="1154"/>
        <item m="1" x="817"/>
        <item m="1" x="818"/>
        <item m="1" x="66"/>
        <item m="1" x="1492"/>
        <item m="1" x="404"/>
        <item m="1" x="1182"/>
        <item m="1" x="426"/>
        <item m="1" x="427"/>
        <item m="1" x="428"/>
        <item m="1" x="1511"/>
        <item m="1" x="1512"/>
        <item m="1" x="1513"/>
        <item m="1" x="89"/>
        <item m="1" x="459"/>
        <item m="1" x="384"/>
        <item m="1" x="744"/>
        <item m="1" x="949"/>
        <item m="1" x="1298"/>
        <item m="1" x="1484"/>
        <item m="1" x="964"/>
        <item m="1" x="1469"/>
        <item m="1" x="1470"/>
        <item m="1" x="1471"/>
        <item m="1" x="572"/>
        <item m="1" x="748"/>
        <item m="1" x="971"/>
        <item m="1" x="393"/>
        <item m="1" x="1296"/>
        <item m="1" x="225"/>
        <item m="1" x="226"/>
        <item m="1" x="1497"/>
        <item m="1" x="227"/>
        <item m="1" x="228"/>
        <item m="1" x="803"/>
        <item m="1" x="804"/>
        <item m="1" x="1297"/>
        <item m="1" x="229"/>
        <item m="1" x="770"/>
        <item m="1" x="771"/>
        <item m="1" x="410"/>
        <item m="1" x="591"/>
        <item m="1" x="986"/>
        <item m="1" x="990"/>
        <item m="1" x="991"/>
        <item m="1" x="1495"/>
        <item m="1" x="1496"/>
        <item m="1" x="219"/>
        <item m="1" x="987"/>
        <item m="1" x="970"/>
        <item m="1" x="1318"/>
        <item m="1" x="220"/>
        <item m="1" x="965"/>
        <item m="1" x="966"/>
        <item m="1" x="255"/>
        <item m="1" x="1523"/>
        <item m="1" x="967"/>
        <item m="1" x="408"/>
        <item m="1" x="409"/>
        <item m="1" x="1172"/>
        <item m="1" x="992"/>
        <item m="1" x="1010"/>
        <item m="1" x="1175"/>
        <item m="1" x="590"/>
        <item m="1" x="1498"/>
        <item m="1" x="831"/>
        <item m="1" x="1014"/>
        <item m="1" x="802"/>
        <item m="1" x="411"/>
        <item m="1" x="563"/>
        <item m="1" x="434"/>
        <item m="1" x="1173"/>
        <item m="1" x="610"/>
        <item m="1" x="830"/>
        <item m="1" x="1335"/>
        <item m="1" x="73"/>
        <item m="1" x="189"/>
        <item m="1" x="440"/>
        <item m="1" x="1302"/>
        <item m="1" x="441"/>
        <item m="1" x="577"/>
        <item m="1" x="1325"/>
        <item m="1" x="248"/>
        <item m="1" x="621"/>
        <item m="1" x="622"/>
        <item m="1" x="202"/>
        <item m="1" x="203"/>
        <item m="1" x="1346"/>
        <item m="1" x="1347"/>
        <item m="1" x="274"/>
        <item m="1" x="275"/>
        <item m="1" x="388"/>
        <item m="1" x="794"/>
        <item m="1" x="377"/>
        <item m="1" x="1509"/>
        <item m="1" x="739"/>
        <item m="1" x="1134"/>
        <item m="1" x="1460"/>
        <item m="1" x="1514"/>
        <item m="1" x="385"/>
        <item m="1" x="137"/>
        <item m="1" x="795"/>
        <item m="1" x="1462"/>
        <item m="1" x="819"/>
        <item m="1" x="820"/>
        <item m="1" x="90"/>
        <item m="1" x="823"/>
        <item m="1" x="460"/>
        <item m="1" x="415"/>
        <item m="1" x="356"/>
        <item m="1" x="849"/>
        <item m="1" x="67"/>
        <item m="1" x="469"/>
        <item m="1" x="627"/>
        <item m="1" x="1042"/>
        <item m="1" x="609"/>
        <item m="1" x="700"/>
        <item m="1" x="236"/>
        <item m="1" x="1043"/>
        <item m="1" x="265"/>
        <item m="1" x="286"/>
        <item m="1" x="589"/>
        <item m="1" x="339"/>
        <item m="1" x="701"/>
        <item m="1" x="1074"/>
        <item m="1" x="607"/>
        <item m="1" x="1382"/>
        <item m="1" x="1137"/>
        <item m="1" x="638"/>
        <item m="1" x="675"/>
        <item m="1" x="1122"/>
        <item m="1" x="292"/>
        <item m="1" x="293"/>
        <item m="1" x="581"/>
        <item m="1" x="237"/>
        <item m="1" x="747"/>
        <item m="1" x="1138"/>
        <item m="1" x="354"/>
        <item m="1" x="678"/>
        <item m="1" x="1059"/>
        <item m="1" x="1060"/>
        <item m="1" x="1061"/>
        <item m="1" x="1213"/>
        <item m="1" x="1214"/>
        <item m="1" x="1244"/>
        <item m="1" x="676"/>
        <item m="1" x="677"/>
        <item m="1" x="891"/>
        <item m="1" x="1243"/>
        <item m="1" x="707"/>
        <item m="1" x="329"/>
        <item m="1" x="522"/>
        <item m="1" x="1408"/>
        <item m="1" x="703"/>
        <item m="1" x="521"/>
        <item m="1" x="704"/>
        <item m="1" x="705"/>
        <item m="1" x="706"/>
        <item m="1" x="1087"/>
        <item m="1" x="926"/>
        <item m="1" x="927"/>
        <item m="1" x="1112"/>
        <item m="1" x="374"/>
        <item m="1" x="1260"/>
        <item m="1" x="370"/>
        <item m="1" x="371"/>
        <item m="1" x="372"/>
        <item m="1" x="726"/>
        <item m="1" x="1281"/>
        <item m="1" x="1282"/>
        <item m="1" x="188"/>
        <item m="1" x="1110"/>
        <item m="1" x="1111"/>
        <item m="1" x="1259"/>
        <item m="1" x="730"/>
        <item m="1" x="1434"/>
        <item m="1" x="1435"/>
        <item x="56"/>
        <item m="1" x="782"/>
        <item m="1" x="1143"/>
        <item m="1" x="812"/>
        <item m="1" x="447"/>
        <item x="15"/>
        <item m="1" x="112"/>
        <item m="1" x="113"/>
        <item m="1" x="863"/>
        <item m="1" x="746"/>
        <item m="1" x="790"/>
        <item m="1" x="791"/>
        <item m="1" x="1171"/>
        <item m="1" x="151"/>
        <item m="1" x="545"/>
        <item m="1" x="842"/>
        <item m="1" x="843"/>
        <item m="1" x="150"/>
        <item m="1" x="152"/>
        <item m="1" x="153"/>
        <item m="1" x="209"/>
        <item m="1" x="982"/>
        <item x="50"/>
        <item m="1" x="939"/>
        <item m="1" x="940"/>
        <item m="1" x="956"/>
        <item m="1" x="937"/>
        <item m="1" x="938"/>
        <item m="1" x="761"/>
        <item m="1" x="1290"/>
        <item m="1" x="1489"/>
        <item m="1" x="1490"/>
        <item m="1" x="759"/>
        <item m="1" x="1139"/>
        <item m="1" x="402"/>
        <item m="1" x="980"/>
        <item x="57"/>
        <item m="1" x="264"/>
        <item m="1" x="1310"/>
        <item m="1" x="584"/>
        <item m="1" x="604"/>
        <item m="1" x="605"/>
        <item m="1" x="997"/>
        <item m="1" x="998"/>
        <item m="1" x="1018"/>
        <item m="1" x="1019"/>
        <item m="1" x="631"/>
        <item m="1" x="632"/>
        <item m="1" x="1357"/>
        <item m="1" x="805"/>
        <item m="1" x="807"/>
        <item m="1" x="777"/>
        <item m="1" x="778"/>
        <item m="1" x="779"/>
        <item m="1" x="422"/>
        <item m="1" x="882"/>
        <item m="1" x="883"/>
        <item m="1" x="1199"/>
        <item m="1" x="865"/>
        <item m="1" x="930"/>
        <item m="1" x="554"/>
        <item m="1" x="933"/>
        <item x="5"/>
        <item m="1" x="752"/>
        <item m="1" x="753"/>
        <item m="1" x="1500"/>
        <item m="1" x="1501"/>
        <item m="1" x="1522"/>
        <item m="1" x="401"/>
        <item m="1" x="776"/>
        <item m="1" x="1502"/>
        <item m="1" x="488"/>
        <item m="1" x="489"/>
        <item m="1" x="864"/>
        <item m="1" x="443"/>
        <item m="1" x="172"/>
        <item m="1" x="973"/>
        <item m="1" x="974"/>
        <item m="1" x="975"/>
        <item m="1" x="482"/>
        <item m="1" x="874"/>
        <item m="1" x="875"/>
        <item m="1" x="876"/>
        <item m="1" x="877"/>
        <item m="1" x="898"/>
        <item m="1" x="899"/>
        <item m="1" x="429"/>
        <item m="1" x="430"/>
        <item m="1" x="431"/>
        <item m="1" x="483"/>
        <item m="1" x="508"/>
        <item m="1" x="915"/>
        <item m="1" x="769"/>
        <item m="1" x="1237"/>
        <item x="58"/>
        <item m="1" x="935"/>
        <item x="30"/>
        <item m="1" x="144"/>
        <item m="1" x="145"/>
        <item x="13"/>
        <item m="1" x="542"/>
        <item m="1" x="543"/>
        <item m="1" x="1238"/>
        <item m="1" x="1239"/>
        <item m="1" x="146"/>
        <item m="1" x="147"/>
        <item m="1" x="148"/>
        <item m="1" x="485"/>
        <item m="1" x="486"/>
        <item m="1" x="178"/>
        <item m="1" x="917"/>
        <item x="31"/>
        <item m="1" x="943"/>
        <item m="1" x="952"/>
        <item m="1" x="953"/>
        <item m="1" x="996"/>
        <item m="1" x="954"/>
        <item m="1" x="797"/>
        <item m="1" x="835"/>
        <item m="1" x="836"/>
        <item m="1" x="837"/>
        <item x="10"/>
        <item x="59"/>
        <item m="1" x="838"/>
        <item x="19"/>
        <item m="1" x="781"/>
        <item x="23"/>
        <item m="1" x="798"/>
        <item m="1" x="799"/>
        <item x="60"/>
        <item m="1" x="800"/>
        <item x="61"/>
        <item m="1" x="811"/>
        <item x="24"/>
        <item m="1" x="766"/>
        <item m="1" x="81"/>
        <item x="22"/>
        <item m="1" x="1164"/>
        <item m="1" x="1165"/>
        <item m="1" x="1473"/>
        <item m="1" x="1474"/>
        <item m="1" x="1475"/>
        <item m="1" x="1476"/>
        <item m="1" x="1477"/>
        <item m="1" x="1478"/>
        <item m="1" x="1166"/>
        <item m="1" x="1479"/>
        <item m="1" x="1480"/>
        <item m="1" x="1167"/>
        <item m="1" x="1168"/>
        <item m="1" x="1481"/>
        <item m="1" x="1482"/>
        <item m="1" x="1483"/>
        <item m="1" x="1253"/>
        <item m="1" x="1169"/>
        <item m="1" x="1254"/>
        <item m="1" x="1426"/>
        <item m="1" x="1427"/>
        <item m="1" x="1524"/>
        <item m="1" x="1421"/>
        <item m="1" x="1328"/>
        <item m="1" x="1428"/>
        <item m="1" x="109"/>
        <item m="1" x="259"/>
        <item m="1" x="260"/>
        <item m="1" x="1429"/>
        <item m="1" x="1430"/>
        <item m="1" x="158"/>
        <item m="1" x="159"/>
        <item m="1" x="160"/>
        <item m="1" x="1431"/>
        <item m="1" x="161"/>
        <item m="1" x="1432"/>
        <item m="1" x="162"/>
        <item m="1" x="163"/>
        <item m="1" x="1433"/>
        <item m="1" x="289"/>
        <item m="1" x="290"/>
        <item m="1" x="239"/>
        <item m="1" x="240"/>
        <item m="1" x="143"/>
        <item x="17"/>
        <item m="1" x="291"/>
        <item m="1" x="76"/>
        <item m="1" x="77"/>
        <item m="1" x="78"/>
        <item m="1" x="463"/>
        <item m="1" x="464"/>
        <item m="1" x="465"/>
        <item x="18"/>
        <item x="16"/>
        <item m="1" x="1131"/>
        <item m="1" x="1132"/>
        <item m="1" x="174"/>
        <item m="1" x="175"/>
        <item m="1" x="1456"/>
        <item m="1" x="243"/>
        <item x="27"/>
        <item m="1" x="358"/>
        <item m="1" x="1491"/>
        <item m="1" x="183"/>
        <item m="1" x="72"/>
        <item m="1" x="184"/>
        <item m="1" x="496"/>
        <item m="1" x="206"/>
        <item m="1" x="207"/>
        <item m="1" x="787"/>
        <item m="1" x="788"/>
        <item m="1" x="1267"/>
        <item m="1" x="1303"/>
        <item m="1" x="1304"/>
        <item m="1" x="1308"/>
        <item m="1" x="1416"/>
        <item m="1" x="1451"/>
        <item m="1" x="305"/>
        <item m="1" x="529"/>
        <item m="1" x="480"/>
        <item m="1" x="558"/>
        <item m="1" x="541"/>
        <item m="1" x="571"/>
        <item m="1" x="531"/>
        <item x="53"/>
        <item x="54"/>
        <item m="1" x="1202"/>
        <item m="1" x="1203"/>
        <item m="1" x="423"/>
        <item m="1" x="444"/>
        <item m="1" x="445"/>
        <item m="1" x="535"/>
        <item m="1" x="501"/>
        <item m="1" x="537"/>
        <item m="1" x="538"/>
        <item m="1" x="1311"/>
        <item m="1" x="1312"/>
        <item m="1" x="585"/>
        <item m="1" x="976"/>
        <item m="1" x="1313"/>
        <item m="1" x="586"/>
        <item m="1" x="1314"/>
        <item m="1" x="587"/>
        <item m="1" x="1331"/>
        <item m="1" x="405"/>
        <item m="1" x="390"/>
        <item m="1" x="565"/>
        <item m="1" x="566"/>
        <item m="1" x="567"/>
        <item m="1" x="68"/>
        <item m="1" x="1441"/>
        <item m="1"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5">
        <item m="1" x="56"/>
        <item x="1"/>
        <item x="0"/>
        <item x="27"/>
        <item m="1" x="73"/>
        <item m="1" x="52"/>
        <item m="1" x="67"/>
        <item x="32"/>
        <item x="28"/>
        <item m="1" x="60"/>
        <item m="1" x="53"/>
        <item x="25"/>
        <item x="2"/>
        <item m="1" x="54"/>
        <item x="31"/>
        <item x="44"/>
        <item x="4"/>
        <item m="1" x="61"/>
        <item x="29"/>
        <item m="1" x="72"/>
        <item x="38"/>
        <item x="37"/>
        <item x="5"/>
        <item x="9"/>
        <item x="10"/>
        <item x="12"/>
        <item x="13"/>
        <item x="14"/>
        <item x="8"/>
        <item x="18"/>
        <item m="1" x="47"/>
        <item m="1" x="68"/>
        <item m="1" x="66"/>
        <item x="19"/>
        <item x="20"/>
        <item x="22"/>
        <item m="1" x="51"/>
        <item x="21"/>
        <item m="1" x="48"/>
        <item x="6"/>
        <item x="34"/>
        <item m="1" x="50"/>
        <item x="11"/>
        <item m="1" x="58"/>
        <item m="1" x="63"/>
        <item m="1" x="69"/>
        <item m="1" x="46"/>
        <item x="30"/>
        <item m="1" x="64"/>
        <item m="1" x="62"/>
        <item x="16"/>
        <item m="1" x="55"/>
        <item x="35"/>
        <item m="1" x="57"/>
        <item m="1" x="49"/>
        <item x="42"/>
        <item x="41"/>
        <item m="1" x="70"/>
        <item x="3"/>
        <item x="33"/>
        <item x="43"/>
        <item m="1" x="45"/>
        <item x="7"/>
        <item m="1" x="65"/>
        <item x="15"/>
        <item x="23"/>
        <item x="24"/>
        <item x="26"/>
        <item m="1" x="59"/>
        <item x="36"/>
        <item m="1" x="71"/>
        <item x="39"/>
        <item x="17"/>
        <item x="4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64">
    <i>
      <x v="143"/>
      <x v="8"/>
    </i>
    <i>
      <x v="222"/>
      <x v="28"/>
    </i>
    <i>
      <x v="225"/>
      <x v="28"/>
    </i>
    <i>
      <x v="257"/>
      <x v="15"/>
    </i>
    <i>
      <x v="271"/>
      <x v="62"/>
    </i>
    <i>
      <x v="282"/>
      <x v="67"/>
    </i>
    <i>
      <x v="284"/>
      <x v="58"/>
    </i>
    <i>
      <x v="357"/>
      <x v="11"/>
    </i>
    <i>
      <x v="376"/>
      <x v="3"/>
    </i>
    <i>
      <x v="459"/>
      <x v="23"/>
    </i>
    <i>
      <x v="556"/>
      <x v="72"/>
    </i>
    <i>
      <x v="584"/>
      <x v="39"/>
    </i>
    <i>
      <x v="585"/>
      <x v="39"/>
    </i>
    <i>
      <x v="586"/>
      <x v="33"/>
    </i>
    <i>
      <x v="658"/>
      <x v="50"/>
    </i>
    <i>
      <x v="712"/>
      <x v="22"/>
    </i>
    <i>
      <x v="734"/>
      <x v="24"/>
    </i>
    <i>
      <x v="771"/>
      <x v="1"/>
    </i>
    <i>
      <x v="783"/>
      <x v="33"/>
    </i>
    <i>
      <x v="787"/>
      <x v="23"/>
    </i>
    <i>
      <x v="797"/>
      <x v="12"/>
    </i>
    <i>
      <x v="820"/>
      <x v="14"/>
    </i>
    <i>
      <x v="953"/>
      <x v="11"/>
    </i>
    <i>
      <x v="964"/>
      <x v="66"/>
    </i>
    <i>
      <x v="967"/>
      <x v="37"/>
    </i>
    <i>
      <x v="975"/>
      <x v="21"/>
    </i>
    <i>
      <x v="979"/>
      <x v="65"/>
    </i>
    <i>
      <x v="980"/>
      <x v="16"/>
    </i>
    <i>
      <x v="981"/>
      <x v="47"/>
    </i>
    <i>
      <x v="1010"/>
      <x v="40"/>
    </i>
    <i>
      <x v="1051"/>
      <x v="18"/>
    </i>
    <i>
      <x v="1059"/>
      <x v="35"/>
    </i>
    <i>
      <x v="1070"/>
      <x v="52"/>
    </i>
    <i>
      <x v="1072"/>
      <x v="34"/>
    </i>
    <i>
      <x v="1080"/>
      <x v="59"/>
    </i>
    <i>
      <x v="1085"/>
      <x v="2"/>
    </i>
    <i>
      <x v="1089"/>
      <x v="21"/>
    </i>
    <i>
      <x v="1090"/>
      <x v="73"/>
    </i>
    <i>
      <x v="1092"/>
      <x v="7"/>
    </i>
    <i>
      <x v="1102"/>
      <x v="65"/>
    </i>
    <i>
      <x v="1282"/>
      <x v="56"/>
    </i>
    <i>
      <x v="1287"/>
      <x v="42"/>
    </i>
    <i>
      <x v="1304"/>
      <x v="69"/>
    </i>
    <i>
      <x v="1318"/>
      <x v="55"/>
    </i>
    <i>
      <x v="1344"/>
      <x v="22"/>
    </i>
    <i>
      <x v="1376"/>
      <x v="60"/>
    </i>
    <i>
      <x v="1378"/>
      <x v="29"/>
    </i>
    <i>
      <x v="1381"/>
      <x v="24"/>
    </i>
    <i>
      <x v="1393"/>
      <x v="29"/>
    </i>
    <i>
      <x v="1403"/>
      <x v="28"/>
    </i>
    <i>
      <x v="1404"/>
      <x v="28"/>
    </i>
    <i>
      <x v="1406"/>
      <x v="64"/>
    </i>
    <i>
      <x v="1408"/>
      <x v="50"/>
    </i>
    <i>
      <x v="1411"/>
      <x v="28"/>
    </i>
    <i>
      <x v="1413"/>
      <x v="28"/>
    </i>
    <i>
      <x v="1415"/>
      <x v="28"/>
    </i>
    <i>
      <x v="1418"/>
      <x v="50"/>
    </i>
    <i>
      <x v="1463"/>
      <x v="26"/>
    </i>
    <i>
      <x v="1471"/>
      <x v="27"/>
    </i>
    <i>
      <x v="1472"/>
      <x v="25"/>
    </i>
    <i>
      <x v="1479"/>
      <x v="29"/>
    </i>
    <i>
      <x v="1503"/>
      <x v="20"/>
    </i>
    <i>
      <x v="1504"/>
      <x v="71"/>
    </i>
    <i t="grand">
      <x/>
    </i>
  </rowItems>
  <colFields count="1">
    <field x="0"/>
  </colFields>
  <colItems count="8">
    <i>
      <x/>
    </i>
    <i>
      <x v="84"/>
    </i>
    <i>
      <x v="550"/>
    </i>
    <i>
      <x v="551"/>
    </i>
    <i>
      <x v="552"/>
    </i>
    <i>
      <x v="1284"/>
    </i>
    <i>
      <x v="1285"/>
    </i>
    <i t="grand">
      <x/>
    </i>
  </colItems>
  <dataFields count="1">
    <dataField name="Sum of Utilized" fld="1" baseField="0" baseItem="0"/>
  </dataFields>
  <formats count="19">
    <format dxfId="158">
      <pivotArea field="2" type="button" dataOnly="0" labelOnly="1" outline="0" axis="axisRow" fieldPosition="0"/>
    </format>
    <format dxfId="157">
      <pivotArea dataOnly="0" labelOnly="1" fieldPosition="0">
        <references count="1">
          <reference field="0" count="0"/>
        </references>
      </pivotArea>
    </format>
    <format dxfId="156">
      <pivotArea dataOnly="0" labelOnly="1" grandCol="1" outline="0" fieldPosition="0"/>
    </format>
    <format dxfId="155">
      <pivotArea field="2" type="button" dataOnly="0" labelOnly="1" outline="0" axis="axisRow" fieldPosition="0"/>
    </format>
    <format dxfId="154">
      <pivotArea dataOnly="0" labelOnly="1" fieldPosition="0">
        <references count="1">
          <reference field="0" count="1">
            <x v="0"/>
          </reference>
        </references>
      </pivotArea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field="0" type="button" dataOnly="0" labelOnly="1" outline="0" axis="axisCol" fieldPosition="0"/>
    </format>
    <format dxfId="149">
      <pivotArea type="topRight" dataOnly="0" labelOnly="1" outline="0" fieldPosition="0"/>
    </format>
    <format dxfId="148">
      <pivotArea field="2" type="button" dataOnly="0" labelOnly="1" outline="0" axis="axisRow" fieldPosition="0"/>
    </format>
    <format dxfId="147">
      <pivotArea dataOnly="0" labelOnly="1" fieldPosition="0">
        <references count="1">
          <reference field="2" count="0"/>
        </references>
      </pivotArea>
    </format>
    <format dxfId="146">
      <pivotArea dataOnly="0" labelOnly="1" grandRow="1" outline="0" fieldPosition="0"/>
    </format>
    <format dxfId="145">
      <pivotArea dataOnly="0" labelOnly="1" fieldPosition="0">
        <references count="1">
          <reference field="0" count="0"/>
        </references>
      </pivotArea>
    </format>
    <format dxfId="144">
      <pivotArea dataOnly="0" labelOnly="1" grandCol="1" outline="0" fieldPosition="0"/>
    </format>
    <format dxfId="143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142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141">
      <pivotArea dataOnly="0" labelOnly="1" outline="0" fieldPosition="0">
        <references count="1">
          <reference field="3" count="0"/>
        </references>
      </pivotArea>
    </format>
    <format dxfId="140">
      <pivotArea dataOnly="0" labelOnly="1" outline="0" fieldPosition="0">
        <references count="1">
          <reference field="3" count="0"/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v.No" tableColumnId="9"/>
      <queryTableField id="2" name="Utilized" tableColumnId="10"/>
      <queryTableField id="3" name="B.E. No. &amp; Date" tableColumnId="11"/>
      <queryTableField id="4" name="HS.Code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100-000001000000}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BE" tableColumnId="7"/>
      <queryTableField id="2" name="Weboc Bal" tableColumnId="8"/>
      <queryTableField id="3" name="Type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Balance" displayName="Balance" ref="A1:D104" tableType="queryTable" totalsRowShown="0">
  <autoFilter ref="A1:D104" xr:uid="{00000000-000C-0000-FFFF-FFFF00000000}"/>
  <tableColumns count="4">
    <tableColumn id="9" xr3:uid="{AE3DEB9C-0C75-4E54-9714-BBB170BA404B}" uniqueName="9" name="Inv.No" queryTableFieldId="1"/>
    <tableColumn id="10" xr3:uid="{B189D6FA-C48A-434B-8B75-88675D0A2894}" uniqueName="10" name="Utilized" queryTableFieldId="2"/>
    <tableColumn id="11" xr3:uid="{610DB4E5-4EC5-4267-AF0A-FB84A5377D13}" uniqueName="11" name="B.E. No. &amp; Date" queryTableFieldId="3"/>
    <tableColumn id="12" xr3:uid="{E7F3F3CA-5C64-4CA1-B5C7-E2E124F61704}" uniqueName="12" name="HS.Code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al_Weboc" displayName="Bal_Weboc" ref="A188:C212" tableType="queryTable" totalsRowShown="0">
  <autoFilter ref="A188:C212" xr:uid="{00000000-000C-0000-FFFF-FFFF01000000}"/>
  <tableColumns count="3">
    <tableColumn id="7" xr3:uid="{00FDEC65-45C9-4D15-A489-D16C21671B2D}" uniqueName="7" name="BE" queryTableFieldId="1"/>
    <tableColumn id="8" xr3:uid="{E112EA0B-2D6F-4ADD-B193-9C3A5E86D597}" uniqueName="8" name="Weboc Bal" queryTableFieldId="2"/>
    <tableColumn id="9" xr3:uid="{2C764CF5-91B8-4DE8-9AC4-032DCEF7A93D}" uniqueName="9" name="Typ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4"/>
  <sheetViews>
    <sheetView workbookViewId="0">
      <selection activeCell="B10" sqref="B10"/>
    </sheetView>
  </sheetViews>
  <sheetFormatPr defaultRowHeight="15" x14ac:dyDescent="0.25"/>
  <cols>
    <col min="1" max="1" width="9.140625" customWidth="1"/>
    <col min="2" max="2" width="11" bestFit="1" customWidth="1"/>
    <col min="3" max="3" width="26.5703125" bestFit="1" customWidth="1"/>
    <col min="4" max="4" width="10.7109375" bestFit="1" customWidth="1"/>
  </cols>
  <sheetData>
    <row r="1" spans="1:4" x14ac:dyDescent="0.25">
      <c r="A1" s="1" t="s">
        <v>2</v>
      </c>
      <c r="B1" s="1" t="s">
        <v>1</v>
      </c>
      <c r="C1" s="1" t="s">
        <v>0</v>
      </c>
      <c r="D1" s="1" t="s">
        <v>3</v>
      </c>
    </row>
    <row r="2" spans="1:4" x14ac:dyDescent="0.25">
      <c r="A2" s="1" t="s">
        <v>7</v>
      </c>
      <c r="B2" s="1">
        <v>40902.14</v>
      </c>
      <c r="C2" s="1" t="s">
        <v>68</v>
      </c>
      <c r="D2" s="1">
        <v>2847</v>
      </c>
    </row>
    <row r="3" spans="1:4" x14ac:dyDescent="0.25">
      <c r="A3" s="1" t="s">
        <v>7</v>
      </c>
      <c r="B3" s="1">
        <v>5799</v>
      </c>
      <c r="C3" s="1" t="s">
        <v>81</v>
      </c>
      <c r="D3" s="1">
        <v>2815.12</v>
      </c>
    </row>
    <row r="4" spans="1:4" x14ac:dyDescent="0.25">
      <c r="A4" s="1" t="s">
        <v>7</v>
      </c>
      <c r="B4" s="1">
        <v>44.870000000000005</v>
      </c>
      <c r="C4" s="1" t="s">
        <v>87</v>
      </c>
      <c r="D4" s="1">
        <v>3402.42</v>
      </c>
    </row>
    <row r="5" spans="1:4" x14ac:dyDescent="0.25">
      <c r="A5" s="1" t="s">
        <v>7</v>
      </c>
      <c r="B5" s="1">
        <v>19108</v>
      </c>
      <c r="C5" s="1" t="s">
        <v>73</v>
      </c>
      <c r="D5" s="1">
        <v>2501.009</v>
      </c>
    </row>
    <row r="6" spans="1:4" x14ac:dyDescent="0.25">
      <c r="A6" s="1" t="s">
        <v>7</v>
      </c>
      <c r="B6" s="1">
        <v>14234.58</v>
      </c>
      <c r="C6" s="1" t="s">
        <v>94</v>
      </c>
      <c r="D6" s="1">
        <v>3809.9189999999999</v>
      </c>
    </row>
    <row r="7" spans="1:4" x14ac:dyDescent="0.25">
      <c r="A7" s="1" t="s">
        <v>7</v>
      </c>
      <c r="B7" s="1">
        <v>92808.518499999991</v>
      </c>
      <c r="C7" s="1" t="s">
        <v>82</v>
      </c>
      <c r="D7" s="1">
        <v>5201.009</v>
      </c>
    </row>
    <row r="8" spans="1:4" x14ac:dyDescent="0.25">
      <c r="A8" s="1" t="s">
        <v>7</v>
      </c>
      <c r="B8" s="1">
        <v>38885</v>
      </c>
      <c r="C8" s="1" t="s">
        <v>77</v>
      </c>
      <c r="D8" s="1">
        <v>5201.009</v>
      </c>
    </row>
    <row r="9" spans="1:4" x14ac:dyDescent="0.25">
      <c r="A9" s="1" t="s">
        <v>7</v>
      </c>
      <c r="B9" s="1">
        <v>575</v>
      </c>
      <c r="C9" s="1" t="s">
        <v>102</v>
      </c>
      <c r="D9" s="1">
        <v>5505.1</v>
      </c>
    </row>
    <row r="10" spans="1:4" x14ac:dyDescent="0.25">
      <c r="A10" s="1" t="s">
        <v>7</v>
      </c>
      <c r="B10" s="1">
        <v>2400</v>
      </c>
      <c r="C10" s="1" t="s">
        <v>97</v>
      </c>
      <c r="D10" s="1">
        <v>5505.1</v>
      </c>
    </row>
    <row r="11" spans="1:4" x14ac:dyDescent="0.25">
      <c r="A11" s="1" t="s">
        <v>7</v>
      </c>
      <c r="B11" s="1">
        <v>272</v>
      </c>
      <c r="C11" s="1" t="s">
        <v>30</v>
      </c>
      <c r="D11" s="1">
        <v>5205.1099999999997</v>
      </c>
    </row>
    <row r="12" spans="1:4" x14ac:dyDescent="0.25">
      <c r="A12" s="1" t="s">
        <v>7</v>
      </c>
      <c r="B12" s="1">
        <v>179.59559999999965</v>
      </c>
      <c r="C12" s="1" t="s">
        <v>76</v>
      </c>
      <c r="D12" s="1">
        <v>5206.12</v>
      </c>
    </row>
    <row r="13" spans="1:4" x14ac:dyDescent="0.25">
      <c r="A13" s="1" t="s">
        <v>7</v>
      </c>
      <c r="B13" s="1">
        <v>11668.24</v>
      </c>
      <c r="C13" s="1" t="s">
        <v>42</v>
      </c>
      <c r="D13" s="1">
        <v>5205.12</v>
      </c>
    </row>
    <row r="14" spans="1:4" x14ac:dyDescent="0.25">
      <c r="A14" s="1" t="s">
        <v>7</v>
      </c>
      <c r="B14" s="1">
        <v>94</v>
      </c>
      <c r="C14" s="1" t="s">
        <v>43</v>
      </c>
      <c r="D14" s="1">
        <v>5205.12</v>
      </c>
    </row>
    <row r="15" spans="1:4" x14ac:dyDescent="0.25">
      <c r="A15" s="1" t="s">
        <v>7</v>
      </c>
      <c r="B15" s="1">
        <v>358.44999999999982</v>
      </c>
      <c r="C15" s="1" t="s">
        <v>37</v>
      </c>
      <c r="D15" s="1">
        <v>5205.13</v>
      </c>
    </row>
    <row r="16" spans="1:4" x14ac:dyDescent="0.25">
      <c r="A16" s="1" t="s">
        <v>7</v>
      </c>
      <c r="B16" s="1">
        <v>210</v>
      </c>
      <c r="C16" s="1" t="s">
        <v>34</v>
      </c>
      <c r="D16" s="1">
        <v>5205.13</v>
      </c>
    </row>
    <row r="17" spans="1:4" x14ac:dyDescent="0.25">
      <c r="A17" s="1" t="s">
        <v>7</v>
      </c>
      <c r="B17" s="1">
        <v>1891.038</v>
      </c>
      <c r="C17" s="1" t="s">
        <v>61</v>
      </c>
      <c r="D17" s="1">
        <v>5205.2299999999996</v>
      </c>
    </row>
    <row r="18" spans="1:4" x14ac:dyDescent="0.25">
      <c r="A18" s="1" t="s">
        <v>7</v>
      </c>
      <c r="B18" s="1">
        <v>49029.9493</v>
      </c>
      <c r="C18" s="1" t="s">
        <v>38</v>
      </c>
      <c r="D18" s="1">
        <v>5205.24</v>
      </c>
    </row>
    <row r="19" spans="1:4" x14ac:dyDescent="0.25">
      <c r="A19" s="1" t="s">
        <v>7</v>
      </c>
      <c r="B19" s="1">
        <v>7871.3100000000013</v>
      </c>
      <c r="C19" s="1" t="s">
        <v>25</v>
      </c>
      <c r="D19" s="1">
        <v>5205.26</v>
      </c>
    </row>
    <row r="20" spans="1:4" x14ac:dyDescent="0.25">
      <c r="A20" s="1" t="s">
        <v>7</v>
      </c>
      <c r="B20" s="1">
        <v>2463.3900000000003</v>
      </c>
      <c r="C20" s="1" t="s">
        <v>62</v>
      </c>
      <c r="D20" s="1">
        <v>5205.2700000000004</v>
      </c>
    </row>
    <row r="21" spans="1:4" x14ac:dyDescent="0.25">
      <c r="A21" s="1" t="s">
        <v>7</v>
      </c>
      <c r="B21" s="1">
        <v>3084.4596999999999</v>
      </c>
      <c r="C21" s="1" t="s">
        <v>31</v>
      </c>
      <c r="D21" s="1">
        <v>5205.28</v>
      </c>
    </row>
    <row r="22" spans="1:4" x14ac:dyDescent="0.25">
      <c r="A22" t="s">
        <v>7</v>
      </c>
      <c r="B22">
        <v>3670</v>
      </c>
      <c r="C22" t="s">
        <v>44</v>
      </c>
      <c r="D22">
        <v>5208.1899999999996</v>
      </c>
    </row>
    <row r="23" spans="1:4" x14ac:dyDescent="0.25">
      <c r="A23" t="s">
        <v>7</v>
      </c>
      <c r="B23">
        <v>10000</v>
      </c>
      <c r="C23" t="s">
        <v>98</v>
      </c>
      <c r="D23">
        <v>5208.1099999999997</v>
      </c>
    </row>
    <row r="24" spans="1:4" x14ac:dyDescent="0.25">
      <c r="A24" t="s">
        <v>7</v>
      </c>
      <c r="B24">
        <v>1245.3799999999992</v>
      </c>
      <c r="C24" t="s">
        <v>72</v>
      </c>
      <c r="D24">
        <v>5208.1899999999996</v>
      </c>
    </row>
    <row r="25" spans="1:4" x14ac:dyDescent="0.25">
      <c r="A25" t="s">
        <v>7</v>
      </c>
      <c r="B25">
        <v>6106</v>
      </c>
      <c r="C25" t="s">
        <v>69</v>
      </c>
      <c r="D25">
        <v>5208.1899999999996</v>
      </c>
    </row>
    <row r="26" spans="1:4" x14ac:dyDescent="0.25">
      <c r="A26" t="s">
        <v>7</v>
      </c>
      <c r="B26">
        <v>4828.9624000000003</v>
      </c>
      <c r="C26" t="s">
        <v>105</v>
      </c>
      <c r="D26">
        <v>5206.12</v>
      </c>
    </row>
    <row r="27" spans="1:4" x14ac:dyDescent="0.25">
      <c r="A27" t="s">
        <v>7</v>
      </c>
      <c r="B27">
        <v>11</v>
      </c>
      <c r="C27" t="s">
        <v>88</v>
      </c>
      <c r="D27">
        <v>5206.12</v>
      </c>
    </row>
    <row r="28" spans="1:4" x14ac:dyDescent="0.25">
      <c r="A28" t="s">
        <v>7</v>
      </c>
      <c r="B28">
        <v>3988</v>
      </c>
      <c r="C28" t="s">
        <v>92</v>
      </c>
      <c r="D28">
        <v>5206.12</v>
      </c>
    </row>
    <row r="29" spans="1:4" x14ac:dyDescent="0.25">
      <c r="A29" t="s">
        <v>7</v>
      </c>
      <c r="B29">
        <v>21186.25</v>
      </c>
      <c r="C29" t="s">
        <v>99</v>
      </c>
      <c r="D29">
        <v>5206.1400000000003</v>
      </c>
    </row>
    <row r="30" spans="1:4" x14ac:dyDescent="0.25">
      <c r="A30" t="s">
        <v>7</v>
      </c>
      <c r="B30">
        <v>416.07999999999993</v>
      </c>
      <c r="C30" t="s">
        <v>36</v>
      </c>
      <c r="D30">
        <v>5210.1099999999997</v>
      </c>
    </row>
    <row r="31" spans="1:4" x14ac:dyDescent="0.25">
      <c r="A31" t="s">
        <v>7</v>
      </c>
      <c r="B31">
        <v>329</v>
      </c>
      <c r="C31" t="s">
        <v>39</v>
      </c>
      <c r="D31">
        <v>5210.1099999999997</v>
      </c>
    </row>
    <row r="32" spans="1:4" x14ac:dyDescent="0.25">
      <c r="A32" t="s">
        <v>7</v>
      </c>
      <c r="B32">
        <v>461.48000000000047</v>
      </c>
      <c r="C32" t="s">
        <v>45</v>
      </c>
      <c r="D32">
        <v>5206.1400000000003</v>
      </c>
    </row>
    <row r="33" spans="1:4" x14ac:dyDescent="0.25">
      <c r="A33" t="s">
        <v>7</v>
      </c>
      <c r="B33">
        <v>1523.64</v>
      </c>
      <c r="C33" t="s">
        <v>46</v>
      </c>
      <c r="D33">
        <v>5206.1400000000003</v>
      </c>
    </row>
    <row r="34" spans="1:4" x14ac:dyDescent="0.25">
      <c r="A34" t="s">
        <v>7</v>
      </c>
      <c r="B34">
        <v>1080.79</v>
      </c>
      <c r="C34" t="s">
        <v>47</v>
      </c>
      <c r="D34">
        <v>5210.41</v>
      </c>
    </row>
    <row r="35" spans="1:4" x14ac:dyDescent="0.25">
      <c r="A35" t="s">
        <v>7</v>
      </c>
      <c r="B35">
        <v>476837.23</v>
      </c>
      <c r="C35" t="s">
        <v>86</v>
      </c>
      <c r="D35">
        <v>5503.201</v>
      </c>
    </row>
    <row r="36" spans="1:4" x14ac:dyDescent="0.25">
      <c r="A36" t="s">
        <v>7</v>
      </c>
      <c r="B36">
        <v>22699.87</v>
      </c>
      <c r="C36" t="s">
        <v>104</v>
      </c>
      <c r="D36">
        <v>5402.33</v>
      </c>
    </row>
    <row r="37" spans="1:4" x14ac:dyDescent="0.25">
      <c r="A37" t="s">
        <v>7</v>
      </c>
      <c r="B37">
        <v>8080</v>
      </c>
      <c r="C37" t="s">
        <v>32</v>
      </c>
      <c r="D37">
        <v>5407.51</v>
      </c>
    </row>
    <row r="38" spans="1:4" x14ac:dyDescent="0.25">
      <c r="A38" t="s">
        <v>7</v>
      </c>
      <c r="B38">
        <v>18000</v>
      </c>
      <c r="C38" t="s">
        <v>79</v>
      </c>
      <c r="D38">
        <v>5407.51</v>
      </c>
    </row>
    <row r="39" spans="1:4" x14ac:dyDescent="0.25">
      <c r="A39" t="s">
        <v>7</v>
      </c>
      <c r="B39">
        <v>1.1300000000000026</v>
      </c>
      <c r="C39" t="s">
        <v>33</v>
      </c>
      <c r="D39">
        <v>3909.5</v>
      </c>
    </row>
    <row r="40" spans="1:4" x14ac:dyDescent="0.25">
      <c r="A40" t="s">
        <v>7</v>
      </c>
      <c r="B40">
        <v>116.82999999999916</v>
      </c>
      <c r="C40" t="s">
        <v>40</v>
      </c>
      <c r="D40">
        <v>3402.4189999999999</v>
      </c>
    </row>
    <row r="41" spans="1:4" x14ac:dyDescent="0.25">
      <c r="A41" t="s">
        <v>7</v>
      </c>
      <c r="B41">
        <v>155</v>
      </c>
      <c r="C41" t="s">
        <v>67</v>
      </c>
      <c r="D41">
        <v>3402.4189999999999</v>
      </c>
    </row>
    <row r="42" spans="1:4" x14ac:dyDescent="0.25">
      <c r="A42" t="s">
        <v>7</v>
      </c>
      <c r="B42">
        <v>5</v>
      </c>
      <c r="C42" t="s">
        <v>48</v>
      </c>
      <c r="D42">
        <v>3402.9</v>
      </c>
    </row>
    <row r="43" spans="1:4" x14ac:dyDescent="0.25">
      <c r="A43" t="s">
        <v>7</v>
      </c>
      <c r="B43">
        <v>26</v>
      </c>
      <c r="C43" t="s">
        <v>71</v>
      </c>
      <c r="D43">
        <v>2904.2089999999998</v>
      </c>
    </row>
    <row r="44" spans="1:4" x14ac:dyDescent="0.25">
      <c r="A44" t="s">
        <v>7</v>
      </c>
      <c r="B44">
        <v>58</v>
      </c>
      <c r="C44" t="s">
        <v>49</v>
      </c>
      <c r="D44">
        <v>3204.172</v>
      </c>
    </row>
    <row r="45" spans="1:4" x14ac:dyDescent="0.25">
      <c r="A45" t="s">
        <v>7</v>
      </c>
      <c r="B45">
        <v>10034.120000000001</v>
      </c>
      <c r="C45" t="s">
        <v>83</v>
      </c>
      <c r="D45">
        <v>3906.9029999999998</v>
      </c>
    </row>
    <row r="46" spans="1:4" x14ac:dyDescent="0.25">
      <c r="A46" t="s">
        <v>7</v>
      </c>
      <c r="B46">
        <v>12965.95</v>
      </c>
      <c r="C46" t="s">
        <v>84</v>
      </c>
      <c r="D46">
        <v>3910</v>
      </c>
    </row>
    <row r="47" spans="1:4" x14ac:dyDescent="0.25">
      <c r="A47" t="s">
        <v>7</v>
      </c>
      <c r="B47">
        <v>468.58</v>
      </c>
      <c r="C47" t="s">
        <v>80</v>
      </c>
      <c r="D47">
        <v>3707.1</v>
      </c>
    </row>
    <row r="48" spans="1:4" x14ac:dyDescent="0.25">
      <c r="A48" t="s">
        <v>7</v>
      </c>
      <c r="B48">
        <v>219.05999999999983</v>
      </c>
      <c r="C48" t="s">
        <v>75</v>
      </c>
      <c r="D48">
        <v>3204.16</v>
      </c>
    </row>
    <row r="49" spans="1:4" x14ac:dyDescent="0.25">
      <c r="A49" t="s">
        <v>7</v>
      </c>
      <c r="B49">
        <v>36.21</v>
      </c>
      <c r="C49" t="s">
        <v>29</v>
      </c>
      <c r="D49">
        <v>4007.009</v>
      </c>
    </row>
    <row r="50" spans="1:4" x14ac:dyDescent="0.25">
      <c r="A50" t="s">
        <v>7</v>
      </c>
      <c r="B50">
        <v>366.19000000000005</v>
      </c>
      <c r="C50" t="s">
        <v>26</v>
      </c>
      <c r="D50">
        <v>5901.9089999999997</v>
      </c>
    </row>
    <row r="51" spans="1:4" x14ac:dyDescent="0.25">
      <c r="A51" t="s">
        <v>7</v>
      </c>
      <c r="B51">
        <v>22.569999999999965</v>
      </c>
      <c r="C51" t="s">
        <v>28</v>
      </c>
      <c r="D51">
        <v>5807.1009999999997</v>
      </c>
    </row>
    <row r="52" spans="1:4" x14ac:dyDescent="0.25">
      <c r="A52" t="s">
        <v>7</v>
      </c>
      <c r="B52">
        <v>5.36</v>
      </c>
      <c r="C52" t="s">
        <v>50</v>
      </c>
      <c r="D52">
        <v>9606.2990000000009</v>
      </c>
    </row>
    <row r="53" spans="1:4" x14ac:dyDescent="0.25">
      <c r="A53" t="s">
        <v>7</v>
      </c>
      <c r="B53">
        <v>2.3099999999999881</v>
      </c>
      <c r="C53" t="s">
        <v>51</v>
      </c>
      <c r="D53">
        <v>4810.29</v>
      </c>
    </row>
    <row r="54" spans="1:4" x14ac:dyDescent="0.25">
      <c r="A54" t="s">
        <v>7</v>
      </c>
      <c r="B54">
        <v>24431.119999999999</v>
      </c>
      <c r="C54" t="s">
        <v>106</v>
      </c>
      <c r="D54">
        <v>4810.29</v>
      </c>
    </row>
    <row r="55" spans="1:4" x14ac:dyDescent="0.25">
      <c r="A55" t="s">
        <v>7</v>
      </c>
      <c r="B55">
        <v>776.10000000000036</v>
      </c>
      <c r="C55" t="s">
        <v>89</v>
      </c>
      <c r="D55">
        <v>3919.9090000000001</v>
      </c>
    </row>
    <row r="56" spans="1:4" x14ac:dyDescent="0.25">
      <c r="A56" t="s">
        <v>7</v>
      </c>
      <c r="B56">
        <v>75.610000000000014</v>
      </c>
      <c r="C56" t="s">
        <v>100</v>
      </c>
      <c r="D56">
        <v>3923.29</v>
      </c>
    </row>
    <row r="57" spans="1:4" x14ac:dyDescent="0.25">
      <c r="A57" t="s">
        <v>7</v>
      </c>
      <c r="B57">
        <v>8324.4</v>
      </c>
      <c r="C57" t="s">
        <v>95</v>
      </c>
      <c r="D57">
        <v>3926.9099000000001</v>
      </c>
    </row>
    <row r="58" spans="1:4" x14ac:dyDescent="0.25">
      <c r="A58" t="s">
        <v>7</v>
      </c>
      <c r="B58">
        <v>23.089000000000009</v>
      </c>
      <c r="C58" t="s">
        <v>52</v>
      </c>
      <c r="D58">
        <v>5401.1</v>
      </c>
    </row>
    <row r="59" spans="1:4" x14ac:dyDescent="0.25">
      <c r="A59" t="s">
        <v>7</v>
      </c>
      <c r="B59">
        <v>19.501899999999999</v>
      </c>
      <c r="C59" t="s">
        <v>53</v>
      </c>
      <c r="D59">
        <v>5401.2089999999998</v>
      </c>
    </row>
    <row r="60" spans="1:4" x14ac:dyDescent="0.25">
      <c r="A60" t="s">
        <v>7</v>
      </c>
      <c r="B60">
        <v>52.879999999999981</v>
      </c>
      <c r="C60" t="s">
        <v>54</v>
      </c>
      <c r="D60">
        <v>5508.1</v>
      </c>
    </row>
    <row r="61" spans="1:4" x14ac:dyDescent="0.25">
      <c r="A61">
        <v>443</v>
      </c>
      <c r="B61">
        <v>81.81</v>
      </c>
      <c r="C61" t="s">
        <v>68</v>
      </c>
      <c r="D61">
        <v>2847</v>
      </c>
    </row>
    <row r="62" spans="1:4" x14ac:dyDescent="0.25">
      <c r="A62">
        <v>443</v>
      </c>
      <c r="B62">
        <v>109</v>
      </c>
      <c r="C62" t="s">
        <v>81</v>
      </c>
      <c r="D62">
        <v>2815.12</v>
      </c>
    </row>
    <row r="63" spans="1:4" x14ac:dyDescent="0.25">
      <c r="A63">
        <v>443</v>
      </c>
      <c r="B63">
        <v>109</v>
      </c>
      <c r="C63" t="s">
        <v>73</v>
      </c>
      <c r="D63">
        <v>2501.009</v>
      </c>
    </row>
    <row r="64" spans="1:4" x14ac:dyDescent="0.25">
      <c r="A64">
        <v>443</v>
      </c>
      <c r="B64">
        <v>2754.54</v>
      </c>
      <c r="C64" t="s">
        <v>82</v>
      </c>
      <c r="D64">
        <v>5201.009</v>
      </c>
    </row>
    <row r="65" spans="1:4" x14ac:dyDescent="0.25">
      <c r="A65">
        <v>443</v>
      </c>
      <c r="B65">
        <v>109.08</v>
      </c>
      <c r="C65" t="s">
        <v>83</v>
      </c>
      <c r="D65">
        <v>3906.9029999999998</v>
      </c>
    </row>
    <row r="66" spans="1:4" x14ac:dyDescent="0.25">
      <c r="A66">
        <v>443</v>
      </c>
      <c r="B66">
        <v>109.08</v>
      </c>
      <c r="C66" t="s">
        <v>84</v>
      </c>
      <c r="D66">
        <v>3910</v>
      </c>
    </row>
    <row r="67" spans="1:4" x14ac:dyDescent="0.25">
      <c r="A67">
        <v>444</v>
      </c>
      <c r="B67">
        <v>270.45</v>
      </c>
      <c r="C67" t="s">
        <v>68</v>
      </c>
      <c r="D67">
        <v>2847</v>
      </c>
    </row>
    <row r="68" spans="1:4" x14ac:dyDescent="0.25">
      <c r="A68">
        <v>444</v>
      </c>
      <c r="B68">
        <v>361</v>
      </c>
      <c r="C68" t="s">
        <v>81</v>
      </c>
      <c r="D68">
        <v>2815.12</v>
      </c>
    </row>
    <row r="69" spans="1:4" x14ac:dyDescent="0.25">
      <c r="A69">
        <v>444</v>
      </c>
      <c r="B69">
        <v>361.00000000000006</v>
      </c>
      <c r="C69" t="s">
        <v>73</v>
      </c>
      <c r="D69">
        <v>2501.009</v>
      </c>
    </row>
    <row r="70" spans="1:4" x14ac:dyDescent="0.25">
      <c r="A70">
        <v>444</v>
      </c>
      <c r="B70">
        <v>9106.0499999999993</v>
      </c>
      <c r="C70" t="s">
        <v>82</v>
      </c>
      <c r="D70">
        <v>5201.009</v>
      </c>
    </row>
    <row r="71" spans="1:4" x14ac:dyDescent="0.25">
      <c r="A71">
        <v>444</v>
      </c>
      <c r="B71">
        <v>360.6</v>
      </c>
      <c r="C71" t="s">
        <v>83</v>
      </c>
      <c r="D71">
        <v>3906.9029999999998</v>
      </c>
    </row>
    <row r="72" spans="1:4" x14ac:dyDescent="0.25">
      <c r="A72">
        <v>444</v>
      </c>
      <c r="B72">
        <v>360.6</v>
      </c>
      <c r="C72" t="s">
        <v>84</v>
      </c>
      <c r="D72">
        <v>3910</v>
      </c>
    </row>
    <row r="73" spans="1:4" x14ac:dyDescent="0.25">
      <c r="A73">
        <v>444</v>
      </c>
      <c r="B73">
        <v>360.6</v>
      </c>
      <c r="C73" t="s">
        <v>89</v>
      </c>
      <c r="D73">
        <v>3919.9090000000001</v>
      </c>
    </row>
    <row r="74" spans="1:4" x14ac:dyDescent="0.25">
      <c r="A74">
        <v>445</v>
      </c>
      <c r="B74">
        <v>785.52</v>
      </c>
      <c r="C74" t="s">
        <v>68</v>
      </c>
      <c r="D74">
        <v>2847</v>
      </c>
    </row>
    <row r="75" spans="1:4" x14ac:dyDescent="0.25">
      <c r="A75">
        <v>445</v>
      </c>
      <c r="B75">
        <v>524</v>
      </c>
      <c r="C75" t="s">
        <v>81</v>
      </c>
      <c r="D75">
        <v>2815.12</v>
      </c>
    </row>
    <row r="76" spans="1:4" x14ac:dyDescent="0.25">
      <c r="A76">
        <v>445</v>
      </c>
      <c r="B76">
        <v>671.39819999999997</v>
      </c>
      <c r="C76" t="s">
        <v>74</v>
      </c>
      <c r="D76">
        <v>5206.12</v>
      </c>
    </row>
    <row r="77" spans="1:4" x14ac:dyDescent="0.25">
      <c r="A77">
        <v>445</v>
      </c>
      <c r="B77">
        <v>9071.9403999999995</v>
      </c>
      <c r="C77" t="s">
        <v>107</v>
      </c>
      <c r="D77">
        <v>5206.12</v>
      </c>
    </row>
    <row r="78" spans="1:4" x14ac:dyDescent="0.25">
      <c r="A78">
        <v>445</v>
      </c>
      <c r="B78">
        <v>15875.8958</v>
      </c>
      <c r="C78" t="s">
        <v>108</v>
      </c>
      <c r="D78">
        <v>5206.12</v>
      </c>
    </row>
    <row r="79" spans="1:4" x14ac:dyDescent="0.25">
      <c r="A79">
        <v>445</v>
      </c>
      <c r="B79">
        <v>829.17</v>
      </c>
      <c r="C79" t="s">
        <v>105</v>
      </c>
      <c r="D79">
        <v>5206.12</v>
      </c>
    </row>
    <row r="80" spans="1:4" x14ac:dyDescent="0.25">
      <c r="A80">
        <v>449</v>
      </c>
      <c r="B80">
        <v>404.67</v>
      </c>
      <c r="C80" t="s">
        <v>68</v>
      </c>
      <c r="D80">
        <v>2847</v>
      </c>
    </row>
    <row r="81" spans="1:4" x14ac:dyDescent="0.25">
      <c r="A81">
        <v>449</v>
      </c>
      <c r="B81">
        <v>493</v>
      </c>
      <c r="C81" t="s">
        <v>81</v>
      </c>
      <c r="D81">
        <v>2815.12</v>
      </c>
    </row>
    <row r="82" spans="1:4" x14ac:dyDescent="0.25">
      <c r="A82">
        <v>449</v>
      </c>
      <c r="B82">
        <v>447</v>
      </c>
      <c r="C82" t="s">
        <v>73</v>
      </c>
      <c r="D82">
        <v>2501.009</v>
      </c>
    </row>
    <row r="83" spans="1:4" x14ac:dyDescent="0.25">
      <c r="A83">
        <v>449</v>
      </c>
      <c r="B83">
        <v>446.96</v>
      </c>
      <c r="C83" t="s">
        <v>94</v>
      </c>
      <c r="D83">
        <v>3809.9189999999999</v>
      </c>
    </row>
    <row r="84" spans="1:4" x14ac:dyDescent="0.25">
      <c r="A84">
        <v>449</v>
      </c>
      <c r="B84">
        <v>7112.17</v>
      </c>
      <c r="C84" t="s">
        <v>82</v>
      </c>
      <c r="D84">
        <v>5201.009</v>
      </c>
    </row>
    <row r="85" spans="1:4" x14ac:dyDescent="0.25">
      <c r="A85">
        <v>449</v>
      </c>
      <c r="B85">
        <v>4174.6899999999996</v>
      </c>
      <c r="C85" t="s">
        <v>86</v>
      </c>
      <c r="D85">
        <v>5503.201</v>
      </c>
    </row>
    <row r="86" spans="1:4" x14ac:dyDescent="0.25">
      <c r="A86">
        <v>449</v>
      </c>
      <c r="B86">
        <v>317.92</v>
      </c>
      <c r="C86" t="s">
        <v>83</v>
      </c>
      <c r="D86">
        <v>3906.9029999999998</v>
      </c>
    </row>
    <row r="87" spans="1:4" x14ac:dyDescent="0.25">
      <c r="A87">
        <v>449</v>
      </c>
      <c r="B87">
        <v>92.6</v>
      </c>
      <c r="C87" t="s">
        <v>80</v>
      </c>
      <c r="D87">
        <v>3707.1</v>
      </c>
    </row>
    <row r="88" spans="1:4" x14ac:dyDescent="0.25">
      <c r="A88">
        <v>449</v>
      </c>
      <c r="B88">
        <v>64.400000000000006</v>
      </c>
      <c r="C88" t="s">
        <v>75</v>
      </c>
      <c r="D88">
        <v>3204.16</v>
      </c>
    </row>
    <row r="89" spans="1:4" x14ac:dyDescent="0.25">
      <c r="A89">
        <v>449</v>
      </c>
      <c r="B89">
        <v>476.88</v>
      </c>
      <c r="C89" t="s">
        <v>106</v>
      </c>
      <c r="D89">
        <v>4810.29</v>
      </c>
    </row>
    <row r="90" spans="1:4" x14ac:dyDescent="0.25">
      <c r="A90">
        <v>452</v>
      </c>
      <c r="B90">
        <v>181.56</v>
      </c>
      <c r="C90" t="s">
        <v>68</v>
      </c>
      <c r="D90">
        <v>2847</v>
      </c>
    </row>
    <row r="91" spans="1:4" x14ac:dyDescent="0.25">
      <c r="A91">
        <v>452</v>
      </c>
      <c r="B91">
        <v>121</v>
      </c>
      <c r="C91" t="s">
        <v>81</v>
      </c>
      <c r="D91">
        <v>2815.12</v>
      </c>
    </row>
    <row r="92" spans="1:4" x14ac:dyDescent="0.25">
      <c r="A92">
        <v>452</v>
      </c>
      <c r="B92">
        <v>28</v>
      </c>
      <c r="C92" t="s">
        <v>87</v>
      </c>
      <c r="D92">
        <v>3402.42</v>
      </c>
    </row>
    <row r="93" spans="1:4" x14ac:dyDescent="0.25">
      <c r="A93">
        <v>452</v>
      </c>
      <c r="B93">
        <v>2934.32</v>
      </c>
      <c r="C93" t="s">
        <v>82</v>
      </c>
      <c r="D93">
        <v>5201.009</v>
      </c>
    </row>
    <row r="94" spans="1:4" x14ac:dyDescent="0.25">
      <c r="A94">
        <v>452</v>
      </c>
      <c r="B94">
        <v>367.68</v>
      </c>
      <c r="C94" t="s">
        <v>86</v>
      </c>
      <c r="D94">
        <v>5503.201</v>
      </c>
    </row>
    <row r="95" spans="1:4" x14ac:dyDescent="0.25">
      <c r="A95">
        <v>452</v>
      </c>
      <c r="B95">
        <v>28</v>
      </c>
      <c r="C95" t="s">
        <v>63</v>
      </c>
      <c r="D95">
        <v>3809.9110000000001</v>
      </c>
    </row>
    <row r="96" spans="1:4" x14ac:dyDescent="0.25">
      <c r="A96">
        <v>452</v>
      </c>
      <c r="B96">
        <v>214.08</v>
      </c>
      <c r="C96" t="s">
        <v>84</v>
      </c>
      <c r="D96">
        <v>3910</v>
      </c>
    </row>
    <row r="97" spans="1:4" x14ac:dyDescent="0.25">
      <c r="A97">
        <v>452</v>
      </c>
      <c r="B97">
        <v>374.64</v>
      </c>
      <c r="C97" t="s">
        <v>75</v>
      </c>
      <c r="D97">
        <v>3204.16</v>
      </c>
    </row>
    <row r="98" spans="1:4" x14ac:dyDescent="0.25">
      <c r="A98">
        <v>426000</v>
      </c>
      <c r="B98">
        <v>441.18</v>
      </c>
      <c r="C98" t="s">
        <v>68</v>
      </c>
      <c r="D98">
        <v>2847</v>
      </c>
    </row>
    <row r="99" spans="1:4" x14ac:dyDescent="0.25">
      <c r="A99">
        <v>426000</v>
      </c>
      <c r="B99">
        <v>588</v>
      </c>
      <c r="C99" t="s">
        <v>81</v>
      </c>
      <c r="D99">
        <v>2815.12</v>
      </c>
    </row>
    <row r="100" spans="1:4" x14ac:dyDescent="0.25">
      <c r="A100">
        <v>426000</v>
      </c>
      <c r="B100">
        <v>588</v>
      </c>
      <c r="C100" t="s">
        <v>73</v>
      </c>
      <c r="D100">
        <v>2501.009</v>
      </c>
    </row>
    <row r="101" spans="1:4" x14ac:dyDescent="0.25">
      <c r="A101">
        <v>426000</v>
      </c>
      <c r="B101">
        <v>47.16</v>
      </c>
      <c r="C101" t="s">
        <v>94</v>
      </c>
      <c r="D101">
        <v>3809.9189999999999</v>
      </c>
    </row>
    <row r="102" spans="1:4" x14ac:dyDescent="0.25">
      <c r="A102">
        <v>426000</v>
      </c>
      <c r="B102">
        <v>14854.53</v>
      </c>
      <c r="C102" t="s">
        <v>82</v>
      </c>
      <c r="D102">
        <v>5201.009</v>
      </c>
    </row>
    <row r="103" spans="1:4" x14ac:dyDescent="0.25">
      <c r="A103">
        <v>426000</v>
      </c>
      <c r="B103">
        <v>541.08000000000004</v>
      </c>
      <c r="C103" t="s">
        <v>83</v>
      </c>
      <c r="D103">
        <v>3906.9029999999998</v>
      </c>
    </row>
    <row r="104" spans="1:4" x14ac:dyDescent="0.25">
      <c r="A104">
        <v>426000</v>
      </c>
      <c r="B104">
        <v>541.08000000000004</v>
      </c>
      <c r="C104" t="s">
        <v>84</v>
      </c>
      <c r="D104">
        <v>3910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I217"/>
  <sheetViews>
    <sheetView zoomScaleNormal="100" workbookViewId="0">
      <selection activeCell="A2" sqref="A2"/>
    </sheetView>
  </sheetViews>
  <sheetFormatPr defaultRowHeight="15" x14ac:dyDescent="0.25"/>
  <cols>
    <col min="1" max="1" width="25.140625" customWidth="1"/>
    <col min="2" max="2" width="12.7109375" style="4" customWidth="1"/>
    <col min="3" max="5" width="14.5703125" style="4" customWidth="1"/>
    <col min="6" max="6" width="25" bestFit="1" customWidth="1"/>
    <col min="9" max="9" width="25.140625" bestFit="1" customWidth="1"/>
  </cols>
  <sheetData>
    <row r="1" spans="1:9" x14ac:dyDescent="0.25">
      <c r="A1" s="6" t="s">
        <v>12</v>
      </c>
      <c r="B1" s="5">
        <f ca="1">_xlfn.IFNA(VLOOKUP(A1,$A$189:$B$218,2,0),INDIRECT("C"&amp;ROW()))</f>
        <v>0</v>
      </c>
      <c r="D1">
        <f>SUMIF([2]GD.List!$C$3:$C$5157,A1,[2]GD.List!$G$3:$G$5157)</f>
        <v>0</v>
      </c>
      <c r="E1"/>
      <c r="F1" t="s">
        <v>35</v>
      </c>
    </row>
    <row r="2" spans="1:9" x14ac:dyDescent="0.25">
      <c r="A2" s="7" t="s">
        <v>11</v>
      </c>
      <c r="B2" s="8"/>
      <c r="C2" s="8">
        <v>45566</v>
      </c>
      <c r="D2"/>
      <c r="E2"/>
      <c r="F2" s="4"/>
    </row>
    <row r="3" spans="1:9" x14ac:dyDescent="0.25">
      <c r="A3" s="9" t="s">
        <v>100</v>
      </c>
      <c r="B3" s="9">
        <f ca="1">_xlfn.IFNA(VLOOKUP(A3,$A$189:$B$218,2,0),INDIRECT("C"&amp;ROW()))</f>
        <v>75.61</v>
      </c>
      <c r="C3" s="9">
        <v>75.61</v>
      </c>
      <c r="D3" t="e">
        <f>VLOOKUP(A3,$I$3:$I$50,1,0)</f>
        <v>#N/A</v>
      </c>
      <c r="E3" t="str">
        <f>VLOOKUP(A3,[2]GD.List!$C$3:$G$5157,4,0)</f>
        <v>Running</v>
      </c>
      <c r="F3" s="4"/>
    </row>
    <row r="4" spans="1:9" x14ac:dyDescent="0.25">
      <c r="A4" s="9" t="s">
        <v>89</v>
      </c>
      <c r="B4" s="9">
        <f t="shared" ref="B4:B67" ca="1" si="0">_xlfn.IFNA(VLOOKUP(A4,$A$189:$B$218,2,0),INDIRECT("C"&amp;ROW()))</f>
        <v>1136.7</v>
      </c>
      <c r="C4" s="9">
        <v>1136.7</v>
      </c>
      <c r="D4" t="e">
        <f>VLOOKUP(A4,$I$3:$I$50,1,0)</f>
        <v>#N/A</v>
      </c>
      <c r="E4" t="str">
        <f>VLOOKUP(A4,[2]GD.List!$C$3:$G$5157,4,0)</f>
        <v>Running</v>
      </c>
      <c r="F4" t="s">
        <v>19</v>
      </c>
      <c r="G4">
        <v>235</v>
      </c>
    </row>
    <row r="5" spans="1:9" x14ac:dyDescent="0.25">
      <c r="A5" s="9" t="s">
        <v>99</v>
      </c>
      <c r="B5" s="9">
        <f t="shared" ca="1" si="0"/>
        <v>21186.25</v>
      </c>
      <c r="C5" s="9">
        <v>21186.25</v>
      </c>
      <c r="D5" t="e">
        <f>VLOOKUP(A5,$I$3:$I$50,1,0)</f>
        <v>#N/A</v>
      </c>
      <c r="E5" t="str">
        <f>VLOOKUP(A5,[2]GD.List!$C$3:$G$5157,4,0)</f>
        <v>Running</v>
      </c>
      <c r="F5" t="s">
        <v>18</v>
      </c>
      <c r="G5">
        <v>230.56</v>
      </c>
      <c r="I5" s="4"/>
    </row>
    <row r="6" spans="1:9" x14ac:dyDescent="0.25">
      <c r="A6" s="9" t="s">
        <v>38</v>
      </c>
      <c r="B6" s="9">
        <f t="shared" ca="1" si="0"/>
        <v>49029.9493</v>
      </c>
      <c r="C6" s="9">
        <v>49029.9493</v>
      </c>
      <c r="D6" t="e">
        <f>VLOOKUP(A6,$I$3:$I$50,1,0)</f>
        <v>#N/A</v>
      </c>
      <c r="E6" t="str">
        <f>VLOOKUP(A6,[2]GD.List!$C$3:$G$5157,4,0)</f>
        <v>Running</v>
      </c>
      <c r="F6" t="s">
        <v>21</v>
      </c>
      <c r="G6">
        <v>334</v>
      </c>
    </row>
    <row r="7" spans="1:9" ht="15.75" customHeight="1" x14ac:dyDescent="0.25">
      <c r="A7" s="9" t="s">
        <v>62</v>
      </c>
      <c r="B7" s="9">
        <f t="shared" ca="1" si="0"/>
        <v>2463.39</v>
      </c>
      <c r="C7" s="9">
        <v>2463.39</v>
      </c>
      <c r="D7" t="e">
        <f>VLOOKUP(A7,$I$3:$I$50,1,0)</f>
        <v>#N/A</v>
      </c>
      <c r="E7" t="str">
        <f>VLOOKUP(A7,[2]GD.List!$C$3:$G$5157,4,0)</f>
        <v>Running</v>
      </c>
      <c r="F7" t="s">
        <v>20</v>
      </c>
      <c r="G7" t="s">
        <v>24</v>
      </c>
    </row>
    <row r="8" spans="1:9" x14ac:dyDescent="0.25">
      <c r="A8" s="9" t="s">
        <v>25</v>
      </c>
      <c r="B8" s="9">
        <f t="shared" ca="1" si="0"/>
        <v>7871.31</v>
      </c>
      <c r="C8" s="9">
        <v>7871.31</v>
      </c>
      <c r="D8" t="e">
        <f>VLOOKUP(A8,$I$3:$I$50,1,0)</f>
        <v>#N/A</v>
      </c>
      <c r="E8" t="str">
        <f>VLOOKUP(A8,[2]GD.List!$C$3:$G$5157,4,0)</f>
        <v>Running</v>
      </c>
      <c r="F8" t="s">
        <v>16</v>
      </c>
      <c r="G8" t="s">
        <v>24</v>
      </c>
    </row>
    <row r="9" spans="1:9" x14ac:dyDescent="0.25">
      <c r="A9" s="9" t="s">
        <v>17</v>
      </c>
      <c r="B9" s="9">
        <f t="shared" ca="1" si="0"/>
        <v>53763.08</v>
      </c>
      <c r="C9" s="9">
        <v>53763.08</v>
      </c>
      <c r="D9" t="e">
        <f>VLOOKUP(A9,$I$3:$I$50,1,0)</f>
        <v>#N/A</v>
      </c>
      <c r="E9" t="str">
        <f>VLOOKUP(A9,[2]GD.List!$C$3:$G$5157,4,0)</f>
        <v>Running</v>
      </c>
    </row>
    <row r="10" spans="1:9" x14ac:dyDescent="0.25">
      <c r="A10" s="9" t="s">
        <v>27</v>
      </c>
      <c r="B10" s="9">
        <f t="shared" ca="1" si="0"/>
        <v>8573.0399999999991</v>
      </c>
      <c r="C10" s="9">
        <v>8573.0399999999991</v>
      </c>
      <c r="D10" t="e">
        <f>VLOOKUP(A10,$I$3:$I$50,1,0)</f>
        <v>#N/A</v>
      </c>
      <c r="E10" t="str">
        <f>VLOOKUP(A10,[2]GD.List!$C$3:$G$5157,4,0)</f>
        <v>Running</v>
      </c>
    </row>
    <row r="11" spans="1:9" x14ac:dyDescent="0.25">
      <c r="A11" s="9" t="s">
        <v>23</v>
      </c>
      <c r="B11" s="9">
        <f t="shared" ca="1" si="0"/>
        <v>10577.43</v>
      </c>
      <c r="C11" s="16">
        <v>10577.43</v>
      </c>
      <c r="D11" t="e">
        <f>VLOOKUP(A11,$I$3:$I$50,1,0)</f>
        <v>#N/A</v>
      </c>
      <c r="E11" t="str">
        <f>VLOOKUP(A11,[2]GD.List!$C$3:$G$5157,4,0)</f>
        <v>Running</v>
      </c>
      <c r="I11" s="4"/>
    </row>
    <row r="12" spans="1:9" x14ac:dyDescent="0.25">
      <c r="A12" s="9" t="s">
        <v>72</v>
      </c>
      <c r="B12" s="9">
        <f t="shared" ca="1" si="0"/>
        <v>1245.3800000000001</v>
      </c>
      <c r="C12" s="9">
        <v>1245.3800000000001</v>
      </c>
      <c r="D12" t="e">
        <f>VLOOKUP(A12,$I$3:$I$50,1,0)</f>
        <v>#N/A</v>
      </c>
      <c r="E12" t="str">
        <f>VLOOKUP(A12,[2]GD.List!$C$3:$G$5157,4,0)</f>
        <v>Running</v>
      </c>
    </row>
    <row r="13" spans="1:9" x14ac:dyDescent="0.25">
      <c r="A13" s="9" t="s">
        <v>105</v>
      </c>
      <c r="B13" s="9">
        <f t="shared" ca="1" si="0"/>
        <v>5658.1324000000004</v>
      </c>
      <c r="C13" s="9">
        <v>5658.1324000000004</v>
      </c>
      <c r="D13" t="e">
        <f>VLOOKUP(A13,$I$3:$I$50,1,0)</f>
        <v>#N/A</v>
      </c>
      <c r="E13" t="str">
        <f>VLOOKUP(A13,[2]GD.List!$C$3:$G$5157,4,0)</f>
        <v>Running</v>
      </c>
    </row>
    <row r="14" spans="1:9" x14ac:dyDescent="0.25">
      <c r="A14" s="9" t="s">
        <v>108</v>
      </c>
      <c r="B14" s="9">
        <f t="shared" ca="1" si="0"/>
        <v>15875.8958</v>
      </c>
      <c r="C14" s="9">
        <v>15875.8958</v>
      </c>
      <c r="D14" t="e">
        <f>VLOOKUP(A14,$I$3:$I$50,1,0)</f>
        <v>#N/A</v>
      </c>
      <c r="E14" t="str">
        <f>VLOOKUP(A14,[2]GD.List!$C$3:$G$5157,4,0)</f>
        <v>Running</v>
      </c>
    </row>
    <row r="15" spans="1:9" x14ac:dyDescent="0.25">
      <c r="A15" s="9" t="s">
        <v>107</v>
      </c>
      <c r="B15" s="9">
        <f t="shared" ca="1" si="0"/>
        <v>9071.9403999999995</v>
      </c>
      <c r="C15" s="9">
        <v>9071.9403999999995</v>
      </c>
      <c r="D15" t="e">
        <f>VLOOKUP(A15,$I$3:$I$50,1,0)</f>
        <v>#N/A</v>
      </c>
      <c r="E15" t="str">
        <f>VLOOKUP(A15,[2]GD.List!$C$3:$G$5157,4,0)</f>
        <v>Running</v>
      </c>
    </row>
    <row r="16" spans="1:9" x14ac:dyDescent="0.25">
      <c r="A16" s="9" t="s">
        <v>69</v>
      </c>
      <c r="B16" s="9">
        <f t="shared" ca="1" si="0"/>
        <v>6106</v>
      </c>
      <c r="C16" s="9">
        <v>6106</v>
      </c>
      <c r="D16" t="e">
        <f>VLOOKUP(A16,$I$3:$I$50,1,0)</f>
        <v>#N/A</v>
      </c>
      <c r="E16" t="str">
        <f>VLOOKUP(A16,[2]GD.List!$C$3:$G$5157,4,0)</f>
        <v>Running</v>
      </c>
    </row>
    <row r="17" spans="1:6" x14ac:dyDescent="0.25">
      <c r="A17" s="9" t="s">
        <v>31</v>
      </c>
      <c r="B17" s="9">
        <f t="shared" ca="1" si="0"/>
        <v>3084.4596999999999</v>
      </c>
      <c r="C17" s="16">
        <v>3084.4596999999999</v>
      </c>
      <c r="D17" t="e">
        <f>VLOOKUP(A17,$I$3:$I$50,1,0)</f>
        <v>#N/A</v>
      </c>
      <c r="E17" t="str">
        <f>VLOOKUP(A17,[2]GD.List!$C$3:$G$5157,4,0)</f>
        <v>Running</v>
      </c>
    </row>
    <row r="18" spans="1:6" x14ac:dyDescent="0.25">
      <c r="A18" s="9" t="s">
        <v>74</v>
      </c>
      <c r="B18" s="9">
        <f t="shared" ca="1" si="0"/>
        <v>671.39819999999997</v>
      </c>
      <c r="C18" s="9">
        <v>671.39819999999997</v>
      </c>
      <c r="D18" t="e">
        <f>VLOOKUP(A18,$I$3:$I$50,1,0)</f>
        <v>#N/A</v>
      </c>
      <c r="E18" t="str">
        <f>VLOOKUP(A18,[2]GD.List!$C$3:$G$5157,4,0)</f>
        <v>Running</v>
      </c>
    </row>
    <row r="19" spans="1:6" x14ac:dyDescent="0.25">
      <c r="A19" s="9" t="s">
        <v>76</v>
      </c>
      <c r="B19" s="9">
        <f t="shared" ca="1" si="0"/>
        <v>179.59559999999999</v>
      </c>
      <c r="C19" s="9">
        <v>179.59559999999999</v>
      </c>
      <c r="D19" t="e">
        <f>VLOOKUP(A19,$I$3:$I$50,1,0)</f>
        <v>#N/A</v>
      </c>
      <c r="E19" t="str">
        <f>VLOOKUP(A19,[2]GD.List!$C$3:$G$5157,4,0)</f>
        <v>Running</v>
      </c>
    </row>
    <row r="20" spans="1:6" x14ac:dyDescent="0.25">
      <c r="A20" s="9" t="s">
        <v>46</v>
      </c>
      <c r="B20" s="9">
        <f t="shared" ca="1" si="0"/>
        <v>1523.64</v>
      </c>
      <c r="C20" s="9">
        <v>1523.64</v>
      </c>
      <c r="D20" t="e">
        <f>VLOOKUP(A20,$I$3:$I$50,1,0)</f>
        <v>#N/A</v>
      </c>
      <c r="E20" t="str">
        <f>VLOOKUP(A20,[2]GD.List!$C$3:$G$5157,4,0)</f>
        <v>Running</v>
      </c>
    </row>
    <row r="21" spans="1:6" x14ac:dyDescent="0.25">
      <c r="A21" s="9" t="s">
        <v>37</v>
      </c>
      <c r="B21" s="9">
        <f t="shared" ca="1" si="0"/>
        <v>358.45</v>
      </c>
      <c r="C21" s="9">
        <v>358.45</v>
      </c>
      <c r="D21" t="e">
        <f>VLOOKUP(A21,$I$3:$I$50,1,0)</f>
        <v>#N/A</v>
      </c>
      <c r="E21" t="str">
        <f>VLOOKUP(A21,[2]GD.List!$C$3:$G$5157,4,0)</f>
        <v>Running</v>
      </c>
    </row>
    <row r="22" spans="1:6" x14ac:dyDescent="0.25">
      <c r="A22" s="9" t="s">
        <v>45</v>
      </c>
      <c r="B22" s="9">
        <f t="shared" ca="1" si="0"/>
        <v>461.48</v>
      </c>
      <c r="C22" s="9">
        <v>461.48</v>
      </c>
      <c r="D22" t="e">
        <f>VLOOKUP(A22,$I$3:$I$50,1,0)</f>
        <v>#N/A</v>
      </c>
      <c r="E22" t="str">
        <f>VLOOKUP(A22,[2]GD.List!$C$3:$G$5157,4,0)</f>
        <v>Running</v>
      </c>
    </row>
    <row r="23" spans="1:6" x14ac:dyDescent="0.25">
      <c r="A23" s="9" t="s">
        <v>54</v>
      </c>
      <c r="B23" s="9">
        <f t="shared" ca="1" si="0"/>
        <v>52.88</v>
      </c>
      <c r="C23" s="9">
        <v>52.88</v>
      </c>
      <c r="D23" t="e">
        <f>VLOOKUP(A23,$I$3:$I$50,1,0)</f>
        <v>#N/A</v>
      </c>
      <c r="E23" t="str">
        <f>VLOOKUP(A23,[2]GD.List!$C$3:$G$5157,4,0)</f>
        <v>Running</v>
      </c>
    </row>
    <row r="24" spans="1:6" x14ac:dyDescent="0.25">
      <c r="A24" s="9" t="s">
        <v>82</v>
      </c>
      <c r="B24" s="9">
        <f t="shared" ca="1" si="0"/>
        <v>129570.12850000001</v>
      </c>
      <c r="C24" s="9">
        <v>129570.12850000001</v>
      </c>
      <c r="D24" t="e">
        <f>VLOOKUP(A24,$I$3:$I$50,1,0)</f>
        <v>#N/A</v>
      </c>
      <c r="E24" t="str">
        <f>VLOOKUP(A24,[2]GD.List!$C$3:$G$5157,4,0)</f>
        <v>Running</v>
      </c>
      <c r="F24" s="10"/>
    </row>
    <row r="25" spans="1:6" x14ac:dyDescent="0.25">
      <c r="A25" s="9" t="s">
        <v>53</v>
      </c>
      <c r="B25" s="9">
        <f t="shared" ca="1" si="0"/>
        <v>19.501899999999999</v>
      </c>
      <c r="C25" s="9">
        <v>19.501899999999999</v>
      </c>
      <c r="D25" t="e">
        <f>VLOOKUP(A25,$I$3:$I$50,1,0)</f>
        <v>#N/A</v>
      </c>
      <c r="E25" t="str">
        <f>VLOOKUP(A25,[2]GD.List!$C$3:$G$5157,4,0)</f>
        <v>Running</v>
      </c>
    </row>
    <row r="26" spans="1:6" x14ac:dyDescent="0.25">
      <c r="A26" s="9" t="s">
        <v>50</v>
      </c>
      <c r="B26" s="9">
        <f t="shared" ca="1" si="0"/>
        <v>5.36</v>
      </c>
      <c r="C26" s="9">
        <v>5.36</v>
      </c>
      <c r="D26" t="e">
        <f>VLOOKUP(A26,$I$3:$I$50,1,0)</f>
        <v>#N/A</v>
      </c>
      <c r="E26" t="str">
        <f>VLOOKUP(A26,[2]GD.List!$C$3:$G$5157,4,0)</f>
        <v>Running</v>
      </c>
    </row>
    <row r="27" spans="1:6" x14ac:dyDescent="0.25">
      <c r="A27" s="9" t="s">
        <v>61</v>
      </c>
      <c r="B27" s="9">
        <f t="shared" ca="1" si="0"/>
        <v>1891.038</v>
      </c>
      <c r="C27" s="9">
        <v>1891.038</v>
      </c>
      <c r="D27" t="e">
        <f>VLOOKUP(A27,$I$3:$I$50,1,0)</f>
        <v>#N/A</v>
      </c>
      <c r="E27" t="str">
        <f>VLOOKUP(A27,[2]GD.List!$C$3:$G$5157,4,0)</f>
        <v>Running</v>
      </c>
    </row>
    <row r="28" spans="1:6" x14ac:dyDescent="0.25">
      <c r="A28" s="9" t="s">
        <v>52</v>
      </c>
      <c r="B28" s="9">
        <f t="shared" ca="1" si="0"/>
        <v>23.088999999999999</v>
      </c>
      <c r="C28" s="9">
        <v>23.088999999999999</v>
      </c>
      <c r="D28" t="e">
        <f>VLOOKUP(A28,$I$3:$I$50,1,0)</f>
        <v>#N/A</v>
      </c>
      <c r="E28" t="str">
        <f>VLOOKUP(A28,[2]GD.List!$C$3:$G$5157,4,0)</f>
        <v>Running</v>
      </c>
    </row>
    <row r="29" spans="1:6" x14ac:dyDescent="0.25">
      <c r="A29" s="9" t="s">
        <v>32</v>
      </c>
      <c r="B29" s="9">
        <f t="shared" ca="1" si="0"/>
        <v>8080</v>
      </c>
      <c r="C29" s="9">
        <v>8080</v>
      </c>
      <c r="D29" t="e">
        <f>VLOOKUP(A29,$I$3:$I$50,1,0)</f>
        <v>#N/A</v>
      </c>
      <c r="E29" t="str">
        <f>VLOOKUP(A29,[2]GD.List!$C$3:$G$5157,4,0)</f>
        <v>Running</v>
      </c>
    </row>
    <row r="30" spans="1:6" x14ac:dyDescent="0.25">
      <c r="A30" s="9" t="s">
        <v>75</v>
      </c>
      <c r="B30" s="9">
        <f t="shared" ca="1" si="0"/>
        <v>658.1</v>
      </c>
      <c r="C30" s="9">
        <v>658.1</v>
      </c>
      <c r="D30" t="e">
        <f>VLOOKUP(A30,$I$3:$I$50,1,0)</f>
        <v>#N/A</v>
      </c>
      <c r="E30" t="str">
        <f>VLOOKUP(A30,[2]GD.List!$C$3:$G$5157,4,0)</f>
        <v>Running</v>
      </c>
    </row>
    <row r="31" spans="1:6" x14ac:dyDescent="0.25">
      <c r="A31" s="9" t="s">
        <v>95</v>
      </c>
      <c r="B31" s="9">
        <f t="shared" ca="1" si="0"/>
        <v>8324.4</v>
      </c>
      <c r="C31" s="9">
        <v>8324.4</v>
      </c>
      <c r="D31" t="e">
        <f>VLOOKUP(A31,$I$3:$I$50,1,0)</f>
        <v>#N/A</v>
      </c>
      <c r="E31" t="str">
        <f>VLOOKUP(A31,[2]GD.List!$C$3:$G$5157,4,0)</f>
        <v>Running</v>
      </c>
    </row>
    <row r="32" spans="1:6" x14ac:dyDescent="0.25">
      <c r="A32" s="9" t="s">
        <v>106</v>
      </c>
      <c r="B32" s="9">
        <f t="shared" ca="1" si="0"/>
        <v>24908</v>
      </c>
      <c r="C32" s="9">
        <v>24908</v>
      </c>
      <c r="D32" t="e">
        <f>VLOOKUP(A32,$I$3:$I$50,1,0)</f>
        <v>#N/A</v>
      </c>
      <c r="E32" t="str">
        <f>VLOOKUP(A32,[2]GD.List!$C$3:$G$5157,4,0)</f>
        <v>Running</v>
      </c>
    </row>
    <row r="33" spans="1:7" x14ac:dyDescent="0.25">
      <c r="A33" s="9" t="s">
        <v>68</v>
      </c>
      <c r="B33" s="9">
        <f t="shared" ca="1" si="0"/>
        <v>43067.33</v>
      </c>
      <c r="C33" s="9">
        <v>43067.33</v>
      </c>
      <c r="D33" t="e">
        <f>VLOOKUP(A33,$I$3:$I$50,1,0)</f>
        <v>#N/A</v>
      </c>
      <c r="E33" t="str">
        <f>VLOOKUP(A33,[2]GD.List!$C$3:$G$5157,4,0)</f>
        <v>Running</v>
      </c>
    </row>
    <row r="34" spans="1:7" x14ac:dyDescent="0.25">
      <c r="A34" s="9" t="s">
        <v>29</v>
      </c>
      <c r="B34" s="9">
        <f t="shared" ca="1" si="0"/>
        <v>36.21</v>
      </c>
      <c r="C34" s="9">
        <v>36.21</v>
      </c>
      <c r="D34" t="e">
        <f>VLOOKUP(A34,$I$3:$I$50,1,0)</f>
        <v>#N/A</v>
      </c>
      <c r="E34" t="str">
        <f>VLOOKUP(A34,[2]GD.List!$C$3:$G$5157,4,0)</f>
        <v>Running</v>
      </c>
    </row>
    <row r="35" spans="1:7" x14ac:dyDescent="0.25">
      <c r="A35" s="9" t="s">
        <v>47</v>
      </c>
      <c r="B35" s="9">
        <f t="shared" ca="1" si="0"/>
        <v>1080.79</v>
      </c>
      <c r="C35" s="9">
        <v>1080.79</v>
      </c>
      <c r="D35" t="e">
        <f>VLOOKUP(A35,$I$3:$I$50,1,0)</f>
        <v>#N/A</v>
      </c>
      <c r="E35" t="str">
        <f>VLOOKUP(A35,[2]GD.List!$C$3:$G$5157,4,0)</f>
        <v>Running</v>
      </c>
    </row>
    <row r="36" spans="1:7" x14ac:dyDescent="0.25">
      <c r="A36" s="9" t="s">
        <v>28</v>
      </c>
      <c r="B36" s="9">
        <f t="shared" ca="1" si="0"/>
        <v>22.57</v>
      </c>
      <c r="C36" s="9">
        <v>22.57</v>
      </c>
      <c r="D36" t="e">
        <f>VLOOKUP(A36,$I$3:$I$50,1,0)</f>
        <v>#N/A</v>
      </c>
      <c r="E36" t="str">
        <f>VLOOKUP(A36,[2]GD.List!$C$3:$G$5157,4,0)</f>
        <v>Running</v>
      </c>
    </row>
    <row r="37" spans="1:7" x14ac:dyDescent="0.25">
      <c r="A37" s="9" t="s">
        <v>104</v>
      </c>
      <c r="B37" s="9">
        <f t="shared" ca="1" si="0"/>
        <v>22699.87</v>
      </c>
      <c r="C37" s="9">
        <v>22699.87</v>
      </c>
      <c r="D37" t="e">
        <f>VLOOKUP(A37,$I$3:$I$50,1,0)</f>
        <v>#N/A</v>
      </c>
      <c r="E37" t="str">
        <f>VLOOKUP(A37,[2]GD.List!$C$3:$G$5157,4,0)</f>
        <v>Running</v>
      </c>
    </row>
    <row r="38" spans="1:7" x14ac:dyDescent="0.25">
      <c r="A38" s="9" t="s">
        <v>83</v>
      </c>
      <c r="B38" s="9">
        <f t="shared" ca="1" si="0"/>
        <v>11362.8</v>
      </c>
      <c r="C38" s="9">
        <v>11362.8</v>
      </c>
      <c r="D38" t="e">
        <f>VLOOKUP(A38,$I$3:$I$50,1,0)</f>
        <v>#N/A</v>
      </c>
      <c r="E38" t="str">
        <f>VLOOKUP(A38,[2]GD.List!$C$3:$G$5157,4,0)</f>
        <v>Running</v>
      </c>
    </row>
    <row r="39" spans="1:7" x14ac:dyDescent="0.25">
      <c r="A39" s="9" t="s">
        <v>26</v>
      </c>
      <c r="B39" s="9">
        <f t="shared" ca="1" si="0"/>
        <v>366.19</v>
      </c>
      <c r="C39" s="9">
        <v>366.19</v>
      </c>
      <c r="D39" t="e">
        <f>VLOOKUP(A39,$I$3:$I$50,1,0)</f>
        <v>#N/A</v>
      </c>
      <c r="E39" t="str">
        <f>VLOOKUP(A39,[2]GD.List!$C$3:$G$5157,4,0)</f>
        <v>Running</v>
      </c>
    </row>
    <row r="40" spans="1:7" x14ac:dyDescent="0.25">
      <c r="A40" s="9" t="s">
        <v>84</v>
      </c>
      <c r="B40" s="9">
        <f t="shared" ca="1" si="0"/>
        <v>14190.79</v>
      </c>
      <c r="C40" s="9">
        <v>14190.79</v>
      </c>
      <c r="D40" t="e">
        <f>VLOOKUP(A40,$I$3:$I$50,1,0)</f>
        <v>#N/A</v>
      </c>
      <c r="E40" t="str">
        <f>VLOOKUP(A40,[2]GD.List!$C$3:$G$5157,4,0)</f>
        <v>Running</v>
      </c>
    </row>
    <row r="41" spans="1:7" x14ac:dyDescent="0.25">
      <c r="A41" s="9" t="s">
        <v>94</v>
      </c>
      <c r="B41" s="9">
        <f t="shared" ca="1" si="0"/>
        <v>14728.7</v>
      </c>
      <c r="C41" s="9">
        <v>14728.7</v>
      </c>
      <c r="D41" t="e">
        <f>VLOOKUP(A41,$I$3:$I$50,1,0)</f>
        <v>#N/A</v>
      </c>
      <c r="E41" t="str">
        <f>VLOOKUP(A41,[2]GD.List!$C$3:$G$5157,4,0)</f>
        <v>Running</v>
      </c>
    </row>
    <row r="42" spans="1:7" x14ac:dyDescent="0.25">
      <c r="A42" s="9" t="s">
        <v>79</v>
      </c>
      <c r="B42" s="9">
        <f t="shared" ca="1" si="0"/>
        <v>18000</v>
      </c>
      <c r="C42" s="9">
        <v>18000</v>
      </c>
      <c r="D42" t="e">
        <f>VLOOKUP(A42,$I$3:$I$50,1,0)</f>
        <v>#N/A</v>
      </c>
      <c r="E42" t="str">
        <f>VLOOKUP(A42,[2]GD.List!$C$3:$G$5157,4,0)</f>
        <v>Running</v>
      </c>
    </row>
    <row r="43" spans="1:7" x14ac:dyDescent="0.25">
      <c r="A43" s="9" t="s">
        <v>51</v>
      </c>
      <c r="B43" s="9">
        <f t="shared" ca="1" si="0"/>
        <v>2.31</v>
      </c>
      <c r="C43" s="9">
        <v>2.31</v>
      </c>
      <c r="D43" t="e">
        <f>VLOOKUP(A43,$I$3:$I$50,1,0)</f>
        <v>#N/A</v>
      </c>
      <c r="E43" t="str">
        <f>VLOOKUP(A43,[2]GD.List!$C$3:$G$5157,4,0)</f>
        <v>Running</v>
      </c>
    </row>
    <row r="44" spans="1:7" x14ac:dyDescent="0.25">
      <c r="A44" s="9" t="s">
        <v>86</v>
      </c>
      <c r="B44" s="9">
        <f t="shared" ca="1" si="0"/>
        <v>481379.6</v>
      </c>
      <c r="C44" s="9">
        <v>481379.6</v>
      </c>
      <c r="D44" t="e">
        <f>VLOOKUP(A44,$I$3:$I$50,1,0)</f>
        <v>#N/A</v>
      </c>
      <c r="E44" t="str">
        <f>VLOOKUP(A44,[2]GD.List!$C$3:$G$5157,4,0)</f>
        <v>Running</v>
      </c>
      <c r="F44" s="10"/>
    </row>
    <row r="45" spans="1:7" x14ac:dyDescent="0.25">
      <c r="A45" s="9" t="s">
        <v>33</v>
      </c>
      <c r="B45" s="9">
        <f t="shared" ca="1" si="0"/>
        <v>1.1299999999999999</v>
      </c>
      <c r="C45" s="9">
        <v>1.1299999999999999</v>
      </c>
      <c r="D45" t="e">
        <f>VLOOKUP(A45,$I$3:$I$50,1,0)</f>
        <v>#N/A</v>
      </c>
      <c r="E45" t="str">
        <f>VLOOKUP(A45,[2]GD.List!$C$3:$G$5157,4,0)</f>
        <v>Running</v>
      </c>
      <c r="F45" t="s">
        <v>41</v>
      </c>
      <c r="G45">
        <v>0</v>
      </c>
    </row>
    <row r="46" spans="1:7" x14ac:dyDescent="0.25">
      <c r="A46" s="9" t="s">
        <v>40</v>
      </c>
      <c r="B46" s="9">
        <f t="shared" ca="1" si="0"/>
        <v>116.83</v>
      </c>
      <c r="C46" s="9">
        <v>116.83</v>
      </c>
      <c r="D46" t="e">
        <f>VLOOKUP(A46,$I$3:$I$50,1,0)</f>
        <v>#N/A</v>
      </c>
      <c r="E46" t="str">
        <f>VLOOKUP(A46,[2]GD.List!$C$3:$G$5157,4,0)</f>
        <v>Running</v>
      </c>
      <c r="F46" t="s">
        <v>65</v>
      </c>
      <c r="G46">
        <v>0</v>
      </c>
    </row>
    <row r="47" spans="1:7" x14ac:dyDescent="0.25">
      <c r="A47" s="9" t="s">
        <v>80</v>
      </c>
      <c r="B47" s="9">
        <f t="shared" ca="1" si="0"/>
        <v>561.17999999999995</v>
      </c>
      <c r="C47" s="9">
        <v>561.17999999999995</v>
      </c>
      <c r="D47" t="e">
        <f>VLOOKUP(A47,$I$3:$I$50,1,0)</f>
        <v>#N/A</v>
      </c>
      <c r="E47" t="str">
        <f>VLOOKUP(A47,[2]GD.List!$C$3:$G$5157,4,0)</f>
        <v>Running</v>
      </c>
      <c r="F47" t="s">
        <v>58</v>
      </c>
      <c r="G47">
        <v>0</v>
      </c>
    </row>
    <row r="48" spans="1:7" x14ac:dyDescent="0.25">
      <c r="A48" s="9" t="s">
        <v>87</v>
      </c>
      <c r="B48" s="9">
        <f t="shared" ca="1" si="0"/>
        <v>72.87</v>
      </c>
      <c r="C48" s="9">
        <v>72.87</v>
      </c>
      <c r="D48" t="e">
        <f>VLOOKUP(A48,$I$3:$I$50,1,0)</f>
        <v>#N/A</v>
      </c>
      <c r="E48" t="str">
        <f>VLOOKUP(A48,[2]GD.List!$C$3:$G$5157,4,0)</f>
        <v>Running</v>
      </c>
      <c r="F48" t="s">
        <v>60</v>
      </c>
      <c r="G48">
        <v>0</v>
      </c>
    </row>
    <row r="49" spans="1:7" x14ac:dyDescent="0.25">
      <c r="A49" s="9" t="s">
        <v>42</v>
      </c>
      <c r="B49" s="9">
        <f t="shared" ca="1" si="0"/>
        <v>11668.24</v>
      </c>
      <c r="C49" s="9">
        <v>11668.24</v>
      </c>
      <c r="D49" t="e">
        <f>VLOOKUP(A49,$I$3:$I$50,1,0)</f>
        <v>#N/A</v>
      </c>
      <c r="E49" t="str">
        <f>VLOOKUP(A49,[2]GD.List!$C$3:$G$5157,4,0)</f>
        <v>Running</v>
      </c>
      <c r="F49" t="s">
        <v>59</v>
      </c>
      <c r="G49">
        <v>0</v>
      </c>
    </row>
    <row r="50" spans="1:7" x14ac:dyDescent="0.25">
      <c r="A50" s="9" t="s">
        <v>36</v>
      </c>
      <c r="B50" s="9">
        <f t="shared" ca="1" si="0"/>
        <v>416.08</v>
      </c>
      <c r="C50" s="9">
        <v>416.08</v>
      </c>
      <c r="D50" t="e">
        <f>VLOOKUP(A50,$I$3:$I$50,1,0)</f>
        <v>#N/A</v>
      </c>
      <c r="E50" t="str">
        <f>VLOOKUP(A50,[2]GD.List!$C$3:$G$5157,4,0)</f>
        <v>Running</v>
      </c>
      <c r="F50" s="10" t="s">
        <v>64</v>
      </c>
      <c r="G50">
        <v>0</v>
      </c>
    </row>
    <row r="51" spans="1:7" x14ac:dyDescent="0.25">
      <c r="A51" s="9" t="s">
        <v>81</v>
      </c>
      <c r="B51" s="9">
        <f t="shared" ca="1" si="0"/>
        <v>6335</v>
      </c>
      <c r="C51" s="9">
        <v>6335</v>
      </c>
      <c r="D51" t="e">
        <f>VLOOKUP(A51,$I$3:$I$50,1,0)</f>
        <v>#N/A</v>
      </c>
      <c r="E51" t="str">
        <f>VLOOKUP(A51,[2]GD.List!$C$3:$G$5157,4,0)</f>
        <v>Running</v>
      </c>
      <c r="F51" t="s">
        <v>66</v>
      </c>
      <c r="G51">
        <v>0</v>
      </c>
    </row>
    <row r="52" spans="1:7" x14ac:dyDescent="0.25">
      <c r="A52" s="9" t="s">
        <v>34</v>
      </c>
      <c r="B52" s="9">
        <f t="shared" ca="1" si="0"/>
        <v>210</v>
      </c>
      <c r="C52" s="9">
        <v>210</v>
      </c>
      <c r="D52" t="e">
        <f>VLOOKUP(A52,$I$3:$I$50,1,0)</f>
        <v>#N/A</v>
      </c>
      <c r="E52" t="str">
        <f>VLOOKUP(A52,[2]GD.List!$C$3:$G$5157,4,0)</f>
        <v>Running</v>
      </c>
      <c r="F52" t="s">
        <v>56</v>
      </c>
      <c r="G52">
        <v>0</v>
      </c>
    </row>
    <row r="53" spans="1:7" x14ac:dyDescent="0.25">
      <c r="A53" s="9" t="s">
        <v>77</v>
      </c>
      <c r="B53" s="9">
        <f t="shared" ca="1" si="0"/>
        <v>38885</v>
      </c>
      <c r="C53" s="9">
        <v>38885</v>
      </c>
      <c r="D53" t="e">
        <f>VLOOKUP(A53,$I$3:$I$50,1,0)</f>
        <v>#N/A</v>
      </c>
      <c r="E53" t="str">
        <f>VLOOKUP(A53,[2]GD.List!$C$3:$G$5157,4,0)</f>
        <v>Running</v>
      </c>
      <c r="F53" t="s">
        <v>57</v>
      </c>
      <c r="G53">
        <v>0</v>
      </c>
    </row>
    <row r="54" spans="1:7" x14ac:dyDescent="0.25">
      <c r="A54" s="9" t="s">
        <v>44</v>
      </c>
      <c r="B54" s="9">
        <f t="shared" ca="1" si="0"/>
        <v>3670</v>
      </c>
      <c r="C54" s="9">
        <v>3670</v>
      </c>
      <c r="D54" t="e">
        <f>VLOOKUP(A54,$I$3:$I$50,1,0)</f>
        <v>#N/A</v>
      </c>
      <c r="E54" t="str">
        <f>VLOOKUP(A54,[2]GD.List!$C$3:$G$5157,4,0)</f>
        <v>Running</v>
      </c>
      <c r="F54" t="s">
        <v>78</v>
      </c>
      <c r="G54">
        <v>0</v>
      </c>
    </row>
    <row r="55" spans="1:7" x14ac:dyDescent="0.25">
      <c r="A55" s="9" t="s">
        <v>39</v>
      </c>
      <c r="B55" s="9">
        <f t="shared" ca="1" si="0"/>
        <v>329</v>
      </c>
      <c r="C55" s="9">
        <v>329</v>
      </c>
      <c r="D55" t="e">
        <f>VLOOKUP(A55,$I$3:$I$50,1,0)</f>
        <v>#N/A</v>
      </c>
      <c r="E55" t="str">
        <f>VLOOKUP(A55,[2]GD.List!$C$3:$G$5157,4,0)</f>
        <v>Running</v>
      </c>
      <c r="F55" t="s">
        <v>90</v>
      </c>
      <c r="G55">
        <v>0</v>
      </c>
    </row>
    <row r="56" spans="1:7" x14ac:dyDescent="0.25">
      <c r="A56" s="9" t="s">
        <v>102</v>
      </c>
      <c r="B56" s="9">
        <f t="shared" ca="1" si="0"/>
        <v>575</v>
      </c>
      <c r="C56" s="9">
        <v>575</v>
      </c>
      <c r="D56" t="e">
        <f>VLOOKUP(A56,$I$3:$I$50,1,0)</f>
        <v>#N/A</v>
      </c>
      <c r="E56" t="str">
        <f>VLOOKUP(A56,[2]GD.List!$C$3:$G$5157,4,0)</f>
        <v>Running</v>
      </c>
      <c r="F56" t="s">
        <v>91</v>
      </c>
      <c r="G56">
        <v>0</v>
      </c>
    </row>
    <row r="57" spans="1:7" x14ac:dyDescent="0.25">
      <c r="A57" s="9" t="s">
        <v>97</v>
      </c>
      <c r="B57" s="9">
        <f t="shared" ca="1" si="0"/>
        <v>2400</v>
      </c>
      <c r="C57" s="9">
        <v>2400</v>
      </c>
      <c r="D57" t="e">
        <f>VLOOKUP(A57,$I$3:$I$50,1,0)</f>
        <v>#N/A</v>
      </c>
      <c r="E57" t="str">
        <f>VLOOKUP(A57,[2]GD.List!$C$3:$G$5157,4,0)</f>
        <v>Running</v>
      </c>
      <c r="F57" t="s">
        <v>93</v>
      </c>
      <c r="G57">
        <v>0</v>
      </c>
    </row>
    <row r="58" spans="1:7" x14ac:dyDescent="0.25">
      <c r="A58" s="9" t="s">
        <v>98</v>
      </c>
      <c r="B58" s="9">
        <f t="shared" ca="1" si="0"/>
        <v>10000</v>
      </c>
      <c r="C58" s="9">
        <v>10000</v>
      </c>
      <c r="D58" t="e">
        <f>VLOOKUP(A58,$I$3:$I$50,1,0)</f>
        <v>#N/A</v>
      </c>
      <c r="E58" t="str">
        <f>VLOOKUP(A58,[2]GD.List!$C$3:$G$5157,4,0)</f>
        <v>Running</v>
      </c>
      <c r="F58" t="s">
        <v>55</v>
      </c>
      <c r="G58">
        <v>0</v>
      </c>
    </row>
    <row r="59" spans="1:7" x14ac:dyDescent="0.25">
      <c r="A59" s="9" t="s">
        <v>43</v>
      </c>
      <c r="B59" s="9">
        <f t="shared" ca="1" si="0"/>
        <v>94</v>
      </c>
      <c r="C59" s="9">
        <v>94</v>
      </c>
      <c r="D59" t="e">
        <f>VLOOKUP(A59,$I$3:$I$50,1,0)</f>
        <v>#N/A</v>
      </c>
      <c r="E59" t="str">
        <f>VLOOKUP(A59,[2]GD.List!$C$3:$G$5157,4,0)</f>
        <v>Running</v>
      </c>
      <c r="F59" t="s">
        <v>110</v>
      </c>
      <c r="G59">
        <v>0</v>
      </c>
    </row>
    <row r="60" spans="1:7" x14ac:dyDescent="0.25">
      <c r="A60" s="9" t="s">
        <v>71</v>
      </c>
      <c r="B60" s="9">
        <f t="shared" ca="1" si="0"/>
        <v>26</v>
      </c>
      <c r="C60" s="9">
        <v>26</v>
      </c>
      <c r="D60" t="e">
        <f>VLOOKUP(A60,$I$3:$I$50,1,0)</f>
        <v>#N/A</v>
      </c>
      <c r="E60" t="str">
        <f>VLOOKUP(A60,[2]GD.List!$C$3:$G$5157,4,0)</f>
        <v>Running</v>
      </c>
      <c r="F60" t="s">
        <v>111</v>
      </c>
      <c r="G60">
        <v>0</v>
      </c>
    </row>
    <row r="61" spans="1:7" x14ac:dyDescent="0.25">
      <c r="A61" s="9" t="s">
        <v>67</v>
      </c>
      <c r="B61" s="9">
        <f t="shared" ca="1" si="0"/>
        <v>155</v>
      </c>
      <c r="C61" s="9">
        <v>155</v>
      </c>
      <c r="D61" t="e">
        <f>VLOOKUP(A61,$I$3:$I$50,1,0)</f>
        <v>#N/A</v>
      </c>
      <c r="E61" t="str">
        <f>VLOOKUP(A61,[2]GD.List!$C$3:$G$5157,4,0)</f>
        <v>Running</v>
      </c>
      <c r="F61" t="s">
        <v>112</v>
      </c>
      <c r="G61">
        <v>0</v>
      </c>
    </row>
    <row r="62" spans="1:7" x14ac:dyDescent="0.25">
      <c r="A62" s="9" t="s">
        <v>73</v>
      </c>
      <c r="B62" s="9">
        <f t="shared" ca="1" si="0"/>
        <v>19120</v>
      </c>
      <c r="C62" s="9">
        <v>19120</v>
      </c>
      <c r="D62" t="e">
        <f>VLOOKUP(A62,$I$3:$I$50,1,0)</f>
        <v>#N/A</v>
      </c>
      <c r="E62" t="str">
        <f>VLOOKUP(A62,[2]GD.List!$C$3:$G$5157,4,0)</f>
        <v>Running</v>
      </c>
      <c r="F62" t="s">
        <v>113</v>
      </c>
      <c r="G62">
        <v>0</v>
      </c>
    </row>
    <row r="63" spans="1:7" x14ac:dyDescent="0.25">
      <c r="A63" s="9" t="s">
        <v>48</v>
      </c>
      <c r="B63" s="9">
        <f t="shared" ca="1" si="0"/>
        <v>5</v>
      </c>
      <c r="C63" s="9">
        <v>5</v>
      </c>
      <c r="D63" t="e">
        <f>VLOOKUP(A63,$I$3:$I$50,1,0)</f>
        <v>#N/A</v>
      </c>
      <c r="E63" t="str">
        <f>VLOOKUP(A63,[2]GD.List!$C$3:$G$5157,4,0)</f>
        <v>Running</v>
      </c>
      <c r="F63" t="s">
        <v>115</v>
      </c>
      <c r="G63">
        <v>0</v>
      </c>
    </row>
    <row r="64" spans="1:7" x14ac:dyDescent="0.25">
      <c r="A64" s="9" t="s">
        <v>30</v>
      </c>
      <c r="B64" s="9">
        <f t="shared" ca="1" si="0"/>
        <v>272</v>
      </c>
      <c r="C64" s="9">
        <v>272</v>
      </c>
      <c r="D64" t="e">
        <f>VLOOKUP(A64,$I$3:$I$50,1,0)</f>
        <v>#N/A</v>
      </c>
      <c r="E64" t="str">
        <f>VLOOKUP(A64,[2]GD.List!$C$3:$G$5157,4,0)</f>
        <v>Running</v>
      </c>
      <c r="F64" t="s">
        <v>116</v>
      </c>
      <c r="G64">
        <v>0</v>
      </c>
    </row>
    <row r="65" spans="1:7" x14ac:dyDescent="0.25">
      <c r="A65" s="9" t="s">
        <v>63</v>
      </c>
      <c r="B65" s="9">
        <f t="shared" ca="1" si="0"/>
        <v>28</v>
      </c>
      <c r="C65" s="9">
        <v>28</v>
      </c>
      <c r="D65" t="e">
        <f>VLOOKUP(A65,$I$3:$I$50,1,0)</f>
        <v>#N/A</v>
      </c>
      <c r="E65" t="str">
        <f>VLOOKUP(A65,[2]GD.List!$C$3:$G$5157,4,0)</f>
        <v>Running</v>
      </c>
      <c r="F65" t="s">
        <v>118</v>
      </c>
      <c r="G65">
        <v>0</v>
      </c>
    </row>
    <row r="66" spans="1:7" x14ac:dyDescent="0.25">
      <c r="A66" s="9" t="s">
        <v>92</v>
      </c>
      <c r="B66" s="9">
        <f t="shared" ca="1" si="0"/>
        <v>3988</v>
      </c>
      <c r="C66" s="9">
        <v>3988</v>
      </c>
      <c r="D66" t="e">
        <f>VLOOKUP(A66,$I$3:$I$50,1,0)</f>
        <v>#N/A</v>
      </c>
      <c r="E66" t="str">
        <f>VLOOKUP(A66,[2]GD.List!$C$3:$G$5157,4,0)</f>
        <v>Running</v>
      </c>
      <c r="F66" t="s">
        <v>119</v>
      </c>
      <c r="G66">
        <v>0</v>
      </c>
    </row>
    <row r="67" spans="1:7" x14ac:dyDescent="0.25">
      <c r="A67" s="9" t="s">
        <v>88</v>
      </c>
      <c r="B67" s="9">
        <f t="shared" ca="1" si="0"/>
        <v>11</v>
      </c>
      <c r="C67" s="9">
        <v>11</v>
      </c>
      <c r="D67" t="e">
        <f>VLOOKUP(A67,$I$3:$I$50,1,0)</f>
        <v>#N/A</v>
      </c>
      <c r="E67" t="str">
        <f>VLOOKUP(A67,[2]GD.List!$C$3:$G$5157,4,0)</f>
        <v>Running</v>
      </c>
    </row>
    <row r="68" spans="1:7" x14ac:dyDescent="0.25">
      <c r="A68" s="9" t="s">
        <v>49</v>
      </c>
      <c r="B68" s="9">
        <f t="shared" ref="B68" ca="1" si="1">_xlfn.IFNA(VLOOKUP(A68,$A$189:$B$218,2,0),INDIRECT("C"&amp;ROW()))</f>
        <v>122</v>
      </c>
      <c r="C68" s="9">
        <v>122</v>
      </c>
      <c r="D68" t="e">
        <f>VLOOKUP(A68,$I$3:$I$50,1,0)</f>
        <v>#N/A</v>
      </c>
      <c r="E68" t="str">
        <f>VLOOKUP(A68,[2]GD.List!$C$3:$G$5157,4,0)</f>
        <v>Running</v>
      </c>
    </row>
    <row r="69" spans="1:7" x14ac:dyDescent="0.25">
      <c r="A69" s="9"/>
      <c r="B69" s="9"/>
      <c r="C69" s="9" t="e">
        <f>VLOOKUP(A69,[2]GD.List!$C$3:$G$5157,5,0)</f>
        <v>#N/A</v>
      </c>
      <c r="D69" t="e">
        <f>VLOOKUP(A69,$I$3:$I$50,1,0)</f>
        <v>#N/A</v>
      </c>
      <c r="E69" t="e">
        <f>VLOOKUP(A69,[2]GD.List!$C$3:$G$5157,4,0)</f>
        <v>#N/A</v>
      </c>
    </row>
    <row r="70" spans="1:7" x14ac:dyDescent="0.25">
      <c r="A70" s="9"/>
      <c r="B70" s="9"/>
      <c r="C70" s="9" t="e">
        <f>VLOOKUP(A70,[2]GD.List!$C$3:$G$5157,5,0)</f>
        <v>#N/A</v>
      </c>
      <c r="D70" t="e">
        <f>VLOOKUP(A70,$I$3:$I$50,1,0)</f>
        <v>#N/A</v>
      </c>
      <c r="E70" t="e">
        <f>VLOOKUP(A70,[2]GD.List!$C$3:$G$5157,4,0)</f>
        <v>#N/A</v>
      </c>
    </row>
    <row r="71" spans="1:7" x14ac:dyDescent="0.25">
      <c r="A71" s="9"/>
      <c r="B71" s="9"/>
      <c r="C71" s="9" t="e">
        <f>VLOOKUP(A71,[2]GD.List!$C$3:$G$5157,5,0)</f>
        <v>#N/A</v>
      </c>
      <c r="D71" t="e">
        <f>VLOOKUP(A71,$I$3:$I$50,1,0)</f>
        <v>#N/A</v>
      </c>
      <c r="E71" t="e">
        <f>VLOOKUP(A71,[2]GD.List!$C$3:$G$5157,4,0)</f>
        <v>#N/A</v>
      </c>
    </row>
    <row r="72" spans="1:7" x14ac:dyDescent="0.25">
      <c r="A72" s="9"/>
      <c r="B72" s="9"/>
      <c r="C72" s="9" t="e">
        <f>VLOOKUP(A72,[2]GD.List!$C$3:$G$5157,5,0)</f>
        <v>#N/A</v>
      </c>
      <c r="D72" t="e">
        <f>VLOOKUP(A72,$I$3:$I$50,1,0)</f>
        <v>#N/A</v>
      </c>
      <c r="E72" t="e">
        <f>VLOOKUP(A72,[2]GD.List!$C$3:$G$5157,4,0)</f>
        <v>#N/A</v>
      </c>
    </row>
    <row r="73" spans="1:7" x14ac:dyDescent="0.25">
      <c r="A73" s="9"/>
      <c r="B73" s="9"/>
      <c r="C73" s="9" t="e">
        <f>VLOOKUP(A73,[2]GD.List!$C$3:$G$5157,5,0)</f>
        <v>#N/A</v>
      </c>
      <c r="D73" t="e">
        <f>VLOOKUP(A73,$I$3:$I$50,1,0)</f>
        <v>#N/A</v>
      </c>
      <c r="E73" t="e">
        <f>VLOOKUP(A73,[2]GD.List!$C$3:$G$5157,4,0)</f>
        <v>#N/A</v>
      </c>
    </row>
    <row r="74" spans="1:7" x14ac:dyDescent="0.25">
      <c r="A74" s="9"/>
      <c r="B74" s="9"/>
      <c r="C74" s="9" t="e">
        <f>VLOOKUP(A74,[2]GD.List!$C$3:$G$5157,5,0)</f>
        <v>#N/A</v>
      </c>
      <c r="D74" t="e">
        <f>VLOOKUP(A74,$I$3:$I$50,1,0)</f>
        <v>#N/A</v>
      </c>
      <c r="E74" t="e">
        <f>VLOOKUP(A74,[2]GD.List!$C$3:$G$5157,4,0)</f>
        <v>#N/A</v>
      </c>
    </row>
    <row r="75" spans="1:7" x14ac:dyDescent="0.25">
      <c r="A75" s="9"/>
      <c r="B75" s="9"/>
      <c r="C75" s="9" t="e">
        <f>VLOOKUP(A75,[2]GD.List!$C$3:$G$5157,5,0)</f>
        <v>#N/A</v>
      </c>
      <c r="D75" t="e">
        <f>VLOOKUP(A75,$I$3:$I$50,1,0)</f>
        <v>#N/A</v>
      </c>
      <c r="E75" t="e">
        <f>VLOOKUP(A75,[2]GD.List!$C$3:$G$5157,4,0)</f>
        <v>#N/A</v>
      </c>
    </row>
    <row r="76" spans="1:7" x14ac:dyDescent="0.25">
      <c r="A76" s="9"/>
      <c r="B76" s="9"/>
      <c r="C76" s="9" t="e">
        <f>VLOOKUP(A76,[2]GD.List!$C$3:$G$5157,5,0)</f>
        <v>#N/A</v>
      </c>
      <c r="D76" t="e">
        <f>VLOOKUP(A76,$I$3:$I$50,1,0)</f>
        <v>#N/A</v>
      </c>
      <c r="E76" t="e">
        <f>VLOOKUP(A76,[2]GD.List!$C$3:$G$5157,4,0)</f>
        <v>#N/A</v>
      </c>
    </row>
    <row r="77" spans="1:7" x14ac:dyDescent="0.25">
      <c r="A77" s="9"/>
      <c r="B77" s="9"/>
      <c r="C77" s="9" t="e">
        <f>VLOOKUP(A77,[2]GD.List!$C$3:$G$5157,5,0)</f>
        <v>#N/A</v>
      </c>
      <c r="D77" t="e">
        <f>VLOOKUP(A77,$I$3:$I$50,1,0)</f>
        <v>#N/A</v>
      </c>
      <c r="E77" t="e">
        <f>VLOOKUP(A77,[2]GD.List!$C$3:$G$5157,4,0)</f>
        <v>#N/A</v>
      </c>
    </row>
    <row r="78" spans="1:7" x14ac:dyDescent="0.25">
      <c r="A78" s="9"/>
      <c r="B78" s="9"/>
      <c r="C78" s="9" t="e">
        <f>VLOOKUP(A78,[2]GD.List!$C$3:$G$5157,5,0)</f>
        <v>#N/A</v>
      </c>
      <c r="D78" t="e">
        <f>VLOOKUP(A78,$I$3:$I$50,1,0)</f>
        <v>#N/A</v>
      </c>
      <c r="E78" t="e">
        <f>VLOOKUP(A78,[2]GD.List!$C$3:$G$5157,4,0)</f>
        <v>#N/A</v>
      </c>
    </row>
    <row r="79" spans="1:7" x14ac:dyDescent="0.25">
      <c r="A79" s="9"/>
      <c r="B79" s="9"/>
      <c r="C79" s="9" t="e">
        <f>VLOOKUP(A79,[2]GD.List!$C$3:$G$5157,5,0)</f>
        <v>#N/A</v>
      </c>
      <c r="D79" t="e">
        <f>VLOOKUP(A79,$I$3:$I$50,1,0)</f>
        <v>#N/A</v>
      </c>
      <c r="E79" t="e">
        <f>VLOOKUP(A79,[2]GD.List!$C$3:$G$5157,4,0)</f>
        <v>#N/A</v>
      </c>
    </row>
    <row r="80" spans="1:7" x14ac:dyDescent="0.25">
      <c r="A80" s="9"/>
      <c r="B80" s="9"/>
      <c r="C80" s="9" t="e">
        <f>VLOOKUP(A80,[2]GD.List!$C$3:$G$5157,5,0)</f>
        <v>#N/A</v>
      </c>
      <c r="D80" t="e">
        <f>VLOOKUP(A80,$I$3:$I$50,1,0)</f>
        <v>#N/A</v>
      </c>
      <c r="E80" t="e">
        <f>VLOOKUP(A80,[2]GD.List!$C$3:$G$5157,4,0)</f>
        <v>#N/A</v>
      </c>
    </row>
    <row r="81" spans="1:5" x14ac:dyDescent="0.25">
      <c r="A81" s="9"/>
      <c r="B81" s="9"/>
      <c r="C81" s="9" t="e">
        <f>VLOOKUP(A81,[2]GD.List!$C$3:$G$5157,5,0)</f>
        <v>#N/A</v>
      </c>
      <c r="D81" t="e">
        <f>VLOOKUP(A81,$I$3:$I$50,1,0)</f>
        <v>#N/A</v>
      </c>
      <c r="E81" t="e">
        <f>VLOOKUP(A81,[2]GD.List!$C$3:$G$5157,4,0)</f>
        <v>#N/A</v>
      </c>
    </row>
    <row r="82" spans="1:5" x14ac:dyDescent="0.25">
      <c r="A82" s="9"/>
      <c r="B82" s="9"/>
      <c r="C82" s="9" t="e">
        <f>VLOOKUP(A82,[2]GD.List!$C$3:$G$5157,5,0)</f>
        <v>#N/A</v>
      </c>
      <c r="D82" t="e">
        <f>VLOOKUP(A82,$I$3:$I$50,1,0)</f>
        <v>#N/A</v>
      </c>
      <c r="E82" t="e">
        <f>VLOOKUP(A82,[2]GD.List!$C$3:$G$5157,4,0)</f>
        <v>#N/A</v>
      </c>
    </row>
    <row r="83" spans="1:5" x14ac:dyDescent="0.25">
      <c r="A83" s="9"/>
      <c r="B83" s="9"/>
      <c r="C83" s="9" t="e">
        <f>VLOOKUP(A83,[2]GD.List!$C$3:$G$5157,5,0)</f>
        <v>#N/A</v>
      </c>
      <c r="D83" t="e">
        <f>VLOOKUP(A83,$I$3:$I$50,1,0)</f>
        <v>#N/A</v>
      </c>
      <c r="E83" t="e">
        <f>VLOOKUP(A83,[2]GD.List!$C$3:$G$5157,4,0)</f>
        <v>#N/A</v>
      </c>
    </row>
    <row r="84" spans="1:5" x14ac:dyDescent="0.25">
      <c r="A84" s="9"/>
      <c r="B84" s="9"/>
      <c r="C84" s="9" t="e">
        <f>VLOOKUP(A84,[2]GD.List!$C$3:$G$5157,5,0)</f>
        <v>#N/A</v>
      </c>
      <c r="D84" t="e">
        <f>VLOOKUP(A84,$I$3:$I$50,1,0)</f>
        <v>#N/A</v>
      </c>
      <c r="E84" t="e">
        <f>VLOOKUP(A84,[2]GD.List!$C$3:$G$5157,4,0)</f>
        <v>#N/A</v>
      </c>
    </row>
    <row r="85" spans="1:5" x14ac:dyDescent="0.25">
      <c r="A85" s="9"/>
      <c r="B85" s="9"/>
      <c r="C85" s="9" t="e">
        <f>VLOOKUP(A85,[2]GD.List!$C$3:$G$5157,5,0)</f>
        <v>#N/A</v>
      </c>
      <c r="D85" t="e">
        <f>VLOOKUP(A85,$I$3:$I$50,1,0)</f>
        <v>#N/A</v>
      </c>
      <c r="E85" t="e">
        <f>VLOOKUP(A85,[2]GD.List!$C$3:$G$5157,4,0)</f>
        <v>#N/A</v>
      </c>
    </row>
    <row r="86" spans="1:5" x14ac:dyDescent="0.25">
      <c r="A86" s="9"/>
      <c r="B86" s="9"/>
      <c r="C86" s="9" t="e">
        <f>VLOOKUP(A86,[2]GD.List!$C$3:$G$5157,5,0)</f>
        <v>#N/A</v>
      </c>
      <c r="D86" t="e">
        <f>VLOOKUP(A86,$I$3:$I$50,1,0)</f>
        <v>#N/A</v>
      </c>
      <c r="E86" t="e">
        <f>VLOOKUP(A86,[2]GD.List!$C$3:$G$5157,4,0)</f>
        <v>#N/A</v>
      </c>
    </row>
    <row r="87" spans="1:5" x14ac:dyDescent="0.25">
      <c r="A87" s="9"/>
      <c r="B87" s="9"/>
      <c r="C87" s="9" t="e">
        <f>VLOOKUP(A87,[2]GD.List!$C$3:$G$5157,5,0)</f>
        <v>#N/A</v>
      </c>
      <c r="D87" t="e">
        <f>VLOOKUP(A87,$I$3:$I$50,1,0)</f>
        <v>#N/A</v>
      </c>
      <c r="E87" t="e">
        <f>VLOOKUP(A87,[2]GD.List!$C$3:$G$5157,4,0)</f>
        <v>#N/A</v>
      </c>
    </row>
    <row r="88" spans="1:5" x14ac:dyDescent="0.25">
      <c r="A88" s="9"/>
      <c r="B88" s="9"/>
      <c r="C88" s="9" t="e">
        <f>VLOOKUP(A88,[2]GD.List!$C$3:$G$5157,5,0)</f>
        <v>#N/A</v>
      </c>
      <c r="D88" t="e">
        <f>VLOOKUP(A88,$I$3:$I$50,1,0)</f>
        <v>#N/A</v>
      </c>
      <c r="E88" t="e">
        <f>VLOOKUP(A88,[2]GD.List!$C$3:$G$5157,4,0)</f>
        <v>#N/A</v>
      </c>
    </row>
    <row r="89" spans="1:5" x14ac:dyDescent="0.25">
      <c r="A89" s="9"/>
      <c r="B89" s="9"/>
      <c r="C89" s="9" t="e">
        <f>VLOOKUP(A89,[2]GD.List!$C$3:$G$5157,5,0)</f>
        <v>#N/A</v>
      </c>
      <c r="D89" t="e">
        <f>VLOOKUP(A89,$I$3:$I$50,1,0)</f>
        <v>#N/A</v>
      </c>
      <c r="E89" t="e">
        <f>VLOOKUP(A89,[2]GD.List!$C$3:$G$5157,4,0)</f>
        <v>#N/A</v>
      </c>
    </row>
    <row r="90" spans="1:5" x14ac:dyDescent="0.25">
      <c r="A90" s="9"/>
      <c r="B90" s="9"/>
      <c r="C90" s="9" t="e">
        <f>VLOOKUP(A90,[2]GD.List!$C$3:$G$5157,5,0)</f>
        <v>#N/A</v>
      </c>
      <c r="D90" t="e">
        <f>VLOOKUP(A90,$I$3:$I$50,1,0)</f>
        <v>#N/A</v>
      </c>
      <c r="E90" t="e">
        <f>VLOOKUP(A90,[2]GD.List!$C$3:$G$5157,4,0)</f>
        <v>#N/A</v>
      </c>
    </row>
    <row r="91" spans="1:5" x14ac:dyDescent="0.25">
      <c r="A91" s="9"/>
      <c r="B91" s="9"/>
      <c r="C91" s="9" t="e">
        <f>VLOOKUP(A91,[2]GD.List!$C$3:$G$5157,5,0)</f>
        <v>#N/A</v>
      </c>
      <c r="D91" t="e">
        <f>VLOOKUP(A91,$I$3:$I$50,1,0)</f>
        <v>#N/A</v>
      </c>
      <c r="E91" t="e">
        <f>VLOOKUP(A91,[2]GD.List!$C$3:$G$5157,4,0)</f>
        <v>#N/A</v>
      </c>
    </row>
    <row r="92" spans="1:5" x14ac:dyDescent="0.25">
      <c r="A92" s="9"/>
      <c r="B92" s="9"/>
      <c r="C92" s="9" t="e">
        <f>VLOOKUP(A92,[2]GD.List!$C$3:$G$5157,5,0)</f>
        <v>#N/A</v>
      </c>
      <c r="D92" t="e">
        <f>VLOOKUP(A92,$I$3:$I$50,1,0)</f>
        <v>#N/A</v>
      </c>
      <c r="E92" t="e">
        <f>VLOOKUP(A92,[2]GD.List!$C$3:$G$5157,4,0)</f>
        <v>#N/A</v>
      </c>
    </row>
    <row r="93" spans="1:5" x14ac:dyDescent="0.25">
      <c r="A93" s="9"/>
      <c r="B93" s="9"/>
      <c r="C93" s="9" t="e">
        <f>VLOOKUP(A93,[2]GD.List!$C$3:$G$5157,5,0)</f>
        <v>#N/A</v>
      </c>
      <c r="D93" t="e">
        <f>VLOOKUP(A93,$I$3:$I$50,1,0)</f>
        <v>#N/A</v>
      </c>
      <c r="E93" t="e">
        <f>VLOOKUP(A93,[2]GD.List!$C$3:$G$5157,4,0)</f>
        <v>#N/A</v>
      </c>
    </row>
    <row r="94" spans="1:5" x14ac:dyDescent="0.25">
      <c r="A94" s="9"/>
      <c r="B94" s="9"/>
      <c r="C94" s="9" t="e">
        <f>VLOOKUP(A94,[2]GD.List!$C$3:$G$5157,5,0)</f>
        <v>#N/A</v>
      </c>
      <c r="D94" t="e">
        <f>VLOOKUP(A94,$I$3:$I$50,1,0)</f>
        <v>#N/A</v>
      </c>
      <c r="E94" t="e">
        <f>VLOOKUP(A94,[2]GD.List!$C$3:$G$5157,4,0)</f>
        <v>#N/A</v>
      </c>
    </row>
    <row r="95" spans="1:5" x14ac:dyDescent="0.25">
      <c r="A95" s="9"/>
      <c r="B95" s="9"/>
      <c r="C95" s="9" t="e">
        <f>VLOOKUP(A95,[2]GD.List!$C$3:$G$5157,5,0)</f>
        <v>#N/A</v>
      </c>
      <c r="D95"/>
      <c r="E95"/>
    </row>
    <row r="96" spans="1:5" x14ac:dyDescent="0.25">
      <c r="A96" s="9"/>
      <c r="B96" s="9"/>
      <c r="C96" s="9" t="e">
        <f>VLOOKUP(A96,[2]GD.List!$C$3:$G$5157,5,0)</f>
        <v>#N/A</v>
      </c>
      <c r="D96"/>
      <c r="E96"/>
    </row>
    <row r="97" spans="1:5" x14ac:dyDescent="0.25">
      <c r="A97" s="9"/>
      <c r="B97" s="9"/>
      <c r="C97" s="9" t="e">
        <f>VLOOKUP(A97,[2]GD.List!$C$3:$G$5157,5,0)</f>
        <v>#N/A</v>
      </c>
      <c r="D97"/>
      <c r="E97"/>
    </row>
    <row r="98" spans="1:5" x14ac:dyDescent="0.25">
      <c r="A98" s="9"/>
      <c r="B98" s="9"/>
      <c r="C98" s="9" t="e">
        <f>VLOOKUP(A98,[2]GD.List!$C$3:$G$5157,5,0)</f>
        <v>#N/A</v>
      </c>
      <c r="D98"/>
      <c r="E98"/>
    </row>
    <row r="99" spans="1:5" x14ac:dyDescent="0.25">
      <c r="A99" s="9"/>
      <c r="B99" s="9"/>
      <c r="C99" s="9" t="e">
        <f>VLOOKUP(A99,[2]GD.List!$C$3:$G$5157,5,0)</f>
        <v>#N/A</v>
      </c>
      <c r="D99"/>
      <c r="E99"/>
    </row>
    <row r="100" spans="1:5" x14ac:dyDescent="0.25">
      <c r="A100" s="9"/>
      <c r="B100" s="9"/>
      <c r="C100" s="9" t="e">
        <f>VLOOKUP(A100,[2]GD.List!$C$3:$G$5157,5,0)</f>
        <v>#N/A</v>
      </c>
      <c r="D100"/>
      <c r="E100"/>
    </row>
    <row r="101" spans="1:5" x14ac:dyDescent="0.25">
      <c r="A101" s="9"/>
      <c r="B101" s="9"/>
      <c r="C101" s="9" t="e">
        <f>VLOOKUP(A101,[2]GD.List!$C$3:$G$5157,5,0)</f>
        <v>#N/A</v>
      </c>
      <c r="D101"/>
      <c r="E101"/>
    </row>
    <row r="102" spans="1:5" x14ac:dyDescent="0.25">
      <c r="A102" s="9"/>
      <c r="B102" s="9"/>
      <c r="C102" s="9" t="e">
        <f>VLOOKUP(A102,[2]GD.List!$C$3:$G$5157,5,0)</f>
        <v>#N/A</v>
      </c>
      <c r="D102"/>
      <c r="E102"/>
    </row>
    <row r="103" spans="1:5" x14ac:dyDescent="0.25">
      <c r="A103" s="9"/>
      <c r="B103" s="9"/>
      <c r="C103" s="9" t="e">
        <f>VLOOKUP(A103,[2]GD.List!$C$3:$G$5157,5,0)</f>
        <v>#N/A</v>
      </c>
      <c r="D103"/>
      <c r="E103"/>
    </row>
    <row r="104" spans="1:5" x14ac:dyDescent="0.25">
      <c r="A104" s="9"/>
      <c r="B104" s="9"/>
      <c r="C104" s="9" t="e">
        <f>VLOOKUP(A104,[2]GD.List!$C$3:$G$5157,5,0)</f>
        <v>#N/A</v>
      </c>
      <c r="D104"/>
      <c r="E104"/>
    </row>
    <row r="105" spans="1:5" x14ac:dyDescent="0.25">
      <c r="A105" s="9"/>
      <c r="B105" s="9"/>
      <c r="C105" s="9" t="e">
        <f>VLOOKUP(A105,[2]GD.List!$C$3:$G$5157,5,0)</f>
        <v>#N/A</v>
      </c>
      <c r="D105"/>
      <c r="E105"/>
    </row>
    <row r="106" spans="1:5" x14ac:dyDescent="0.25">
      <c r="A106" s="9"/>
      <c r="B106" s="9"/>
      <c r="C106" s="9" t="e">
        <f>VLOOKUP(A106,[2]GD.List!$C$3:$G$5157,5,0)</f>
        <v>#N/A</v>
      </c>
      <c r="D106"/>
      <c r="E106"/>
    </row>
    <row r="107" spans="1:5" x14ac:dyDescent="0.25">
      <c r="A107" s="9"/>
      <c r="B107" s="9"/>
      <c r="C107" s="9" t="e">
        <f>VLOOKUP(A107,[2]GD.List!$C$3:$G$5157,5,0)</f>
        <v>#N/A</v>
      </c>
      <c r="D107"/>
      <c r="E107"/>
    </row>
    <row r="108" spans="1:5" x14ac:dyDescent="0.25">
      <c r="A108" s="9"/>
      <c r="B108" s="9"/>
      <c r="C108" s="9" t="e">
        <f>VLOOKUP(A108,[2]GD.List!$C$3:$G$5157,5,0)</f>
        <v>#N/A</v>
      </c>
      <c r="D108"/>
      <c r="E108"/>
    </row>
    <row r="109" spans="1:5" x14ac:dyDescent="0.25">
      <c r="A109" s="9"/>
      <c r="B109" s="9"/>
      <c r="C109" s="9" t="e">
        <f>VLOOKUP(A109,[2]GD.List!$C$3:$G$5157,5,0)</f>
        <v>#N/A</v>
      </c>
      <c r="D109"/>
      <c r="E109"/>
    </row>
    <row r="110" spans="1:5" x14ac:dyDescent="0.25">
      <c r="A110" s="9"/>
      <c r="B110" s="9"/>
      <c r="C110" s="9" t="e">
        <f>VLOOKUP(A110,[2]GD.List!$C$3:$G$5157,5,0)</f>
        <v>#N/A</v>
      </c>
      <c r="D110"/>
      <c r="E110"/>
    </row>
    <row r="111" spans="1:5" x14ac:dyDescent="0.25">
      <c r="A111" s="9"/>
      <c r="B111" s="9"/>
      <c r="C111" s="9" t="e">
        <f>VLOOKUP(A111,[2]GD.List!$C$3:$G$5157,5,0)</f>
        <v>#N/A</v>
      </c>
      <c r="D111"/>
      <c r="E111"/>
    </row>
    <row r="112" spans="1:5" x14ac:dyDescent="0.25">
      <c r="A112" s="9"/>
      <c r="B112" s="9"/>
      <c r="C112" s="9" t="e">
        <f>VLOOKUP(A112,[2]GD.List!$C$3:$G$5157,5,0)</f>
        <v>#N/A</v>
      </c>
      <c r="D112"/>
      <c r="E112"/>
    </row>
    <row r="113" spans="1:5" x14ac:dyDescent="0.25">
      <c r="A113" s="9"/>
      <c r="B113" s="9"/>
      <c r="C113" s="9" t="e">
        <f>VLOOKUP(A113,[2]GD.List!$C$3:$G$5157,5,0)</f>
        <v>#N/A</v>
      </c>
      <c r="D113"/>
      <c r="E113"/>
    </row>
    <row r="114" spans="1:5" x14ac:dyDescent="0.25">
      <c r="A114" s="9"/>
      <c r="B114" s="9"/>
      <c r="C114" s="9" t="e">
        <f>VLOOKUP(A114,[2]GD.List!$C$3:$G$5157,5,0)</f>
        <v>#N/A</v>
      </c>
      <c r="D114"/>
      <c r="E114"/>
    </row>
    <row r="115" spans="1:5" x14ac:dyDescent="0.25">
      <c r="A115" s="9"/>
      <c r="B115" s="9"/>
      <c r="C115" s="9" t="e">
        <f>VLOOKUP(A115,[2]GD.List!$C$3:$G$5157,5,0)</f>
        <v>#N/A</v>
      </c>
      <c r="D115"/>
      <c r="E115"/>
    </row>
    <row r="116" spans="1:5" x14ac:dyDescent="0.25">
      <c r="A116" s="9"/>
      <c r="B116" s="9"/>
      <c r="C116" s="9" t="e">
        <f>VLOOKUP(A116,[2]GD.List!$C$3:$G$5157,5,0)</f>
        <v>#N/A</v>
      </c>
      <c r="D116"/>
      <c r="E116"/>
    </row>
    <row r="117" spans="1:5" x14ac:dyDescent="0.25">
      <c r="A117" s="9"/>
      <c r="B117" s="9"/>
      <c r="C117" s="9" t="e">
        <f>VLOOKUP(A117,[2]GD.List!$C$3:$G$5157,5,0)</f>
        <v>#N/A</v>
      </c>
      <c r="D117"/>
      <c r="E117"/>
    </row>
    <row r="118" spans="1:5" x14ac:dyDescent="0.25">
      <c r="A118" s="9"/>
      <c r="B118" s="9"/>
      <c r="C118" s="9" t="e">
        <f>VLOOKUP(A118,[2]GD.List!$C$3:$G$5157,5,0)</f>
        <v>#N/A</v>
      </c>
      <c r="D118"/>
      <c r="E118"/>
    </row>
    <row r="119" spans="1:5" x14ac:dyDescent="0.25">
      <c r="A119" s="9"/>
      <c r="B119" s="9"/>
      <c r="C119" s="9" t="e">
        <f>VLOOKUP(A119,[2]GD.List!$C$3:$G$5157,5,0)</f>
        <v>#N/A</v>
      </c>
      <c r="D119"/>
      <c r="E119"/>
    </row>
    <row r="120" spans="1:5" x14ac:dyDescent="0.25">
      <c r="A120" s="9"/>
      <c r="B120" s="9"/>
      <c r="C120" s="9" t="e">
        <f>VLOOKUP(A120,[2]GD.List!$C$3:$G$5157,5,0)</f>
        <v>#N/A</v>
      </c>
      <c r="D120"/>
      <c r="E120"/>
    </row>
    <row r="121" spans="1:5" x14ac:dyDescent="0.25">
      <c r="A121" s="9"/>
      <c r="B121" s="9"/>
      <c r="C121" s="9" t="e">
        <f>VLOOKUP(A121,[2]GD.List!$C$3:$G$5157,5,0)</f>
        <v>#N/A</v>
      </c>
      <c r="D121"/>
      <c r="E121"/>
    </row>
    <row r="122" spans="1:5" x14ac:dyDescent="0.25">
      <c r="A122" s="9"/>
      <c r="B122" s="9"/>
      <c r="C122" s="9" t="e">
        <f>VLOOKUP(A122,[2]GD.List!$C$3:$G$5157,5,0)</f>
        <v>#N/A</v>
      </c>
      <c r="D122"/>
      <c r="E122"/>
    </row>
    <row r="123" spans="1:5" x14ac:dyDescent="0.25">
      <c r="A123" s="9"/>
      <c r="B123" s="9"/>
      <c r="C123" s="9" t="e">
        <f>VLOOKUP(A123,[2]GD.List!$C$3:$G$5157,5,0)</f>
        <v>#N/A</v>
      </c>
      <c r="D123"/>
      <c r="E123"/>
    </row>
    <row r="124" spans="1:5" x14ac:dyDescent="0.25">
      <c r="A124" s="9"/>
      <c r="B124" s="9"/>
      <c r="C124" s="9" t="e">
        <f>VLOOKUP(A124,[2]GD.List!$C$3:$G$5157,5,0)</f>
        <v>#N/A</v>
      </c>
      <c r="D124"/>
      <c r="E124"/>
    </row>
    <row r="125" spans="1:5" x14ac:dyDescent="0.25">
      <c r="A125" s="9"/>
      <c r="B125" s="9"/>
      <c r="C125" s="9" t="e">
        <f>VLOOKUP(A125,[2]GD.List!$C$3:$G$5157,5,0)</f>
        <v>#N/A</v>
      </c>
      <c r="D125"/>
      <c r="E125"/>
    </row>
    <row r="126" spans="1:5" x14ac:dyDescent="0.25">
      <c r="A126" s="9"/>
      <c r="B126" s="9"/>
      <c r="C126" s="9" t="e">
        <f>VLOOKUP(A126,[2]GD.List!$C$3:$G$5157,5,0)</f>
        <v>#N/A</v>
      </c>
      <c r="D126"/>
      <c r="E126"/>
    </row>
    <row r="127" spans="1:5" x14ac:dyDescent="0.25">
      <c r="A127" s="9"/>
      <c r="B127" s="9"/>
      <c r="C127" s="9" t="e">
        <f>VLOOKUP(A127,[2]GD.List!$C$3:$G$5157,5,0)</f>
        <v>#N/A</v>
      </c>
      <c r="D127"/>
      <c r="E127"/>
    </row>
    <row r="128" spans="1:5" x14ac:dyDescent="0.25">
      <c r="A128" s="9"/>
      <c r="B128" s="9"/>
      <c r="C128" s="9" t="e">
        <f>VLOOKUP(A128,[2]GD.List!$C$3:$G$5157,5,0)</f>
        <v>#N/A</v>
      </c>
      <c r="D128"/>
      <c r="E128"/>
    </row>
    <row r="129" spans="1:5" x14ac:dyDescent="0.25">
      <c r="A129" s="9"/>
      <c r="B129" s="9"/>
      <c r="C129" s="9" t="e">
        <f>VLOOKUP(A129,[2]GD.List!$C$3:$G$5157,5,0)</f>
        <v>#N/A</v>
      </c>
      <c r="D129"/>
      <c r="E129"/>
    </row>
    <row r="130" spans="1:5" x14ac:dyDescent="0.25">
      <c r="A130" s="9"/>
      <c r="B130" s="9"/>
      <c r="C130" s="9" t="e">
        <f>VLOOKUP(A130,[2]GD.List!$C$3:$G$5157,5,0)</f>
        <v>#N/A</v>
      </c>
      <c r="D130"/>
      <c r="E130"/>
    </row>
    <row r="131" spans="1:5" x14ac:dyDescent="0.25">
      <c r="A131" s="9"/>
      <c r="B131" s="9"/>
      <c r="C131" s="9" t="e">
        <f>VLOOKUP(A131,[2]GD.List!$C$3:$G$5157,5,0)</f>
        <v>#N/A</v>
      </c>
      <c r="D131"/>
      <c r="E131"/>
    </row>
    <row r="132" spans="1:5" x14ac:dyDescent="0.25">
      <c r="A132" s="9"/>
      <c r="B132" s="9"/>
      <c r="C132" s="9" t="e">
        <f>VLOOKUP(A132,[2]GD.List!$C$3:$G$5157,5,0)</f>
        <v>#N/A</v>
      </c>
      <c r="D132"/>
      <c r="E132"/>
    </row>
    <row r="133" spans="1:5" x14ac:dyDescent="0.25">
      <c r="A133" s="9"/>
      <c r="B133" s="9"/>
      <c r="C133" s="9" t="e">
        <f>VLOOKUP(A133,[2]GD.List!$C$3:$G$5157,5,0)</f>
        <v>#N/A</v>
      </c>
      <c r="D133"/>
      <c r="E133"/>
    </row>
    <row r="134" spans="1:5" x14ac:dyDescent="0.25">
      <c r="A134" s="9"/>
      <c r="B134" s="9"/>
      <c r="C134" s="9" t="e">
        <f>VLOOKUP(A134,[2]GD.List!$C$3:$G$5157,5,0)</f>
        <v>#N/A</v>
      </c>
      <c r="D134"/>
      <c r="E134"/>
    </row>
    <row r="135" spans="1:5" x14ac:dyDescent="0.25">
      <c r="A135" s="9"/>
      <c r="B135" s="9"/>
      <c r="C135" s="9" t="e">
        <f>VLOOKUP(A135,[2]GD.List!$C$3:$G$5157,5,0)</f>
        <v>#N/A</v>
      </c>
      <c r="D135"/>
      <c r="E135"/>
    </row>
    <row r="136" spans="1:5" x14ac:dyDescent="0.25">
      <c r="A136" s="9"/>
      <c r="B136" s="9"/>
      <c r="C136" s="9" t="e">
        <f>VLOOKUP(A136,[2]GD.List!$C$3:$G$5157,5,0)</f>
        <v>#N/A</v>
      </c>
      <c r="D136"/>
      <c r="E136"/>
    </row>
    <row r="137" spans="1:5" x14ac:dyDescent="0.25">
      <c r="A137" s="9"/>
      <c r="B137" s="9"/>
      <c r="C137" s="9" t="e">
        <f>VLOOKUP(A137,[2]GD.List!$C$3:$G$5157,5,0)</f>
        <v>#N/A</v>
      </c>
      <c r="D137"/>
      <c r="E137"/>
    </row>
    <row r="138" spans="1:5" x14ac:dyDescent="0.25">
      <c r="A138" s="9"/>
      <c r="B138" s="9"/>
      <c r="C138" s="9" t="e">
        <f>VLOOKUP(A138,[2]GD.List!$C$3:$G$5157,5,0)</f>
        <v>#N/A</v>
      </c>
      <c r="D138"/>
      <c r="E138"/>
    </row>
    <row r="139" spans="1:5" x14ac:dyDescent="0.25">
      <c r="A139" s="9"/>
      <c r="B139" s="9"/>
      <c r="C139" s="9" t="e">
        <f>VLOOKUP(A139,[2]GD.List!$C$3:$G$5157,5,0)</f>
        <v>#N/A</v>
      </c>
      <c r="D139"/>
      <c r="E139"/>
    </row>
    <row r="140" spans="1:5" x14ac:dyDescent="0.25">
      <c r="A140" s="9"/>
      <c r="B140" s="9"/>
      <c r="C140" s="9" t="e">
        <f>VLOOKUP(A140,[2]GD.List!$C$3:$G$5157,5,0)</f>
        <v>#N/A</v>
      </c>
      <c r="D140"/>
      <c r="E140"/>
    </row>
    <row r="141" spans="1:5" x14ac:dyDescent="0.25">
      <c r="A141" s="9"/>
      <c r="B141" s="9"/>
      <c r="C141" s="9" t="e">
        <f>VLOOKUP(A141,[2]GD.List!$C$3:$G$5157,5,0)</f>
        <v>#N/A</v>
      </c>
      <c r="D141"/>
      <c r="E141"/>
    </row>
    <row r="142" spans="1:5" x14ac:dyDescent="0.25">
      <c r="A142" s="9"/>
      <c r="B142" s="9"/>
      <c r="C142" s="9" t="e">
        <f>VLOOKUP(A142,[2]GD.List!$C$3:$G$5157,5,0)</f>
        <v>#N/A</v>
      </c>
      <c r="D142"/>
      <c r="E142"/>
    </row>
    <row r="143" spans="1:5" x14ac:dyDescent="0.25">
      <c r="A143" s="9"/>
      <c r="B143" s="9"/>
      <c r="C143" s="9" t="e">
        <f>VLOOKUP(A143,[2]GD.List!$C$3:$G$5157,5,0)</f>
        <v>#N/A</v>
      </c>
      <c r="D143"/>
      <c r="E143"/>
    </row>
    <row r="144" spans="1:5" x14ac:dyDescent="0.25">
      <c r="A144" s="9"/>
      <c r="B144" s="9"/>
      <c r="C144" s="9" t="e">
        <f>VLOOKUP(A144,[2]GD.List!$C$3:$G$5157,5,0)</f>
        <v>#N/A</v>
      </c>
      <c r="D144"/>
      <c r="E144"/>
    </row>
    <row r="145" spans="1:5" x14ac:dyDescent="0.25">
      <c r="A145" s="9"/>
      <c r="B145" s="9"/>
      <c r="C145" s="9" t="e">
        <f>VLOOKUP(A145,[2]GD.List!$C$3:$G$5157,5,0)</f>
        <v>#N/A</v>
      </c>
      <c r="D145"/>
      <c r="E145"/>
    </row>
    <row r="146" spans="1:5" x14ac:dyDescent="0.25">
      <c r="A146" s="9"/>
      <c r="B146" s="9"/>
      <c r="C146" s="9" t="e">
        <f>VLOOKUP(A146,[2]GD.List!$C$3:$G$5157,5,0)</f>
        <v>#N/A</v>
      </c>
      <c r="D146"/>
      <c r="E146"/>
    </row>
    <row r="147" spans="1:5" x14ac:dyDescent="0.25">
      <c r="A147" s="9"/>
      <c r="B147" s="9"/>
      <c r="C147" s="9" t="e">
        <f>VLOOKUP(A147,[2]GD.List!$C$3:$G$5157,5,0)</f>
        <v>#N/A</v>
      </c>
      <c r="D147"/>
      <c r="E147"/>
    </row>
    <row r="148" spans="1:5" x14ac:dyDescent="0.25">
      <c r="A148" s="9"/>
      <c r="B148" s="9"/>
      <c r="C148" s="9" t="e">
        <f>VLOOKUP(A148,[2]GD.List!$C$3:$G$5157,5,0)</f>
        <v>#N/A</v>
      </c>
      <c r="D148"/>
      <c r="E148"/>
    </row>
    <row r="188" spans="1:6" x14ac:dyDescent="0.25">
      <c r="A188" s="1" t="s">
        <v>11</v>
      </c>
      <c r="B188" s="1" t="s">
        <v>13</v>
      </c>
      <c r="C188" s="1" t="s">
        <v>14</v>
      </c>
    </row>
    <row r="189" spans="1:6" x14ac:dyDescent="0.25">
      <c r="A189" s="13" t="s">
        <v>97</v>
      </c>
      <c r="B189" s="1">
        <v>2400</v>
      </c>
      <c r="C189" s="1" t="s">
        <v>22</v>
      </c>
      <c r="F189" s="4"/>
    </row>
    <row r="190" spans="1:6" x14ac:dyDescent="0.25">
      <c r="A190" s="13" t="s">
        <v>102</v>
      </c>
      <c r="B190" s="1">
        <v>575</v>
      </c>
      <c r="C190" s="1" t="s">
        <v>22</v>
      </c>
    </row>
    <row r="191" spans="1:6" x14ac:dyDescent="0.25">
      <c r="A191" s="13" t="s">
        <v>81</v>
      </c>
      <c r="B191" s="1">
        <v>6335</v>
      </c>
      <c r="C191" s="1" t="s">
        <v>22</v>
      </c>
    </row>
    <row r="192" spans="1:6" x14ac:dyDescent="0.25">
      <c r="A192" s="13" t="s">
        <v>73</v>
      </c>
      <c r="B192" s="1">
        <v>19120</v>
      </c>
      <c r="C192" s="1" t="s">
        <v>22</v>
      </c>
    </row>
    <row r="193" spans="1:6" x14ac:dyDescent="0.25">
      <c r="A193" s="13" t="s">
        <v>70</v>
      </c>
      <c r="B193" s="1">
        <v>0</v>
      </c>
      <c r="C193" s="1" t="s">
        <v>22</v>
      </c>
    </row>
    <row r="194" spans="1:6" x14ac:dyDescent="0.25">
      <c r="A194" s="13" t="s">
        <v>101</v>
      </c>
      <c r="B194" s="1">
        <v>0</v>
      </c>
      <c r="C194" s="1" t="s">
        <v>22</v>
      </c>
      <c r="F194" s="4"/>
    </row>
    <row r="195" spans="1:6" x14ac:dyDescent="0.25">
      <c r="A195" s="13" t="s">
        <v>89</v>
      </c>
      <c r="B195">
        <v>1136.7</v>
      </c>
      <c r="C195" t="s">
        <v>96</v>
      </c>
    </row>
    <row r="196" spans="1:6" x14ac:dyDescent="0.25">
      <c r="A196" s="13" t="s">
        <v>84</v>
      </c>
      <c r="B196">
        <v>14190.79</v>
      </c>
      <c r="C196" t="s">
        <v>15</v>
      </c>
    </row>
    <row r="197" spans="1:6" x14ac:dyDescent="0.25">
      <c r="A197" s="13" t="s">
        <v>86</v>
      </c>
      <c r="B197">
        <v>481379.6</v>
      </c>
      <c r="C197" t="s">
        <v>15</v>
      </c>
      <c r="F197" s="4"/>
    </row>
    <row r="198" spans="1:6" x14ac:dyDescent="0.25">
      <c r="A198" t="s">
        <v>68</v>
      </c>
      <c r="B198">
        <v>43067.33</v>
      </c>
      <c r="C198" t="s">
        <v>15</v>
      </c>
    </row>
    <row r="199" spans="1:6" x14ac:dyDescent="0.25">
      <c r="A199" t="s">
        <v>94</v>
      </c>
      <c r="B199">
        <v>14728.7</v>
      </c>
      <c r="C199" t="s">
        <v>15</v>
      </c>
    </row>
    <row r="200" spans="1:6" x14ac:dyDescent="0.25">
      <c r="A200" t="s">
        <v>82</v>
      </c>
      <c r="B200">
        <v>129570.12850000001</v>
      </c>
      <c r="C200" t="s">
        <v>15</v>
      </c>
      <c r="F200" s="4"/>
    </row>
    <row r="201" spans="1:6" x14ac:dyDescent="0.25">
      <c r="A201" t="s">
        <v>105</v>
      </c>
      <c r="B201">
        <v>5658.1324000000004</v>
      </c>
      <c r="C201" t="s">
        <v>85</v>
      </c>
    </row>
    <row r="202" spans="1:6" x14ac:dyDescent="0.25">
      <c r="A202" t="s">
        <v>109</v>
      </c>
      <c r="B202">
        <v>149</v>
      </c>
      <c r="C202" t="s">
        <v>103</v>
      </c>
    </row>
    <row r="203" spans="1:6" x14ac:dyDescent="0.25">
      <c r="A203" t="s">
        <v>110</v>
      </c>
      <c r="B203">
        <v>0</v>
      </c>
      <c r="C203" t="s">
        <v>103</v>
      </c>
      <c r="F203" s="4"/>
    </row>
    <row r="204" spans="1:6" x14ac:dyDescent="0.25">
      <c r="A204" t="s">
        <v>111</v>
      </c>
      <c r="B204">
        <v>0</v>
      </c>
      <c r="C204" t="s">
        <v>103</v>
      </c>
    </row>
    <row r="205" spans="1:6" x14ac:dyDescent="0.25">
      <c r="A205" t="s">
        <v>112</v>
      </c>
      <c r="B205">
        <v>0</v>
      </c>
      <c r="C205" t="s">
        <v>103</v>
      </c>
    </row>
    <row r="206" spans="1:6" x14ac:dyDescent="0.25">
      <c r="A206" t="s">
        <v>113</v>
      </c>
      <c r="B206">
        <v>0</v>
      </c>
      <c r="C206" t="s">
        <v>103</v>
      </c>
    </row>
    <row r="207" spans="1:6" x14ac:dyDescent="0.25">
      <c r="A207" t="s">
        <v>114</v>
      </c>
      <c r="B207">
        <v>664</v>
      </c>
      <c r="C207" t="s">
        <v>103</v>
      </c>
    </row>
    <row r="208" spans="1:6" x14ac:dyDescent="0.25">
      <c r="A208" t="s">
        <v>115</v>
      </c>
      <c r="B208">
        <v>0</v>
      </c>
      <c r="C208" t="s">
        <v>103</v>
      </c>
    </row>
    <row r="209" spans="1:6" x14ac:dyDescent="0.25">
      <c r="A209" t="s">
        <v>116</v>
      </c>
      <c r="B209">
        <v>0</v>
      </c>
      <c r="C209" t="s">
        <v>103</v>
      </c>
    </row>
    <row r="210" spans="1:6" x14ac:dyDescent="0.25">
      <c r="A210" t="s">
        <v>117</v>
      </c>
      <c r="B210">
        <v>688</v>
      </c>
      <c r="C210" t="s">
        <v>103</v>
      </c>
    </row>
    <row r="211" spans="1:6" x14ac:dyDescent="0.25">
      <c r="A211" t="s">
        <v>118</v>
      </c>
      <c r="B211">
        <v>0</v>
      </c>
      <c r="C211" t="s">
        <v>103</v>
      </c>
    </row>
    <row r="212" spans="1:6" x14ac:dyDescent="0.25">
      <c r="A212" t="s">
        <v>119</v>
      </c>
      <c r="B212">
        <v>0</v>
      </c>
      <c r="C212" t="s">
        <v>103</v>
      </c>
    </row>
    <row r="213" spans="1:6" x14ac:dyDescent="0.25">
      <c r="F213" s="4"/>
    </row>
    <row r="216" spans="1:6" x14ac:dyDescent="0.25">
      <c r="F216" s="4"/>
    </row>
    <row r="217" spans="1:6" x14ac:dyDescent="0.25">
      <c r="F217" s="4"/>
    </row>
  </sheetData>
  <autoFilter ref="A2:E148" xr:uid="{00000000-0001-0000-0100-000000000000}">
    <sortState xmlns:xlrd2="http://schemas.microsoft.com/office/spreadsheetml/2017/richdata2" ref="A3:E148">
      <sortCondition descending="1" ref="A2:A148"/>
    </sortState>
  </autoFilter>
  <sortState xmlns:xlrd2="http://schemas.microsoft.com/office/spreadsheetml/2017/richdata2" ref="F14:G43">
    <sortCondition ref="F14:F43"/>
  </sortState>
  <conditionalFormatting sqref="H8">
    <cfRule type="duplicateValues" dxfId="139" priority="114"/>
  </conditionalFormatting>
  <conditionalFormatting sqref="I27:I1048576 I1:I2">
    <cfRule type="duplicateValues" dxfId="138" priority="460"/>
  </conditionalFormatting>
  <conditionalFormatting sqref="G196 G199 G202">
    <cfRule type="duplicateValues" dxfId="137" priority="881"/>
  </conditionalFormatting>
  <conditionalFormatting sqref="G196 G199 G202">
    <cfRule type="duplicateValues" dxfId="136" priority="886"/>
    <cfRule type="duplicateValues" dxfId="135" priority="887"/>
    <cfRule type="duplicateValues" dxfId="134" priority="888"/>
  </conditionalFormatting>
  <conditionalFormatting sqref="A213:A1048576 A1:A188">
    <cfRule type="duplicateValues" dxfId="133" priority="98"/>
  </conditionalFormatting>
  <conditionalFormatting sqref="F1:F11 F27:F37 F39:F1048576">
    <cfRule type="duplicateValues" dxfId="132" priority="93"/>
  </conditionalFormatting>
  <conditionalFormatting sqref="I1:I3 I27:I1048576">
    <cfRule type="duplicateValues" dxfId="131" priority="92"/>
  </conditionalFormatting>
  <conditionalFormatting sqref="A1:A1048576">
    <cfRule type="duplicateValues" dxfId="130" priority="86"/>
  </conditionalFormatting>
  <conditionalFormatting sqref="A134:A140">
    <cfRule type="duplicateValues" dxfId="129" priority="85"/>
  </conditionalFormatting>
  <conditionalFormatting sqref="I4:I11">
    <cfRule type="duplicateValues" dxfId="128" priority="71"/>
    <cfRule type="duplicateValues" dxfId="127" priority="72"/>
    <cfRule type="duplicateValues" dxfId="126" priority="73"/>
    <cfRule type="duplicateValues" dxfId="125" priority="74"/>
    <cfRule type="duplicateValues" dxfId="124" priority="75"/>
    <cfRule type="duplicateValues" dxfId="123" priority="76"/>
    <cfRule type="duplicateValues" dxfId="122" priority="77"/>
    <cfRule type="duplicateValues" dxfId="121" priority="78"/>
    <cfRule type="duplicateValues" dxfId="120" priority="79"/>
    <cfRule type="duplicateValues" dxfId="119" priority="80"/>
    <cfRule type="duplicateValues" dxfId="118" priority="81"/>
    <cfRule type="duplicateValues" dxfId="117" priority="82"/>
    <cfRule type="duplicateValues" dxfId="116" priority="83"/>
    <cfRule type="duplicateValues" dxfId="115" priority="84"/>
  </conditionalFormatting>
  <conditionalFormatting sqref="H17">
    <cfRule type="duplicateValues" dxfId="114" priority="69"/>
  </conditionalFormatting>
  <conditionalFormatting sqref="I24:I26">
    <cfRule type="duplicateValues" dxfId="113" priority="70"/>
  </conditionalFormatting>
  <conditionalFormatting sqref="F12:F24">
    <cfRule type="duplicateValues" dxfId="112" priority="68"/>
  </conditionalFormatting>
  <conditionalFormatting sqref="I12 I24:I26">
    <cfRule type="duplicateValues" dxfId="111" priority="67"/>
  </conditionalFormatting>
  <conditionalFormatting sqref="I17:I23">
    <cfRule type="duplicateValues" dxfId="110" priority="53"/>
    <cfRule type="duplicateValues" dxfId="109" priority="54"/>
    <cfRule type="duplicateValues" dxfId="108" priority="55"/>
    <cfRule type="duplicateValues" dxfId="107" priority="56"/>
    <cfRule type="duplicateValues" dxfId="106" priority="57"/>
    <cfRule type="duplicateValues" dxfId="105" priority="58"/>
    <cfRule type="duplicateValues" dxfId="104" priority="59"/>
    <cfRule type="duplicateValues" dxfId="103" priority="60"/>
    <cfRule type="duplicateValues" dxfId="102" priority="61"/>
    <cfRule type="duplicateValues" dxfId="101" priority="62"/>
    <cfRule type="duplicateValues" dxfId="100" priority="63"/>
    <cfRule type="duplicateValues" dxfId="99" priority="64"/>
    <cfRule type="duplicateValues" dxfId="98" priority="65"/>
    <cfRule type="duplicateValues" dxfId="97" priority="66"/>
  </conditionalFormatting>
  <conditionalFormatting sqref="I12 I17:I26">
    <cfRule type="duplicateValues" dxfId="96" priority="52"/>
  </conditionalFormatting>
  <conditionalFormatting sqref="I13:I16">
    <cfRule type="duplicateValues" dxfId="95" priority="27"/>
    <cfRule type="duplicateValues" dxfId="94" priority="28"/>
    <cfRule type="duplicateValues" dxfId="93" priority="29"/>
    <cfRule type="duplicateValues" dxfId="92" priority="30"/>
    <cfRule type="duplicateValues" dxfId="91" priority="31"/>
    <cfRule type="duplicateValues" dxfId="90" priority="32"/>
    <cfRule type="duplicateValues" dxfId="89" priority="33"/>
    <cfRule type="duplicateValues" dxfId="88" priority="34"/>
    <cfRule type="duplicateValues" dxfId="87" priority="35"/>
    <cfRule type="duplicateValues" dxfId="86" priority="36"/>
    <cfRule type="duplicateValues" dxfId="85" priority="37"/>
    <cfRule type="duplicateValues" dxfId="84" priority="38"/>
    <cfRule type="duplicateValues" dxfId="83" priority="39"/>
    <cfRule type="duplicateValues" dxfId="82" priority="40"/>
    <cfRule type="duplicateValues" dxfId="81" priority="41"/>
    <cfRule type="duplicateValues" dxfId="80" priority="42"/>
    <cfRule type="duplicateValues" dxfId="79" priority="43"/>
    <cfRule type="duplicateValues" dxfId="78" priority="44"/>
    <cfRule type="duplicateValues" dxfId="77" priority="45"/>
    <cfRule type="duplicateValues" dxfId="76" priority="46"/>
    <cfRule type="duplicateValues" dxfId="75" priority="47"/>
    <cfRule type="duplicateValues" dxfId="74" priority="48"/>
    <cfRule type="duplicateValues" dxfId="73" priority="49"/>
    <cfRule type="duplicateValues" dxfId="72" priority="50"/>
    <cfRule type="duplicateValues" dxfId="71" priority="51"/>
  </conditionalFormatting>
  <conditionalFormatting sqref="F25:F26">
    <cfRule type="duplicateValues" dxfId="70" priority="1"/>
    <cfRule type="duplicateValues" dxfId="69" priority="2"/>
    <cfRule type="duplicateValues" dxfId="68" priority="3"/>
    <cfRule type="duplicateValues" dxfId="67" priority="4"/>
    <cfRule type="duplicateValues" dxfId="66" priority="5"/>
    <cfRule type="duplicateValues" dxfId="65" priority="6"/>
    <cfRule type="duplicateValues" dxfId="64" priority="7"/>
    <cfRule type="duplicateValues" dxfId="63" priority="8"/>
    <cfRule type="duplicateValues" dxfId="62" priority="9"/>
    <cfRule type="duplicateValues" dxfId="61" priority="10"/>
    <cfRule type="duplicateValues" dxfId="60" priority="11"/>
    <cfRule type="duplicateValues" dxfId="59" priority="12"/>
    <cfRule type="duplicateValues" dxfId="58" priority="13"/>
    <cfRule type="duplicateValues" dxfId="57" priority="14"/>
    <cfRule type="duplicateValues" dxfId="56" priority="15"/>
    <cfRule type="duplicateValues" dxfId="55" priority="16"/>
    <cfRule type="duplicateValues" dxfId="54" priority="17"/>
    <cfRule type="duplicateValues" dxfId="53" priority="18"/>
    <cfRule type="duplicateValues" dxfId="52" priority="19"/>
    <cfRule type="duplicateValues" dxfId="51" priority="20"/>
    <cfRule type="duplicateValues" dxfId="50" priority="21"/>
    <cfRule type="duplicateValues" dxfId="49" priority="22"/>
    <cfRule type="duplicateValues" dxfId="48" priority="23"/>
    <cfRule type="duplicateValues" dxfId="47" priority="24"/>
    <cfRule type="duplicateValues" dxfId="46" priority="25"/>
    <cfRule type="duplicateValues" dxfId="45" priority="26"/>
  </conditionalFormatting>
  <conditionalFormatting sqref="A189:A212">
    <cfRule type="duplicateValues" dxfId="44" priority="1521"/>
    <cfRule type="duplicateValues" dxfId="43" priority="1522"/>
    <cfRule type="duplicateValues" dxfId="42" priority="1523"/>
    <cfRule type="duplicateValues" dxfId="41" priority="1524"/>
    <cfRule type="duplicateValues" dxfId="40" priority="1525"/>
  </conditionalFormatting>
  <pageMargins left="0.7" right="0.7" top="0.75" bottom="0.75" header="0.3" footer="0.3"/>
  <pageSetup paperSize="9" scale="75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42"/>
  <sheetViews>
    <sheetView tabSelected="1" workbookViewId="0">
      <pane xSplit="3" ySplit="3" topLeftCell="D48" activePane="bottomRight" state="frozen"/>
      <selection pane="topRight" activeCell="D1" sqref="D1"/>
      <selection pane="bottomLeft" activeCell="A4" sqref="A4"/>
      <selection pane="bottomRight" activeCell="C67" sqref="C67"/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4.42578125" style="4" customWidth="1"/>
    <col min="5" max="5" width="12.140625" style="4" customWidth="1"/>
    <col min="6" max="6" width="14.28515625" style="4" customWidth="1"/>
    <col min="7" max="9" width="10.7109375" style="4" customWidth="1"/>
    <col min="10" max="25" width="10.7109375" customWidth="1"/>
  </cols>
  <sheetData>
    <row r="1" spans="1:11" ht="20.25" customHeight="1" x14ac:dyDescent="0.25">
      <c r="D1" s="19"/>
    </row>
    <row r="2" spans="1:11" hidden="1" x14ac:dyDescent="0.25">
      <c r="C2" s="4" t="s">
        <v>6</v>
      </c>
      <c r="D2" s="4" t="s">
        <v>5</v>
      </c>
      <c r="J2" s="4"/>
      <c r="K2" s="4"/>
    </row>
    <row r="3" spans="1:11" x14ac:dyDescent="0.25">
      <c r="A3" s="3" t="s">
        <v>8</v>
      </c>
      <c r="B3" s="3" t="s">
        <v>9</v>
      </c>
      <c r="C3" s="20" t="s">
        <v>10</v>
      </c>
      <c r="D3" s="20" t="s">
        <v>7</v>
      </c>
      <c r="E3" s="14">
        <v>444</v>
      </c>
      <c r="F3" s="14">
        <v>443</v>
      </c>
      <c r="G3" s="14">
        <v>445</v>
      </c>
      <c r="H3" s="14">
        <v>452</v>
      </c>
      <c r="I3" s="14">
        <v>449</v>
      </c>
      <c r="J3" s="14">
        <v>426000</v>
      </c>
      <c r="K3" s="14" t="s">
        <v>4</v>
      </c>
    </row>
    <row r="4" spans="1:11" x14ac:dyDescent="0.25">
      <c r="A4" s="2">
        <f ca="1">_xlfn.IFNA(VLOOKUP(C4,WebocBalance!$A$3:$B$148,2,0),"NA")</f>
        <v>122</v>
      </c>
      <c r="B4" s="11">
        <f t="shared" ref="B4:B16" ca="1" si="0">A4-(LOOKUP(2,1/(D4:XFD4&lt;&gt;""),D4:XFD4))</f>
        <v>64</v>
      </c>
      <c r="C4" s="13" t="s">
        <v>49</v>
      </c>
      <c r="D4" s="15">
        <v>58</v>
      </c>
      <c r="E4" s="15"/>
      <c r="F4" s="15"/>
      <c r="G4" s="15"/>
      <c r="H4" s="15"/>
      <c r="I4" s="15"/>
      <c r="J4" s="15"/>
      <c r="K4" s="15">
        <v>58</v>
      </c>
    </row>
    <row r="5" spans="1:11" x14ac:dyDescent="0.25">
      <c r="A5" s="2">
        <f ca="1">_xlfn.IFNA(VLOOKUP(C5,WebocBalance!$A$3:$B$148,2,0),"NA")</f>
        <v>11</v>
      </c>
      <c r="B5" s="11">
        <f t="shared" ca="1" si="0"/>
        <v>0</v>
      </c>
      <c r="C5" s="13" t="s">
        <v>88</v>
      </c>
      <c r="D5" s="15">
        <v>11</v>
      </c>
      <c r="E5" s="15"/>
      <c r="F5" s="15"/>
      <c r="G5" s="15"/>
      <c r="H5" s="15"/>
      <c r="I5" s="15"/>
      <c r="J5" s="15"/>
      <c r="K5" s="15">
        <v>11</v>
      </c>
    </row>
    <row r="6" spans="1:11" x14ac:dyDescent="0.25">
      <c r="A6" s="2">
        <f ca="1">_xlfn.IFNA(VLOOKUP(C6,WebocBalance!$A$3:$B$148,2,0),"NA")</f>
        <v>3988</v>
      </c>
      <c r="B6" s="11">
        <f t="shared" ca="1" si="0"/>
        <v>0</v>
      </c>
      <c r="C6" s="13" t="s">
        <v>92</v>
      </c>
      <c r="D6" s="15">
        <v>3988</v>
      </c>
      <c r="E6" s="15"/>
      <c r="F6" s="15"/>
      <c r="G6" s="15"/>
      <c r="H6" s="15"/>
      <c r="I6" s="15"/>
      <c r="J6" s="15"/>
      <c r="K6" s="15">
        <v>3988</v>
      </c>
    </row>
    <row r="7" spans="1:11" x14ac:dyDescent="0.25">
      <c r="A7" s="2">
        <f ca="1">_xlfn.IFNA(VLOOKUP(C7,WebocBalance!$A$3:$B$148,2,0),"NA")</f>
        <v>28</v>
      </c>
      <c r="B7" s="11">
        <f t="shared" ca="1" si="0"/>
        <v>0</v>
      </c>
      <c r="C7" s="13" t="s">
        <v>63</v>
      </c>
      <c r="D7" s="15"/>
      <c r="E7" s="15"/>
      <c r="F7" s="15"/>
      <c r="G7" s="15"/>
      <c r="H7" s="15">
        <v>28</v>
      </c>
      <c r="I7" s="15"/>
      <c r="J7" s="15"/>
      <c r="K7" s="15">
        <v>28</v>
      </c>
    </row>
    <row r="8" spans="1:11" x14ac:dyDescent="0.25">
      <c r="A8" s="2">
        <f ca="1">_xlfn.IFNA(VLOOKUP(C8,WebocBalance!$A$3:$B$148,2,0),"NA")</f>
        <v>272</v>
      </c>
      <c r="B8" s="11">
        <f t="shared" ca="1" si="0"/>
        <v>0</v>
      </c>
      <c r="C8" s="13" t="s">
        <v>30</v>
      </c>
      <c r="D8" s="15">
        <v>272</v>
      </c>
      <c r="E8" s="15"/>
      <c r="F8" s="15"/>
      <c r="G8" s="15"/>
      <c r="H8" s="15"/>
      <c r="I8" s="15"/>
      <c r="J8" s="15"/>
      <c r="K8" s="15">
        <v>272</v>
      </c>
    </row>
    <row r="9" spans="1:11" x14ac:dyDescent="0.25">
      <c r="A9" s="2">
        <f ca="1">_xlfn.IFNA(VLOOKUP(C9,WebocBalance!$A$3:$B$148,2,0),"NA")</f>
        <v>5</v>
      </c>
      <c r="B9" s="12">
        <f t="shared" ca="1" si="0"/>
        <v>0</v>
      </c>
      <c r="C9" s="13" t="s">
        <v>48</v>
      </c>
      <c r="D9" s="15">
        <v>5</v>
      </c>
      <c r="E9" s="15"/>
      <c r="F9" s="15"/>
      <c r="G9" s="15"/>
      <c r="H9" s="15"/>
      <c r="I9" s="15"/>
      <c r="J9" s="15"/>
      <c r="K9" s="15">
        <v>5</v>
      </c>
    </row>
    <row r="10" spans="1:11" x14ac:dyDescent="0.25">
      <c r="A10" s="2">
        <f ca="1">_xlfn.IFNA(VLOOKUP(C10,WebocBalance!$A$3:$B$148,2,0),"NA")</f>
        <v>19120</v>
      </c>
      <c r="B10" s="11">
        <f t="shared" ca="1" si="0"/>
        <v>-1493</v>
      </c>
      <c r="C10" s="13" t="s">
        <v>73</v>
      </c>
      <c r="D10" s="15">
        <v>19108</v>
      </c>
      <c r="E10" s="15">
        <v>361.00000000000006</v>
      </c>
      <c r="F10" s="15">
        <v>109</v>
      </c>
      <c r="G10" s="15"/>
      <c r="H10" s="15"/>
      <c r="I10" s="15">
        <v>447</v>
      </c>
      <c r="J10" s="15">
        <v>588</v>
      </c>
      <c r="K10" s="15">
        <v>20613</v>
      </c>
    </row>
    <row r="11" spans="1:11" x14ac:dyDescent="0.25">
      <c r="A11" s="2">
        <f ca="1">_xlfn.IFNA(VLOOKUP(C11,WebocBalance!$A$3:$B$148,2,0),"NA")</f>
        <v>155</v>
      </c>
      <c r="B11" s="11">
        <f ca="1">A11-(LOOKUP(2,1/(D11:XFD11&lt;&gt;""),D11:XFD11))</f>
        <v>0</v>
      </c>
      <c r="C11" s="13" t="s">
        <v>67</v>
      </c>
      <c r="D11" s="15">
        <v>155</v>
      </c>
      <c r="E11" s="15"/>
      <c r="F11" s="15"/>
      <c r="G11" s="15"/>
      <c r="H11" s="15"/>
      <c r="I11" s="15"/>
      <c r="J11" s="15"/>
      <c r="K11" s="15">
        <v>155</v>
      </c>
    </row>
    <row r="12" spans="1:11" x14ac:dyDescent="0.25">
      <c r="A12" s="2">
        <f ca="1">_xlfn.IFNA(VLOOKUP(C12,WebocBalance!$A$3:$B$148,2,0),"NA")</f>
        <v>26</v>
      </c>
      <c r="B12" s="11">
        <f t="shared" ca="1" si="0"/>
        <v>0</v>
      </c>
      <c r="C12" s="13" t="s">
        <v>71</v>
      </c>
      <c r="D12" s="15">
        <v>26</v>
      </c>
      <c r="E12" s="15"/>
      <c r="F12" s="15"/>
      <c r="G12" s="15"/>
      <c r="H12" s="15"/>
      <c r="I12" s="15"/>
      <c r="J12" s="15"/>
      <c r="K12" s="15">
        <v>26</v>
      </c>
    </row>
    <row r="13" spans="1:11" x14ac:dyDescent="0.25">
      <c r="A13" s="2">
        <f ca="1">_xlfn.IFNA(VLOOKUP(C13,WebocBalance!$A$3:$B$148,2,0),"NA")</f>
        <v>94</v>
      </c>
      <c r="B13" s="11">
        <f t="shared" ca="1" si="0"/>
        <v>0</v>
      </c>
      <c r="C13" s="13" t="s">
        <v>43</v>
      </c>
      <c r="D13" s="15">
        <v>94</v>
      </c>
      <c r="E13" s="15"/>
      <c r="F13" s="15"/>
      <c r="G13" s="15"/>
      <c r="H13" s="15"/>
      <c r="I13" s="15"/>
      <c r="J13" s="15"/>
      <c r="K13" s="15">
        <v>94</v>
      </c>
    </row>
    <row r="14" spans="1:11" x14ac:dyDescent="0.25">
      <c r="A14" s="2">
        <f ca="1">_xlfn.IFNA(VLOOKUP(C14,WebocBalance!$A$3:$B$148,2,0),"NA")</f>
        <v>10000</v>
      </c>
      <c r="B14" s="11">
        <f t="shared" ca="1" si="0"/>
        <v>0</v>
      </c>
      <c r="C14" s="13" t="s">
        <v>98</v>
      </c>
      <c r="D14" s="15">
        <v>10000</v>
      </c>
      <c r="E14" s="15"/>
      <c r="F14" s="15"/>
      <c r="G14" s="15"/>
      <c r="H14" s="15"/>
      <c r="I14" s="15"/>
      <c r="J14" s="15"/>
      <c r="K14" s="15">
        <v>10000</v>
      </c>
    </row>
    <row r="15" spans="1:11" x14ac:dyDescent="0.25">
      <c r="A15" s="2">
        <f ca="1">_xlfn.IFNA(VLOOKUP(C15,WebocBalance!$A$3:$B$148,2,0),"NA")</f>
        <v>2400</v>
      </c>
      <c r="B15" s="11">
        <f t="shared" ca="1" si="0"/>
        <v>0</v>
      </c>
      <c r="C15" s="13" t="s">
        <v>97</v>
      </c>
      <c r="D15" s="15">
        <v>2400</v>
      </c>
      <c r="E15" s="15"/>
      <c r="F15" s="15"/>
      <c r="G15" s="15"/>
      <c r="H15" s="15"/>
      <c r="I15" s="15"/>
      <c r="J15" s="15"/>
      <c r="K15" s="15">
        <v>2400</v>
      </c>
    </row>
    <row r="16" spans="1:11" x14ac:dyDescent="0.25">
      <c r="A16" s="2">
        <f ca="1">_xlfn.IFNA(VLOOKUP(C16,WebocBalance!$A$3:$B$148,2,0),"NA")</f>
        <v>575</v>
      </c>
      <c r="B16" s="11">
        <f t="shared" ca="1" si="0"/>
        <v>0</v>
      </c>
      <c r="C16" s="13" t="s">
        <v>102</v>
      </c>
      <c r="D16" s="15">
        <v>575</v>
      </c>
      <c r="E16" s="15"/>
      <c r="F16" s="15"/>
      <c r="G16" s="15"/>
      <c r="H16" s="15"/>
      <c r="I16" s="15"/>
      <c r="J16" s="15"/>
      <c r="K16" s="15">
        <v>575</v>
      </c>
    </row>
    <row r="17" spans="1:11" x14ac:dyDescent="0.25">
      <c r="A17" s="2">
        <f ca="1">_xlfn.IFNA(VLOOKUP(C17,WebocBalance!$A$3:$B$148,2,0),"NA")</f>
        <v>329</v>
      </c>
      <c r="B17" s="11">
        <f t="shared" ref="B17:B18" ca="1" si="1">A17-(LOOKUP(2,1/(D17:XFD17&lt;&gt;""),D17:XFD17))</f>
        <v>0</v>
      </c>
      <c r="C17" s="13" t="s">
        <v>39</v>
      </c>
      <c r="D17" s="15">
        <v>329</v>
      </c>
      <c r="E17" s="15"/>
      <c r="F17" s="15"/>
      <c r="G17" s="15"/>
      <c r="H17" s="15"/>
      <c r="I17" s="15"/>
      <c r="J17" s="15"/>
      <c r="K17" s="15">
        <v>329</v>
      </c>
    </row>
    <row r="18" spans="1:11" x14ac:dyDescent="0.25">
      <c r="A18" s="2">
        <f ca="1">_xlfn.IFNA(VLOOKUP(C18,WebocBalance!$A$3:$B$148,2,0),"NA")</f>
        <v>3670</v>
      </c>
      <c r="B18" s="2">
        <f t="shared" ca="1" si="1"/>
        <v>0</v>
      </c>
      <c r="C18" s="13" t="s">
        <v>44</v>
      </c>
      <c r="D18" s="15">
        <v>3670</v>
      </c>
      <c r="E18" s="15"/>
      <c r="F18" s="15"/>
      <c r="G18" s="15"/>
      <c r="H18" s="15"/>
      <c r="I18" s="15"/>
      <c r="J18" s="15"/>
      <c r="K18" s="15">
        <v>3670</v>
      </c>
    </row>
    <row r="19" spans="1:11" x14ac:dyDescent="0.25">
      <c r="A19" s="2">
        <f ca="1">_xlfn.IFNA(VLOOKUP(C19,WebocBalance!$A$3:$B$148,2,0),"NA")</f>
        <v>38885</v>
      </c>
      <c r="B19" s="2">
        <f t="shared" ref="B19" ca="1" si="2">A19-(LOOKUP(2,1/(D19:XFD19&lt;&gt;""),D19:XFD19))</f>
        <v>0</v>
      </c>
      <c r="C19" s="13" t="s">
        <v>77</v>
      </c>
      <c r="D19" s="15">
        <v>38885</v>
      </c>
      <c r="E19" s="15"/>
      <c r="F19" s="15"/>
      <c r="G19" s="15"/>
      <c r="H19" s="15"/>
      <c r="I19" s="15"/>
      <c r="J19" s="15"/>
      <c r="K19" s="15">
        <v>38885</v>
      </c>
    </row>
    <row r="20" spans="1:11" x14ac:dyDescent="0.25">
      <c r="A20" s="2">
        <f ca="1">_xlfn.IFNA(VLOOKUP(C20,WebocBalance!$A$3:$B$148,2,0),"NA")</f>
        <v>210</v>
      </c>
      <c r="B20" s="2">
        <f t="shared" ref="B20" ca="1" si="3">A20-(LOOKUP(2,1/(D20:XFD20&lt;&gt;""),D20:XFD20))</f>
        <v>0</v>
      </c>
      <c r="C20" s="13" t="s">
        <v>34</v>
      </c>
      <c r="D20" s="15">
        <v>210</v>
      </c>
      <c r="E20" s="15"/>
      <c r="F20" s="15"/>
      <c r="G20" s="15"/>
      <c r="H20" s="15"/>
      <c r="I20" s="15"/>
      <c r="J20" s="15"/>
      <c r="K20" s="15">
        <v>210</v>
      </c>
    </row>
    <row r="21" spans="1:11" x14ac:dyDescent="0.25">
      <c r="A21" s="2">
        <f ca="1">_xlfn.IFNA(VLOOKUP(C21,WebocBalance!$A$3:$B$148,2,0),"NA")</f>
        <v>6335</v>
      </c>
      <c r="B21" s="2">
        <f t="shared" ref="B21:B23" ca="1" si="4">A21-(LOOKUP(2,1/(D21:XFD21&lt;&gt;""),D21:XFD21))</f>
        <v>-1660</v>
      </c>
      <c r="C21" s="13" t="s">
        <v>81</v>
      </c>
      <c r="D21" s="15">
        <v>5799</v>
      </c>
      <c r="E21" s="15">
        <v>361</v>
      </c>
      <c r="F21" s="15">
        <v>109</v>
      </c>
      <c r="G21" s="15">
        <v>524</v>
      </c>
      <c r="H21" s="15">
        <v>121</v>
      </c>
      <c r="I21" s="15">
        <v>493</v>
      </c>
      <c r="J21" s="15">
        <v>588</v>
      </c>
      <c r="K21" s="15">
        <v>7995</v>
      </c>
    </row>
    <row r="22" spans="1:11" x14ac:dyDescent="0.25">
      <c r="A22" s="2">
        <f ca="1">_xlfn.IFNA(VLOOKUP(C22,WebocBalance!$A$3:$B$148,2,0),"NA")</f>
        <v>416.08</v>
      </c>
      <c r="B22" s="2">
        <f t="shared" ca="1" si="4"/>
        <v>0</v>
      </c>
      <c r="C22" s="13" t="s">
        <v>36</v>
      </c>
      <c r="D22" s="15">
        <v>416.07999999999993</v>
      </c>
      <c r="E22" s="15"/>
      <c r="F22" s="15"/>
      <c r="G22" s="15"/>
      <c r="H22" s="15"/>
      <c r="I22" s="15"/>
      <c r="J22" s="15"/>
      <c r="K22" s="15">
        <v>416.07999999999993</v>
      </c>
    </row>
    <row r="23" spans="1:11" x14ac:dyDescent="0.25">
      <c r="A23" s="2">
        <f ca="1">_xlfn.IFNA(VLOOKUP(C23,WebocBalance!$A$3:$B$148,2,0),"NA")</f>
        <v>11668.24</v>
      </c>
      <c r="B23" s="2">
        <f t="shared" ca="1" si="4"/>
        <v>0</v>
      </c>
      <c r="C23" s="13" t="s">
        <v>42</v>
      </c>
      <c r="D23" s="15">
        <v>11668.24</v>
      </c>
      <c r="E23" s="15"/>
      <c r="F23" s="15"/>
      <c r="G23" s="15"/>
      <c r="H23" s="15"/>
      <c r="I23" s="15"/>
      <c r="J23" s="15"/>
      <c r="K23" s="15">
        <v>11668.24</v>
      </c>
    </row>
    <row r="24" spans="1:11" x14ac:dyDescent="0.25">
      <c r="A24" s="2">
        <f ca="1">_xlfn.IFNA(VLOOKUP(C24,WebocBalance!$A$3:$B$148,2,0),"NA")</f>
        <v>72.87</v>
      </c>
      <c r="B24" s="2">
        <f t="shared" ref="B24" ca="1" si="5">A24-(LOOKUP(2,1/(D24:XFD24&lt;&gt;""),D24:XFD24))</f>
        <v>0</v>
      </c>
      <c r="C24" s="13" t="s">
        <v>87</v>
      </c>
      <c r="D24" s="15">
        <v>44.870000000000005</v>
      </c>
      <c r="E24" s="15"/>
      <c r="F24" s="15"/>
      <c r="G24" s="15"/>
      <c r="H24" s="15">
        <v>28</v>
      </c>
      <c r="I24" s="15"/>
      <c r="J24" s="15"/>
      <c r="K24" s="15">
        <v>72.87</v>
      </c>
    </row>
    <row r="25" spans="1:11" x14ac:dyDescent="0.25">
      <c r="A25" s="2">
        <f ca="1">_xlfn.IFNA(VLOOKUP(C25,WebocBalance!$A$3:$B$148,2,0),"NA")</f>
        <v>561.17999999999995</v>
      </c>
      <c r="B25" s="2">
        <f t="shared" ref="B25" ca="1" si="6">A25-(LOOKUP(2,1/(D25:XFD25&lt;&gt;""),D25:XFD25))</f>
        <v>0</v>
      </c>
      <c r="C25" s="13" t="s">
        <v>80</v>
      </c>
      <c r="D25" s="15">
        <v>468.58</v>
      </c>
      <c r="E25" s="15"/>
      <c r="F25" s="15"/>
      <c r="G25" s="15"/>
      <c r="H25" s="15"/>
      <c r="I25" s="15">
        <v>92.6</v>
      </c>
      <c r="J25" s="15"/>
      <c r="K25" s="15">
        <v>561.17999999999995</v>
      </c>
    </row>
    <row r="26" spans="1:11" x14ac:dyDescent="0.25">
      <c r="A26" s="2">
        <f ca="1">_xlfn.IFNA(VLOOKUP(C26,WebocBalance!$A$3:$B$148,2,0),"NA")</f>
        <v>116.83</v>
      </c>
      <c r="B26" s="2">
        <f t="shared" ref="B26" ca="1" si="7">A26-(LOOKUP(2,1/(D26:XFD26&lt;&gt;""),D26:XFD26))</f>
        <v>8.3844042819691822E-13</v>
      </c>
      <c r="C26" s="13" t="s">
        <v>40</v>
      </c>
      <c r="D26" s="15">
        <v>116.82999999999916</v>
      </c>
      <c r="E26" s="15"/>
      <c r="F26" s="15"/>
      <c r="G26" s="15"/>
      <c r="H26" s="15"/>
      <c r="I26" s="15"/>
      <c r="J26" s="15"/>
      <c r="K26" s="15">
        <v>116.82999999999916</v>
      </c>
    </row>
    <row r="27" spans="1:11" x14ac:dyDescent="0.25">
      <c r="A27" s="2">
        <f ca="1">_xlfn.IFNA(VLOOKUP(C27,WebocBalance!$A$3:$B$148,2,0),"NA")</f>
        <v>1.1299999999999999</v>
      </c>
      <c r="B27" s="2">
        <f t="shared" ref="B27:B30" ca="1" si="8">A27-(LOOKUP(2,1/(D27:XFD27&lt;&gt;""),D27:XFD27))</f>
        <v>-2.6645352591003757E-15</v>
      </c>
      <c r="C27" s="13" t="s">
        <v>33</v>
      </c>
      <c r="D27" s="15">
        <v>1.1300000000000026</v>
      </c>
      <c r="E27" s="15"/>
      <c r="F27" s="15"/>
      <c r="G27" s="15"/>
      <c r="H27" s="15"/>
      <c r="I27" s="15"/>
      <c r="J27" s="15"/>
      <c r="K27" s="15">
        <v>1.1300000000000026</v>
      </c>
    </row>
    <row r="28" spans="1:11" x14ac:dyDescent="0.25">
      <c r="A28" s="2">
        <f ca="1">_xlfn.IFNA(VLOOKUP(C28,WebocBalance!$A$3:$B$148,2,0),"NA")</f>
        <v>481379.6</v>
      </c>
      <c r="B28" s="2">
        <f t="shared" ca="1" si="8"/>
        <v>0</v>
      </c>
      <c r="C28" s="13" t="s">
        <v>86</v>
      </c>
      <c r="D28" s="15">
        <v>476837.23</v>
      </c>
      <c r="E28" s="15"/>
      <c r="F28" s="15"/>
      <c r="G28" s="15"/>
      <c r="H28" s="15">
        <v>367.68</v>
      </c>
      <c r="I28" s="15">
        <v>4174.6899999999996</v>
      </c>
      <c r="J28" s="15"/>
      <c r="K28" s="15">
        <v>481379.6</v>
      </c>
    </row>
    <row r="29" spans="1:11" x14ac:dyDescent="0.25">
      <c r="A29" s="2">
        <f ca="1">_xlfn.IFNA(VLOOKUP(C29,WebocBalance!$A$3:$B$148,2,0),"NA")</f>
        <v>2.31</v>
      </c>
      <c r="B29" s="2">
        <f t="shared" ca="1" si="8"/>
        <v>1.1990408665951691E-14</v>
      </c>
      <c r="C29" s="13" t="s">
        <v>51</v>
      </c>
      <c r="D29" s="15">
        <v>2.3099999999999881</v>
      </c>
      <c r="E29" s="15"/>
      <c r="F29" s="15"/>
      <c r="G29" s="15"/>
      <c r="H29" s="15"/>
      <c r="I29" s="15"/>
      <c r="J29" s="15"/>
      <c r="K29" s="15">
        <v>2.3099999999999881</v>
      </c>
    </row>
    <row r="30" spans="1:11" x14ac:dyDescent="0.25">
      <c r="A30" s="2">
        <f ca="1">_xlfn.IFNA(VLOOKUP(C30,WebocBalance!$A$3:$B$148,2,0),"NA")</f>
        <v>18000</v>
      </c>
      <c r="B30" s="2">
        <f t="shared" ca="1" si="8"/>
        <v>0</v>
      </c>
      <c r="C30" s="13" t="s">
        <v>79</v>
      </c>
      <c r="D30" s="15">
        <v>18000</v>
      </c>
      <c r="E30" s="15"/>
      <c r="F30" s="15"/>
      <c r="G30" s="15"/>
      <c r="H30" s="15"/>
      <c r="I30" s="15"/>
      <c r="J30" s="15"/>
      <c r="K30" s="15">
        <v>18000</v>
      </c>
    </row>
    <row r="31" spans="1:11" x14ac:dyDescent="0.25">
      <c r="A31" s="2">
        <f ca="1">_xlfn.IFNA(VLOOKUP(C31,WebocBalance!$A$3:$B$148,2,0),"NA")</f>
        <v>14728.7</v>
      </c>
      <c r="B31" s="2">
        <f t="shared" ref="B31:B32" ca="1" si="9">A31-(LOOKUP(2,1/(D31:XFD31&lt;&gt;""),D31:XFD31))</f>
        <v>0</v>
      </c>
      <c r="C31" s="13" t="s">
        <v>94</v>
      </c>
      <c r="D31" s="15">
        <v>14234.58</v>
      </c>
      <c r="E31" s="15"/>
      <c r="F31" s="15"/>
      <c r="G31" s="15"/>
      <c r="H31" s="15"/>
      <c r="I31" s="15">
        <v>446.96</v>
      </c>
      <c r="J31" s="15">
        <v>47.16</v>
      </c>
      <c r="K31" s="15">
        <v>14728.699999999999</v>
      </c>
    </row>
    <row r="32" spans="1:11" x14ac:dyDescent="0.25">
      <c r="A32" s="2">
        <f ca="1">_xlfn.IFNA(VLOOKUP(C32,WebocBalance!$A$3:$B$148,2,0),"NA")</f>
        <v>14190.79</v>
      </c>
      <c r="B32" s="2">
        <f t="shared" ca="1" si="9"/>
        <v>0</v>
      </c>
      <c r="C32" s="13" t="s">
        <v>84</v>
      </c>
      <c r="D32" s="15">
        <v>12965.95</v>
      </c>
      <c r="E32" s="15">
        <v>360.6</v>
      </c>
      <c r="F32" s="15">
        <v>109.08</v>
      </c>
      <c r="G32" s="15"/>
      <c r="H32" s="15">
        <v>214.08</v>
      </c>
      <c r="I32" s="15"/>
      <c r="J32" s="15">
        <v>541.08000000000004</v>
      </c>
      <c r="K32" s="15">
        <v>14190.79</v>
      </c>
    </row>
    <row r="33" spans="1:11" x14ac:dyDescent="0.25">
      <c r="A33" s="2">
        <f ca="1">_xlfn.IFNA(VLOOKUP(C33,WebocBalance!$A$3:$B$148,2,0),"NA")</f>
        <v>366.19</v>
      </c>
      <c r="B33" s="2">
        <f t="shared" ref="B33:B36" ca="1" si="10">A33-(LOOKUP(2,1/(D33:XFD33&lt;&gt;""),D33:XFD33))</f>
        <v>0</v>
      </c>
      <c r="C33" s="13" t="s">
        <v>26</v>
      </c>
      <c r="D33" s="15">
        <v>366.19000000000005</v>
      </c>
      <c r="E33" s="15"/>
      <c r="F33" s="15"/>
      <c r="G33" s="15"/>
      <c r="H33" s="15"/>
      <c r="I33" s="15"/>
      <c r="J33" s="15"/>
      <c r="K33" s="15">
        <v>366.19000000000005</v>
      </c>
    </row>
    <row r="34" spans="1:11" x14ac:dyDescent="0.25">
      <c r="A34" s="2">
        <f ca="1">_xlfn.IFNA(VLOOKUP(C34,WebocBalance!$A$3:$B$148,2,0),"NA")</f>
        <v>11362.8</v>
      </c>
      <c r="B34" s="2">
        <f t="shared" ca="1" si="10"/>
        <v>0</v>
      </c>
      <c r="C34" s="13" t="s">
        <v>83</v>
      </c>
      <c r="D34" s="15">
        <v>10034.120000000001</v>
      </c>
      <c r="E34" s="15">
        <v>360.6</v>
      </c>
      <c r="F34" s="15">
        <v>109.08</v>
      </c>
      <c r="G34" s="15"/>
      <c r="H34" s="15"/>
      <c r="I34" s="15">
        <v>317.92</v>
      </c>
      <c r="J34" s="15">
        <v>541.08000000000004</v>
      </c>
      <c r="K34" s="15">
        <v>11362.800000000001</v>
      </c>
    </row>
    <row r="35" spans="1:11" x14ac:dyDescent="0.25">
      <c r="A35" s="2">
        <f ca="1">_xlfn.IFNA(VLOOKUP(C35,WebocBalance!$A$3:$B$148,2,0),"NA")</f>
        <v>22699.87</v>
      </c>
      <c r="B35" s="2">
        <f t="shared" ca="1" si="10"/>
        <v>0</v>
      </c>
      <c r="C35" s="13" t="s">
        <v>104</v>
      </c>
      <c r="D35" s="15">
        <v>22699.87</v>
      </c>
      <c r="E35" s="15"/>
      <c r="F35" s="15"/>
      <c r="G35" s="15"/>
      <c r="H35" s="15"/>
      <c r="I35" s="15"/>
      <c r="J35" s="15"/>
      <c r="K35" s="15">
        <v>22699.87</v>
      </c>
    </row>
    <row r="36" spans="1:11" x14ac:dyDescent="0.25">
      <c r="A36" s="2">
        <f ca="1">_xlfn.IFNA(VLOOKUP(C36,WebocBalance!$A$3:$B$148,2,0),"NA")</f>
        <v>22.57</v>
      </c>
      <c r="B36" s="2">
        <f t="shared" ca="1" si="10"/>
        <v>3.5527136788005009E-14</v>
      </c>
      <c r="C36" s="13" t="s">
        <v>28</v>
      </c>
      <c r="D36" s="15">
        <v>22.569999999999965</v>
      </c>
      <c r="E36" s="15"/>
      <c r="F36" s="15"/>
      <c r="G36" s="15"/>
      <c r="H36" s="15"/>
      <c r="I36" s="15"/>
      <c r="J36" s="15"/>
      <c r="K36" s="15">
        <v>22.569999999999965</v>
      </c>
    </row>
    <row r="37" spans="1:11" x14ac:dyDescent="0.25">
      <c r="A37" s="2">
        <f ca="1">_xlfn.IFNA(VLOOKUP(C37,WebocBalance!$A$3:$B$148,2,0),"NA")</f>
        <v>1080.79</v>
      </c>
      <c r="B37" s="2">
        <f t="shared" ref="B37:B39" ca="1" si="11">A37-(LOOKUP(2,1/(D37:XFD37&lt;&gt;""),D37:XFD37))</f>
        <v>0</v>
      </c>
      <c r="C37" s="13" t="s">
        <v>47</v>
      </c>
      <c r="D37" s="15">
        <v>1080.79</v>
      </c>
      <c r="E37" s="15"/>
      <c r="F37" s="15"/>
      <c r="G37" s="15"/>
      <c r="H37" s="15"/>
      <c r="I37" s="15"/>
      <c r="J37" s="15"/>
      <c r="K37" s="15">
        <v>1080.79</v>
      </c>
    </row>
    <row r="38" spans="1:11" x14ac:dyDescent="0.25">
      <c r="A38" s="2">
        <f ca="1">_xlfn.IFNA(VLOOKUP(C38,WebocBalance!$A$3:$B$148,2,0),"NA")</f>
        <v>36.21</v>
      </c>
      <c r="B38" s="2">
        <f t="shared" ca="1" si="11"/>
        <v>0</v>
      </c>
      <c r="C38" s="13" t="s">
        <v>29</v>
      </c>
      <c r="D38" s="15">
        <v>36.21</v>
      </c>
      <c r="E38" s="15"/>
      <c r="F38" s="15"/>
      <c r="G38" s="15"/>
      <c r="H38" s="15"/>
      <c r="I38" s="15"/>
      <c r="J38" s="15"/>
      <c r="K38" s="15">
        <v>36.21</v>
      </c>
    </row>
    <row r="39" spans="1:11" x14ac:dyDescent="0.25">
      <c r="A39" s="2">
        <f ca="1">_xlfn.IFNA(VLOOKUP(C39,WebocBalance!$A$3:$B$148,2,0),"NA")</f>
        <v>43067.33</v>
      </c>
      <c r="B39" s="2">
        <f t="shared" ca="1" si="11"/>
        <v>0</v>
      </c>
      <c r="C39" s="13" t="s">
        <v>68</v>
      </c>
      <c r="D39" s="15">
        <v>40902.14</v>
      </c>
      <c r="E39" s="15">
        <v>270.45</v>
      </c>
      <c r="F39" s="15">
        <v>81.81</v>
      </c>
      <c r="G39" s="15">
        <v>785.52</v>
      </c>
      <c r="H39" s="15">
        <v>181.56</v>
      </c>
      <c r="I39" s="15">
        <v>404.67</v>
      </c>
      <c r="J39" s="15">
        <v>441.18</v>
      </c>
      <c r="K39" s="15">
        <v>43067.329999999987</v>
      </c>
    </row>
    <row r="40" spans="1:11" x14ac:dyDescent="0.25">
      <c r="A40" s="2">
        <f ca="1">_xlfn.IFNA(VLOOKUP(C40,WebocBalance!$A$3:$B$148,2,0),"NA")</f>
        <v>24908</v>
      </c>
      <c r="B40" s="2">
        <f t="shared" ref="B40" ca="1" si="12">A40-(LOOKUP(2,1/(D40:XFD40&lt;&gt;""),D40:XFD40))</f>
        <v>0</v>
      </c>
      <c r="C40" s="13" t="s">
        <v>106</v>
      </c>
      <c r="D40" s="15">
        <v>24431.119999999999</v>
      </c>
      <c r="E40" s="15"/>
      <c r="F40" s="15"/>
      <c r="G40" s="15"/>
      <c r="H40" s="15"/>
      <c r="I40" s="15">
        <v>476.88</v>
      </c>
      <c r="J40" s="15"/>
      <c r="K40" s="15">
        <v>24908</v>
      </c>
    </row>
    <row r="41" spans="1:11" x14ac:dyDescent="0.25">
      <c r="A41" s="2">
        <f ca="1">_xlfn.IFNA(VLOOKUP(C41,WebocBalance!$A$3:$B$148,2,0),"NA")</f>
        <v>8324.4</v>
      </c>
      <c r="B41" s="2">
        <f t="shared" ref="B41" ca="1" si="13">A41-(LOOKUP(2,1/(D41:XFD41&lt;&gt;""),D41:XFD41))</f>
        <v>0</v>
      </c>
      <c r="C41" s="13" t="s">
        <v>95</v>
      </c>
      <c r="D41" s="15">
        <v>8324.4</v>
      </c>
      <c r="E41" s="15"/>
      <c r="F41" s="15"/>
      <c r="G41" s="15"/>
      <c r="H41" s="15"/>
      <c r="I41" s="15"/>
      <c r="J41" s="15"/>
      <c r="K41" s="15">
        <v>8324.4</v>
      </c>
    </row>
    <row r="42" spans="1:11" x14ac:dyDescent="0.25">
      <c r="A42" s="2">
        <f ca="1">_xlfn.IFNA(VLOOKUP(C42,WebocBalance!$A$3:$B$148,2,0),"NA")</f>
        <v>658.1</v>
      </c>
      <c r="B42" s="2">
        <f t="shared" ref="B42:B48" ca="1" si="14">A42-(LOOKUP(2,1/(D42:XFD42&lt;&gt;""),D42:XFD42))</f>
        <v>0</v>
      </c>
      <c r="C42" s="13" t="s">
        <v>75</v>
      </c>
      <c r="D42" s="15">
        <v>219.05999999999983</v>
      </c>
      <c r="E42" s="15"/>
      <c r="F42" s="15"/>
      <c r="G42" s="15"/>
      <c r="H42" s="15">
        <v>374.64</v>
      </c>
      <c r="I42" s="15">
        <v>64.400000000000006</v>
      </c>
      <c r="J42" s="15"/>
      <c r="K42" s="15">
        <v>658.0999999999998</v>
      </c>
    </row>
    <row r="43" spans="1:11" x14ac:dyDescent="0.25">
      <c r="A43" s="2">
        <f ca="1">_xlfn.IFNA(VLOOKUP(C43,WebocBalance!$A$3:$B$148,2,0),"NA")</f>
        <v>8080</v>
      </c>
      <c r="B43" s="2">
        <f t="shared" ca="1" si="14"/>
        <v>0</v>
      </c>
      <c r="C43" s="13" t="s">
        <v>32</v>
      </c>
      <c r="D43" s="15">
        <v>8080</v>
      </c>
      <c r="E43" s="15"/>
      <c r="F43" s="15"/>
      <c r="G43" s="15"/>
      <c r="H43" s="15"/>
      <c r="I43" s="15"/>
      <c r="J43" s="15"/>
      <c r="K43" s="15">
        <v>8080</v>
      </c>
    </row>
    <row r="44" spans="1:11" x14ac:dyDescent="0.25">
      <c r="A44" s="2">
        <f ca="1">_xlfn.IFNA(VLOOKUP(C44,WebocBalance!$A$3:$B$148,2,0),"NA")</f>
        <v>23.088999999999999</v>
      </c>
      <c r="B44" s="2">
        <f t="shared" ca="1" si="14"/>
        <v>0</v>
      </c>
      <c r="C44" s="13" t="s">
        <v>52</v>
      </c>
      <c r="D44" s="15">
        <v>23.089000000000009</v>
      </c>
      <c r="E44" s="15"/>
      <c r="F44" s="15"/>
      <c r="G44" s="15"/>
      <c r="H44" s="15"/>
      <c r="I44" s="15"/>
      <c r="J44" s="15"/>
      <c r="K44" s="15">
        <v>23.089000000000009</v>
      </c>
    </row>
    <row r="45" spans="1:11" x14ac:dyDescent="0.25">
      <c r="A45" s="2">
        <f ca="1">_xlfn.IFNA(VLOOKUP(C45,WebocBalance!$A$3:$B$148,2,0),"NA")</f>
        <v>1891.038</v>
      </c>
      <c r="B45" s="2">
        <f t="shared" ca="1" si="14"/>
        <v>0</v>
      </c>
      <c r="C45" s="13" t="s">
        <v>61</v>
      </c>
      <c r="D45" s="15">
        <v>1891.038</v>
      </c>
      <c r="E45" s="15"/>
      <c r="F45" s="15"/>
      <c r="G45" s="15"/>
      <c r="H45" s="15"/>
      <c r="I45" s="15"/>
      <c r="J45" s="15"/>
      <c r="K45" s="15">
        <v>1891.038</v>
      </c>
    </row>
    <row r="46" spans="1:11" x14ac:dyDescent="0.25">
      <c r="A46" s="2">
        <f ca="1">_xlfn.IFNA(VLOOKUP(C46,WebocBalance!$A$3:$B$148,2,0),"NA")</f>
        <v>5.36</v>
      </c>
      <c r="B46" s="2">
        <f t="shared" ca="1" si="14"/>
        <v>0</v>
      </c>
      <c r="C46" s="13" t="s">
        <v>50</v>
      </c>
      <c r="D46" s="15">
        <v>5.36</v>
      </c>
      <c r="E46" s="15"/>
      <c r="F46" s="15"/>
      <c r="G46" s="15"/>
      <c r="H46" s="15"/>
      <c r="I46" s="15"/>
      <c r="J46" s="15"/>
      <c r="K46" s="15">
        <v>5.36</v>
      </c>
    </row>
    <row r="47" spans="1:11" x14ac:dyDescent="0.25">
      <c r="A47" s="2">
        <f ca="1">_xlfn.IFNA(VLOOKUP(C47,WebocBalance!$A$3:$B$148,2,0),"NA")</f>
        <v>19.501899999999999</v>
      </c>
      <c r="B47" s="2">
        <f t="shared" ca="1" si="14"/>
        <v>0</v>
      </c>
      <c r="C47" s="13" t="s">
        <v>53</v>
      </c>
      <c r="D47" s="15">
        <v>19.501899999999999</v>
      </c>
      <c r="E47" s="15"/>
      <c r="F47" s="15"/>
      <c r="G47" s="15"/>
      <c r="H47" s="15"/>
      <c r="I47" s="15"/>
      <c r="J47" s="15"/>
      <c r="K47" s="15">
        <v>19.501899999999999</v>
      </c>
    </row>
    <row r="48" spans="1:11" x14ac:dyDescent="0.25">
      <c r="A48" s="2">
        <f ca="1">_xlfn.IFNA(VLOOKUP(C48,WebocBalance!$A$3:$B$148,2,0),"NA")</f>
        <v>129570.12850000001</v>
      </c>
      <c r="B48" s="2">
        <f t="shared" ca="1" si="14"/>
        <v>0</v>
      </c>
      <c r="C48" s="13" t="s">
        <v>82</v>
      </c>
      <c r="D48" s="15">
        <v>92808.518499999991</v>
      </c>
      <c r="E48" s="15">
        <v>9106.0499999999993</v>
      </c>
      <c r="F48" s="15">
        <v>2754.54</v>
      </c>
      <c r="G48" s="15"/>
      <c r="H48" s="15">
        <v>2934.32</v>
      </c>
      <c r="I48" s="15">
        <v>7112.17</v>
      </c>
      <c r="J48" s="15">
        <v>14854.53</v>
      </c>
      <c r="K48" s="15">
        <v>129570.12849999999</v>
      </c>
    </row>
    <row r="49" spans="1:11" x14ac:dyDescent="0.25">
      <c r="A49" s="2">
        <f ca="1">_xlfn.IFNA(VLOOKUP(C49,WebocBalance!$A$3:$B$148,2,0),"NA")</f>
        <v>52.88</v>
      </c>
      <c r="B49" s="2">
        <f t="shared" ref="B49:B54" ca="1" si="15">A49-(LOOKUP(2,1/(D49:XFD49&lt;&gt;""),D49:XFD49))</f>
        <v>0</v>
      </c>
      <c r="C49" s="13" t="s">
        <v>54</v>
      </c>
      <c r="D49" s="15">
        <v>52.879999999999981</v>
      </c>
      <c r="E49" s="15"/>
      <c r="F49" s="15"/>
      <c r="G49" s="15"/>
      <c r="H49" s="15"/>
      <c r="I49" s="15"/>
      <c r="J49" s="15"/>
      <c r="K49" s="15">
        <v>52.879999999999981</v>
      </c>
    </row>
    <row r="50" spans="1:11" x14ac:dyDescent="0.25">
      <c r="A50" s="2">
        <f ca="1">_xlfn.IFNA(VLOOKUP(C50,WebocBalance!$A$3:$B$148,2,0),"NA")</f>
        <v>461.48</v>
      </c>
      <c r="B50" s="2">
        <f t="shared" ca="1" si="15"/>
        <v>-4.5474735088646412E-13</v>
      </c>
      <c r="C50" s="13" t="s">
        <v>45</v>
      </c>
      <c r="D50" s="15">
        <v>461.48000000000047</v>
      </c>
      <c r="E50" s="15"/>
      <c r="F50" s="15"/>
      <c r="G50" s="15"/>
      <c r="H50" s="15"/>
      <c r="I50" s="15"/>
      <c r="J50" s="15"/>
      <c r="K50" s="15">
        <v>461.48000000000047</v>
      </c>
    </row>
    <row r="51" spans="1:11" x14ac:dyDescent="0.25">
      <c r="A51" s="2">
        <f ca="1">_xlfn.IFNA(VLOOKUP(C51,WebocBalance!$A$3:$B$148,2,0),"NA")</f>
        <v>358.45</v>
      </c>
      <c r="B51" s="2">
        <f t="shared" ca="1" si="15"/>
        <v>0</v>
      </c>
      <c r="C51" s="13" t="s">
        <v>37</v>
      </c>
      <c r="D51" s="15">
        <v>358.44999999999982</v>
      </c>
      <c r="E51" s="15"/>
      <c r="F51" s="15"/>
      <c r="G51" s="15"/>
      <c r="H51" s="15"/>
      <c r="I51" s="15"/>
      <c r="J51" s="15"/>
      <c r="K51" s="15">
        <v>358.44999999999982</v>
      </c>
    </row>
    <row r="52" spans="1:11" x14ac:dyDescent="0.25">
      <c r="A52" s="2">
        <f ca="1">_xlfn.IFNA(VLOOKUP(C52,WebocBalance!$A$3:$B$148,2,0),"NA")</f>
        <v>1523.64</v>
      </c>
      <c r="B52" s="2">
        <f t="shared" ca="1" si="15"/>
        <v>0</v>
      </c>
      <c r="C52" s="13" t="s">
        <v>46</v>
      </c>
      <c r="D52" s="15">
        <v>1523.64</v>
      </c>
      <c r="E52" s="15"/>
      <c r="F52" s="15"/>
      <c r="G52" s="15"/>
      <c r="H52" s="15"/>
      <c r="I52" s="15"/>
      <c r="J52" s="15"/>
      <c r="K52" s="15">
        <v>1523.64</v>
      </c>
    </row>
    <row r="53" spans="1:11" x14ac:dyDescent="0.25">
      <c r="A53" s="2">
        <f ca="1">_xlfn.IFNA(VLOOKUP(C53,WebocBalance!$A$3:$B$148,2,0),"NA")</f>
        <v>179.59559999999999</v>
      </c>
      <c r="B53" s="2">
        <f t="shared" ca="1" si="15"/>
        <v>3.4106051316484809E-13</v>
      </c>
      <c r="C53" s="13" t="s">
        <v>76</v>
      </c>
      <c r="D53" s="15">
        <v>179.59559999999965</v>
      </c>
      <c r="E53" s="15"/>
      <c r="F53" s="15"/>
      <c r="G53" s="15"/>
      <c r="H53" s="15"/>
      <c r="I53" s="15"/>
      <c r="J53" s="15"/>
      <c r="K53" s="15">
        <v>179.59559999999965</v>
      </c>
    </row>
    <row r="54" spans="1:11" x14ac:dyDescent="0.25">
      <c r="A54" s="2">
        <f ca="1">_xlfn.IFNA(VLOOKUP(C54,WebocBalance!$A$3:$B$148,2,0),"NA")</f>
        <v>671.39819999999997</v>
      </c>
      <c r="B54" s="2">
        <f t="shared" ca="1" si="15"/>
        <v>0</v>
      </c>
      <c r="C54" s="13" t="s">
        <v>74</v>
      </c>
      <c r="D54" s="15"/>
      <c r="E54" s="15"/>
      <c r="F54" s="15"/>
      <c r="G54" s="15">
        <v>671.39819999999997</v>
      </c>
      <c r="H54" s="15"/>
      <c r="I54" s="15"/>
      <c r="J54" s="15"/>
      <c r="K54" s="15">
        <v>671.39819999999997</v>
      </c>
    </row>
    <row r="55" spans="1:11" x14ac:dyDescent="0.25">
      <c r="A55" s="2">
        <f ca="1">_xlfn.IFNA(VLOOKUP(C55,WebocBalance!$A$3:$B$148,2,0),"NA")</f>
        <v>3084.4596999999999</v>
      </c>
      <c r="B55" s="2">
        <f t="shared" ref="B55:B57" ca="1" si="16">A55-(LOOKUP(2,1/(D55:XFD55&lt;&gt;""),D55:XFD55))</f>
        <v>0</v>
      </c>
      <c r="C55" s="13" t="s">
        <v>31</v>
      </c>
      <c r="D55" s="15">
        <v>3084.4596999999999</v>
      </c>
      <c r="E55" s="15"/>
      <c r="F55" s="15"/>
      <c r="G55" s="15"/>
      <c r="H55" s="15"/>
      <c r="I55" s="15"/>
      <c r="J55" s="15"/>
      <c r="K55" s="15">
        <v>3084.4596999999999</v>
      </c>
    </row>
    <row r="56" spans="1:11" x14ac:dyDescent="0.25">
      <c r="A56" s="2">
        <f ca="1">_xlfn.IFNA(VLOOKUP(C56,WebocBalance!$A$3:$B$148,2,0),"NA")</f>
        <v>6106</v>
      </c>
      <c r="B56" s="2">
        <f t="shared" ca="1" si="16"/>
        <v>0</v>
      </c>
      <c r="C56" s="13" t="s">
        <v>69</v>
      </c>
      <c r="D56" s="15">
        <v>6106</v>
      </c>
      <c r="E56" s="15"/>
      <c r="F56" s="15"/>
      <c r="G56" s="15"/>
      <c r="H56" s="15"/>
      <c r="I56" s="15"/>
      <c r="J56" s="15"/>
      <c r="K56" s="15">
        <v>6106</v>
      </c>
    </row>
    <row r="57" spans="1:11" x14ac:dyDescent="0.25">
      <c r="A57" s="2">
        <f ca="1">_xlfn.IFNA(VLOOKUP(C57,WebocBalance!$A$3:$B$148,2,0),"NA")</f>
        <v>9071.9403999999995</v>
      </c>
      <c r="B57" s="2">
        <f t="shared" ca="1" si="16"/>
        <v>0</v>
      </c>
      <c r="C57" s="13" t="s">
        <v>107</v>
      </c>
      <c r="D57" s="15"/>
      <c r="E57" s="15"/>
      <c r="F57" s="15"/>
      <c r="G57" s="15">
        <v>9071.9403999999995</v>
      </c>
      <c r="H57" s="15"/>
      <c r="I57" s="15"/>
      <c r="J57" s="15"/>
      <c r="K57" s="15">
        <v>9071.9403999999995</v>
      </c>
    </row>
    <row r="58" spans="1:11" x14ac:dyDescent="0.25">
      <c r="A58" s="2">
        <f ca="1">_xlfn.IFNA(VLOOKUP(C58,WebocBalance!$A$3:$B$148,2,0),"NA")</f>
        <v>15875.8958</v>
      </c>
      <c r="B58" s="2">
        <f t="shared" ref="B58:B59" ca="1" si="17">A58-(LOOKUP(2,1/(D58:XFD58&lt;&gt;""),D58:XFD58))</f>
        <v>0</v>
      </c>
      <c r="C58" s="13" t="s">
        <v>108</v>
      </c>
      <c r="D58" s="15"/>
      <c r="E58" s="15"/>
      <c r="F58" s="15"/>
      <c r="G58" s="15">
        <v>15875.8958</v>
      </c>
      <c r="H58" s="15"/>
      <c r="I58" s="15"/>
      <c r="J58" s="15"/>
      <c r="K58" s="15">
        <v>15875.8958</v>
      </c>
    </row>
    <row r="59" spans="1:11" x14ac:dyDescent="0.25">
      <c r="A59" s="2">
        <f ca="1">_xlfn.IFNA(VLOOKUP(C59,WebocBalance!$A$3:$B$148,2,0),"NA")</f>
        <v>5658.1324000000004</v>
      </c>
      <c r="B59" s="2">
        <f t="shared" ca="1" si="17"/>
        <v>0</v>
      </c>
      <c r="C59" s="13" t="s">
        <v>105</v>
      </c>
      <c r="D59" s="15">
        <v>4828.9624000000003</v>
      </c>
      <c r="E59" s="15"/>
      <c r="F59" s="15"/>
      <c r="G59" s="15">
        <v>829.17</v>
      </c>
      <c r="H59" s="15"/>
      <c r="I59" s="15"/>
      <c r="J59" s="15"/>
      <c r="K59" s="15">
        <v>5658.1324000000004</v>
      </c>
    </row>
    <row r="60" spans="1:11" x14ac:dyDescent="0.25">
      <c r="A60" s="2">
        <f ca="1">_xlfn.IFNA(VLOOKUP(C60,WebocBalance!$A$3:$B$148,2,0),"NA")</f>
        <v>1245.3800000000001</v>
      </c>
      <c r="B60" s="2">
        <f t="shared" ref="B60:B62" ca="1" si="18">A60-(LOOKUP(2,1/(D60:XFD60&lt;&gt;""),D60:XFD60))</f>
        <v>0</v>
      </c>
      <c r="C60" s="13" t="s">
        <v>72</v>
      </c>
      <c r="D60" s="15">
        <v>1245.3799999999992</v>
      </c>
      <c r="E60" s="15"/>
      <c r="F60" s="15"/>
      <c r="G60" s="15"/>
      <c r="H60" s="15"/>
      <c r="I60" s="15"/>
      <c r="J60" s="15"/>
      <c r="K60" s="15">
        <v>1245.3799999999992</v>
      </c>
    </row>
    <row r="61" spans="1:11" x14ac:dyDescent="0.25">
      <c r="A61" s="2">
        <f ca="1">_xlfn.IFNA(VLOOKUP(C61,WebocBalance!$A$3:$B$148,2,0),"NA")</f>
        <v>7871.31</v>
      </c>
      <c r="B61" s="2">
        <f t="shared" ca="1" si="18"/>
        <v>0</v>
      </c>
      <c r="C61" s="13" t="s">
        <v>25</v>
      </c>
      <c r="D61" s="15">
        <v>7871.3100000000013</v>
      </c>
      <c r="E61" s="15"/>
      <c r="F61" s="15"/>
      <c r="G61" s="15"/>
      <c r="H61" s="15"/>
      <c r="I61" s="15"/>
      <c r="J61" s="15"/>
      <c r="K61" s="15">
        <v>7871.3100000000013</v>
      </c>
    </row>
    <row r="62" spans="1:11" x14ac:dyDescent="0.25">
      <c r="A62" s="2">
        <f ca="1">_xlfn.IFNA(VLOOKUP(C62,WebocBalance!$A$3:$B$148,2,0),"NA")</f>
        <v>2463.39</v>
      </c>
      <c r="B62" s="2">
        <f t="shared" ca="1" si="18"/>
        <v>0</v>
      </c>
      <c r="C62" s="13" t="s">
        <v>62</v>
      </c>
      <c r="D62" s="15">
        <v>2463.3900000000003</v>
      </c>
      <c r="E62" s="15"/>
      <c r="F62" s="15"/>
      <c r="G62" s="15"/>
      <c r="H62" s="15"/>
      <c r="I62" s="15"/>
      <c r="J62" s="15"/>
      <c r="K62" s="15">
        <v>2463.3900000000003</v>
      </c>
    </row>
    <row r="63" spans="1:11" x14ac:dyDescent="0.25">
      <c r="A63" s="2">
        <f ca="1">_xlfn.IFNA(VLOOKUP(C63,WebocBalance!$A$3:$B$148,2,0),"NA")</f>
        <v>49029.9493</v>
      </c>
      <c r="B63" s="2">
        <f t="shared" ref="B63:B64" ca="1" si="19">A63-(LOOKUP(2,1/(D63:XFD63&lt;&gt;""),D63:XFD63))</f>
        <v>0</v>
      </c>
      <c r="C63" s="13" t="s">
        <v>38</v>
      </c>
      <c r="D63" s="15">
        <v>49029.9493</v>
      </c>
      <c r="E63" s="15"/>
      <c r="F63" s="15"/>
      <c r="G63" s="15"/>
      <c r="H63" s="15"/>
      <c r="I63" s="15"/>
      <c r="J63" s="15"/>
      <c r="K63" s="15">
        <v>49029.9493</v>
      </c>
    </row>
    <row r="64" spans="1:11" x14ac:dyDescent="0.25">
      <c r="A64" s="2">
        <f ca="1">_xlfn.IFNA(VLOOKUP(C64,WebocBalance!$A$3:$B$148,2,0),"NA")</f>
        <v>21186.25</v>
      </c>
      <c r="B64" s="2">
        <f t="shared" ca="1" si="19"/>
        <v>0</v>
      </c>
      <c r="C64" s="13" t="s">
        <v>99</v>
      </c>
      <c r="D64" s="15">
        <v>21186.25</v>
      </c>
      <c r="E64" s="15"/>
      <c r="F64" s="15"/>
      <c r="G64" s="15"/>
      <c r="H64" s="15"/>
      <c r="I64" s="15"/>
      <c r="J64" s="15"/>
      <c r="K64" s="15">
        <v>21186.25</v>
      </c>
    </row>
    <row r="65" spans="1:11" x14ac:dyDescent="0.25">
      <c r="A65" s="2">
        <f ca="1">_xlfn.IFNA(VLOOKUP(C65,WebocBalance!$A$3:$B$148,2,0),"NA")</f>
        <v>1136.7</v>
      </c>
      <c r="B65" s="2">
        <f t="shared" ref="B65:B68" ca="1" si="20">A65-(LOOKUP(2,1/(D65:XFD65&lt;&gt;""),D65:XFD65))</f>
        <v>0</v>
      </c>
      <c r="C65" s="13" t="s">
        <v>89</v>
      </c>
      <c r="D65" s="15">
        <v>776.10000000000036</v>
      </c>
      <c r="E65" s="15">
        <v>360.6</v>
      </c>
      <c r="F65" s="15"/>
      <c r="G65" s="15"/>
      <c r="H65" s="15"/>
      <c r="I65" s="15"/>
      <c r="J65" s="15"/>
      <c r="K65" s="15">
        <v>1136.7000000000003</v>
      </c>
    </row>
    <row r="66" spans="1:11" x14ac:dyDescent="0.25">
      <c r="A66" s="2">
        <f ca="1">_xlfn.IFNA(VLOOKUP(C66,WebocBalance!$A$3:$B$148,2,0),"NA")</f>
        <v>75.61</v>
      </c>
      <c r="B66" s="2">
        <f t="shared" ca="1" si="20"/>
        <v>0</v>
      </c>
      <c r="C66" s="13" t="s">
        <v>100</v>
      </c>
      <c r="D66" s="15">
        <v>75.610000000000014</v>
      </c>
      <c r="E66" s="15"/>
      <c r="F66" s="15"/>
      <c r="G66" s="15"/>
      <c r="H66" s="15"/>
      <c r="I66" s="15"/>
      <c r="J66" s="15"/>
      <c r="K66" s="15">
        <v>75.610000000000014</v>
      </c>
    </row>
    <row r="67" spans="1:11" x14ac:dyDescent="0.25">
      <c r="C67" s="13" t="s">
        <v>4</v>
      </c>
      <c r="D67" s="15">
        <v>930528.23439999984</v>
      </c>
      <c r="E67" s="15">
        <v>11180.3</v>
      </c>
      <c r="F67" s="15">
        <v>3272.51</v>
      </c>
      <c r="G67" s="15">
        <v>27757.924399999996</v>
      </c>
      <c r="H67" s="15">
        <v>4249.2800000000007</v>
      </c>
      <c r="I67" s="15">
        <v>14030.289999999999</v>
      </c>
      <c r="J67" s="15">
        <v>17601.03</v>
      </c>
      <c r="K67" s="15">
        <v>1008619.5687999999</v>
      </c>
    </row>
    <row r="68" spans="1:11" x14ac:dyDescent="0.25">
      <c r="C68"/>
      <c r="D68"/>
      <c r="E68"/>
      <c r="F68"/>
      <c r="G68"/>
      <c r="H68"/>
      <c r="I68"/>
    </row>
    <row r="69" spans="1:11" x14ac:dyDescent="0.25">
      <c r="C69"/>
      <c r="D69"/>
      <c r="E69"/>
      <c r="F69"/>
      <c r="G69"/>
      <c r="H69"/>
      <c r="I69"/>
    </row>
    <row r="70" spans="1:11" x14ac:dyDescent="0.25">
      <c r="C70"/>
      <c r="D70"/>
      <c r="E70"/>
      <c r="F70"/>
      <c r="G70"/>
      <c r="H70"/>
      <c r="I70"/>
    </row>
    <row r="71" spans="1:11" x14ac:dyDescent="0.25">
      <c r="C71"/>
      <c r="D71"/>
      <c r="E71"/>
      <c r="F71"/>
      <c r="G71"/>
      <c r="H71"/>
      <c r="I71"/>
    </row>
    <row r="72" spans="1:11" x14ac:dyDescent="0.25">
      <c r="C72"/>
      <c r="D72"/>
      <c r="E72"/>
      <c r="F72"/>
      <c r="G72"/>
      <c r="H72"/>
      <c r="I72"/>
    </row>
    <row r="73" spans="1:11" x14ac:dyDescent="0.25">
      <c r="D73"/>
      <c r="E73"/>
      <c r="F73"/>
      <c r="G73"/>
      <c r="H73"/>
      <c r="I73"/>
    </row>
    <row r="74" spans="1:11" x14ac:dyDescent="0.25">
      <c r="D74"/>
      <c r="E74"/>
      <c r="F74"/>
      <c r="G74"/>
      <c r="H74"/>
      <c r="I74"/>
    </row>
    <row r="75" spans="1:11" x14ac:dyDescent="0.25">
      <c r="D75"/>
      <c r="E75"/>
      <c r="F75"/>
      <c r="G75"/>
      <c r="H75"/>
      <c r="I75"/>
    </row>
    <row r="76" spans="1:11" x14ac:dyDescent="0.25">
      <c r="C76"/>
      <c r="D76"/>
      <c r="E76"/>
      <c r="F76"/>
      <c r="G76"/>
      <c r="H76"/>
      <c r="I76"/>
    </row>
    <row r="77" spans="1:11" x14ac:dyDescent="0.25">
      <c r="C77"/>
      <c r="D77"/>
      <c r="E77"/>
      <c r="F77"/>
      <c r="G77"/>
      <c r="H77"/>
      <c r="I77"/>
    </row>
    <row r="78" spans="1:11" x14ac:dyDescent="0.25">
      <c r="C78"/>
      <c r="D78"/>
      <c r="E78"/>
      <c r="F78"/>
      <c r="G78"/>
      <c r="H78"/>
      <c r="I78"/>
    </row>
    <row r="79" spans="1:11" x14ac:dyDescent="0.25">
      <c r="C79"/>
      <c r="D79"/>
      <c r="E79"/>
      <c r="F79"/>
      <c r="G79"/>
      <c r="H79"/>
      <c r="I79"/>
    </row>
    <row r="80" spans="1:11" x14ac:dyDescent="0.25">
      <c r="C80"/>
      <c r="D80"/>
      <c r="E80"/>
      <c r="F80"/>
      <c r="G80"/>
      <c r="H80"/>
      <c r="I80"/>
    </row>
    <row r="81" spans="3:9" x14ac:dyDescent="0.25">
      <c r="C81"/>
      <c r="D81"/>
      <c r="E81"/>
      <c r="F81"/>
      <c r="G81"/>
      <c r="H81"/>
      <c r="I81"/>
    </row>
    <row r="82" spans="3:9" x14ac:dyDescent="0.25">
      <c r="C82"/>
      <c r="D82"/>
      <c r="E82"/>
      <c r="F82"/>
      <c r="G82"/>
      <c r="H82"/>
      <c r="I82"/>
    </row>
    <row r="83" spans="3:9" x14ac:dyDescent="0.25">
      <c r="C83"/>
      <c r="D83"/>
      <c r="E83"/>
      <c r="F83"/>
      <c r="G83"/>
      <c r="H83"/>
      <c r="I83"/>
    </row>
    <row r="84" spans="3:9" x14ac:dyDescent="0.25">
      <c r="C84"/>
      <c r="D84"/>
      <c r="E84"/>
      <c r="F84"/>
      <c r="G84"/>
      <c r="H84"/>
      <c r="I84"/>
    </row>
    <row r="85" spans="3:9" x14ac:dyDescent="0.25">
      <c r="C85"/>
      <c r="D85"/>
      <c r="E85"/>
      <c r="F85"/>
      <c r="G85"/>
      <c r="H85"/>
      <c r="I85"/>
    </row>
    <row r="86" spans="3:9" x14ac:dyDescent="0.25">
      <c r="C86"/>
      <c r="D86"/>
      <c r="E86"/>
      <c r="F86"/>
      <c r="G86"/>
      <c r="H86"/>
      <c r="I86"/>
    </row>
    <row r="87" spans="3:9" x14ac:dyDescent="0.25">
      <c r="C87"/>
      <c r="D87"/>
      <c r="E87"/>
      <c r="F87"/>
      <c r="G87"/>
      <c r="H87"/>
      <c r="I87"/>
    </row>
    <row r="88" spans="3:9" x14ac:dyDescent="0.25">
      <c r="C88"/>
      <c r="D88"/>
      <c r="E88"/>
      <c r="F88"/>
      <c r="G88"/>
      <c r="H88"/>
      <c r="I88"/>
    </row>
    <row r="89" spans="3:9" x14ac:dyDescent="0.25">
      <c r="C89"/>
      <c r="D89"/>
      <c r="E89"/>
      <c r="F89"/>
      <c r="G89"/>
      <c r="H89"/>
      <c r="I89"/>
    </row>
    <row r="90" spans="3:9" x14ac:dyDescent="0.25">
      <c r="C90"/>
      <c r="D90"/>
      <c r="E90"/>
      <c r="F90"/>
      <c r="G90"/>
      <c r="H90"/>
      <c r="I90"/>
    </row>
    <row r="91" spans="3:9" x14ac:dyDescent="0.25">
      <c r="C91"/>
      <c r="D91"/>
      <c r="E91"/>
      <c r="F91"/>
      <c r="G91"/>
      <c r="H91"/>
      <c r="I91"/>
    </row>
    <row r="92" spans="3:9" x14ac:dyDescent="0.25">
      <c r="C92"/>
      <c r="D92"/>
      <c r="E92"/>
      <c r="F92"/>
      <c r="G92"/>
      <c r="H92"/>
      <c r="I92"/>
    </row>
    <row r="93" spans="3:9" x14ac:dyDescent="0.25">
      <c r="C93"/>
      <c r="D93"/>
      <c r="E93"/>
      <c r="F93"/>
      <c r="G93"/>
      <c r="H93"/>
      <c r="I93"/>
    </row>
    <row r="94" spans="3:9" x14ac:dyDescent="0.25">
      <c r="C94"/>
      <c r="D94"/>
      <c r="E94"/>
      <c r="F94"/>
      <c r="G94"/>
      <c r="H94"/>
      <c r="I94"/>
    </row>
    <row r="95" spans="3:9" x14ac:dyDescent="0.25">
      <c r="C95"/>
      <c r="D95"/>
      <c r="E95"/>
      <c r="F95"/>
      <c r="G95"/>
      <c r="H95"/>
      <c r="I95"/>
    </row>
    <row r="96" spans="3:9" x14ac:dyDescent="0.25">
      <c r="C96"/>
      <c r="D96"/>
      <c r="E96"/>
      <c r="F96"/>
      <c r="G96"/>
      <c r="H96"/>
      <c r="I96"/>
    </row>
    <row r="97" spans="3:9" x14ac:dyDescent="0.25">
      <c r="C97"/>
      <c r="D97"/>
      <c r="E97"/>
      <c r="F97"/>
      <c r="G97"/>
      <c r="H97"/>
      <c r="I97"/>
    </row>
    <row r="98" spans="3:9" x14ac:dyDescent="0.25">
      <c r="C98"/>
      <c r="D98"/>
      <c r="E98"/>
      <c r="F98"/>
      <c r="G98"/>
      <c r="H98"/>
      <c r="I98"/>
    </row>
    <row r="99" spans="3:9" x14ac:dyDescent="0.25">
      <c r="C99"/>
      <c r="D99"/>
      <c r="E99"/>
      <c r="F99"/>
      <c r="G99"/>
      <c r="H99"/>
      <c r="I99"/>
    </row>
    <row r="100" spans="3:9" x14ac:dyDescent="0.25">
      <c r="C100"/>
      <c r="D100"/>
      <c r="E100"/>
      <c r="F100"/>
      <c r="G100"/>
      <c r="H100"/>
      <c r="I100"/>
    </row>
    <row r="101" spans="3:9" x14ac:dyDescent="0.25">
      <c r="C101"/>
      <c r="D101"/>
      <c r="E101"/>
      <c r="F101"/>
      <c r="G101"/>
      <c r="H101"/>
      <c r="I101"/>
    </row>
    <row r="102" spans="3:9" x14ac:dyDescent="0.25">
      <c r="C102"/>
      <c r="D102"/>
      <c r="E102"/>
      <c r="F102"/>
      <c r="G102"/>
      <c r="H102"/>
      <c r="I102"/>
    </row>
    <row r="103" spans="3:9" x14ac:dyDescent="0.25">
      <c r="C103"/>
      <c r="D103"/>
      <c r="E103"/>
      <c r="F103"/>
      <c r="G103"/>
      <c r="H103"/>
      <c r="I103"/>
    </row>
    <row r="104" spans="3:9" x14ac:dyDescent="0.25">
      <c r="C104"/>
      <c r="D104"/>
      <c r="E104"/>
      <c r="F104"/>
      <c r="G104"/>
      <c r="H104"/>
      <c r="I104"/>
    </row>
    <row r="105" spans="3:9" x14ac:dyDescent="0.25">
      <c r="C105"/>
      <c r="D105"/>
      <c r="E105"/>
      <c r="F105"/>
      <c r="G105"/>
      <c r="H105"/>
      <c r="I105"/>
    </row>
    <row r="106" spans="3:9" x14ac:dyDescent="0.25">
      <c r="C106"/>
      <c r="D106"/>
      <c r="E106"/>
      <c r="F106"/>
      <c r="G106"/>
      <c r="H106"/>
      <c r="I106"/>
    </row>
    <row r="107" spans="3:9" x14ac:dyDescent="0.25">
      <c r="C107"/>
      <c r="D107"/>
      <c r="E107"/>
      <c r="F107"/>
      <c r="G107"/>
      <c r="H107"/>
      <c r="I107"/>
    </row>
    <row r="108" spans="3:9" x14ac:dyDescent="0.25">
      <c r="C108"/>
      <c r="D108"/>
      <c r="E108"/>
      <c r="F108"/>
      <c r="G108"/>
      <c r="H108"/>
      <c r="I108"/>
    </row>
    <row r="109" spans="3:9" x14ac:dyDescent="0.25">
      <c r="C109"/>
      <c r="D109"/>
      <c r="E109"/>
      <c r="F109"/>
      <c r="G109"/>
      <c r="H109"/>
      <c r="I109"/>
    </row>
    <row r="110" spans="3:9" x14ac:dyDescent="0.25">
      <c r="C110"/>
      <c r="D110"/>
      <c r="E110"/>
      <c r="F110"/>
      <c r="G110"/>
      <c r="H110"/>
      <c r="I110"/>
    </row>
    <row r="111" spans="3:9" x14ac:dyDescent="0.25">
      <c r="C111"/>
      <c r="D111"/>
      <c r="E111"/>
      <c r="F111"/>
      <c r="G111"/>
      <c r="H111"/>
      <c r="I111"/>
    </row>
    <row r="112" spans="3:9" x14ac:dyDescent="0.25">
      <c r="C112"/>
      <c r="D112"/>
      <c r="E112"/>
      <c r="F112"/>
      <c r="G112"/>
      <c r="H112"/>
      <c r="I112"/>
    </row>
    <row r="113" spans="3:9" x14ac:dyDescent="0.25">
      <c r="C113"/>
      <c r="D113"/>
      <c r="E113"/>
      <c r="F113"/>
      <c r="G113"/>
      <c r="H113"/>
      <c r="I113"/>
    </row>
    <row r="114" spans="3:9" x14ac:dyDescent="0.25">
      <c r="C114"/>
      <c r="D114"/>
      <c r="E114"/>
      <c r="F114"/>
      <c r="G114"/>
      <c r="H114"/>
      <c r="I114"/>
    </row>
    <row r="115" spans="3:9" x14ac:dyDescent="0.25">
      <c r="C115"/>
      <c r="D115"/>
      <c r="E115"/>
      <c r="F115"/>
      <c r="G115"/>
      <c r="H115"/>
      <c r="I115"/>
    </row>
    <row r="116" spans="3:9" x14ac:dyDescent="0.25">
      <c r="C116"/>
      <c r="D116"/>
      <c r="E116"/>
      <c r="F116"/>
      <c r="G116"/>
      <c r="H116"/>
      <c r="I116"/>
    </row>
    <row r="117" spans="3:9" x14ac:dyDescent="0.25">
      <c r="C117"/>
      <c r="D117"/>
      <c r="E117"/>
      <c r="F117"/>
      <c r="G117"/>
      <c r="H117"/>
      <c r="I117"/>
    </row>
    <row r="118" spans="3:9" x14ac:dyDescent="0.25">
      <c r="C118"/>
      <c r="D118"/>
      <c r="E118"/>
      <c r="F118"/>
      <c r="G118"/>
      <c r="H118"/>
      <c r="I118"/>
    </row>
    <row r="119" spans="3:9" x14ac:dyDescent="0.25">
      <c r="C119"/>
      <c r="D119"/>
      <c r="E119"/>
      <c r="F119"/>
      <c r="G119"/>
      <c r="H119"/>
      <c r="I119"/>
    </row>
    <row r="120" spans="3:9" x14ac:dyDescent="0.25">
      <c r="C120"/>
      <c r="D120"/>
      <c r="E120"/>
      <c r="F120"/>
      <c r="G120"/>
      <c r="H120"/>
      <c r="I120"/>
    </row>
    <row r="121" spans="3:9" x14ac:dyDescent="0.25">
      <c r="C121"/>
      <c r="D121"/>
      <c r="E121"/>
      <c r="F121"/>
      <c r="G121"/>
      <c r="H121"/>
      <c r="I121"/>
    </row>
    <row r="122" spans="3:9" x14ac:dyDescent="0.25">
      <c r="D122"/>
      <c r="E122"/>
      <c r="F122"/>
      <c r="G122"/>
      <c r="H122"/>
      <c r="I122"/>
    </row>
    <row r="123" spans="3:9" x14ac:dyDescent="0.25">
      <c r="D123"/>
      <c r="E123"/>
      <c r="F123"/>
      <c r="G123"/>
      <c r="H123"/>
      <c r="I123"/>
    </row>
    <row r="124" spans="3:9" x14ac:dyDescent="0.25">
      <c r="C124"/>
      <c r="D124"/>
      <c r="E124"/>
      <c r="F124"/>
      <c r="G124"/>
      <c r="H124"/>
      <c r="I124"/>
    </row>
    <row r="125" spans="3:9" x14ac:dyDescent="0.25">
      <c r="C125"/>
      <c r="D125"/>
      <c r="E125"/>
      <c r="F125"/>
      <c r="G125"/>
      <c r="H125"/>
      <c r="I125"/>
    </row>
    <row r="126" spans="3:9" x14ac:dyDescent="0.25">
      <c r="C126"/>
      <c r="D126"/>
      <c r="E126"/>
      <c r="F126"/>
      <c r="G126"/>
      <c r="H126"/>
      <c r="I126"/>
    </row>
    <row r="127" spans="3:9" x14ac:dyDescent="0.25">
      <c r="C127"/>
      <c r="D127"/>
      <c r="E127"/>
      <c r="F127"/>
      <c r="G127"/>
      <c r="H127"/>
      <c r="I127"/>
    </row>
    <row r="128" spans="3:9" x14ac:dyDescent="0.25">
      <c r="C128"/>
      <c r="D128"/>
      <c r="E128"/>
      <c r="F128"/>
      <c r="G128"/>
      <c r="H128"/>
      <c r="I128"/>
    </row>
    <row r="129" spans="3:9" x14ac:dyDescent="0.25">
      <c r="C129"/>
      <c r="D129"/>
      <c r="E129"/>
      <c r="F129"/>
      <c r="G129"/>
      <c r="H129"/>
      <c r="I129"/>
    </row>
    <row r="130" spans="3:9" x14ac:dyDescent="0.25">
      <c r="C130"/>
      <c r="D130"/>
      <c r="E130"/>
      <c r="F130"/>
      <c r="G130"/>
      <c r="H130"/>
      <c r="I130"/>
    </row>
    <row r="131" spans="3:9" x14ac:dyDescent="0.25">
      <c r="C131"/>
      <c r="D131"/>
      <c r="E131"/>
      <c r="F131"/>
      <c r="G131"/>
      <c r="H131"/>
      <c r="I131"/>
    </row>
    <row r="132" spans="3:9" x14ac:dyDescent="0.25">
      <c r="C132"/>
      <c r="D132"/>
      <c r="E132"/>
      <c r="F132"/>
      <c r="G132"/>
      <c r="H132"/>
      <c r="I132"/>
    </row>
    <row r="133" spans="3:9" x14ac:dyDescent="0.25">
      <c r="C133"/>
      <c r="D133"/>
      <c r="E133"/>
      <c r="F133"/>
      <c r="G133"/>
      <c r="H133"/>
      <c r="I133"/>
    </row>
    <row r="134" spans="3:9" x14ac:dyDescent="0.25">
      <c r="C134"/>
      <c r="D134"/>
      <c r="E134"/>
      <c r="F134"/>
      <c r="G134"/>
      <c r="H134"/>
      <c r="I134"/>
    </row>
    <row r="137" spans="3:9" x14ac:dyDescent="0.25">
      <c r="C137"/>
    </row>
    <row r="138" spans="3:9" x14ac:dyDescent="0.25">
      <c r="C138"/>
    </row>
    <row r="139" spans="3:9" x14ac:dyDescent="0.25">
      <c r="C139"/>
    </row>
    <row r="140" spans="3:9" x14ac:dyDescent="0.25">
      <c r="C140"/>
    </row>
    <row r="141" spans="3:9" x14ac:dyDescent="0.25">
      <c r="C141"/>
    </row>
    <row r="142" spans="3:9" x14ac:dyDescent="0.25">
      <c r="C142"/>
    </row>
  </sheetData>
  <autoFilter ref="B3:B98" xr:uid="{00000000-0001-0000-0200-000000000000}"/>
  <sortState xmlns:xlrd2="http://schemas.microsoft.com/office/spreadsheetml/2017/richdata2" ref="C93:C112">
    <sortCondition ref="C112"/>
  </sortState>
  <conditionalFormatting sqref="C1:C72 C76:C1048576">
    <cfRule type="duplicateValues" dxfId="39" priority="1"/>
    <cfRule type="duplicateValues" dxfId="38" priority="2"/>
    <cfRule type="duplicateValues" dxfId="37" priority="3"/>
    <cfRule type="duplicateValues" dxfId="36" priority="4"/>
    <cfRule type="duplicateValues" dxfId="35" priority="5"/>
    <cfRule type="duplicateValues" dxfId="34" priority="6"/>
    <cfRule type="duplicateValues" dxfId="33" priority="7"/>
    <cfRule type="duplicateValues" dxfId="32" priority="8"/>
    <cfRule type="duplicateValues" dxfId="31" priority="9"/>
    <cfRule type="duplicateValues" dxfId="30" priority="10"/>
    <cfRule type="duplicateValues" dxfId="29" priority="11"/>
    <cfRule type="duplicateValues" dxfId="28" priority="12"/>
    <cfRule type="duplicateValues" dxfId="27" priority="13"/>
    <cfRule type="duplicateValues" dxfId="26" priority="14"/>
    <cfRule type="duplicateValues" dxfId="25" priority="15"/>
    <cfRule type="duplicateValues" dxfId="24" priority="16"/>
    <cfRule type="duplicateValues" dxfId="23" priority="17"/>
    <cfRule type="duplicateValues" dxfId="22" priority="18"/>
    <cfRule type="duplicateValues" dxfId="21" priority="19"/>
    <cfRule type="duplicateValues" dxfId="20" priority="20"/>
    <cfRule type="duplicateValues" dxfId="19" priority="21"/>
    <cfRule type="duplicateValues" dxfId="18" priority="22"/>
    <cfRule type="duplicateValues" dxfId="17" priority="23"/>
    <cfRule type="duplicateValues" dxfId="16" priority="24"/>
    <cfRule type="duplicateValues" dxfId="15" priority="25"/>
    <cfRule type="duplicateValues" dxfId="14" priority="26"/>
    <cfRule type="duplicateValues" dxfId="13" priority="27"/>
    <cfRule type="duplicateValues" dxfId="12" priority="28"/>
    <cfRule type="duplicateValues" dxfId="11" priority="29"/>
    <cfRule type="duplicateValues" dxfId="10" priority="30"/>
    <cfRule type="duplicateValues" dxfId="9" priority="31"/>
  </conditionalFormatting>
  <conditionalFormatting sqref="D135:D1048576 D2:D3">
    <cfRule type="duplicateValues" dxfId="8" priority="888"/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DBE5-5155-46D8-8575-5ED0BAD637CB}">
  <sheetPr codeName="Sheet6"/>
  <dimension ref="A1:J116"/>
  <sheetViews>
    <sheetView workbookViewId="0">
      <pane xSplit="3" ySplit="4" topLeftCell="D5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2" style="17" customWidth="1"/>
    <col min="5" max="5" width="14.42578125" style="4" customWidth="1"/>
    <col min="6" max="6" width="12.140625" style="4" customWidth="1"/>
    <col min="7" max="7" width="14.28515625" style="4" customWidth="1"/>
    <col min="8" max="10" width="10.7109375" style="4" customWidth="1"/>
    <col min="11" max="26" width="10.7109375" customWidth="1"/>
  </cols>
  <sheetData>
    <row r="1" spans="1:10" x14ac:dyDescent="0.25">
      <c r="B1" s="2" t="str">
        <f>"LTM/0"&amp;D1&amp;"/24-25"</f>
        <v>LTM/0/24-25</v>
      </c>
    </row>
    <row r="2" spans="1:10" ht="20.25" customHeight="1" x14ac:dyDescent="0.25">
      <c r="B2" s="2" t="str">
        <f>"LTM/0"&amp;D2&amp;"/24-25"</f>
        <v>LTM/0449/24-25</v>
      </c>
      <c r="C2" s="4" t="s">
        <v>2</v>
      </c>
      <c r="D2" s="22">
        <v>449</v>
      </c>
      <c r="E2" s="14"/>
    </row>
    <row r="3" spans="1:10" hidden="1" x14ac:dyDescent="0.25">
      <c r="C3"/>
      <c r="D3" s="18"/>
      <c r="E3"/>
      <c r="F3"/>
      <c r="G3"/>
      <c r="H3"/>
      <c r="I3"/>
      <c r="J3"/>
    </row>
    <row r="4" spans="1:10" x14ac:dyDescent="0.25">
      <c r="A4" s="3" t="s">
        <v>8</v>
      </c>
      <c r="B4" s="3" t="s">
        <v>9</v>
      </c>
      <c r="C4" s="20" t="s">
        <v>0</v>
      </c>
      <c r="D4" s="17" t="s">
        <v>3</v>
      </c>
      <c r="E4" s="14" t="s">
        <v>6</v>
      </c>
      <c r="F4"/>
      <c r="G4"/>
      <c r="H4"/>
      <c r="I4"/>
      <c r="J4"/>
    </row>
    <row r="5" spans="1:10" x14ac:dyDescent="0.25">
      <c r="A5" s="2">
        <f>SUMIFS([3]Data!$M$1:$M$918,[3]Data!$B$1:$B$918,$B$2,[3]Data!$I$1:$I$918,C5,[3]Data!$J$1:$J$918,D5)</f>
        <v>0</v>
      </c>
      <c r="B5" s="11"/>
      <c r="C5" s="4" t="s">
        <v>73</v>
      </c>
      <c r="D5" s="4">
        <v>2501.009</v>
      </c>
      <c r="E5" s="15">
        <v>447</v>
      </c>
      <c r="F5" t="b">
        <f>EXACT(A5,E5)</f>
        <v>0</v>
      </c>
      <c r="G5"/>
      <c r="H5"/>
      <c r="I5"/>
      <c r="J5"/>
    </row>
    <row r="6" spans="1:10" x14ac:dyDescent="0.25">
      <c r="A6" s="2">
        <f>SUMIFS([3]Data!$M$1:$M$918,[3]Data!$B$1:$B$918,$B$2,[3]Data!$I$1:$I$918,C6,[3]Data!$J$1:$J$918,D6)</f>
        <v>0</v>
      </c>
      <c r="B6" s="11"/>
      <c r="C6" s="4" t="s">
        <v>81</v>
      </c>
      <c r="D6" s="4">
        <v>2815.12</v>
      </c>
      <c r="E6" s="15">
        <v>493</v>
      </c>
      <c r="F6" t="b">
        <f>EXACT(A6,E6)</f>
        <v>0</v>
      </c>
      <c r="G6"/>
      <c r="H6"/>
      <c r="I6"/>
      <c r="J6"/>
    </row>
    <row r="7" spans="1:10" x14ac:dyDescent="0.25">
      <c r="A7" s="2">
        <f>SUMIFS([3]Data!$M$1:$M$918,[3]Data!$B$1:$B$918,$B$2,[3]Data!$I$1:$I$918,C7,[3]Data!$J$1:$J$918,D7)</f>
        <v>0</v>
      </c>
      <c r="B7" s="11"/>
      <c r="C7" s="4" t="s">
        <v>80</v>
      </c>
      <c r="D7" s="4">
        <v>3707.1</v>
      </c>
      <c r="E7" s="15">
        <v>92.6</v>
      </c>
      <c r="F7" t="b">
        <f t="shared" ref="F7:F24" si="0">EXACT(A7,E7)</f>
        <v>0</v>
      </c>
      <c r="G7"/>
      <c r="H7"/>
      <c r="I7"/>
      <c r="J7"/>
    </row>
    <row r="8" spans="1:10" x14ac:dyDescent="0.25">
      <c r="A8" s="2">
        <f>SUMIFS([3]Data!$M$1:$M$918,[3]Data!$B$1:$B$918,$B$2,[3]Data!$I$1:$I$918,C8,[3]Data!$J$1:$J$918,D8)</f>
        <v>0</v>
      </c>
      <c r="B8" s="11"/>
      <c r="C8" s="4" t="s">
        <v>86</v>
      </c>
      <c r="D8" s="4">
        <v>5503.201</v>
      </c>
      <c r="E8" s="15">
        <v>4174.6899999999996</v>
      </c>
      <c r="F8" t="b">
        <f t="shared" si="0"/>
        <v>0</v>
      </c>
      <c r="G8"/>
      <c r="H8"/>
      <c r="I8"/>
      <c r="J8"/>
    </row>
    <row r="9" spans="1:10" x14ac:dyDescent="0.25">
      <c r="A9" s="2">
        <f>SUMIFS([3]Data!$M$1:$M$918,[3]Data!$B$1:$B$918,$B$2,[3]Data!$I$1:$I$918,C9,[3]Data!$J$1:$J$918,D9)</f>
        <v>0</v>
      </c>
      <c r="B9" s="11"/>
      <c r="C9" s="4" t="s">
        <v>94</v>
      </c>
      <c r="D9" s="4">
        <v>3809.9189999999999</v>
      </c>
      <c r="E9" s="15">
        <v>446.96</v>
      </c>
      <c r="F9" t="b">
        <f t="shared" si="0"/>
        <v>0</v>
      </c>
      <c r="G9"/>
      <c r="H9"/>
      <c r="I9"/>
      <c r="J9"/>
    </row>
    <row r="10" spans="1:10" x14ac:dyDescent="0.25">
      <c r="A10" s="2">
        <f>SUMIFS([3]Data!$M$1:$M$918,[3]Data!$B$1:$B$918,$B$2,[3]Data!$I$1:$I$918,C10,[3]Data!$J$1:$J$918,D10)</f>
        <v>0</v>
      </c>
      <c r="B10" s="12"/>
      <c r="C10" s="4" t="s">
        <v>83</v>
      </c>
      <c r="D10" s="4">
        <v>3906.9029999999998</v>
      </c>
      <c r="E10" s="15">
        <v>317.92</v>
      </c>
      <c r="F10" t="b">
        <f t="shared" si="0"/>
        <v>0</v>
      </c>
      <c r="G10"/>
      <c r="H10"/>
      <c r="I10"/>
      <c r="J10"/>
    </row>
    <row r="11" spans="1:10" x14ac:dyDescent="0.25">
      <c r="A11" s="2">
        <f>SUMIFS([3]Data!$M$1:$M$918,[3]Data!$B$1:$B$918,$B$2,[3]Data!$I$1:$I$918,C11,[3]Data!$J$1:$J$918,D11)</f>
        <v>0</v>
      </c>
      <c r="B11" s="11"/>
      <c r="C11" s="4" t="s">
        <v>68</v>
      </c>
      <c r="D11" s="4">
        <v>2847</v>
      </c>
      <c r="E11" s="15">
        <v>404.67</v>
      </c>
      <c r="F11" t="b">
        <f t="shared" si="0"/>
        <v>0</v>
      </c>
      <c r="G11"/>
      <c r="H11" s="21"/>
      <c r="I11"/>
      <c r="J11"/>
    </row>
    <row r="12" spans="1:10" x14ac:dyDescent="0.25">
      <c r="A12" s="2">
        <f>SUMIFS([3]Data!$M$1:$M$918,[3]Data!$B$1:$B$918,$B$2,[3]Data!$I$1:$I$918,C12,[3]Data!$J$1:$J$918,D12)</f>
        <v>0</v>
      </c>
      <c r="B12" s="11"/>
      <c r="C12" s="4" t="s">
        <v>106</v>
      </c>
      <c r="D12" s="4">
        <v>4810.29</v>
      </c>
      <c r="E12" s="15">
        <v>476.88</v>
      </c>
      <c r="F12" t="b">
        <f t="shared" si="0"/>
        <v>0</v>
      </c>
      <c r="G12"/>
      <c r="H12"/>
      <c r="I12"/>
      <c r="J12"/>
    </row>
    <row r="13" spans="1:10" x14ac:dyDescent="0.25">
      <c r="A13" s="2">
        <f>SUMIFS([3]Data!$M$1:$M$918,[3]Data!$B$1:$B$918,$B$2,[3]Data!$I$1:$I$918,C13,[3]Data!$J$1:$J$918,D13)</f>
        <v>0</v>
      </c>
      <c r="B13" s="11"/>
      <c r="C13" s="4" t="s">
        <v>75</v>
      </c>
      <c r="D13" s="4">
        <v>3204.16</v>
      </c>
      <c r="E13" s="15">
        <v>64.400000000000006</v>
      </c>
      <c r="F13" t="b">
        <f t="shared" si="0"/>
        <v>0</v>
      </c>
      <c r="G13"/>
      <c r="H13"/>
      <c r="I13"/>
      <c r="J13"/>
    </row>
    <row r="14" spans="1:10" x14ac:dyDescent="0.25">
      <c r="A14" s="2">
        <f>SUMIFS([3]Data!$M$1:$M$918,[3]Data!$B$1:$B$918,$B$2,[3]Data!$I$1:$I$918,C14,[3]Data!$J$1:$J$918,D14)</f>
        <v>0</v>
      </c>
      <c r="B14" s="11"/>
      <c r="C14" s="4" t="s">
        <v>82</v>
      </c>
      <c r="D14" s="4">
        <v>5201.009</v>
      </c>
      <c r="E14" s="15">
        <v>7112.17</v>
      </c>
      <c r="F14" t="b">
        <f t="shared" si="0"/>
        <v>0</v>
      </c>
      <c r="G14"/>
      <c r="H14"/>
      <c r="I14"/>
      <c r="J14"/>
    </row>
    <row r="15" spans="1:10" x14ac:dyDescent="0.25">
      <c r="A15" s="2">
        <f>SUMIFS([3]Data!$M$1:$M$918,[3]Data!$B$1:$B$918,$B$2,[3]Data!$I$1:$I$918,C15,[3]Data!$J$1:$J$918,D15)</f>
        <v>0</v>
      </c>
      <c r="B15" s="11"/>
      <c r="C15" s="17" t="s">
        <v>4</v>
      </c>
      <c r="E15" s="15">
        <v>14030.289999999999</v>
      </c>
      <c r="F15" t="b">
        <f t="shared" si="0"/>
        <v>0</v>
      </c>
      <c r="G15"/>
      <c r="H15" s="21"/>
      <c r="I15"/>
      <c r="J15"/>
    </row>
    <row r="16" spans="1:10" x14ac:dyDescent="0.25">
      <c r="A16" s="2">
        <f>SUMIFS([3]Data!$M$1:$M$918,[3]Data!$B$1:$B$918,$B$2,[3]Data!$I$1:$I$918,C16,[3]Data!$J$1:$J$918,D16)</f>
        <v>0</v>
      </c>
      <c r="B16" s="11"/>
      <c r="C16"/>
      <c r="D16"/>
      <c r="E16"/>
      <c r="F16" t="b">
        <f t="shared" si="0"/>
        <v>0</v>
      </c>
      <c r="G16"/>
      <c r="H16"/>
      <c r="I16"/>
      <c r="J16"/>
    </row>
    <row r="17" spans="1:10" x14ac:dyDescent="0.25">
      <c r="A17" s="2">
        <f>SUMIFS([3]Data!$M$1:$M$918,[3]Data!$B$1:$B$918,$B$2,[3]Data!$I$1:$I$918,C17,[3]Data!$J$1:$J$918,D17)</f>
        <v>0</v>
      </c>
      <c r="B17" s="11"/>
      <c r="C17"/>
      <c r="D17"/>
      <c r="E17"/>
      <c r="F17" t="b">
        <f t="shared" si="0"/>
        <v>0</v>
      </c>
      <c r="G17"/>
      <c r="H17" s="21"/>
      <c r="I17"/>
      <c r="J17"/>
    </row>
    <row r="18" spans="1:10" x14ac:dyDescent="0.25">
      <c r="A18" s="2">
        <f>SUMIFS([3]Data!$M$1:$M$918,[3]Data!$B$1:$B$918,$B$2,[3]Data!$I$1:$I$918,C18,[3]Data!$J$1:$J$918,D18)</f>
        <v>0</v>
      </c>
      <c r="B18" s="11"/>
      <c r="C18"/>
      <c r="D18"/>
      <c r="E18"/>
      <c r="F18" t="b">
        <f t="shared" si="0"/>
        <v>0</v>
      </c>
      <c r="G18"/>
      <c r="H18"/>
      <c r="I18"/>
      <c r="J18"/>
    </row>
    <row r="19" spans="1:10" x14ac:dyDescent="0.25">
      <c r="A19" s="2">
        <f>SUMIFS([3]Data!$M$1:$M$918,[3]Data!$B$1:$B$918,$B$2,[3]Data!$I$1:$I$918,C19,[3]Data!$J$1:$J$918,D19)</f>
        <v>0</v>
      </c>
      <c r="C19"/>
      <c r="D19"/>
      <c r="E19"/>
      <c r="F19" t="b">
        <f t="shared" si="0"/>
        <v>0</v>
      </c>
      <c r="G19"/>
      <c r="H19"/>
      <c r="I19"/>
      <c r="J19"/>
    </row>
    <row r="20" spans="1:10" x14ac:dyDescent="0.25">
      <c r="A20" s="2">
        <f>SUMIFS([3]Data!$M$1:$M$918,[3]Data!$B$1:$B$918,$B$2,[3]Data!$I$1:$I$918,C20,[3]Data!$J$1:$J$918,D20)</f>
        <v>0</v>
      </c>
      <c r="C20"/>
      <c r="D20"/>
      <c r="E20"/>
      <c r="F20" t="b">
        <f t="shared" si="0"/>
        <v>0</v>
      </c>
      <c r="G20"/>
      <c r="H20"/>
      <c r="I20"/>
      <c r="J20"/>
    </row>
    <row r="21" spans="1:10" x14ac:dyDescent="0.25">
      <c r="A21" s="2">
        <f>SUMIFS([3]Data!$M$1:$M$918,[3]Data!$B$1:$B$918,$B$2,[3]Data!$I$1:$I$918,C21,[3]Data!$J$1:$J$918,D21)</f>
        <v>0</v>
      </c>
      <c r="C21"/>
      <c r="D21"/>
      <c r="E21"/>
      <c r="F21" t="b">
        <f t="shared" si="0"/>
        <v>0</v>
      </c>
      <c r="G21"/>
      <c r="H21"/>
      <c r="I21"/>
      <c r="J21"/>
    </row>
    <row r="22" spans="1:10" x14ac:dyDescent="0.25">
      <c r="A22" s="2">
        <f>SUMIFS([3]Data!$M$1:$M$918,[3]Data!$B$1:$B$918,$B$2,[3]Data!$I$1:$I$918,C22,[3]Data!$J$1:$J$918,D22)</f>
        <v>0</v>
      </c>
      <c r="C22"/>
      <c r="D22"/>
      <c r="E22"/>
      <c r="F22" t="b">
        <f t="shared" si="0"/>
        <v>0</v>
      </c>
      <c r="G22"/>
      <c r="H22"/>
      <c r="I22"/>
      <c r="J22"/>
    </row>
    <row r="23" spans="1:10" x14ac:dyDescent="0.25">
      <c r="A23" s="2">
        <f>SUMIFS([3]Data!$M$1:$M$918,[3]Data!$B$1:$B$918,$B$2,[3]Data!$I$1:$I$918,C23,[3]Data!$J$1:$J$918,D23)</f>
        <v>0</v>
      </c>
      <c r="C23"/>
      <c r="D23"/>
      <c r="E23"/>
      <c r="F23" t="b">
        <f t="shared" si="0"/>
        <v>0</v>
      </c>
      <c r="G23"/>
      <c r="H23"/>
      <c r="I23"/>
      <c r="J23"/>
    </row>
    <row r="24" spans="1:10" x14ac:dyDescent="0.25">
      <c r="A24" s="2">
        <f>SUMIFS([3]Data!$M$1:$M$918,[3]Data!$B$1:$B$918,$B$2,[3]Data!$I$1:$I$918,C24,[3]Data!$J$1:$J$918,D24)</f>
        <v>0</v>
      </c>
      <c r="C24"/>
      <c r="D24"/>
      <c r="E24"/>
      <c r="F24" t="b">
        <f t="shared" si="0"/>
        <v>0</v>
      </c>
      <c r="G24"/>
      <c r="H24"/>
      <c r="I24"/>
      <c r="J24"/>
    </row>
    <row r="25" spans="1:10" x14ac:dyDescent="0.25">
      <c r="C25"/>
      <c r="D25"/>
      <c r="E25"/>
      <c r="F25"/>
      <c r="G25"/>
      <c r="H25"/>
      <c r="I25"/>
      <c r="J25"/>
    </row>
    <row r="26" spans="1:10" x14ac:dyDescent="0.25">
      <c r="C26"/>
      <c r="D26"/>
      <c r="E26"/>
      <c r="F26"/>
      <c r="G26"/>
      <c r="H26"/>
      <c r="I26"/>
      <c r="J26"/>
    </row>
    <row r="27" spans="1:10" x14ac:dyDescent="0.25">
      <c r="C27"/>
      <c r="D27"/>
      <c r="E27"/>
      <c r="F27"/>
      <c r="G27"/>
      <c r="H27"/>
      <c r="I27"/>
      <c r="J27"/>
    </row>
    <row r="28" spans="1:10" x14ac:dyDescent="0.25">
      <c r="C28"/>
      <c r="D28"/>
      <c r="E28"/>
      <c r="F28"/>
      <c r="G28"/>
      <c r="H28"/>
      <c r="I28"/>
      <c r="J28"/>
    </row>
    <row r="29" spans="1:10" x14ac:dyDescent="0.25">
      <c r="C29"/>
      <c r="D29"/>
      <c r="E29"/>
      <c r="F29"/>
      <c r="G29"/>
      <c r="H29"/>
      <c r="I29"/>
      <c r="J29"/>
    </row>
    <row r="30" spans="1:10" x14ac:dyDescent="0.25">
      <c r="C30"/>
      <c r="D30"/>
      <c r="E30"/>
      <c r="F30"/>
      <c r="G30"/>
      <c r="H30"/>
      <c r="I30"/>
      <c r="J30"/>
    </row>
    <row r="31" spans="1:10" x14ac:dyDescent="0.25">
      <c r="C31"/>
      <c r="D31"/>
      <c r="E31"/>
      <c r="F31"/>
      <c r="G31"/>
      <c r="H31"/>
      <c r="I31"/>
      <c r="J31"/>
    </row>
    <row r="32" spans="1:10" x14ac:dyDescent="0.25">
      <c r="C32"/>
      <c r="D32"/>
      <c r="E32"/>
      <c r="F32"/>
      <c r="G32"/>
      <c r="H32"/>
      <c r="I32"/>
      <c r="J32"/>
    </row>
    <row r="33" spans="3:10" x14ac:dyDescent="0.25">
      <c r="C33"/>
      <c r="D33"/>
      <c r="E33"/>
      <c r="F33"/>
      <c r="G33"/>
      <c r="H33"/>
      <c r="I33"/>
      <c r="J33"/>
    </row>
    <row r="34" spans="3:10" x14ac:dyDescent="0.25">
      <c r="C34"/>
      <c r="D34"/>
      <c r="E34"/>
      <c r="F34"/>
      <c r="G34"/>
      <c r="H34"/>
      <c r="I34"/>
      <c r="J34"/>
    </row>
    <row r="35" spans="3:10" x14ac:dyDescent="0.25">
      <c r="C35"/>
      <c r="D35"/>
      <c r="E35"/>
      <c r="F35"/>
      <c r="G35"/>
      <c r="H35"/>
      <c r="I35"/>
      <c r="J35"/>
    </row>
    <row r="36" spans="3:10" x14ac:dyDescent="0.25">
      <c r="C36"/>
      <c r="D36"/>
      <c r="E36"/>
      <c r="F36"/>
      <c r="G36"/>
      <c r="H36"/>
      <c r="I36"/>
      <c r="J36"/>
    </row>
    <row r="37" spans="3:10" x14ac:dyDescent="0.25">
      <c r="C37"/>
      <c r="D37"/>
      <c r="E37"/>
      <c r="F37"/>
      <c r="G37"/>
      <c r="H37"/>
      <c r="I37"/>
      <c r="J37"/>
    </row>
    <row r="38" spans="3:10" x14ac:dyDescent="0.25">
      <c r="C38"/>
      <c r="D38"/>
      <c r="E38"/>
      <c r="F38"/>
      <c r="G38"/>
      <c r="H38"/>
      <c r="I38"/>
      <c r="J38"/>
    </row>
    <row r="39" spans="3:10" x14ac:dyDescent="0.25">
      <c r="C39"/>
      <c r="D39"/>
      <c r="E39"/>
      <c r="F39"/>
      <c r="G39"/>
      <c r="H39"/>
      <c r="I39"/>
      <c r="J39"/>
    </row>
    <row r="40" spans="3:10" x14ac:dyDescent="0.25">
      <c r="C40"/>
      <c r="D40"/>
      <c r="E40"/>
      <c r="F40"/>
      <c r="G40"/>
      <c r="H40"/>
      <c r="I40"/>
      <c r="J40"/>
    </row>
    <row r="41" spans="3:10" x14ac:dyDescent="0.25">
      <c r="C41"/>
      <c r="D41"/>
      <c r="E41"/>
      <c r="F41"/>
      <c r="G41"/>
      <c r="H41"/>
      <c r="I41"/>
      <c r="J41"/>
    </row>
    <row r="42" spans="3:10" x14ac:dyDescent="0.25">
      <c r="C42"/>
      <c r="D42"/>
      <c r="E42"/>
      <c r="F42"/>
      <c r="G42"/>
      <c r="H42"/>
      <c r="I42"/>
      <c r="J42"/>
    </row>
    <row r="43" spans="3:10" x14ac:dyDescent="0.25">
      <c r="C43"/>
      <c r="D43"/>
      <c r="E43"/>
      <c r="F43"/>
      <c r="G43"/>
      <c r="H43"/>
      <c r="I43"/>
      <c r="J43"/>
    </row>
    <row r="44" spans="3:10" x14ac:dyDescent="0.25">
      <c r="C44"/>
      <c r="D44"/>
      <c r="E44"/>
      <c r="F44"/>
      <c r="G44"/>
      <c r="H44"/>
      <c r="I44"/>
      <c r="J44"/>
    </row>
    <row r="45" spans="3:10" x14ac:dyDescent="0.25">
      <c r="C45"/>
      <c r="D45"/>
      <c r="E45"/>
      <c r="F45"/>
      <c r="G45"/>
      <c r="H45"/>
      <c r="I45"/>
      <c r="J45"/>
    </row>
    <row r="46" spans="3:10" x14ac:dyDescent="0.25">
      <c r="C46"/>
      <c r="D46"/>
      <c r="E46"/>
      <c r="F46"/>
      <c r="G46"/>
      <c r="H46"/>
      <c r="I46"/>
      <c r="J46"/>
    </row>
    <row r="47" spans="3:10" x14ac:dyDescent="0.25">
      <c r="C47"/>
      <c r="D47"/>
      <c r="E47"/>
      <c r="F47"/>
      <c r="G47"/>
      <c r="H47"/>
      <c r="I47"/>
      <c r="J47"/>
    </row>
    <row r="48" spans="3:10" x14ac:dyDescent="0.25">
      <c r="C48"/>
      <c r="D48"/>
      <c r="E48"/>
      <c r="F48"/>
      <c r="G48"/>
      <c r="H48"/>
      <c r="I48"/>
      <c r="J48"/>
    </row>
    <row r="49" spans="3:10" x14ac:dyDescent="0.25">
      <c r="C49"/>
      <c r="D49"/>
      <c r="E49"/>
      <c r="F49"/>
      <c r="G49"/>
      <c r="H49"/>
      <c r="I49"/>
      <c r="J49"/>
    </row>
    <row r="50" spans="3:10" x14ac:dyDescent="0.25">
      <c r="C50"/>
      <c r="D50"/>
      <c r="E50"/>
      <c r="F50"/>
      <c r="G50"/>
      <c r="H50"/>
      <c r="I50"/>
      <c r="J50"/>
    </row>
    <row r="51" spans="3:10" x14ac:dyDescent="0.25">
      <c r="C51"/>
      <c r="D51"/>
      <c r="E51"/>
      <c r="F51"/>
      <c r="G51"/>
      <c r="H51"/>
      <c r="I51"/>
      <c r="J51"/>
    </row>
    <row r="52" spans="3:10" x14ac:dyDescent="0.25">
      <c r="C52"/>
      <c r="D52"/>
      <c r="E52"/>
      <c r="F52"/>
      <c r="G52"/>
      <c r="H52"/>
      <c r="I52"/>
      <c r="J52"/>
    </row>
    <row r="53" spans="3:10" x14ac:dyDescent="0.25">
      <c r="C53"/>
      <c r="D53"/>
      <c r="E53"/>
      <c r="F53"/>
      <c r="G53"/>
      <c r="H53"/>
      <c r="I53"/>
      <c r="J53"/>
    </row>
    <row r="54" spans="3:10" x14ac:dyDescent="0.25">
      <c r="C54"/>
      <c r="D54"/>
      <c r="E54"/>
      <c r="F54"/>
      <c r="G54"/>
      <c r="H54"/>
      <c r="I54"/>
      <c r="J54"/>
    </row>
    <row r="55" spans="3:10" x14ac:dyDescent="0.25">
      <c r="C55"/>
      <c r="D55"/>
      <c r="E55"/>
      <c r="F55"/>
      <c r="G55"/>
      <c r="H55"/>
      <c r="I55"/>
      <c r="J55"/>
    </row>
    <row r="56" spans="3:10" x14ac:dyDescent="0.25">
      <c r="C56"/>
      <c r="D56"/>
      <c r="E56"/>
      <c r="F56"/>
      <c r="G56"/>
      <c r="H56"/>
      <c r="I56"/>
      <c r="J56"/>
    </row>
    <row r="57" spans="3:10" x14ac:dyDescent="0.25">
      <c r="C57"/>
      <c r="D57"/>
      <c r="E57"/>
      <c r="F57"/>
      <c r="G57"/>
      <c r="H57"/>
      <c r="I57"/>
      <c r="J57"/>
    </row>
    <row r="58" spans="3:10" x14ac:dyDescent="0.25">
      <c r="C58"/>
      <c r="D58"/>
      <c r="E58"/>
      <c r="F58"/>
      <c r="G58"/>
      <c r="H58"/>
      <c r="I58"/>
      <c r="J58"/>
    </row>
    <row r="59" spans="3:10" x14ac:dyDescent="0.25">
      <c r="C59"/>
      <c r="D59"/>
      <c r="E59"/>
      <c r="F59"/>
      <c r="G59"/>
      <c r="H59"/>
      <c r="I59"/>
      <c r="J59"/>
    </row>
    <row r="60" spans="3:10" x14ac:dyDescent="0.25">
      <c r="C60"/>
      <c r="D60"/>
      <c r="E60"/>
      <c r="F60"/>
      <c r="G60"/>
      <c r="H60"/>
      <c r="I60"/>
      <c r="J60"/>
    </row>
    <row r="61" spans="3:10" x14ac:dyDescent="0.25">
      <c r="C61"/>
      <c r="D61"/>
      <c r="E61"/>
      <c r="F61"/>
      <c r="G61"/>
      <c r="H61"/>
      <c r="I61"/>
      <c r="J61"/>
    </row>
    <row r="62" spans="3:10" x14ac:dyDescent="0.25">
      <c r="C62"/>
      <c r="D62"/>
      <c r="E62"/>
      <c r="F62"/>
      <c r="G62"/>
      <c r="H62"/>
      <c r="I62"/>
      <c r="J62"/>
    </row>
    <row r="63" spans="3:10" x14ac:dyDescent="0.25">
      <c r="C63"/>
      <c r="D63"/>
      <c r="E63"/>
      <c r="F63"/>
      <c r="G63"/>
      <c r="H63"/>
      <c r="I63"/>
      <c r="J63"/>
    </row>
    <row r="64" spans="3:10" x14ac:dyDescent="0.25">
      <c r="C64"/>
      <c r="D64"/>
      <c r="E64"/>
      <c r="F64"/>
      <c r="G64"/>
      <c r="H64"/>
      <c r="I64"/>
      <c r="J64"/>
    </row>
    <row r="65" spans="3:10" x14ac:dyDescent="0.25">
      <c r="C65"/>
      <c r="D65"/>
      <c r="E65"/>
      <c r="F65"/>
      <c r="G65"/>
      <c r="H65"/>
      <c r="I65"/>
      <c r="J65"/>
    </row>
    <row r="66" spans="3:10" x14ac:dyDescent="0.25">
      <c r="C66"/>
      <c r="D66"/>
      <c r="E66"/>
      <c r="F66"/>
      <c r="G66"/>
      <c r="H66"/>
      <c r="I66"/>
      <c r="J66"/>
    </row>
    <row r="67" spans="3:10" x14ac:dyDescent="0.25">
      <c r="C67"/>
      <c r="D67"/>
      <c r="E67"/>
      <c r="F67"/>
      <c r="G67"/>
      <c r="H67"/>
      <c r="I67"/>
      <c r="J67"/>
    </row>
    <row r="68" spans="3:10" x14ac:dyDescent="0.25">
      <c r="C68"/>
      <c r="D68"/>
      <c r="E68"/>
      <c r="F68"/>
      <c r="G68"/>
      <c r="H68"/>
      <c r="I68"/>
      <c r="J68"/>
    </row>
    <row r="69" spans="3:10" x14ac:dyDescent="0.25">
      <c r="C69"/>
      <c r="D69"/>
      <c r="E69"/>
      <c r="F69"/>
      <c r="G69"/>
      <c r="H69"/>
      <c r="I69"/>
      <c r="J69"/>
    </row>
    <row r="70" spans="3:10" x14ac:dyDescent="0.25">
      <c r="C70"/>
      <c r="D70"/>
      <c r="E70"/>
      <c r="F70"/>
      <c r="G70"/>
      <c r="H70"/>
      <c r="I70"/>
      <c r="J70"/>
    </row>
    <row r="71" spans="3:10" x14ac:dyDescent="0.25">
      <c r="C71"/>
      <c r="D71"/>
      <c r="E71"/>
      <c r="F71"/>
      <c r="G71"/>
      <c r="H71"/>
      <c r="I71"/>
      <c r="J71"/>
    </row>
    <row r="72" spans="3:10" x14ac:dyDescent="0.25">
      <c r="C72"/>
      <c r="D72"/>
      <c r="E72"/>
      <c r="F72"/>
      <c r="G72"/>
      <c r="H72"/>
      <c r="I72"/>
      <c r="J72"/>
    </row>
    <row r="73" spans="3:10" x14ac:dyDescent="0.25">
      <c r="C73"/>
      <c r="D73"/>
      <c r="E73"/>
      <c r="F73"/>
      <c r="G73"/>
      <c r="H73"/>
      <c r="I73"/>
      <c r="J73"/>
    </row>
    <row r="74" spans="3:10" x14ac:dyDescent="0.25">
      <c r="C74"/>
      <c r="D74"/>
      <c r="E74"/>
      <c r="F74"/>
      <c r="G74"/>
      <c r="H74"/>
      <c r="I74"/>
      <c r="J74"/>
    </row>
    <row r="75" spans="3:10" x14ac:dyDescent="0.25">
      <c r="C75"/>
      <c r="D75"/>
      <c r="E75"/>
      <c r="F75"/>
      <c r="G75"/>
      <c r="H75"/>
      <c r="I75"/>
      <c r="J75"/>
    </row>
    <row r="76" spans="3:10" x14ac:dyDescent="0.25">
      <c r="C76"/>
      <c r="D76"/>
      <c r="E76"/>
      <c r="F76"/>
      <c r="G76"/>
      <c r="H76"/>
      <c r="I76"/>
      <c r="J76"/>
    </row>
    <row r="77" spans="3:10" x14ac:dyDescent="0.25">
      <c r="C77"/>
      <c r="D77"/>
      <c r="E77"/>
      <c r="F77"/>
      <c r="G77"/>
      <c r="H77"/>
      <c r="I77"/>
      <c r="J77"/>
    </row>
    <row r="78" spans="3:10" x14ac:dyDescent="0.25">
      <c r="C78"/>
      <c r="D78"/>
      <c r="E78"/>
      <c r="F78"/>
      <c r="G78"/>
      <c r="H78"/>
      <c r="I78"/>
      <c r="J78"/>
    </row>
    <row r="79" spans="3:10" x14ac:dyDescent="0.25">
      <c r="C79"/>
      <c r="D79"/>
      <c r="E79"/>
      <c r="F79"/>
      <c r="G79"/>
      <c r="H79"/>
      <c r="I79"/>
      <c r="J79"/>
    </row>
    <row r="80" spans="3:10" x14ac:dyDescent="0.25">
      <c r="C80"/>
      <c r="D80"/>
      <c r="E80"/>
      <c r="F80"/>
      <c r="G80"/>
      <c r="H80"/>
      <c r="I80"/>
      <c r="J80"/>
    </row>
    <row r="81" spans="3:10" x14ac:dyDescent="0.25">
      <c r="C81"/>
      <c r="D81"/>
      <c r="E81"/>
      <c r="F81"/>
      <c r="G81"/>
      <c r="H81"/>
      <c r="I81"/>
      <c r="J81"/>
    </row>
    <row r="82" spans="3:10" x14ac:dyDescent="0.25">
      <c r="C82"/>
      <c r="D82"/>
      <c r="E82"/>
      <c r="F82"/>
      <c r="G82"/>
      <c r="H82"/>
      <c r="I82"/>
      <c r="J82"/>
    </row>
    <row r="83" spans="3:10" x14ac:dyDescent="0.25">
      <c r="C83"/>
      <c r="D83"/>
      <c r="E83"/>
      <c r="F83"/>
      <c r="G83"/>
      <c r="H83"/>
      <c r="I83"/>
      <c r="J83"/>
    </row>
    <row r="84" spans="3:10" x14ac:dyDescent="0.25">
      <c r="C84"/>
      <c r="D84"/>
      <c r="E84"/>
      <c r="F84"/>
      <c r="G84"/>
      <c r="H84"/>
      <c r="I84"/>
      <c r="J84"/>
    </row>
    <row r="85" spans="3:10" x14ac:dyDescent="0.25">
      <c r="C85"/>
      <c r="D85"/>
      <c r="E85"/>
      <c r="F85"/>
      <c r="G85"/>
      <c r="H85"/>
      <c r="I85"/>
      <c r="J85"/>
    </row>
    <row r="86" spans="3:10" x14ac:dyDescent="0.25">
      <c r="C86"/>
      <c r="D86"/>
      <c r="E86"/>
      <c r="F86"/>
      <c r="G86"/>
      <c r="H86"/>
      <c r="I86"/>
      <c r="J86"/>
    </row>
    <row r="87" spans="3:10" x14ac:dyDescent="0.25">
      <c r="C87"/>
      <c r="D87"/>
      <c r="E87"/>
      <c r="F87"/>
      <c r="G87"/>
      <c r="H87"/>
      <c r="I87"/>
      <c r="J87"/>
    </row>
    <row r="88" spans="3:10" x14ac:dyDescent="0.25">
      <c r="C88"/>
      <c r="D88"/>
      <c r="E88"/>
      <c r="F88"/>
      <c r="G88"/>
      <c r="H88"/>
      <c r="I88"/>
      <c r="J88"/>
    </row>
    <row r="89" spans="3:10" x14ac:dyDescent="0.25">
      <c r="C89"/>
      <c r="D89"/>
      <c r="E89"/>
      <c r="F89"/>
      <c r="G89"/>
      <c r="H89"/>
      <c r="I89"/>
      <c r="J89"/>
    </row>
    <row r="90" spans="3:10" x14ac:dyDescent="0.25">
      <c r="C90"/>
      <c r="D90"/>
      <c r="E90"/>
      <c r="F90"/>
      <c r="G90"/>
      <c r="H90"/>
      <c r="I90"/>
      <c r="J90"/>
    </row>
    <row r="91" spans="3:10" x14ac:dyDescent="0.25">
      <c r="C91"/>
      <c r="D91"/>
      <c r="E91"/>
      <c r="F91"/>
      <c r="G91"/>
      <c r="H91"/>
      <c r="I91"/>
      <c r="J91"/>
    </row>
    <row r="92" spans="3:10" x14ac:dyDescent="0.25">
      <c r="C92"/>
      <c r="D92"/>
      <c r="E92"/>
      <c r="F92"/>
      <c r="G92"/>
      <c r="H92"/>
      <c r="I92"/>
      <c r="J92"/>
    </row>
    <row r="93" spans="3:10" x14ac:dyDescent="0.25">
      <c r="C93"/>
      <c r="D93"/>
      <c r="E93"/>
      <c r="F93"/>
      <c r="G93"/>
      <c r="H93"/>
      <c r="I93"/>
      <c r="J93"/>
    </row>
    <row r="94" spans="3:10" x14ac:dyDescent="0.25">
      <c r="C94"/>
      <c r="D94"/>
      <c r="E94"/>
      <c r="F94"/>
      <c r="G94"/>
      <c r="H94"/>
      <c r="I94"/>
      <c r="J94"/>
    </row>
    <row r="95" spans="3:10" x14ac:dyDescent="0.25">
      <c r="C95"/>
      <c r="D95"/>
      <c r="E95"/>
      <c r="F95"/>
      <c r="G95"/>
      <c r="H95"/>
      <c r="I95"/>
      <c r="J95"/>
    </row>
    <row r="96" spans="3:10" x14ac:dyDescent="0.25">
      <c r="C96"/>
      <c r="D96"/>
      <c r="E96"/>
      <c r="F96"/>
      <c r="G96"/>
      <c r="H96"/>
      <c r="I96"/>
      <c r="J96"/>
    </row>
    <row r="97" spans="3:10" x14ac:dyDescent="0.25">
      <c r="C97"/>
      <c r="D97"/>
      <c r="E97"/>
      <c r="F97"/>
      <c r="G97"/>
      <c r="H97"/>
      <c r="I97"/>
      <c r="J97"/>
    </row>
    <row r="98" spans="3:10" x14ac:dyDescent="0.25">
      <c r="C98"/>
      <c r="D98"/>
      <c r="E98"/>
      <c r="F98"/>
      <c r="G98"/>
      <c r="H98"/>
      <c r="I98"/>
      <c r="J98"/>
    </row>
    <row r="99" spans="3:10" x14ac:dyDescent="0.25">
      <c r="C99"/>
      <c r="D99"/>
      <c r="E99"/>
      <c r="F99"/>
      <c r="G99"/>
      <c r="H99"/>
      <c r="I99"/>
      <c r="J99"/>
    </row>
    <row r="100" spans="3:10" x14ac:dyDescent="0.25">
      <c r="C100"/>
      <c r="D100"/>
      <c r="E100"/>
      <c r="F100"/>
      <c r="G100"/>
      <c r="H100"/>
      <c r="I100"/>
      <c r="J100"/>
    </row>
    <row r="101" spans="3:10" x14ac:dyDescent="0.25">
      <c r="C101"/>
      <c r="D101" s="18"/>
      <c r="E101"/>
      <c r="F101"/>
      <c r="G101"/>
      <c r="H101"/>
      <c r="I101"/>
      <c r="J101"/>
    </row>
    <row r="102" spans="3:10" x14ac:dyDescent="0.25">
      <c r="C102"/>
      <c r="D102" s="18"/>
      <c r="E102"/>
      <c r="F102"/>
      <c r="G102"/>
      <c r="H102"/>
      <c r="I102"/>
      <c r="J102"/>
    </row>
    <row r="103" spans="3:10" x14ac:dyDescent="0.25">
      <c r="C103"/>
      <c r="D103" s="18"/>
      <c r="E103"/>
      <c r="F103"/>
      <c r="G103"/>
      <c r="H103"/>
      <c r="I103"/>
      <c r="J103"/>
    </row>
    <row r="104" spans="3:10" x14ac:dyDescent="0.25">
      <c r="C104"/>
      <c r="D104" s="18"/>
      <c r="E104"/>
      <c r="F104"/>
      <c r="G104"/>
      <c r="H104"/>
      <c r="I104"/>
      <c r="J104"/>
    </row>
    <row r="105" spans="3:10" x14ac:dyDescent="0.25">
      <c r="C105"/>
      <c r="D105" s="18"/>
      <c r="E105"/>
      <c r="F105"/>
      <c r="G105"/>
      <c r="H105"/>
      <c r="I105"/>
      <c r="J105"/>
    </row>
    <row r="106" spans="3:10" x14ac:dyDescent="0.25">
      <c r="C106"/>
      <c r="D106" s="18"/>
      <c r="E106"/>
      <c r="F106"/>
      <c r="G106"/>
      <c r="H106"/>
      <c r="I106"/>
      <c r="J106"/>
    </row>
    <row r="107" spans="3:10" x14ac:dyDescent="0.25">
      <c r="C107"/>
      <c r="D107" s="18"/>
      <c r="E107"/>
      <c r="F107"/>
      <c r="G107"/>
      <c r="H107"/>
      <c r="I107"/>
      <c r="J107"/>
    </row>
    <row r="108" spans="3:10" x14ac:dyDescent="0.25">
      <c r="C108"/>
    </row>
    <row r="109" spans="3:10" x14ac:dyDescent="0.25">
      <c r="C109"/>
    </row>
    <row r="110" spans="3:10" x14ac:dyDescent="0.25">
      <c r="C110"/>
    </row>
    <row r="114" spans="3:3" x14ac:dyDescent="0.25">
      <c r="C114"/>
    </row>
    <row r="115" spans="3:3" x14ac:dyDescent="0.25">
      <c r="C115"/>
    </row>
    <row r="116" spans="3:3" x14ac:dyDescent="0.25">
      <c r="C116"/>
    </row>
  </sheetData>
  <conditionalFormatting sqref="D108:E1048576 D3:E4">
    <cfRule type="duplicateValues" dxfId="7" priority="8"/>
  </conditionalFormatting>
  <conditionalFormatting sqref="C1:C1048576">
    <cfRule type="duplicateValues" dxfId="6" priority="5"/>
    <cfRule type="duplicateValues" dxfId="5" priority="6"/>
    <cfRule type="duplicateValues" dxfId="4" priority="7"/>
  </conditionalFormatting>
  <conditionalFormatting sqref="F5:F24">
    <cfRule type="cellIs" dxfId="3" priority="1" operator="equal">
      <formula>FALSE</formula>
    </cfRule>
    <cfRule type="cellIs" dxfId="2" priority="2" operator="equal">
      <formula>"&lt;&gt;TRUE"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A6741-A420-4080-BF99-8483BA9B81CE}">
  <sheetPr codeName="Sheet4"/>
  <dimension ref="A1:L232"/>
  <sheetViews>
    <sheetView workbookViewId="0">
      <selection activeCell="C24" sqref="C4:C146"/>
      <pivotSelection pane="bottomRight" showHeader="1" axis="axisRow" activeRow="23" activeCol="2" previousRow="23" previousCol="2" click="1" r:id="rId1">
        <pivotArea dataOnly="0" labelOnly="1" outline="0" fieldPosition="0">
          <references count="1">
            <reference field="2" count="0"/>
          </references>
        </pivotArea>
      </pivotSelection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0.7109375" style="17" bestFit="1" customWidth="1"/>
    <col min="5" max="5" width="12.140625" style="4" customWidth="1"/>
    <col min="6" max="6" width="14.28515625" style="4" customWidth="1"/>
    <col min="7" max="9" width="10.7109375" style="4" customWidth="1"/>
    <col min="10" max="25" width="10.7109375" customWidth="1"/>
    <col min="34" max="34" width="12" bestFit="1" customWidth="1"/>
  </cols>
  <sheetData>
    <row r="1" spans="1:12" ht="20.25" customHeight="1" x14ac:dyDescent="0.25"/>
    <row r="2" spans="1:12" hidden="1" x14ac:dyDescent="0.25">
      <c r="C2" s="4" t="s">
        <v>6</v>
      </c>
      <c r="D2" s="4"/>
      <c r="E2" s="4" t="s">
        <v>2</v>
      </c>
      <c r="J2" s="4"/>
      <c r="K2" s="4"/>
      <c r="L2" s="4"/>
    </row>
    <row r="3" spans="1:12" x14ac:dyDescent="0.25">
      <c r="A3" s="3" t="s">
        <v>8</v>
      </c>
      <c r="B3" s="3" t="s">
        <v>9</v>
      </c>
      <c r="C3" s="20" t="s">
        <v>0</v>
      </c>
      <c r="D3" s="4" t="s">
        <v>3</v>
      </c>
      <c r="E3" s="20" t="s">
        <v>7</v>
      </c>
      <c r="F3" s="14">
        <v>444</v>
      </c>
      <c r="G3" s="14">
        <v>443</v>
      </c>
      <c r="H3" s="14">
        <v>445</v>
      </c>
      <c r="I3" s="14">
        <v>452</v>
      </c>
      <c r="J3" s="14">
        <v>449</v>
      </c>
      <c r="K3" s="14">
        <v>426000</v>
      </c>
      <c r="L3" s="14" t="s">
        <v>4</v>
      </c>
    </row>
    <row r="4" spans="1:12" x14ac:dyDescent="0.25">
      <c r="A4" s="2">
        <f ca="1">_xlfn.IFNA(VLOOKUP(C4,WebocBalance!$A$3:$B$121,2,0),"NA")</f>
        <v>122</v>
      </c>
      <c r="B4" s="11">
        <f ca="1">A4-(LOOKUP(2,1/(E4:XFD4&lt;&gt;""),E4:XFD4))</f>
        <v>64</v>
      </c>
      <c r="C4" s="4" t="s">
        <v>49</v>
      </c>
      <c r="D4" s="17">
        <v>3204.172</v>
      </c>
      <c r="E4" s="15">
        <v>58</v>
      </c>
      <c r="F4" s="15"/>
      <c r="G4" s="15"/>
      <c r="H4" s="15"/>
      <c r="I4" s="15"/>
      <c r="J4" s="15"/>
      <c r="K4" s="15"/>
      <c r="L4" s="15">
        <v>58</v>
      </c>
    </row>
    <row r="5" spans="1:12" x14ac:dyDescent="0.25">
      <c r="A5" s="2">
        <f ca="1">_xlfn.IFNA(VLOOKUP(C5,WebocBalance!$A$3:$B$121,2,0),"NA")</f>
        <v>11</v>
      </c>
      <c r="B5" s="11">
        <f t="shared" ref="B5:B68" ca="1" si="0">A5-(LOOKUP(2,1/(E5:XFD5&lt;&gt;""),E5:XFD5))</f>
        <v>0</v>
      </c>
      <c r="C5" s="4" t="s">
        <v>88</v>
      </c>
      <c r="D5" s="17">
        <v>5206.12</v>
      </c>
      <c r="E5" s="15">
        <v>11</v>
      </c>
      <c r="F5" s="15"/>
      <c r="G5" s="15"/>
      <c r="H5" s="15"/>
      <c r="I5" s="15"/>
      <c r="J5" s="15"/>
      <c r="K5" s="15"/>
      <c r="L5" s="15">
        <v>11</v>
      </c>
    </row>
    <row r="6" spans="1:12" x14ac:dyDescent="0.25">
      <c r="A6" s="2">
        <f ca="1">_xlfn.IFNA(VLOOKUP(C6,WebocBalance!$A$3:$B$121,2,0),"NA")</f>
        <v>3988</v>
      </c>
      <c r="B6" s="11">
        <f t="shared" ca="1" si="0"/>
        <v>0</v>
      </c>
      <c r="C6" s="4" t="s">
        <v>92</v>
      </c>
      <c r="D6" s="17">
        <v>5206.12</v>
      </c>
      <c r="E6" s="15">
        <v>3988</v>
      </c>
      <c r="F6" s="15"/>
      <c r="G6" s="15"/>
      <c r="H6" s="15"/>
      <c r="I6" s="15"/>
      <c r="J6" s="15"/>
      <c r="K6" s="15"/>
      <c r="L6" s="15">
        <v>3988</v>
      </c>
    </row>
    <row r="7" spans="1:12" x14ac:dyDescent="0.25">
      <c r="A7" s="2">
        <f ca="1">_xlfn.IFNA(VLOOKUP(C7,WebocBalance!$A$3:$B$121,2,0),"NA")</f>
        <v>28</v>
      </c>
      <c r="B7" s="11">
        <f t="shared" ca="1" si="0"/>
        <v>0</v>
      </c>
      <c r="C7" s="4" t="s">
        <v>63</v>
      </c>
      <c r="D7" s="17">
        <v>3809.9110000000001</v>
      </c>
      <c r="E7" s="15"/>
      <c r="F7" s="15"/>
      <c r="G7" s="15"/>
      <c r="H7" s="15"/>
      <c r="I7" s="15">
        <v>28</v>
      </c>
      <c r="J7" s="15"/>
      <c r="K7" s="15"/>
      <c r="L7" s="15">
        <v>28</v>
      </c>
    </row>
    <row r="8" spans="1:12" x14ac:dyDescent="0.25">
      <c r="A8" s="2">
        <f ca="1">_xlfn.IFNA(VLOOKUP(C8,WebocBalance!$A$3:$B$121,2,0),"NA")</f>
        <v>272</v>
      </c>
      <c r="B8" s="11">
        <f t="shared" ca="1" si="0"/>
        <v>0</v>
      </c>
      <c r="C8" s="4" t="s">
        <v>30</v>
      </c>
      <c r="D8" s="17">
        <v>5205.1099999999997</v>
      </c>
      <c r="E8" s="15">
        <v>272</v>
      </c>
      <c r="F8" s="15"/>
      <c r="G8" s="15"/>
      <c r="H8" s="15"/>
      <c r="I8" s="15"/>
      <c r="J8" s="15"/>
      <c r="K8" s="15"/>
      <c r="L8" s="15">
        <v>272</v>
      </c>
    </row>
    <row r="9" spans="1:12" x14ac:dyDescent="0.25">
      <c r="A9" s="2">
        <f ca="1">_xlfn.IFNA(VLOOKUP(C9,WebocBalance!$A$3:$B$121,2,0),"NA")</f>
        <v>5</v>
      </c>
      <c r="B9" s="11">
        <f t="shared" ca="1" si="0"/>
        <v>0</v>
      </c>
      <c r="C9" s="4" t="s">
        <v>48</v>
      </c>
      <c r="D9" s="17">
        <v>3402.9</v>
      </c>
      <c r="E9" s="15">
        <v>5</v>
      </c>
      <c r="F9" s="15"/>
      <c r="G9" s="15"/>
      <c r="H9" s="15"/>
      <c r="I9" s="15"/>
      <c r="J9" s="15"/>
      <c r="K9" s="15"/>
      <c r="L9" s="15">
        <v>5</v>
      </c>
    </row>
    <row r="10" spans="1:12" x14ac:dyDescent="0.25">
      <c r="A10" s="2">
        <f ca="1">_xlfn.IFNA(VLOOKUP(C10,WebocBalance!$A$3:$B$121,2,0),"NA")</f>
        <v>19120</v>
      </c>
      <c r="B10" s="11">
        <f t="shared" ca="1" si="0"/>
        <v>-1493</v>
      </c>
      <c r="C10" s="4" t="s">
        <v>73</v>
      </c>
      <c r="D10" s="17">
        <v>2501.009</v>
      </c>
      <c r="E10" s="15">
        <v>19108</v>
      </c>
      <c r="F10" s="15">
        <v>361.00000000000006</v>
      </c>
      <c r="G10" s="15">
        <v>109</v>
      </c>
      <c r="H10" s="15"/>
      <c r="I10" s="15"/>
      <c r="J10" s="15">
        <v>447</v>
      </c>
      <c r="K10" s="15">
        <v>588</v>
      </c>
      <c r="L10" s="15">
        <v>20613</v>
      </c>
    </row>
    <row r="11" spans="1:12" x14ac:dyDescent="0.25">
      <c r="A11" s="2">
        <f ca="1">_xlfn.IFNA(VLOOKUP(C11,WebocBalance!$A$3:$B$121,2,0),"NA")</f>
        <v>155</v>
      </c>
      <c r="B11" s="11">
        <f t="shared" ca="1" si="0"/>
        <v>0</v>
      </c>
      <c r="C11" s="4" t="s">
        <v>67</v>
      </c>
      <c r="D11" s="17">
        <v>3402.4189999999999</v>
      </c>
      <c r="E11" s="15">
        <v>155</v>
      </c>
      <c r="F11" s="15"/>
      <c r="G11" s="15"/>
      <c r="H11" s="15"/>
      <c r="I11" s="15"/>
      <c r="J11" s="15"/>
      <c r="K11" s="15"/>
      <c r="L11" s="15">
        <v>155</v>
      </c>
    </row>
    <row r="12" spans="1:12" x14ac:dyDescent="0.25">
      <c r="A12" s="2">
        <f ca="1">_xlfn.IFNA(VLOOKUP(C12,WebocBalance!$A$3:$B$121,2,0),"NA")</f>
        <v>26</v>
      </c>
      <c r="B12" s="11">
        <f t="shared" ca="1" si="0"/>
        <v>0</v>
      </c>
      <c r="C12" s="4" t="s">
        <v>71</v>
      </c>
      <c r="D12" s="17">
        <v>2904.2089999999998</v>
      </c>
      <c r="E12" s="15">
        <v>26</v>
      </c>
      <c r="F12" s="15"/>
      <c r="G12" s="15"/>
      <c r="H12" s="15"/>
      <c r="I12" s="15"/>
      <c r="J12" s="15"/>
      <c r="K12" s="15"/>
      <c r="L12" s="15">
        <v>26</v>
      </c>
    </row>
    <row r="13" spans="1:12" x14ac:dyDescent="0.25">
      <c r="A13" s="2">
        <f ca="1">_xlfn.IFNA(VLOOKUP(C13,WebocBalance!$A$3:$B$121,2,0),"NA")</f>
        <v>94</v>
      </c>
      <c r="B13" s="11">
        <f t="shared" ca="1" si="0"/>
        <v>0</v>
      </c>
      <c r="C13" s="4" t="s">
        <v>43</v>
      </c>
      <c r="D13" s="17">
        <v>5205.12</v>
      </c>
      <c r="E13" s="15">
        <v>94</v>
      </c>
      <c r="F13" s="15"/>
      <c r="G13" s="15"/>
      <c r="H13" s="15"/>
      <c r="I13" s="15"/>
      <c r="J13" s="15"/>
      <c r="K13" s="15"/>
      <c r="L13" s="15">
        <v>94</v>
      </c>
    </row>
    <row r="14" spans="1:12" x14ac:dyDescent="0.25">
      <c r="A14" s="2">
        <f ca="1">_xlfn.IFNA(VLOOKUP(C14,WebocBalance!$A$3:$B$121,2,0),"NA")</f>
        <v>10000</v>
      </c>
      <c r="B14" s="11">
        <f t="shared" ca="1" si="0"/>
        <v>0</v>
      </c>
      <c r="C14" s="4" t="s">
        <v>98</v>
      </c>
      <c r="D14" s="17">
        <v>5208.1099999999997</v>
      </c>
      <c r="E14" s="15">
        <v>10000</v>
      </c>
      <c r="F14" s="15"/>
      <c r="G14" s="15"/>
      <c r="H14" s="15"/>
      <c r="I14" s="15"/>
      <c r="J14" s="15"/>
      <c r="K14" s="15"/>
      <c r="L14" s="15">
        <v>10000</v>
      </c>
    </row>
    <row r="15" spans="1:12" x14ac:dyDescent="0.25">
      <c r="A15" s="2">
        <f ca="1">_xlfn.IFNA(VLOOKUP(C15,WebocBalance!$A$3:$B$121,2,0),"NA")</f>
        <v>2400</v>
      </c>
      <c r="B15" s="11">
        <f t="shared" ca="1" si="0"/>
        <v>0</v>
      </c>
      <c r="C15" s="4" t="s">
        <v>97</v>
      </c>
      <c r="D15" s="17">
        <v>5505.1</v>
      </c>
      <c r="E15" s="15">
        <v>2400</v>
      </c>
      <c r="F15" s="15"/>
      <c r="G15" s="15"/>
      <c r="H15" s="15"/>
      <c r="I15" s="15"/>
      <c r="J15" s="15"/>
      <c r="K15" s="15"/>
      <c r="L15" s="15">
        <v>2400</v>
      </c>
    </row>
    <row r="16" spans="1:12" x14ac:dyDescent="0.25">
      <c r="A16" s="2">
        <f ca="1">_xlfn.IFNA(VLOOKUP(C16,WebocBalance!$A$3:$B$121,2,0),"NA")</f>
        <v>575</v>
      </c>
      <c r="B16" s="11">
        <f t="shared" ca="1" si="0"/>
        <v>0</v>
      </c>
      <c r="C16" s="4" t="s">
        <v>102</v>
      </c>
      <c r="D16" s="17">
        <v>5505.1</v>
      </c>
      <c r="E16" s="15">
        <v>575</v>
      </c>
      <c r="F16" s="15"/>
      <c r="G16" s="15"/>
      <c r="H16" s="15"/>
      <c r="I16" s="15"/>
      <c r="J16" s="15"/>
      <c r="K16" s="15"/>
      <c r="L16" s="15">
        <v>575</v>
      </c>
    </row>
    <row r="17" spans="1:12" x14ac:dyDescent="0.25">
      <c r="A17" s="2">
        <f ca="1">_xlfn.IFNA(VLOOKUP(C17,WebocBalance!$A$3:$B$121,2,0),"NA")</f>
        <v>329</v>
      </c>
      <c r="B17" s="11">
        <f t="shared" ca="1" si="0"/>
        <v>0</v>
      </c>
      <c r="C17" s="4" t="s">
        <v>39</v>
      </c>
      <c r="D17" s="17">
        <v>5210.1099999999997</v>
      </c>
      <c r="E17" s="15">
        <v>329</v>
      </c>
      <c r="F17" s="15"/>
      <c r="G17" s="15"/>
      <c r="H17" s="15"/>
      <c r="I17" s="15"/>
      <c r="J17" s="15"/>
      <c r="K17" s="15"/>
      <c r="L17" s="15">
        <v>329</v>
      </c>
    </row>
    <row r="18" spans="1:12" x14ac:dyDescent="0.25">
      <c r="A18" s="2">
        <f ca="1">_xlfn.IFNA(VLOOKUP(C18,WebocBalance!$A$3:$B$121,2,0),"NA")</f>
        <v>3670</v>
      </c>
      <c r="B18" s="11">
        <f t="shared" ca="1" si="0"/>
        <v>0</v>
      </c>
      <c r="C18" s="4" t="s">
        <v>44</v>
      </c>
      <c r="D18" s="17">
        <v>5208.1899999999996</v>
      </c>
      <c r="E18" s="15">
        <v>3670</v>
      </c>
      <c r="F18" s="15"/>
      <c r="G18" s="15"/>
      <c r="H18" s="15"/>
      <c r="I18" s="15"/>
      <c r="J18" s="15"/>
      <c r="K18" s="15"/>
      <c r="L18" s="15">
        <v>3670</v>
      </c>
    </row>
    <row r="19" spans="1:12" x14ac:dyDescent="0.25">
      <c r="A19" s="2">
        <f ca="1">_xlfn.IFNA(VLOOKUP(C19,WebocBalance!$A$3:$B$121,2,0),"NA")</f>
        <v>38885</v>
      </c>
      <c r="B19" s="11">
        <f t="shared" ca="1" si="0"/>
        <v>0</v>
      </c>
      <c r="C19" s="4" t="s">
        <v>77</v>
      </c>
      <c r="D19" s="17">
        <v>5201.009</v>
      </c>
      <c r="E19" s="15">
        <v>38885</v>
      </c>
      <c r="F19" s="15"/>
      <c r="G19" s="15"/>
      <c r="H19" s="15"/>
      <c r="I19" s="15"/>
      <c r="J19" s="15"/>
      <c r="K19" s="15"/>
      <c r="L19" s="15">
        <v>38885</v>
      </c>
    </row>
    <row r="20" spans="1:12" x14ac:dyDescent="0.25">
      <c r="A20" s="2">
        <f ca="1">_xlfn.IFNA(VLOOKUP(C20,WebocBalance!$A$3:$B$121,2,0),"NA")</f>
        <v>210</v>
      </c>
      <c r="B20" s="11">
        <f t="shared" ca="1" si="0"/>
        <v>0</v>
      </c>
      <c r="C20" s="4" t="s">
        <v>34</v>
      </c>
      <c r="D20" s="17">
        <v>5205.13</v>
      </c>
      <c r="E20" s="15">
        <v>210</v>
      </c>
      <c r="F20" s="15"/>
      <c r="G20" s="15"/>
      <c r="H20" s="15"/>
      <c r="I20" s="15"/>
      <c r="J20" s="15"/>
      <c r="K20" s="15"/>
      <c r="L20" s="15">
        <v>210</v>
      </c>
    </row>
    <row r="21" spans="1:12" x14ac:dyDescent="0.25">
      <c r="A21" s="2">
        <f ca="1">_xlfn.IFNA(VLOOKUP(C21,WebocBalance!$A$3:$B$121,2,0),"NA")</f>
        <v>6335</v>
      </c>
      <c r="B21" s="11">
        <f t="shared" ca="1" si="0"/>
        <v>-1660</v>
      </c>
      <c r="C21" s="4" t="s">
        <v>81</v>
      </c>
      <c r="D21" s="17">
        <v>2815.12</v>
      </c>
      <c r="E21" s="15">
        <v>5799</v>
      </c>
      <c r="F21" s="15">
        <v>361</v>
      </c>
      <c r="G21" s="15">
        <v>109</v>
      </c>
      <c r="H21" s="15">
        <v>524</v>
      </c>
      <c r="I21" s="15">
        <v>121</v>
      </c>
      <c r="J21" s="15">
        <v>493</v>
      </c>
      <c r="K21" s="15">
        <v>588</v>
      </c>
      <c r="L21" s="15">
        <v>7995</v>
      </c>
    </row>
    <row r="22" spans="1:12" x14ac:dyDescent="0.25">
      <c r="A22" s="2">
        <f ca="1">_xlfn.IFNA(VLOOKUP(C22,WebocBalance!$A$3:$B$121,2,0),"NA")</f>
        <v>416.08</v>
      </c>
      <c r="B22" s="11">
        <f t="shared" ca="1" si="0"/>
        <v>0</v>
      </c>
      <c r="C22" s="4" t="s">
        <v>36</v>
      </c>
      <c r="D22" s="17">
        <v>5210.1099999999997</v>
      </c>
      <c r="E22" s="15">
        <v>416.07999999999993</v>
      </c>
      <c r="F22" s="15"/>
      <c r="G22" s="15"/>
      <c r="H22" s="15"/>
      <c r="I22" s="15"/>
      <c r="J22" s="15"/>
      <c r="K22" s="15"/>
      <c r="L22" s="15">
        <v>416.07999999999993</v>
      </c>
    </row>
    <row r="23" spans="1:12" x14ac:dyDescent="0.25">
      <c r="A23" s="2">
        <f ca="1">_xlfn.IFNA(VLOOKUP(C23,WebocBalance!$A$3:$B$121,2,0),"NA")</f>
        <v>11668.24</v>
      </c>
      <c r="B23" s="11">
        <f t="shared" ca="1" si="0"/>
        <v>0</v>
      </c>
      <c r="C23" s="4" t="s">
        <v>42</v>
      </c>
      <c r="D23" s="17">
        <v>5205.12</v>
      </c>
      <c r="E23" s="15">
        <v>11668.24</v>
      </c>
      <c r="F23" s="15"/>
      <c r="G23" s="15"/>
      <c r="H23" s="15"/>
      <c r="I23" s="15"/>
      <c r="J23" s="15"/>
      <c r="K23" s="15"/>
      <c r="L23" s="15">
        <v>11668.24</v>
      </c>
    </row>
    <row r="24" spans="1:12" x14ac:dyDescent="0.25">
      <c r="A24" s="2">
        <f ca="1">_xlfn.IFNA(VLOOKUP(C24,WebocBalance!$A$3:$B$121,2,0),"NA")</f>
        <v>72.87</v>
      </c>
      <c r="B24" s="11">
        <f t="shared" ca="1" si="0"/>
        <v>0</v>
      </c>
      <c r="C24" s="4" t="s">
        <v>87</v>
      </c>
      <c r="D24" s="17">
        <v>3402.42</v>
      </c>
      <c r="E24" s="15">
        <v>44.870000000000005</v>
      </c>
      <c r="F24" s="15"/>
      <c r="G24" s="15"/>
      <c r="H24" s="15"/>
      <c r="I24" s="15">
        <v>28</v>
      </c>
      <c r="J24" s="15"/>
      <c r="K24" s="15"/>
      <c r="L24" s="15">
        <v>72.87</v>
      </c>
    </row>
    <row r="25" spans="1:12" x14ac:dyDescent="0.25">
      <c r="A25" s="2">
        <f ca="1">_xlfn.IFNA(VLOOKUP(C25,WebocBalance!$A$3:$B$121,2,0),"NA")</f>
        <v>561.17999999999995</v>
      </c>
      <c r="B25" s="11">
        <f t="shared" ca="1" si="0"/>
        <v>0</v>
      </c>
      <c r="C25" s="4" t="s">
        <v>80</v>
      </c>
      <c r="D25" s="17">
        <v>3707.1</v>
      </c>
      <c r="E25" s="15">
        <v>468.58</v>
      </c>
      <c r="F25" s="15"/>
      <c r="G25" s="15"/>
      <c r="H25" s="15"/>
      <c r="I25" s="15"/>
      <c r="J25" s="15">
        <v>92.6</v>
      </c>
      <c r="K25" s="15"/>
      <c r="L25" s="15">
        <v>561.17999999999995</v>
      </c>
    </row>
    <row r="26" spans="1:12" x14ac:dyDescent="0.25">
      <c r="A26" s="2">
        <f ca="1">_xlfn.IFNA(VLOOKUP(C26,WebocBalance!$A$3:$B$121,2,0),"NA")</f>
        <v>116.83</v>
      </c>
      <c r="B26" s="11">
        <f t="shared" ca="1" si="0"/>
        <v>8.3844042819691822E-13</v>
      </c>
      <c r="C26" s="4" t="s">
        <v>40</v>
      </c>
      <c r="D26" s="17">
        <v>3402.4189999999999</v>
      </c>
      <c r="E26" s="15">
        <v>116.82999999999916</v>
      </c>
      <c r="F26" s="15"/>
      <c r="G26" s="15"/>
      <c r="H26" s="15"/>
      <c r="I26" s="15"/>
      <c r="J26" s="15"/>
      <c r="K26" s="15"/>
      <c r="L26" s="15">
        <v>116.82999999999916</v>
      </c>
    </row>
    <row r="27" spans="1:12" x14ac:dyDescent="0.25">
      <c r="A27" s="2">
        <f ca="1">_xlfn.IFNA(VLOOKUP(C27,WebocBalance!$A$3:$B$121,2,0),"NA")</f>
        <v>1.1299999999999999</v>
      </c>
      <c r="B27" s="11">
        <f t="shared" ca="1" si="0"/>
        <v>-2.6645352591003757E-15</v>
      </c>
      <c r="C27" s="4" t="s">
        <v>33</v>
      </c>
      <c r="D27" s="17">
        <v>3909.5</v>
      </c>
      <c r="E27" s="15">
        <v>1.1300000000000026</v>
      </c>
      <c r="F27" s="15"/>
      <c r="G27" s="15"/>
      <c r="H27" s="15"/>
      <c r="I27" s="15"/>
      <c r="J27" s="15"/>
      <c r="K27" s="15"/>
      <c r="L27" s="15">
        <v>1.1300000000000026</v>
      </c>
    </row>
    <row r="28" spans="1:12" x14ac:dyDescent="0.25">
      <c r="A28" s="2">
        <f ca="1">_xlfn.IFNA(VLOOKUP(C28,WebocBalance!$A$3:$B$121,2,0),"NA")</f>
        <v>481379.6</v>
      </c>
      <c r="B28" s="11">
        <f t="shared" ca="1" si="0"/>
        <v>0</v>
      </c>
      <c r="C28" s="4" t="s">
        <v>86</v>
      </c>
      <c r="D28" s="17">
        <v>5503.201</v>
      </c>
      <c r="E28" s="15">
        <v>476837.23</v>
      </c>
      <c r="F28" s="15"/>
      <c r="G28" s="15"/>
      <c r="H28" s="15"/>
      <c r="I28" s="15">
        <v>367.68</v>
      </c>
      <c r="J28" s="15">
        <v>4174.6899999999996</v>
      </c>
      <c r="K28" s="15"/>
      <c r="L28" s="15">
        <v>481379.6</v>
      </c>
    </row>
    <row r="29" spans="1:12" x14ac:dyDescent="0.25">
      <c r="A29" s="2">
        <f ca="1">_xlfn.IFNA(VLOOKUP(C29,WebocBalance!$A$3:$B$121,2,0),"NA")</f>
        <v>2.31</v>
      </c>
      <c r="B29" s="11">
        <f t="shared" ca="1" si="0"/>
        <v>1.1990408665951691E-14</v>
      </c>
      <c r="C29" s="4" t="s">
        <v>51</v>
      </c>
      <c r="D29" s="17">
        <v>4810.29</v>
      </c>
      <c r="E29" s="15">
        <v>2.3099999999999881</v>
      </c>
      <c r="F29" s="15"/>
      <c r="G29" s="15"/>
      <c r="H29" s="15"/>
      <c r="I29" s="15"/>
      <c r="J29" s="15"/>
      <c r="K29" s="15"/>
      <c r="L29" s="15">
        <v>2.3099999999999881</v>
      </c>
    </row>
    <row r="30" spans="1:12" x14ac:dyDescent="0.25">
      <c r="A30" s="2">
        <f ca="1">_xlfn.IFNA(VLOOKUP(C30,WebocBalance!$A$3:$B$121,2,0),"NA")</f>
        <v>18000</v>
      </c>
      <c r="B30" s="11">
        <f t="shared" ca="1" si="0"/>
        <v>0</v>
      </c>
      <c r="C30" s="4" t="s">
        <v>79</v>
      </c>
      <c r="D30" s="17">
        <v>5407.51</v>
      </c>
      <c r="E30" s="15">
        <v>18000</v>
      </c>
      <c r="F30" s="15"/>
      <c r="G30" s="15"/>
      <c r="H30" s="15"/>
      <c r="I30" s="15"/>
      <c r="J30" s="15"/>
      <c r="K30" s="15"/>
      <c r="L30" s="15">
        <v>18000</v>
      </c>
    </row>
    <row r="31" spans="1:12" x14ac:dyDescent="0.25">
      <c r="A31" s="2">
        <f ca="1">_xlfn.IFNA(VLOOKUP(C31,WebocBalance!$A$3:$B$121,2,0),"NA")</f>
        <v>14728.7</v>
      </c>
      <c r="B31" s="11">
        <f t="shared" ca="1" si="0"/>
        <v>0</v>
      </c>
      <c r="C31" s="4" t="s">
        <v>94</v>
      </c>
      <c r="D31" s="17">
        <v>3809.9189999999999</v>
      </c>
      <c r="E31" s="15">
        <v>14234.58</v>
      </c>
      <c r="F31" s="15"/>
      <c r="G31" s="15"/>
      <c r="H31" s="15"/>
      <c r="I31" s="15"/>
      <c r="J31" s="15">
        <v>446.96</v>
      </c>
      <c r="K31" s="15">
        <v>47.16</v>
      </c>
      <c r="L31" s="15">
        <v>14728.699999999999</v>
      </c>
    </row>
    <row r="32" spans="1:12" x14ac:dyDescent="0.25">
      <c r="A32" s="2">
        <f ca="1">_xlfn.IFNA(VLOOKUP(C32,WebocBalance!$A$3:$B$121,2,0),"NA")</f>
        <v>14190.79</v>
      </c>
      <c r="B32" s="11">
        <f t="shared" ca="1" si="0"/>
        <v>0</v>
      </c>
      <c r="C32" s="4" t="s">
        <v>84</v>
      </c>
      <c r="D32" s="17">
        <v>3910</v>
      </c>
      <c r="E32" s="15">
        <v>12965.95</v>
      </c>
      <c r="F32" s="15">
        <v>360.6</v>
      </c>
      <c r="G32" s="15">
        <v>109.08</v>
      </c>
      <c r="H32" s="15"/>
      <c r="I32" s="15">
        <v>214.08</v>
      </c>
      <c r="J32" s="15"/>
      <c r="K32" s="15">
        <v>541.08000000000004</v>
      </c>
      <c r="L32" s="15">
        <v>14190.79</v>
      </c>
    </row>
    <row r="33" spans="1:12" x14ac:dyDescent="0.25">
      <c r="A33" s="2">
        <f ca="1">_xlfn.IFNA(VLOOKUP(C33,WebocBalance!$A$3:$B$121,2,0),"NA")</f>
        <v>366.19</v>
      </c>
      <c r="B33" s="11">
        <f t="shared" ca="1" si="0"/>
        <v>0</v>
      </c>
      <c r="C33" s="4" t="s">
        <v>26</v>
      </c>
      <c r="D33" s="17">
        <v>5901.9089999999997</v>
      </c>
      <c r="E33" s="15">
        <v>366.19000000000005</v>
      </c>
      <c r="F33" s="15"/>
      <c r="G33" s="15"/>
      <c r="H33" s="15"/>
      <c r="I33" s="15"/>
      <c r="J33" s="15"/>
      <c r="K33" s="15"/>
      <c r="L33" s="15">
        <v>366.19000000000005</v>
      </c>
    </row>
    <row r="34" spans="1:12" x14ac:dyDescent="0.25">
      <c r="A34" s="2">
        <f ca="1">_xlfn.IFNA(VLOOKUP(C34,WebocBalance!$A$3:$B$121,2,0),"NA")</f>
        <v>11362.8</v>
      </c>
      <c r="B34" s="11">
        <f t="shared" ca="1" si="0"/>
        <v>0</v>
      </c>
      <c r="C34" s="4" t="s">
        <v>83</v>
      </c>
      <c r="D34" s="17">
        <v>3906.9029999999998</v>
      </c>
      <c r="E34" s="15">
        <v>10034.120000000001</v>
      </c>
      <c r="F34" s="15">
        <v>360.6</v>
      </c>
      <c r="G34" s="15">
        <v>109.08</v>
      </c>
      <c r="H34" s="15"/>
      <c r="I34" s="15"/>
      <c r="J34" s="15">
        <v>317.92</v>
      </c>
      <c r="K34" s="15">
        <v>541.08000000000004</v>
      </c>
      <c r="L34" s="15">
        <v>11362.800000000001</v>
      </c>
    </row>
    <row r="35" spans="1:12" x14ac:dyDescent="0.25">
      <c r="A35" s="2">
        <f ca="1">_xlfn.IFNA(VLOOKUP(C35,WebocBalance!$A$3:$B$121,2,0),"NA")</f>
        <v>22699.87</v>
      </c>
      <c r="B35" s="11">
        <f t="shared" ca="1" si="0"/>
        <v>0</v>
      </c>
      <c r="C35" s="4" t="s">
        <v>104</v>
      </c>
      <c r="D35" s="17">
        <v>5402.33</v>
      </c>
      <c r="E35" s="15">
        <v>22699.87</v>
      </c>
      <c r="F35" s="15"/>
      <c r="G35" s="15"/>
      <c r="H35" s="15"/>
      <c r="I35" s="15"/>
      <c r="J35" s="15"/>
      <c r="K35" s="15"/>
      <c r="L35" s="15">
        <v>22699.87</v>
      </c>
    </row>
    <row r="36" spans="1:12" x14ac:dyDescent="0.25">
      <c r="A36" s="2">
        <f ca="1">_xlfn.IFNA(VLOOKUP(C36,WebocBalance!$A$3:$B$121,2,0),"NA")</f>
        <v>22.57</v>
      </c>
      <c r="B36" s="11">
        <f t="shared" ca="1" si="0"/>
        <v>3.5527136788005009E-14</v>
      </c>
      <c r="C36" s="4" t="s">
        <v>28</v>
      </c>
      <c r="D36" s="17">
        <v>5807.1009999999997</v>
      </c>
      <c r="E36" s="15">
        <v>22.569999999999965</v>
      </c>
      <c r="F36" s="15"/>
      <c r="G36" s="15"/>
      <c r="H36" s="15"/>
      <c r="I36" s="15"/>
      <c r="J36" s="15"/>
      <c r="K36" s="15"/>
      <c r="L36" s="15">
        <v>22.569999999999965</v>
      </c>
    </row>
    <row r="37" spans="1:12" x14ac:dyDescent="0.25">
      <c r="A37" s="2">
        <f ca="1">_xlfn.IFNA(VLOOKUP(C37,WebocBalance!$A$3:$B$121,2,0),"NA")</f>
        <v>1080.79</v>
      </c>
      <c r="B37" s="11">
        <f t="shared" ca="1" si="0"/>
        <v>0</v>
      </c>
      <c r="C37" s="4" t="s">
        <v>47</v>
      </c>
      <c r="D37" s="17">
        <v>5210.41</v>
      </c>
      <c r="E37" s="15">
        <v>1080.79</v>
      </c>
      <c r="F37" s="15"/>
      <c r="G37" s="15"/>
      <c r="H37" s="15"/>
      <c r="I37" s="15"/>
      <c r="J37" s="15"/>
      <c r="K37" s="15"/>
      <c r="L37" s="15">
        <v>1080.79</v>
      </c>
    </row>
    <row r="38" spans="1:12" x14ac:dyDescent="0.25">
      <c r="A38" s="2">
        <f ca="1">_xlfn.IFNA(VLOOKUP(C38,WebocBalance!$A$3:$B$121,2,0),"NA")</f>
        <v>36.21</v>
      </c>
      <c r="B38" s="11">
        <f t="shared" ca="1" si="0"/>
        <v>0</v>
      </c>
      <c r="C38" s="4" t="s">
        <v>29</v>
      </c>
      <c r="D38" s="17">
        <v>4007.009</v>
      </c>
      <c r="E38" s="15">
        <v>36.21</v>
      </c>
      <c r="F38" s="15"/>
      <c r="G38" s="15"/>
      <c r="H38" s="15"/>
      <c r="I38" s="15"/>
      <c r="J38" s="15"/>
      <c r="K38" s="15"/>
      <c r="L38" s="15">
        <v>36.21</v>
      </c>
    </row>
    <row r="39" spans="1:12" x14ac:dyDescent="0.25">
      <c r="A39" s="2">
        <f ca="1">_xlfn.IFNA(VLOOKUP(C39,WebocBalance!$A$3:$B$121,2,0),"NA")</f>
        <v>43067.33</v>
      </c>
      <c r="B39" s="11">
        <f t="shared" ca="1" si="0"/>
        <v>0</v>
      </c>
      <c r="C39" s="4" t="s">
        <v>68</v>
      </c>
      <c r="D39" s="17">
        <v>2847</v>
      </c>
      <c r="E39" s="15">
        <v>40902.14</v>
      </c>
      <c r="F39" s="15">
        <v>270.45</v>
      </c>
      <c r="G39" s="15">
        <v>81.81</v>
      </c>
      <c r="H39" s="15">
        <v>785.52</v>
      </c>
      <c r="I39" s="15">
        <v>181.56</v>
      </c>
      <c r="J39" s="15">
        <v>404.67</v>
      </c>
      <c r="K39" s="15">
        <v>441.18</v>
      </c>
      <c r="L39" s="15">
        <v>43067.329999999987</v>
      </c>
    </row>
    <row r="40" spans="1:12" x14ac:dyDescent="0.25">
      <c r="A40" s="2">
        <f ca="1">_xlfn.IFNA(VLOOKUP(C40,WebocBalance!$A$3:$B$121,2,0),"NA")</f>
        <v>24908</v>
      </c>
      <c r="B40" s="11">
        <f t="shared" ca="1" si="0"/>
        <v>0</v>
      </c>
      <c r="C40" s="4" t="s">
        <v>106</v>
      </c>
      <c r="D40" s="17">
        <v>4810.29</v>
      </c>
      <c r="E40" s="15">
        <v>24431.119999999999</v>
      </c>
      <c r="F40" s="15"/>
      <c r="G40" s="15"/>
      <c r="H40" s="15"/>
      <c r="I40" s="15"/>
      <c r="J40" s="15">
        <v>476.88</v>
      </c>
      <c r="K40" s="15"/>
      <c r="L40" s="15">
        <v>24908</v>
      </c>
    </row>
    <row r="41" spans="1:12" x14ac:dyDescent="0.25">
      <c r="A41" s="2">
        <f ca="1">_xlfn.IFNA(VLOOKUP(C41,WebocBalance!$A$3:$B$121,2,0),"NA")</f>
        <v>8324.4</v>
      </c>
      <c r="B41" s="11">
        <f t="shared" ca="1" si="0"/>
        <v>0</v>
      </c>
      <c r="C41" s="4" t="s">
        <v>95</v>
      </c>
      <c r="D41" s="17">
        <v>3926.9099000000001</v>
      </c>
      <c r="E41" s="15">
        <v>8324.4</v>
      </c>
      <c r="F41" s="15"/>
      <c r="G41" s="15"/>
      <c r="H41" s="15"/>
      <c r="I41" s="15"/>
      <c r="J41" s="15"/>
      <c r="K41" s="15"/>
      <c r="L41" s="15">
        <v>8324.4</v>
      </c>
    </row>
    <row r="42" spans="1:12" x14ac:dyDescent="0.25">
      <c r="A42" s="2">
        <f ca="1">_xlfn.IFNA(VLOOKUP(C42,WebocBalance!$A$3:$B$121,2,0),"NA")</f>
        <v>658.1</v>
      </c>
      <c r="B42" s="11">
        <f t="shared" ca="1" si="0"/>
        <v>0</v>
      </c>
      <c r="C42" s="4" t="s">
        <v>75</v>
      </c>
      <c r="D42" s="17">
        <v>3204.16</v>
      </c>
      <c r="E42" s="15">
        <v>219.05999999999983</v>
      </c>
      <c r="F42" s="15"/>
      <c r="G42" s="15"/>
      <c r="H42" s="15"/>
      <c r="I42" s="15">
        <v>374.64</v>
      </c>
      <c r="J42" s="15">
        <v>64.400000000000006</v>
      </c>
      <c r="K42" s="15"/>
      <c r="L42" s="15">
        <v>658.0999999999998</v>
      </c>
    </row>
    <row r="43" spans="1:12" x14ac:dyDescent="0.25">
      <c r="A43" s="2">
        <f ca="1">_xlfn.IFNA(VLOOKUP(C43,WebocBalance!$A$3:$B$121,2,0),"NA")</f>
        <v>8080</v>
      </c>
      <c r="B43" s="11">
        <f t="shared" ca="1" si="0"/>
        <v>0</v>
      </c>
      <c r="C43" s="4" t="s">
        <v>32</v>
      </c>
      <c r="D43" s="17">
        <v>5407.51</v>
      </c>
      <c r="E43" s="15">
        <v>8080</v>
      </c>
      <c r="F43" s="15"/>
      <c r="G43" s="15"/>
      <c r="H43" s="15"/>
      <c r="I43" s="15"/>
      <c r="J43" s="15"/>
      <c r="K43" s="15"/>
      <c r="L43" s="15">
        <v>8080</v>
      </c>
    </row>
    <row r="44" spans="1:12" x14ac:dyDescent="0.25">
      <c r="A44" s="2">
        <f ca="1">_xlfn.IFNA(VLOOKUP(C44,WebocBalance!$A$3:$B$121,2,0),"NA")</f>
        <v>23.088999999999999</v>
      </c>
      <c r="B44" s="11">
        <f t="shared" ca="1" si="0"/>
        <v>0</v>
      </c>
      <c r="C44" s="4" t="s">
        <v>52</v>
      </c>
      <c r="D44" s="17">
        <v>5401.1</v>
      </c>
      <c r="E44" s="15">
        <v>23.089000000000009</v>
      </c>
      <c r="F44" s="15"/>
      <c r="G44" s="15"/>
      <c r="H44" s="15"/>
      <c r="I44" s="15"/>
      <c r="J44" s="15"/>
      <c r="K44" s="15"/>
      <c r="L44" s="15">
        <v>23.089000000000009</v>
      </c>
    </row>
    <row r="45" spans="1:12" x14ac:dyDescent="0.25">
      <c r="A45" s="2">
        <f ca="1">_xlfn.IFNA(VLOOKUP(C45,WebocBalance!$A$3:$B$121,2,0),"NA")</f>
        <v>1891.038</v>
      </c>
      <c r="B45" s="11">
        <f t="shared" ca="1" si="0"/>
        <v>0</v>
      </c>
      <c r="C45" s="4" t="s">
        <v>61</v>
      </c>
      <c r="D45" s="17">
        <v>5205.2299999999996</v>
      </c>
      <c r="E45" s="15">
        <v>1891.038</v>
      </c>
      <c r="F45" s="15"/>
      <c r="G45" s="15"/>
      <c r="H45" s="15"/>
      <c r="I45" s="15"/>
      <c r="J45" s="15"/>
      <c r="K45" s="15"/>
      <c r="L45" s="15">
        <v>1891.038</v>
      </c>
    </row>
    <row r="46" spans="1:12" x14ac:dyDescent="0.25">
      <c r="A46" s="2">
        <f ca="1">_xlfn.IFNA(VLOOKUP(C46,WebocBalance!$A$3:$B$121,2,0),"NA")</f>
        <v>5.36</v>
      </c>
      <c r="B46" s="11">
        <f t="shared" ca="1" si="0"/>
        <v>0</v>
      </c>
      <c r="C46" s="4" t="s">
        <v>50</v>
      </c>
      <c r="D46" s="17">
        <v>9606.2990000000009</v>
      </c>
      <c r="E46" s="15">
        <v>5.36</v>
      </c>
      <c r="F46" s="15"/>
      <c r="G46" s="15"/>
      <c r="H46" s="15"/>
      <c r="I46" s="15"/>
      <c r="J46" s="15"/>
      <c r="K46" s="15"/>
      <c r="L46" s="15">
        <v>5.36</v>
      </c>
    </row>
    <row r="47" spans="1:12" x14ac:dyDescent="0.25">
      <c r="A47" s="2">
        <f ca="1">_xlfn.IFNA(VLOOKUP(C47,WebocBalance!$A$3:$B$121,2,0),"NA")</f>
        <v>19.501899999999999</v>
      </c>
      <c r="B47" s="11">
        <f t="shared" ca="1" si="0"/>
        <v>0</v>
      </c>
      <c r="C47" s="4" t="s">
        <v>53</v>
      </c>
      <c r="D47" s="17">
        <v>5401.2089999999998</v>
      </c>
      <c r="E47" s="15">
        <v>19.501899999999999</v>
      </c>
      <c r="F47" s="15"/>
      <c r="G47" s="15"/>
      <c r="H47" s="15"/>
      <c r="I47" s="15"/>
      <c r="J47" s="15"/>
      <c r="K47" s="15"/>
      <c r="L47" s="15">
        <v>19.501899999999999</v>
      </c>
    </row>
    <row r="48" spans="1:12" x14ac:dyDescent="0.25">
      <c r="A48" s="2">
        <f ca="1">_xlfn.IFNA(VLOOKUP(C48,WebocBalance!$A$3:$B$121,2,0),"NA")</f>
        <v>129570.12850000001</v>
      </c>
      <c r="B48" s="11">
        <f t="shared" ca="1" si="0"/>
        <v>0</v>
      </c>
      <c r="C48" s="4" t="s">
        <v>82</v>
      </c>
      <c r="D48" s="17">
        <v>5201.009</v>
      </c>
      <c r="E48" s="15">
        <v>92808.518499999991</v>
      </c>
      <c r="F48" s="15">
        <v>9106.0499999999993</v>
      </c>
      <c r="G48" s="15">
        <v>2754.54</v>
      </c>
      <c r="H48" s="15"/>
      <c r="I48" s="15">
        <v>2934.32</v>
      </c>
      <c r="J48" s="15">
        <v>7112.17</v>
      </c>
      <c r="K48" s="15">
        <v>14854.53</v>
      </c>
      <c r="L48" s="15">
        <v>129570.12849999999</v>
      </c>
    </row>
    <row r="49" spans="1:12" x14ac:dyDescent="0.25">
      <c r="A49" s="2">
        <f ca="1">_xlfn.IFNA(VLOOKUP(C49,WebocBalance!$A$3:$B$121,2,0),"NA")</f>
        <v>52.88</v>
      </c>
      <c r="B49" s="11">
        <f t="shared" ca="1" si="0"/>
        <v>0</v>
      </c>
      <c r="C49" s="4" t="s">
        <v>54</v>
      </c>
      <c r="D49" s="17">
        <v>5508.1</v>
      </c>
      <c r="E49" s="15">
        <v>52.879999999999981</v>
      </c>
      <c r="F49" s="15"/>
      <c r="G49" s="15"/>
      <c r="H49" s="15"/>
      <c r="I49" s="15"/>
      <c r="J49" s="15"/>
      <c r="K49" s="15"/>
      <c r="L49" s="15">
        <v>52.879999999999981</v>
      </c>
    </row>
    <row r="50" spans="1:12" x14ac:dyDescent="0.25">
      <c r="A50" s="2">
        <f ca="1">_xlfn.IFNA(VLOOKUP(C50,WebocBalance!$A$3:$B$121,2,0),"NA")</f>
        <v>461.48</v>
      </c>
      <c r="B50" s="11">
        <f t="shared" ca="1" si="0"/>
        <v>-4.5474735088646412E-13</v>
      </c>
      <c r="C50" s="4" t="s">
        <v>45</v>
      </c>
      <c r="D50" s="17">
        <v>5206.1400000000003</v>
      </c>
      <c r="E50" s="15">
        <v>461.48000000000047</v>
      </c>
      <c r="F50" s="15"/>
      <c r="G50" s="15"/>
      <c r="H50" s="15"/>
      <c r="I50" s="15"/>
      <c r="J50" s="15"/>
      <c r="K50" s="15"/>
      <c r="L50" s="15">
        <v>461.48000000000047</v>
      </c>
    </row>
    <row r="51" spans="1:12" x14ac:dyDescent="0.25">
      <c r="A51" s="2">
        <f ca="1">_xlfn.IFNA(VLOOKUP(C51,WebocBalance!$A$3:$B$121,2,0),"NA")</f>
        <v>358.45</v>
      </c>
      <c r="B51" s="11">
        <f t="shared" ca="1" si="0"/>
        <v>0</v>
      </c>
      <c r="C51" s="4" t="s">
        <v>37</v>
      </c>
      <c r="D51" s="17">
        <v>5205.13</v>
      </c>
      <c r="E51" s="15">
        <v>358.44999999999982</v>
      </c>
      <c r="F51" s="15"/>
      <c r="G51" s="15"/>
      <c r="H51" s="15"/>
      <c r="I51" s="15"/>
      <c r="J51" s="15"/>
      <c r="K51" s="15"/>
      <c r="L51" s="15">
        <v>358.44999999999982</v>
      </c>
    </row>
    <row r="52" spans="1:12" x14ac:dyDescent="0.25">
      <c r="A52" s="2">
        <f ca="1">_xlfn.IFNA(VLOOKUP(C52,WebocBalance!$A$3:$B$121,2,0),"NA")</f>
        <v>1523.64</v>
      </c>
      <c r="B52" s="11">
        <f t="shared" ca="1" si="0"/>
        <v>0</v>
      </c>
      <c r="C52" s="4" t="s">
        <v>46</v>
      </c>
      <c r="D52" s="17">
        <v>5206.1400000000003</v>
      </c>
      <c r="E52" s="15">
        <v>1523.64</v>
      </c>
      <c r="F52" s="15"/>
      <c r="G52" s="15"/>
      <c r="H52" s="15"/>
      <c r="I52" s="15"/>
      <c r="J52" s="15"/>
      <c r="K52" s="15"/>
      <c r="L52" s="15">
        <v>1523.64</v>
      </c>
    </row>
    <row r="53" spans="1:12" x14ac:dyDescent="0.25">
      <c r="A53" s="2">
        <f ca="1">_xlfn.IFNA(VLOOKUP(C53,WebocBalance!$A$3:$B$121,2,0),"NA")</f>
        <v>179.59559999999999</v>
      </c>
      <c r="B53" s="11">
        <f t="shared" ca="1" si="0"/>
        <v>3.4106051316484809E-13</v>
      </c>
      <c r="C53" s="4" t="s">
        <v>76</v>
      </c>
      <c r="D53" s="17">
        <v>5206.12</v>
      </c>
      <c r="E53" s="15">
        <v>179.59559999999965</v>
      </c>
      <c r="F53" s="15"/>
      <c r="G53" s="15"/>
      <c r="H53" s="15"/>
      <c r="I53" s="15"/>
      <c r="J53" s="15"/>
      <c r="K53" s="15"/>
      <c r="L53" s="15">
        <v>179.59559999999965</v>
      </c>
    </row>
    <row r="54" spans="1:12" x14ac:dyDescent="0.25">
      <c r="A54" s="2">
        <f ca="1">_xlfn.IFNA(VLOOKUP(C54,WebocBalance!$A$3:$B$121,2,0),"NA")</f>
        <v>671.39819999999997</v>
      </c>
      <c r="B54" s="11">
        <f t="shared" ca="1" si="0"/>
        <v>0</v>
      </c>
      <c r="C54" s="4" t="s">
        <v>74</v>
      </c>
      <c r="D54" s="17">
        <v>5206.12</v>
      </c>
      <c r="E54" s="15"/>
      <c r="F54" s="15"/>
      <c r="G54" s="15"/>
      <c r="H54" s="15">
        <v>671.39819999999997</v>
      </c>
      <c r="I54" s="15"/>
      <c r="J54" s="15"/>
      <c r="K54" s="15"/>
      <c r="L54" s="15">
        <v>671.39819999999997</v>
      </c>
    </row>
    <row r="55" spans="1:12" x14ac:dyDescent="0.25">
      <c r="A55" s="2">
        <f ca="1">_xlfn.IFNA(VLOOKUP(C55,WebocBalance!$A$3:$B$121,2,0),"NA")</f>
        <v>3084.4596999999999</v>
      </c>
      <c r="B55" s="11">
        <f t="shared" ca="1" si="0"/>
        <v>0</v>
      </c>
      <c r="C55" s="4" t="s">
        <v>31</v>
      </c>
      <c r="D55" s="17">
        <v>5205.28</v>
      </c>
      <c r="E55" s="15">
        <v>3084.4596999999999</v>
      </c>
      <c r="F55" s="15"/>
      <c r="G55" s="15"/>
      <c r="H55" s="15"/>
      <c r="I55" s="15"/>
      <c r="J55" s="15"/>
      <c r="K55" s="15"/>
      <c r="L55" s="15">
        <v>3084.4596999999999</v>
      </c>
    </row>
    <row r="56" spans="1:12" x14ac:dyDescent="0.25">
      <c r="A56" s="2">
        <f ca="1">_xlfn.IFNA(VLOOKUP(C56,WebocBalance!$A$3:$B$121,2,0),"NA")</f>
        <v>6106</v>
      </c>
      <c r="B56" s="11">
        <f t="shared" ca="1" si="0"/>
        <v>0</v>
      </c>
      <c r="C56" s="4" t="s">
        <v>69</v>
      </c>
      <c r="D56" s="17">
        <v>5208.1899999999996</v>
      </c>
      <c r="E56" s="15">
        <v>6106</v>
      </c>
      <c r="F56" s="15"/>
      <c r="G56" s="15"/>
      <c r="H56" s="15"/>
      <c r="I56" s="15"/>
      <c r="J56" s="15"/>
      <c r="K56" s="15"/>
      <c r="L56" s="15">
        <v>6106</v>
      </c>
    </row>
    <row r="57" spans="1:12" x14ac:dyDescent="0.25">
      <c r="A57" s="2">
        <f ca="1">_xlfn.IFNA(VLOOKUP(C57,WebocBalance!$A$3:$B$121,2,0),"NA")</f>
        <v>9071.9403999999995</v>
      </c>
      <c r="B57" s="11">
        <f t="shared" ca="1" si="0"/>
        <v>0</v>
      </c>
      <c r="C57" s="4" t="s">
        <v>107</v>
      </c>
      <c r="D57" s="17">
        <v>5206.12</v>
      </c>
      <c r="E57" s="15"/>
      <c r="F57" s="15"/>
      <c r="G57" s="15"/>
      <c r="H57" s="15">
        <v>9071.9403999999995</v>
      </c>
      <c r="I57" s="15"/>
      <c r="J57" s="15"/>
      <c r="K57" s="15"/>
      <c r="L57" s="15">
        <v>9071.9403999999995</v>
      </c>
    </row>
    <row r="58" spans="1:12" x14ac:dyDescent="0.25">
      <c r="A58" s="2">
        <f ca="1">_xlfn.IFNA(VLOOKUP(C58,WebocBalance!$A$3:$B$121,2,0),"NA")</f>
        <v>15875.8958</v>
      </c>
      <c r="B58" s="11">
        <f t="shared" ca="1" si="0"/>
        <v>0</v>
      </c>
      <c r="C58" s="4" t="s">
        <v>108</v>
      </c>
      <c r="D58" s="17">
        <v>5206.12</v>
      </c>
      <c r="E58" s="15"/>
      <c r="F58" s="15"/>
      <c r="G58" s="15"/>
      <c r="H58" s="15">
        <v>15875.8958</v>
      </c>
      <c r="I58" s="15"/>
      <c r="J58" s="15"/>
      <c r="K58" s="15"/>
      <c r="L58" s="15">
        <v>15875.8958</v>
      </c>
    </row>
    <row r="59" spans="1:12" x14ac:dyDescent="0.25">
      <c r="A59" s="2">
        <f ca="1">_xlfn.IFNA(VLOOKUP(C59,WebocBalance!$A$3:$B$121,2,0),"NA")</f>
        <v>5658.1324000000004</v>
      </c>
      <c r="B59" s="11">
        <f t="shared" ca="1" si="0"/>
        <v>0</v>
      </c>
      <c r="C59" s="4" t="s">
        <v>105</v>
      </c>
      <c r="D59" s="17">
        <v>5206.12</v>
      </c>
      <c r="E59" s="15">
        <v>4828.9624000000003</v>
      </c>
      <c r="F59" s="15"/>
      <c r="G59" s="15"/>
      <c r="H59" s="15">
        <v>829.17</v>
      </c>
      <c r="I59" s="15"/>
      <c r="J59" s="15"/>
      <c r="K59" s="15"/>
      <c r="L59" s="15">
        <v>5658.1324000000004</v>
      </c>
    </row>
    <row r="60" spans="1:12" x14ac:dyDescent="0.25">
      <c r="A60" s="2">
        <f ca="1">_xlfn.IFNA(VLOOKUP(C60,WebocBalance!$A$3:$B$121,2,0),"NA")</f>
        <v>1245.3800000000001</v>
      </c>
      <c r="B60" s="11">
        <f t="shared" ca="1" si="0"/>
        <v>0</v>
      </c>
      <c r="C60" s="4" t="s">
        <v>72</v>
      </c>
      <c r="D60" s="17">
        <v>5208.1899999999996</v>
      </c>
      <c r="E60" s="15">
        <v>1245.3799999999992</v>
      </c>
      <c r="F60" s="15"/>
      <c r="G60" s="15"/>
      <c r="H60" s="15"/>
      <c r="I60" s="15"/>
      <c r="J60" s="15"/>
      <c r="K60" s="15"/>
      <c r="L60" s="15">
        <v>1245.3799999999992</v>
      </c>
    </row>
    <row r="61" spans="1:12" x14ac:dyDescent="0.25">
      <c r="A61" s="2">
        <f ca="1">_xlfn.IFNA(VLOOKUP(C61,WebocBalance!$A$3:$B$121,2,0),"NA")</f>
        <v>7871.31</v>
      </c>
      <c r="B61" s="11">
        <f t="shared" ca="1" si="0"/>
        <v>0</v>
      </c>
      <c r="C61" s="4" t="s">
        <v>25</v>
      </c>
      <c r="D61" s="17">
        <v>5205.26</v>
      </c>
      <c r="E61" s="15">
        <v>7871.3100000000013</v>
      </c>
      <c r="F61" s="15"/>
      <c r="G61" s="15"/>
      <c r="H61" s="15"/>
      <c r="I61" s="15"/>
      <c r="J61" s="15"/>
      <c r="K61" s="15"/>
      <c r="L61" s="15">
        <v>7871.3100000000013</v>
      </c>
    </row>
    <row r="62" spans="1:12" x14ac:dyDescent="0.25">
      <c r="A62" s="2">
        <f ca="1">_xlfn.IFNA(VLOOKUP(C62,WebocBalance!$A$3:$B$121,2,0),"NA")</f>
        <v>2463.39</v>
      </c>
      <c r="B62" s="11">
        <f t="shared" ca="1" si="0"/>
        <v>0</v>
      </c>
      <c r="C62" s="4" t="s">
        <v>62</v>
      </c>
      <c r="D62" s="17">
        <v>5205.2700000000004</v>
      </c>
      <c r="E62" s="15">
        <v>2463.3900000000003</v>
      </c>
      <c r="F62" s="15"/>
      <c r="G62" s="15"/>
      <c r="H62" s="15"/>
      <c r="I62" s="15"/>
      <c r="J62" s="15"/>
      <c r="K62" s="15"/>
      <c r="L62" s="15">
        <v>2463.3900000000003</v>
      </c>
    </row>
    <row r="63" spans="1:12" x14ac:dyDescent="0.25">
      <c r="A63" s="2">
        <f ca="1">_xlfn.IFNA(VLOOKUP(C63,WebocBalance!$A$3:$B$121,2,0),"NA")</f>
        <v>49029.9493</v>
      </c>
      <c r="B63" s="11">
        <f t="shared" ca="1" si="0"/>
        <v>0</v>
      </c>
      <c r="C63" s="4" t="s">
        <v>38</v>
      </c>
      <c r="D63" s="17">
        <v>5205.24</v>
      </c>
      <c r="E63" s="15">
        <v>49029.9493</v>
      </c>
      <c r="F63" s="15"/>
      <c r="G63" s="15"/>
      <c r="H63" s="15"/>
      <c r="I63" s="15"/>
      <c r="J63" s="15"/>
      <c r="K63" s="15"/>
      <c r="L63" s="15">
        <v>49029.9493</v>
      </c>
    </row>
    <row r="64" spans="1:12" x14ac:dyDescent="0.25">
      <c r="A64" s="2">
        <f ca="1">_xlfn.IFNA(VLOOKUP(C64,WebocBalance!$A$3:$B$121,2,0),"NA")</f>
        <v>21186.25</v>
      </c>
      <c r="B64" s="11">
        <f t="shared" ca="1" si="0"/>
        <v>0</v>
      </c>
      <c r="C64" s="4" t="s">
        <v>99</v>
      </c>
      <c r="D64" s="17">
        <v>5206.1400000000003</v>
      </c>
      <c r="E64" s="15">
        <v>21186.25</v>
      </c>
      <c r="F64" s="15"/>
      <c r="G64" s="15"/>
      <c r="H64" s="15"/>
      <c r="I64" s="15"/>
      <c r="J64" s="15"/>
      <c r="K64" s="15"/>
      <c r="L64" s="15">
        <v>21186.25</v>
      </c>
    </row>
    <row r="65" spans="1:12" x14ac:dyDescent="0.25">
      <c r="A65" s="2">
        <f ca="1">_xlfn.IFNA(VLOOKUP(C65,WebocBalance!$A$3:$B$121,2,0),"NA")</f>
        <v>1136.7</v>
      </c>
      <c r="B65" s="11">
        <f t="shared" ca="1" si="0"/>
        <v>0</v>
      </c>
      <c r="C65" s="4" t="s">
        <v>89</v>
      </c>
      <c r="D65" s="17">
        <v>3919.9090000000001</v>
      </c>
      <c r="E65" s="15">
        <v>776.10000000000036</v>
      </c>
      <c r="F65" s="15">
        <v>360.6</v>
      </c>
      <c r="G65" s="15"/>
      <c r="H65" s="15"/>
      <c r="I65" s="15"/>
      <c r="J65" s="15"/>
      <c r="K65" s="15"/>
      <c r="L65" s="15">
        <v>1136.7000000000003</v>
      </c>
    </row>
    <row r="66" spans="1:12" x14ac:dyDescent="0.25">
      <c r="A66" s="2">
        <f ca="1">_xlfn.IFNA(VLOOKUP(C66,WebocBalance!$A$3:$B$121,2,0),"NA")</f>
        <v>75.61</v>
      </c>
      <c r="B66" s="11">
        <f t="shared" ca="1" si="0"/>
        <v>0</v>
      </c>
      <c r="C66" s="4" t="s">
        <v>100</v>
      </c>
      <c r="D66" s="17">
        <v>3923.29</v>
      </c>
      <c r="E66" s="15">
        <v>75.610000000000014</v>
      </c>
      <c r="F66" s="15"/>
      <c r="G66" s="15"/>
      <c r="H66" s="15"/>
      <c r="I66" s="15"/>
      <c r="J66" s="15"/>
      <c r="K66" s="15"/>
      <c r="L66" s="15">
        <v>75.610000000000014</v>
      </c>
    </row>
    <row r="67" spans="1:12" x14ac:dyDescent="0.25">
      <c r="A67" s="2" t="str">
        <f>_xlfn.IFNA(VLOOKUP(C67,WebocBalance!$A$3:$B$121,2,0),"NA")</f>
        <v>NA</v>
      </c>
      <c r="B67" s="11" t="e">
        <f t="shared" si="0"/>
        <v>#VALUE!</v>
      </c>
      <c r="C67" s="4" t="s">
        <v>4</v>
      </c>
      <c r="D67" s="4"/>
      <c r="E67" s="15">
        <v>930528.23439999984</v>
      </c>
      <c r="F67" s="15">
        <v>11180.3</v>
      </c>
      <c r="G67" s="15">
        <v>3272.51</v>
      </c>
      <c r="H67" s="15">
        <v>27757.924399999996</v>
      </c>
      <c r="I67" s="15">
        <v>4249.2800000000007</v>
      </c>
      <c r="J67" s="15">
        <v>14030.289999999999</v>
      </c>
      <c r="K67" s="15">
        <v>17601.03</v>
      </c>
      <c r="L67" s="15">
        <v>1008619.5687999999</v>
      </c>
    </row>
    <row r="68" spans="1:12" x14ac:dyDescent="0.25">
      <c r="A68" s="2" t="str">
        <f>_xlfn.IFNA(VLOOKUP(C68,WebocBalance!$A$3:$B$121,2,0),"NA")</f>
        <v>NA</v>
      </c>
      <c r="B68" s="11" t="e">
        <f t="shared" si="0"/>
        <v>#VALUE!</v>
      </c>
      <c r="C68"/>
      <c r="D68"/>
      <c r="E68"/>
      <c r="F68"/>
      <c r="G68"/>
      <c r="H68"/>
      <c r="I68"/>
    </row>
    <row r="69" spans="1:12" x14ac:dyDescent="0.25">
      <c r="A69" s="2" t="str">
        <f>_xlfn.IFNA(VLOOKUP(C69,WebocBalance!$A$3:$B$121,2,0),"NA")</f>
        <v>NA</v>
      </c>
      <c r="B69" s="11" t="e">
        <f t="shared" ref="B69:B89" si="1">A69-(LOOKUP(2,1/(E69:XFD69&lt;&gt;""),E69:XFD69))</f>
        <v>#VALUE!</v>
      </c>
      <c r="C69"/>
      <c r="D69"/>
      <c r="E69"/>
      <c r="F69"/>
      <c r="G69"/>
      <c r="H69"/>
      <c r="I69"/>
    </row>
    <row r="70" spans="1:12" x14ac:dyDescent="0.25">
      <c r="A70" s="2" t="str">
        <f>_xlfn.IFNA(VLOOKUP(C70,WebocBalance!$A$3:$B$121,2,0),"NA")</f>
        <v>NA</v>
      </c>
      <c r="B70" s="11" t="e">
        <f t="shared" si="1"/>
        <v>#VALUE!</v>
      </c>
      <c r="C70"/>
      <c r="D70"/>
      <c r="E70"/>
      <c r="F70"/>
      <c r="G70"/>
      <c r="H70"/>
      <c r="I70"/>
    </row>
    <row r="71" spans="1:12" x14ac:dyDescent="0.25">
      <c r="A71" s="2" t="str">
        <f>_xlfn.IFNA(VLOOKUP(C71,WebocBalance!$A$3:$B$121,2,0),"NA")</f>
        <v>NA</v>
      </c>
      <c r="B71" s="11" t="e">
        <f t="shared" si="1"/>
        <v>#VALUE!</v>
      </c>
      <c r="C71"/>
      <c r="D71"/>
      <c r="E71"/>
      <c r="F71"/>
      <c r="G71"/>
      <c r="H71"/>
      <c r="I71"/>
    </row>
    <row r="72" spans="1:12" x14ac:dyDescent="0.25">
      <c r="A72" s="2" t="str">
        <f>_xlfn.IFNA(VLOOKUP(C72,WebocBalance!$A$3:$B$121,2,0),"NA")</f>
        <v>NA</v>
      </c>
      <c r="B72" s="11" t="e">
        <f t="shared" si="1"/>
        <v>#VALUE!</v>
      </c>
      <c r="C72"/>
      <c r="D72"/>
      <c r="E72"/>
      <c r="F72"/>
      <c r="G72"/>
      <c r="H72"/>
      <c r="I72"/>
    </row>
    <row r="73" spans="1:12" x14ac:dyDescent="0.25">
      <c r="A73" s="2" t="str">
        <f>_xlfn.IFNA(VLOOKUP(C73,WebocBalance!$A$3:$B$121,2,0),"NA")</f>
        <v>NA</v>
      </c>
      <c r="B73" s="11" t="e">
        <f t="shared" si="1"/>
        <v>#VALUE!</v>
      </c>
      <c r="C73"/>
      <c r="D73"/>
      <c r="E73"/>
      <c r="F73"/>
      <c r="G73"/>
      <c r="H73"/>
      <c r="I73"/>
    </row>
    <row r="74" spans="1:12" x14ac:dyDescent="0.25">
      <c r="A74" s="2" t="str">
        <f>_xlfn.IFNA(VLOOKUP(C74,WebocBalance!$A$3:$B$121,2,0),"NA")</f>
        <v>NA</v>
      </c>
      <c r="B74" s="11" t="e">
        <f t="shared" si="1"/>
        <v>#VALUE!</v>
      </c>
      <c r="C74"/>
      <c r="D74"/>
      <c r="E74"/>
      <c r="F74"/>
      <c r="G74"/>
      <c r="H74"/>
      <c r="I74"/>
    </row>
    <row r="75" spans="1:12" x14ac:dyDescent="0.25">
      <c r="A75" s="2" t="str">
        <f>_xlfn.IFNA(VLOOKUP(C75,WebocBalance!$A$3:$B$121,2,0),"NA")</f>
        <v>NA</v>
      </c>
      <c r="B75" s="11" t="e">
        <f t="shared" si="1"/>
        <v>#VALUE!</v>
      </c>
      <c r="C75"/>
      <c r="D75"/>
      <c r="E75"/>
      <c r="F75"/>
      <c r="G75"/>
      <c r="H75"/>
      <c r="I75"/>
    </row>
    <row r="76" spans="1:12" x14ac:dyDescent="0.25">
      <c r="A76" s="2" t="str">
        <f>_xlfn.IFNA(VLOOKUP(C76,WebocBalance!$A$3:$B$121,2,0),"NA")</f>
        <v>NA</v>
      </c>
      <c r="B76" s="11" t="e">
        <f t="shared" si="1"/>
        <v>#VALUE!</v>
      </c>
      <c r="C76"/>
      <c r="D76"/>
      <c r="E76"/>
      <c r="F76"/>
      <c r="G76"/>
      <c r="H76"/>
      <c r="I76"/>
    </row>
    <row r="77" spans="1:12" x14ac:dyDescent="0.25">
      <c r="A77" s="2" t="str">
        <f>_xlfn.IFNA(VLOOKUP(C77,WebocBalance!$A$3:$B$121,2,0),"NA")</f>
        <v>NA</v>
      </c>
      <c r="B77" s="11" t="e">
        <f t="shared" si="1"/>
        <v>#VALUE!</v>
      </c>
      <c r="C77"/>
      <c r="D77"/>
      <c r="E77"/>
      <c r="F77"/>
      <c r="G77"/>
      <c r="H77"/>
      <c r="I77"/>
    </row>
    <row r="78" spans="1:12" x14ac:dyDescent="0.25">
      <c r="A78" s="2" t="str">
        <f>_xlfn.IFNA(VLOOKUP(C78,WebocBalance!$A$3:$B$121,2,0),"NA")</f>
        <v>NA</v>
      </c>
      <c r="B78" s="11" t="e">
        <f t="shared" si="1"/>
        <v>#VALUE!</v>
      </c>
      <c r="C78"/>
      <c r="D78"/>
      <c r="E78"/>
      <c r="F78"/>
      <c r="G78"/>
      <c r="H78"/>
      <c r="I78"/>
    </row>
    <row r="79" spans="1:12" x14ac:dyDescent="0.25">
      <c r="A79" s="2" t="str">
        <f>_xlfn.IFNA(VLOOKUP(C79,WebocBalance!$A$3:$B$121,2,0),"NA")</f>
        <v>NA</v>
      </c>
      <c r="B79" s="11" t="e">
        <f t="shared" si="1"/>
        <v>#VALUE!</v>
      </c>
      <c r="C79"/>
      <c r="D79"/>
      <c r="E79"/>
      <c r="F79"/>
      <c r="G79"/>
      <c r="H79"/>
      <c r="I79"/>
    </row>
    <row r="80" spans="1:12" x14ac:dyDescent="0.25">
      <c r="A80" s="2" t="str">
        <f>_xlfn.IFNA(VLOOKUP(C80,WebocBalance!$A$3:$B$121,2,0),"NA")</f>
        <v>NA</v>
      </c>
      <c r="B80" s="11" t="e">
        <f t="shared" si="1"/>
        <v>#VALUE!</v>
      </c>
      <c r="C80"/>
      <c r="D80"/>
      <c r="E80"/>
      <c r="F80"/>
      <c r="G80"/>
      <c r="H80"/>
      <c r="I80"/>
    </row>
    <row r="81" spans="1:9" x14ac:dyDescent="0.25">
      <c r="A81" s="2" t="str">
        <f>_xlfn.IFNA(VLOOKUP(C81,WebocBalance!$A$3:$B$121,2,0),"NA")</f>
        <v>NA</v>
      </c>
      <c r="B81" s="11" t="e">
        <f t="shared" si="1"/>
        <v>#VALUE!</v>
      </c>
      <c r="C81"/>
      <c r="D81"/>
      <c r="E81"/>
      <c r="F81"/>
      <c r="G81"/>
      <c r="H81"/>
      <c r="I81"/>
    </row>
    <row r="82" spans="1:9" x14ac:dyDescent="0.25">
      <c r="A82" s="2" t="str">
        <f>_xlfn.IFNA(VLOOKUP(C82,WebocBalance!$A$3:$B$121,2,0),"NA")</f>
        <v>NA</v>
      </c>
      <c r="B82" s="11" t="e">
        <f t="shared" si="1"/>
        <v>#VALUE!</v>
      </c>
      <c r="C82"/>
      <c r="D82"/>
      <c r="E82"/>
      <c r="F82"/>
      <c r="G82"/>
      <c r="H82"/>
      <c r="I82"/>
    </row>
    <row r="83" spans="1:9" x14ac:dyDescent="0.25">
      <c r="A83" s="2" t="str">
        <f>_xlfn.IFNA(VLOOKUP(C83,WebocBalance!$A$3:$B$121,2,0),"NA")</f>
        <v>NA</v>
      </c>
      <c r="B83" s="11" t="e">
        <f t="shared" si="1"/>
        <v>#VALUE!</v>
      </c>
      <c r="C83"/>
      <c r="D83"/>
      <c r="E83"/>
      <c r="F83"/>
      <c r="G83"/>
      <c r="H83"/>
      <c r="I83"/>
    </row>
    <row r="84" spans="1:9" x14ac:dyDescent="0.25">
      <c r="A84" s="2" t="str">
        <f>_xlfn.IFNA(VLOOKUP(C84,WebocBalance!$A$3:$B$121,2,0),"NA")</f>
        <v>NA</v>
      </c>
      <c r="B84" s="11" t="e">
        <f t="shared" si="1"/>
        <v>#VALUE!</v>
      </c>
      <c r="C84"/>
      <c r="D84"/>
      <c r="E84"/>
      <c r="F84"/>
      <c r="G84"/>
      <c r="H84"/>
      <c r="I84"/>
    </row>
    <row r="85" spans="1:9" x14ac:dyDescent="0.25">
      <c r="A85" s="2" t="str">
        <f>_xlfn.IFNA(VLOOKUP(C85,WebocBalance!$A$3:$B$121,2,0),"NA")</f>
        <v>NA</v>
      </c>
      <c r="B85" s="11" t="e">
        <f t="shared" si="1"/>
        <v>#VALUE!</v>
      </c>
      <c r="C85"/>
      <c r="D85"/>
      <c r="E85"/>
      <c r="F85"/>
      <c r="G85"/>
      <c r="H85"/>
      <c r="I85"/>
    </row>
    <row r="86" spans="1:9" x14ac:dyDescent="0.25">
      <c r="A86" s="2" t="str">
        <f>_xlfn.IFNA(VLOOKUP(C86,WebocBalance!$A$3:$B$121,2,0),"NA")</f>
        <v>NA</v>
      </c>
      <c r="B86" s="11" t="e">
        <f t="shared" si="1"/>
        <v>#VALUE!</v>
      </c>
      <c r="C86"/>
      <c r="D86"/>
      <c r="E86"/>
      <c r="F86"/>
      <c r="G86"/>
      <c r="H86"/>
      <c r="I86"/>
    </row>
    <row r="87" spans="1:9" x14ac:dyDescent="0.25">
      <c r="A87" s="2" t="str">
        <f>_xlfn.IFNA(VLOOKUP(C87,WebocBalance!$A$3:$B$121,2,0),"NA")</f>
        <v>NA</v>
      </c>
      <c r="B87" s="11" t="e">
        <f t="shared" si="1"/>
        <v>#VALUE!</v>
      </c>
      <c r="C87"/>
      <c r="D87"/>
      <c r="E87"/>
      <c r="F87"/>
      <c r="G87"/>
      <c r="H87"/>
      <c r="I87"/>
    </row>
    <row r="88" spans="1:9" x14ac:dyDescent="0.25">
      <c r="A88" s="2" t="str">
        <f>_xlfn.IFNA(VLOOKUP(C88,WebocBalance!$A$3:$B$121,2,0),"NA")</f>
        <v>NA</v>
      </c>
      <c r="B88" s="11" t="e">
        <f t="shared" si="1"/>
        <v>#VALUE!</v>
      </c>
      <c r="C88"/>
      <c r="D88"/>
      <c r="E88"/>
      <c r="F88"/>
      <c r="G88"/>
      <c r="H88"/>
      <c r="I88"/>
    </row>
    <row r="89" spans="1:9" x14ac:dyDescent="0.25">
      <c r="A89" s="2" t="str">
        <f>_xlfn.IFNA(VLOOKUP(C89,WebocBalance!$A$3:$B$121,2,0),"NA")</f>
        <v>NA</v>
      </c>
      <c r="B89" s="11" t="e">
        <f t="shared" si="1"/>
        <v>#VALUE!</v>
      </c>
      <c r="C89"/>
      <c r="D89"/>
      <c r="E89"/>
      <c r="F89"/>
      <c r="G89"/>
      <c r="H89"/>
      <c r="I89"/>
    </row>
    <row r="90" spans="1:9" x14ac:dyDescent="0.25">
      <c r="B90" s="11"/>
      <c r="C90"/>
      <c r="D90"/>
      <c r="E90"/>
      <c r="F90"/>
      <c r="G90"/>
      <c r="H90"/>
      <c r="I90"/>
    </row>
    <row r="91" spans="1:9" x14ac:dyDescent="0.25">
      <c r="B91" s="11"/>
      <c r="C91"/>
      <c r="D91"/>
      <c r="E91"/>
      <c r="F91"/>
      <c r="G91"/>
      <c r="H91"/>
      <c r="I91"/>
    </row>
    <row r="92" spans="1:9" x14ac:dyDescent="0.25">
      <c r="B92" s="11"/>
      <c r="C92"/>
      <c r="D92"/>
      <c r="E92"/>
      <c r="F92"/>
      <c r="G92"/>
      <c r="H92"/>
      <c r="I92"/>
    </row>
    <row r="93" spans="1:9" x14ac:dyDescent="0.25">
      <c r="B93" s="11"/>
      <c r="C93"/>
      <c r="D93"/>
      <c r="E93"/>
      <c r="F93"/>
      <c r="G93"/>
      <c r="H93"/>
      <c r="I93"/>
    </row>
    <row r="94" spans="1:9" x14ac:dyDescent="0.25">
      <c r="B94" s="11"/>
      <c r="C94"/>
      <c r="D94"/>
      <c r="E94"/>
      <c r="F94"/>
      <c r="G94"/>
      <c r="H94"/>
      <c r="I94"/>
    </row>
    <row r="95" spans="1:9" x14ac:dyDescent="0.25">
      <c r="B95" s="11"/>
      <c r="C95"/>
      <c r="D95"/>
      <c r="E95"/>
      <c r="F95"/>
      <c r="G95"/>
      <c r="H95"/>
      <c r="I95"/>
    </row>
    <row r="96" spans="1:9" x14ac:dyDescent="0.25">
      <c r="B96" s="11"/>
      <c r="C96"/>
      <c r="D96"/>
      <c r="E96"/>
      <c r="F96"/>
      <c r="G96"/>
      <c r="H96"/>
      <c r="I96"/>
    </row>
    <row r="97" spans="2:9" x14ac:dyDescent="0.25">
      <c r="B97" s="11"/>
      <c r="C97"/>
      <c r="D97"/>
      <c r="E97"/>
      <c r="F97"/>
      <c r="G97"/>
      <c r="H97"/>
      <c r="I97"/>
    </row>
    <row r="98" spans="2:9" x14ac:dyDescent="0.25">
      <c r="B98" s="11"/>
      <c r="C98"/>
      <c r="D98"/>
      <c r="E98"/>
      <c r="F98"/>
      <c r="G98"/>
      <c r="H98"/>
      <c r="I98"/>
    </row>
    <row r="99" spans="2:9" x14ac:dyDescent="0.25">
      <c r="B99" s="11"/>
      <c r="C99"/>
      <c r="D99"/>
      <c r="E99"/>
      <c r="F99"/>
      <c r="G99"/>
      <c r="H99"/>
      <c r="I99"/>
    </row>
    <row r="100" spans="2:9" x14ac:dyDescent="0.25">
      <c r="B100" s="11"/>
      <c r="C100"/>
      <c r="D100"/>
      <c r="E100"/>
      <c r="F100"/>
      <c r="G100"/>
      <c r="H100"/>
      <c r="I100"/>
    </row>
    <row r="101" spans="2:9" x14ac:dyDescent="0.25">
      <c r="B101" s="11"/>
      <c r="C101"/>
      <c r="D101"/>
      <c r="E101"/>
      <c r="F101"/>
      <c r="G101"/>
      <c r="H101"/>
      <c r="I101"/>
    </row>
    <row r="102" spans="2:9" x14ac:dyDescent="0.25">
      <c r="B102" s="11"/>
      <c r="C102"/>
      <c r="D102"/>
      <c r="E102"/>
      <c r="F102"/>
      <c r="G102"/>
      <c r="H102"/>
      <c r="I102"/>
    </row>
    <row r="103" spans="2:9" x14ac:dyDescent="0.25">
      <c r="B103" s="11"/>
      <c r="C103"/>
      <c r="D103"/>
      <c r="E103"/>
      <c r="F103"/>
      <c r="G103"/>
      <c r="H103"/>
      <c r="I103"/>
    </row>
    <row r="104" spans="2:9" x14ac:dyDescent="0.25">
      <c r="B104" s="11"/>
      <c r="C104"/>
      <c r="D104"/>
      <c r="E104"/>
      <c r="F104"/>
      <c r="G104"/>
      <c r="H104"/>
      <c r="I104"/>
    </row>
    <row r="105" spans="2:9" x14ac:dyDescent="0.25">
      <c r="B105" s="11"/>
      <c r="C105"/>
      <c r="D105"/>
      <c r="E105"/>
      <c r="F105"/>
      <c r="G105"/>
      <c r="H105"/>
      <c r="I105"/>
    </row>
    <row r="106" spans="2:9" x14ac:dyDescent="0.25">
      <c r="B106" s="11"/>
      <c r="C106"/>
      <c r="D106"/>
      <c r="E106"/>
      <c r="F106"/>
      <c r="G106"/>
      <c r="H106"/>
      <c r="I106"/>
    </row>
    <row r="107" spans="2:9" x14ac:dyDescent="0.25">
      <c r="B107" s="11"/>
      <c r="C107"/>
      <c r="D107"/>
      <c r="E107"/>
      <c r="F107"/>
      <c r="G107"/>
      <c r="H107"/>
      <c r="I107"/>
    </row>
    <row r="108" spans="2:9" x14ac:dyDescent="0.25">
      <c r="B108" s="11"/>
      <c r="C108"/>
      <c r="D108"/>
      <c r="E108"/>
      <c r="F108"/>
      <c r="G108"/>
      <c r="H108"/>
      <c r="I108"/>
    </row>
    <row r="109" spans="2:9" x14ac:dyDescent="0.25">
      <c r="B109" s="11"/>
      <c r="C109"/>
      <c r="D109"/>
      <c r="E109"/>
      <c r="F109"/>
      <c r="G109"/>
      <c r="H109"/>
      <c r="I109"/>
    </row>
    <row r="110" spans="2:9" x14ac:dyDescent="0.25">
      <c r="B110" s="11"/>
      <c r="C110"/>
      <c r="D110"/>
      <c r="E110"/>
      <c r="F110"/>
      <c r="G110"/>
      <c r="H110"/>
      <c r="I110"/>
    </row>
    <row r="111" spans="2:9" x14ac:dyDescent="0.25">
      <c r="B111" s="11"/>
      <c r="C111"/>
      <c r="D111"/>
      <c r="E111"/>
      <c r="F111"/>
      <c r="G111"/>
      <c r="H111"/>
      <c r="I111"/>
    </row>
    <row r="112" spans="2:9" x14ac:dyDescent="0.25">
      <c r="B112" s="11"/>
      <c r="C112"/>
      <c r="D112"/>
      <c r="E112"/>
      <c r="F112"/>
      <c r="G112"/>
      <c r="H112"/>
      <c r="I112"/>
    </row>
    <row r="113" spans="2:9" x14ac:dyDescent="0.25">
      <c r="B113" s="11"/>
      <c r="C113"/>
      <c r="D113"/>
      <c r="E113"/>
      <c r="F113"/>
      <c r="G113"/>
      <c r="H113"/>
      <c r="I113"/>
    </row>
    <row r="114" spans="2:9" x14ac:dyDescent="0.25">
      <c r="B114" s="11"/>
      <c r="C114"/>
      <c r="D114"/>
      <c r="E114"/>
      <c r="F114"/>
      <c r="G114"/>
      <c r="H114"/>
      <c r="I114"/>
    </row>
    <row r="115" spans="2:9" x14ac:dyDescent="0.25">
      <c r="B115" s="11"/>
      <c r="C115"/>
      <c r="D115"/>
      <c r="E115"/>
      <c r="F115"/>
      <c r="G115"/>
      <c r="H115"/>
      <c r="I115"/>
    </row>
    <row r="116" spans="2:9" x14ac:dyDescent="0.25">
      <c r="B116" s="11"/>
      <c r="C116"/>
      <c r="D116"/>
      <c r="E116"/>
      <c r="F116"/>
      <c r="G116"/>
      <c r="H116"/>
      <c r="I116"/>
    </row>
    <row r="117" spans="2:9" x14ac:dyDescent="0.25">
      <c r="B117" s="11"/>
      <c r="C117"/>
      <c r="D117"/>
      <c r="E117"/>
      <c r="F117"/>
      <c r="G117"/>
      <c r="H117"/>
      <c r="I117"/>
    </row>
    <row r="118" spans="2:9" x14ac:dyDescent="0.25">
      <c r="B118" s="11"/>
      <c r="C118"/>
      <c r="D118"/>
      <c r="E118"/>
      <c r="F118"/>
      <c r="G118"/>
      <c r="H118"/>
      <c r="I118"/>
    </row>
    <row r="119" spans="2:9" x14ac:dyDescent="0.25">
      <c r="B119" s="11"/>
      <c r="C119"/>
      <c r="D119"/>
      <c r="E119"/>
      <c r="F119"/>
      <c r="G119"/>
      <c r="H119"/>
      <c r="I119"/>
    </row>
    <row r="120" spans="2:9" x14ac:dyDescent="0.25">
      <c r="B120" s="11"/>
      <c r="C120"/>
      <c r="D120"/>
      <c r="E120"/>
      <c r="F120"/>
      <c r="G120"/>
      <c r="H120"/>
      <c r="I120"/>
    </row>
    <row r="121" spans="2:9" x14ac:dyDescent="0.25">
      <c r="C121"/>
      <c r="D121"/>
      <c r="E121"/>
      <c r="F121"/>
      <c r="G121"/>
      <c r="H121"/>
      <c r="I121"/>
    </row>
    <row r="122" spans="2:9" x14ac:dyDescent="0.25">
      <c r="C122"/>
      <c r="D122"/>
      <c r="E122"/>
      <c r="F122"/>
      <c r="G122"/>
      <c r="H122"/>
      <c r="I122"/>
    </row>
    <row r="123" spans="2:9" x14ac:dyDescent="0.25">
      <c r="C123"/>
      <c r="D123"/>
      <c r="E123"/>
      <c r="F123"/>
      <c r="G123"/>
      <c r="H123"/>
      <c r="I123"/>
    </row>
    <row r="124" spans="2:9" x14ac:dyDescent="0.25">
      <c r="C124"/>
      <c r="D124"/>
      <c r="E124"/>
      <c r="F124"/>
      <c r="G124"/>
      <c r="H124"/>
      <c r="I124"/>
    </row>
    <row r="125" spans="2:9" x14ac:dyDescent="0.25">
      <c r="C125"/>
      <c r="D125"/>
      <c r="E125"/>
      <c r="F125"/>
      <c r="G125"/>
      <c r="H125"/>
      <c r="I125"/>
    </row>
    <row r="126" spans="2:9" x14ac:dyDescent="0.25">
      <c r="C126"/>
      <c r="D126"/>
      <c r="E126"/>
      <c r="F126"/>
      <c r="G126"/>
      <c r="H126"/>
      <c r="I126"/>
    </row>
    <row r="127" spans="2:9" x14ac:dyDescent="0.25">
      <c r="C127"/>
      <c r="D127"/>
      <c r="E127"/>
      <c r="F127"/>
      <c r="G127"/>
      <c r="H127"/>
      <c r="I127"/>
    </row>
    <row r="128" spans="2:9" x14ac:dyDescent="0.25">
      <c r="C128"/>
      <c r="D128"/>
      <c r="E128"/>
      <c r="F128"/>
      <c r="G128"/>
      <c r="H128"/>
      <c r="I128"/>
    </row>
    <row r="129" spans="3:9" x14ac:dyDescent="0.25">
      <c r="C129"/>
      <c r="D129"/>
      <c r="E129"/>
      <c r="F129"/>
      <c r="G129"/>
      <c r="H129"/>
      <c r="I129"/>
    </row>
    <row r="130" spans="3:9" x14ac:dyDescent="0.25">
      <c r="C130"/>
      <c r="D130"/>
      <c r="E130"/>
      <c r="F130"/>
      <c r="G130"/>
      <c r="H130"/>
      <c r="I130"/>
    </row>
    <row r="131" spans="3:9" x14ac:dyDescent="0.25">
      <c r="C131"/>
      <c r="D131"/>
      <c r="E131"/>
      <c r="F131"/>
      <c r="G131"/>
      <c r="H131"/>
      <c r="I131"/>
    </row>
    <row r="132" spans="3:9" x14ac:dyDescent="0.25">
      <c r="C132"/>
      <c r="D132"/>
      <c r="E132"/>
      <c r="F132"/>
      <c r="G132"/>
      <c r="H132"/>
      <c r="I132"/>
    </row>
    <row r="133" spans="3:9" x14ac:dyDescent="0.25">
      <c r="C133"/>
      <c r="D133"/>
      <c r="E133"/>
      <c r="F133"/>
      <c r="G133"/>
      <c r="H133"/>
      <c r="I133"/>
    </row>
    <row r="134" spans="3:9" x14ac:dyDescent="0.25">
      <c r="C134"/>
      <c r="D134"/>
      <c r="E134"/>
      <c r="F134"/>
      <c r="G134"/>
      <c r="H134"/>
      <c r="I134"/>
    </row>
    <row r="135" spans="3:9" x14ac:dyDescent="0.25">
      <c r="C135"/>
      <c r="D135"/>
      <c r="E135"/>
      <c r="F135"/>
      <c r="G135"/>
      <c r="H135"/>
      <c r="I135"/>
    </row>
    <row r="136" spans="3:9" x14ac:dyDescent="0.25">
      <c r="C136"/>
      <c r="D136"/>
      <c r="E136"/>
      <c r="F136"/>
      <c r="G136"/>
      <c r="H136"/>
      <c r="I136"/>
    </row>
    <row r="137" spans="3:9" x14ac:dyDescent="0.25">
      <c r="C137"/>
      <c r="D137"/>
      <c r="E137"/>
      <c r="F137"/>
      <c r="G137"/>
      <c r="H137"/>
      <c r="I137"/>
    </row>
    <row r="138" spans="3:9" x14ac:dyDescent="0.25">
      <c r="C138"/>
      <c r="D138"/>
      <c r="E138"/>
      <c r="F138"/>
      <c r="G138"/>
      <c r="H138"/>
      <c r="I138"/>
    </row>
    <row r="139" spans="3:9" x14ac:dyDescent="0.25">
      <c r="C139"/>
      <c r="D139"/>
      <c r="E139"/>
      <c r="F139"/>
      <c r="G139"/>
      <c r="H139"/>
      <c r="I139"/>
    </row>
    <row r="140" spans="3:9" x14ac:dyDescent="0.25">
      <c r="C140"/>
      <c r="D140"/>
      <c r="E140"/>
      <c r="F140"/>
      <c r="G140"/>
      <c r="H140"/>
      <c r="I140"/>
    </row>
    <row r="141" spans="3:9" x14ac:dyDescent="0.25">
      <c r="C141"/>
      <c r="D141"/>
      <c r="E141"/>
      <c r="F141"/>
      <c r="G141"/>
      <c r="H141"/>
      <c r="I141"/>
    </row>
    <row r="142" spans="3:9" x14ac:dyDescent="0.25">
      <c r="C142"/>
      <c r="D142"/>
      <c r="E142"/>
      <c r="F142"/>
      <c r="G142"/>
      <c r="H142"/>
      <c r="I142"/>
    </row>
    <row r="143" spans="3:9" x14ac:dyDescent="0.25">
      <c r="C143"/>
      <c r="D143"/>
      <c r="E143"/>
      <c r="F143"/>
      <c r="G143"/>
      <c r="H143"/>
      <c r="I143"/>
    </row>
    <row r="144" spans="3:9" x14ac:dyDescent="0.25">
      <c r="C144"/>
      <c r="D144"/>
      <c r="E144"/>
      <c r="F144"/>
      <c r="G144"/>
      <c r="H144"/>
      <c r="I144"/>
    </row>
    <row r="145" spans="3:9" x14ac:dyDescent="0.25">
      <c r="C145"/>
      <c r="D145"/>
      <c r="E145"/>
      <c r="F145"/>
      <c r="G145"/>
      <c r="H145"/>
      <c r="I145"/>
    </row>
    <row r="146" spans="3:9" x14ac:dyDescent="0.25">
      <c r="C146"/>
      <c r="D146"/>
      <c r="E146"/>
      <c r="F146"/>
      <c r="G146"/>
      <c r="H146"/>
      <c r="I146"/>
    </row>
    <row r="147" spans="3:9" x14ac:dyDescent="0.25">
      <c r="C147"/>
      <c r="D147"/>
      <c r="E147"/>
      <c r="F147"/>
      <c r="G147"/>
      <c r="H147"/>
      <c r="I147"/>
    </row>
    <row r="148" spans="3:9" x14ac:dyDescent="0.25">
      <c r="C148"/>
      <c r="D148" s="18"/>
      <c r="E148"/>
      <c r="F148"/>
      <c r="G148"/>
      <c r="H148"/>
      <c r="I148"/>
    </row>
    <row r="149" spans="3:9" x14ac:dyDescent="0.25">
      <c r="C149"/>
      <c r="D149" s="18"/>
      <c r="E149"/>
      <c r="F149"/>
      <c r="G149"/>
      <c r="H149"/>
      <c r="I149"/>
    </row>
    <row r="150" spans="3:9" x14ac:dyDescent="0.25">
      <c r="C150"/>
      <c r="D150" s="18"/>
      <c r="E150"/>
      <c r="F150"/>
      <c r="G150"/>
      <c r="H150"/>
      <c r="I150"/>
    </row>
    <row r="151" spans="3:9" x14ac:dyDescent="0.25">
      <c r="C151"/>
      <c r="D151" s="18"/>
      <c r="E151"/>
      <c r="F151"/>
      <c r="G151"/>
      <c r="H151"/>
      <c r="I151"/>
    </row>
    <row r="152" spans="3:9" x14ac:dyDescent="0.25">
      <c r="C152"/>
      <c r="D152" s="18"/>
      <c r="E152"/>
      <c r="F152"/>
      <c r="G152"/>
      <c r="H152"/>
      <c r="I152"/>
    </row>
    <row r="153" spans="3:9" x14ac:dyDescent="0.25">
      <c r="C153"/>
      <c r="D153" s="18"/>
      <c r="E153"/>
      <c r="F153"/>
      <c r="G153"/>
      <c r="H153"/>
      <c r="I153"/>
    </row>
    <row r="154" spans="3:9" x14ac:dyDescent="0.25">
      <c r="C154"/>
      <c r="D154" s="18"/>
      <c r="E154"/>
      <c r="F154"/>
      <c r="G154"/>
      <c r="H154"/>
      <c r="I154"/>
    </row>
    <row r="155" spans="3:9" x14ac:dyDescent="0.25">
      <c r="C155"/>
      <c r="D155" s="18"/>
      <c r="E155"/>
      <c r="F155"/>
      <c r="G155"/>
      <c r="H155"/>
      <c r="I155"/>
    </row>
    <row r="156" spans="3:9" x14ac:dyDescent="0.25">
      <c r="C156"/>
      <c r="D156" s="18"/>
      <c r="E156"/>
      <c r="F156"/>
      <c r="G156"/>
      <c r="H156"/>
      <c r="I156"/>
    </row>
    <row r="157" spans="3:9" x14ac:dyDescent="0.25">
      <c r="C157"/>
      <c r="D157" s="18"/>
      <c r="E157"/>
      <c r="F157"/>
      <c r="G157"/>
      <c r="H157"/>
      <c r="I157"/>
    </row>
    <row r="158" spans="3:9" x14ac:dyDescent="0.25">
      <c r="C158"/>
      <c r="D158" s="18"/>
      <c r="E158"/>
      <c r="F158"/>
      <c r="G158"/>
      <c r="H158"/>
      <c r="I158"/>
    </row>
    <row r="159" spans="3:9" x14ac:dyDescent="0.25">
      <c r="C159"/>
      <c r="D159" s="18"/>
      <c r="E159"/>
      <c r="F159"/>
      <c r="G159"/>
      <c r="H159"/>
      <c r="I159"/>
    </row>
    <row r="160" spans="3:9" x14ac:dyDescent="0.25">
      <c r="C160"/>
      <c r="D160" s="18"/>
      <c r="E160"/>
      <c r="F160"/>
      <c r="G160"/>
      <c r="H160"/>
      <c r="I160"/>
    </row>
    <row r="161" spans="3:9" x14ac:dyDescent="0.25">
      <c r="C161"/>
      <c r="D161" s="18"/>
      <c r="E161"/>
      <c r="F161"/>
      <c r="G161"/>
      <c r="H161"/>
      <c r="I161"/>
    </row>
    <row r="162" spans="3:9" x14ac:dyDescent="0.25">
      <c r="C162"/>
      <c r="D162" s="18"/>
      <c r="E162"/>
      <c r="F162"/>
      <c r="G162"/>
      <c r="H162"/>
      <c r="I162"/>
    </row>
    <row r="163" spans="3:9" x14ac:dyDescent="0.25">
      <c r="C163"/>
      <c r="D163" s="18"/>
      <c r="E163"/>
      <c r="F163"/>
      <c r="G163"/>
      <c r="H163"/>
      <c r="I163"/>
    </row>
    <row r="164" spans="3:9" x14ac:dyDescent="0.25">
      <c r="C164"/>
      <c r="D164" s="18"/>
      <c r="E164"/>
      <c r="F164"/>
      <c r="G164"/>
      <c r="H164"/>
      <c r="I164"/>
    </row>
    <row r="165" spans="3:9" x14ac:dyDescent="0.25">
      <c r="C165"/>
      <c r="D165" s="18"/>
      <c r="E165"/>
      <c r="F165"/>
      <c r="G165"/>
      <c r="H165"/>
      <c r="I165"/>
    </row>
    <row r="166" spans="3:9" x14ac:dyDescent="0.25">
      <c r="C166"/>
      <c r="D166" s="18"/>
      <c r="E166"/>
      <c r="F166"/>
      <c r="G166"/>
      <c r="H166"/>
      <c r="I166"/>
    </row>
    <row r="167" spans="3:9" x14ac:dyDescent="0.25">
      <c r="C167"/>
      <c r="D167" s="18"/>
      <c r="E167"/>
      <c r="F167"/>
      <c r="G167"/>
      <c r="H167"/>
      <c r="I167"/>
    </row>
    <row r="168" spans="3:9" x14ac:dyDescent="0.25">
      <c r="C168"/>
      <c r="D168" s="18"/>
      <c r="E168"/>
      <c r="F168"/>
      <c r="G168"/>
      <c r="H168"/>
      <c r="I168"/>
    </row>
    <row r="169" spans="3:9" x14ac:dyDescent="0.25">
      <c r="C169"/>
      <c r="D169" s="18"/>
      <c r="E169"/>
      <c r="F169"/>
      <c r="G169"/>
      <c r="H169"/>
      <c r="I169"/>
    </row>
    <row r="170" spans="3:9" x14ac:dyDescent="0.25">
      <c r="C170"/>
      <c r="D170" s="18"/>
      <c r="E170"/>
      <c r="F170"/>
      <c r="G170"/>
      <c r="H170"/>
      <c r="I170"/>
    </row>
    <row r="171" spans="3:9" x14ac:dyDescent="0.25">
      <c r="C171"/>
      <c r="D171" s="18"/>
      <c r="E171"/>
      <c r="F171"/>
      <c r="G171"/>
      <c r="H171"/>
      <c r="I171"/>
    </row>
    <row r="172" spans="3:9" x14ac:dyDescent="0.25">
      <c r="C172"/>
      <c r="D172" s="18"/>
      <c r="E172"/>
      <c r="F172"/>
      <c r="G172"/>
      <c r="H172"/>
      <c r="I172"/>
    </row>
    <row r="173" spans="3:9" x14ac:dyDescent="0.25">
      <c r="C173"/>
      <c r="D173" s="18"/>
      <c r="E173"/>
      <c r="F173"/>
      <c r="G173"/>
      <c r="H173"/>
      <c r="I173"/>
    </row>
    <row r="174" spans="3:9" x14ac:dyDescent="0.25">
      <c r="C174"/>
      <c r="D174" s="18"/>
      <c r="E174"/>
      <c r="F174"/>
      <c r="G174"/>
      <c r="H174"/>
      <c r="I174"/>
    </row>
    <row r="175" spans="3:9" x14ac:dyDescent="0.25">
      <c r="C175"/>
      <c r="D175" s="18"/>
      <c r="E175"/>
      <c r="F175"/>
      <c r="G175"/>
      <c r="H175"/>
      <c r="I175"/>
    </row>
    <row r="176" spans="3:9" x14ac:dyDescent="0.25">
      <c r="C176"/>
      <c r="D176" s="18"/>
      <c r="E176"/>
      <c r="F176"/>
      <c r="G176"/>
      <c r="H176"/>
      <c r="I176"/>
    </row>
    <row r="177" spans="3:9" x14ac:dyDescent="0.25">
      <c r="C177"/>
      <c r="D177" s="18"/>
      <c r="E177"/>
      <c r="F177"/>
      <c r="G177"/>
      <c r="H177"/>
      <c r="I177"/>
    </row>
    <row r="178" spans="3:9" x14ac:dyDescent="0.25">
      <c r="C178"/>
      <c r="D178" s="18"/>
      <c r="E178"/>
      <c r="F178"/>
      <c r="G178"/>
      <c r="H178"/>
      <c r="I178"/>
    </row>
    <row r="179" spans="3:9" x14ac:dyDescent="0.25">
      <c r="C179"/>
      <c r="D179" s="18"/>
      <c r="E179"/>
      <c r="F179"/>
      <c r="G179"/>
      <c r="H179"/>
      <c r="I179"/>
    </row>
    <row r="180" spans="3:9" x14ac:dyDescent="0.25">
      <c r="C180"/>
      <c r="D180" s="18"/>
      <c r="E180"/>
      <c r="F180"/>
      <c r="G180"/>
      <c r="H180"/>
      <c r="I180"/>
    </row>
    <row r="181" spans="3:9" x14ac:dyDescent="0.25">
      <c r="C181"/>
      <c r="D181" s="18"/>
      <c r="E181"/>
      <c r="F181"/>
      <c r="G181"/>
      <c r="H181"/>
      <c r="I181"/>
    </row>
    <row r="182" spans="3:9" x14ac:dyDescent="0.25">
      <c r="C182"/>
      <c r="D182" s="18"/>
      <c r="E182"/>
      <c r="F182"/>
      <c r="G182"/>
      <c r="H182"/>
      <c r="I182"/>
    </row>
    <row r="183" spans="3:9" x14ac:dyDescent="0.25">
      <c r="C183"/>
      <c r="D183" s="18"/>
      <c r="E183"/>
      <c r="F183"/>
      <c r="G183"/>
      <c r="H183"/>
      <c r="I183"/>
    </row>
    <row r="184" spans="3:9" x14ac:dyDescent="0.25">
      <c r="C184"/>
      <c r="D184" s="18"/>
      <c r="E184"/>
      <c r="F184"/>
      <c r="G184"/>
      <c r="H184"/>
      <c r="I184"/>
    </row>
    <row r="185" spans="3:9" x14ac:dyDescent="0.25">
      <c r="C185"/>
      <c r="D185" s="18"/>
      <c r="E185"/>
      <c r="F185"/>
      <c r="G185"/>
      <c r="H185"/>
      <c r="I185"/>
    </row>
    <row r="186" spans="3:9" x14ac:dyDescent="0.25">
      <c r="C186"/>
      <c r="D186" s="18"/>
      <c r="E186"/>
      <c r="F186"/>
      <c r="G186"/>
      <c r="H186"/>
      <c r="I186"/>
    </row>
    <row r="187" spans="3:9" x14ac:dyDescent="0.25">
      <c r="C187"/>
      <c r="D187" s="18"/>
      <c r="E187"/>
      <c r="F187"/>
      <c r="G187"/>
      <c r="H187"/>
      <c r="I187"/>
    </row>
    <row r="188" spans="3:9" x14ac:dyDescent="0.25">
      <c r="C188"/>
      <c r="D188" s="18"/>
      <c r="E188"/>
      <c r="F188"/>
      <c r="G188"/>
      <c r="H188"/>
      <c r="I188"/>
    </row>
    <row r="189" spans="3:9" x14ac:dyDescent="0.25">
      <c r="C189"/>
      <c r="D189" s="18"/>
      <c r="E189"/>
      <c r="F189"/>
      <c r="G189"/>
      <c r="H189"/>
      <c r="I189"/>
    </row>
    <row r="190" spans="3:9" x14ac:dyDescent="0.25">
      <c r="C190"/>
      <c r="D190" s="18"/>
      <c r="E190"/>
      <c r="F190"/>
      <c r="G190"/>
      <c r="H190"/>
      <c r="I190"/>
    </row>
    <row r="191" spans="3:9" x14ac:dyDescent="0.25">
      <c r="C191"/>
      <c r="D191" s="18"/>
      <c r="E191"/>
      <c r="F191"/>
      <c r="G191"/>
      <c r="H191"/>
      <c r="I191"/>
    </row>
    <row r="192" spans="3:9" x14ac:dyDescent="0.25">
      <c r="C192"/>
      <c r="D192" s="18"/>
      <c r="E192"/>
      <c r="F192"/>
      <c r="G192"/>
      <c r="H192"/>
      <c r="I192"/>
    </row>
    <row r="193" spans="3:9" x14ac:dyDescent="0.25">
      <c r="C193"/>
      <c r="D193" s="18"/>
      <c r="E193"/>
      <c r="F193"/>
      <c r="G193"/>
      <c r="H193"/>
      <c r="I193"/>
    </row>
    <row r="194" spans="3:9" x14ac:dyDescent="0.25">
      <c r="C194"/>
      <c r="D194" s="18"/>
      <c r="E194"/>
      <c r="F194"/>
      <c r="G194"/>
      <c r="H194"/>
      <c r="I194"/>
    </row>
    <row r="195" spans="3:9" x14ac:dyDescent="0.25">
      <c r="C195"/>
      <c r="D195" s="18"/>
      <c r="E195"/>
      <c r="F195"/>
      <c r="G195"/>
      <c r="H195"/>
      <c r="I195"/>
    </row>
    <row r="196" spans="3:9" x14ac:dyDescent="0.25">
      <c r="C196"/>
      <c r="D196" s="18"/>
      <c r="E196"/>
      <c r="F196"/>
      <c r="G196"/>
      <c r="H196"/>
      <c r="I196"/>
    </row>
    <row r="197" spans="3:9" x14ac:dyDescent="0.25">
      <c r="C197"/>
      <c r="D197" s="18"/>
      <c r="E197"/>
      <c r="F197"/>
      <c r="G197"/>
      <c r="H197"/>
      <c r="I197"/>
    </row>
    <row r="198" spans="3:9" x14ac:dyDescent="0.25">
      <c r="C198"/>
      <c r="D198" s="18"/>
      <c r="E198"/>
      <c r="F198"/>
      <c r="G198"/>
      <c r="H198"/>
      <c r="I198"/>
    </row>
    <row r="199" spans="3:9" x14ac:dyDescent="0.25">
      <c r="C199"/>
      <c r="D199" s="18"/>
      <c r="E199"/>
      <c r="F199"/>
      <c r="G199"/>
      <c r="H199"/>
      <c r="I199"/>
    </row>
    <row r="200" spans="3:9" x14ac:dyDescent="0.25">
      <c r="C200"/>
      <c r="D200" s="18"/>
      <c r="E200"/>
      <c r="F200"/>
      <c r="G200"/>
      <c r="H200"/>
      <c r="I200"/>
    </row>
    <row r="201" spans="3:9" x14ac:dyDescent="0.25">
      <c r="C201"/>
      <c r="D201" s="18"/>
      <c r="E201"/>
      <c r="F201"/>
      <c r="G201"/>
      <c r="H201"/>
      <c r="I201"/>
    </row>
    <row r="202" spans="3:9" x14ac:dyDescent="0.25">
      <c r="C202"/>
      <c r="D202" s="18"/>
      <c r="E202"/>
      <c r="F202"/>
      <c r="G202"/>
      <c r="H202"/>
      <c r="I202"/>
    </row>
    <row r="203" spans="3:9" x14ac:dyDescent="0.25">
      <c r="C203"/>
      <c r="D203" s="18"/>
      <c r="E203"/>
      <c r="F203"/>
      <c r="G203"/>
      <c r="H203"/>
      <c r="I203"/>
    </row>
    <row r="204" spans="3:9" x14ac:dyDescent="0.25">
      <c r="C204"/>
      <c r="D204" s="18"/>
      <c r="E204"/>
      <c r="F204"/>
      <c r="G204"/>
      <c r="H204"/>
      <c r="I204"/>
    </row>
    <row r="205" spans="3:9" x14ac:dyDescent="0.25">
      <c r="C205"/>
      <c r="D205" s="18"/>
      <c r="E205"/>
      <c r="F205"/>
      <c r="G205"/>
      <c r="H205"/>
      <c r="I205"/>
    </row>
    <row r="206" spans="3:9" x14ac:dyDescent="0.25">
      <c r="C206"/>
      <c r="D206" s="18"/>
      <c r="E206"/>
      <c r="F206"/>
      <c r="G206"/>
      <c r="H206"/>
      <c r="I206"/>
    </row>
    <row r="207" spans="3:9" x14ac:dyDescent="0.25">
      <c r="C207"/>
      <c r="D207" s="18"/>
      <c r="E207"/>
      <c r="F207"/>
      <c r="G207"/>
      <c r="H207"/>
      <c r="I207"/>
    </row>
    <row r="208" spans="3:9" x14ac:dyDescent="0.25">
      <c r="C208"/>
      <c r="D208" s="18"/>
      <c r="E208"/>
      <c r="F208"/>
      <c r="G208"/>
      <c r="H208"/>
      <c r="I208"/>
    </row>
    <row r="209" spans="3:9" x14ac:dyDescent="0.25">
      <c r="C209"/>
      <c r="D209" s="18"/>
      <c r="E209"/>
      <c r="F209"/>
      <c r="G209"/>
      <c r="H209"/>
      <c r="I209"/>
    </row>
    <row r="210" spans="3:9" x14ac:dyDescent="0.25">
      <c r="C210"/>
      <c r="D210" s="18"/>
      <c r="E210"/>
      <c r="F210"/>
      <c r="G210"/>
      <c r="H210"/>
      <c r="I210"/>
    </row>
    <row r="211" spans="3:9" x14ac:dyDescent="0.25">
      <c r="C211"/>
      <c r="D211" s="18"/>
      <c r="E211"/>
      <c r="F211"/>
      <c r="G211"/>
      <c r="H211"/>
      <c r="I211"/>
    </row>
    <row r="212" spans="3:9" x14ac:dyDescent="0.25">
      <c r="C212"/>
      <c r="D212" s="18"/>
      <c r="E212"/>
      <c r="F212"/>
      <c r="G212"/>
      <c r="H212"/>
      <c r="I212"/>
    </row>
    <row r="213" spans="3:9" x14ac:dyDescent="0.25">
      <c r="C213"/>
      <c r="D213" s="18"/>
      <c r="E213"/>
      <c r="F213"/>
      <c r="G213"/>
      <c r="H213"/>
      <c r="I213"/>
    </row>
    <row r="214" spans="3:9" x14ac:dyDescent="0.25">
      <c r="C214"/>
      <c r="D214" s="18"/>
      <c r="E214"/>
      <c r="F214"/>
      <c r="G214"/>
      <c r="H214"/>
      <c r="I214"/>
    </row>
    <row r="215" spans="3:9" x14ac:dyDescent="0.25">
      <c r="C215"/>
      <c r="D215" s="18"/>
      <c r="E215"/>
      <c r="F215"/>
      <c r="G215"/>
      <c r="H215"/>
      <c r="I215"/>
    </row>
    <row r="216" spans="3:9" x14ac:dyDescent="0.25">
      <c r="C216"/>
      <c r="D216" s="18"/>
      <c r="E216"/>
      <c r="F216"/>
      <c r="G216"/>
      <c r="H216"/>
      <c r="I216"/>
    </row>
    <row r="217" spans="3:9" x14ac:dyDescent="0.25">
      <c r="C217"/>
      <c r="D217" s="18"/>
      <c r="E217"/>
      <c r="F217"/>
      <c r="G217"/>
      <c r="H217"/>
      <c r="I217"/>
    </row>
    <row r="218" spans="3:9" x14ac:dyDescent="0.25">
      <c r="C218"/>
      <c r="D218" s="18"/>
      <c r="E218"/>
      <c r="F218"/>
      <c r="G218"/>
      <c r="H218"/>
      <c r="I218"/>
    </row>
    <row r="219" spans="3:9" x14ac:dyDescent="0.25">
      <c r="C219"/>
      <c r="D219" s="18"/>
      <c r="E219"/>
      <c r="F219"/>
      <c r="G219"/>
      <c r="H219"/>
      <c r="I219"/>
    </row>
    <row r="220" spans="3:9" x14ac:dyDescent="0.25">
      <c r="C220"/>
      <c r="D220" s="18"/>
      <c r="E220"/>
      <c r="F220"/>
      <c r="G220"/>
      <c r="H220"/>
      <c r="I220"/>
    </row>
    <row r="221" spans="3:9" x14ac:dyDescent="0.25">
      <c r="C221"/>
      <c r="D221" s="18"/>
      <c r="E221"/>
      <c r="F221"/>
      <c r="G221"/>
      <c r="H221"/>
      <c r="I221"/>
    </row>
    <row r="222" spans="3:9" x14ac:dyDescent="0.25">
      <c r="C222"/>
      <c r="D222" s="18"/>
      <c r="E222"/>
      <c r="F222"/>
      <c r="G222"/>
      <c r="H222"/>
      <c r="I222"/>
    </row>
    <row r="223" spans="3:9" x14ac:dyDescent="0.25">
      <c r="C223"/>
      <c r="D223" s="18"/>
      <c r="E223"/>
      <c r="F223"/>
      <c r="G223"/>
      <c r="H223"/>
      <c r="I223"/>
    </row>
    <row r="224" spans="3:9" x14ac:dyDescent="0.25">
      <c r="C224"/>
      <c r="D224" s="18"/>
      <c r="E224"/>
      <c r="F224"/>
      <c r="G224"/>
      <c r="H224"/>
      <c r="I224"/>
    </row>
    <row r="225" spans="3:9" x14ac:dyDescent="0.25">
      <c r="C225"/>
      <c r="D225" s="18"/>
      <c r="E225"/>
      <c r="F225"/>
      <c r="G225"/>
      <c r="H225"/>
      <c r="I225"/>
    </row>
    <row r="226" spans="3:9" x14ac:dyDescent="0.25">
      <c r="C226"/>
      <c r="D226" s="18"/>
      <c r="E226"/>
      <c r="F226"/>
      <c r="G226"/>
      <c r="H226"/>
      <c r="I226"/>
    </row>
    <row r="227" spans="3:9" x14ac:dyDescent="0.25">
      <c r="C227"/>
      <c r="D227" s="18"/>
      <c r="E227"/>
      <c r="F227"/>
      <c r="G227"/>
      <c r="H227"/>
      <c r="I227"/>
    </row>
    <row r="228" spans="3:9" x14ac:dyDescent="0.25">
      <c r="C228"/>
      <c r="D228" s="18"/>
      <c r="E228"/>
      <c r="F228"/>
      <c r="G228"/>
      <c r="H228"/>
      <c r="I228"/>
    </row>
    <row r="229" spans="3:9" x14ac:dyDescent="0.25">
      <c r="C229"/>
      <c r="D229" s="18"/>
      <c r="E229"/>
      <c r="F229"/>
      <c r="G229"/>
      <c r="H229"/>
      <c r="I229"/>
    </row>
    <row r="230" spans="3:9" x14ac:dyDescent="0.25">
      <c r="C230"/>
      <c r="D230" s="18"/>
      <c r="E230"/>
      <c r="F230"/>
      <c r="G230"/>
      <c r="H230"/>
      <c r="I230"/>
    </row>
    <row r="231" spans="3:9" x14ac:dyDescent="0.25">
      <c r="C231"/>
      <c r="D231" s="18"/>
      <c r="E231"/>
      <c r="F231"/>
      <c r="G231"/>
      <c r="H231"/>
      <c r="I231"/>
    </row>
    <row r="232" spans="3:9" x14ac:dyDescent="0.25">
      <c r="C232"/>
      <c r="D232" s="18"/>
      <c r="E232"/>
      <c r="F232"/>
      <c r="G232"/>
      <c r="H232"/>
      <c r="I232"/>
    </row>
  </sheetData>
  <conditionalFormatting sqref="D233:D1048576 D2:D3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00DEA-C343-4483-8A39-E259E547A93F}">
  <sheetPr codeName="Sheet5"/>
  <dimension ref="A1"/>
  <sheetViews>
    <sheetView workbookViewId="0">
      <selection activeCell="G12" sqref="G12"/>
    </sheetView>
  </sheetViews>
  <sheetFormatPr defaultRowHeight="15" x14ac:dyDescent="0.25"/>
  <cols>
    <col min="6" max="6" width="18" bestFit="1" customWidth="1"/>
    <col min="7" max="7" width="22.85546875" bestFit="1" customWidth="1"/>
    <col min="8" max="8" width="9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3136F5-986B-4A45-9F98-BFDCF893C2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WebocBalance</vt:lpstr>
      <vt:lpstr>Report</vt:lpstr>
      <vt:lpstr>inv-Check</vt:lpstr>
      <vt:lpstr>Report2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dcterms:created xsi:type="dcterms:W3CDTF">2022-06-07T05:00:13Z</dcterms:created>
  <dcterms:modified xsi:type="dcterms:W3CDTF">2024-10-01T07:59:53Z</dcterms:modified>
</cp:coreProperties>
</file>