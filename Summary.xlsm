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DNAN\DECLARATION\"/>
    </mc:Choice>
  </mc:AlternateContent>
  <xr:revisionPtr revIDLastSave="0" documentId="13_ncr:1_{F0BE4E9F-EF8E-4B8D-9643-EF1B3D7FDB86}" xr6:coauthVersionLast="47" xr6:coauthVersionMax="47" xr10:uidLastSave="{00000000-0000-0000-0000-000000000000}"/>
  <bookViews>
    <workbookView xWindow="-120" yWindow="-120" windowWidth="20730" windowHeight="11160" tabRatio="694" firstSheet="1" activeTab="2" xr2:uid="{29C74ED3-A773-44F0-9081-9633ED66867A}"/>
  </bookViews>
  <sheets>
    <sheet name="RM-All" sheetId="14" state="hidden" r:id="rId1"/>
    <sheet name="RM-Summary-Alls" sheetId="19" r:id="rId2"/>
    <sheet name="RM-Summary-Cat" sheetId="8" r:id="rId3"/>
    <sheet name="RM-Summary-All" sheetId="18" state="hidden" r:id="rId4"/>
    <sheet name="RM-Detail" sheetId="3" r:id="rId5"/>
    <sheet name="MC+SP Data" sheetId="4" r:id="rId6"/>
    <sheet name="MC+SP Summary" sheetId="10" r:id="rId7"/>
    <sheet name="MC+SP Summary Detail" sheetId="11" r:id="rId8"/>
  </sheets>
  <externalReferences>
    <externalReference r:id="rId9"/>
  </externalReferences>
  <definedNames>
    <definedName name="_xlnm._FilterDatabase" localSheetId="5" hidden="1">'MC+SP Data'!$A$2:$H$150</definedName>
    <definedName name="_xlnm._FilterDatabase" localSheetId="0" hidden="1">'RM-All'!$H$7:$Q$28</definedName>
    <definedName name="_xlnm._FilterDatabase" localSheetId="4" hidden="1">'RM-Detail'!$J$8:$P$8</definedName>
    <definedName name="_xlnm.Print_Titles" localSheetId="7">'MC+SP Summary Detail'!$5:$7</definedName>
    <definedName name="_xlnm.Print_Titles" localSheetId="4">'RM-Detail'!$5:$8</definedName>
    <definedName name="_xlnm.Print_Titles" localSheetId="2">'RM-Summary-Cat'!$1:$6</definedName>
  </definedNames>
  <calcPr calcId="191029"/>
  <pivotCaches>
    <pivotCache cacheId="13" r:id="rId10"/>
    <pivotCache cacheId="14" r:id="rId11"/>
    <pivotCache cacheId="15" r:id="rId12"/>
    <pivotCache cacheId="16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8" i="8" l="1"/>
  <c r="S27" i="8"/>
  <c r="S31" i="8"/>
  <c r="S35" i="8"/>
  <c r="Q36" i="8"/>
  <c r="T36" i="8" s="1"/>
  <c r="P36" i="8"/>
  <c r="Q35" i="8"/>
  <c r="T35" i="8" s="1"/>
  <c r="P35" i="8"/>
  <c r="Q34" i="8"/>
  <c r="T34" i="8" s="1"/>
  <c r="P34" i="8"/>
  <c r="J34" i="8" s="1"/>
  <c r="Q33" i="8"/>
  <c r="T33" i="8" s="1"/>
  <c r="P33" i="8"/>
  <c r="Q32" i="8"/>
  <c r="T32" i="8" s="1"/>
  <c r="P32" i="8"/>
  <c r="J32" i="8" s="1"/>
  <c r="Q31" i="8"/>
  <c r="T31" i="8" s="1"/>
  <c r="P31" i="8"/>
  <c r="J31" i="8" s="1"/>
  <c r="Q30" i="8"/>
  <c r="T30" i="8" s="1"/>
  <c r="P30" i="8"/>
  <c r="Q29" i="8"/>
  <c r="T29" i="8" s="1"/>
  <c r="P29" i="8"/>
  <c r="J29" i="8" s="1"/>
  <c r="Q28" i="8"/>
  <c r="T28" i="8" s="1"/>
  <c r="P28" i="8"/>
  <c r="J28" i="8" s="1"/>
  <c r="Q27" i="8"/>
  <c r="T27" i="8" s="1"/>
  <c r="P27" i="8"/>
  <c r="J27" i="8" s="1"/>
  <c r="P26" i="8"/>
  <c r="Q26" i="8"/>
  <c r="R26" i="8" s="1"/>
  <c r="P18" i="8"/>
  <c r="J18" i="8" s="1"/>
  <c r="Q18" i="8"/>
  <c r="R18" i="8" s="1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S44" i="8" s="1"/>
  <c r="A44" i="8"/>
  <c r="B43" i="8"/>
  <c r="A43" i="8"/>
  <c r="B42" i="8"/>
  <c r="A42" i="8"/>
  <c r="B41" i="8"/>
  <c r="A41" i="8"/>
  <c r="B40" i="8"/>
  <c r="S40" i="8" s="1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Q58" i="8"/>
  <c r="S58" i="8" s="1"/>
  <c r="P58" i="8"/>
  <c r="Q57" i="8"/>
  <c r="T57" i="8" s="1"/>
  <c r="P57" i="8"/>
  <c r="Q56" i="8"/>
  <c r="S56" i="8" s="1"/>
  <c r="P56" i="8"/>
  <c r="J56" i="8" s="1"/>
  <c r="Q55" i="8"/>
  <c r="T55" i="8" s="1"/>
  <c r="P55" i="8"/>
  <c r="Q54" i="8"/>
  <c r="P54" i="8"/>
  <c r="J54" i="8" s="1"/>
  <c r="Q53" i="8"/>
  <c r="R53" i="8" s="1"/>
  <c r="P53" i="8"/>
  <c r="Q52" i="8"/>
  <c r="T52" i="8" s="1"/>
  <c r="P52" i="8"/>
  <c r="J52" i="8" s="1"/>
  <c r="Q51" i="8"/>
  <c r="T51" i="8" s="1"/>
  <c r="P51" i="8"/>
  <c r="J51" i="8" s="1"/>
  <c r="Q50" i="8"/>
  <c r="S50" i="8" s="1"/>
  <c r="P50" i="8"/>
  <c r="Q49" i="8"/>
  <c r="P49" i="8"/>
  <c r="J49" i="8" s="1"/>
  <c r="Q47" i="8"/>
  <c r="T47" i="8" s="1"/>
  <c r="P47" i="8"/>
  <c r="J47" i="8" s="1"/>
  <c r="Q46" i="8"/>
  <c r="T46" i="8" s="1"/>
  <c r="P46" i="8"/>
  <c r="Q45" i="8"/>
  <c r="T45" i="8" s="1"/>
  <c r="P45" i="8"/>
  <c r="Q44" i="8"/>
  <c r="T44" i="8" s="1"/>
  <c r="P44" i="8"/>
  <c r="Q43" i="8"/>
  <c r="T43" i="8" s="1"/>
  <c r="P43" i="8"/>
  <c r="J43" i="8" s="1"/>
  <c r="Q42" i="8"/>
  <c r="T42" i="8" s="1"/>
  <c r="P42" i="8"/>
  <c r="J42" i="8" s="1"/>
  <c r="Q41" i="8"/>
  <c r="T41" i="8" s="1"/>
  <c r="P41" i="8"/>
  <c r="Q40" i="8"/>
  <c r="K40" i="8" s="1"/>
  <c r="N40" i="8" s="1"/>
  <c r="P40" i="8"/>
  <c r="J40" i="8" s="1"/>
  <c r="Q39" i="8"/>
  <c r="T39" i="8" s="1"/>
  <c r="P39" i="8"/>
  <c r="J39" i="8" s="1"/>
  <c r="Q38" i="8"/>
  <c r="T38" i="8" s="1"/>
  <c r="P38" i="8"/>
  <c r="J38" i="8" s="1"/>
  <c r="J33" i="8"/>
  <c r="J30" i="8"/>
  <c r="Q24" i="8"/>
  <c r="T24" i="8" s="1"/>
  <c r="P24" i="8"/>
  <c r="J24" i="8" s="1"/>
  <c r="Q23" i="8"/>
  <c r="R23" i="8" s="1"/>
  <c r="P23" i="8"/>
  <c r="Q22" i="8"/>
  <c r="R22" i="8" s="1"/>
  <c r="P22" i="8"/>
  <c r="J22" i="8" s="1"/>
  <c r="Q21" i="8"/>
  <c r="T21" i="8" s="1"/>
  <c r="P21" i="8"/>
  <c r="J21" i="8" s="1"/>
  <c r="Q20" i="8"/>
  <c r="T20" i="8" s="1"/>
  <c r="P20" i="8"/>
  <c r="J20" i="8" s="1"/>
  <c r="Q19" i="8"/>
  <c r="T19" i="8" s="1"/>
  <c r="P19" i="8"/>
  <c r="J19" i="8" s="1"/>
  <c r="Q17" i="8"/>
  <c r="T17" i="8" s="1"/>
  <c r="P17" i="8"/>
  <c r="J17" i="8" s="1"/>
  <c r="Q16" i="8"/>
  <c r="R16" i="8" s="1"/>
  <c r="P16" i="8"/>
  <c r="J16" i="8" s="1"/>
  <c r="Q15" i="8"/>
  <c r="K15" i="8" s="1"/>
  <c r="N15" i="8" s="1"/>
  <c r="P15" i="8"/>
  <c r="J15" i="8" s="1"/>
  <c r="Q14" i="8"/>
  <c r="T14" i="8" s="1"/>
  <c r="P14" i="8"/>
  <c r="J14" i="8" s="1"/>
  <c r="Q13" i="8"/>
  <c r="R13" i="8" s="1"/>
  <c r="P13" i="8"/>
  <c r="J13" i="8" s="1"/>
  <c r="Q12" i="8"/>
  <c r="R12" i="8" s="1"/>
  <c r="P12" i="8"/>
  <c r="J12" i="8" s="1"/>
  <c r="Q11" i="8"/>
  <c r="T11" i="8" s="1"/>
  <c r="P11" i="8"/>
  <c r="J11" i="8" s="1"/>
  <c r="Q10" i="8"/>
  <c r="T10" i="8" s="1"/>
  <c r="P10" i="8"/>
  <c r="J10" i="8" s="1"/>
  <c r="Q9" i="8"/>
  <c r="T9" i="8" s="1"/>
  <c r="P9" i="8"/>
  <c r="J9" i="8" s="1"/>
  <c r="Q8" i="8"/>
  <c r="R8" i="8" s="1"/>
  <c r="P8" i="8"/>
  <c r="J8" i="8" s="1"/>
  <c r="P7" i="8"/>
  <c r="J7" i="8" s="1"/>
  <c r="Q7" i="8"/>
  <c r="T7" i="8" s="1"/>
  <c r="J58" i="8"/>
  <c r="J57" i="8"/>
  <c r="J55" i="8"/>
  <c r="J53" i="8"/>
  <c r="J50" i="8"/>
  <c r="J46" i="8"/>
  <c r="J45" i="8"/>
  <c r="K44" i="8"/>
  <c r="N44" i="8" s="1"/>
  <c r="J44" i="8"/>
  <c r="J41" i="8"/>
  <c r="J36" i="8"/>
  <c r="J35" i="8"/>
  <c r="J23" i="8"/>
  <c r="G34" i="19"/>
  <c r="G36" i="19" s="1"/>
  <c r="F34" i="19"/>
  <c r="F36" i="19" s="1"/>
  <c r="E34" i="19"/>
  <c r="E36" i="19" s="1"/>
  <c r="D34" i="19"/>
  <c r="D36" i="19" s="1"/>
  <c r="O9" i="10"/>
  <c r="N9" i="10"/>
  <c r="N8" i="10"/>
  <c r="O8" i="10"/>
  <c r="J25" i="8" l="1"/>
  <c r="S22" i="8"/>
  <c r="S14" i="8"/>
  <c r="S10" i="8"/>
  <c r="R44" i="8"/>
  <c r="R40" i="8"/>
  <c r="R35" i="8"/>
  <c r="R31" i="8"/>
  <c r="R27" i="8"/>
  <c r="R14" i="8"/>
  <c r="R10" i="8"/>
  <c r="S47" i="8"/>
  <c r="S43" i="8"/>
  <c r="S39" i="8"/>
  <c r="S34" i="8"/>
  <c r="S30" i="8"/>
  <c r="S26" i="8"/>
  <c r="S21" i="8"/>
  <c r="S17" i="8"/>
  <c r="S13" i="8"/>
  <c r="S9" i="8"/>
  <c r="R47" i="8"/>
  <c r="R43" i="8"/>
  <c r="R39" i="8"/>
  <c r="R34" i="8"/>
  <c r="R30" i="8"/>
  <c r="R21" i="8"/>
  <c r="R17" i="8"/>
  <c r="R9" i="8"/>
  <c r="S46" i="8"/>
  <c r="S42" i="8"/>
  <c r="S38" i="8"/>
  <c r="S33" i="8"/>
  <c r="S29" i="8"/>
  <c r="S24" i="8"/>
  <c r="S20" i="8"/>
  <c r="S16" i="8"/>
  <c r="S12" i="8"/>
  <c r="S8" i="8"/>
  <c r="P25" i="8"/>
  <c r="P60" i="8" s="1"/>
  <c r="R46" i="8"/>
  <c r="R42" i="8"/>
  <c r="R38" i="8"/>
  <c r="R33" i="8"/>
  <c r="R29" i="8"/>
  <c r="R24" i="8"/>
  <c r="R20" i="8"/>
  <c r="Q25" i="8"/>
  <c r="T25" i="8" s="1"/>
  <c r="S45" i="8"/>
  <c r="S41" i="8"/>
  <c r="S36" i="8"/>
  <c r="S32" i="8"/>
  <c r="S28" i="8"/>
  <c r="S23" i="8"/>
  <c r="S19" i="8"/>
  <c r="S15" i="8"/>
  <c r="S11" i="8"/>
  <c r="S7" i="8"/>
  <c r="R45" i="8"/>
  <c r="R41" i="8"/>
  <c r="R36" i="8"/>
  <c r="R32" i="8"/>
  <c r="R28" i="8"/>
  <c r="R19" i="8"/>
  <c r="R25" i="8" s="1"/>
  <c r="R15" i="8"/>
  <c r="R11" i="8"/>
  <c r="R7" i="8"/>
  <c r="Q37" i="8"/>
  <c r="T37" i="8" s="1"/>
  <c r="P37" i="8"/>
  <c r="J26" i="8"/>
  <c r="J37" i="8" s="1"/>
  <c r="T26" i="8"/>
  <c r="T18" i="8"/>
  <c r="K18" i="8"/>
  <c r="K21" i="8"/>
  <c r="L21" i="8" s="1"/>
  <c r="K17" i="8"/>
  <c r="N17" i="8" s="1"/>
  <c r="K26" i="8"/>
  <c r="T56" i="8"/>
  <c r="K9" i="8"/>
  <c r="N9" i="8" s="1"/>
  <c r="T50" i="8"/>
  <c r="K23" i="8"/>
  <c r="N23" i="8" s="1"/>
  <c r="T40" i="8"/>
  <c r="S49" i="8"/>
  <c r="R52" i="8"/>
  <c r="Q48" i="8"/>
  <c r="T48" i="8" s="1"/>
  <c r="R50" i="8"/>
  <c r="R58" i="8"/>
  <c r="S52" i="8"/>
  <c r="P48" i="8"/>
  <c r="J48" i="8" s="1"/>
  <c r="S55" i="8"/>
  <c r="T23" i="8"/>
  <c r="K12" i="8"/>
  <c r="N12" i="8" s="1"/>
  <c r="T58" i="8"/>
  <c r="S53" i="8"/>
  <c r="R56" i="8"/>
  <c r="P59" i="8"/>
  <c r="T12" i="8"/>
  <c r="Q59" i="8"/>
  <c r="T59" i="8" s="1"/>
  <c r="R54" i="8"/>
  <c r="T53" i="8"/>
  <c r="R55" i="8"/>
  <c r="R57" i="8"/>
  <c r="S57" i="8"/>
  <c r="R51" i="8"/>
  <c r="S54" i="8"/>
  <c r="S51" i="8"/>
  <c r="T54" i="8"/>
  <c r="T49" i="8"/>
  <c r="R49" i="8"/>
  <c r="T22" i="8"/>
  <c r="K20" i="8"/>
  <c r="K24" i="8"/>
  <c r="N24" i="8" s="1"/>
  <c r="K22" i="8"/>
  <c r="N22" i="8" s="1"/>
  <c r="K16" i="8"/>
  <c r="N16" i="8" s="1"/>
  <c r="T13" i="8"/>
  <c r="K11" i="8"/>
  <c r="K19" i="8"/>
  <c r="T8" i="8"/>
  <c r="T16" i="8"/>
  <c r="K13" i="8"/>
  <c r="L13" i="8" s="1"/>
  <c r="T15" i="8"/>
  <c r="K7" i="8"/>
  <c r="K25" i="8" s="1"/>
  <c r="K32" i="8"/>
  <c r="K36" i="8"/>
  <c r="K52" i="8"/>
  <c r="K56" i="8"/>
  <c r="K28" i="8"/>
  <c r="L40" i="8"/>
  <c r="L44" i="8"/>
  <c r="K29" i="8"/>
  <c r="K33" i="8"/>
  <c r="M40" i="8"/>
  <c r="K41" i="8"/>
  <c r="M44" i="8"/>
  <c r="K45" i="8"/>
  <c r="K49" i="8"/>
  <c r="K53" i="8"/>
  <c r="K57" i="8"/>
  <c r="K30" i="8"/>
  <c r="K34" i="8"/>
  <c r="K38" i="8"/>
  <c r="K42" i="8"/>
  <c r="K46" i="8"/>
  <c r="K50" i="8"/>
  <c r="K54" i="8"/>
  <c r="K58" i="8"/>
  <c r="K27" i="8"/>
  <c r="K31" i="8"/>
  <c r="K35" i="8"/>
  <c r="K39" i="8"/>
  <c r="K43" i="8"/>
  <c r="K47" i="8"/>
  <c r="K51" i="8"/>
  <c r="K55" i="8"/>
  <c r="K14" i="8"/>
  <c r="N14" i="8" s="1"/>
  <c r="K10" i="8"/>
  <c r="L17" i="8"/>
  <c r="L15" i="8"/>
  <c r="K8" i="8"/>
  <c r="N8" i="8" s="1"/>
  <c r="M15" i="8"/>
  <c r="M9" i="8"/>
  <c r="M17" i="8"/>
  <c r="M24" i="8"/>
  <c r="O26" i="19"/>
  <c r="O25" i="19"/>
  <c r="I25" i="19" s="1"/>
  <c r="O24" i="19"/>
  <c r="I24" i="19" s="1"/>
  <c r="O23" i="19"/>
  <c r="O22" i="19"/>
  <c r="I22" i="19" s="1"/>
  <c r="O21" i="19"/>
  <c r="O20" i="19"/>
  <c r="I20" i="19" s="1"/>
  <c r="O19" i="19"/>
  <c r="I19" i="19" s="1"/>
  <c r="O18" i="19"/>
  <c r="I18" i="19" s="1"/>
  <c r="O17" i="19"/>
  <c r="I17" i="19" s="1"/>
  <c r="O16" i="19"/>
  <c r="I16" i="19" s="1"/>
  <c r="O15" i="19"/>
  <c r="I15" i="19" s="1"/>
  <c r="O14" i="19"/>
  <c r="I14" i="19" s="1"/>
  <c r="O13" i="19"/>
  <c r="O12" i="19"/>
  <c r="I12" i="19" s="1"/>
  <c r="O11" i="19"/>
  <c r="I11" i="19" s="1"/>
  <c r="O10" i="19"/>
  <c r="I10" i="19" s="1"/>
  <c r="O9" i="19"/>
  <c r="I9" i="19" s="1"/>
  <c r="O8" i="19"/>
  <c r="I8" i="19" s="1"/>
  <c r="O7" i="19"/>
  <c r="P26" i="19"/>
  <c r="P25" i="19"/>
  <c r="P24" i="19"/>
  <c r="S24" i="19" s="1"/>
  <c r="P23" i="19"/>
  <c r="P22" i="19"/>
  <c r="S22" i="19" s="1"/>
  <c r="P21" i="19"/>
  <c r="P20" i="19"/>
  <c r="P19" i="19"/>
  <c r="P18" i="19"/>
  <c r="P17" i="19"/>
  <c r="P16" i="19"/>
  <c r="P15" i="19"/>
  <c r="P14" i="19"/>
  <c r="P13" i="19"/>
  <c r="P12" i="19"/>
  <c r="S12" i="19" s="1"/>
  <c r="P11" i="19"/>
  <c r="P10" i="19"/>
  <c r="S10" i="19" s="1"/>
  <c r="P9" i="19"/>
  <c r="P8" i="19"/>
  <c r="P7" i="19"/>
  <c r="S7" i="19" s="1"/>
  <c r="I26" i="19"/>
  <c r="B26" i="19"/>
  <c r="A26" i="19"/>
  <c r="B25" i="19"/>
  <c r="A25" i="19"/>
  <c r="B24" i="19"/>
  <c r="A24" i="19"/>
  <c r="I23" i="19"/>
  <c r="B23" i="19"/>
  <c r="A23" i="19"/>
  <c r="B22" i="19"/>
  <c r="A22" i="19"/>
  <c r="I21" i="19"/>
  <c r="B21" i="19"/>
  <c r="A21" i="19"/>
  <c r="B20" i="19"/>
  <c r="A20" i="19"/>
  <c r="B19" i="19"/>
  <c r="A19" i="19"/>
  <c r="B18" i="19"/>
  <c r="A18" i="19"/>
  <c r="B17" i="19"/>
  <c r="A17" i="19"/>
  <c r="B16" i="19"/>
  <c r="A16" i="19"/>
  <c r="B15" i="19"/>
  <c r="A15" i="19"/>
  <c r="B14" i="19"/>
  <c r="A14" i="19"/>
  <c r="I13" i="19"/>
  <c r="B13" i="19"/>
  <c r="A13" i="19"/>
  <c r="B12" i="19"/>
  <c r="A12" i="19"/>
  <c r="B11" i="19"/>
  <c r="A11" i="19"/>
  <c r="B10" i="19"/>
  <c r="A10" i="19"/>
  <c r="B9" i="19"/>
  <c r="A9" i="19"/>
  <c r="B8" i="19"/>
  <c r="A8" i="19"/>
  <c r="B7" i="19"/>
  <c r="A7" i="19"/>
  <c r="B27" i="18"/>
  <c r="A27" i="18"/>
  <c r="B26" i="18"/>
  <c r="A26" i="18"/>
  <c r="B25" i="18"/>
  <c r="A25" i="18"/>
  <c r="B24" i="18"/>
  <c r="A24" i="18"/>
  <c r="B23" i="18"/>
  <c r="A23" i="18"/>
  <c r="B22" i="18"/>
  <c r="A22" i="18"/>
  <c r="B21" i="18"/>
  <c r="A21" i="18"/>
  <c r="B20" i="18"/>
  <c r="A20" i="18"/>
  <c r="B19" i="18"/>
  <c r="A19" i="18"/>
  <c r="B18" i="18"/>
  <c r="A18" i="18"/>
  <c r="B17" i="18"/>
  <c r="A17" i="18"/>
  <c r="B16" i="18"/>
  <c r="A16" i="18"/>
  <c r="B15" i="18"/>
  <c r="A15" i="18"/>
  <c r="B14" i="18"/>
  <c r="A14" i="18"/>
  <c r="B13" i="18"/>
  <c r="A13" i="18"/>
  <c r="B12" i="18"/>
  <c r="A12" i="18"/>
  <c r="B11" i="18"/>
  <c r="A11" i="18"/>
  <c r="B10" i="18"/>
  <c r="A10" i="18"/>
  <c r="B9" i="18"/>
  <c r="A9" i="18"/>
  <c r="P27" i="18"/>
  <c r="J27" i="18" s="1"/>
  <c r="K27" i="18" s="1"/>
  <c r="P26" i="18"/>
  <c r="R26" i="18" s="1"/>
  <c r="P25" i="18"/>
  <c r="J25" i="18" s="1"/>
  <c r="K25" i="18" s="1"/>
  <c r="P24" i="18"/>
  <c r="J24" i="18" s="1"/>
  <c r="K24" i="18" s="1"/>
  <c r="P23" i="18"/>
  <c r="J23" i="18" s="1"/>
  <c r="K23" i="18" s="1"/>
  <c r="P22" i="18"/>
  <c r="P21" i="18"/>
  <c r="P20" i="18"/>
  <c r="P19" i="18"/>
  <c r="P18" i="18"/>
  <c r="J18" i="18" s="1"/>
  <c r="K18" i="18" s="1"/>
  <c r="P17" i="18"/>
  <c r="P16" i="18"/>
  <c r="P15" i="18"/>
  <c r="P14" i="18"/>
  <c r="P13" i="18"/>
  <c r="P12" i="18"/>
  <c r="J12" i="18" s="1"/>
  <c r="P11" i="18"/>
  <c r="P10" i="18"/>
  <c r="P9" i="18"/>
  <c r="P8" i="18"/>
  <c r="O27" i="18"/>
  <c r="I27" i="18" s="1"/>
  <c r="O26" i="18"/>
  <c r="I26" i="18" s="1"/>
  <c r="O25" i="18"/>
  <c r="I25" i="18" s="1"/>
  <c r="O24" i="18"/>
  <c r="I24" i="18" s="1"/>
  <c r="O23" i="18"/>
  <c r="I23" i="18" s="1"/>
  <c r="O22" i="18"/>
  <c r="I22" i="18" s="1"/>
  <c r="O21" i="18"/>
  <c r="I21" i="18" s="1"/>
  <c r="O20" i="18"/>
  <c r="I20" i="18" s="1"/>
  <c r="O19" i="18"/>
  <c r="I19" i="18" s="1"/>
  <c r="O18" i="18"/>
  <c r="O17" i="18"/>
  <c r="I17" i="18" s="1"/>
  <c r="O16" i="18"/>
  <c r="I16" i="18" s="1"/>
  <c r="O15" i="18"/>
  <c r="I15" i="18" s="1"/>
  <c r="O14" i="18"/>
  <c r="I14" i="18" s="1"/>
  <c r="O13" i="18"/>
  <c r="I13" i="18" s="1"/>
  <c r="O12" i="18"/>
  <c r="I12" i="18" s="1"/>
  <c r="O11" i="18"/>
  <c r="I11" i="18" s="1"/>
  <c r="O10" i="18"/>
  <c r="I10" i="18" s="1"/>
  <c r="O9" i="18"/>
  <c r="I9" i="18" s="1"/>
  <c r="O8" i="18"/>
  <c r="I8" i="18" s="1"/>
  <c r="J21" i="18"/>
  <c r="K21" i="18" s="1"/>
  <c r="R21" i="18"/>
  <c r="B8" i="18"/>
  <c r="A8" i="18"/>
  <c r="S25" i="8" l="1"/>
  <c r="M21" i="8"/>
  <c r="Q60" i="8"/>
  <c r="N21" i="8"/>
  <c r="R37" i="8"/>
  <c r="S37" i="8"/>
  <c r="N26" i="8"/>
  <c r="K37" i="8"/>
  <c r="K60" i="8" s="1"/>
  <c r="N25" i="8"/>
  <c r="L18" i="8"/>
  <c r="M18" i="8"/>
  <c r="N18" i="8"/>
  <c r="Q17" i="19"/>
  <c r="T60" i="8"/>
  <c r="L24" i="8"/>
  <c r="M26" i="8"/>
  <c r="L26" i="8"/>
  <c r="R19" i="18"/>
  <c r="J24" i="19"/>
  <c r="M24" i="19" s="1"/>
  <c r="J9" i="19"/>
  <c r="M9" i="19" s="1"/>
  <c r="S9" i="19"/>
  <c r="J17" i="19"/>
  <c r="M17" i="19" s="1"/>
  <c r="S17" i="19"/>
  <c r="R25" i="19"/>
  <c r="S25" i="19"/>
  <c r="L9" i="8"/>
  <c r="J18" i="19"/>
  <c r="M18" i="19" s="1"/>
  <c r="S18" i="19"/>
  <c r="J26" i="19"/>
  <c r="M26" i="19" s="1"/>
  <c r="S26" i="19"/>
  <c r="J11" i="19"/>
  <c r="M11" i="19" s="1"/>
  <c r="S11" i="19"/>
  <c r="R19" i="19"/>
  <c r="S19" i="19"/>
  <c r="M14" i="8"/>
  <c r="M12" i="8"/>
  <c r="J16" i="19"/>
  <c r="M16" i="19" s="1"/>
  <c r="S16" i="19"/>
  <c r="R20" i="19"/>
  <c r="S20" i="19"/>
  <c r="L12" i="8"/>
  <c r="J8" i="19"/>
  <c r="M8" i="19" s="1"/>
  <c r="S8" i="19"/>
  <c r="J13" i="19"/>
  <c r="M13" i="19" s="1"/>
  <c r="S13" i="19"/>
  <c r="J21" i="19"/>
  <c r="M21" i="19" s="1"/>
  <c r="S21" i="19"/>
  <c r="J14" i="19"/>
  <c r="M14" i="19" s="1"/>
  <c r="S14" i="19"/>
  <c r="L14" i="8"/>
  <c r="R15" i="19"/>
  <c r="S15" i="19"/>
  <c r="R23" i="19"/>
  <c r="S23" i="19"/>
  <c r="L23" i="8"/>
  <c r="M16" i="8"/>
  <c r="S48" i="8"/>
  <c r="R48" i="8"/>
  <c r="M23" i="8"/>
  <c r="K59" i="8"/>
  <c r="N59" i="8" s="1"/>
  <c r="S59" i="8"/>
  <c r="N19" i="8"/>
  <c r="R59" i="8"/>
  <c r="M22" i="8"/>
  <c r="K48" i="8"/>
  <c r="N48" i="8" s="1"/>
  <c r="N7" i="8"/>
  <c r="J59" i="8"/>
  <c r="J60" i="8" s="1"/>
  <c r="L20" i="8"/>
  <c r="M20" i="8"/>
  <c r="L22" i="8"/>
  <c r="N20" i="8"/>
  <c r="M19" i="8"/>
  <c r="M11" i="8"/>
  <c r="N11" i="8"/>
  <c r="L11" i="8"/>
  <c r="M13" i="8"/>
  <c r="N13" i="8"/>
  <c r="L16" i="8"/>
  <c r="L19" i="8"/>
  <c r="M46" i="8"/>
  <c r="L46" i="8"/>
  <c r="N46" i="8"/>
  <c r="N47" i="8"/>
  <c r="M47" i="8"/>
  <c r="L47" i="8"/>
  <c r="N43" i="8"/>
  <c r="L43" i="8"/>
  <c r="M43" i="8"/>
  <c r="N56" i="8"/>
  <c r="M56" i="8"/>
  <c r="L56" i="8"/>
  <c r="N39" i="8"/>
  <c r="M39" i="8"/>
  <c r="L39" i="8"/>
  <c r="N49" i="8"/>
  <c r="M49" i="8"/>
  <c r="L49" i="8"/>
  <c r="N36" i="8"/>
  <c r="M36" i="8"/>
  <c r="L36" i="8"/>
  <c r="N55" i="8"/>
  <c r="M55" i="8"/>
  <c r="L55" i="8"/>
  <c r="N57" i="8"/>
  <c r="M57" i="8"/>
  <c r="L57" i="8"/>
  <c r="N28" i="8"/>
  <c r="M28" i="8"/>
  <c r="L28" i="8"/>
  <c r="M30" i="8"/>
  <c r="L30" i="8"/>
  <c r="N30" i="8"/>
  <c r="N53" i="8"/>
  <c r="M53" i="8"/>
  <c r="L53" i="8"/>
  <c r="M58" i="8"/>
  <c r="L58" i="8"/>
  <c r="N58" i="8"/>
  <c r="N31" i="8"/>
  <c r="M31" i="8"/>
  <c r="L31" i="8"/>
  <c r="N52" i="8"/>
  <c r="M52" i="8"/>
  <c r="L52" i="8"/>
  <c r="N51" i="8"/>
  <c r="M51" i="8"/>
  <c r="L51" i="8"/>
  <c r="N29" i="8"/>
  <c r="L29" i="8"/>
  <c r="M29" i="8"/>
  <c r="N41" i="8"/>
  <c r="M41" i="8"/>
  <c r="L41" i="8"/>
  <c r="M42" i="8"/>
  <c r="L42" i="8"/>
  <c r="N42" i="8"/>
  <c r="N35" i="8"/>
  <c r="M35" i="8"/>
  <c r="L35" i="8"/>
  <c r="M54" i="8"/>
  <c r="L54" i="8"/>
  <c r="N54" i="8"/>
  <c r="M38" i="8"/>
  <c r="L38" i="8"/>
  <c r="N38" i="8"/>
  <c r="L27" i="8"/>
  <c r="N27" i="8"/>
  <c r="M27" i="8"/>
  <c r="M50" i="8"/>
  <c r="L50" i="8"/>
  <c r="N50" i="8"/>
  <c r="M34" i="8"/>
  <c r="L34" i="8"/>
  <c r="N34" i="8"/>
  <c r="N45" i="8"/>
  <c r="M45" i="8"/>
  <c r="L45" i="8"/>
  <c r="N33" i="8"/>
  <c r="M33" i="8"/>
  <c r="L33" i="8"/>
  <c r="N32" i="8"/>
  <c r="M32" i="8"/>
  <c r="L32" i="8"/>
  <c r="L8" i="8"/>
  <c r="M8" i="8"/>
  <c r="L10" i="8"/>
  <c r="N10" i="8"/>
  <c r="M10" i="8"/>
  <c r="K12" i="18"/>
  <c r="M12" i="18" s="1"/>
  <c r="L17" i="19"/>
  <c r="R10" i="19"/>
  <c r="J25" i="19"/>
  <c r="K25" i="19" s="1"/>
  <c r="R12" i="19"/>
  <c r="J15" i="19"/>
  <c r="M15" i="19" s="1"/>
  <c r="R18" i="19"/>
  <c r="R16" i="19"/>
  <c r="R8" i="19"/>
  <c r="R17" i="19"/>
  <c r="Q21" i="19"/>
  <c r="Q25" i="19"/>
  <c r="R21" i="19"/>
  <c r="R13" i="19"/>
  <c r="J23" i="19"/>
  <c r="Q23" i="19"/>
  <c r="J12" i="19"/>
  <c r="L16" i="19"/>
  <c r="R22" i="19"/>
  <c r="J20" i="19"/>
  <c r="O27" i="19"/>
  <c r="Q19" i="19"/>
  <c r="J22" i="19"/>
  <c r="R14" i="19"/>
  <c r="J19" i="19"/>
  <c r="J10" i="19"/>
  <c r="K10" i="19" s="1"/>
  <c r="P27" i="19"/>
  <c r="L13" i="19"/>
  <c r="L26" i="19"/>
  <c r="K26" i="19"/>
  <c r="K9" i="19"/>
  <c r="K16" i="19"/>
  <c r="Q7" i="19"/>
  <c r="Q9" i="19"/>
  <c r="Q11" i="19"/>
  <c r="Q13" i="19"/>
  <c r="Q15" i="19"/>
  <c r="I7" i="19"/>
  <c r="I27" i="19" s="1"/>
  <c r="R9" i="19"/>
  <c r="J7" i="19"/>
  <c r="M7" i="19" s="1"/>
  <c r="R7" i="19"/>
  <c r="R11" i="19"/>
  <c r="Q8" i="19"/>
  <c r="Q22" i="19"/>
  <c r="Q24" i="19"/>
  <c r="Q26" i="19"/>
  <c r="Q10" i="19"/>
  <c r="Q12" i="19"/>
  <c r="Q14" i="19"/>
  <c r="Q16" i="19"/>
  <c r="Q18" i="19"/>
  <c r="Q20" i="19"/>
  <c r="R24" i="19"/>
  <c r="R26" i="19"/>
  <c r="R15" i="18"/>
  <c r="J15" i="18"/>
  <c r="L15" i="18" s="1"/>
  <c r="L18" i="18"/>
  <c r="M21" i="18"/>
  <c r="L27" i="18"/>
  <c r="L12" i="18"/>
  <c r="R20" i="18"/>
  <c r="R13" i="18"/>
  <c r="R14" i="18"/>
  <c r="R22" i="18"/>
  <c r="L24" i="18"/>
  <c r="R8" i="18"/>
  <c r="R16" i="18"/>
  <c r="R9" i="18"/>
  <c r="R17" i="18"/>
  <c r="R10" i="18"/>
  <c r="R11" i="18"/>
  <c r="J22" i="18"/>
  <c r="O28" i="18"/>
  <c r="P28" i="18"/>
  <c r="J14" i="18"/>
  <c r="R24" i="18"/>
  <c r="J16" i="18"/>
  <c r="R27" i="18"/>
  <c r="J17" i="18"/>
  <c r="R12" i="18"/>
  <c r="J9" i="18"/>
  <c r="J11" i="18"/>
  <c r="J20" i="18"/>
  <c r="J13" i="18"/>
  <c r="J19" i="18"/>
  <c r="J10" i="18"/>
  <c r="J8" i="18"/>
  <c r="L23" i="18"/>
  <c r="M23" i="18"/>
  <c r="M25" i="18"/>
  <c r="L25" i="18"/>
  <c r="Q8" i="18"/>
  <c r="Q10" i="18"/>
  <c r="S10" i="18" s="1"/>
  <c r="Q12" i="18"/>
  <c r="S12" i="18" s="1"/>
  <c r="Q14" i="18"/>
  <c r="S14" i="18" s="1"/>
  <c r="Q16" i="18"/>
  <c r="S16" i="18" s="1"/>
  <c r="Q18" i="18"/>
  <c r="Q20" i="18"/>
  <c r="S20" i="18" s="1"/>
  <c r="L21" i="18"/>
  <c r="Q22" i="18"/>
  <c r="S22" i="18" s="1"/>
  <c r="Q24" i="18"/>
  <c r="S24" i="18" s="1"/>
  <c r="J26" i="18"/>
  <c r="K26" i="18" s="1"/>
  <c r="Q27" i="18"/>
  <c r="S27" i="18" s="1"/>
  <c r="I18" i="18"/>
  <c r="I28" i="18" s="1"/>
  <c r="R18" i="18"/>
  <c r="M27" i="18"/>
  <c r="M18" i="18"/>
  <c r="M24" i="18"/>
  <c r="Q9" i="18"/>
  <c r="S9" i="18" s="1"/>
  <c r="Q11" i="18"/>
  <c r="S11" i="18" s="1"/>
  <c r="Q13" i="18"/>
  <c r="S13" i="18" s="1"/>
  <c r="Q15" i="18"/>
  <c r="S15" i="18" s="1"/>
  <c r="Q17" i="18"/>
  <c r="Q19" i="18"/>
  <c r="S19" i="18" s="1"/>
  <c r="Q21" i="18"/>
  <c r="S21" i="18" s="1"/>
  <c r="Q23" i="18"/>
  <c r="S23" i="18" s="1"/>
  <c r="Q25" i="18"/>
  <c r="S25" i="18" s="1"/>
  <c r="R23" i="18"/>
  <c r="R25" i="18"/>
  <c r="Q26" i="18"/>
  <c r="S26" i="18" s="1"/>
  <c r="N27" i="14"/>
  <c r="N26" i="14"/>
  <c r="N25" i="14"/>
  <c r="N23" i="14"/>
  <c r="N22" i="14"/>
  <c r="N18" i="14"/>
  <c r="N17" i="14"/>
  <c r="N16" i="14"/>
  <c r="N15" i="14"/>
  <c r="N14" i="14"/>
  <c r="N13" i="14"/>
  <c r="N12" i="14"/>
  <c r="N11" i="14"/>
  <c r="N10" i="14"/>
  <c r="N9" i="14"/>
  <c r="N8" i="14"/>
  <c r="N37" i="8" l="1"/>
  <c r="R60" i="8"/>
  <c r="S60" i="8"/>
  <c r="M37" i="8"/>
  <c r="L37" i="8"/>
  <c r="K14" i="19"/>
  <c r="L14" i="19"/>
  <c r="L9" i="19"/>
  <c r="L21" i="19"/>
  <c r="K21" i="19"/>
  <c r="K17" i="19"/>
  <c r="L8" i="19"/>
  <c r="L15" i="19"/>
  <c r="K8" i="19"/>
  <c r="K18" i="19"/>
  <c r="K13" i="19"/>
  <c r="L18" i="19"/>
  <c r="K24" i="19"/>
  <c r="L24" i="19"/>
  <c r="K11" i="19"/>
  <c r="L11" i="19"/>
  <c r="N60" i="8"/>
  <c r="K19" i="19"/>
  <c r="M19" i="19"/>
  <c r="L22" i="19"/>
  <c r="M22" i="19"/>
  <c r="L12" i="19"/>
  <c r="M12" i="19"/>
  <c r="K15" i="19"/>
  <c r="L23" i="19"/>
  <c r="M23" i="19"/>
  <c r="L20" i="19"/>
  <c r="M20" i="19"/>
  <c r="L25" i="19"/>
  <c r="M25" i="19"/>
  <c r="L10" i="19"/>
  <c r="M10" i="19"/>
  <c r="L59" i="8"/>
  <c r="L48" i="8"/>
  <c r="M59" i="8"/>
  <c r="M48" i="8"/>
  <c r="K22" i="19"/>
  <c r="K23" i="19"/>
  <c r="K12" i="19"/>
  <c r="K20" i="19"/>
  <c r="K20" i="18"/>
  <c r="M20" i="18" s="1"/>
  <c r="L22" i="18"/>
  <c r="K22" i="18"/>
  <c r="M22" i="18" s="1"/>
  <c r="L19" i="19"/>
  <c r="L7" i="19"/>
  <c r="K7" i="19"/>
  <c r="J27" i="19"/>
  <c r="Q27" i="19"/>
  <c r="R27" i="19"/>
  <c r="K13" i="18"/>
  <c r="M13" i="18" s="1"/>
  <c r="L14" i="18"/>
  <c r="K14" i="18"/>
  <c r="M14" i="18" s="1"/>
  <c r="L8" i="18"/>
  <c r="K8" i="18"/>
  <c r="M8" i="18" s="1"/>
  <c r="K17" i="18"/>
  <c r="M17" i="18" s="1"/>
  <c r="K10" i="18"/>
  <c r="M10" i="18" s="1"/>
  <c r="K15" i="18"/>
  <c r="M15" i="18" s="1"/>
  <c r="K11" i="18"/>
  <c r="M11" i="18" s="1"/>
  <c r="L9" i="18"/>
  <c r="K9" i="18"/>
  <c r="M9" i="18" s="1"/>
  <c r="K19" i="18"/>
  <c r="M19" i="18" s="1"/>
  <c r="K16" i="18"/>
  <c r="M16" i="18" s="1"/>
  <c r="L20" i="18"/>
  <c r="L17" i="18"/>
  <c r="S8" i="18"/>
  <c r="Q28" i="18"/>
  <c r="R28" i="18"/>
  <c r="L16" i="18"/>
  <c r="L13" i="18"/>
  <c r="L10" i="18"/>
  <c r="L19" i="18"/>
  <c r="L11" i="18"/>
  <c r="J28" i="18"/>
  <c r="S17" i="18"/>
  <c r="L26" i="18"/>
  <c r="M26" i="18"/>
  <c r="S18" i="18"/>
  <c r="M24" i="14"/>
  <c r="H24" i="14" s="1"/>
  <c r="M21" i="14"/>
  <c r="H21" i="14" s="1"/>
  <c r="M20" i="14"/>
  <c r="H20" i="14" s="1"/>
  <c r="M19" i="14"/>
  <c r="H19" i="14" s="1"/>
  <c r="N24" i="14"/>
  <c r="I24" i="14" s="1"/>
  <c r="N21" i="14"/>
  <c r="I21" i="14" s="1"/>
  <c r="N20" i="14"/>
  <c r="N19" i="14"/>
  <c r="B28" i="14"/>
  <c r="A28" i="14"/>
  <c r="B27" i="14"/>
  <c r="A27" i="14"/>
  <c r="O27" i="14" s="1"/>
  <c r="B26" i="14"/>
  <c r="A26" i="14"/>
  <c r="B25" i="14"/>
  <c r="A25" i="14"/>
  <c r="B24" i="14"/>
  <c r="A24" i="14"/>
  <c r="B23" i="14"/>
  <c r="A23" i="14"/>
  <c r="B22" i="14"/>
  <c r="A22" i="14"/>
  <c r="B21" i="14"/>
  <c r="A21" i="14"/>
  <c r="B20" i="14"/>
  <c r="A20" i="14"/>
  <c r="B19" i="14"/>
  <c r="A19" i="14"/>
  <c r="B18" i="14"/>
  <c r="A18" i="14"/>
  <c r="B17" i="14"/>
  <c r="A17" i="14"/>
  <c r="B16" i="14"/>
  <c r="A16" i="14"/>
  <c r="B15" i="14"/>
  <c r="A15" i="14"/>
  <c r="B14" i="14"/>
  <c r="A14" i="14"/>
  <c r="B13" i="14"/>
  <c r="A13" i="14"/>
  <c r="B12" i="14"/>
  <c r="A12" i="14"/>
  <c r="L27" i="19" l="1"/>
  <c r="K27" i="19"/>
  <c r="K28" i="18"/>
  <c r="L28" i="18"/>
  <c r="I19" i="14"/>
  <c r="J19" i="14" s="1"/>
  <c r="L19" i="14" s="1"/>
  <c r="N28" i="14"/>
  <c r="O20" i="14"/>
  <c r="Q20" i="14" s="1"/>
  <c r="O24" i="14"/>
  <c r="Q24" i="14" s="1"/>
  <c r="P24" i="14"/>
  <c r="K24" i="14"/>
  <c r="J24" i="14"/>
  <c r="L24" i="14" s="1"/>
  <c r="J21" i="14"/>
  <c r="L21" i="14" s="1"/>
  <c r="K21" i="14"/>
  <c r="O19" i="14"/>
  <c r="Q19" i="14" s="1"/>
  <c r="P20" i="14"/>
  <c r="I20" i="14"/>
  <c r="O21" i="14"/>
  <c r="Q21" i="14" s="1"/>
  <c r="P19" i="14"/>
  <c r="P21" i="14"/>
  <c r="K19" i="14" l="1"/>
  <c r="K20" i="14"/>
  <c r="J20" i="14"/>
  <c r="L20" i="14" s="1"/>
  <c r="M18" i="14" l="1"/>
  <c r="H18" i="14" s="1"/>
  <c r="I18" i="14" l="1"/>
  <c r="O18" i="14"/>
  <c r="Q18" i="14" s="1"/>
  <c r="P18" i="14"/>
  <c r="J18" i="14" l="1"/>
  <c r="L18" i="14" s="1"/>
  <c r="K18" i="14"/>
  <c r="M12" i="14" l="1"/>
  <c r="H12" i="14" s="1"/>
  <c r="I12" i="14" l="1"/>
  <c r="O12" i="14"/>
  <c r="Q12" i="14" s="1"/>
  <c r="P12" i="14"/>
  <c r="J12" i="14" l="1"/>
  <c r="L12" i="14" s="1"/>
  <c r="K12" i="14"/>
  <c r="M27" i="14" l="1"/>
  <c r="H27" i="14" s="1"/>
  <c r="M17" i="14"/>
  <c r="H17" i="14" s="1"/>
  <c r="M23" i="14"/>
  <c r="H23" i="14" s="1"/>
  <c r="M14" i="14"/>
  <c r="H14" i="14" s="1"/>
  <c r="M9" i="14"/>
  <c r="H9" i="14" s="1"/>
  <c r="M26" i="14"/>
  <c r="H26" i="14" s="1"/>
  <c r="M11" i="14"/>
  <c r="H11" i="14" s="1"/>
  <c r="I11" i="14"/>
  <c r="M10" i="14"/>
  <c r="H10" i="14" s="1"/>
  <c r="M16" i="14"/>
  <c r="H16" i="14" s="1"/>
  <c r="M13" i="14"/>
  <c r="H13" i="14" s="1"/>
  <c r="M8" i="14"/>
  <c r="H8" i="14" s="1"/>
  <c r="M22" i="14"/>
  <c r="H22" i="14" s="1"/>
  <c r="M25" i="14"/>
  <c r="H25" i="14" s="1"/>
  <c r="M15" i="14"/>
  <c r="H15" i="14" s="1"/>
  <c r="I9" i="14"/>
  <c r="B11" i="14"/>
  <c r="A11" i="14"/>
  <c r="B10" i="14"/>
  <c r="A10" i="14"/>
  <c r="B9" i="14"/>
  <c r="A9" i="14"/>
  <c r="B8" i="14"/>
  <c r="A8" i="14"/>
  <c r="N139" i="3"/>
  <c r="P139" i="3" s="1"/>
  <c r="N138" i="3"/>
  <c r="J138" i="3" s="1"/>
  <c r="N137" i="3"/>
  <c r="J137" i="3" s="1"/>
  <c r="N136" i="3"/>
  <c r="I23" i="14" l="1"/>
  <c r="O23" i="14"/>
  <c r="Q23" i="14" s="1"/>
  <c r="P23" i="14"/>
  <c r="I14" i="14"/>
  <c r="O14" i="14"/>
  <c r="Q14" i="14" s="1"/>
  <c r="P14" i="14"/>
  <c r="O15" i="14"/>
  <c r="Q15" i="14" s="1"/>
  <c r="P15" i="14"/>
  <c r="I15" i="14"/>
  <c r="J15" i="14" s="1"/>
  <c r="I26" i="14"/>
  <c r="P26" i="14"/>
  <c r="O26" i="14"/>
  <c r="Q26" i="14" s="1"/>
  <c r="H28" i="14"/>
  <c r="I25" i="14"/>
  <c r="O25" i="14"/>
  <c r="Q25" i="14" s="1"/>
  <c r="P25" i="14"/>
  <c r="I17" i="14"/>
  <c r="P17" i="14"/>
  <c r="O17" i="14"/>
  <c r="Q17" i="14" s="1"/>
  <c r="I22" i="14"/>
  <c r="P22" i="14"/>
  <c r="O22" i="14"/>
  <c r="Q22" i="14" s="1"/>
  <c r="P13" i="14"/>
  <c r="I13" i="14"/>
  <c r="O13" i="14"/>
  <c r="Q13" i="14" s="1"/>
  <c r="M28" i="14"/>
  <c r="I27" i="14"/>
  <c r="Q27" i="14"/>
  <c r="P27" i="14"/>
  <c r="I16" i="14"/>
  <c r="O16" i="14"/>
  <c r="Q16" i="14" s="1"/>
  <c r="P16" i="14"/>
  <c r="P8" i="14"/>
  <c r="I8" i="14"/>
  <c r="P10" i="14"/>
  <c r="P9" i="14"/>
  <c r="I10" i="14"/>
  <c r="K10" i="14" s="1"/>
  <c r="P11" i="14"/>
  <c r="J9" i="14"/>
  <c r="L9" i="14" s="1"/>
  <c r="K9" i="14"/>
  <c r="K11" i="14"/>
  <c r="J11" i="14"/>
  <c r="L11" i="14" s="1"/>
  <c r="O9" i="14"/>
  <c r="Q9" i="14" s="1"/>
  <c r="O11" i="14"/>
  <c r="Q11" i="14" s="1"/>
  <c r="O8" i="14"/>
  <c r="O10" i="14"/>
  <c r="Q10" i="14" s="1"/>
  <c r="L138" i="3"/>
  <c r="K138" i="3"/>
  <c r="L137" i="3"/>
  <c r="K137" i="3"/>
  <c r="P138" i="3"/>
  <c r="J136" i="3"/>
  <c r="O138" i="3"/>
  <c r="O137" i="3"/>
  <c r="J139" i="3"/>
  <c r="P137" i="3"/>
  <c r="O139" i="3"/>
  <c r="J27" i="14" l="1"/>
  <c r="L27" i="14" s="1"/>
  <c r="K27" i="14"/>
  <c r="K26" i="14"/>
  <c r="J26" i="14"/>
  <c r="L26" i="14" s="1"/>
  <c r="K17" i="14"/>
  <c r="J17" i="14"/>
  <c r="L17" i="14" s="1"/>
  <c r="L15" i="14"/>
  <c r="K15" i="14"/>
  <c r="J23" i="14"/>
  <c r="L23" i="14" s="1"/>
  <c r="K23" i="14"/>
  <c r="K13" i="14"/>
  <c r="J13" i="14"/>
  <c r="L13" i="14" s="1"/>
  <c r="J16" i="14"/>
  <c r="L16" i="14" s="1"/>
  <c r="K16" i="14"/>
  <c r="J25" i="14"/>
  <c r="L25" i="14" s="1"/>
  <c r="K25" i="14"/>
  <c r="J22" i="14"/>
  <c r="L22" i="14" s="1"/>
  <c r="K22" i="14"/>
  <c r="K14" i="14"/>
  <c r="J14" i="14"/>
  <c r="L14" i="14" s="1"/>
  <c r="O28" i="14"/>
  <c r="K8" i="14"/>
  <c r="I28" i="14"/>
  <c r="P28" i="14"/>
  <c r="J8" i="14"/>
  <c r="J10" i="14"/>
  <c r="L10" i="14" s="1"/>
  <c r="Q8" i="14"/>
  <c r="L139" i="3"/>
  <c r="K139" i="3"/>
  <c r="K28" i="14" l="1"/>
  <c r="L8" i="14"/>
  <c r="J28" i="14"/>
  <c r="N19" i="3" l="1"/>
  <c r="L7" i="8" l="1"/>
  <c r="L25" i="8" s="1"/>
  <c r="L60" i="8" s="1"/>
  <c r="M7" i="8"/>
  <c r="M25" i="8" s="1"/>
  <c r="M60" i="8" s="1"/>
  <c r="B139" i="11"/>
  <c r="A139" i="11"/>
  <c r="B138" i="11"/>
  <c r="A138" i="11"/>
  <c r="B137" i="11"/>
  <c r="A137" i="11"/>
  <c r="B136" i="11"/>
  <c r="A136" i="11"/>
  <c r="N139" i="11" l="1"/>
  <c r="J139" i="11" s="1"/>
  <c r="N138" i="11"/>
  <c r="J138" i="11" s="1"/>
  <c r="N137" i="11"/>
  <c r="J137" i="11" s="1"/>
  <c r="N136" i="11"/>
  <c r="J136" i="11" s="1"/>
  <c r="N135" i="11"/>
  <c r="J135" i="11" s="1"/>
  <c r="N134" i="11"/>
  <c r="J134" i="11" s="1"/>
  <c r="N133" i="11"/>
  <c r="J133" i="11" s="1"/>
  <c r="N132" i="11"/>
  <c r="J132" i="11" s="1"/>
  <c r="N131" i="11"/>
  <c r="J131" i="11" s="1"/>
  <c r="N130" i="11"/>
  <c r="J130" i="11" s="1"/>
  <c r="N129" i="11"/>
  <c r="J129" i="11" s="1"/>
  <c r="N128" i="11"/>
  <c r="J128" i="11" s="1"/>
  <c r="N127" i="11"/>
  <c r="J127" i="11" s="1"/>
  <c r="N126" i="11"/>
  <c r="J126" i="11" s="1"/>
  <c r="N125" i="11"/>
  <c r="J125" i="11" s="1"/>
  <c r="N124" i="11"/>
  <c r="J124" i="11" s="1"/>
  <c r="N123" i="11"/>
  <c r="J123" i="11" s="1"/>
  <c r="N122" i="11"/>
  <c r="J122" i="11" s="1"/>
  <c r="N121" i="11"/>
  <c r="J121" i="11" s="1"/>
  <c r="N120" i="11"/>
  <c r="J120" i="11" s="1"/>
  <c r="N119" i="11"/>
  <c r="J119" i="11" s="1"/>
  <c r="N118" i="11"/>
  <c r="J118" i="11" s="1"/>
  <c r="N117" i="11"/>
  <c r="J117" i="11" s="1"/>
  <c r="N116" i="11"/>
  <c r="J116" i="11" s="1"/>
  <c r="N115" i="11"/>
  <c r="J115" i="11" s="1"/>
  <c r="N114" i="11"/>
  <c r="J114" i="11" s="1"/>
  <c r="N113" i="11"/>
  <c r="J113" i="11" s="1"/>
  <c r="N112" i="11"/>
  <c r="J112" i="11" s="1"/>
  <c r="N111" i="11"/>
  <c r="J111" i="11" s="1"/>
  <c r="N110" i="11"/>
  <c r="J110" i="11" s="1"/>
  <c r="N109" i="11"/>
  <c r="J109" i="11" s="1"/>
  <c r="N108" i="11"/>
  <c r="J108" i="11" s="1"/>
  <c r="N107" i="11"/>
  <c r="J107" i="11" s="1"/>
  <c r="N106" i="11"/>
  <c r="J106" i="11" s="1"/>
  <c r="N105" i="11"/>
  <c r="J105" i="11" s="1"/>
  <c r="N104" i="11"/>
  <c r="J104" i="11" s="1"/>
  <c r="N103" i="11"/>
  <c r="J103" i="11" s="1"/>
  <c r="N102" i="11"/>
  <c r="J102" i="11" s="1"/>
  <c r="N101" i="11"/>
  <c r="J101" i="11" s="1"/>
  <c r="N100" i="11"/>
  <c r="J100" i="11" s="1"/>
  <c r="N99" i="11"/>
  <c r="J99" i="11" s="1"/>
  <c r="N98" i="11"/>
  <c r="J98" i="11" s="1"/>
  <c r="N97" i="11"/>
  <c r="J97" i="11" s="1"/>
  <c r="N96" i="11"/>
  <c r="J96" i="11" s="1"/>
  <c r="N95" i="11"/>
  <c r="J95" i="11" s="1"/>
  <c r="N94" i="11"/>
  <c r="J94" i="11" s="1"/>
  <c r="N93" i="11"/>
  <c r="J93" i="11" s="1"/>
  <c r="N92" i="11"/>
  <c r="J92" i="11" s="1"/>
  <c r="N91" i="11"/>
  <c r="J91" i="11" s="1"/>
  <c r="N90" i="11"/>
  <c r="J90" i="11" s="1"/>
  <c r="N89" i="11"/>
  <c r="J89" i="11" s="1"/>
  <c r="N88" i="11"/>
  <c r="J88" i="11" s="1"/>
  <c r="N87" i="11"/>
  <c r="J87" i="11" s="1"/>
  <c r="N86" i="11"/>
  <c r="J86" i="11" s="1"/>
  <c r="N85" i="11"/>
  <c r="J85" i="11" s="1"/>
  <c r="N84" i="11"/>
  <c r="J84" i="11" s="1"/>
  <c r="N83" i="11"/>
  <c r="J83" i="11" s="1"/>
  <c r="N82" i="11"/>
  <c r="J82" i="11" s="1"/>
  <c r="N81" i="11"/>
  <c r="J81" i="11" s="1"/>
  <c r="N80" i="11"/>
  <c r="J80" i="11" s="1"/>
  <c r="N79" i="11"/>
  <c r="J79" i="11" s="1"/>
  <c r="N78" i="11"/>
  <c r="J78" i="11" s="1"/>
  <c r="N77" i="11"/>
  <c r="J77" i="11" s="1"/>
  <c r="N76" i="11"/>
  <c r="J76" i="11" s="1"/>
  <c r="N75" i="11"/>
  <c r="J75" i="11" s="1"/>
  <c r="N74" i="11"/>
  <c r="J74" i="11" s="1"/>
  <c r="N73" i="11"/>
  <c r="J73" i="11" s="1"/>
  <c r="N72" i="11"/>
  <c r="J72" i="11" s="1"/>
  <c r="N71" i="11"/>
  <c r="J71" i="11" s="1"/>
  <c r="N70" i="11"/>
  <c r="J70" i="11" s="1"/>
  <c r="N69" i="11"/>
  <c r="J69" i="11" s="1"/>
  <c r="N68" i="11"/>
  <c r="J68" i="11" s="1"/>
  <c r="N67" i="11"/>
  <c r="J67" i="11" s="1"/>
  <c r="N66" i="11"/>
  <c r="J66" i="11" s="1"/>
  <c r="N65" i="11"/>
  <c r="J65" i="11" s="1"/>
  <c r="N64" i="11"/>
  <c r="J64" i="11" s="1"/>
  <c r="N63" i="11"/>
  <c r="J63" i="11" s="1"/>
  <c r="N62" i="11"/>
  <c r="J62" i="11" s="1"/>
  <c r="N61" i="11"/>
  <c r="J61" i="11" s="1"/>
  <c r="N60" i="11"/>
  <c r="J60" i="11" s="1"/>
  <c r="N59" i="11"/>
  <c r="J59" i="11" s="1"/>
  <c r="N58" i="11"/>
  <c r="J58" i="11" s="1"/>
  <c r="N57" i="11"/>
  <c r="J57" i="11" s="1"/>
  <c r="N56" i="11"/>
  <c r="J56" i="11" s="1"/>
  <c r="N55" i="11"/>
  <c r="J55" i="11" s="1"/>
  <c r="N54" i="11"/>
  <c r="J54" i="11" s="1"/>
  <c r="N53" i="11"/>
  <c r="J53" i="11" s="1"/>
  <c r="N52" i="11"/>
  <c r="J52" i="11" s="1"/>
  <c r="N51" i="11"/>
  <c r="J51" i="11" s="1"/>
  <c r="N50" i="11"/>
  <c r="J50" i="11" s="1"/>
  <c r="N49" i="11"/>
  <c r="J49" i="11" s="1"/>
  <c r="N48" i="11"/>
  <c r="J48" i="11" s="1"/>
  <c r="N47" i="11"/>
  <c r="J47" i="11" s="1"/>
  <c r="N46" i="11"/>
  <c r="J46" i="11" s="1"/>
  <c r="N45" i="11"/>
  <c r="J45" i="11" s="1"/>
  <c r="N44" i="11"/>
  <c r="J44" i="11" s="1"/>
  <c r="N43" i="11"/>
  <c r="J43" i="11" s="1"/>
  <c r="N42" i="11"/>
  <c r="J42" i="11" s="1"/>
  <c r="N41" i="11"/>
  <c r="J41" i="11" s="1"/>
  <c r="N40" i="11"/>
  <c r="J40" i="11" s="1"/>
  <c r="N39" i="11"/>
  <c r="J39" i="11" s="1"/>
  <c r="N38" i="11"/>
  <c r="J38" i="11" s="1"/>
  <c r="N37" i="11"/>
  <c r="J37" i="11" s="1"/>
  <c r="N36" i="11"/>
  <c r="J36" i="11" s="1"/>
  <c r="N35" i="11"/>
  <c r="J35" i="11" s="1"/>
  <c r="N34" i="11"/>
  <c r="J34" i="11" s="1"/>
  <c r="N33" i="11"/>
  <c r="J33" i="11" s="1"/>
  <c r="N32" i="11"/>
  <c r="J32" i="11" s="1"/>
  <c r="N31" i="11"/>
  <c r="J31" i="11" s="1"/>
  <c r="N30" i="11"/>
  <c r="J30" i="11" s="1"/>
  <c r="N29" i="11"/>
  <c r="J29" i="11" s="1"/>
  <c r="N28" i="11"/>
  <c r="J28" i="11" s="1"/>
  <c r="N27" i="11"/>
  <c r="J27" i="11" s="1"/>
  <c r="N26" i="11"/>
  <c r="J26" i="11" s="1"/>
  <c r="N25" i="11"/>
  <c r="J25" i="11" s="1"/>
  <c r="N24" i="11"/>
  <c r="J24" i="11" s="1"/>
  <c r="N23" i="11"/>
  <c r="J23" i="11" s="1"/>
  <c r="N22" i="11"/>
  <c r="J22" i="11" s="1"/>
  <c r="N21" i="11"/>
  <c r="J21" i="11" s="1"/>
  <c r="N20" i="11"/>
  <c r="J20" i="11" s="1"/>
  <c r="N19" i="11"/>
  <c r="J19" i="11" s="1"/>
  <c r="N18" i="11"/>
  <c r="J18" i="11" s="1"/>
  <c r="N17" i="11"/>
  <c r="J17" i="11" s="1"/>
  <c r="N16" i="11"/>
  <c r="J16" i="11" s="1"/>
  <c r="N15" i="11"/>
  <c r="J15" i="11" s="1"/>
  <c r="N14" i="11"/>
  <c r="J14" i="11" s="1"/>
  <c r="N13" i="11"/>
  <c r="J13" i="11" s="1"/>
  <c r="N12" i="11"/>
  <c r="J12" i="11" s="1"/>
  <c r="N11" i="11"/>
  <c r="J11" i="11" s="1"/>
  <c r="N10" i="11"/>
  <c r="J10" i="11" s="1"/>
  <c r="N9" i="11"/>
  <c r="J9" i="11" s="1"/>
  <c r="N8" i="11"/>
  <c r="N15" i="3"/>
  <c r="P138" i="11"/>
  <c r="B135" i="11"/>
  <c r="A135" i="11"/>
  <c r="B134" i="11"/>
  <c r="A134" i="11"/>
  <c r="B133" i="11"/>
  <c r="A133" i="11"/>
  <c r="B132" i="11"/>
  <c r="A132" i="11"/>
  <c r="B131" i="11"/>
  <c r="A131" i="11"/>
  <c r="B130" i="11"/>
  <c r="A130" i="11"/>
  <c r="B129" i="11"/>
  <c r="A129" i="11"/>
  <c r="B128" i="11"/>
  <c r="A128" i="11"/>
  <c r="B127" i="11"/>
  <c r="A127" i="11"/>
  <c r="B126" i="11"/>
  <c r="A126" i="11"/>
  <c r="B125" i="11"/>
  <c r="A125" i="11"/>
  <c r="B124" i="11"/>
  <c r="A124" i="11"/>
  <c r="B123" i="11"/>
  <c r="A123" i="11"/>
  <c r="B122" i="11"/>
  <c r="A122" i="11"/>
  <c r="B121" i="11"/>
  <c r="A121" i="11"/>
  <c r="B120" i="11"/>
  <c r="A120" i="11"/>
  <c r="B119" i="11"/>
  <c r="A119" i="11"/>
  <c r="B118" i="11"/>
  <c r="A118" i="11"/>
  <c r="B117" i="11"/>
  <c r="A117" i="11"/>
  <c r="B116" i="11"/>
  <c r="A116" i="11"/>
  <c r="B115" i="11"/>
  <c r="A115" i="11"/>
  <c r="B114" i="11"/>
  <c r="A114" i="11"/>
  <c r="B113" i="11"/>
  <c r="A113" i="11"/>
  <c r="B112" i="11"/>
  <c r="A112" i="11"/>
  <c r="B111" i="11"/>
  <c r="A111" i="11"/>
  <c r="B110" i="11"/>
  <c r="A110" i="11"/>
  <c r="B109" i="11"/>
  <c r="A109" i="11"/>
  <c r="B108" i="11"/>
  <c r="A108" i="11"/>
  <c r="B107" i="11"/>
  <c r="A107" i="11"/>
  <c r="B106" i="11"/>
  <c r="A106" i="11"/>
  <c r="B105" i="11"/>
  <c r="A105" i="11"/>
  <c r="B104" i="11"/>
  <c r="A104" i="11"/>
  <c r="B103" i="11"/>
  <c r="A103" i="11"/>
  <c r="B102" i="11"/>
  <c r="A102" i="11"/>
  <c r="B101" i="11"/>
  <c r="A101" i="11"/>
  <c r="B100" i="11"/>
  <c r="A100" i="11"/>
  <c r="B99" i="11"/>
  <c r="A99" i="11"/>
  <c r="B98" i="11"/>
  <c r="A98" i="11"/>
  <c r="B97" i="11"/>
  <c r="A97" i="11"/>
  <c r="B96" i="11"/>
  <c r="A96" i="11"/>
  <c r="B95" i="11"/>
  <c r="A95" i="11"/>
  <c r="B94" i="11"/>
  <c r="A94" i="11"/>
  <c r="B93" i="11"/>
  <c r="A93" i="11"/>
  <c r="B92" i="11"/>
  <c r="A92" i="11"/>
  <c r="B91" i="11"/>
  <c r="A91" i="11"/>
  <c r="B90" i="11"/>
  <c r="A90" i="11"/>
  <c r="B89" i="11"/>
  <c r="A89" i="11"/>
  <c r="B88" i="11"/>
  <c r="A88" i="11"/>
  <c r="B87" i="11"/>
  <c r="A87" i="11"/>
  <c r="B86" i="11"/>
  <c r="A86" i="11"/>
  <c r="B85" i="11"/>
  <c r="A85" i="11"/>
  <c r="B84" i="11"/>
  <c r="A84" i="11"/>
  <c r="B83" i="11"/>
  <c r="A83" i="11"/>
  <c r="B82" i="11"/>
  <c r="A82" i="11"/>
  <c r="B81" i="11"/>
  <c r="A81" i="11"/>
  <c r="B80" i="11"/>
  <c r="A80" i="11"/>
  <c r="B79" i="11"/>
  <c r="A79" i="11"/>
  <c r="B78" i="11"/>
  <c r="A78" i="11"/>
  <c r="B77" i="11"/>
  <c r="A77" i="11"/>
  <c r="B76" i="11"/>
  <c r="A76" i="11"/>
  <c r="B75" i="11"/>
  <c r="A75" i="11"/>
  <c r="B74" i="11"/>
  <c r="A74" i="11"/>
  <c r="B73" i="11"/>
  <c r="A73" i="11"/>
  <c r="B72" i="11"/>
  <c r="A72" i="11"/>
  <c r="B71" i="11"/>
  <c r="A71" i="11"/>
  <c r="B70" i="11"/>
  <c r="A70" i="11"/>
  <c r="B69" i="11"/>
  <c r="A69" i="11"/>
  <c r="B68" i="11"/>
  <c r="A68" i="11"/>
  <c r="B67" i="11"/>
  <c r="A67" i="11"/>
  <c r="B66" i="11"/>
  <c r="A66" i="11"/>
  <c r="B65" i="11"/>
  <c r="A65" i="11"/>
  <c r="B64" i="11"/>
  <c r="A64" i="11"/>
  <c r="B63" i="11"/>
  <c r="A63" i="11"/>
  <c r="B62" i="11"/>
  <c r="A62" i="11"/>
  <c r="B61" i="11"/>
  <c r="A61" i="11"/>
  <c r="B60" i="11"/>
  <c r="A60" i="11"/>
  <c r="B59" i="11"/>
  <c r="A59" i="11"/>
  <c r="B58" i="11"/>
  <c r="A58" i="11"/>
  <c r="B57" i="11"/>
  <c r="A57" i="11"/>
  <c r="B56" i="11"/>
  <c r="A56" i="11"/>
  <c r="B55" i="11"/>
  <c r="A55" i="11"/>
  <c r="B54" i="11"/>
  <c r="A54" i="11"/>
  <c r="B53" i="11"/>
  <c r="A53" i="11"/>
  <c r="B52" i="11"/>
  <c r="A52" i="11"/>
  <c r="B51" i="11"/>
  <c r="A51" i="11"/>
  <c r="B50" i="11"/>
  <c r="A50" i="11"/>
  <c r="B49" i="11"/>
  <c r="A49" i="11"/>
  <c r="B48" i="11"/>
  <c r="A48" i="11"/>
  <c r="B47" i="11"/>
  <c r="A47" i="11"/>
  <c r="B46" i="11"/>
  <c r="A46" i="11"/>
  <c r="B45" i="11"/>
  <c r="A45" i="11"/>
  <c r="B44" i="11"/>
  <c r="A44" i="11"/>
  <c r="B43" i="11"/>
  <c r="A43" i="11"/>
  <c r="B42" i="11"/>
  <c r="A42" i="11"/>
  <c r="B41" i="11"/>
  <c r="A41" i="11"/>
  <c r="B40" i="11"/>
  <c r="A40" i="11"/>
  <c r="B39" i="11"/>
  <c r="A39" i="11"/>
  <c r="B38" i="11"/>
  <c r="A38" i="11"/>
  <c r="B37" i="11"/>
  <c r="A37" i="11"/>
  <c r="B36" i="11"/>
  <c r="A36" i="11"/>
  <c r="B35" i="11"/>
  <c r="A35" i="11"/>
  <c r="B34" i="11"/>
  <c r="A34" i="11"/>
  <c r="B33" i="11"/>
  <c r="A33" i="11"/>
  <c r="B32" i="11"/>
  <c r="A32" i="11"/>
  <c r="B31" i="11"/>
  <c r="A31" i="11"/>
  <c r="B30" i="11"/>
  <c r="A30" i="11"/>
  <c r="B29" i="11"/>
  <c r="A29" i="11"/>
  <c r="B28" i="11"/>
  <c r="A28" i="11"/>
  <c r="B27" i="11"/>
  <c r="A27" i="11"/>
  <c r="B26" i="11"/>
  <c r="A26" i="11"/>
  <c r="B25" i="11"/>
  <c r="A25" i="11"/>
  <c r="B24" i="11"/>
  <c r="A24" i="11"/>
  <c r="B23" i="11"/>
  <c r="A23" i="11"/>
  <c r="B22" i="11"/>
  <c r="A22" i="11"/>
  <c r="B21" i="11"/>
  <c r="A21" i="11"/>
  <c r="B20" i="11"/>
  <c r="A20" i="11"/>
  <c r="B19" i="11"/>
  <c r="A19" i="11"/>
  <c r="B18" i="11"/>
  <c r="A18" i="11"/>
  <c r="B17" i="11"/>
  <c r="A17" i="11"/>
  <c r="B16" i="11"/>
  <c r="A16" i="11"/>
  <c r="B15" i="11"/>
  <c r="A15" i="11"/>
  <c r="B14" i="11"/>
  <c r="A14" i="11"/>
  <c r="B13" i="11"/>
  <c r="A13" i="11"/>
  <c r="B12" i="11"/>
  <c r="A12" i="11"/>
  <c r="B11" i="11"/>
  <c r="A11" i="11"/>
  <c r="B10" i="11"/>
  <c r="A10" i="11"/>
  <c r="B9" i="11"/>
  <c r="A9" i="11"/>
  <c r="B8" i="11"/>
  <c r="A8" i="11"/>
  <c r="B9" i="10"/>
  <c r="A9" i="10"/>
  <c r="B8" i="10"/>
  <c r="A8" i="10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8" i="3"/>
  <c r="N17" i="3"/>
  <c r="N16" i="3"/>
  <c r="N14" i="3"/>
  <c r="N13" i="3"/>
  <c r="N12" i="3"/>
  <c r="N11" i="3"/>
  <c r="N10" i="3"/>
  <c r="N9" i="3"/>
  <c r="P136" i="11" l="1"/>
  <c r="O137" i="11"/>
  <c r="N140" i="3"/>
  <c r="J140" i="3" s="1"/>
  <c r="N140" i="11"/>
  <c r="J140" i="11" s="1"/>
  <c r="P134" i="11"/>
  <c r="L135" i="11"/>
  <c r="K135" i="11"/>
  <c r="L139" i="11"/>
  <c r="K139" i="11"/>
  <c r="P139" i="11"/>
  <c r="O135" i="11"/>
  <c r="O139" i="11"/>
  <c r="P135" i="11"/>
  <c r="O138" i="11"/>
  <c r="P137" i="11"/>
  <c r="O136" i="11"/>
  <c r="L45" i="11"/>
  <c r="P9" i="11"/>
  <c r="L49" i="11"/>
  <c r="P10" i="11"/>
  <c r="L48" i="11"/>
  <c r="K11" i="11"/>
  <c r="K9" i="11"/>
  <c r="O11" i="11"/>
  <c r="O9" i="11"/>
  <c r="K48" i="11"/>
  <c r="L31" i="11"/>
  <c r="K31" i="11"/>
  <c r="L47" i="11"/>
  <c r="K47" i="11"/>
  <c r="L13" i="11"/>
  <c r="K13" i="11"/>
  <c r="L21" i="11"/>
  <c r="K21" i="11"/>
  <c r="L29" i="11"/>
  <c r="K29" i="11"/>
  <c r="L37" i="11"/>
  <c r="K37" i="11"/>
  <c r="L16" i="11"/>
  <c r="K16" i="11"/>
  <c r="L24" i="11"/>
  <c r="K24" i="11"/>
  <c r="L32" i="11"/>
  <c r="K32" i="11"/>
  <c r="L40" i="11"/>
  <c r="K40" i="11"/>
  <c r="L23" i="11"/>
  <c r="K23" i="11"/>
  <c r="L39" i="11"/>
  <c r="K39" i="11"/>
  <c r="L35" i="11"/>
  <c r="K35" i="11"/>
  <c r="L43" i="11"/>
  <c r="K43" i="11"/>
  <c r="L17" i="11"/>
  <c r="K17" i="11"/>
  <c r="L25" i="11"/>
  <c r="K25" i="11"/>
  <c r="L33" i="11"/>
  <c r="K33" i="11"/>
  <c r="L41" i="11"/>
  <c r="K41" i="11"/>
  <c r="K12" i="11"/>
  <c r="L12" i="11"/>
  <c r="L20" i="11"/>
  <c r="K20" i="11"/>
  <c r="L28" i="11"/>
  <c r="K28" i="11"/>
  <c r="L36" i="11"/>
  <c r="K36" i="11"/>
  <c r="L44" i="11"/>
  <c r="K44" i="11"/>
  <c r="P15" i="11"/>
  <c r="O15" i="11"/>
  <c r="P27" i="11"/>
  <c r="O27" i="11"/>
  <c r="O10" i="11"/>
  <c r="P19" i="11"/>
  <c r="O19" i="11"/>
  <c r="P14" i="11"/>
  <c r="O14" i="11"/>
  <c r="P22" i="11"/>
  <c r="O22" i="11"/>
  <c r="P30" i="11"/>
  <c r="O30" i="11"/>
  <c r="P38" i="11"/>
  <c r="O38" i="11"/>
  <c r="P46" i="11"/>
  <c r="O46" i="11"/>
  <c r="K49" i="11"/>
  <c r="P50" i="11"/>
  <c r="O50" i="11"/>
  <c r="P13" i="11"/>
  <c r="O13" i="11"/>
  <c r="L11" i="11"/>
  <c r="P8" i="11"/>
  <c r="P18" i="11"/>
  <c r="O18" i="11"/>
  <c r="P26" i="11"/>
  <c r="O26" i="11"/>
  <c r="P34" i="11"/>
  <c r="O34" i="11"/>
  <c r="P42" i="11"/>
  <c r="O42" i="11"/>
  <c r="K45" i="11"/>
  <c r="O8" i="11"/>
  <c r="P53" i="11"/>
  <c r="O53" i="11"/>
  <c r="P21" i="11"/>
  <c r="O21" i="11"/>
  <c r="P29" i="11"/>
  <c r="O29" i="11"/>
  <c r="P37" i="11"/>
  <c r="O37" i="11"/>
  <c r="P45" i="11"/>
  <c r="O45" i="11"/>
  <c r="P56" i="11"/>
  <c r="O56" i="11"/>
  <c r="P72" i="11"/>
  <c r="O72" i="11"/>
  <c r="P80" i="11"/>
  <c r="O80" i="11"/>
  <c r="P17" i="11"/>
  <c r="O17" i="11"/>
  <c r="P25" i="11"/>
  <c r="O25" i="11"/>
  <c r="P33" i="11"/>
  <c r="O33" i="11"/>
  <c r="P41" i="11"/>
  <c r="O41" i="11"/>
  <c r="P49" i="11"/>
  <c r="O49" i="11"/>
  <c r="P64" i="11"/>
  <c r="O64" i="11"/>
  <c r="P51" i="11"/>
  <c r="O51" i="11"/>
  <c r="P16" i="11"/>
  <c r="O16" i="11"/>
  <c r="P20" i="11"/>
  <c r="O20" i="11"/>
  <c r="P28" i="11"/>
  <c r="O28" i="11"/>
  <c r="P32" i="11"/>
  <c r="O32" i="11"/>
  <c r="P44" i="11"/>
  <c r="O44" i="11"/>
  <c r="P48" i="11"/>
  <c r="O48" i="11"/>
  <c r="P12" i="11"/>
  <c r="O12" i="11"/>
  <c r="P24" i="11"/>
  <c r="O24" i="11"/>
  <c r="P36" i="11"/>
  <c r="O36" i="11"/>
  <c r="P40" i="11"/>
  <c r="O40" i="11"/>
  <c r="J8" i="11"/>
  <c r="P11" i="11"/>
  <c r="P23" i="11"/>
  <c r="O23" i="11"/>
  <c r="P31" i="11"/>
  <c r="O31" i="11"/>
  <c r="P35" i="11"/>
  <c r="O35" i="11"/>
  <c r="P39" i="11"/>
  <c r="O39" i="11"/>
  <c r="P43" i="11"/>
  <c r="O43" i="11"/>
  <c r="P47" i="11"/>
  <c r="O47" i="11"/>
  <c r="P55" i="11"/>
  <c r="O55" i="11"/>
  <c r="P63" i="11"/>
  <c r="O63" i="11"/>
  <c r="P71" i="11"/>
  <c r="O71" i="11"/>
  <c r="P79" i="11"/>
  <c r="O79" i="11"/>
  <c r="P87" i="11"/>
  <c r="O87" i="11"/>
  <c r="P95" i="11"/>
  <c r="O95" i="11"/>
  <c r="P103" i="11"/>
  <c r="O103" i="11"/>
  <c r="P111" i="11"/>
  <c r="O111" i="11"/>
  <c r="P119" i="11"/>
  <c r="O119" i="11"/>
  <c r="P127" i="11"/>
  <c r="O127" i="11"/>
  <c r="P58" i="11"/>
  <c r="O58" i="11"/>
  <c r="P66" i="11"/>
  <c r="O66" i="11"/>
  <c r="P74" i="11"/>
  <c r="O74" i="11"/>
  <c r="P82" i="11"/>
  <c r="O82" i="11"/>
  <c r="P90" i="11"/>
  <c r="O90" i="11"/>
  <c r="P98" i="11"/>
  <c r="O98" i="11"/>
  <c r="P106" i="11"/>
  <c r="O106" i="11"/>
  <c r="P114" i="11"/>
  <c r="O114" i="11"/>
  <c r="P122" i="11"/>
  <c r="O122" i="11"/>
  <c r="P130" i="11"/>
  <c r="O130" i="11"/>
  <c r="P61" i="11"/>
  <c r="O61" i="11"/>
  <c r="P69" i="11"/>
  <c r="O69" i="11"/>
  <c r="P77" i="11"/>
  <c r="O77" i="11"/>
  <c r="P85" i="11"/>
  <c r="O85" i="11"/>
  <c r="P93" i="11"/>
  <c r="O93" i="11"/>
  <c r="P101" i="11"/>
  <c r="O101" i="11"/>
  <c r="P109" i="11"/>
  <c r="O109" i="11"/>
  <c r="P117" i="11"/>
  <c r="O117" i="11"/>
  <c r="P125" i="11"/>
  <c r="O125" i="11"/>
  <c r="P133" i="11"/>
  <c r="O133" i="11"/>
  <c r="P88" i="11"/>
  <c r="O88" i="11"/>
  <c r="P96" i="11"/>
  <c r="O96" i="11"/>
  <c r="P104" i="11"/>
  <c r="O104" i="11"/>
  <c r="P112" i="11"/>
  <c r="O112" i="11"/>
  <c r="P120" i="11"/>
  <c r="O120" i="11"/>
  <c r="P128" i="11"/>
  <c r="O128" i="11"/>
  <c r="P59" i="11"/>
  <c r="O59" i="11"/>
  <c r="P67" i="11"/>
  <c r="O67" i="11"/>
  <c r="P75" i="11"/>
  <c r="O75" i="11"/>
  <c r="P83" i="11"/>
  <c r="O83" i="11"/>
  <c r="P91" i="11"/>
  <c r="O91" i="11"/>
  <c r="P99" i="11"/>
  <c r="O99" i="11"/>
  <c r="P107" i="11"/>
  <c r="O107" i="11"/>
  <c r="P115" i="11"/>
  <c r="O115" i="11"/>
  <c r="P123" i="11"/>
  <c r="O123" i="11"/>
  <c r="P131" i="11"/>
  <c r="O131" i="11"/>
  <c r="P54" i="11"/>
  <c r="O54" i="11"/>
  <c r="P62" i="11"/>
  <c r="O62" i="11"/>
  <c r="P70" i="11"/>
  <c r="O70" i="11"/>
  <c r="P78" i="11"/>
  <c r="O78" i="11"/>
  <c r="P86" i="11"/>
  <c r="O86" i="11"/>
  <c r="P94" i="11"/>
  <c r="O94" i="11"/>
  <c r="P102" i="11"/>
  <c r="O102" i="11"/>
  <c r="P110" i="11"/>
  <c r="O110" i="11"/>
  <c r="P118" i="11"/>
  <c r="O118" i="11"/>
  <c r="P126" i="11"/>
  <c r="O126" i="11"/>
  <c r="P57" i="11"/>
  <c r="O57" i="11"/>
  <c r="P65" i="11"/>
  <c r="O65" i="11"/>
  <c r="P73" i="11"/>
  <c r="O73" i="11"/>
  <c r="P81" i="11"/>
  <c r="O81" i="11"/>
  <c r="P89" i="11"/>
  <c r="O89" i="11"/>
  <c r="P97" i="11"/>
  <c r="O97" i="11"/>
  <c r="P105" i="11"/>
  <c r="O105" i="11"/>
  <c r="P113" i="11"/>
  <c r="O113" i="11"/>
  <c r="P121" i="11"/>
  <c r="O121" i="11"/>
  <c r="P129" i="11"/>
  <c r="O129" i="11"/>
  <c r="P52" i="11"/>
  <c r="O52" i="11"/>
  <c r="P60" i="11"/>
  <c r="O60" i="11"/>
  <c r="P68" i="11"/>
  <c r="O68" i="11"/>
  <c r="P76" i="11"/>
  <c r="O76" i="11"/>
  <c r="P84" i="11"/>
  <c r="O84" i="11"/>
  <c r="P92" i="11"/>
  <c r="O92" i="11"/>
  <c r="P100" i="11"/>
  <c r="O100" i="11"/>
  <c r="P108" i="11"/>
  <c r="O108" i="11"/>
  <c r="P116" i="11"/>
  <c r="O116" i="11"/>
  <c r="P124" i="11"/>
  <c r="O124" i="11"/>
  <c r="P132" i="11"/>
  <c r="O132" i="11"/>
  <c r="O134" i="11"/>
  <c r="Q9" i="10"/>
  <c r="P8" i="10"/>
  <c r="J8" i="10"/>
  <c r="N10" i="10"/>
  <c r="J9" i="10"/>
  <c r="O10" i="10"/>
  <c r="Q8" i="10"/>
  <c r="P9" i="10"/>
  <c r="P140" i="11" l="1"/>
  <c r="L140" i="11" s="1"/>
  <c r="O140" i="11"/>
  <c r="K140" i="11" s="1"/>
  <c r="L138" i="11"/>
  <c r="K138" i="11"/>
  <c r="L136" i="11"/>
  <c r="K136" i="11"/>
  <c r="L137" i="11"/>
  <c r="K137" i="11"/>
  <c r="L9" i="11"/>
  <c r="L124" i="11"/>
  <c r="K124" i="11"/>
  <c r="L60" i="11"/>
  <c r="K60" i="11"/>
  <c r="L100" i="11"/>
  <c r="K100" i="11"/>
  <c r="L76" i="11"/>
  <c r="K76" i="11"/>
  <c r="L97" i="11"/>
  <c r="K97" i="11"/>
  <c r="L110" i="11"/>
  <c r="K110" i="11"/>
  <c r="L131" i="11"/>
  <c r="K131" i="11"/>
  <c r="L67" i="11"/>
  <c r="K67" i="11"/>
  <c r="L133" i="11"/>
  <c r="K133" i="11"/>
  <c r="L69" i="11"/>
  <c r="K69" i="11"/>
  <c r="L82" i="11"/>
  <c r="K82" i="11"/>
  <c r="L95" i="11"/>
  <c r="K95" i="11"/>
  <c r="K42" i="11"/>
  <c r="L42" i="11"/>
  <c r="L56" i="11"/>
  <c r="K56" i="11"/>
  <c r="L73" i="11"/>
  <c r="K73" i="11"/>
  <c r="L86" i="11"/>
  <c r="K86" i="11"/>
  <c r="L107" i="11"/>
  <c r="K107" i="11"/>
  <c r="L120" i="11"/>
  <c r="K120" i="11"/>
  <c r="L109" i="11"/>
  <c r="K109" i="11"/>
  <c r="L122" i="11"/>
  <c r="K122" i="11"/>
  <c r="L58" i="11"/>
  <c r="K58" i="11"/>
  <c r="L71" i="11"/>
  <c r="K71" i="11"/>
  <c r="K38" i="11"/>
  <c r="L38" i="11"/>
  <c r="K8" i="11"/>
  <c r="L8" i="11"/>
  <c r="L27" i="11"/>
  <c r="K27" i="11"/>
  <c r="L92" i="11"/>
  <c r="K92" i="11"/>
  <c r="L113" i="11"/>
  <c r="K113" i="11"/>
  <c r="L126" i="11"/>
  <c r="K126" i="11"/>
  <c r="L62" i="11"/>
  <c r="K62" i="11"/>
  <c r="L83" i="11"/>
  <c r="K83" i="11"/>
  <c r="L96" i="11"/>
  <c r="K96" i="11"/>
  <c r="L85" i="11"/>
  <c r="K85" i="11"/>
  <c r="L98" i="11"/>
  <c r="K98" i="11"/>
  <c r="L111" i="11"/>
  <c r="K111" i="11"/>
  <c r="K34" i="11"/>
  <c r="L34" i="11"/>
  <c r="L19" i="11"/>
  <c r="K19" i="11"/>
  <c r="L80" i="11"/>
  <c r="K80" i="11"/>
  <c r="L52" i="11"/>
  <c r="K52" i="11"/>
  <c r="L89" i="11"/>
  <c r="K89" i="11"/>
  <c r="L123" i="11"/>
  <c r="K123" i="11"/>
  <c r="L59" i="11"/>
  <c r="K59" i="11"/>
  <c r="L125" i="11"/>
  <c r="K125" i="11"/>
  <c r="L61" i="11"/>
  <c r="K61" i="11"/>
  <c r="L74" i="11"/>
  <c r="K74" i="11"/>
  <c r="L87" i="11"/>
  <c r="K87" i="11"/>
  <c r="L30" i="11"/>
  <c r="K30" i="11"/>
  <c r="L15" i="11"/>
  <c r="K15" i="11"/>
  <c r="L53" i="11"/>
  <c r="K53" i="11"/>
  <c r="L116" i="11"/>
  <c r="K116" i="11"/>
  <c r="L134" i="11"/>
  <c r="K134" i="11"/>
  <c r="L132" i="11"/>
  <c r="K132" i="11"/>
  <c r="L68" i="11"/>
  <c r="K68" i="11"/>
  <c r="L102" i="11"/>
  <c r="K102" i="11"/>
  <c r="L108" i="11"/>
  <c r="K108" i="11"/>
  <c r="L129" i="11"/>
  <c r="K129" i="11"/>
  <c r="L65" i="11"/>
  <c r="K65" i="11"/>
  <c r="L78" i="11"/>
  <c r="K78" i="11"/>
  <c r="L99" i="11"/>
  <c r="K99" i="11"/>
  <c r="L112" i="11"/>
  <c r="K112" i="11"/>
  <c r="L101" i="11"/>
  <c r="K101" i="11"/>
  <c r="L114" i="11"/>
  <c r="K114" i="11"/>
  <c r="L127" i="11"/>
  <c r="K127" i="11"/>
  <c r="L63" i="11"/>
  <c r="K63" i="11"/>
  <c r="K26" i="11"/>
  <c r="L26" i="11"/>
  <c r="L10" i="11"/>
  <c r="K10" i="11"/>
  <c r="L84" i="11"/>
  <c r="K84" i="11"/>
  <c r="L105" i="11"/>
  <c r="K105" i="11"/>
  <c r="L118" i="11"/>
  <c r="K118" i="11"/>
  <c r="L54" i="11"/>
  <c r="K54" i="11"/>
  <c r="L75" i="11"/>
  <c r="K75" i="11"/>
  <c r="L88" i="11"/>
  <c r="K88" i="11"/>
  <c r="L77" i="11"/>
  <c r="K77" i="11"/>
  <c r="L90" i="11"/>
  <c r="K90" i="11"/>
  <c r="L103" i="11"/>
  <c r="K103" i="11"/>
  <c r="K22" i="11"/>
  <c r="L22" i="11"/>
  <c r="L64" i="11"/>
  <c r="K64" i="11"/>
  <c r="L72" i="11"/>
  <c r="K72" i="11"/>
  <c r="L81" i="11"/>
  <c r="K81" i="11"/>
  <c r="L94" i="11"/>
  <c r="K94" i="11"/>
  <c r="L115" i="11"/>
  <c r="K115" i="11"/>
  <c r="L128" i="11"/>
  <c r="K128" i="11"/>
  <c r="L117" i="11"/>
  <c r="K117" i="11"/>
  <c r="L130" i="11"/>
  <c r="K130" i="11"/>
  <c r="L66" i="11"/>
  <c r="K66" i="11"/>
  <c r="L79" i="11"/>
  <c r="K79" i="11"/>
  <c r="K50" i="11"/>
  <c r="L50" i="11"/>
  <c r="L18" i="11"/>
  <c r="K18" i="11"/>
  <c r="L51" i="11"/>
  <c r="K51" i="11"/>
  <c r="L121" i="11"/>
  <c r="K121" i="11"/>
  <c r="L57" i="11"/>
  <c r="K57" i="11"/>
  <c r="L70" i="11"/>
  <c r="K70" i="11"/>
  <c r="L91" i="11"/>
  <c r="K91" i="11"/>
  <c r="L104" i="11"/>
  <c r="K104" i="11"/>
  <c r="L93" i="11"/>
  <c r="K93" i="11"/>
  <c r="L106" i="11"/>
  <c r="K106" i="11"/>
  <c r="L119" i="11"/>
  <c r="K119" i="11"/>
  <c r="L55" i="11"/>
  <c r="K55" i="11"/>
  <c r="K46" i="11"/>
  <c r="L46" i="11"/>
  <c r="K14" i="11"/>
  <c r="L14" i="11"/>
  <c r="Q10" i="10"/>
  <c r="J10" i="10"/>
  <c r="P10" i="10"/>
  <c r="L8" i="10"/>
  <c r="K8" i="10"/>
  <c r="L9" i="10"/>
  <c r="K9" i="10"/>
  <c r="L10" i="10" l="1"/>
  <c r="K10" i="10"/>
  <c r="B136" i="3" l="1"/>
  <c r="A136" i="3"/>
  <c r="B135" i="3"/>
  <c r="A135" i="3"/>
  <c r="B134" i="3"/>
  <c r="A134" i="3"/>
  <c r="B133" i="3"/>
  <c r="A133" i="3"/>
  <c r="B132" i="3"/>
  <c r="A132" i="3"/>
  <c r="B131" i="3"/>
  <c r="A131" i="3"/>
  <c r="B130" i="3"/>
  <c r="A130" i="3"/>
  <c r="B129" i="3"/>
  <c r="A129" i="3"/>
  <c r="B128" i="3"/>
  <c r="A128" i="3"/>
  <c r="B127" i="3"/>
  <c r="A127" i="3"/>
  <c r="B126" i="3"/>
  <c r="A126" i="3"/>
  <c r="B125" i="3"/>
  <c r="A125" i="3"/>
  <c r="B124" i="3"/>
  <c r="A124" i="3"/>
  <c r="B123" i="3"/>
  <c r="A123" i="3"/>
  <c r="B122" i="3"/>
  <c r="A122" i="3"/>
  <c r="B121" i="3"/>
  <c r="A121" i="3"/>
  <c r="B120" i="3"/>
  <c r="A120" i="3"/>
  <c r="B119" i="3"/>
  <c r="A119" i="3"/>
  <c r="O119" i="3" s="1"/>
  <c r="B118" i="3"/>
  <c r="A118" i="3"/>
  <c r="B117" i="3"/>
  <c r="A117" i="3"/>
  <c r="B116" i="3"/>
  <c r="A116" i="3"/>
  <c r="B115" i="3"/>
  <c r="A115" i="3"/>
  <c r="B114" i="3"/>
  <c r="A114" i="3"/>
  <c r="B113" i="3"/>
  <c r="A113" i="3"/>
  <c r="B112" i="3"/>
  <c r="A112" i="3"/>
  <c r="B111" i="3"/>
  <c r="A111" i="3"/>
  <c r="O111" i="3" s="1"/>
  <c r="B110" i="3"/>
  <c r="A110" i="3"/>
  <c r="B109" i="3"/>
  <c r="A109" i="3"/>
  <c r="B108" i="3"/>
  <c r="A108" i="3"/>
  <c r="B107" i="3"/>
  <c r="A107" i="3"/>
  <c r="B106" i="3"/>
  <c r="A106" i="3"/>
  <c r="B105" i="3"/>
  <c r="A105" i="3"/>
  <c r="B104" i="3"/>
  <c r="A104" i="3"/>
  <c r="B103" i="3"/>
  <c r="A103" i="3"/>
  <c r="O103" i="3" s="1"/>
  <c r="B102" i="3"/>
  <c r="A102" i="3"/>
  <c r="B101" i="3"/>
  <c r="A101" i="3"/>
  <c r="B100" i="3"/>
  <c r="A100" i="3"/>
  <c r="B99" i="3"/>
  <c r="A99" i="3"/>
  <c r="B98" i="3"/>
  <c r="A98" i="3"/>
  <c r="B97" i="3"/>
  <c r="A97" i="3"/>
  <c r="B96" i="3"/>
  <c r="A96" i="3"/>
  <c r="B95" i="3"/>
  <c r="A95" i="3"/>
  <c r="O95" i="3" s="1"/>
  <c r="B94" i="3"/>
  <c r="A94" i="3"/>
  <c r="B93" i="3"/>
  <c r="A93" i="3"/>
  <c r="B92" i="3"/>
  <c r="A92" i="3"/>
  <c r="B91" i="3"/>
  <c r="A91" i="3"/>
  <c r="B90" i="3"/>
  <c r="A90" i="3"/>
  <c r="B89" i="3"/>
  <c r="A89" i="3"/>
  <c r="B88" i="3"/>
  <c r="A88" i="3"/>
  <c r="B87" i="3"/>
  <c r="A87" i="3"/>
  <c r="O87" i="3" s="1"/>
  <c r="B86" i="3"/>
  <c r="A86" i="3"/>
  <c r="B85" i="3"/>
  <c r="A85" i="3"/>
  <c r="B84" i="3"/>
  <c r="A84" i="3"/>
  <c r="B83" i="3"/>
  <c r="A83" i="3"/>
  <c r="B82" i="3"/>
  <c r="A82" i="3"/>
  <c r="B81" i="3"/>
  <c r="A81" i="3"/>
  <c r="B80" i="3"/>
  <c r="A80" i="3"/>
  <c r="B79" i="3"/>
  <c r="A79" i="3"/>
  <c r="O79" i="3" s="1"/>
  <c r="B78" i="3"/>
  <c r="A78" i="3"/>
  <c r="B77" i="3"/>
  <c r="A77" i="3"/>
  <c r="B76" i="3"/>
  <c r="A76" i="3"/>
  <c r="B75" i="3"/>
  <c r="A75" i="3"/>
  <c r="B74" i="3"/>
  <c r="A74" i="3"/>
  <c r="B73" i="3"/>
  <c r="A73" i="3"/>
  <c r="B72" i="3"/>
  <c r="A72" i="3"/>
  <c r="B71" i="3"/>
  <c r="A71" i="3"/>
  <c r="B70" i="3"/>
  <c r="A70" i="3"/>
  <c r="B69" i="3"/>
  <c r="A69" i="3"/>
  <c r="B68" i="3"/>
  <c r="A68" i="3"/>
  <c r="B67" i="3"/>
  <c r="A67" i="3"/>
  <c r="B66" i="3"/>
  <c r="A66" i="3"/>
  <c r="B65" i="3"/>
  <c r="A65" i="3"/>
  <c r="B64" i="3"/>
  <c r="A64" i="3"/>
  <c r="O64" i="3" s="1"/>
  <c r="B63" i="3"/>
  <c r="A63" i="3"/>
  <c r="B62" i="3"/>
  <c r="A62" i="3"/>
  <c r="B61" i="3"/>
  <c r="A61" i="3"/>
  <c r="B60" i="3"/>
  <c r="A60" i="3"/>
  <c r="B59" i="3"/>
  <c r="A59" i="3"/>
  <c r="B58" i="3"/>
  <c r="A58" i="3"/>
  <c r="B57" i="3"/>
  <c r="A57" i="3"/>
  <c r="B56" i="3"/>
  <c r="A56" i="3"/>
  <c r="B55" i="3"/>
  <c r="A55" i="3"/>
  <c r="B54" i="3"/>
  <c r="A54" i="3"/>
  <c r="B53" i="3"/>
  <c r="A53" i="3"/>
  <c r="B52" i="3"/>
  <c r="A52" i="3"/>
  <c r="B51" i="3"/>
  <c r="A51" i="3"/>
  <c r="J50" i="3"/>
  <c r="B50" i="3"/>
  <c r="A50" i="3"/>
  <c r="B49" i="3"/>
  <c r="A49" i="3"/>
  <c r="B48" i="3"/>
  <c r="A48" i="3"/>
  <c r="B47" i="3"/>
  <c r="A47" i="3"/>
  <c r="B46" i="3"/>
  <c r="A46" i="3"/>
  <c r="J45" i="3"/>
  <c r="B45" i="3"/>
  <c r="A45" i="3"/>
  <c r="B44" i="3"/>
  <c r="A44" i="3"/>
  <c r="B43" i="3"/>
  <c r="A43" i="3"/>
  <c r="J42" i="3"/>
  <c r="B42" i="3"/>
  <c r="A42" i="3"/>
  <c r="B41" i="3"/>
  <c r="A41" i="3"/>
  <c r="B40" i="3"/>
  <c r="A40" i="3"/>
  <c r="B39" i="3"/>
  <c r="A39" i="3"/>
  <c r="B38" i="3"/>
  <c r="A38" i="3"/>
  <c r="B37" i="3"/>
  <c r="A37" i="3"/>
  <c r="B36" i="3"/>
  <c r="A36" i="3"/>
  <c r="B35" i="3"/>
  <c r="A35" i="3"/>
  <c r="B34" i="3"/>
  <c r="A34" i="3"/>
  <c r="B33" i="3"/>
  <c r="A33" i="3"/>
  <c r="B32" i="3"/>
  <c r="A32" i="3"/>
  <c r="B31" i="3"/>
  <c r="A31" i="3"/>
  <c r="B30" i="3"/>
  <c r="A30" i="3"/>
  <c r="B29" i="3"/>
  <c r="A29" i="3"/>
  <c r="B28" i="3"/>
  <c r="A28" i="3"/>
  <c r="J27" i="3"/>
  <c r="B27" i="3"/>
  <c r="A27" i="3"/>
  <c r="B26" i="3"/>
  <c r="A26" i="3"/>
  <c r="B25" i="3"/>
  <c r="A25" i="3"/>
  <c r="B24" i="3"/>
  <c r="A24" i="3"/>
  <c r="J23" i="3"/>
  <c r="B23" i="3"/>
  <c r="A23" i="3"/>
  <c r="B22" i="3"/>
  <c r="A22" i="3"/>
  <c r="J21" i="3"/>
  <c r="B21" i="3"/>
  <c r="A21" i="3"/>
  <c r="B20" i="3"/>
  <c r="A20" i="3"/>
  <c r="B19" i="3"/>
  <c r="A19" i="3"/>
  <c r="B18" i="3"/>
  <c r="A18" i="3"/>
  <c r="B17" i="3"/>
  <c r="A17" i="3"/>
  <c r="B16" i="3"/>
  <c r="A16" i="3"/>
  <c r="J15" i="3"/>
  <c r="B15" i="3"/>
  <c r="A15" i="3"/>
  <c r="B14" i="3"/>
  <c r="A14" i="3"/>
  <c r="B13" i="3"/>
  <c r="A13" i="3"/>
  <c r="B12" i="3"/>
  <c r="A12" i="3"/>
  <c r="J11" i="3"/>
  <c r="B11" i="3"/>
  <c r="A11" i="3"/>
  <c r="B10" i="3"/>
  <c r="A10" i="3"/>
  <c r="B9" i="3"/>
  <c r="A9" i="3"/>
  <c r="O136" i="3" l="1"/>
  <c r="K136" i="3"/>
  <c r="P136" i="3"/>
  <c r="L136" i="3"/>
  <c r="O72" i="3"/>
  <c r="O80" i="3"/>
  <c r="O88" i="3"/>
  <c r="O56" i="3"/>
  <c r="O16" i="3"/>
  <c r="O96" i="3"/>
  <c r="O104" i="3"/>
  <c r="O112" i="3"/>
  <c r="O120" i="3"/>
  <c r="O128" i="3"/>
  <c r="L15" i="3"/>
  <c r="L23" i="3"/>
  <c r="P39" i="3"/>
  <c r="P47" i="3"/>
  <c r="P12" i="3"/>
  <c r="O55" i="3"/>
  <c r="O63" i="3"/>
  <c r="O52" i="3"/>
  <c r="O60" i="3"/>
  <c r="O68" i="3"/>
  <c r="O76" i="3"/>
  <c r="O84" i="3"/>
  <c r="O92" i="3"/>
  <c r="O100" i="3"/>
  <c r="O108" i="3"/>
  <c r="O116" i="3"/>
  <c r="L45" i="3"/>
  <c r="L11" i="3"/>
  <c r="O19" i="3"/>
  <c r="L27" i="3"/>
  <c r="O35" i="3"/>
  <c r="P43" i="3"/>
  <c r="O59" i="3"/>
  <c r="O67" i="3"/>
  <c r="P41" i="3"/>
  <c r="O124" i="3"/>
  <c r="P10" i="3"/>
  <c r="P18" i="3"/>
  <c r="P26" i="3"/>
  <c r="P34" i="3"/>
  <c r="L42" i="3"/>
  <c r="O37" i="3"/>
  <c r="O13" i="3"/>
  <c r="O29" i="3"/>
  <c r="P24" i="3"/>
  <c r="P32" i="3"/>
  <c r="P40" i="3"/>
  <c r="P48" i="3"/>
  <c r="P46" i="3"/>
  <c r="P14" i="3"/>
  <c r="O22" i="3"/>
  <c r="O30" i="3"/>
  <c r="P38" i="3"/>
  <c r="P51" i="3"/>
  <c r="O17" i="3"/>
  <c r="O25" i="3"/>
  <c r="O33" i="3"/>
  <c r="P20" i="3"/>
  <c r="P28" i="3"/>
  <c r="P36" i="3"/>
  <c r="P44" i="3"/>
  <c r="P49" i="3"/>
  <c r="O97" i="3"/>
  <c r="O105" i="3"/>
  <c r="O9" i="3"/>
  <c r="O31" i="3"/>
  <c r="O45" i="3"/>
  <c r="L21" i="3"/>
  <c r="L50" i="3"/>
  <c r="O58" i="3"/>
  <c r="O44" i="3"/>
  <c r="J51" i="3"/>
  <c r="L51" i="3" s="1"/>
  <c r="J43" i="3"/>
  <c r="L43" i="3" s="1"/>
  <c r="J47" i="3"/>
  <c r="L47" i="3" s="1"/>
  <c r="O49" i="3"/>
  <c r="O51" i="3"/>
  <c r="O41" i="3"/>
  <c r="O43" i="3"/>
  <c r="J9" i="3"/>
  <c r="L9" i="3" s="1"/>
  <c r="J13" i="3"/>
  <c r="L13" i="3" s="1"/>
  <c r="J17" i="3"/>
  <c r="L17" i="3" s="1"/>
  <c r="J19" i="3"/>
  <c r="L19" i="3" s="1"/>
  <c r="J25" i="3"/>
  <c r="L25" i="3" s="1"/>
  <c r="J29" i="3"/>
  <c r="L29" i="3" s="1"/>
  <c r="J31" i="3"/>
  <c r="L31" i="3" s="1"/>
  <c r="J33" i="3"/>
  <c r="L33" i="3" s="1"/>
  <c r="J35" i="3"/>
  <c r="L35" i="3" s="1"/>
  <c r="J37" i="3"/>
  <c r="L37" i="3" s="1"/>
  <c r="O40" i="3"/>
  <c r="P45" i="3"/>
  <c r="O48" i="3"/>
  <c r="P15" i="3"/>
  <c r="P42" i="3"/>
  <c r="P50" i="3"/>
  <c r="P11" i="3"/>
  <c r="P27" i="3"/>
  <c r="O42" i="3"/>
  <c r="J44" i="3"/>
  <c r="L44" i="3" s="1"/>
  <c r="O50" i="3"/>
  <c r="P21" i="3"/>
  <c r="J39" i="3"/>
  <c r="L39" i="3" s="1"/>
  <c r="O39" i="3"/>
  <c r="J41" i="3"/>
  <c r="L41" i="3" s="1"/>
  <c r="O47" i="3"/>
  <c r="J49" i="3"/>
  <c r="L49" i="3" s="1"/>
  <c r="O132" i="3"/>
  <c r="P23" i="3"/>
  <c r="J10" i="3"/>
  <c r="L10" i="3" s="1"/>
  <c r="J12" i="3"/>
  <c r="L12" i="3" s="1"/>
  <c r="J14" i="3"/>
  <c r="L14" i="3" s="1"/>
  <c r="J16" i="3"/>
  <c r="L16" i="3" s="1"/>
  <c r="J18" i="3"/>
  <c r="L18" i="3" s="1"/>
  <c r="J20" i="3"/>
  <c r="L20" i="3" s="1"/>
  <c r="J22" i="3"/>
  <c r="L22" i="3" s="1"/>
  <c r="J24" i="3"/>
  <c r="L24" i="3" s="1"/>
  <c r="J26" i="3"/>
  <c r="L26" i="3" s="1"/>
  <c r="J28" i="3"/>
  <c r="L28" i="3" s="1"/>
  <c r="J30" i="3"/>
  <c r="L30" i="3" s="1"/>
  <c r="J32" i="3"/>
  <c r="L32" i="3" s="1"/>
  <c r="J34" i="3"/>
  <c r="L34" i="3" s="1"/>
  <c r="J36" i="3"/>
  <c r="L36" i="3" s="1"/>
  <c r="J38" i="3"/>
  <c r="L38" i="3" s="1"/>
  <c r="J46" i="3"/>
  <c r="L46" i="3" s="1"/>
  <c r="O38" i="3"/>
  <c r="J40" i="3"/>
  <c r="L40" i="3" s="1"/>
  <c r="O46" i="3"/>
  <c r="J48" i="3"/>
  <c r="L48" i="3" s="1"/>
  <c r="O125" i="3"/>
  <c r="J54" i="3"/>
  <c r="P54" i="3"/>
  <c r="J62" i="3"/>
  <c r="P62" i="3"/>
  <c r="J66" i="3"/>
  <c r="P66" i="3"/>
  <c r="J70" i="3"/>
  <c r="P70" i="3"/>
  <c r="J74" i="3"/>
  <c r="P74" i="3"/>
  <c r="J78" i="3"/>
  <c r="P78" i="3"/>
  <c r="J82" i="3"/>
  <c r="P82" i="3"/>
  <c r="J86" i="3"/>
  <c r="P86" i="3"/>
  <c r="J90" i="3"/>
  <c r="P90" i="3"/>
  <c r="J94" i="3"/>
  <c r="P94" i="3"/>
  <c r="J98" i="3"/>
  <c r="P98" i="3"/>
  <c r="J102" i="3"/>
  <c r="P102" i="3"/>
  <c r="J106" i="3"/>
  <c r="P106" i="3"/>
  <c r="J110" i="3"/>
  <c r="P110" i="3"/>
  <c r="J114" i="3"/>
  <c r="P114" i="3"/>
  <c r="J118" i="3"/>
  <c r="P118" i="3"/>
  <c r="J122" i="3"/>
  <c r="P122" i="3"/>
  <c r="J126" i="3"/>
  <c r="P126" i="3"/>
  <c r="J130" i="3"/>
  <c r="P130" i="3"/>
  <c r="J134" i="3"/>
  <c r="P134" i="3"/>
  <c r="K11" i="3"/>
  <c r="K15" i="3"/>
  <c r="K21" i="3"/>
  <c r="K23" i="3"/>
  <c r="K27" i="3"/>
  <c r="K42" i="3"/>
  <c r="K45" i="3"/>
  <c r="K50" i="3"/>
  <c r="O54" i="3"/>
  <c r="O62" i="3"/>
  <c r="O66" i="3"/>
  <c r="O70" i="3"/>
  <c r="O74" i="3"/>
  <c r="O78" i="3"/>
  <c r="O82" i="3"/>
  <c r="O86" i="3"/>
  <c r="O90" i="3"/>
  <c r="O94" i="3"/>
  <c r="O98" i="3"/>
  <c r="O102" i="3"/>
  <c r="O106" i="3"/>
  <c r="O110" i="3"/>
  <c r="O114" i="3"/>
  <c r="O118" i="3"/>
  <c r="O122" i="3"/>
  <c r="O126" i="3"/>
  <c r="O130" i="3"/>
  <c r="O134" i="3"/>
  <c r="J60" i="3"/>
  <c r="P60" i="3"/>
  <c r="J64" i="3"/>
  <c r="P64" i="3"/>
  <c r="J68" i="3"/>
  <c r="P68" i="3"/>
  <c r="J72" i="3"/>
  <c r="P72" i="3"/>
  <c r="J76" i="3"/>
  <c r="P76" i="3"/>
  <c r="J80" i="3"/>
  <c r="P80" i="3"/>
  <c r="J84" i="3"/>
  <c r="P84" i="3"/>
  <c r="J88" i="3"/>
  <c r="P88" i="3"/>
  <c r="J92" i="3"/>
  <c r="P92" i="3"/>
  <c r="J96" i="3"/>
  <c r="P96" i="3"/>
  <c r="J100" i="3"/>
  <c r="P100" i="3"/>
  <c r="J104" i="3"/>
  <c r="P104" i="3"/>
  <c r="J108" i="3"/>
  <c r="P108" i="3"/>
  <c r="J112" i="3"/>
  <c r="P112" i="3"/>
  <c r="J116" i="3"/>
  <c r="P116" i="3"/>
  <c r="J120" i="3"/>
  <c r="P120" i="3"/>
  <c r="J124" i="3"/>
  <c r="P124" i="3"/>
  <c r="J128" i="3"/>
  <c r="P128" i="3"/>
  <c r="J132" i="3"/>
  <c r="P132" i="3"/>
  <c r="J52" i="3"/>
  <c r="P52" i="3"/>
  <c r="J58" i="3"/>
  <c r="P58" i="3"/>
  <c r="O12" i="3"/>
  <c r="O15" i="3"/>
  <c r="O18" i="3"/>
  <c r="O20" i="3"/>
  <c r="O23" i="3"/>
  <c r="O26" i="3"/>
  <c r="O28" i="3"/>
  <c r="O32" i="3"/>
  <c r="O36" i="3"/>
  <c r="J57" i="3"/>
  <c r="P57" i="3"/>
  <c r="J65" i="3"/>
  <c r="P65" i="3"/>
  <c r="J71" i="3"/>
  <c r="P71" i="3"/>
  <c r="J77" i="3"/>
  <c r="P77" i="3"/>
  <c r="J83" i="3"/>
  <c r="P83" i="3"/>
  <c r="J91" i="3"/>
  <c r="P91" i="3"/>
  <c r="J99" i="3"/>
  <c r="P99" i="3"/>
  <c r="J107" i="3"/>
  <c r="P107" i="3"/>
  <c r="J115" i="3"/>
  <c r="P115" i="3"/>
  <c r="J123" i="3"/>
  <c r="P123" i="3"/>
  <c r="J129" i="3"/>
  <c r="P129" i="3"/>
  <c r="J131" i="3"/>
  <c r="P131" i="3"/>
  <c r="J133" i="3"/>
  <c r="P133" i="3"/>
  <c r="J135" i="3"/>
  <c r="P135" i="3"/>
  <c r="O10" i="3"/>
  <c r="J53" i="3"/>
  <c r="P53" i="3"/>
  <c r="J61" i="3"/>
  <c r="P61" i="3"/>
  <c r="J69" i="3"/>
  <c r="P69" i="3"/>
  <c r="J75" i="3"/>
  <c r="P75" i="3"/>
  <c r="J81" i="3"/>
  <c r="P81" i="3"/>
  <c r="J85" i="3"/>
  <c r="P85" i="3"/>
  <c r="J93" i="3"/>
  <c r="P93" i="3"/>
  <c r="J101" i="3"/>
  <c r="P101" i="3"/>
  <c r="J109" i="3"/>
  <c r="P109" i="3"/>
  <c r="J117" i="3"/>
  <c r="P117" i="3"/>
  <c r="J127" i="3"/>
  <c r="P127" i="3"/>
  <c r="P17" i="3"/>
  <c r="P22" i="3"/>
  <c r="P25" i="3"/>
  <c r="P29" i="3"/>
  <c r="P30" i="3"/>
  <c r="P31" i="3"/>
  <c r="P33" i="3"/>
  <c r="P35" i="3"/>
  <c r="P37" i="3"/>
  <c r="O53" i="3"/>
  <c r="O57" i="3"/>
  <c r="O71" i="3"/>
  <c r="O75" i="3"/>
  <c r="O83" i="3"/>
  <c r="O91" i="3"/>
  <c r="O93" i="3"/>
  <c r="O99" i="3"/>
  <c r="O107" i="3"/>
  <c r="O109" i="3"/>
  <c r="J56" i="3"/>
  <c r="P56" i="3"/>
  <c r="O11" i="3"/>
  <c r="O14" i="3"/>
  <c r="O21" i="3"/>
  <c r="O24" i="3"/>
  <c r="O27" i="3"/>
  <c r="O34" i="3"/>
  <c r="J59" i="3"/>
  <c r="P59" i="3"/>
  <c r="J67" i="3"/>
  <c r="P67" i="3"/>
  <c r="J73" i="3"/>
  <c r="P73" i="3"/>
  <c r="J79" i="3"/>
  <c r="P79" i="3"/>
  <c r="J89" i="3"/>
  <c r="P89" i="3"/>
  <c r="J97" i="3"/>
  <c r="P97" i="3"/>
  <c r="J105" i="3"/>
  <c r="P105" i="3"/>
  <c r="J113" i="3"/>
  <c r="P113" i="3"/>
  <c r="J121" i="3"/>
  <c r="P121" i="3"/>
  <c r="P9" i="3"/>
  <c r="P13" i="3"/>
  <c r="P16" i="3"/>
  <c r="P19" i="3"/>
  <c r="O61" i="3"/>
  <c r="O65" i="3"/>
  <c r="O69" i="3"/>
  <c r="O73" i="3"/>
  <c r="O77" i="3"/>
  <c r="O81" i="3"/>
  <c r="O85" i="3"/>
  <c r="O89" i="3"/>
  <c r="O101" i="3"/>
  <c r="O113" i="3"/>
  <c r="O115" i="3"/>
  <c r="O117" i="3"/>
  <c r="O121" i="3"/>
  <c r="O123" i="3"/>
  <c r="O127" i="3"/>
  <c r="O129" i="3"/>
  <c r="O131" i="3"/>
  <c r="O133" i="3"/>
  <c r="O135" i="3"/>
  <c r="J55" i="3"/>
  <c r="P55" i="3"/>
  <c r="J63" i="3"/>
  <c r="P63" i="3"/>
  <c r="J87" i="3"/>
  <c r="P87" i="3"/>
  <c r="J95" i="3"/>
  <c r="P95" i="3"/>
  <c r="J103" i="3"/>
  <c r="P103" i="3"/>
  <c r="J111" i="3"/>
  <c r="P111" i="3"/>
  <c r="J119" i="3"/>
  <c r="P119" i="3"/>
  <c r="J125" i="3"/>
  <c r="P125" i="3"/>
  <c r="O140" i="3" l="1"/>
  <c r="K140" i="3" s="1"/>
  <c r="P140" i="3"/>
  <c r="L140" i="3" s="1"/>
  <c r="K19" i="3"/>
  <c r="K43" i="3"/>
  <c r="K39" i="3"/>
  <c r="K30" i="3"/>
  <c r="K40" i="3"/>
  <c r="K14" i="3"/>
  <c r="K49" i="3"/>
  <c r="K25" i="3"/>
  <c r="K26" i="3"/>
  <c r="K22" i="3"/>
  <c r="K38" i="3"/>
  <c r="K24" i="3"/>
  <c r="K47" i="3"/>
  <c r="K36" i="3"/>
  <c r="K31" i="3"/>
  <c r="K44" i="3"/>
  <c r="K29" i="3"/>
  <c r="K20" i="3"/>
  <c r="K51" i="3"/>
  <c r="K46" i="3"/>
  <c r="K10" i="3"/>
  <c r="K37" i="3"/>
  <c r="K13" i="3"/>
  <c r="K28" i="3"/>
  <c r="K12" i="3"/>
  <c r="K34" i="3"/>
  <c r="K18" i="3"/>
  <c r="K35" i="3"/>
  <c r="K41" i="3"/>
  <c r="K33" i="3"/>
  <c r="K17" i="3"/>
  <c r="K9" i="3"/>
  <c r="K48" i="3"/>
  <c r="K32" i="3"/>
  <c r="K16" i="3"/>
  <c r="L124" i="3"/>
  <c r="K124" i="3"/>
  <c r="L56" i="3"/>
  <c r="K56" i="3"/>
  <c r="L77" i="3"/>
  <c r="K77" i="3"/>
  <c r="L134" i="3"/>
  <c r="K134" i="3"/>
  <c r="L118" i="3"/>
  <c r="K118" i="3"/>
  <c r="L102" i="3"/>
  <c r="K102" i="3"/>
  <c r="L86" i="3"/>
  <c r="K86" i="3"/>
  <c r="L70" i="3"/>
  <c r="K70" i="3"/>
  <c r="L87" i="3"/>
  <c r="K87" i="3"/>
  <c r="L85" i="3"/>
  <c r="K85" i="3"/>
  <c r="L60" i="3"/>
  <c r="K60" i="3"/>
  <c r="L131" i="3"/>
  <c r="K131" i="3"/>
  <c r="L111" i="3"/>
  <c r="K111" i="3"/>
  <c r="L63" i="3"/>
  <c r="K63" i="3"/>
  <c r="L109" i="3"/>
  <c r="K109" i="3"/>
  <c r="L81" i="3"/>
  <c r="K81" i="3"/>
  <c r="L53" i="3"/>
  <c r="K53" i="3"/>
  <c r="L58" i="3"/>
  <c r="K58" i="3"/>
  <c r="L120" i="3"/>
  <c r="K120" i="3"/>
  <c r="L104" i="3"/>
  <c r="K104" i="3"/>
  <c r="L88" i="3"/>
  <c r="K88" i="3"/>
  <c r="L72" i="3"/>
  <c r="K72" i="3"/>
  <c r="L61" i="3"/>
  <c r="K61" i="3"/>
  <c r="L76" i="3"/>
  <c r="K76" i="3"/>
  <c r="L121" i="3"/>
  <c r="K121" i="3"/>
  <c r="L113" i="3"/>
  <c r="K113" i="3"/>
  <c r="L79" i="3"/>
  <c r="K79" i="3"/>
  <c r="L129" i="3"/>
  <c r="K129" i="3"/>
  <c r="L99" i="3"/>
  <c r="K99" i="3"/>
  <c r="L71" i="3"/>
  <c r="K71" i="3"/>
  <c r="L130" i="3"/>
  <c r="K130" i="3"/>
  <c r="L114" i="3"/>
  <c r="K114" i="3"/>
  <c r="L98" i="3"/>
  <c r="K98" i="3"/>
  <c r="L82" i="3"/>
  <c r="K82" i="3"/>
  <c r="L66" i="3"/>
  <c r="K66" i="3"/>
  <c r="L119" i="3"/>
  <c r="K119" i="3"/>
  <c r="L117" i="3"/>
  <c r="K117" i="3"/>
  <c r="L92" i="3"/>
  <c r="K92" i="3"/>
  <c r="L89" i="3"/>
  <c r="K89" i="3"/>
  <c r="L107" i="3"/>
  <c r="K107" i="3"/>
  <c r="L103" i="3"/>
  <c r="K103" i="3"/>
  <c r="L55" i="3"/>
  <c r="K55" i="3"/>
  <c r="L101" i="3"/>
  <c r="K101" i="3"/>
  <c r="L75" i="3"/>
  <c r="K75" i="3"/>
  <c r="L52" i="3"/>
  <c r="K52" i="3"/>
  <c r="L132" i="3"/>
  <c r="K132" i="3"/>
  <c r="L116" i="3"/>
  <c r="K116" i="3"/>
  <c r="L100" i="3"/>
  <c r="K100" i="3"/>
  <c r="L84" i="3"/>
  <c r="K84" i="3"/>
  <c r="L68" i="3"/>
  <c r="K68" i="3"/>
  <c r="L108" i="3"/>
  <c r="K108" i="3"/>
  <c r="L59" i="3"/>
  <c r="K59" i="3"/>
  <c r="L105" i="3"/>
  <c r="K105" i="3"/>
  <c r="L73" i="3"/>
  <c r="K73" i="3"/>
  <c r="L135" i="3"/>
  <c r="K135" i="3"/>
  <c r="L123" i="3"/>
  <c r="K123" i="3"/>
  <c r="L91" i="3"/>
  <c r="K91" i="3"/>
  <c r="L65" i="3"/>
  <c r="K65" i="3"/>
  <c r="L126" i="3"/>
  <c r="K126" i="3"/>
  <c r="L110" i="3"/>
  <c r="K110" i="3"/>
  <c r="L94" i="3"/>
  <c r="K94" i="3"/>
  <c r="L78" i="3"/>
  <c r="K78" i="3"/>
  <c r="L62" i="3"/>
  <c r="K62" i="3"/>
  <c r="L80" i="3"/>
  <c r="K80" i="3"/>
  <c r="L125" i="3"/>
  <c r="K125" i="3"/>
  <c r="L95" i="3"/>
  <c r="K95" i="3"/>
  <c r="L127" i="3"/>
  <c r="K127" i="3"/>
  <c r="L93" i="3"/>
  <c r="K93" i="3"/>
  <c r="L69" i="3"/>
  <c r="K69" i="3"/>
  <c r="L128" i="3"/>
  <c r="K128" i="3"/>
  <c r="L112" i="3"/>
  <c r="K112" i="3"/>
  <c r="L96" i="3"/>
  <c r="K96" i="3"/>
  <c r="L64" i="3"/>
  <c r="K64" i="3"/>
  <c r="L97" i="3"/>
  <c r="K97" i="3"/>
  <c r="L67" i="3"/>
  <c r="K67" i="3"/>
  <c r="L133" i="3"/>
  <c r="K133" i="3"/>
  <c r="L115" i="3"/>
  <c r="K115" i="3"/>
  <c r="L83" i="3"/>
  <c r="K83" i="3"/>
  <c r="L57" i="3"/>
  <c r="K57" i="3"/>
  <c r="L122" i="3"/>
  <c r="K122" i="3"/>
  <c r="L106" i="3"/>
  <c r="K106" i="3"/>
  <c r="L90" i="3"/>
  <c r="K90" i="3"/>
  <c r="L74" i="3"/>
  <c r="K74" i="3"/>
  <c r="L54" i="3"/>
  <c r="K54" i="3"/>
  <c r="I9" i="10" l="1"/>
  <c r="I8" i="10"/>
  <c r="I10" i="10" l="1"/>
</calcChain>
</file>

<file path=xl/sharedStrings.xml><?xml version="1.0" encoding="utf-8"?>
<sst xmlns="http://schemas.openxmlformats.org/spreadsheetml/2006/main" count="1278" uniqueCount="511">
  <si>
    <t>Document Reference No</t>
  </si>
  <si>
    <t>KAPE-FS-1496-08-07-2023</t>
  </si>
  <si>
    <t>KPPI-FS-2370-12-07-2023</t>
  </si>
  <si>
    <t>KPPI-FS-2374-12-07-2023</t>
  </si>
  <si>
    <t>KAPS-FS-5256-12-07-2023</t>
  </si>
  <si>
    <t>KAPW-FS-7620-15-07-2023</t>
  </si>
  <si>
    <t>KPAF-FS-2302-15-07-2023</t>
  </si>
  <si>
    <t>KPPI-FS-2379-12-07-2023</t>
  </si>
  <si>
    <t>KAPW-FS-7623-15-07-2023</t>
  </si>
  <si>
    <t>KAPW-FS-11807-22-07-2023</t>
  </si>
  <si>
    <t>KAPS-FS-9486-22-07-2023</t>
  </si>
  <si>
    <t>KAPW-FS-11808-22-07-2023</t>
  </si>
  <si>
    <t>KAPE-FS-5500-22-07-2023</t>
  </si>
  <si>
    <t>KAPW-FS-12038-24-07-2023</t>
  </si>
  <si>
    <t>KAPW-FS-12037-24-07-2023</t>
  </si>
  <si>
    <t>KAPW-FS-12729-25-07-2023</t>
  </si>
  <si>
    <t>KAPS-FS-10920-26-07-2023</t>
  </si>
  <si>
    <t>KAPS-FS-14443-04-08-2023</t>
  </si>
  <si>
    <t>KAPS-FS-14441-04-08-2023</t>
  </si>
  <si>
    <t>KAPS-FS-15439-07-08-2023</t>
  </si>
  <si>
    <t>KAPS-FS-15113-07-08-2023</t>
  </si>
  <si>
    <t>KAPW-FS-20224-10-08-2023</t>
  </si>
  <si>
    <t>KAPE-FS-9741-10-08-2023</t>
  </si>
  <si>
    <t>KPPI-FS-8359-10-08-2023</t>
  </si>
  <si>
    <t>KPPI-FS-8357-10-08-2023</t>
  </si>
  <si>
    <t>KAPW-FS-23513-17-08-2023</t>
  </si>
  <si>
    <t>KPPI-FS-10403-22-08-2023</t>
  </si>
  <si>
    <t>KAPE-FS-12872-22-08-2023</t>
  </si>
  <si>
    <t>KAPS-FS-22034-24-08-2023</t>
  </si>
  <si>
    <t>KPPI-FS-11015-24-08-2023</t>
  </si>
  <si>
    <t>KAPE-FS-13569-24-08-2023</t>
  </si>
  <si>
    <t>KPPI-FS-11649-28-08-2023</t>
  </si>
  <si>
    <t>KPPI-FS-11650-28-08-2023</t>
  </si>
  <si>
    <t>KAPS-FS-23743-29-08-2023</t>
  </si>
  <si>
    <t>KAPE-FS-15673-01-09-2023</t>
  </si>
  <si>
    <t>KPPI-FS-12579-01-09-2023</t>
  </si>
  <si>
    <t>KAPW-FS-31229-01-09-2023</t>
  </si>
  <si>
    <t>KPPI-FS-12580-01-09-2023</t>
  </si>
  <si>
    <t>KAPS-FS-24917-01-09-2023</t>
  </si>
  <si>
    <t>KPPI-FS-13437-05-09-2023</t>
  </si>
  <si>
    <t>KPPI-FS-13434-05-09-2023</t>
  </si>
  <si>
    <t>KAPS-FS-26675-06-09-2023</t>
  </si>
  <si>
    <t>KAPW-FS-35531-08-09-2023</t>
  </si>
  <si>
    <t>KPPI-FS-13968-08-09-2023</t>
  </si>
  <si>
    <t>KPPI-FS-13969-08-09-2023</t>
  </si>
  <si>
    <t>KAPW-FS-37553-13-09-2023</t>
  </si>
  <si>
    <t>KAPE-FS-17348-08-09-2023</t>
  </si>
  <si>
    <t>KAPW-FS-37554-13-09-2023</t>
  </si>
  <si>
    <t>KAPS-FS-31014-19-09-2023</t>
  </si>
  <si>
    <t>KAPW-FS-39892-18-09-2023</t>
  </si>
  <si>
    <t>KPPI-FS-15582-16-09-2023</t>
  </si>
  <si>
    <t>KAPW-FS-40378-19-09-2023</t>
  </si>
  <si>
    <t>KAPW-FS-43777-26-09-2023</t>
  </si>
  <si>
    <t>KAPW-FS-46787-03-10-2023</t>
  </si>
  <si>
    <t>KPPI-FS-19300-05-10-2023</t>
  </si>
  <si>
    <t>KAPW-FS-49134-06-10-2023</t>
  </si>
  <si>
    <t>KAPW-FS-49133-06-10-2023</t>
  </si>
  <si>
    <t>KAPS-FS-36818-06-10-2023</t>
  </si>
  <si>
    <t>KAPE-FS-26063-13-10-2023</t>
  </si>
  <si>
    <t>KAPW-FS-57519-20-10-2023</t>
  </si>
  <si>
    <t>KAPE-FS-28369-20-10-2023</t>
  </si>
  <si>
    <t>KAPS-FS-44579-26-10-2023</t>
  </si>
  <si>
    <t>KPPI-FS-23796-28-10-2023</t>
  </si>
  <si>
    <t>KAPS-FS-47366-01-11-2023</t>
  </si>
  <si>
    <t>KAPE-FS-32181-04-11-2023</t>
  </si>
  <si>
    <t>KAPS-FS-48907-06-11-2023</t>
  </si>
  <si>
    <t>KAPS-FS-50062-10-11-2023</t>
  </si>
  <si>
    <t>KAPW-FS-68911-13-11-2023</t>
  </si>
  <si>
    <t>KAPS-FS-52107-16-11-2023</t>
  </si>
  <si>
    <t>KAPS-FS-51016-14-11-2023</t>
  </si>
  <si>
    <t>KAPS-FS-51188-14-11-2023</t>
  </si>
  <si>
    <t>KAPS-FS-55283-23-11-2023</t>
  </si>
  <si>
    <t>KAPS-FS-57526-28-11-2023</t>
  </si>
  <si>
    <t>KAPS-FS-57525-28-11-2023</t>
  </si>
  <si>
    <t>KAPW-FS-80230-30-11-2023</t>
  </si>
  <si>
    <t>KAPW-FS-81819-04-12-2023</t>
  </si>
  <si>
    <t>KAPW-FS-80233-30-11-2023</t>
  </si>
  <si>
    <t>KAPW-FS-80231-30-11-2023</t>
  </si>
  <si>
    <t>KAPW-FS-82713-05-12-2023</t>
  </si>
  <si>
    <t>KAPE-FS-41875-13-12-2023</t>
  </si>
  <si>
    <t>KAPS-FS-65794-19-12-2023</t>
  </si>
  <si>
    <t>KPAF-FS-31625-02-01-2024</t>
  </si>
  <si>
    <t>KAPE-FS-45579-01-01-2024</t>
  </si>
  <si>
    <t>KAPW-FS-100035-05-01-2024</t>
  </si>
  <si>
    <t>KAPS-FS-76288-12-01-2024</t>
  </si>
  <si>
    <t>KAPS-FS-76290-12-01-2024</t>
  </si>
  <si>
    <t>KAPS-FS-77946-16-01-2024</t>
  </si>
  <si>
    <t>KAPW-FS-107833-18-01-2024</t>
  </si>
  <si>
    <t>KPPI-FS-40049-16-01-2024</t>
  </si>
  <si>
    <t>KAPW-FS-107801-18-01-2024</t>
  </si>
  <si>
    <t>KAPS-FS-78581-18-01-2024</t>
  </si>
  <si>
    <t>KAPS-FS-78582-18-01-2024</t>
  </si>
  <si>
    <t>KAPW-FS-110799-23-01-2024</t>
  </si>
  <si>
    <t>KAPW-FS-112745-25-01-2024</t>
  </si>
  <si>
    <t>KAPS-FS-84174-31-01-2024</t>
  </si>
  <si>
    <t>KAPS-FS-84173-31-01-2024</t>
  </si>
  <si>
    <t>KAPW-FS-119331-06-02-2024</t>
  </si>
  <si>
    <t>KAPW-FS-122316-10-02-2024</t>
  </si>
  <si>
    <t>KAPW-FS-124476-14-02-2024</t>
  </si>
  <si>
    <t>KPPI-FS-46101-21-02-2024</t>
  </si>
  <si>
    <t>KAPS-FS-95844-23-02-2024</t>
  </si>
  <si>
    <t>KAPW-FS-131726-27-02-2024</t>
  </si>
  <si>
    <t>KAPW-FS-132705-28-02-2024</t>
  </si>
  <si>
    <t>KAPW-FS-139283-09-03-2024</t>
  </si>
  <si>
    <t>KPAF-FS-43681-11-03-2024</t>
  </si>
  <si>
    <t>KAPS-FS-104215-12-03-2024</t>
  </si>
  <si>
    <t>KAPS-FS-104803-13-03-2024</t>
  </si>
  <si>
    <t>KAPE-FS-60621-13-03-2024</t>
  </si>
  <si>
    <t>KAPS-FS-106914-18-03-2024</t>
  </si>
  <si>
    <t>KAPS-FS-107200-19-03-2024</t>
  </si>
  <si>
    <t>KAPS-FS-108088-21-03-2024</t>
  </si>
  <si>
    <t>KAPW-FS-150133-30-03-2024</t>
  </si>
  <si>
    <t>KAPS-FS-110169-27-03-2024</t>
  </si>
  <si>
    <t>KAPE-FS-64665-03-04-2024</t>
  </si>
  <si>
    <t>KAPS-FS-114599-05-04-2024</t>
  </si>
  <si>
    <t>KAPS-FS-119025-18-04-2024</t>
  </si>
  <si>
    <t>KPPI-FS-59812-25-04-2024</t>
  </si>
  <si>
    <t>KPPI-FS-61552-04-05-2024</t>
  </si>
  <si>
    <t>KAPS-FS-127354-06-05-2024</t>
  </si>
  <si>
    <t>KAPS-FS-127356-06-05-2024</t>
  </si>
  <si>
    <t>KAPW-FS-171598-09-05-2024</t>
  </si>
  <si>
    <t>KAPS-FS-130888-11-05-2024</t>
  </si>
  <si>
    <t>KAPS-FS-131674-14-05-2024</t>
  </si>
  <si>
    <t>KAPS-FS-131938-14-05-2024</t>
  </si>
  <si>
    <t>KAPW-FS-174553-15-05-2024</t>
  </si>
  <si>
    <t>KAPW-FS-174554-15-05-2024</t>
  </si>
  <si>
    <t>KAPS-FS-133478-17-05-2024</t>
  </si>
  <si>
    <t>KPPI-FS-65099-21-05-2024</t>
  </si>
  <si>
    <t>Status</t>
  </si>
  <si>
    <t>-</t>
  </si>
  <si>
    <t>Product</t>
  </si>
  <si>
    <t>Raw Cotton</t>
  </si>
  <si>
    <t>Textile Chemical</t>
  </si>
  <si>
    <t>Textile Dyes</t>
  </si>
  <si>
    <t>Polyester Staple Fiber</t>
  </si>
  <si>
    <t>(All)</t>
  </si>
  <si>
    <t>Grand Total</t>
  </si>
  <si>
    <t>Duty/Taxes</t>
  </si>
  <si>
    <t xml:space="preserve">Value </t>
  </si>
  <si>
    <t>Val</t>
  </si>
  <si>
    <t>Duty</t>
  </si>
  <si>
    <t>IMPORT</t>
  </si>
  <si>
    <t>EXPORT</t>
  </si>
  <si>
    <t>BALANCE</t>
  </si>
  <si>
    <t>Qty</t>
  </si>
  <si>
    <t>Qty (Kg)</t>
  </si>
  <si>
    <t>Value</t>
  </si>
  <si>
    <t>Value (PKR)</t>
  </si>
  <si>
    <t>M/s. Lucky Textile Mills Ltd.</t>
  </si>
  <si>
    <t>July-2023 to May-2024</t>
  </si>
  <si>
    <t>Import Summary</t>
  </si>
  <si>
    <t>KAPE-FS-1774-10-07-2023</t>
  </si>
  <si>
    <t>KPAF-FS-1831-12-07-2023</t>
  </si>
  <si>
    <t>KAPW-FS-7624-15-07-2023</t>
  </si>
  <si>
    <t>KPAF-FS-3735-24-07-2023</t>
  </si>
  <si>
    <t>KAPS-FS-9674-24-07-2023</t>
  </si>
  <si>
    <t>KAPW-FS-12039-24-07-2023</t>
  </si>
  <si>
    <t>KPAF-FS-5160-02-08-2023</t>
  </si>
  <si>
    <t>KAPE-FS-8254-03-08-2023</t>
  </si>
  <si>
    <t>KPFI-FS-4114-04-08-2023</t>
  </si>
  <si>
    <t>KAPW-FS-18744-07-08-2023</t>
  </si>
  <si>
    <t>KPAF-FS-6126-08-08-2023</t>
  </si>
  <si>
    <t>KPFI-FS-5370-16-08-2023</t>
  </si>
  <si>
    <t>KPAF-FS-7253-16-08-2023</t>
  </si>
  <si>
    <t>KPFI-FS-5365-16-08-2023</t>
  </si>
  <si>
    <t>KPAF-FS-7498-17-08-2023</t>
  </si>
  <si>
    <t>KPAF-FS-7499-17-08-2023</t>
  </si>
  <si>
    <t>KAPW-FS-23515-17-08-2023</t>
  </si>
  <si>
    <t>KAPE-FS-11946-17-08-2023</t>
  </si>
  <si>
    <t>KPAF-FS-10254-01-09-2023</t>
  </si>
  <si>
    <t>KPAF-FS-10514-04-09-2023</t>
  </si>
  <si>
    <t>KAPE-FS-17972-12-09-2023</t>
  </si>
  <si>
    <t>KPAF-FS-12555-14-09-2023</t>
  </si>
  <si>
    <t>KPAF-FS-12554-14-09-2023</t>
  </si>
  <si>
    <t>KAPW-FS-38544-15-09-2023</t>
  </si>
  <si>
    <t>KAPW-FS-38543-15-09-2023</t>
  </si>
  <si>
    <t>KPFI-FS-9869-21-09-2023</t>
  </si>
  <si>
    <t>KPAF-FS-14035-22-09-2023</t>
  </si>
  <si>
    <t>KAPE-FS-21272-25-09-2023</t>
  </si>
  <si>
    <t>KPAF-FS-16495-06-10-2023</t>
  </si>
  <si>
    <t>KPFI-FS-11650-06-10-2023</t>
  </si>
  <si>
    <t>KPFI-FS-11651-06-10-2023</t>
  </si>
  <si>
    <t>KPAF-FS-16368-06-10-2023</t>
  </si>
  <si>
    <t>KPFI-FS-12097-10-10-2023</t>
  </si>
  <si>
    <t>KAPS-FS-39339-12-10-2023</t>
  </si>
  <si>
    <t>KAPS-FS-39341-12-10-2023</t>
  </si>
  <si>
    <t>KAPW-FS-52954-13-10-2023</t>
  </si>
  <si>
    <t>KPAF-FS-18178-17-10-2023</t>
  </si>
  <si>
    <t>KPAF-FS-18177-17-10-2023</t>
  </si>
  <si>
    <t>KPAF-FS-18176-17-10-2023</t>
  </si>
  <si>
    <t>KAPW-FS-54642-17-10-2023</t>
  </si>
  <si>
    <t>KPAF-FS-18347-17-10-2023</t>
  </si>
  <si>
    <t>KAPW-FS-57668-20-10-2023</t>
  </si>
  <si>
    <t>KPAF-FS-19538-24-10-2023</t>
  </si>
  <si>
    <t>KPAF-FS-20254-28-10-2023</t>
  </si>
  <si>
    <t>KPAF-FS-22177-08-11-2023</t>
  </si>
  <si>
    <t>KPAF-FS-22627-11-11-2023</t>
  </si>
  <si>
    <t>KAPS-FS-51542-15-11-2023</t>
  </si>
  <si>
    <t>KPAF-FS-23277-15-11-2023</t>
  </si>
  <si>
    <t>KPAF-FS-23276-15-11-2023</t>
  </si>
  <si>
    <t>KAPE-FS-34418-15-11-2023</t>
  </si>
  <si>
    <t>KPAF-FS-24307-21-11-2023</t>
  </si>
  <si>
    <t>KAPW-FS-73817-21-11-2023</t>
  </si>
  <si>
    <t>KPFI-FS-17814-24-11-2023</t>
  </si>
  <si>
    <t>KAPE-FS-37625-28-11-2023</t>
  </si>
  <si>
    <t>KAPE-FS-37624-28-11-2023</t>
  </si>
  <si>
    <t>KPAF-FS-25776-29-11-2023</t>
  </si>
  <si>
    <t>KPAF-FS-25777-29-11-2023</t>
  </si>
  <si>
    <t>KPAF-FS-26984-06-12-2023</t>
  </si>
  <si>
    <t>KPAF-FS-26987-06-12-2023</t>
  </si>
  <si>
    <t>KPAF-FS-26988-06-12-2023</t>
  </si>
  <si>
    <t>KPAF-FS-26989-06-12-2023</t>
  </si>
  <si>
    <t>KPFI-FS-19572-07-12-2023</t>
  </si>
  <si>
    <t>KAPE-FS-40657-08-12-2023</t>
  </si>
  <si>
    <t>KPAF-FS-28106-13-12-2023</t>
  </si>
  <si>
    <t>KPAF-FS-28107-13-12-2023</t>
  </si>
  <si>
    <t>KPAF-FS-28866-18-12-2023</t>
  </si>
  <si>
    <t>KAPW-FS-89452-18-12-2023</t>
  </si>
  <si>
    <t>KPAF-FS-29149-19-12-2023</t>
  </si>
  <si>
    <t>KPAF-FS-29522-20-12-2023</t>
  </si>
  <si>
    <t>KAPS-FS-67286-21-12-2023</t>
  </si>
  <si>
    <t>KAPW-FS-92395-21-12-2023</t>
  </si>
  <si>
    <t>KAPW-FS-91778-21-12-2023</t>
  </si>
  <si>
    <t>KPFI-FS-21641-26-12-2023</t>
  </si>
  <si>
    <t>KAPW-FS-95246-28-12-2023</t>
  </si>
  <si>
    <t>KPAF-FS-32849-10-01-2024</t>
  </si>
  <si>
    <t>KPAF-FS-32850-10-01-2024</t>
  </si>
  <si>
    <t>KAPS-FS-76128-11-01-2024</t>
  </si>
  <si>
    <t>KPFI-FS-23551-11-01-2024</t>
  </si>
  <si>
    <t>KPAF-FS-33367-12-01-2024</t>
  </si>
  <si>
    <t>KPFI-FS-24231-17-01-2024</t>
  </si>
  <si>
    <t>KAPW-FS-108013-18-01-2024</t>
  </si>
  <si>
    <t>KPAF-FS-35088-23-01-2024</t>
  </si>
  <si>
    <t>KPAF-FS-34975-23-01-2024</t>
  </si>
  <si>
    <t>KAPW-FS-112866-26-01-2024</t>
  </si>
  <si>
    <t>KPFI-FS-25704-29-01-2024</t>
  </si>
  <si>
    <t>KAPW-FS-116171-31-01-2024</t>
  </si>
  <si>
    <t>KPAF-FS-37698-07-02-2024</t>
  </si>
  <si>
    <t>KAPS-FS-87786-07-02-2024</t>
  </si>
  <si>
    <t>KPAF-FS-38478-12-02-2024</t>
  </si>
  <si>
    <t>KAPW-FS-123748-13-02-2024</t>
  </si>
  <si>
    <t>KAPW-FS-124474-14-02-2024</t>
  </si>
  <si>
    <t>KPAF-FS-40326-21-02-2024</t>
  </si>
  <si>
    <t>KPAF-FS-40544-22-02-2024</t>
  </si>
  <si>
    <t>KPFI-FS-28637-22-02-2024</t>
  </si>
  <si>
    <t>KPAF-FS-40704-23-02-2024</t>
  </si>
  <si>
    <t>KPAF-FS-41257-27-02-2024</t>
  </si>
  <si>
    <t>KAPW-FS-133914-29-02-2024</t>
  </si>
  <si>
    <t>KAPW-FS-134063-01-03-2024</t>
  </si>
  <si>
    <t>KAPS-FS-100405-05-03-2024</t>
  </si>
  <si>
    <t>KPAF-FS-42826-06-03-2024</t>
  </si>
  <si>
    <t>KAPW-FS-140764-12-03-2024</t>
  </si>
  <si>
    <t>KPAF-FS-43887-12-03-2024</t>
  </si>
  <si>
    <t>KPFI-FS-30058-12-03-2024</t>
  </si>
  <si>
    <t>KPFI-FS-30059-12-03-2024</t>
  </si>
  <si>
    <t>KPAF-FS-44289-14-03-2024</t>
  </si>
  <si>
    <t>KPAF-FS-44556-15-03-2024</t>
  </si>
  <si>
    <t>KPAF-FS-46154-22-03-2024</t>
  </si>
  <si>
    <t>KPAF-FS-47520-29-03-2024</t>
  </si>
  <si>
    <t>KAPE-FS-63998-30-03-2024</t>
  </si>
  <si>
    <t>KPAF-FS-49517-08-04-2024</t>
  </si>
  <si>
    <t>KAPW-FS-154812-08-04-2024</t>
  </si>
  <si>
    <t>KAPE-FS-66769-18-04-2024</t>
  </si>
  <si>
    <t>KPAF-FS-51218-18-04-2024</t>
  </si>
  <si>
    <t>KAPS-FS-120630-22-04-2024</t>
  </si>
  <si>
    <t>KPAF-FS-51849-22-04-2024</t>
  </si>
  <si>
    <t>KAPW-FS-160251-22-04-2024</t>
  </si>
  <si>
    <t>KPAF-FS-52345-24-04-2024</t>
  </si>
  <si>
    <t>KAPW-FS-161791-24-04-2024</t>
  </si>
  <si>
    <t>KPAF-FS-52748-25-04-2024</t>
  </si>
  <si>
    <t>KPAF-FS-52749-25-04-2024</t>
  </si>
  <si>
    <t>KPAF-FS-52750-25-04-2024</t>
  </si>
  <si>
    <t>KAPW-FS-165341-29-04-2024</t>
  </si>
  <si>
    <t>KPAF-FS-54192-02-05-2024</t>
  </si>
  <si>
    <t>KAPW-FS-166962-02-05-2024</t>
  </si>
  <si>
    <t>KAPS-FS-127351-06-05-2024</t>
  </si>
  <si>
    <t>KPAF-FS-55269-07-05-2024</t>
  </si>
  <si>
    <t>KAPW-FS-171617-09-05-2024</t>
  </si>
  <si>
    <t>KPAF-FS-57170-16-05-2024</t>
  </si>
  <si>
    <t>KAPW-FS-175590-16-05-2024</t>
  </si>
  <si>
    <t>KPAF-FS-57728-20-05-2024</t>
  </si>
  <si>
    <t>KAPS-FS-135499-21-05-2024</t>
  </si>
  <si>
    <t>KAPE-FS-74067-21-05-2024</t>
  </si>
  <si>
    <t>Prod</t>
  </si>
  <si>
    <t>Spare Parts</t>
  </si>
  <si>
    <t>Machinery</t>
  </si>
  <si>
    <t xml:space="preserve">8544.1900  </t>
  </si>
  <si>
    <t xml:space="preserve">7318.1590  / 7318.2300  / 7326.9090  / 8448.4990  / 8501.5290  / 8523.5290  / 8538.9090  / 8544.2000  / 9032.8990  </t>
  </si>
  <si>
    <t xml:space="preserve">8504.4090  / 8543.7090  </t>
  </si>
  <si>
    <t xml:space="preserve">3403.9990  / 4016.9990  / 8504.4090  </t>
  </si>
  <si>
    <t xml:space="preserve">8504.4090  / 9032.8990  </t>
  </si>
  <si>
    <t xml:space="preserve">8422.4000  </t>
  </si>
  <si>
    <t xml:space="preserve">8452.2100  </t>
  </si>
  <si>
    <t xml:space="preserve">7326.9090  / 8451.9000  </t>
  </si>
  <si>
    <t xml:space="preserve">8538.9090  </t>
  </si>
  <si>
    <t xml:space="preserve">4016.9320  / 4016.9990  / 7318.1590  / 8421.3990  / 8481.8090  / 8511.1000  </t>
  </si>
  <si>
    <t xml:space="preserve">9026.8000  </t>
  </si>
  <si>
    <t xml:space="preserve">8504.4090  / 8538.9090  </t>
  </si>
  <si>
    <t xml:space="preserve">3917.3990  / 8479.8990  / 8481.8090  / 8538.9090  / 9031.8000  / 9032.8990  </t>
  </si>
  <si>
    <t xml:space="preserve">7318.1590  / 7319.9090  / 8448.4990  / 8483.4090  / 8501.5290  </t>
  </si>
  <si>
    <t xml:space="preserve">8537.1090  </t>
  </si>
  <si>
    <t xml:space="preserve">8448.4990  / 8483.3090  </t>
  </si>
  <si>
    <t xml:space="preserve">8483.4090  / 8501.5290  / 8504.4090  / 8537.1090  / 8538.9090  / 9031.8000  </t>
  </si>
  <si>
    <t xml:space="preserve">8479.8920  </t>
  </si>
  <si>
    <t xml:space="preserve">8451.9000  </t>
  </si>
  <si>
    <t xml:space="preserve">7318.1590  / 7320.9090  / 8448.4990  / 8481.8090  / 8501.5290  / 8504.4090  / 8537.1090  / 8538.9090  / 9031.8000  </t>
  </si>
  <si>
    <t xml:space="preserve">8421.3990  </t>
  </si>
  <si>
    <t xml:space="preserve">8448.4990  / 8482.2000  / 8483.4090  </t>
  </si>
  <si>
    <t xml:space="preserve">9031.8000  </t>
  </si>
  <si>
    <t xml:space="preserve">4010.3990  </t>
  </si>
  <si>
    <t xml:space="preserve">8448.4990  / 8481.8090  / 8501.5290  </t>
  </si>
  <si>
    <t xml:space="preserve">8448.3900  </t>
  </si>
  <si>
    <t xml:space="preserve">8414.9090  / 8421.3990  </t>
  </si>
  <si>
    <t xml:space="preserve">4016.9320  / 8448.3900  / 8483.4090  </t>
  </si>
  <si>
    <t xml:space="preserve">8504.4090  </t>
  </si>
  <si>
    <t xml:space="preserve">9024.8000  </t>
  </si>
  <si>
    <t xml:space="preserve">8448.4990  / 8483.4090  </t>
  </si>
  <si>
    <t xml:space="preserve">8452.2100  / 8452.9090  </t>
  </si>
  <si>
    <t xml:space="preserve">8479.8990  </t>
  </si>
  <si>
    <t xml:space="preserve">4016.9990  </t>
  </si>
  <si>
    <t xml:space="preserve">8445.4090  </t>
  </si>
  <si>
    <t xml:space="preserve">4016.9320  / 4016.9990  / 7318.1590  / 7326.9090  / 8421.3990  / 8451.9000  / 9026.8000  </t>
  </si>
  <si>
    <t xml:space="preserve">3917.3990  / 4016.9320  / 7318.1590  / 7319.9090  / 7320.9090  / 8481.8090  / 8483.4090  / 8536.9090  / 9026.8000  / 9031.8000  </t>
  </si>
  <si>
    <t xml:space="preserve">3403.9990  / 3926.9099  / 4016.9320  / 7616.1000  / 8421.3990  / 8484.9000  </t>
  </si>
  <si>
    <t xml:space="preserve">4010.3990  / 8448.3900  </t>
  </si>
  <si>
    <t xml:space="preserve">8452.9090  / 8501.5290  / 8537.1090  </t>
  </si>
  <si>
    <t xml:space="preserve">8452.2900  </t>
  </si>
  <si>
    <t xml:space="preserve">8448.4990  </t>
  </si>
  <si>
    <t xml:space="preserve">8483.4090  </t>
  </si>
  <si>
    <t xml:space="preserve">8208.9090  / 8452.9090  / 8481.8090  / 8501.5290  / 9031.8000  </t>
  </si>
  <si>
    <t xml:space="preserve">7318.1590  / 9026.9000  </t>
  </si>
  <si>
    <t xml:space="preserve">8481.8090  </t>
  </si>
  <si>
    <t xml:space="preserve">8452.3000  </t>
  </si>
  <si>
    <t xml:space="preserve">8538.9090  / 8544.2000  </t>
  </si>
  <si>
    <t xml:space="preserve">9025.9000  </t>
  </si>
  <si>
    <t xml:space="preserve">4016.9320  / 7307.9900  </t>
  </si>
  <si>
    <t xml:space="preserve">7508.9010  </t>
  </si>
  <si>
    <t xml:space="preserve">8451.4030  </t>
  </si>
  <si>
    <t xml:space="preserve">8443.9990  </t>
  </si>
  <si>
    <t xml:space="preserve">8511.1000  </t>
  </si>
  <si>
    <t xml:space="preserve">8445.2000  </t>
  </si>
  <si>
    <t xml:space="preserve">9032.8990  </t>
  </si>
  <si>
    <t xml:space="preserve">8452.9090  </t>
  </si>
  <si>
    <t xml:space="preserve">7604.2910  </t>
  </si>
  <si>
    <t xml:space="preserve">8448.1900  </t>
  </si>
  <si>
    <t xml:space="preserve">8536.9090  </t>
  </si>
  <si>
    <t xml:space="preserve">5911.1000  </t>
  </si>
  <si>
    <t xml:space="preserve">8501.5290  </t>
  </si>
  <si>
    <t xml:space="preserve">8486.2000  </t>
  </si>
  <si>
    <t xml:space="preserve">8504.4090  / 8536.2090  / 8538.9090  </t>
  </si>
  <si>
    <t xml:space="preserve">4016.9320  / 7318.1590  / 8409.9999  / 8421.3990  / 8481.8090  / 8484.9000  / 8511.1000  </t>
  </si>
  <si>
    <t xml:space="preserve">8208.9090  / 8448.3900  </t>
  </si>
  <si>
    <t xml:space="preserve">3926.9099  </t>
  </si>
  <si>
    <t xml:space="preserve">8536.9090  / 8538.9090  </t>
  </si>
  <si>
    <t xml:space="preserve">8443.9990  / 8451.9000  </t>
  </si>
  <si>
    <t xml:space="preserve">4010.3990  / 8421.3990  / 8501.5290  </t>
  </si>
  <si>
    <t xml:space="preserve">8409.9999  </t>
  </si>
  <si>
    <t xml:space="preserve">3809.9190  / 8421.3990  </t>
  </si>
  <si>
    <t xml:space="preserve">4016.9320  / 7326.9090  / 8448.4990  </t>
  </si>
  <si>
    <t xml:space="preserve">8451.5000  </t>
  </si>
  <si>
    <t xml:space="preserve">8428.3990  </t>
  </si>
  <si>
    <t xml:space="preserve">4010.3990  / 7318.1590  / 7326.9090  / 8451.9000  / 8481.8090  / 8482.2000  / 8483.4090  / 8484.9000  / 8504.4090  / 8536.5099  / 8544.2000  / 9026.8000  / 9032.8990  </t>
  </si>
  <si>
    <t xml:space="preserve">8445.1100  / 8445.1200  / 8445.1300  / 8445.1910  </t>
  </si>
  <si>
    <t xml:space="preserve">7320.9090  / 8448.4990  / 8483.4090  </t>
  </si>
  <si>
    <t xml:space="preserve">8448.4210  / 8448.4990  </t>
  </si>
  <si>
    <t xml:space="preserve">8424.2020  </t>
  </si>
  <si>
    <t xml:space="preserve">7318.1590  </t>
  </si>
  <si>
    <t xml:space="preserve">8448.3900  / 8501.5290  </t>
  </si>
  <si>
    <t xml:space="preserve">8448.3900  / 8504.4090  </t>
  </si>
  <si>
    <t xml:space="preserve">8447.9010  </t>
  </si>
  <si>
    <t xml:space="preserve">4016.9990  / 8501.5290  / 8504.4090  / 9031.8000  </t>
  </si>
  <si>
    <t>GD No</t>
  </si>
  <si>
    <t xml:space="preserve">8448.499 / 8482.2 / 8483.409 </t>
  </si>
  <si>
    <t xml:space="preserve">8448.39 </t>
  </si>
  <si>
    <t xml:space="preserve">2710.1999 / 3403.199 / 7326.909 / 8421.399 / 8481.809 </t>
  </si>
  <si>
    <t xml:space="preserve">8445.409 </t>
  </si>
  <si>
    <t xml:space="preserve">4016.991 </t>
  </si>
  <si>
    <t>Total</t>
  </si>
  <si>
    <t>SRO</t>
  </si>
  <si>
    <t>Type</t>
  </si>
  <si>
    <t>EFS</t>
  </si>
  <si>
    <t>Inv#</t>
  </si>
  <si>
    <t>HS Code</t>
  </si>
  <si>
    <t>NOC Released</t>
  </si>
  <si>
    <t>Value.</t>
  </si>
  <si>
    <t>Units</t>
  </si>
  <si>
    <t>No of GDs</t>
  </si>
  <si>
    <t>Import Details (Raw Material)</t>
  </si>
  <si>
    <t>Import Summary (Machine / Spare Parts)</t>
  </si>
  <si>
    <t>Import Details (Machine / Spare Parts)</t>
  </si>
  <si>
    <t>KAPW-FS-179692-23-05-2024</t>
  </si>
  <si>
    <t>KAPS-FS-136023-22-05-2024</t>
  </si>
  <si>
    <t>KAPS-FS-136823-23-05-2024</t>
  </si>
  <si>
    <t>KAPS-FS-136827-23-05-2024</t>
  </si>
  <si>
    <t>%</t>
  </si>
  <si>
    <t>Blended Fabric</t>
  </si>
  <si>
    <t>Blended Yarn</t>
  </si>
  <si>
    <t>Packing Material</t>
  </si>
  <si>
    <t>Polyester Fabric</t>
  </si>
  <si>
    <t>Polyester Filament Yarn</t>
  </si>
  <si>
    <t>Polyester Yarn</t>
  </si>
  <si>
    <t>Woven / Nylon Fabric</t>
  </si>
  <si>
    <t>Cotton Yarn</t>
  </si>
  <si>
    <t>Cotton Fabric</t>
  </si>
  <si>
    <t>Sewing Thread</t>
  </si>
  <si>
    <t>Denim Fabric</t>
  </si>
  <si>
    <t>Sequin Fabric</t>
  </si>
  <si>
    <t>Polyester Spun Yarn</t>
  </si>
  <si>
    <t>Textile Coal</t>
  </si>
  <si>
    <t>Elastolefin Yarn</t>
  </si>
  <si>
    <t>Comber Noil</t>
  </si>
  <si>
    <t>KAPW-FS-184689-01-06-2024</t>
  </si>
  <si>
    <t>KAPW-FS-184682-01-06-2024</t>
  </si>
  <si>
    <t>KAPW-FS-185123-03-06-2024</t>
  </si>
  <si>
    <t>KPAF-FS-61370-05-06-2024</t>
  </si>
  <si>
    <t>KPAF-FS-61371-05-06-2024</t>
  </si>
  <si>
    <t>KAPW-FS-190519-08-06-2024</t>
  </si>
  <si>
    <t>KAPS-FS-145660-11-06-2024</t>
  </si>
  <si>
    <t>KAPW-FS-192791-11-06-2024</t>
  </si>
  <si>
    <t>KAPS-FS-149176-22-06-2024</t>
  </si>
  <si>
    <t>KPAF-FS-65205-25-06-2024</t>
  </si>
  <si>
    <t>KPAF-FS-65206-25-06-2024</t>
  </si>
  <si>
    <t>KPFI-FS-39798-27-06-2024</t>
  </si>
  <si>
    <t>KAPW-FS-201907-29-06-2024</t>
  </si>
  <si>
    <t>KAPW-FS-1422-03-07-2024</t>
  </si>
  <si>
    <t>KAPS-FS-2069-04-07-2024</t>
  </si>
  <si>
    <t>KPAF-FS-1017-05-07-2024</t>
  </si>
  <si>
    <t xml:space="preserve">8418.6990  </t>
  </si>
  <si>
    <t xml:space="preserve">7318.1590  / 8452.9090  / 8482.2000  / 8484.9000  </t>
  </si>
  <si>
    <t xml:space="preserve">8445.1300  </t>
  </si>
  <si>
    <t xml:space="preserve">3403.9990  / 3926.9099  / 7616.1000  / 8414.8090  / 8421.3990  / 8481.8090  / 8484.9000  / 9026.8000  </t>
  </si>
  <si>
    <t xml:space="preserve">8413.7090  </t>
  </si>
  <si>
    <t xml:space="preserve">8451.5000  / 8452.2900  </t>
  </si>
  <si>
    <t xml:space="preserve">7318.1590 , 8413.7090 , 8421.3990 , 8481.8090 </t>
  </si>
  <si>
    <t xml:space="preserve">8428.3990 </t>
  </si>
  <si>
    <t xml:space="preserve">4016.9320 , 8421.3990 , 8484.9000 </t>
  </si>
  <si>
    <t>Machines / Spare Parts Data - July-2023 to June-2024</t>
  </si>
  <si>
    <t>July-2023 to Jun-2024</t>
  </si>
  <si>
    <t>(blank)</t>
  </si>
  <si>
    <t>KPAF-FS-4060-22-07-2024</t>
  </si>
  <si>
    <t>KAPS-FS-141691-04-06-2024</t>
  </si>
  <si>
    <t>KPPI-FS-2177-10-07-2024</t>
  </si>
  <si>
    <t>KPPI-FS-2930-15-07-2024</t>
  </si>
  <si>
    <t>KPPI-FS-2931-15-07-2024</t>
  </si>
  <si>
    <t>KPPI-FS-4684-24-07-2024</t>
  </si>
  <si>
    <t>KAPS-FS-5048-10-07-2024</t>
  </si>
  <si>
    <t>KAPS-FS-6940-13-07-2024</t>
  </si>
  <si>
    <t>KAPS-FS-11539-23-07-2024</t>
  </si>
  <si>
    <t>KAPS-FS-11538-23-07-2024</t>
  </si>
  <si>
    <t>KAPW-FS-12332-24-07-2024</t>
  </si>
  <si>
    <t>KAPW-FS-184827-01-06-2024</t>
  </si>
  <si>
    <t>KAPW-FS-192859-11-06-2024</t>
  </si>
  <si>
    <t>KAPW-FS-199895-27-06-2024</t>
  </si>
  <si>
    <t>KAPS-FS-1283-03-07-2024</t>
  </si>
  <si>
    <t>KAPS-FS-2067-04-07-2024</t>
  </si>
  <si>
    <t>KAPW-FS-2055-04-07-2024</t>
  </si>
  <si>
    <t>KAPS-FS-2075-04-07-2024</t>
  </si>
  <si>
    <t>KAPS-FS-2068-04-07-2024</t>
  </si>
  <si>
    <t>KPAF-FS-3882-20-07-2024</t>
  </si>
  <si>
    <t>KAPW-FS-11659-23-07-2024</t>
  </si>
  <si>
    <t>KAPE-FS-4281-25-07-2024</t>
  </si>
  <si>
    <t>KAPW-FS-14136-26-07-2024</t>
  </si>
  <si>
    <t>KAPW-FS-192762-11-06-2024</t>
  </si>
  <si>
    <t>KAPE-FS-79606-13-06-2024</t>
  </si>
  <si>
    <t>KAPW-FS-195627-20-06-2024</t>
  </si>
  <si>
    <t>EOU</t>
  </si>
  <si>
    <t>IND</t>
  </si>
  <si>
    <t>KAPW-FS-3589-06-07-2024</t>
  </si>
  <si>
    <t>KAPE-FS-1363-09-07-2024</t>
  </si>
  <si>
    <t>KAPS-FS-5045-10-07-2024</t>
  </si>
  <si>
    <t>KAPW-FS-5674-10-07-2024</t>
  </si>
  <si>
    <t>KAPE-FS-2191-13-07-2024</t>
  </si>
  <si>
    <t>KPAF-FS-3681-19-07-2024</t>
  </si>
  <si>
    <t>KAPW-FS-12333-24-07-2024</t>
  </si>
  <si>
    <t>KPAF-FS-6153-30-07-2024</t>
  </si>
  <si>
    <t>KPAF-FS-6889-01-08-2024</t>
  </si>
  <si>
    <t>KPAF-FS-7710-06-08-2024</t>
  </si>
  <si>
    <t>KPAF-FS-8004-07-08-2024</t>
  </si>
  <si>
    <t>KAPW-FS-19991-07-08-2024</t>
  </si>
  <si>
    <t>KAPS-FS-19688-07-08-2024</t>
  </si>
  <si>
    <t>KAPS-FS-19695-07-08-2024</t>
  </si>
  <si>
    <t>KPAF-FS-8954-12-08-2024</t>
  </si>
  <si>
    <t>KPAF-FS-8955-12-08-2024</t>
  </si>
  <si>
    <t>KAPS-FS-23470-13-08-2024</t>
  </si>
  <si>
    <t>KAPW-FS-25282-16-08-2024</t>
  </si>
  <si>
    <t>KPAF-FS-9828-16-08-2024</t>
  </si>
  <si>
    <t>KPAF-FS-9829-16-08-2024</t>
  </si>
  <si>
    <t>KAPW-FS-29071-22-08-2024</t>
  </si>
  <si>
    <t xml:space="preserve">8424.2020 </t>
  </si>
  <si>
    <t xml:space="preserve">8452.2900 </t>
  </si>
  <si>
    <t xml:space="preserve">8445.1100 </t>
  </si>
  <si>
    <t xml:space="preserve">8543.7090 </t>
  </si>
  <si>
    <t xml:space="preserve">8504.4090 , 8524.1900 </t>
  </si>
  <si>
    <t xml:space="preserve">8445.4090 </t>
  </si>
  <si>
    <t xml:space="preserve">8452.9090 </t>
  </si>
  <si>
    <t xml:space="preserve">8208.9090  / 8451.9000  </t>
  </si>
  <si>
    <t xml:space="preserve">8307.9000  / 8479.8990  </t>
  </si>
  <si>
    <t xml:space="preserve">8471.7090  </t>
  </si>
  <si>
    <t xml:space="preserve">8402.1990  </t>
  </si>
  <si>
    <t xml:space="preserve">8308.9090  </t>
  </si>
  <si>
    <t xml:space="preserve">8451.3000  </t>
  </si>
  <si>
    <t xml:space="preserve">3403.9990  / 7326.9090  / 8421.3990  / 8481.8090  </t>
  </si>
  <si>
    <t xml:space="preserve">8208.9090  / 8451.9000  / 8483.3090  / 8536.5099  / 9026.8000  / 9031.8000  </t>
  </si>
  <si>
    <t xml:space="preserve">8452.2900  / 8452.9090  </t>
  </si>
  <si>
    <t>EFS Total</t>
  </si>
  <si>
    <t>EOU Total</t>
  </si>
  <si>
    <t>IND Total</t>
  </si>
  <si>
    <t>L</t>
  </si>
  <si>
    <t>L Total</t>
  </si>
  <si>
    <t>EFS Summary ( Imported, Indirect and Local )</t>
  </si>
  <si>
    <t>EFS Details ( Imported, Indirect and Local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</si>
</sst>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000.0000"/>
    <numFmt numFmtId="166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164" fontId="0" fillId="0" borderId="0" xfId="1" applyNumberFormat="1" applyFont="1"/>
    <xf numFmtId="164" fontId="2" fillId="0" borderId="0" xfId="1" applyNumberFormat="1" applyFont="1"/>
    <xf numFmtId="0" fontId="2" fillId="0" borderId="0" xfId="0" applyFont="1"/>
    <xf numFmtId="0" fontId="3" fillId="0" borderId="0" xfId="0" applyFont="1"/>
    <xf numFmtId="0" fontId="5" fillId="0" borderId="0" xfId="0" applyFont="1"/>
    <xf numFmtId="164" fontId="5" fillId="0" borderId="0" xfId="1" applyNumberFormat="1" applyFont="1"/>
    <xf numFmtId="164" fontId="5" fillId="0" borderId="0" xfId="0" applyNumberFormat="1" applyFont="1"/>
    <xf numFmtId="0" fontId="6" fillId="0" borderId="0" xfId="0" applyFont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164" fontId="5" fillId="0" borderId="1" xfId="1" applyNumberFormat="1" applyFont="1" applyBorder="1"/>
    <xf numFmtId="164" fontId="4" fillId="2" borderId="1" xfId="0" applyNumberFormat="1" applyFont="1" applyFill="1" applyBorder="1"/>
    <xf numFmtId="164" fontId="5" fillId="0" borderId="1" xfId="0" applyNumberFormat="1" applyFont="1" applyBorder="1" applyAlignment="1">
      <alignment horizontal="center"/>
    </xf>
    <xf numFmtId="164" fontId="5" fillId="0" borderId="1" xfId="0" applyNumberFormat="1" applyFont="1" applyBorder="1"/>
    <xf numFmtId="164" fontId="3" fillId="0" borderId="1" xfId="0" applyNumberFormat="1" applyFont="1" applyBorder="1"/>
    <xf numFmtId="0" fontId="5" fillId="0" borderId="1" xfId="0" applyFont="1" applyBorder="1"/>
    <xf numFmtId="164" fontId="2" fillId="2" borderId="1" xfId="0" applyNumberFormat="1" applyFont="1" applyFill="1" applyBorder="1" applyAlignment="1">
      <alignment horizontal="center"/>
    </xf>
    <xf numFmtId="164" fontId="0" fillId="0" borderId="1" xfId="1" applyNumberFormat="1" applyFont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164" fontId="2" fillId="0" borderId="1" xfId="1" applyNumberFormat="1" applyFont="1" applyBorder="1"/>
    <xf numFmtId="0" fontId="5" fillId="0" borderId="0" xfId="0" pivotButton="1" applyFont="1"/>
    <xf numFmtId="0" fontId="5" fillId="0" borderId="1" xfId="0" pivotButton="1" applyFont="1" applyBorder="1"/>
    <xf numFmtId="0" fontId="5" fillId="4" borderId="0" xfId="0" applyFont="1" applyFill="1"/>
    <xf numFmtId="0" fontId="0" fillId="4" borderId="0" xfId="0" applyFill="1"/>
    <xf numFmtId="0" fontId="5" fillId="0" borderId="1" xfId="0" applyFont="1" applyBorder="1" applyAlignment="1">
      <alignment horizontal="center"/>
    </xf>
    <xf numFmtId="0" fontId="5" fillId="0" borderId="6" xfId="0" pivotButton="1" applyFont="1" applyBorder="1"/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6" xfId="0" applyFont="1" applyBorder="1"/>
    <xf numFmtId="0" fontId="0" fillId="3" borderId="1" xfId="0" applyFill="1" applyBorder="1"/>
    <xf numFmtId="0" fontId="0" fillId="0" borderId="1" xfId="0" applyFill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3" borderId="1" xfId="1" applyNumberFormat="1" applyFont="1" applyFill="1" applyBorder="1"/>
    <xf numFmtId="164" fontId="0" fillId="0" borderId="1" xfId="1" applyNumberFormat="1" applyFont="1" applyFill="1" applyBorder="1"/>
    <xf numFmtId="0" fontId="0" fillId="0" borderId="0" xfId="0" quotePrefix="1"/>
    <xf numFmtId="164" fontId="0" fillId="0" borderId="0" xfId="1" applyNumberFormat="1" applyFont="1" applyAlignment="1">
      <alignment horizontal="center"/>
    </xf>
    <xf numFmtId="0" fontId="0" fillId="0" borderId="0" xfId="0" applyNumberFormat="1" applyAlignment="1"/>
    <xf numFmtId="0" fontId="2" fillId="0" borderId="0" xfId="0" applyNumberFormat="1" applyFont="1" applyAlignment="1"/>
    <xf numFmtId="164" fontId="0" fillId="4" borderId="0" xfId="0" applyNumberFormat="1" applyFill="1"/>
    <xf numFmtId="0" fontId="5" fillId="0" borderId="1" xfId="0" applyNumberFormat="1" applyFont="1" applyBorder="1" applyAlignment="1">
      <alignment horizontal="center"/>
    </xf>
    <xf numFmtId="0" fontId="6" fillId="2" borderId="1" xfId="0" applyNumberFormat="1" applyFont="1" applyFill="1" applyBorder="1" applyAlignment="1">
      <alignment horizontal="center"/>
    </xf>
    <xf numFmtId="164" fontId="5" fillId="0" borderId="0" xfId="0" applyNumberFormat="1" applyFont="1" applyBorder="1"/>
    <xf numFmtId="0" fontId="5" fillId="0" borderId="1" xfId="1" applyNumberFormat="1" applyFont="1" applyBorder="1" applyAlignment="1">
      <alignment horizontal="center"/>
    </xf>
    <xf numFmtId="164" fontId="6" fillId="2" borderId="1" xfId="0" applyNumberFormat="1" applyFont="1" applyFill="1" applyBorder="1"/>
    <xf numFmtId="0" fontId="6" fillId="0" borderId="0" xfId="0" applyFont="1"/>
    <xf numFmtId="0" fontId="5" fillId="0" borderId="2" xfId="0" applyFont="1" applyBorder="1"/>
    <xf numFmtId="0" fontId="5" fillId="0" borderId="5" xfId="0" applyFont="1" applyBorder="1"/>
    <xf numFmtId="0" fontId="5" fillId="0" borderId="2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NumberFormat="1" applyFont="1" applyAlignment="1">
      <alignment horizontal="center"/>
    </xf>
    <xf numFmtId="0" fontId="3" fillId="0" borderId="1" xfId="0" applyNumberFormat="1" applyFont="1" applyBorder="1" applyAlignment="1">
      <alignment horizontal="center"/>
    </xf>
    <xf numFmtId="164" fontId="5" fillId="0" borderId="0" xfId="1" applyNumberFormat="1" applyFont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5" fillId="0" borderId="0" xfId="1" applyNumberFormat="1" applyFont="1" applyAlignment="1">
      <alignment horizontal="center"/>
    </xf>
    <xf numFmtId="43" fontId="5" fillId="0" borderId="1" xfId="1" applyNumberFormat="1" applyFont="1" applyBorder="1" applyAlignment="1">
      <alignment horizontal="center"/>
    </xf>
    <xf numFmtId="0" fontId="6" fillId="2" borderId="7" xfId="0" applyNumberFormat="1" applyFont="1" applyFill="1" applyBorder="1" applyAlignment="1">
      <alignment horizontal="center"/>
    </xf>
    <xf numFmtId="0" fontId="0" fillId="0" borderId="1" xfId="0" applyBorder="1" applyAlignment="1"/>
    <xf numFmtId="0" fontId="2" fillId="2" borderId="1" xfId="0" applyFont="1" applyFill="1" applyBorder="1" applyAlignment="1"/>
    <xf numFmtId="0" fontId="2" fillId="0" borderId="2" xfId="0" applyFont="1" applyBorder="1" applyAlignment="1"/>
    <xf numFmtId="0" fontId="2" fillId="5" borderId="1" xfId="0" applyFont="1" applyFill="1" applyBorder="1" applyAlignment="1"/>
    <xf numFmtId="0" fontId="2" fillId="5" borderId="1" xfId="0" applyNumberFormat="1" applyFont="1" applyFill="1" applyBorder="1" applyAlignment="1">
      <alignment horizontal="center"/>
    </xf>
    <xf numFmtId="164" fontId="2" fillId="5" borderId="1" xfId="0" applyNumberFormat="1" applyFont="1" applyFill="1" applyBorder="1"/>
    <xf numFmtId="0" fontId="5" fillId="0" borderId="0" xfId="0" applyFont="1" applyAlignment="1">
      <alignment horizontal="center"/>
    </xf>
    <xf numFmtId="0" fontId="6" fillId="2" borderId="4" xfId="0" applyNumberFormat="1" applyFont="1" applyFill="1" applyBorder="1" applyAlignment="1">
      <alignment horizontal="center"/>
    </xf>
    <xf numFmtId="0" fontId="5" fillId="0" borderId="4" xfId="0" applyNumberFormat="1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6" fontId="10" fillId="0" borderId="1" xfId="2" applyNumberFormat="1" applyFont="1" applyBorder="1" applyAlignment="1">
      <alignment horizontal="center"/>
    </xf>
    <xf numFmtId="166" fontId="5" fillId="0" borderId="1" xfId="2" applyNumberFormat="1" applyFont="1" applyBorder="1" applyAlignment="1">
      <alignment horizontal="center"/>
    </xf>
    <xf numFmtId="166" fontId="0" fillId="0" borderId="0" xfId="2" applyNumberFormat="1" applyFont="1" applyAlignment="1">
      <alignment horizontal="center"/>
    </xf>
    <xf numFmtId="166" fontId="2" fillId="0" borderId="1" xfId="2" quotePrefix="1" applyNumberFormat="1" applyFont="1" applyBorder="1" applyAlignment="1">
      <alignment horizontal="center"/>
    </xf>
    <xf numFmtId="166" fontId="0" fillId="0" borderId="1" xfId="2" applyNumberFormat="1" applyFont="1" applyBorder="1" applyAlignment="1">
      <alignment horizontal="center"/>
    </xf>
    <xf numFmtId="164" fontId="0" fillId="0" borderId="0" xfId="0" applyNumberFormat="1"/>
    <xf numFmtId="0" fontId="5" fillId="0" borderId="1" xfId="0" applyFont="1" applyBorder="1" applyAlignment="1"/>
    <xf numFmtId="164" fontId="5" fillId="0" borderId="1" xfId="0" applyNumberFormat="1" applyFont="1" applyBorder="1" applyAlignment="1"/>
    <xf numFmtId="0" fontId="0" fillId="0" borderId="0" xfId="0" applyAlignment="1"/>
    <xf numFmtId="164" fontId="0" fillId="0" borderId="0" xfId="1" applyNumberFormat="1" applyFont="1" applyAlignment="1"/>
    <xf numFmtId="164" fontId="2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/>
    <xf numFmtId="164" fontId="2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64" fontId="2" fillId="0" borderId="0" xfId="1" applyNumberFormat="1" applyFont="1" applyFill="1" applyBorder="1" applyAlignment="1">
      <alignment horizontal="center"/>
    </xf>
    <xf numFmtId="0" fontId="2" fillId="0" borderId="0" xfId="0" quotePrefix="1" applyFont="1" applyFill="1" applyBorder="1" applyAlignment="1">
      <alignment horizontal="center"/>
    </xf>
    <xf numFmtId="166" fontId="5" fillId="0" borderId="0" xfId="2" applyNumberFormat="1" applyFont="1" applyFill="1" applyBorder="1" applyAlignment="1">
      <alignment horizontal="center"/>
    </xf>
    <xf numFmtId="166" fontId="10" fillId="0" borderId="0" xfId="2" applyNumberFormat="1" applyFont="1" applyFill="1" applyBorder="1" applyAlignment="1">
      <alignment horizontal="center"/>
    </xf>
    <xf numFmtId="164" fontId="0" fillId="0" borderId="0" xfId="1" applyNumberFormat="1" applyFont="1" applyFill="1" applyBorder="1"/>
    <xf numFmtId="164" fontId="5" fillId="0" borderId="0" xfId="0" applyNumberFormat="1" applyFont="1" applyFill="1" applyBorder="1" applyAlignment="1">
      <alignment horizontal="center"/>
    </xf>
    <xf numFmtId="164" fontId="5" fillId="0" borderId="0" xfId="0" applyNumberFormat="1" applyFont="1" applyFill="1" applyBorder="1"/>
    <xf numFmtId="0" fontId="0" fillId="0" borderId="0" xfId="0" applyFill="1" applyBorder="1"/>
    <xf numFmtId="0" fontId="0" fillId="0" borderId="5" xfId="0" applyBorder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164" fontId="1" fillId="0" borderId="1" xfId="1" applyNumberFormat="1" applyFont="1" applyBorder="1"/>
    <xf numFmtId="14" fontId="0" fillId="0" borderId="1" xfId="0" applyNumberForma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3" borderId="0" xfId="1" applyNumberFormat="1" applyFont="1" applyFill="1" applyBorder="1" applyAlignment="1">
      <alignment horizontal="center"/>
    </xf>
    <xf numFmtId="43" fontId="5" fillId="4" borderId="0" xfId="0" applyNumberFormat="1" applyFont="1" applyFill="1"/>
    <xf numFmtId="0" fontId="6" fillId="3" borderId="0" xfId="0" applyFont="1" applyFill="1"/>
    <xf numFmtId="0" fontId="6" fillId="3" borderId="1" xfId="0" applyFont="1" applyFill="1" applyBorder="1"/>
    <xf numFmtId="0" fontId="5" fillId="3" borderId="0" xfId="0" applyFont="1" applyFill="1"/>
    <xf numFmtId="0" fontId="0" fillId="0" borderId="0" xfId="0" applyFill="1"/>
    <xf numFmtId="166" fontId="0" fillId="0" borderId="0" xfId="0" applyNumberFormat="1" applyFill="1"/>
    <xf numFmtId="0" fontId="2" fillId="0" borderId="0" xfId="0" applyFont="1" applyFill="1"/>
    <xf numFmtId="0" fontId="6" fillId="0" borderId="1" xfId="0" applyFon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5" fillId="0" borderId="9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vertical="center"/>
    </xf>
    <xf numFmtId="0" fontId="6" fillId="2" borderId="9" xfId="0" applyNumberFormat="1" applyFont="1" applyFill="1" applyBorder="1" applyAlignment="1">
      <alignment horizontal="center" vertical="center"/>
    </xf>
    <xf numFmtId="164" fontId="6" fillId="2" borderId="9" xfId="0" applyNumberFormat="1" applyFont="1" applyFill="1" applyBorder="1" applyAlignment="1">
      <alignment vertical="center"/>
    </xf>
    <xf numFmtId="166" fontId="6" fillId="6" borderId="9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4" fontId="2" fillId="3" borderId="1" xfId="1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64" fontId="6" fillId="3" borderId="2" xfId="1" applyNumberFormat="1" applyFont="1" applyFill="1" applyBorder="1" applyAlignment="1">
      <alignment horizontal="center"/>
    </xf>
    <xf numFmtId="164" fontId="6" fillId="3" borderId="3" xfId="1" applyNumberFormat="1" applyFont="1" applyFill="1" applyBorder="1" applyAlignment="1">
      <alignment horizontal="center"/>
    </xf>
    <xf numFmtId="164" fontId="6" fillId="3" borderId="4" xfId="1" applyNumberFormat="1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3" borderId="2" xfId="1" applyNumberFormat="1" applyFont="1" applyFill="1" applyBorder="1" applyAlignment="1">
      <alignment horizontal="center"/>
    </xf>
    <xf numFmtId="164" fontId="2" fillId="3" borderId="3" xfId="1" applyNumberFormat="1" applyFont="1" applyFill="1" applyBorder="1" applyAlignment="1">
      <alignment horizontal="center"/>
    </xf>
    <xf numFmtId="164" fontId="2" fillId="3" borderId="4" xfId="1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164" fontId="6" fillId="3" borderId="2" xfId="1" quotePrefix="1" applyNumberFormat="1" applyFont="1" applyFill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5" fillId="0" borderId="10" xfId="0" applyNumberFormat="1" applyFont="1" applyBorder="1" applyAlignment="1">
      <alignment horizontal="center"/>
    </xf>
    <xf numFmtId="164" fontId="5" fillId="0" borderId="10" xfId="1" applyNumberFormat="1" applyFont="1" applyBorder="1"/>
    <xf numFmtId="166" fontId="5" fillId="0" borderId="10" xfId="2" applyNumberFormat="1" applyFont="1" applyBorder="1" applyAlignment="1">
      <alignment horizontal="center"/>
    </xf>
    <xf numFmtId="0" fontId="6" fillId="3" borderId="9" xfId="0" applyNumberFormat="1" applyFont="1" applyFill="1" applyBorder="1" applyAlignment="1">
      <alignment horizontal="center"/>
    </xf>
    <xf numFmtId="164" fontId="6" fillId="3" borderId="9" xfId="0" applyNumberFormat="1" applyFont="1" applyFill="1" applyBorder="1"/>
    <xf numFmtId="164" fontId="6" fillId="3" borderId="9" xfId="1" applyNumberFormat="1" applyFont="1" applyFill="1" applyBorder="1"/>
    <xf numFmtId="166" fontId="5" fillId="3" borderId="9" xfId="2" applyNumberFormat="1" applyFont="1" applyFill="1" applyBorder="1" applyAlignment="1">
      <alignment horizontal="center"/>
    </xf>
    <xf numFmtId="0" fontId="6" fillId="3" borderId="11" xfId="0" applyNumberFormat="1" applyFont="1" applyFill="1" applyBorder="1" applyAlignment="1">
      <alignment horizontal="center"/>
    </xf>
    <xf numFmtId="164" fontId="6" fillId="3" borderId="11" xfId="1" applyNumberFormat="1" applyFont="1" applyFill="1" applyBorder="1"/>
    <xf numFmtId="166" fontId="6" fillId="3" borderId="11" xfId="2" applyNumberFormat="1" applyFont="1" applyFill="1" applyBorder="1" applyAlignment="1">
      <alignment horizontal="center"/>
    </xf>
    <xf numFmtId="164" fontId="0" fillId="0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5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alignment horizontal="general"/>
    </dxf>
    <dxf>
      <numFmt numFmtId="0" formatCode="General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</font>
    </dxf>
    <dxf>
      <alignment vertical="center"/>
    </dxf>
    <dxf>
      <alignment vertical="center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alignment horizontal="center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alignment horizontal="general"/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</font>
    </dxf>
    <dxf>
      <font>
        <sz val="10"/>
      </font>
    </dxf>
    <dxf>
      <font>
        <sz val="10"/>
      </font>
    </dxf>
    <dxf>
      <font>
        <sz val="1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0" formatCode="General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(* #,##0_);_(* \(#,##0\);_(* &quot;-&quot;??_);_(@_)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bottom style="double">
          <color indexed="64"/>
        </bottom>
      </border>
    </dxf>
    <dxf>
      <alignment vertical="center"/>
    </dxf>
    <dxf>
      <alignment vertical="center"/>
    </dxf>
    <dxf>
      <font>
        <b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solid"/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numFmt numFmtId="0" formatCode="General"/>
    </dxf>
    <dxf>
      <alignment horizontal="general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alignment horizontal="center"/>
    </dxf>
    <dxf>
      <numFmt numFmtId="0" formatCode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0</xdr:rowOff>
        </xdr:from>
        <xdr:to>
          <xdr:col>18</xdr:col>
          <xdr:colOff>38100</xdr:colOff>
          <xdr:row>0</xdr:row>
          <xdr:rowOff>209550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0</xdr:rowOff>
        </xdr:from>
        <xdr:to>
          <xdr:col>20</xdr:col>
          <xdr:colOff>38100</xdr:colOff>
          <xdr:row>0</xdr:row>
          <xdr:rowOff>209550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0</xdr:row>
          <xdr:rowOff>0</xdr:rowOff>
        </xdr:from>
        <xdr:to>
          <xdr:col>21</xdr:col>
          <xdr:colOff>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0</xdr:rowOff>
        </xdr:from>
        <xdr:to>
          <xdr:col>20</xdr:col>
          <xdr:colOff>38100</xdr:colOff>
          <xdr:row>0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0</xdr:rowOff>
        </xdr:from>
        <xdr:to>
          <xdr:col>17</xdr:col>
          <xdr:colOff>28575</xdr:colOff>
          <xdr:row>0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mport%20declar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Data"/>
      <sheetName val="0297"/>
      <sheetName val="0327"/>
      <sheetName val="0314"/>
      <sheetName val="0358"/>
      <sheetName val="0324"/>
      <sheetName val="0359"/>
      <sheetName val="0356"/>
      <sheetName val="0362"/>
      <sheetName val="0363"/>
      <sheetName val="0365"/>
      <sheetName val="0366"/>
      <sheetName val="0360"/>
      <sheetName val="0003"/>
      <sheetName val="0367"/>
      <sheetName val="0369"/>
      <sheetName val="0370"/>
      <sheetName val="0376"/>
      <sheetName val="0375"/>
      <sheetName val="0377"/>
      <sheetName val="0374"/>
      <sheetName val="0378"/>
      <sheetName val="0371"/>
      <sheetName val="0379"/>
      <sheetName val="0382"/>
      <sheetName val="0384"/>
      <sheetName val="0385"/>
      <sheetName val="0387"/>
      <sheetName val="0388"/>
      <sheetName val="0389"/>
      <sheetName val="0392"/>
      <sheetName val="0386"/>
      <sheetName val="0390"/>
      <sheetName val="0381"/>
      <sheetName val="0289"/>
      <sheetName val="New"/>
      <sheetName val="Email-ok"/>
      <sheetName val="Summary"/>
      <sheetName val="GD.List"/>
      <sheetName val="Item"/>
      <sheetName val="Che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 t="str">
            <v>Document Reference No</v>
          </cell>
          <cell r="H3" t="str">
            <v>Type</v>
          </cell>
          <cell r="L3" t="str">
            <v>Bal. Actual</v>
          </cell>
          <cell r="N3" t="str">
            <v>Product</v>
          </cell>
        </row>
        <row r="4">
          <cell r="C4" t="str">
            <v>KPPI-MB-40627-13-12-2019</v>
          </cell>
          <cell r="H4" t="str">
            <v>EOU</v>
          </cell>
          <cell r="L4">
            <v>0</v>
          </cell>
          <cell r="N4" t="str">
            <v>Raw Cotton</v>
          </cell>
        </row>
        <row r="5">
          <cell r="C5" t="str">
            <v>KAPE-MB-125952-11-02-2020</v>
          </cell>
          <cell r="H5" t="str">
            <v>EOU</v>
          </cell>
          <cell r="L5">
            <v>0</v>
          </cell>
          <cell r="N5" t="str">
            <v>Polyester Staple Fiber</v>
          </cell>
        </row>
        <row r="6">
          <cell r="C6" t="str">
            <v>KAPE-MB-146511-17-03-2020</v>
          </cell>
          <cell r="H6" t="str">
            <v>EOU</v>
          </cell>
          <cell r="L6">
            <v>0</v>
          </cell>
          <cell r="N6" t="str">
            <v>Polyester Staple Fiber</v>
          </cell>
        </row>
        <row r="7">
          <cell r="C7" t="str">
            <v>KAPE-MB-37204-04-09-2020</v>
          </cell>
          <cell r="H7" t="str">
            <v>EOU</v>
          </cell>
          <cell r="L7">
            <v>0</v>
          </cell>
          <cell r="N7" t="str">
            <v>Polyester Staple Fiber</v>
          </cell>
        </row>
        <row r="8">
          <cell r="C8" t="str">
            <v>KAPE-MB-160501-02-03-2021</v>
          </cell>
          <cell r="H8" t="str">
            <v>EOU</v>
          </cell>
          <cell r="L8">
            <v>0</v>
          </cell>
          <cell r="N8" t="str">
            <v>Polyester Staple Fiber</v>
          </cell>
        </row>
        <row r="9">
          <cell r="C9" t="str">
            <v>KAPE-MB-171427-17-03-2021</v>
          </cell>
          <cell r="H9" t="str">
            <v>EOU</v>
          </cell>
          <cell r="L9">
            <v>0</v>
          </cell>
          <cell r="N9" t="str">
            <v>Polyester Staple Fiber</v>
          </cell>
        </row>
        <row r="10">
          <cell r="C10" t="str">
            <v>KAPE-MB-172535-18-03-2021</v>
          </cell>
          <cell r="H10" t="str">
            <v>EOU</v>
          </cell>
          <cell r="L10">
            <v>0</v>
          </cell>
          <cell r="N10" t="str">
            <v>Polyester Staple Fiber</v>
          </cell>
        </row>
        <row r="11">
          <cell r="C11" t="str">
            <v>KAPE-MB-174350-22-03-2021</v>
          </cell>
          <cell r="H11" t="str">
            <v>EOU</v>
          </cell>
          <cell r="L11">
            <v>0</v>
          </cell>
          <cell r="N11" t="str">
            <v>Polyester Staple Fiber</v>
          </cell>
        </row>
        <row r="12">
          <cell r="C12" t="str">
            <v>KAPW-MB-175767-29-05-2021</v>
          </cell>
          <cell r="H12" t="str">
            <v>EOU</v>
          </cell>
          <cell r="L12">
            <v>0</v>
          </cell>
          <cell r="N12" t="str">
            <v>Polyester Staple Fiber</v>
          </cell>
        </row>
        <row r="13">
          <cell r="C13" t="str">
            <v>KAPE-MB-227266-09-06-2021</v>
          </cell>
          <cell r="H13" t="str">
            <v>EOU</v>
          </cell>
          <cell r="L13">
            <v>0</v>
          </cell>
          <cell r="N13" t="str">
            <v>Polyester Staple Fiber</v>
          </cell>
        </row>
        <row r="14">
          <cell r="C14" t="str">
            <v>KAPE-MB-227394-09-06-2021</v>
          </cell>
          <cell r="H14" t="str">
            <v>EOU</v>
          </cell>
          <cell r="L14">
            <v>0</v>
          </cell>
          <cell r="N14" t="str">
            <v>Polyester Staple Fiber</v>
          </cell>
        </row>
        <row r="15">
          <cell r="C15" t="str">
            <v>KAPE-MB-228620-10-06-2021</v>
          </cell>
          <cell r="H15" t="str">
            <v>EOU</v>
          </cell>
          <cell r="L15">
            <v>0</v>
          </cell>
          <cell r="N15" t="str">
            <v>Polyester Staple Fiber</v>
          </cell>
        </row>
        <row r="16">
          <cell r="C16" t="str">
            <v>KAPE-IB-66769-08-11-2019</v>
          </cell>
          <cell r="H16" t="str">
            <v>EOU</v>
          </cell>
          <cell r="L16">
            <v>0</v>
          </cell>
          <cell r="N16" t="str">
            <v>Blended Fabric</v>
          </cell>
        </row>
        <row r="17">
          <cell r="C17" t="str">
            <v>KAPE-IB-66727-08-11-2019</v>
          </cell>
          <cell r="H17" t="str">
            <v>EOU</v>
          </cell>
          <cell r="L17">
            <v>0</v>
          </cell>
          <cell r="N17" t="str">
            <v>Blended Fabric</v>
          </cell>
        </row>
        <row r="18">
          <cell r="C18" t="str">
            <v>KAPE-IB-66746-08-11-2019</v>
          </cell>
          <cell r="H18" t="str">
            <v>EOU</v>
          </cell>
          <cell r="L18">
            <v>0</v>
          </cell>
          <cell r="N18" t="str">
            <v>Blended Fabric</v>
          </cell>
        </row>
        <row r="19">
          <cell r="C19" t="str">
            <v>KAPE-IB-75900-22-11-2019</v>
          </cell>
          <cell r="H19" t="str">
            <v>EOU</v>
          </cell>
          <cell r="L19">
            <v>0</v>
          </cell>
          <cell r="N19" t="str">
            <v>Blended Fabric</v>
          </cell>
        </row>
        <row r="20">
          <cell r="C20" t="str">
            <v>KPAF-IB-36423-20-01-2020</v>
          </cell>
          <cell r="H20" t="str">
            <v>EOU</v>
          </cell>
          <cell r="L20">
            <v>0</v>
          </cell>
          <cell r="N20" t="str">
            <v>Blended Yarn</v>
          </cell>
        </row>
        <row r="21">
          <cell r="C21" t="str">
            <v>KPAF-IB-37047-22-01-2020</v>
          </cell>
          <cell r="H21" t="str">
            <v>EOU</v>
          </cell>
          <cell r="L21">
            <v>0</v>
          </cell>
          <cell r="N21" t="str">
            <v>Blended Yarn</v>
          </cell>
        </row>
        <row r="22">
          <cell r="C22" t="str">
            <v>KAPE-IB-126077-11-02-2020</v>
          </cell>
          <cell r="H22" t="str">
            <v>EOU</v>
          </cell>
          <cell r="L22">
            <v>0</v>
          </cell>
          <cell r="N22" t="str">
            <v>Sequin Fabric</v>
          </cell>
        </row>
        <row r="23">
          <cell r="C23" t="str">
            <v>KAPW-IB-118562-20-04-2020</v>
          </cell>
          <cell r="H23" t="str">
            <v>EOU</v>
          </cell>
          <cell r="L23">
            <v>0</v>
          </cell>
          <cell r="N23" t="str">
            <v>Textile Dyes</v>
          </cell>
        </row>
        <row r="24">
          <cell r="C24" t="str">
            <v>KAPE-IB-174963-11-05-2020</v>
          </cell>
          <cell r="H24" t="str">
            <v>EOU</v>
          </cell>
          <cell r="L24">
            <v>0</v>
          </cell>
          <cell r="N24" t="str">
            <v>Blended Yarn</v>
          </cell>
        </row>
        <row r="25">
          <cell r="C25" t="str">
            <v>KPAF-IB-55271-03-06-2020</v>
          </cell>
          <cell r="H25" t="str">
            <v>EOU</v>
          </cell>
          <cell r="L25">
            <v>0</v>
          </cell>
          <cell r="N25" t="str">
            <v>Textile Dyes</v>
          </cell>
        </row>
        <row r="26">
          <cell r="C26" t="str">
            <v>KAPE-IB-186360-04-06-2020</v>
          </cell>
          <cell r="H26" t="str">
            <v>EOU</v>
          </cell>
          <cell r="L26">
            <v>0</v>
          </cell>
          <cell r="N26" t="str">
            <v>Blended Yarn</v>
          </cell>
        </row>
        <row r="27">
          <cell r="C27" t="str">
            <v>KPAF-IB-56238-10-06-2020</v>
          </cell>
          <cell r="H27" t="str">
            <v>EOU</v>
          </cell>
          <cell r="L27">
            <v>0</v>
          </cell>
          <cell r="N27" t="str">
            <v>Blended Fabric</v>
          </cell>
        </row>
        <row r="28">
          <cell r="C28" t="str">
            <v>KAPE-IB-190862-12-06-2020</v>
          </cell>
          <cell r="H28" t="str">
            <v>EOU</v>
          </cell>
          <cell r="L28">
            <v>0</v>
          </cell>
          <cell r="N28" t="str">
            <v>Polyester Yarn</v>
          </cell>
        </row>
        <row r="29">
          <cell r="C29" t="str">
            <v>KAPE-IB-198991-29-06-2020</v>
          </cell>
          <cell r="H29" t="str">
            <v>EOU</v>
          </cell>
          <cell r="L29">
            <v>0</v>
          </cell>
          <cell r="N29" t="str">
            <v>Polyester Spun Yarn</v>
          </cell>
        </row>
        <row r="30">
          <cell r="C30" t="str">
            <v>PQIB-IB-226-04-07-2020</v>
          </cell>
          <cell r="H30" t="str">
            <v>EOU</v>
          </cell>
          <cell r="L30">
            <v>0</v>
          </cell>
          <cell r="N30" t="str">
            <v>Textile Coal</v>
          </cell>
        </row>
        <row r="31">
          <cell r="C31" t="str">
            <v>PQIB-IB-2406-11-08-2020</v>
          </cell>
          <cell r="H31" t="str">
            <v>EOU</v>
          </cell>
          <cell r="L31">
            <v>0</v>
          </cell>
          <cell r="N31" t="str">
            <v>Textile Coal</v>
          </cell>
        </row>
        <row r="32">
          <cell r="C32" t="str">
            <v>KAPW-IB-19763-13-08-2020</v>
          </cell>
          <cell r="H32" t="str">
            <v>EOU</v>
          </cell>
          <cell r="L32">
            <v>0</v>
          </cell>
          <cell r="N32" t="str">
            <v>Blended Fabric</v>
          </cell>
        </row>
        <row r="33">
          <cell r="C33" t="str">
            <v>PQIB-IB-3057-24-08-2020</v>
          </cell>
          <cell r="H33" t="str">
            <v>EOU</v>
          </cell>
          <cell r="L33">
            <v>0</v>
          </cell>
          <cell r="N33" t="str">
            <v>Textile Coal</v>
          </cell>
        </row>
        <row r="34">
          <cell r="C34" t="str">
            <v>KAPW-IB-29340-03-09-2020</v>
          </cell>
          <cell r="H34" t="str">
            <v>EOU</v>
          </cell>
          <cell r="L34">
            <v>0</v>
          </cell>
          <cell r="N34" t="str">
            <v>Packing Material</v>
          </cell>
        </row>
        <row r="35">
          <cell r="C35" t="str">
            <v>KPAF-IB-13677-28-09-2020</v>
          </cell>
          <cell r="H35" t="str">
            <v>EOU</v>
          </cell>
          <cell r="L35">
            <v>0</v>
          </cell>
          <cell r="N35" t="str">
            <v>Blended Fabric</v>
          </cell>
        </row>
        <row r="36">
          <cell r="C36" t="str">
            <v>KAPW-IB-62743-05-11-2020</v>
          </cell>
          <cell r="H36" t="str">
            <v>EOU</v>
          </cell>
          <cell r="L36">
            <v>0</v>
          </cell>
          <cell r="N36" t="str">
            <v>Polyester Yarn</v>
          </cell>
        </row>
        <row r="37">
          <cell r="C37" t="str">
            <v>KPFI-IB-18528-20-11-2020</v>
          </cell>
          <cell r="H37" t="str">
            <v>EOU</v>
          </cell>
          <cell r="L37">
            <v>0</v>
          </cell>
          <cell r="N37" t="str">
            <v>Blended Fabric</v>
          </cell>
        </row>
        <row r="38">
          <cell r="C38" t="str">
            <v>KAPE-IB-115370-29-12-2020</v>
          </cell>
          <cell r="H38" t="str">
            <v>EOU</v>
          </cell>
          <cell r="L38">
            <v>0</v>
          </cell>
          <cell r="N38" t="str">
            <v>Polyester Yarn</v>
          </cell>
        </row>
        <row r="39">
          <cell r="C39" t="str">
            <v>KAPE-IB-118078-01-01-2021</v>
          </cell>
          <cell r="H39" t="str">
            <v>EOU</v>
          </cell>
          <cell r="L39">
            <v>0</v>
          </cell>
          <cell r="N39" t="str">
            <v>Cotton Yarn</v>
          </cell>
        </row>
        <row r="40">
          <cell r="C40" t="str">
            <v>KAPW-IB-95509-01-01-2021</v>
          </cell>
          <cell r="H40" t="str">
            <v>EOU</v>
          </cell>
          <cell r="L40">
            <v>0</v>
          </cell>
          <cell r="N40" t="str">
            <v>Polyester Yarn</v>
          </cell>
        </row>
        <row r="41">
          <cell r="C41" t="str">
            <v>KAPW-IB-99995-08-01-2021</v>
          </cell>
          <cell r="H41" t="str">
            <v>EOU</v>
          </cell>
          <cell r="L41">
            <v>0</v>
          </cell>
          <cell r="N41" t="str">
            <v>Polyester Yarn</v>
          </cell>
        </row>
        <row r="42">
          <cell r="C42" t="str">
            <v>KAPW-IB-101390-11-01-2021</v>
          </cell>
          <cell r="H42" t="str">
            <v>EOU</v>
          </cell>
          <cell r="L42">
            <v>0</v>
          </cell>
          <cell r="N42" t="str">
            <v>Polyester Fabric</v>
          </cell>
        </row>
        <row r="43">
          <cell r="C43" t="str">
            <v>KAPW-IB-103720-14-01-2021</v>
          </cell>
          <cell r="H43" t="str">
            <v>EOU</v>
          </cell>
          <cell r="L43">
            <v>0</v>
          </cell>
          <cell r="N43" t="str">
            <v>Polyester Yarn</v>
          </cell>
        </row>
        <row r="44">
          <cell r="C44" t="str">
            <v>KAPW-IB-104398-15-01-2021</v>
          </cell>
          <cell r="H44" t="str">
            <v>EOU</v>
          </cell>
          <cell r="L44">
            <v>0</v>
          </cell>
          <cell r="N44" t="str">
            <v>Polyester Fabric</v>
          </cell>
        </row>
        <row r="45">
          <cell r="C45" t="str">
            <v>KAPE-IB-135439-25-01-2021</v>
          </cell>
          <cell r="H45" t="str">
            <v>EOU</v>
          </cell>
          <cell r="L45">
            <v>0</v>
          </cell>
          <cell r="N45" t="str">
            <v>Cotton Yarn</v>
          </cell>
        </row>
        <row r="46">
          <cell r="C46" t="str">
            <v>KAPE-IB-135431-25-01-2021</v>
          </cell>
          <cell r="H46" t="str">
            <v>EOU</v>
          </cell>
          <cell r="L46">
            <v>0</v>
          </cell>
          <cell r="N46" t="str">
            <v>Textile Chemical</v>
          </cell>
        </row>
        <row r="47">
          <cell r="C47" t="str">
            <v>KAPW-IB-110623-27-01-2021</v>
          </cell>
          <cell r="H47" t="str">
            <v>EOU</v>
          </cell>
          <cell r="L47">
            <v>0</v>
          </cell>
          <cell r="N47" t="str">
            <v>Blended Fabric</v>
          </cell>
        </row>
        <row r="48">
          <cell r="C48" t="str">
            <v>KAPW-IB-110628-27-01-2021</v>
          </cell>
          <cell r="H48" t="str">
            <v>EOU</v>
          </cell>
          <cell r="L48">
            <v>0</v>
          </cell>
          <cell r="N48" t="str">
            <v>Blended Fabric</v>
          </cell>
        </row>
        <row r="49">
          <cell r="C49" t="str">
            <v>KAPE-IB-137723-27-01-2021</v>
          </cell>
          <cell r="H49" t="str">
            <v>EOU</v>
          </cell>
          <cell r="L49">
            <v>0</v>
          </cell>
          <cell r="N49" t="str">
            <v>Polyester Yarn</v>
          </cell>
        </row>
        <row r="50">
          <cell r="C50" t="str">
            <v>KAPW-IB-111125-28-01-2021</v>
          </cell>
          <cell r="H50" t="str">
            <v>EOU</v>
          </cell>
          <cell r="L50">
            <v>0</v>
          </cell>
          <cell r="N50" t="str">
            <v>Polyester Yarn</v>
          </cell>
        </row>
        <row r="51">
          <cell r="C51" t="str">
            <v>KAPE-IB-140227-01-02-2021</v>
          </cell>
          <cell r="H51" t="str">
            <v>EOU</v>
          </cell>
          <cell r="L51">
            <v>0</v>
          </cell>
          <cell r="N51" t="str">
            <v>Cotton Yarn</v>
          </cell>
        </row>
        <row r="52">
          <cell r="C52" t="str">
            <v>KAPE-IB-140293-01-02-2021</v>
          </cell>
          <cell r="H52" t="str">
            <v>EOU</v>
          </cell>
          <cell r="L52">
            <v>0</v>
          </cell>
          <cell r="N52" t="str">
            <v>Cotton Yarn</v>
          </cell>
        </row>
        <row r="53">
          <cell r="C53" t="str">
            <v>KAPE-IB-145700-09-02-2021</v>
          </cell>
          <cell r="H53" t="str">
            <v>EOU</v>
          </cell>
          <cell r="L53">
            <v>0</v>
          </cell>
          <cell r="N53" t="str">
            <v>Polyester Yarn</v>
          </cell>
        </row>
        <row r="54">
          <cell r="C54" t="str">
            <v>KAPW-IB-119465-15-02-2021</v>
          </cell>
          <cell r="H54" t="str">
            <v>EOU</v>
          </cell>
          <cell r="L54">
            <v>0</v>
          </cell>
          <cell r="N54" t="str">
            <v>Polyester Yarn</v>
          </cell>
        </row>
        <row r="55">
          <cell r="C55" t="str">
            <v>KAPE-IB-149518-15-02-2021</v>
          </cell>
          <cell r="H55" t="str">
            <v>EOU</v>
          </cell>
          <cell r="L55">
            <v>0</v>
          </cell>
          <cell r="N55" t="str">
            <v>Cotton Yarn</v>
          </cell>
        </row>
        <row r="56">
          <cell r="C56" t="str">
            <v>KAPE-IB-155031-23-02-2021</v>
          </cell>
          <cell r="H56" t="str">
            <v>EOU</v>
          </cell>
          <cell r="L56">
            <v>0</v>
          </cell>
          <cell r="N56" t="str">
            <v>Cotton Yarn</v>
          </cell>
        </row>
        <row r="57">
          <cell r="C57" t="str">
            <v>KAPE-IB-156689-25-02-2021</v>
          </cell>
          <cell r="H57" t="str">
            <v>EOU</v>
          </cell>
          <cell r="L57">
            <v>0</v>
          </cell>
          <cell r="N57" t="str">
            <v>Polyester Yarn</v>
          </cell>
        </row>
        <row r="58">
          <cell r="C58" t="str">
            <v>KPPI-IB-65622-26-02-2021</v>
          </cell>
          <cell r="H58" t="str">
            <v>EOU</v>
          </cell>
          <cell r="L58">
            <v>0</v>
          </cell>
          <cell r="N58" t="str">
            <v>Packing Material</v>
          </cell>
        </row>
        <row r="59">
          <cell r="C59" t="str">
            <v>KAPE-IB-160101-02-03-2021</v>
          </cell>
          <cell r="H59" t="str">
            <v>EOU</v>
          </cell>
          <cell r="L59">
            <v>0</v>
          </cell>
          <cell r="N59" t="str">
            <v>Polyester Yarn</v>
          </cell>
        </row>
        <row r="60">
          <cell r="C60" t="str">
            <v>KAPE-IB-170657-16-03-2021</v>
          </cell>
          <cell r="H60" t="str">
            <v>EOU</v>
          </cell>
          <cell r="L60">
            <v>0</v>
          </cell>
          <cell r="N60" t="str">
            <v>Polyester Yarn</v>
          </cell>
        </row>
        <row r="61">
          <cell r="C61" t="str">
            <v>KAPE-IB-170650-16-03-2021</v>
          </cell>
          <cell r="H61" t="str">
            <v>EOU</v>
          </cell>
          <cell r="L61">
            <v>0</v>
          </cell>
          <cell r="N61" t="str">
            <v>Polyester Yarn</v>
          </cell>
        </row>
        <row r="62">
          <cell r="C62" t="str">
            <v>KAPE-IB-174237-20-03-2021</v>
          </cell>
          <cell r="H62" t="str">
            <v>EOU</v>
          </cell>
          <cell r="L62">
            <v>0</v>
          </cell>
          <cell r="N62" t="str">
            <v>Polyester Yarn</v>
          </cell>
        </row>
        <row r="63">
          <cell r="C63" t="str">
            <v>KPAF-IB-46150-25-03-2021</v>
          </cell>
          <cell r="H63" t="str">
            <v>EOU</v>
          </cell>
          <cell r="L63">
            <v>0</v>
          </cell>
          <cell r="N63" t="str">
            <v>Polyester Filament Yarn</v>
          </cell>
        </row>
        <row r="64">
          <cell r="C64" t="str">
            <v>KAPE-IB-177669-26-03-2021</v>
          </cell>
          <cell r="H64" t="str">
            <v>EOU</v>
          </cell>
          <cell r="L64">
            <v>0</v>
          </cell>
          <cell r="N64" t="str">
            <v>Polyester Yarn</v>
          </cell>
        </row>
        <row r="65">
          <cell r="C65" t="str">
            <v>KAPE-IB-178558-29-03-2021</v>
          </cell>
          <cell r="H65" t="str">
            <v>EOU</v>
          </cell>
          <cell r="L65">
            <v>0</v>
          </cell>
          <cell r="N65" t="str">
            <v>Cotton Yarn</v>
          </cell>
        </row>
        <row r="66">
          <cell r="C66" t="str">
            <v>KAPW-IB-143645-30-03-2021</v>
          </cell>
          <cell r="H66" t="str">
            <v>EOU</v>
          </cell>
          <cell r="L66">
            <v>0</v>
          </cell>
          <cell r="N66" t="str">
            <v>Cotton Fabric</v>
          </cell>
        </row>
        <row r="67">
          <cell r="C67" t="str">
            <v>KAPW-IB-143635-30-03-2021</v>
          </cell>
          <cell r="H67" t="str">
            <v>EOU</v>
          </cell>
          <cell r="L67">
            <v>0</v>
          </cell>
          <cell r="N67" t="str">
            <v>Cotton Fabric</v>
          </cell>
        </row>
        <row r="68">
          <cell r="C68" t="str">
            <v>KAPE-IB-180346-31-03-2021</v>
          </cell>
          <cell r="H68" t="str">
            <v>EOU</v>
          </cell>
          <cell r="L68">
            <v>0</v>
          </cell>
          <cell r="N68" t="str">
            <v>Polyester Yarn</v>
          </cell>
        </row>
        <row r="69">
          <cell r="C69" t="str">
            <v>KAPE-IB-180339-31-03-2021</v>
          </cell>
          <cell r="H69" t="str">
            <v>EOU</v>
          </cell>
          <cell r="L69">
            <v>0</v>
          </cell>
          <cell r="N69" t="str">
            <v>Polyester Yarn</v>
          </cell>
        </row>
        <row r="70">
          <cell r="C70" t="str">
            <v>KAPW-IB-151007-12-04-2021</v>
          </cell>
          <cell r="H70" t="str">
            <v>EOU</v>
          </cell>
          <cell r="L70">
            <v>0</v>
          </cell>
          <cell r="N70" t="str">
            <v>Polyester Filament Yarn</v>
          </cell>
        </row>
        <row r="71">
          <cell r="C71" t="str">
            <v>KAPW-IB-159579-28-04-2021</v>
          </cell>
          <cell r="H71" t="str">
            <v>EOU</v>
          </cell>
          <cell r="L71">
            <v>0</v>
          </cell>
          <cell r="N71" t="str">
            <v>Polyester Yarn</v>
          </cell>
        </row>
        <row r="72">
          <cell r="C72" t="str">
            <v>KAPW-IB-160992-30-04-2021</v>
          </cell>
          <cell r="H72" t="str">
            <v>EOU</v>
          </cell>
          <cell r="L72">
            <v>0</v>
          </cell>
          <cell r="N72" t="str">
            <v>Polyester Yarn</v>
          </cell>
        </row>
        <row r="73">
          <cell r="C73" t="str">
            <v>KAPE-IB-199413-30-04-2021</v>
          </cell>
          <cell r="H73" t="str">
            <v>EOU</v>
          </cell>
          <cell r="L73">
            <v>0</v>
          </cell>
          <cell r="N73" t="str">
            <v>Polyester Yarn</v>
          </cell>
        </row>
        <row r="74">
          <cell r="C74" t="str">
            <v>KAPW-IB-161000-30-04-2021</v>
          </cell>
          <cell r="H74" t="str">
            <v>EOU</v>
          </cell>
          <cell r="L74">
            <v>0</v>
          </cell>
          <cell r="N74" t="str">
            <v>Polyester Yarn</v>
          </cell>
        </row>
        <row r="75">
          <cell r="C75" t="str">
            <v>KAPE-IB-202859-05-05-2021</v>
          </cell>
          <cell r="H75" t="str">
            <v>EOU</v>
          </cell>
          <cell r="L75">
            <v>0</v>
          </cell>
          <cell r="N75" t="str">
            <v>Polyester Yarn</v>
          </cell>
        </row>
        <row r="76">
          <cell r="C76" t="str">
            <v>KAPE-IB-202929-05-05-2021</v>
          </cell>
          <cell r="H76" t="str">
            <v>EOU</v>
          </cell>
          <cell r="L76">
            <v>0</v>
          </cell>
          <cell r="N76" t="str">
            <v>Polyester Yarn</v>
          </cell>
        </row>
        <row r="77">
          <cell r="C77" t="str">
            <v>KAPW-IB-165977-10-05-2021</v>
          </cell>
          <cell r="H77" t="str">
            <v>EOU</v>
          </cell>
          <cell r="L77">
            <v>0</v>
          </cell>
          <cell r="N77" t="str">
            <v>Polyester Yarn</v>
          </cell>
        </row>
        <row r="78">
          <cell r="C78" t="str">
            <v>KAPE-IB-206931-11-05-2021</v>
          </cell>
          <cell r="H78" t="str">
            <v>EOU</v>
          </cell>
          <cell r="L78">
            <v>0</v>
          </cell>
          <cell r="N78" t="str">
            <v>Polyester Yarn</v>
          </cell>
        </row>
        <row r="79">
          <cell r="C79" t="str">
            <v>KAPW-IB-167110-17-05-2021</v>
          </cell>
          <cell r="H79" t="str">
            <v>EOU</v>
          </cell>
          <cell r="L79">
            <v>0</v>
          </cell>
          <cell r="N79" t="str">
            <v>Textile Chemical</v>
          </cell>
        </row>
        <row r="80">
          <cell r="C80" t="str">
            <v>KAPE-IB-212309-20-05-2021</v>
          </cell>
          <cell r="H80" t="str">
            <v>EOU</v>
          </cell>
          <cell r="L80">
            <v>0</v>
          </cell>
          <cell r="N80" t="str">
            <v>Polyester Yarn</v>
          </cell>
        </row>
        <row r="81">
          <cell r="C81" t="str">
            <v>KAPE-IB-214158-21-05-2021</v>
          </cell>
          <cell r="H81" t="str">
            <v>EOU</v>
          </cell>
          <cell r="L81">
            <v>0</v>
          </cell>
          <cell r="N81" t="str">
            <v>Polyester Fabric</v>
          </cell>
        </row>
        <row r="82">
          <cell r="C82" t="str">
            <v>KAPE-IB-215171-24-05-2021</v>
          </cell>
          <cell r="H82" t="str">
            <v>EOU</v>
          </cell>
          <cell r="L82">
            <v>0</v>
          </cell>
          <cell r="N82" t="str">
            <v>Polyester Fabric</v>
          </cell>
        </row>
        <row r="83">
          <cell r="C83" t="str">
            <v>KAPW-IB-172242-24-05-2021</v>
          </cell>
          <cell r="H83" t="str">
            <v>EOU</v>
          </cell>
          <cell r="L83">
            <v>0</v>
          </cell>
          <cell r="N83" t="str">
            <v>Packing Material</v>
          </cell>
        </row>
        <row r="84">
          <cell r="C84" t="str">
            <v>KAPW-IB-172685-25-05-2021</v>
          </cell>
          <cell r="H84" t="str">
            <v>EOU</v>
          </cell>
          <cell r="L84">
            <v>0</v>
          </cell>
          <cell r="N84" t="str">
            <v>Packing Material</v>
          </cell>
        </row>
        <row r="85">
          <cell r="C85" t="str">
            <v>KAPE-IB-216515-25-05-2021</v>
          </cell>
          <cell r="H85" t="str">
            <v>EOU</v>
          </cell>
          <cell r="L85">
            <v>0</v>
          </cell>
          <cell r="N85" t="str">
            <v>Polyester Yarn</v>
          </cell>
        </row>
        <row r="86">
          <cell r="C86" t="str">
            <v>KAPE-IB-220173-31-05-2021</v>
          </cell>
          <cell r="H86" t="str">
            <v>EOU</v>
          </cell>
          <cell r="L86">
            <v>0</v>
          </cell>
          <cell r="N86" t="str">
            <v>Polyester Yarn</v>
          </cell>
        </row>
        <row r="87">
          <cell r="C87" t="str">
            <v>KPAF-IB-60011-09-06-2021</v>
          </cell>
          <cell r="H87" t="str">
            <v>EOU</v>
          </cell>
          <cell r="L87">
            <v>0</v>
          </cell>
          <cell r="N87" t="str">
            <v>Elastolefin Yarn</v>
          </cell>
        </row>
        <row r="88">
          <cell r="C88" t="str">
            <v>KAPE-IB-228125-10-06-2021</v>
          </cell>
          <cell r="H88" t="str">
            <v>EOU</v>
          </cell>
          <cell r="L88">
            <v>0</v>
          </cell>
          <cell r="N88" t="str">
            <v>Textile Chemical</v>
          </cell>
        </row>
        <row r="89">
          <cell r="C89" t="str">
            <v>KAPE-IB-230508-12-06-2021</v>
          </cell>
          <cell r="H89" t="str">
            <v>EOU</v>
          </cell>
          <cell r="L89">
            <v>0</v>
          </cell>
          <cell r="N89" t="str">
            <v>Polyester Yarn</v>
          </cell>
        </row>
        <row r="90">
          <cell r="C90" t="str">
            <v>KAPE-IB-230502-12-06-2021</v>
          </cell>
          <cell r="H90" t="str">
            <v>EOU</v>
          </cell>
          <cell r="L90">
            <v>0</v>
          </cell>
          <cell r="N90" t="str">
            <v>Polyester Yarn</v>
          </cell>
        </row>
        <row r="91">
          <cell r="C91" t="str">
            <v>KAPW-IB-182848-12-06-2021</v>
          </cell>
          <cell r="H91" t="str">
            <v>EOU</v>
          </cell>
          <cell r="L91">
            <v>0</v>
          </cell>
          <cell r="N91" t="str">
            <v>Polyester Yarn</v>
          </cell>
        </row>
        <row r="92">
          <cell r="C92" t="str">
            <v>KAPW-IB-182851-12-06-2021</v>
          </cell>
          <cell r="H92" t="str">
            <v>EOU</v>
          </cell>
          <cell r="L92">
            <v>0</v>
          </cell>
          <cell r="N92" t="str">
            <v>Polyester Yarn</v>
          </cell>
        </row>
        <row r="93">
          <cell r="C93" t="str">
            <v>KAPW-IB-184796-15-06-2021</v>
          </cell>
          <cell r="H93" t="str">
            <v>EOU</v>
          </cell>
          <cell r="L93">
            <v>0</v>
          </cell>
          <cell r="N93" t="str">
            <v>Textile Chemical</v>
          </cell>
        </row>
        <row r="94">
          <cell r="C94" t="str">
            <v>KAPE-IB-2327-03-07-2021</v>
          </cell>
          <cell r="H94" t="str">
            <v>EOU</v>
          </cell>
          <cell r="L94">
            <v>0</v>
          </cell>
          <cell r="N94" t="str">
            <v>Cotton Yarn</v>
          </cell>
        </row>
        <row r="95">
          <cell r="C95" t="str">
            <v>KAPW-IB-1552-03-07-2021</v>
          </cell>
          <cell r="H95" t="str">
            <v>EOU</v>
          </cell>
          <cell r="L95">
            <v>0</v>
          </cell>
          <cell r="N95" t="str">
            <v>Cotton Yarn</v>
          </cell>
        </row>
        <row r="96">
          <cell r="C96" t="str">
            <v>KAPE-IB-2322-03-07-2021</v>
          </cell>
          <cell r="H96" t="str">
            <v>EOU</v>
          </cell>
          <cell r="L96">
            <v>0</v>
          </cell>
          <cell r="N96" t="str">
            <v>Cotton Yarn</v>
          </cell>
        </row>
        <row r="97">
          <cell r="C97" t="str">
            <v>KAPE-IB-2320-03-07-2021</v>
          </cell>
          <cell r="H97" t="str">
            <v>EOU</v>
          </cell>
          <cell r="L97">
            <v>0</v>
          </cell>
          <cell r="N97" t="str">
            <v>Cotton Yarn</v>
          </cell>
        </row>
        <row r="98">
          <cell r="C98" t="str">
            <v>KAPE-IB-4418-06-07-2021</v>
          </cell>
          <cell r="H98" t="str">
            <v>EOU</v>
          </cell>
          <cell r="L98">
            <v>0</v>
          </cell>
          <cell r="N98" t="str">
            <v>Polyester Fabric</v>
          </cell>
        </row>
        <row r="99">
          <cell r="C99" t="str">
            <v>KAPW-IB-3760-07-07-2021</v>
          </cell>
          <cell r="H99" t="str">
            <v>EOU</v>
          </cell>
          <cell r="L99">
            <v>0</v>
          </cell>
          <cell r="N99" t="str">
            <v>Cotton Yarn</v>
          </cell>
        </row>
        <row r="100">
          <cell r="C100" t="str">
            <v>KAPE-IB-5173-07-07-2021</v>
          </cell>
          <cell r="H100" t="str">
            <v>EOU</v>
          </cell>
          <cell r="L100">
            <v>0</v>
          </cell>
          <cell r="N100" t="str">
            <v>Cotton Yarn</v>
          </cell>
        </row>
        <row r="101">
          <cell r="C101" t="str">
            <v>KAPE-IB-6601-08-07-2021</v>
          </cell>
          <cell r="H101" t="str">
            <v>EOU</v>
          </cell>
          <cell r="L101">
            <v>0</v>
          </cell>
          <cell r="N101" t="str">
            <v>Polyester Yarn</v>
          </cell>
        </row>
        <row r="102">
          <cell r="C102" t="str">
            <v>KAPW-IB-4810-08-07-2021</v>
          </cell>
          <cell r="H102" t="str">
            <v>EOU</v>
          </cell>
          <cell r="L102">
            <v>0</v>
          </cell>
          <cell r="N102" t="str">
            <v>Polyester Yarn</v>
          </cell>
        </row>
        <row r="103">
          <cell r="C103" t="str">
            <v>KAPE-IB-10807-14-07-2021</v>
          </cell>
          <cell r="H103" t="str">
            <v>EOU</v>
          </cell>
          <cell r="L103">
            <v>0</v>
          </cell>
          <cell r="N103" t="str">
            <v>Cotton Yarn</v>
          </cell>
        </row>
        <row r="104">
          <cell r="C104" t="str">
            <v>KAPE-IB-10781-14-07-2021</v>
          </cell>
          <cell r="H104" t="str">
            <v>EOU</v>
          </cell>
          <cell r="L104">
            <v>0</v>
          </cell>
          <cell r="N104" t="str">
            <v>Cotton Yarn</v>
          </cell>
        </row>
        <row r="105">
          <cell r="C105" t="str">
            <v>KAPE-IB-10804-14-07-2021</v>
          </cell>
          <cell r="H105" t="str">
            <v>EOU</v>
          </cell>
          <cell r="L105">
            <v>0</v>
          </cell>
          <cell r="N105" t="str">
            <v>Cotton Yarn</v>
          </cell>
        </row>
        <row r="106">
          <cell r="C106" t="str">
            <v>KAPE-IB-10794-14-07-2021</v>
          </cell>
          <cell r="H106" t="str">
            <v>EOU</v>
          </cell>
          <cell r="L106">
            <v>0</v>
          </cell>
          <cell r="N106" t="str">
            <v>Cotton Yarn</v>
          </cell>
        </row>
        <row r="107">
          <cell r="C107" t="str">
            <v>KAPE-IB-13459-19-07-2021</v>
          </cell>
          <cell r="H107" t="str">
            <v>EOU</v>
          </cell>
          <cell r="L107">
            <v>0</v>
          </cell>
          <cell r="N107" t="str">
            <v>Cotton Yarn</v>
          </cell>
        </row>
        <row r="108">
          <cell r="C108" t="str">
            <v>KAPE-IB-13513-19-07-2021</v>
          </cell>
          <cell r="H108" t="str">
            <v>EOU</v>
          </cell>
          <cell r="L108">
            <v>0</v>
          </cell>
          <cell r="N108" t="str">
            <v>Cotton Yarn</v>
          </cell>
        </row>
        <row r="109">
          <cell r="C109" t="str">
            <v>KAPE-IB-13458-19-07-2021</v>
          </cell>
          <cell r="H109" t="str">
            <v>EOU</v>
          </cell>
          <cell r="L109">
            <v>0</v>
          </cell>
          <cell r="N109" t="str">
            <v>Cotton Yarn</v>
          </cell>
        </row>
        <row r="110">
          <cell r="C110" t="str">
            <v>KAPE-IB-16022-26-07-2021</v>
          </cell>
          <cell r="H110" t="str">
            <v>EOU</v>
          </cell>
          <cell r="L110">
            <v>0</v>
          </cell>
          <cell r="N110" t="str">
            <v>Cotton Yarn</v>
          </cell>
        </row>
        <row r="111">
          <cell r="C111" t="str">
            <v>KAPE-IB-17393-28-07-2021</v>
          </cell>
          <cell r="H111" t="str">
            <v>EOU</v>
          </cell>
          <cell r="L111">
            <v>0</v>
          </cell>
          <cell r="N111" t="str">
            <v>Cotton Yarn</v>
          </cell>
        </row>
        <row r="112">
          <cell r="C112" t="str">
            <v>KAPW-IB-13707-28-07-2021</v>
          </cell>
          <cell r="H112" t="str">
            <v>EOU</v>
          </cell>
          <cell r="L112">
            <v>0</v>
          </cell>
          <cell r="N112" t="str">
            <v>Textile Chemical</v>
          </cell>
        </row>
        <row r="113">
          <cell r="C113" t="str">
            <v>KAPE-IB-17385-28-07-2021</v>
          </cell>
          <cell r="H113" t="str">
            <v>EOU</v>
          </cell>
          <cell r="L113">
            <v>0</v>
          </cell>
          <cell r="N113" t="str">
            <v>Cotton Yarn</v>
          </cell>
        </row>
        <row r="114">
          <cell r="C114" t="str">
            <v>KAPW-IB-15072-29-07-2021</v>
          </cell>
          <cell r="H114" t="str">
            <v>EOU</v>
          </cell>
          <cell r="L114">
            <v>0</v>
          </cell>
          <cell r="N114" t="str">
            <v>Polyester Fabric</v>
          </cell>
        </row>
        <row r="115">
          <cell r="C115" t="str">
            <v>KAPE-IB-22661-03-08-2021</v>
          </cell>
          <cell r="H115" t="str">
            <v>EOU</v>
          </cell>
          <cell r="L115">
            <v>0</v>
          </cell>
          <cell r="N115" t="str">
            <v>Cotton Yarn</v>
          </cell>
        </row>
        <row r="116">
          <cell r="C116" t="str">
            <v>KAPE-IB-25662-06-08-2021</v>
          </cell>
          <cell r="H116" t="str">
            <v>EOU</v>
          </cell>
          <cell r="L116">
            <v>0</v>
          </cell>
          <cell r="N116" t="str">
            <v>Cotton Yarn</v>
          </cell>
        </row>
        <row r="117">
          <cell r="C117" t="str">
            <v>KPAF-IB-6908-09-08-2021</v>
          </cell>
          <cell r="H117" t="str">
            <v>EOU</v>
          </cell>
          <cell r="L117">
            <v>0</v>
          </cell>
          <cell r="N117" t="str">
            <v>Polyester Filament Yarn</v>
          </cell>
        </row>
        <row r="118">
          <cell r="C118" t="str">
            <v>KAPW-IB-20108-10-08-2021</v>
          </cell>
          <cell r="H118" t="str">
            <v>EOU</v>
          </cell>
          <cell r="L118">
            <v>0</v>
          </cell>
          <cell r="N118" t="str">
            <v>Cotton Yarn</v>
          </cell>
        </row>
        <row r="119">
          <cell r="C119" t="str">
            <v>KAPE-IB-31434-16-08-2021</v>
          </cell>
          <cell r="H119" t="str">
            <v>EOU</v>
          </cell>
          <cell r="L119">
            <v>0</v>
          </cell>
          <cell r="N119" t="str">
            <v>Textile Chemical</v>
          </cell>
        </row>
        <row r="120">
          <cell r="C120" t="str">
            <v>KAPE-IB-31451-16-08-2021</v>
          </cell>
          <cell r="H120" t="str">
            <v>EOU</v>
          </cell>
          <cell r="L120">
            <v>0</v>
          </cell>
          <cell r="N120" t="str">
            <v>Cotton Yarn</v>
          </cell>
        </row>
        <row r="121">
          <cell r="C121" t="str">
            <v>KAPE-IB-32245-17-08-2021</v>
          </cell>
          <cell r="H121" t="str">
            <v>EOU</v>
          </cell>
          <cell r="L121">
            <v>0</v>
          </cell>
          <cell r="N121" t="str">
            <v>Blended Fabric</v>
          </cell>
        </row>
        <row r="122">
          <cell r="C122" t="str">
            <v>KAPE-IB-31705-17-08-2021</v>
          </cell>
          <cell r="H122" t="str">
            <v>EOU</v>
          </cell>
          <cell r="L122">
            <v>0</v>
          </cell>
          <cell r="N122" t="str">
            <v>Blended Yarn</v>
          </cell>
        </row>
        <row r="123">
          <cell r="C123" t="str">
            <v>KPAF-IB-8499-17-08-2021</v>
          </cell>
          <cell r="H123" t="str">
            <v>EOU</v>
          </cell>
          <cell r="L123">
            <v>0</v>
          </cell>
          <cell r="N123" t="str">
            <v>Polyester Yarn</v>
          </cell>
        </row>
        <row r="124">
          <cell r="C124" t="str">
            <v>KAPE-IB-32254-17-08-2021</v>
          </cell>
          <cell r="H124" t="str">
            <v>EOU</v>
          </cell>
          <cell r="L124">
            <v>0</v>
          </cell>
          <cell r="N124" t="str">
            <v>Polyester Yarn</v>
          </cell>
        </row>
        <row r="125">
          <cell r="C125" t="str">
            <v>KAPW-IB-25071-20-08-2021</v>
          </cell>
          <cell r="H125" t="str">
            <v>EOU</v>
          </cell>
          <cell r="L125">
            <v>0</v>
          </cell>
          <cell r="N125" t="str">
            <v>Polyester Fabric</v>
          </cell>
        </row>
        <row r="126">
          <cell r="C126" t="str">
            <v>KAPW-IB-25345-20-08-2021</v>
          </cell>
          <cell r="H126" t="str">
            <v>EOU</v>
          </cell>
          <cell r="L126">
            <v>0</v>
          </cell>
          <cell r="N126" t="str">
            <v>Polyester Fabric</v>
          </cell>
        </row>
        <row r="127">
          <cell r="C127" t="str">
            <v>KAPW-IB-25811-20-08-2021</v>
          </cell>
          <cell r="H127" t="str">
            <v>EOU</v>
          </cell>
          <cell r="L127">
            <v>0</v>
          </cell>
          <cell r="N127" t="str">
            <v>Polyester Yarn</v>
          </cell>
        </row>
        <row r="128">
          <cell r="C128" t="str">
            <v>KAPE-IB-34373-23-08-2021</v>
          </cell>
          <cell r="H128" t="str">
            <v>EOU</v>
          </cell>
          <cell r="L128">
            <v>0</v>
          </cell>
          <cell r="N128" t="str">
            <v>Cotton Yarn</v>
          </cell>
        </row>
        <row r="129">
          <cell r="C129" t="str">
            <v>KAPE-IB-34438-23-08-2021</v>
          </cell>
          <cell r="H129" t="str">
            <v>EOU</v>
          </cell>
          <cell r="L129">
            <v>0</v>
          </cell>
          <cell r="N129" t="str">
            <v>Cotton Yarn</v>
          </cell>
        </row>
        <row r="130">
          <cell r="C130" t="str">
            <v>KAPE-IB-34508-23-08-2021</v>
          </cell>
          <cell r="H130" t="str">
            <v>EOU</v>
          </cell>
          <cell r="L130">
            <v>0</v>
          </cell>
          <cell r="N130" t="str">
            <v>Blended Yarn</v>
          </cell>
        </row>
        <row r="131">
          <cell r="C131" t="str">
            <v>KAPE-IB-34491-23-08-2021</v>
          </cell>
          <cell r="H131" t="str">
            <v>EOU</v>
          </cell>
          <cell r="L131">
            <v>0</v>
          </cell>
          <cell r="N131" t="str">
            <v>Blended Yarn</v>
          </cell>
        </row>
        <row r="132">
          <cell r="C132" t="str">
            <v>KAPE-IB-36684-25-08-2021</v>
          </cell>
          <cell r="H132" t="str">
            <v>EOU</v>
          </cell>
          <cell r="L132">
            <v>0</v>
          </cell>
          <cell r="N132" t="str">
            <v>Cotton Yarn</v>
          </cell>
        </row>
        <row r="133">
          <cell r="C133" t="str">
            <v>KAPE-IB-37413-26-08-2021</v>
          </cell>
          <cell r="H133" t="str">
            <v>EOU</v>
          </cell>
          <cell r="L133">
            <v>0</v>
          </cell>
          <cell r="N133" t="str">
            <v>Polyester Yarn</v>
          </cell>
        </row>
        <row r="134">
          <cell r="C134" t="str">
            <v>KAPE-IB-36738-26-08-2021</v>
          </cell>
          <cell r="H134" t="str">
            <v>EOU</v>
          </cell>
          <cell r="L134">
            <v>0</v>
          </cell>
          <cell r="N134" t="str">
            <v>Polyester Yarn</v>
          </cell>
        </row>
        <row r="135">
          <cell r="C135" t="str">
            <v>KAPE-IB-38477-30-08-2021</v>
          </cell>
          <cell r="H135" t="str">
            <v>EOU</v>
          </cell>
          <cell r="L135">
            <v>0</v>
          </cell>
          <cell r="N135" t="str">
            <v>Textile Chemical</v>
          </cell>
        </row>
        <row r="136">
          <cell r="C136" t="str">
            <v>KAPE-IB-39973-31-08-2021</v>
          </cell>
          <cell r="H136" t="str">
            <v>EOU</v>
          </cell>
          <cell r="L136">
            <v>0</v>
          </cell>
          <cell r="N136" t="str">
            <v>Cotton Yarn</v>
          </cell>
        </row>
        <row r="137">
          <cell r="C137" t="str">
            <v>KAPE-IB-40050-31-08-2021</v>
          </cell>
          <cell r="H137" t="str">
            <v>EOU</v>
          </cell>
          <cell r="L137">
            <v>0</v>
          </cell>
          <cell r="N137" t="str">
            <v>Cotton Yarn</v>
          </cell>
        </row>
        <row r="138">
          <cell r="C138" t="str">
            <v>KAPE-IB-40890-01-09-2021</v>
          </cell>
          <cell r="H138" t="str">
            <v>EOU</v>
          </cell>
          <cell r="L138">
            <v>0</v>
          </cell>
          <cell r="N138" t="str">
            <v>Polyester Yarn</v>
          </cell>
        </row>
        <row r="139">
          <cell r="C139" t="str">
            <v>KAPE-IB-40838-01-09-2021</v>
          </cell>
          <cell r="H139" t="str">
            <v>EOU</v>
          </cell>
          <cell r="L139">
            <v>0</v>
          </cell>
          <cell r="N139" t="str">
            <v>Cotton Yarn</v>
          </cell>
        </row>
        <row r="140">
          <cell r="C140" t="str">
            <v>KAPE-IB-40853-01-09-2021</v>
          </cell>
          <cell r="H140" t="str">
            <v>EOU</v>
          </cell>
          <cell r="L140">
            <v>0</v>
          </cell>
          <cell r="N140" t="str">
            <v>Blended Yarn</v>
          </cell>
        </row>
        <row r="141">
          <cell r="C141" t="str">
            <v>KAPE-IB-40849-01-09-2021</v>
          </cell>
          <cell r="H141" t="str">
            <v>EOU</v>
          </cell>
          <cell r="L141">
            <v>0</v>
          </cell>
          <cell r="N141" t="str">
            <v>Blended Yarn</v>
          </cell>
        </row>
        <row r="142">
          <cell r="C142" t="str">
            <v>KAPW-IB-33080-02-09-2021</v>
          </cell>
          <cell r="H142" t="str">
            <v>EOU</v>
          </cell>
          <cell r="L142">
            <v>0</v>
          </cell>
          <cell r="N142" t="str">
            <v>Polyester Fabric</v>
          </cell>
        </row>
        <row r="143">
          <cell r="C143" t="str">
            <v>KAPE-IB-42713-03-09-2021</v>
          </cell>
          <cell r="H143" t="str">
            <v>EOU</v>
          </cell>
          <cell r="L143">
            <v>0</v>
          </cell>
          <cell r="N143" t="str">
            <v>Polyester Yarn</v>
          </cell>
        </row>
        <row r="144">
          <cell r="C144" t="str">
            <v>KAPE-IB-45428-07-09-2021</v>
          </cell>
          <cell r="H144" t="str">
            <v>EOU</v>
          </cell>
          <cell r="L144">
            <v>0</v>
          </cell>
          <cell r="N144" t="str">
            <v>Cotton Yarn</v>
          </cell>
        </row>
        <row r="145">
          <cell r="C145" t="str">
            <v>KAPE-IB-45075-07-09-2021</v>
          </cell>
          <cell r="H145" t="str">
            <v>EOU</v>
          </cell>
          <cell r="L145">
            <v>0</v>
          </cell>
          <cell r="N145" t="str">
            <v>Cotton Yarn</v>
          </cell>
        </row>
        <row r="146">
          <cell r="C146" t="str">
            <v>KAPW-IB-35959-07-09-2021</v>
          </cell>
          <cell r="H146" t="str">
            <v>EOU</v>
          </cell>
          <cell r="L146">
            <v>0</v>
          </cell>
          <cell r="N146" t="str">
            <v>Textile Chemical</v>
          </cell>
        </row>
        <row r="147">
          <cell r="C147" t="str">
            <v>KAPE-IB-45056-07-09-2021</v>
          </cell>
          <cell r="H147" t="str">
            <v>EOU</v>
          </cell>
          <cell r="L147">
            <v>0</v>
          </cell>
          <cell r="N147" t="str">
            <v>Cotton Yarn</v>
          </cell>
        </row>
        <row r="148">
          <cell r="C148" t="str">
            <v>KAPE-IB-46022-08-09-2021</v>
          </cell>
          <cell r="H148" t="str">
            <v>EOU</v>
          </cell>
          <cell r="L148">
            <v>0</v>
          </cell>
          <cell r="N148" t="str">
            <v>Textile Dyes</v>
          </cell>
        </row>
        <row r="149">
          <cell r="C149" t="str">
            <v>KAPE-IB-47607-10-09-2021</v>
          </cell>
          <cell r="H149" t="str">
            <v>EOU</v>
          </cell>
          <cell r="L149">
            <v>0</v>
          </cell>
          <cell r="N149" t="str">
            <v>Polyester Yarn</v>
          </cell>
        </row>
        <row r="150">
          <cell r="C150" t="str">
            <v>KAPW-IB-38720-10-09-2021</v>
          </cell>
          <cell r="H150" t="str">
            <v>EOU</v>
          </cell>
          <cell r="L150">
            <v>0</v>
          </cell>
          <cell r="N150" t="str">
            <v>Polyester Filament Yarn</v>
          </cell>
        </row>
        <row r="151">
          <cell r="C151" t="str">
            <v>KAPW-IB-38705-10-09-2021</v>
          </cell>
          <cell r="H151" t="str">
            <v>EOU</v>
          </cell>
          <cell r="L151">
            <v>0</v>
          </cell>
          <cell r="N151" t="str">
            <v>Polyester Fabric</v>
          </cell>
        </row>
        <row r="152">
          <cell r="C152" t="str">
            <v>KAPE-IB-49040-13-09-2021</v>
          </cell>
          <cell r="H152" t="str">
            <v>EOU</v>
          </cell>
          <cell r="L152">
            <v>0</v>
          </cell>
          <cell r="N152" t="str">
            <v>Cotton Yarn</v>
          </cell>
        </row>
        <row r="153">
          <cell r="C153" t="str">
            <v>KAPE-IB-49033-13-09-2021</v>
          </cell>
          <cell r="H153" t="str">
            <v>EOU</v>
          </cell>
          <cell r="L153">
            <v>0</v>
          </cell>
          <cell r="N153" t="str">
            <v>Cotton Yarn</v>
          </cell>
        </row>
        <row r="154">
          <cell r="C154" t="str">
            <v>KAPE-IB-50788-16-09-2021</v>
          </cell>
          <cell r="H154" t="str">
            <v>EOU</v>
          </cell>
          <cell r="L154">
            <v>0</v>
          </cell>
          <cell r="N154" t="str">
            <v>Blended Yarn</v>
          </cell>
        </row>
        <row r="155">
          <cell r="C155" t="str">
            <v>KAPE-IB-50825-16-09-2021</v>
          </cell>
          <cell r="H155" t="str">
            <v>EOU</v>
          </cell>
          <cell r="L155">
            <v>0</v>
          </cell>
          <cell r="N155" t="str">
            <v>Packing Material</v>
          </cell>
        </row>
        <row r="156">
          <cell r="C156" t="str">
            <v>KAPE-IB-51468-17-09-2021</v>
          </cell>
          <cell r="H156" t="str">
            <v>EOU</v>
          </cell>
          <cell r="L156">
            <v>0</v>
          </cell>
          <cell r="N156" t="str">
            <v>Blended Yarn</v>
          </cell>
        </row>
        <row r="157">
          <cell r="C157" t="str">
            <v>KAPE-IB-51455-17-09-2021</v>
          </cell>
          <cell r="H157" t="str">
            <v>EOU</v>
          </cell>
          <cell r="L157">
            <v>0</v>
          </cell>
          <cell r="N157" t="str">
            <v>Blended Yarn</v>
          </cell>
        </row>
        <row r="158">
          <cell r="C158" t="str">
            <v>KAPE-IB-51765-17-09-2021</v>
          </cell>
          <cell r="H158" t="str">
            <v>EOU</v>
          </cell>
          <cell r="L158">
            <v>0</v>
          </cell>
          <cell r="N158" t="str">
            <v>Cotton Yarn</v>
          </cell>
        </row>
        <row r="159">
          <cell r="C159" t="str">
            <v>KAPE-IB-54907-22-09-2021</v>
          </cell>
          <cell r="H159" t="str">
            <v>EOU</v>
          </cell>
          <cell r="L159">
            <v>0</v>
          </cell>
          <cell r="N159" t="str">
            <v>Cotton Yarn</v>
          </cell>
        </row>
        <row r="160">
          <cell r="C160" t="str">
            <v>KAPW-IB-46867-28-09-2021</v>
          </cell>
          <cell r="H160" t="str">
            <v>EOU</v>
          </cell>
          <cell r="L160">
            <v>0</v>
          </cell>
          <cell r="N160" t="str">
            <v>Textile Chemical</v>
          </cell>
        </row>
        <row r="161">
          <cell r="C161" t="str">
            <v>KAPE-IB-59396-28-09-2021</v>
          </cell>
          <cell r="H161" t="str">
            <v>EOU</v>
          </cell>
          <cell r="L161">
            <v>0</v>
          </cell>
          <cell r="N161" t="str">
            <v>Textile Chemical</v>
          </cell>
        </row>
        <row r="162">
          <cell r="C162" t="str">
            <v>KAPW-IB-46876-28-09-2021</v>
          </cell>
          <cell r="H162" t="str">
            <v>EOU</v>
          </cell>
          <cell r="L162">
            <v>0</v>
          </cell>
          <cell r="N162" t="str">
            <v>Textile Chemical</v>
          </cell>
        </row>
        <row r="163">
          <cell r="C163" t="str">
            <v>KAPW-IB-46926-29-09-2021</v>
          </cell>
          <cell r="H163" t="str">
            <v>EOU</v>
          </cell>
          <cell r="L163">
            <v>0</v>
          </cell>
          <cell r="N163" t="str">
            <v>Blended Fabric</v>
          </cell>
        </row>
        <row r="164">
          <cell r="C164" t="str">
            <v>KAPE-IB-59437-29-09-2021</v>
          </cell>
          <cell r="H164" t="str">
            <v>EOU</v>
          </cell>
          <cell r="L164">
            <v>0</v>
          </cell>
          <cell r="N164" t="str">
            <v>Textile Chemical</v>
          </cell>
        </row>
        <row r="165">
          <cell r="C165" t="str">
            <v>KAPE-IB-59497-29-09-2021</v>
          </cell>
          <cell r="H165" t="str">
            <v>EOU</v>
          </cell>
          <cell r="L165">
            <v>0</v>
          </cell>
          <cell r="N165" t="str">
            <v>Textile Chemical</v>
          </cell>
        </row>
        <row r="166">
          <cell r="C166" t="str">
            <v>KAPW-IB-48085-30-09-2021</v>
          </cell>
          <cell r="H166" t="str">
            <v>EOU</v>
          </cell>
          <cell r="L166">
            <v>0</v>
          </cell>
          <cell r="N166" t="str">
            <v>Polyester Yarn</v>
          </cell>
        </row>
        <row r="167">
          <cell r="C167" t="str">
            <v>KAPE-IB-61368-02-10-2021</v>
          </cell>
          <cell r="H167" t="str">
            <v>EOU</v>
          </cell>
          <cell r="L167">
            <v>0</v>
          </cell>
          <cell r="N167" t="str">
            <v>Polyester Yarn</v>
          </cell>
        </row>
        <row r="168">
          <cell r="C168" t="str">
            <v>KAPW-IB-50950-05-10-2021</v>
          </cell>
          <cell r="H168" t="str">
            <v>EOU</v>
          </cell>
          <cell r="L168">
            <v>0</v>
          </cell>
          <cell r="N168" t="str">
            <v>Polyester Yarn</v>
          </cell>
        </row>
        <row r="169">
          <cell r="C169" t="str">
            <v>KAPE-IB-62523-05-10-2021</v>
          </cell>
          <cell r="H169" t="str">
            <v>EOU</v>
          </cell>
          <cell r="L169">
            <v>0</v>
          </cell>
          <cell r="N169" t="str">
            <v>Cotton Yarn</v>
          </cell>
        </row>
        <row r="170">
          <cell r="C170" t="str">
            <v>KAPE-IB-62762-06-10-2021</v>
          </cell>
          <cell r="H170" t="str">
            <v>EOU</v>
          </cell>
          <cell r="L170">
            <v>0</v>
          </cell>
          <cell r="N170" t="str">
            <v>Cotton Yarn</v>
          </cell>
        </row>
        <row r="171">
          <cell r="C171" t="str">
            <v>KAPW-IB-51492-06-10-2021</v>
          </cell>
          <cell r="H171" t="str">
            <v>EOU</v>
          </cell>
          <cell r="L171">
            <v>0</v>
          </cell>
          <cell r="N171" t="str">
            <v>Textile Chemical</v>
          </cell>
        </row>
        <row r="172">
          <cell r="C172" t="str">
            <v>KAPW-IB-53792-11-10-2021</v>
          </cell>
          <cell r="H172" t="str">
            <v>EOU</v>
          </cell>
          <cell r="L172">
            <v>0</v>
          </cell>
          <cell r="N172" t="str">
            <v>Polyester Yarn</v>
          </cell>
        </row>
        <row r="173">
          <cell r="C173" t="str">
            <v>KAPE-IB-65347-11-10-2021</v>
          </cell>
          <cell r="H173" t="str">
            <v>EOU</v>
          </cell>
          <cell r="L173">
            <v>0</v>
          </cell>
          <cell r="N173" t="str">
            <v>Polyester Yarn</v>
          </cell>
        </row>
        <row r="174">
          <cell r="C174" t="str">
            <v>KAPE-IB-65341-11-10-2021</v>
          </cell>
          <cell r="H174" t="str">
            <v>EOU</v>
          </cell>
          <cell r="L174">
            <v>0</v>
          </cell>
          <cell r="N174" t="str">
            <v>Blended Yarn</v>
          </cell>
        </row>
        <row r="175">
          <cell r="C175" t="str">
            <v>KAPE-IB-65345-11-10-2021</v>
          </cell>
          <cell r="H175" t="str">
            <v>EOU</v>
          </cell>
          <cell r="L175">
            <v>0</v>
          </cell>
          <cell r="N175" t="str">
            <v>Polyester Yarn</v>
          </cell>
        </row>
        <row r="176">
          <cell r="C176" t="str">
            <v>KAPE-IB-66723-12-10-2021</v>
          </cell>
          <cell r="H176" t="str">
            <v>EOU</v>
          </cell>
          <cell r="L176">
            <v>0</v>
          </cell>
          <cell r="N176" t="str">
            <v>Cotton Yarn</v>
          </cell>
        </row>
        <row r="177">
          <cell r="C177" t="str">
            <v>KAPE-IB-66716-12-10-2021</v>
          </cell>
          <cell r="H177" t="str">
            <v>EOU</v>
          </cell>
          <cell r="L177">
            <v>0</v>
          </cell>
          <cell r="N177" t="str">
            <v>Cotton Yarn</v>
          </cell>
        </row>
        <row r="178">
          <cell r="C178" t="str">
            <v>KAPE-IB-66730-12-10-2021</v>
          </cell>
          <cell r="H178" t="str">
            <v>EOU</v>
          </cell>
          <cell r="L178">
            <v>0</v>
          </cell>
          <cell r="N178" t="str">
            <v>Cotton Yarn</v>
          </cell>
        </row>
        <row r="179">
          <cell r="C179" t="str">
            <v>KAPW-IB-54903-12-10-2021</v>
          </cell>
          <cell r="H179" t="str">
            <v>EOU</v>
          </cell>
          <cell r="L179">
            <v>0</v>
          </cell>
          <cell r="N179" t="str">
            <v>Polyester Yarn</v>
          </cell>
        </row>
        <row r="180">
          <cell r="C180" t="str">
            <v>KAPW-IB-55540-13-10-2021</v>
          </cell>
          <cell r="H180" t="str">
            <v>EOU</v>
          </cell>
          <cell r="L180">
            <v>0</v>
          </cell>
          <cell r="N180" t="str">
            <v>Polyester Yarn</v>
          </cell>
        </row>
        <row r="181">
          <cell r="C181" t="str">
            <v>KAPE-IB-67667-13-10-2021</v>
          </cell>
          <cell r="H181" t="str">
            <v>EOU</v>
          </cell>
          <cell r="L181">
            <v>0</v>
          </cell>
          <cell r="N181" t="str">
            <v>Cotton Yarn</v>
          </cell>
        </row>
        <row r="182">
          <cell r="C182" t="str">
            <v>KAPE-IB-67666-13-10-2021</v>
          </cell>
          <cell r="H182" t="str">
            <v>EOU</v>
          </cell>
          <cell r="L182">
            <v>0</v>
          </cell>
          <cell r="N182" t="str">
            <v>Cotton Yarn</v>
          </cell>
        </row>
        <row r="183">
          <cell r="C183" t="str">
            <v>KAPW-IB-56155-14-10-2021</v>
          </cell>
          <cell r="H183" t="str">
            <v>EOU</v>
          </cell>
          <cell r="L183">
            <v>0</v>
          </cell>
          <cell r="N183" t="str">
            <v>Polyester Yarn</v>
          </cell>
        </row>
        <row r="184">
          <cell r="C184" t="str">
            <v>KAPW-IB-57410-15-10-2021</v>
          </cell>
          <cell r="H184" t="str">
            <v>EOU</v>
          </cell>
          <cell r="L184">
            <v>0</v>
          </cell>
          <cell r="N184" t="str">
            <v>Polyester Yarn</v>
          </cell>
        </row>
        <row r="185">
          <cell r="C185" t="str">
            <v>KAPW-IB-57553-16-10-2021</v>
          </cell>
          <cell r="H185" t="str">
            <v>EOU</v>
          </cell>
          <cell r="L185">
            <v>0</v>
          </cell>
          <cell r="N185" t="str">
            <v>Textile Dyes</v>
          </cell>
        </row>
        <row r="186">
          <cell r="C186" t="str">
            <v>KAPE-IB-71477-20-10-2021</v>
          </cell>
          <cell r="H186" t="str">
            <v>EOU</v>
          </cell>
          <cell r="L186">
            <v>0</v>
          </cell>
          <cell r="N186" t="str">
            <v>Cotton Yarn</v>
          </cell>
        </row>
        <row r="187">
          <cell r="C187" t="str">
            <v>KAPE-IB-73834-25-10-2021</v>
          </cell>
          <cell r="H187" t="str">
            <v>EOU</v>
          </cell>
          <cell r="L187">
            <v>0</v>
          </cell>
          <cell r="N187" t="str">
            <v>Polyester Yarn</v>
          </cell>
        </row>
        <row r="188">
          <cell r="C188" t="str">
            <v>KAPE-IB-73827-25-10-2021</v>
          </cell>
          <cell r="H188" t="str">
            <v>EOU</v>
          </cell>
          <cell r="L188">
            <v>0</v>
          </cell>
          <cell r="N188" t="str">
            <v>Polyester Yarn</v>
          </cell>
        </row>
        <row r="189">
          <cell r="C189" t="str">
            <v>KAPW-IB-63108-29-10-2021</v>
          </cell>
          <cell r="H189" t="str">
            <v>EOU</v>
          </cell>
          <cell r="L189">
            <v>0</v>
          </cell>
          <cell r="N189" t="str">
            <v>Textile Chemical</v>
          </cell>
        </row>
        <row r="190">
          <cell r="C190" t="str">
            <v>KAPW-IB-63381-30-10-2021</v>
          </cell>
          <cell r="H190" t="str">
            <v>EOU</v>
          </cell>
          <cell r="L190">
            <v>0</v>
          </cell>
          <cell r="N190" t="str">
            <v>Textile Chemical</v>
          </cell>
        </row>
        <row r="191">
          <cell r="C191" t="str">
            <v>KAPW-IB-65024-04-11-2021</v>
          </cell>
          <cell r="H191" t="str">
            <v>EOU</v>
          </cell>
          <cell r="L191">
            <v>0</v>
          </cell>
          <cell r="N191" t="str">
            <v>Textile Chemical</v>
          </cell>
        </row>
        <row r="192">
          <cell r="C192" t="str">
            <v>KAPE-IB-81636-06-11-2021</v>
          </cell>
          <cell r="H192" t="str">
            <v>EOU</v>
          </cell>
          <cell r="L192">
            <v>0</v>
          </cell>
          <cell r="N192" t="str">
            <v>Textile Dyes</v>
          </cell>
        </row>
        <row r="193">
          <cell r="C193" t="str">
            <v>KAPE-IB-83341-08-11-2021</v>
          </cell>
          <cell r="H193" t="str">
            <v>EOU</v>
          </cell>
          <cell r="L193">
            <v>0</v>
          </cell>
          <cell r="N193" t="str">
            <v>Textile Chemical</v>
          </cell>
        </row>
        <row r="194">
          <cell r="C194" t="str">
            <v>KAPE-IB-83971-09-11-2021</v>
          </cell>
          <cell r="H194" t="str">
            <v>EOU</v>
          </cell>
          <cell r="L194">
            <v>0</v>
          </cell>
          <cell r="N194" t="str">
            <v>Polyester Yarn</v>
          </cell>
        </row>
        <row r="195">
          <cell r="C195" t="str">
            <v>KAPE-IB-84000-09-11-2021</v>
          </cell>
          <cell r="H195" t="str">
            <v>EOU</v>
          </cell>
          <cell r="L195">
            <v>0</v>
          </cell>
          <cell r="N195" t="str">
            <v>Textile Chemical</v>
          </cell>
        </row>
        <row r="196">
          <cell r="C196" t="str">
            <v>KAPW-IB-67471-10-11-2021</v>
          </cell>
          <cell r="H196" t="str">
            <v>EOU</v>
          </cell>
          <cell r="L196">
            <v>0</v>
          </cell>
          <cell r="N196" t="str">
            <v>Polyester Fabric</v>
          </cell>
        </row>
        <row r="197">
          <cell r="C197" t="str">
            <v>KAPE-IB-86333-11-11-2021</v>
          </cell>
          <cell r="H197" t="str">
            <v>EOU</v>
          </cell>
          <cell r="L197">
            <v>0</v>
          </cell>
          <cell r="N197" t="str">
            <v>Textile Chemical</v>
          </cell>
        </row>
        <row r="198">
          <cell r="C198" t="str">
            <v>KAPE-IB-86329-11-11-2021</v>
          </cell>
          <cell r="H198" t="str">
            <v>EOU</v>
          </cell>
          <cell r="L198">
            <v>0</v>
          </cell>
          <cell r="N198" t="str">
            <v>Textile Dyes</v>
          </cell>
        </row>
        <row r="199">
          <cell r="C199" t="str">
            <v>KAPW-IB-70911-15-11-2021</v>
          </cell>
          <cell r="H199" t="str">
            <v>EOU</v>
          </cell>
          <cell r="L199">
            <v>0</v>
          </cell>
          <cell r="N199" t="str">
            <v>Textile Chemical</v>
          </cell>
        </row>
        <row r="200">
          <cell r="C200" t="str">
            <v>KAPE-IB-89256-15-11-2021</v>
          </cell>
          <cell r="H200" t="str">
            <v>EOU</v>
          </cell>
          <cell r="L200">
            <v>0</v>
          </cell>
          <cell r="N200" t="str">
            <v>Cotton Yarn</v>
          </cell>
        </row>
        <row r="201">
          <cell r="C201" t="str">
            <v>KAPE-IB-89518-16-11-2021</v>
          </cell>
          <cell r="H201" t="str">
            <v>EOU</v>
          </cell>
          <cell r="L201">
            <v>0</v>
          </cell>
          <cell r="N201" t="str">
            <v>Cotton Yarn</v>
          </cell>
        </row>
        <row r="202">
          <cell r="C202" t="str">
            <v>KAPE-IB-89565-16-11-2021</v>
          </cell>
          <cell r="H202" t="str">
            <v>EOU</v>
          </cell>
          <cell r="L202">
            <v>0</v>
          </cell>
          <cell r="N202" t="str">
            <v>Cotton Yarn</v>
          </cell>
        </row>
        <row r="203">
          <cell r="C203" t="str">
            <v>KAPE-IB-91732-18-11-2021</v>
          </cell>
          <cell r="H203" t="str">
            <v>EOU</v>
          </cell>
          <cell r="L203">
            <v>0</v>
          </cell>
          <cell r="N203" t="str">
            <v>Blended Fabric</v>
          </cell>
        </row>
        <row r="204">
          <cell r="C204" t="str">
            <v>KAPE-IB-94325-23-11-2021</v>
          </cell>
          <cell r="H204" t="str">
            <v>EOU</v>
          </cell>
          <cell r="L204">
            <v>0</v>
          </cell>
          <cell r="N204" t="str">
            <v>Textile Chemical</v>
          </cell>
        </row>
        <row r="205">
          <cell r="C205" t="str">
            <v>KAPE-IB-94334-23-11-2021</v>
          </cell>
          <cell r="H205" t="str">
            <v>EOU</v>
          </cell>
          <cell r="L205">
            <v>0</v>
          </cell>
          <cell r="N205" t="str">
            <v>Textile Chemical</v>
          </cell>
        </row>
        <row r="206">
          <cell r="C206" t="str">
            <v>KAPE-IB-95153-24-11-2021</v>
          </cell>
          <cell r="H206" t="str">
            <v>EOU</v>
          </cell>
          <cell r="L206">
            <v>0</v>
          </cell>
          <cell r="N206" t="str">
            <v>Polyester Yarn</v>
          </cell>
        </row>
        <row r="207">
          <cell r="C207" t="str">
            <v>KAPW-IB-77483-26-11-2021</v>
          </cell>
          <cell r="H207" t="str">
            <v>EOU</v>
          </cell>
          <cell r="L207">
            <v>0</v>
          </cell>
          <cell r="N207" t="str">
            <v>Textile Chemical</v>
          </cell>
        </row>
        <row r="208">
          <cell r="C208" t="str">
            <v>KAPW-IB-79954-30-11-2021</v>
          </cell>
          <cell r="H208" t="str">
            <v>EOU</v>
          </cell>
          <cell r="L208">
            <v>0</v>
          </cell>
          <cell r="N208" t="str">
            <v>Textile Dyes</v>
          </cell>
        </row>
        <row r="209">
          <cell r="C209" t="str">
            <v>KAPE-IB-99339-30-11-2021</v>
          </cell>
          <cell r="H209" t="str">
            <v>EOU</v>
          </cell>
          <cell r="L209">
            <v>0</v>
          </cell>
          <cell r="N209" t="str">
            <v>Cotton Yarn</v>
          </cell>
        </row>
        <row r="210">
          <cell r="C210" t="str">
            <v>KAPE-IB-99346-30-11-2021</v>
          </cell>
          <cell r="H210" t="str">
            <v>EOU</v>
          </cell>
          <cell r="L210">
            <v>0</v>
          </cell>
          <cell r="N210" t="str">
            <v>Cotton Yarn</v>
          </cell>
        </row>
        <row r="211">
          <cell r="C211" t="str">
            <v>KAPE-IB-99360-30-11-2021</v>
          </cell>
          <cell r="H211" t="str">
            <v>EOU</v>
          </cell>
          <cell r="L211">
            <v>0</v>
          </cell>
          <cell r="N211" t="str">
            <v>Cotton Yarn</v>
          </cell>
        </row>
        <row r="212">
          <cell r="C212" t="str">
            <v>KAPE-IB-99354-30-11-2021</v>
          </cell>
          <cell r="H212" t="str">
            <v>EOU</v>
          </cell>
          <cell r="L212">
            <v>0</v>
          </cell>
          <cell r="N212" t="str">
            <v>Cotton Yarn</v>
          </cell>
        </row>
        <row r="213">
          <cell r="C213" t="str">
            <v>KAPW-IB-80150-01-12-2021</v>
          </cell>
          <cell r="H213" t="str">
            <v>EOU</v>
          </cell>
          <cell r="L213">
            <v>0</v>
          </cell>
          <cell r="N213" t="str">
            <v>Textile Dyes</v>
          </cell>
        </row>
        <row r="214">
          <cell r="C214" t="str">
            <v>KAPW-IB-81108-02-12-2021</v>
          </cell>
          <cell r="H214" t="str">
            <v>EOU</v>
          </cell>
          <cell r="L214">
            <v>0</v>
          </cell>
          <cell r="N214" t="str">
            <v>Textile Chemical</v>
          </cell>
        </row>
        <row r="215">
          <cell r="C215" t="str">
            <v>KAPW-IB-81771-03-12-2021</v>
          </cell>
          <cell r="H215" t="str">
            <v>EOU</v>
          </cell>
          <cell r="L215">
            <v>0</v>
          </cell>
          <cell r="N215" t="str">
            <v>Textile Dyes</v>
          </cell>
        </row>
        <row r="216">
          <cell r="C216" t="str">
            <v>KAPE-IB-101874-03-12-2021</v>
          </cell>
          <cell r="H216" t="str">
            <v>EOU</v>
          </cell>
          <cell r="L216">
            <v>0</v>
          </cell>
          <cell r="N216" t="str">
            <v>Polyester Yarn</v>
          </cell>
        </row>
        <row r="217">
          <cell r="C217" t="str">
            <v>KAPW-IB-83496-06-12-2021</v>
          </cell>
          <cell r="H217" t="str">
            <v>EOU</v>
          </cell>
          <cell r="L217">
            <v>0</v>
          </cell>
          <cell r="N217" t="str">
            <v>Polyester Fabric</v>
          </cell>
        </row>
        <row r="218">
          <cell r="C218" t="str">
            <v>KAPE-IB-103482-06-12-2021</v>
          </cell>
          <cell r="H218" t="str">
            <v>EOU</v>
          </cell>
          <cell r="L218">
            <v>0</v>
          </cell>
          <cell r="N218" t="str">
            <v>Cotton Yarn</v>
          </cell>
        </row>
        <row r="219">
          <cell r="C219" t="str">
            <v>KAPE-IB-103549-06-12-2021</v>
          </cell>
          <cell r="H219" t="str">
            <v>EOU</v>
          </cell>
          <cell r="L219">
            <v>0</v>
          </cell>
          <cell r="N219" t="str">
            <v>Cotton Yarn</v>
          </cell>
        </row>
        <row r="220">
          <cell r="C220" t="str">
            <v>KPAF-IB-30892-13-12-2021</v>
          </cell>
          <cell r="H220" t="str">
            <v>EOU</v>
          </cell>
          <cell r="L220">
            <v>0</v>
          </cell>
          <cell r="N220" t="str">
            <v>Blended Fabric</v>
          </cell>
        </row>
        <row r="221">
          <cell r="C221" t="str">
            <v>KAPE-IB-108499-14-12-2021</v>
          </cell>
          <cell r="H221" t="str">
            <v>EOU</v>
          </cell>
          <cell r="L221">
            <v>0</v>
          </cell>
          <cell r="N221" t="str">
            <v>Polyester Yarn</v>
          </cell>
        </row>
        <row r="222">
          <cell r="C222" t="str">
            <v>KAPW-IB-88577-14-12-2021</v>
          </cell>
          <cell r="H222" t="str">
            <v>EOU</v>
          </cell>
          <cell r="L222">
            <v>0</v>
          </cell>
          <cell r="N222" t="str">
            <v>Packing Material</v>
          </cell>
        </row>
        <row r="223">
          <cell r="C223" t="str">
            <v>KPPI-IB-42167-15-12-2021</v>
          </cell>
          <cell r="H223" t="str">
            <v>EOU</v>
          </cell>
          <cell r="L223">
            <v>0</v>
          </cell>
          <cell r="N223" t="str">
            <v>Textile Chemical</v>
          </cell>
        </row>
        <row r="224">
          <cell r="C224" t="str">
            <v>KPPI-IB-42182-16-12-2021</v>
          </cell>
          <cell r="H224" t="str">
            <v>EOU</v>
          </cell>
          <cell r="L224">
            <v>0</v>
          </cell>
          <cell r="N224" t="str">
            <v>Textile Chemical</v>
          </cell>
        </row>
        <row r="225">
          <cell r="C225" t="str">
            <v>KAPE-IB-111446-16-12-2021</v>
          </cell>
          <cell r="H225" t="str">
            <v>EOU</v>
          </cell>
          <cell r="L225">
            <v>0</v>
          </cell>
          <cell r="N225" t="str">
            <v>Textile Chemical</v>
          </cell>
        </row>
        <row r="226">
          <cell r="C226" t="str">
            <v>KAPE-IB-111629-17-12-2021</v>
          </cell>
          <cell r="H226" t="str">
            <v>EOU</v>
          </cell>
          <cell r="L226">
            <v>0</v>
          </cell>
          <cell r="N226" t="str">
            <v>Polyester Yarn</v>
          </cell>
        </row>
        <row r="227">
          <cell r="C227" t="str">
            <v>KAPE-IB-112508-18-12-2021</v>
          </cell>
          <cell r="H227" t="str">
            <v>EOU</v>
          </cell>
          <cell r="L227">
            <v>0</v>
          </cell>
          <cell r="N227" t="str">
            <v>Cotton Yarn</v>
          </cell>
        </row>
        <row r="228">
          <cell r="C228" t="str">
            <v>KAPE-IB-112505-18-12-2021</v>
          </cell>
          <cell r="H228" t="str">
            <v>EOU</v>
          </cell>
          <cell r="L228">
            <v>0</v>
          </cell>
          <cell r="N228" t="str">
            <v>Cotton Yarn</v>
          </cell>
        </row>
        <row r="229">
          <cell r="C229" t="str">
            <v>KAPE-IB-115712-23-12-2021</v>
          </cell>
          <cell r="H229" t="str">
            <v>EOU</v>
          </cell>
          <cell r="L229">
            <v>0</v>
          </cell>
          <cell r="N229" t="str">
            <v>Polyester Yarn</v>
          </cell>
        </row>
        <row r="230">
          <cell r="C230" t="str">
            <v>KAPE-IB-116715-24-12-2021</v>
          </cell>
          <cell r="H230" t="str">
            <v>EOU</v>
          </cell>
          <cell r="L230">
            <v>0</v>
          </cell>
          <cell r="N230" t="str">
            <v>Textile Dyes</v>
          </cell>
        </row>
        <row r="231">
          <cell r="C231" t="str">
            <v>KAPE-IB-116727-24-12-2021</v>
          </cell>
          <cell r="H231" t="str">
            <v>EOU</v>
          </cell>
          <cell r="L231">
            <v>0</v>
          </cell>
          <cell r="N231" t="str">
            <v>Textile Dyes</v>
          </cell>
        </row>
        <row r="232">
          <cell r="C232" t="str">
            <v>KAPW-IB-96455-28-12-2021</v>
          </cell>
          <cell r="H232" t="str">
            <v>EOU</v>
          </cell>
          <cell r="L232">
            <v>0</v>
          </cell>
          <cell r="N232" t="str">
            <v>Textile Chemical</v>
          </cell>
        </row>
        <row r="233">
          <cell r="C233" t="str">
            <v>KPAF-IB-33775-28-12-2021</v>
          </cell>
          <cell r="H233" t="str">
            <v>EOU</v>
          </cell>
          <cell r="L233">
            <v>0</v>
          </cell>
          <cell r="N233" t="str">
            <v>Elastolefin Yarn</v>
          </cell>
        </row>
        <row r="234">
          <cell r="C234" t="str">
            <v>KAPW-IB-97856-30-12-2021</v>
          </cell>
          <cell r="H234" t="str">
            <v>EOU</v>
          </cell>
          <cell r="L234">
            <v>0</v>
          </cell>
          <cell r="N234" t="str">
            <v>Textile Dyes</v>
          </cell>
        </row>
        <row r="235">
          <cell r="C235" t="str">
            <v>KAPE-IB-120641-31-12-2021</v>
          </cell>
          <cell r="H235" t="str">
            <v>EOU</v>
          </cell>
          <cell r="L235">
            <v>0</v>
          </cell>
          <cell r="N235" t="str">
            <v>Cotton Yarn</v>
          </cell>
        </row>
        <row r="236">
          <cell r="C236" t="str">
            <v>KAPE-IB-120597-31-12-2021</v>
          </cell>
          <cell r="H236" t="str">
            <v>EOU</v>
          </cell>
          <cell r="L236">
            <v>0</v>
          </cell>
          <cell r="N236" t="str">
            <v>Cotton Yarn</v>
          </cell>
        </row>
        <row r="237">
          <cell r="C237" t="str">
            <v>KAPE-IB-120523-31-12-2021</v>
          </cell>
          <cell r="H237" t="str">
            <v>EOU</v>
          </cell>
          <cell r="L237">
            <v>0</v>
          </cell>
          <cell r="N237" t="str">
            <v>Cotton Yarn</v>
          </cell>
        </row>
        <row r="238">
          <cell r="C238" t="str">
            <v>KPAF-IB-34697-31-12-2021</v>
          </cell>
          <cell r="H238" t="str">
            <v>EOU</v>
          </cell>
          <cell r="L238">
            <v>0</v>
          </cell>
          <cell r="N238" t="str">
            <v>Blended Fabric</v>
          </cell>
        </row>
        <row r="239">
          <cell r="C239" t="str">
            <v>KAPE-IB-121219-03-01-2022</v>
          </cell>
          <cell r="H239" t="str">
            <v>EOU</v>
          </cell>
          <cell r="L239">
            <v>0</v>
          </cell>
          <cell r="N239" t="str">
            <v>Blended Yarn</v>
          </cell>
        </row>
        <row r="240">
          <cell r="C240" t="str">
            <v>KAPE-IB-121234-03-01-2022</v>
          </cell>
          <cell r="H240" t="str">
            <v>EOU</v>
          </cell>
          <cell r="L240">
            <v>0</v>
          </cell>
          <cell r="N240" t="str">
            <v>Polyester Yarn</v>
          </cell>
        </row>
        <row r="241">
          <cell r="C241" t="str">
            <v>KAPE-IB-121250-03-01-2022</v>
          </cell>
          <cell r="H241" t="str">
            <v>EOU</v>
          </cell>
          <cell r="L241">
            <v>0</v>
          </cell>
          <cell r="N241" t="str">
            <v>Cotton Yarn</v>
          </cell>
        </row>
        <row r="242">
          <cell r="C242" t="str">
            <v>KAPE-IB-121223-03-01-2022</v>
          </cell>
          <cell r="H242" t="str">
            <v>EOU</v>
          </cell>
          <cell r="L242">
            <v>0</v>
          </cell>
          <cell r="N242" t="str">
            <v>Polyester Yarn</v>
          </cell>
        </row>
        <row r="243">
          <cell r="C243" t="str">
            <v>KAPE-IB-121585-04-01-2022</v>
          </cell>
          <cell r="H243" t="str">
            <v>EOU</v>
          </cell>
          <cell r="L243">
            <v>0</v>
          </cell>
          <cell r="N243" t="str">
            <v>Polyester Yarn</v>
          </cell>
        </row>
        <row r="244">
          <cell r="C244" t="str">
            <v>KAPE-IB-123067-05-01-2022</v>
          </cell>
          <cell r="H244" t="str">
            <v>EOU</v>
          </cell>
          <cell r="L244">
            <v>0</v>
          </cell>
          <cell r="N244" t="str">
            <v>Cotton Yarn</v>
          </cell>
        </row>
        <row r="245">
          <cell r="C245" t="str">
            <v>KAPE-IB-123078-05-01-2022</v>
          </cell>
          <cell r="H245" t="str">
            <v>EOU</v>
          </cell>
          <cell r="L245">
            <v>0</v>
          </cell>
          <cell r="N245" t="str">
            <v>Cotton Yarn</v>
          </cell>
        </row>
        <row r="246">
          <cell r="C246" t="str">
            <v>KAPW-IB-104471-11-01-2022</v>
          </cell>
          <cell r="H246" t="str">
            <v>EOU</v>
          </cell>
          <cell r="L246">
            <v>0</v>
          </cell>
          <cell r="N246" t="str">
            <v>Polyester Yarn</v>
          </cell>
        </row>
        <row r="247">
          <cell r="C247" t="str">
            <v>KAPE-IB-126926-11-01-2022</v>
          </cell>
          <cell r="H247" t="str">
            <v>EOU</v>
          </cell>
          <cell r="L247">
            <v>0</v>
          </cell>
          <cell r="N247" t="str">
            <v>Cotton Yarn</v>
          </cell>
        </row>
        <row r="248">
          <cell r="C248" t="str">
            <v>KAPW-IB-105006-11-01-2022</v>
          </cell>
          <cell r="H248" t="str">
            <v>EOU</v>
          </cell>
          <cell r="L248">
            <v>0</v>
          </cell>
          <cell r="N248" t="str">
            <v>Textile Dyes</v>
          </cell>
        </row>
        <row r="249">
          <cell r="C249" t="str">
            <v>KAPE-IB-127747-12-01-2022</v>
          </cell>
          <cell r="H249" t="str">
            <v>EOU</v>
          </cell>
          <cell r="L249">
            <v>0</v>
          </cell>
          <cell r="N249" t="str">
            <v>Cotton Yarn</v>
          </cell>
        </row>
        <row r="250">
          <cell r="C250" t="str">
            <v>KAPE-IB-127793-12-01-2022</v>
          </cell>
          <cell r="H250" t="str">
            <v>EOU</v>
          </cell>
          <cell r="L250">
            <v>0</v>
          </cell>
          <cell r="N250" t="str">
            <v>Textile Dyes</v>
          </cell>
        </row>
        <row r="251">
          <cell r="C251" t="str">
            <v>KAPW-IB-106492-13-01-2022</v>
          </cell>
          <cell r="H251" t="str">
            <v>EOU</v>
          </cell>
          <cell r="L251">
            <v>0</v>
          </cell>
          <cell r="N251" t="str">
            <v>Polyester Fabric</v>
          </cell>
        </row>
        <row r="252">
          <cell r="C252" t="str">
            <v>KAPE-IB-128667-13-01-2022</v>
          </cell>
          <cell r="H252" t="str">
            <v>EOU</v>
          </cell>
          <cell r="L252">
            <v>0</v>
          </cell>
          <cell r="N252" t="str">
            <v>Cotton Yarn</v>
          </cell>
        </row>
        <row r="253">
          <cell r="C253" t="str">
            <v>KAPE-IB-128635-13-01-2022</v>
          </cell>
          <cell r="H253" t="str">
            <v>EOU</v>
          </cell>
          <cell r="L253">
            <v>0</v>
          </cell>
          <cell r="N253" t="str">
            <v>Cotton Yarn</v>
          </cell>
        </row>
        <row r="254">
          <cell r="C254" t="str">
            <v>KAPE-IB-128644-13-01-2022</v>
          </cell>
          <cell r="H254" t="str">
            <v>EOU</v>
          </cell>
          <cell r="L254">
            <v>0</v>
          </cell>
          <cell r="N254" t="str">
            <v>Textile Chemical</v>
          </cell>
        </row>
        <row r="255">
          <cell r="C255" t="str">
            <v>KAPE-IB-130078-14-01-2022</v>
          </cell>
          <cell r="H255" t="str">
            <v>EOU</v>
          </cell>
          <cell r="L255">
            <v>0</v>
          </cell>
          <cell r="N255" t="str">
            <v>Textile Dyes</v>
          </cell>
        </row>
        <row r="256">
          <cell r="C256" t="str">
            <v>KAPW-IB-106716-14-01-2022</v>
          </cell>
          <cell r="H256" t="str">
            <v>EOU</v>
          </cell>
          <cell r="L256">
            <v>0</v>
          </cell>
          <cell r="N256" t="str">
            <v>Polyester Yarn</v>
          </cell>
        </row>
        <row r="257">
          <cell r="C257" t="str">
            <v>KAPW-IB-106693-14-01-2022</v>
          </cell>
          <cell r="H257" t="str">
            <v>EOU</v>
          </cell>
          <cell r="L257">
            <v>0</v>
          </cell>
          <cell r="N257" t="str">
            <v>Polyester Yarn</v>
          </cell>
        </row>
        <row r="258">
          <cell r="C258" t="str">
            <v>KAPE-IB-129594-14-01-2022</v>
          </cell>
          <cell r="H258" t="str">
            <v>EOU</v>
          </cell>
          <cell r="L258">
            <v>0</v>
          </cell>
          <cell r="N258" t="str">
            <v>Textile Chemical</v>
          </cell>
        </row>
        <row r="259">
          <cell r="C259" t="str">
            <v>KAPE-IB-129589-14-01-2022</v>
          </cell>
          <cell r="H259" t="str">
            <v>EOU</v>
          </cell>
          <cell r="L259">
            <v>0</v>
          </cell>
          <cell r="N259" t="str">
            <v>Textile Chemical</v>
          </cell>
        </row>
        <row r="260">
          <cell r="C260" t="str">
            <v>KAPE-IB-129656-14-01-2022</v>
          </cell>
          <cell r="H260" t="str">
            <v>EOU</v>
          </cell>
          <cell r="L260">
            <v>0</v>
          </cell>
          <cell r="N260" t="str">
            <v>Textile Chemical</v>
          </cell>
        </row>
        <row r="261">
          <cell r="C261" t="str">
            <v>KAPE-IB-129603-14-01-2022</v>
          </cell>
          <cell r="H261" t="str">
            <v>EOU</v>
          </cell>
          <cell r="L261">
            <v>0</v>
          </cell>
          <cell r="N261" t="str">
            <v>Textile Chemical</v>
          </cell>
        </row>
        <row r="262">
          <cell r="C262" t="str">
            <v>KAPW-IB-108998-18-01-2022</v>
          </cell>
          <cell r="H262" t="str">
            <v>EOU</v>
          </cell>
          <cell r="L262">
            <v>0</v>
          </cell>
          <cell r="N262" t="str">
            <v>Textile Chemical</v>
          </cell>
        </row>
        <row r="263">
          <cell r="C263" t="str">
            <v>KAPW-IB-109021-18-01-2022</v>
          </cell>
          <cell r="H263" t="str">
            <v>EOU</v>
          </cell>
          <cell r="L263">
            <v>0</v>
          </cell>
          <cell r="N263" t="str">
            <v>Textile Dyes</v>
          </cell>
        </row>
        <row r="264">
          <cell r="C264" t="str">
            <v>KAPE-IB-132411-19-01-2022</v>
          </cell>
          <cell r="H264" t="str">
            <v>EOU</v>
          </cell>
          <cell r="L264">
            <v>0</v>
          </cell>
          <cell r="N264" t="str">
            <v>Polyester Yarn</v>
          </cell>
        </row>
        <row r="265">
          <cell r="C265" t="str">
            <v>KAPE-IB-133444-20-01-2022</v>
          </cell>
          <cell r="H265" t="str">
            <v>EOU</v>
          </cell>
          <cell r="L265">
            <v>0</v>
          </cell>
          <cell r="N265" t="str">
            <v>Polyester Fabric</v>
          </cell>
        </row>
        <row r="266">
          <cell r="C266" t="str">
            <v>KAPE-IB-135162-25-01-2022</v>
          </cell>
          <cell r="H266" t="str">
            <v>EOU</v>
          </cell>
          <cell r="L266">
            <v>0</v>
          </cell>
          <cell r="N266" t="str">
            <v>Textile Dyes</v>
          </cell>
        </row>
        <row r="267">
          <cell r="C267" t="str">
            <v>KAPE-IB-135157-25-01-2022</v>
          </cell>
          <cell r="H267" t="str">
            <v>EOU</v>
          </cell>
          <cell r="L267">
            <v>0</v>
          </cell>
          <cell r="N267" t="str">
            <v>Textile Chemical</v>
          </cell>
        </row>
        <row r="268">
          <cell r="C268" t="str">
            <v>KAPE-IB-135164-25-01-2022</v>
          </cell>
          <cell r="H268" t="str">
            <v>EOU</v>
          </cell>
          <cell r="L268">
            <v>0</v>
          </cell>
          <cell r="N268" t="str">
            <v>Polyester Yarn</v>
          </cell>
        </row>
        <row r="269">
          <cell r="C269" t="str">
            <v>KAPE-IB-136944-27-01-2022</v>
          </cell>
          <cell r="H269" t="str">
            <v>EOU</v>
          </cell>
          <cell r="L269">
            <v>0</v>
          </cell>
          <cell r="N269" t="str">
            <v>Textile Dyes</v>
          </cell>
        </row>
        <row r="270">
          <cell r="C270" t="str">
            <v>KAPE-IB-137929-28-01-2022</v>
          </cell>
          <cell r="H270" t="str">
            <v>EOU</v>
          </cell>
          <cell r="L270">
            <v>0</v>
          </cell>
          <cell r="N270" t="str">
            <v>Polyester Yarn</v>
          </cell>
        </row>
        <row r="271">
          <cell r="C271" t="str">
            <v>KAPW-IB-113511-28-01-2022</v>
          </cell>
          <cell r="H271" t="str">
            <v>EOU</v>
          </cell>
          <cell r="L271">
            <v>0</v>
          </cell>
          <cell r="N271" t="str">
            <v>Polyester Yarn</v>
          </cell>
        </row>
        <row r="272">
          <cell r="C272" t="str">
            <v>KAPW-IB-114076-31-01-2022</v>
          </cell>
          <cell r="H272" t="str">
            <v>EOU</v>
          </cell>
          <cell r="L272">
            <v>0</v>
          </cell>
          <cell r="N272" t="str">
            <v>Polyester Yarn</v>
          </cell>
        </row>
        <row r="273">
          <cell r="C273" t="str">
            <v>KAPW-IB-114600-31-01-2022</v>
          </cell>
          <cell r="H273" t="str">
            <v>EOU</v>
          </cell>
          <cell r="L273">
            <v>0</v>
          </cell>
          <cell r="N273" t="str">
            <v>Textile Chemical</v>
          </cell>
        </row>
        <row r="274">
          <cell r="C274" t="str">
            <v>KAPE-IB-141471-02-02-2022</v>
          </cell>
          <cell r="H274" t="str">
            <v>EOU</v>
          </cell>
          <cell r="L274">
            <v>0</v>
          </cell>
          <cell r="N274" t="str">
            <v>Cotton Yarn</v>
          </cell>
        </row>
        <row r="275">
          <cell r="C275" t="str">
            <v>KAPW-IB-115923-02-02-2022</v>
          </cell>
          <cell r="H275" t="str">
            <v>EOU</v>
          </cell>
          <cell r="L275">
            <v>0</v>
          </cell>
          <cell r="N275" t="str">
            <v>Blended Fabric</v>
          </cell>
        </row>
        <row r="276">
          <cell r="C276" t="str">
            <v>KAPE-IB-142689-03-02-2022</v>
          </cell>
          <cell r="H276" t="str">
            <v>EOU</v>
          </cell>
          <cell r="L276">
            <v>0</v>
          </cell>
          <cell r="N276" t="str">
            <v>Textile Chemical</v>
          </cell>
        </row>
        <row r="277">
          <cell r="C277" t="str">
            <v>KAPW-IB-118811-07-02-2022</v>
          </cell>
          <cell r="H277" t="str">
            <v>EOU</v>
          </cell>
          <cell r="L277">
            <v>0</v>
          </cell>
          <cell r="N277" t="str">
            <v>Polyester Yarn</v>
          </cell>
        </row>
        <row r="278">
          <cell r="C278" t="str">
            <v>KAPE-IB-145470-07-02-2022</v>
          </cell>
          <cell r="H278" t="str">
            <v>EOU</v>
          </cell>
          <cell r="L278">
            <v>0</v>
          </cell>
          <cell r="N278" t="str">
            <v>Textile Dyes</v>
          </cell>
        </row>
        <row r="279">
          <cell r="C279" t="str">
            <v>KAPW-IB-119605-08-02-2022</v>
          </cell>
          <cell r="H279" t="str">
            <v>EOU</v>
          </cell>
          <cell r="L279">
            <v>0</v>
          </cell>
          <cell r="N279" t="str">
            <v>Textile Chemical</v>
          </cell>
        </row>
        <row r="280">
          <cell r="C280" t="str">
            <v>KAPW-IB-122139-11-02-2022</v>
          </cell>
          <cell r="H280" t="str">
            <v>EOU</v>
          </cell>
          <cell r="L280">
            <v>0</v>
          </cell>
          <cell r="N280" t="str">
            <v>Polyester Yarn</v>
          </cell>
        </row>
        <row r="281">
          <cell r="C281" t="str">
            <v>KAPW-IB-122238-11-02-2022</v>
          </cell>
          <cell r="H281" t="str">
            <v>EOU</v>
          </cell>
          <cell r="L281">
            <v>0</v>
          </cell>
          <cell r="N281" t="str">
            <v>Polyester Yarn</v>
          </cell>
        </row>
        <row r="282">
          <cell r="C282" t="str">
            <v>KAPE-IB-148901-12-02-2022</v>
          </cell>
          <cell r="H282" t="str">
            <v>EOU</v>
          </cell>
          <cell r="L282">
            <v>0</v>
          </cell>
          <cell r="N282" t="str">
            <v>Textile Chemical</v>
          </cell>
        </row>
        <row r="283">
          <cell r="C283" t="str">
            <v>KAPE-IB-151471-16-02-2022</v>
          </cell>
          <cell r="H283" t="str">
            <v>EOU</v>
          </cell>
          <cell r="L283">
            <v>0</v>
          </cell>
          <cell r="N283" t="str">
            <v>Cotton Yarn</v>
          </cell>
        </row>
        <row r="284">
          <cell r="C284" t="str">
            <v>KAPE-IB-151452-16-02-2022</v>
          </cell>
          <cell r="H284" t="str">
            <v>EOU</v>
          </cell>
          <cell r="L284">
            <v>0</v>
          </cell>
          <cell r="N284" t="str">
            <v>Cotton Yarn</v>
          </cell>
        </row>
        <row r="285">
          <cell r="C285" t="str">
            <v>KAPW-IB-125939-17-02-2022</v>
          </cell>
          <cell r="H285" t="str">
            <v>EOU</v>
          </cell>
          <cell r="L285">
            <v>0</v>
          </cell>
          <cell r="N285" t="str">
            <v>Polyester Fabric</v>
          </cell>
        </row>
        <row r="286">
          <cell r="C286" t="str">
            <v>KAPE-IB-152435-17-02-2022</v>
          </cell>
          <cell r="H286" t="str">
            <v>EOU</v>
          </cell>
          <cell r="L286">
            <v>0</v>
          </cell>
          <cell r="N286" t="str">
            <v>Cotton Yarn</v>
          </cell>
        </row>
        <row r="287">
          <cell r="C287" t="str">
            <v>KAPE-IB-152427-17-02-2022</v>
          </cell>
          <cell r="H287" t="str">
            <v>EOU</v>
          </cell>
          <cell r="L287">
            <v>0</v>
          </cell>
          <cell r="N287" t="str">
            <v>Cotton Yarn</v>
          </cell>
        </row>
        <row r="288">
          <cell r="C288" t="str">
            <v>KAPW-IB-127797-21-02-2022</v>
          </cell>
          <cell r="H288" t="str">
            <v>EOU</v>
          </cell>
          <cell r="L288">
            <v>0</v>
          </cell>
          <cell r="N288" t="str">
            <v>Polyester Yarn</v>
          </cell>
        </row>
        <row r="289">
          <cell r="C289" t="str">
            <v>KPAF-IB-43364-21-02-2022</v>
          </cell>
          <cell r="H289" t="str">
            <v>EOU</v>
          </cell>
          <cell r="L289">
            <v>0</v>
          </cell>
          <cell r="N289" t="str">
            <v>Polyester Yarn</v>
          </cell>
        </row>
        <row r="290">
          <cell r="C290" t="str">
            <v>KAPE-IB-152440-17-02-2022</v>
          </cell>
          <cell r="H290" t="str">
            <v>EOU</v>
          </cell>
          <cell r="L290">
            <v>0</v>
          </cell>
          <cell r="N290" t="str">
            <v>Cotton Yarn</v>
          </cell>
        </row>
        <row r="291">
          <cell r="C291" t="str">
            <v>KAPE-IB-156182-22-02-2022</v>
          </cell>
          <cell r="H291" t="str">
            <v>EOU</v>
          </cell>
          <cell r="L291">
            <v>0</v>
          </cell>
          <cell r="N291" t="str">
            <v>Textile Dyes</v>
          </cell>
        </row>
        <row r="292">
          <cell r="C292" t="str">
            <v>KPAF-IB-44114-24-02-2022</v>
          </cell>
          <cell r="H292" t="str">
            <v>EOU</v>
          </cell>
          <cell r="L292">
            <v>0</v>
          </cell>
          <cell r="N292" t="str">
            <v>Polyester Yarn</v>
          </cell>
        </row>
        <row r="293">
          <cell r="C293" t="str">
            <v>KAPE-IB-158262-24-02-2022</v>
          </cell>
          <cell r="H293" t="str">
            <v>EOU</v>
          </cell>
          <cell r="L293">
            <v>0</v>
          </cell>
          <cell r="N293" t="str">
            <v>Blended Fabric</v>
          </cell>
        </row>
        <row r="294">
          <cell r="C294" t="str">
            <v>KAPW-IB-130911-25-02-2022</v>
          </cell>
          <cell r="H294" t="str">
            <v>EOU</v>
          </cell>
          <cell r="L294">
            <v>0</v>
          </cell>
          <cell r="N294" t="str">
            <v>Packing Material</v>
          </cell>
        </row>
        <row r="295">
          <cell r="C295" t="str">
            <v>KAPE-IB-159014-25-02-2022</v>
          </cell>
          <cell r="H295" t="str">
            <v>EOU</v>
          </cell>
          <cell r="L295">
            <v>0</v>
          </cell>
          <cell r="N295" t="str">
            <v>Cotton Yarn</v>
          </cell>
        </row>
        <row r="296">
          <cell r="C296" t="str">
            <v>KPAF-IB-45390-03-03-2022</v>
          </cell>
          <cell r="H296" t="str">
            <v>EOU</v>
          </cell>
          <cell r="L296">
            <v>0</v>
          </cell>
          <cell r="N296" t="str">
            <v>Blended Fabric</v>
          </cell>
        </row>
        <row r="297">
          <cell r="C297" t="str">
            <v>KAPW-IB-132406-01-03-2022</v>
          </cell>
          <cell r="H297" t="str">
            <v>EOU</v>
          </cell>
          <cell r="L297">
            <v>0</v>
          </cell>
          <cell r="N297" t="str">
            <v>Textile Dyes</v>
          </cell>
        </row>
        <row r="298">
          <cell r="C298" t="str">
            <v>KAPE-IB-162555-02-03-2022</v>
          </cell>
          <cell r="H298" t="str">
            <v>EOU</v>
          </cell>
          <cell r="L298">
            <v>0</v>
          </cell>
          <cell r="N298" t="str">
            <v>Textile Dyes</v>
          </cell>
        </row>
        <row r="299">
          <cell r="C299" t="str">
            <v>KAPW-IB-132268-01-03-2022</v>
          </cell>
          <cell r="H299" t="str">
            <v>EOU</v>
          </cell>
          <cell r="L299">
            <v>0</v>
          </cell>
          <cell r="N299" t="str">
            <v>Polyester Fabric</v>
          </cell>
        </row>
        <row r="300">
          <cell r="C300" t="str">
            <v>KAPW-IB-132362-01-03-2022</v>
          </cell>
          <cell r="H300" t="str">
            <v>EOU</v>
          </cell>
          <cell r="L300">
            <v>0</v>
          </cell>
          <cell r="N300" t="str">
            <v>Polyester Fabric</v>
          </cell>
        </row>
        <row r="301">
          <cell r="C301" t="str">
            <v>KAPW-IB-133587-03-03-2022</v>
          </cell>
          <cell r="H301" t="str">
            <v>EOU</v>
          </cell>
          <cell r="L301">
            <v>0</v>
          </cell>
          <cell r="N301" t="str">
            <v>Textile Chemical</v>
          </cell>
        </row>
        <row r="302">
          <cell r="C302" t="str">
            <v>KAPE-IB-164920-07-03-2022</v>
          </cell>
          <cell r="H302" t="str">
            <v>EOU</v>
          </cell>
          <cell r="L302">
            <v>0</v>
          </cell>
          <cell r="N302" t="str">
            <v>Cotton Yarn</v>
          </cell>
        </row>
        <row r="303">
          <cell r="C303" t="str">
            <v>KAPE-IB-168611-14-03-2022</v>
          </cell>
          <cell r="H303" t="str">
            <v>EOU</v>
          </cell>
          <cell r="L303">
            <v>0</v>
          </cell>
          <cell r="N303" t="str">
            <v>Textile Chemical</v>
          </cell>
        </row>
        <row r="304">
          <cell r="C304" t="str">
            <v>KAPE-IB-168698-14-03-2022</v>
          </cell>
          <cell r="H304" t="str">
            <v>EOU</v>
          </cell>
          <cell r="L304">
            <v>0</v>
          </cell>
          <cell r="N304" t="str">
            <v>Textile Chemical</v>
          </cell>
        </row>
        <row r="305">
          <cell r="C305" t="str">
            <v>KPAF-IB-44674-28-02-2022</v>
          </cell>
          <cell r="H305" t="str">
            <v>EOU</v>
          </cell>
          <cell r="L305">
            <v>0</v>
          </cell>
          <cell r="N305" t="str">
            <v>Polyester Yarn</v>
          </cell>
        </row>
        <row r="306">
          <cell r="C306" t="str">
            <v>KAPW-IB-136039-09-03-2022</v>
          </cell>
          <cell r="H306" t="str">
            <v>EOU</v>
          </cell>
          <cell r="L306">
            <v>0</v>
          </cell>
          <cell r="N306" t="str">
            <v>Polyester Yarn</v>
          </cell>
        </row>
        <row r="307">
          <cell r="C307" t="str">
            <v>KAPW-IB-137115-11-03-2022</v>
          </cell>
          <cell r="H307" t="str">
            <v>EOU</v>
          </cell>
          <cell r="L307">
            <v>0</v>
          </cell>
          <cell r="N307" t="str">
            <v>Cotton Yarn</v>
          </cell>
        </row>
        <row r="308">
          <cell r="C308" t="str">
            <v>KAPE-IB-168621-14-03-2022</v>
          </cell>
          <cell r="H308" t="str">
            <v>EOU</v>
          </cell>
          <cell r="L308">
            <v>0</v>
          </cell>
          <cell r="N308" t="str">
            <v>Textile Chemical</v>
          </cell>
        </row>
        <row r="309">
          <cell r="C309" t="str">
            <v>KAPE-IB-170365-15-03-2022</v>
          </cell>
          <cell r="H309" t="str">
            <v>EOU</v>
          </cell>
          <cell r="L309">
            <v>0</v>
          </cell>
          <cell r="N309" t="str">
            <v>Textile Chemical</v>
          </cell>
        </row>
        <row r="310">
          <cell r="C310" t="str">
            <v>KAPE-IB-170407-15-03-2022</v>
          </cell>
          <cell r="H310" t="str">
            <v>EOU</v>
          </cell>
          <cell r="L310">
            <v>0</v>
          </cell>
          <cell r="N310" t="str">
            <v>Textile Dyes</v>
          </cell>
        </row>
        <row r="311">
          <cell r="C311" t="str">
            <v>KAPE-IB-172975-19-03-2022</v>
          </cell>
          <cell r="H311" t="str">
            <v>EOU</v>
          </cell>
          <cell r="L311">
            <v>0</v>
          </cell>
          <cell r="N311" t="str">
            <v>Cotton Yarn</v>
          </cell>
        </row>
        <row r="312">
          <cell r="C312" t="str">
            <v>KAPE-IB-173183-21-03-2022</v>
          </cell>
          <cell r="H312" t="str">
            <v>EOU</v>
          </cell>
          <cell r="L312">
            <v>0</v>
          </cell>
          <cell r="N312" t="str">
            <v>Cotton Yarn</v>
          </cell>
        </row>
        <row r="313">
          <cell r="C313" t="str">
            <v>KAPW-IB-139123-15-03-2022</v>
          </cell>
          <cell r="H313" t="str">
            <v>EOU</v>
          </cell>
          <cell r="L313">
            <v>0</v>
          </cell>
          <cell r="N313" t="str">
            <v>Textile Dyes</v>
          </cell>
        </row>
        <row r="314">
          <cell r="C314" t="str">
            <v>KAPW-IB-141429-19-03-2022</v>
          </cell>
          <cell r="H314" t="str">
            <v>EOU</v>
          </cell>
          <cell r="L314">
            <v>0</v>
          </cell>
          <cell r="N314" t="str">
            <v>Textile Dyes</v>
          </cell>
        </row>
        <row r="315">
          <cell r="C315" t="str">
            <v>KAPE-IB-175040-24-03-2022</v>
          </cell>
          <cell r="H315" t="str">
            <v>EOU</v>
          </cell>
          <cell r="L315">
            <v>0</v>
          </cell>
          <cell r="N315" t="str">
            <v>Textile Chemical</v>
          </cell>
        </row>
        <row r="316">
          <cell r="C316" t="str">
            <v>KAPE-IB-175214-24-03-2022</v>
          </cell>
          <cell r="H316" t="str">
            <v>EOU</v>
          </cell>
          <cell r="L316">
            <v>0</v>
          </cell>
          <cell r="N316" t="str">
            <v>Textile Chemical</v>
          </cell>
        </row>
        <row r="317">
          <cell r="C317" t="str">
            <v>KAPE-IB-172195-18-03-2022</v>
          </cell>
          <cell r="H317" t="str">
            <v>EOU</v>
          </cell>
          <cell r="L317">
            <v>0</v>
          </cell>
          <cell r="N317" t="str">
            <v>Textile Chemical</v>
          </cell>
        </row>
        <row r="318">
          <cell r="C318" t="str">
            <v>KAPE-IB-175199-24-03-2022</v>
          </cell>
          <cell r="H318" t="str">
            <v>EOU</v>
          </cell>
          <cell r="L318">
            <v>0</v>
          </cell>
          <cell r="N318" t="str">
            <v>Polyester Yarn</v>
          </cell>
        </row>
        <row r="319">
          <cell r="C319" t="str">
            <v>KAPE-IB-175809-25-03-2022</v>
          </cell>
          <cell r="H319" t="str">
            <v>EOU</v>
          </cell>
          <cell r="L319">
            <v>0</v>
          </cell>
          <cell r="N319" t="str">
            <v>Cotton Yarn</v>
          </cell>
        </row>
        <row r="320">
          <cell r="C320" t="str">
            <v>KAPW-IB-143787-25-03-2022</v>
          </cell>
          <cell r="H320" t="str">
            <v>EOU</v>
          </cell>
          <cell r="L320">
            <v>0</v>
          </cell>
          <cell r="N320" t="str">
            <v>Textile Chemical</v>
          </cell>
        </row>
        <row r="321">
          <cell r="C321" t="str">
            <v>KPAF-IB-50262-29-03-2022</v>
          </cell>
          <cell r="H321" t="str">
            <v>EOU</v>
          </cell>
          <cell r="L321">
            <v>0</v>
          </cell>
          <cell r="N321" t="str">
            <v>Textile Chemical</v>
          </cell>
        </row>
        <row r="322">
          <cell r="C322" t="str">
            <v>KAPE-IB-178010-29-03-2022</v>
          </cell>
          <cell r="H322" t="str">
            <v>EOU</v>
          </cell>
          <cell r="L322">
            <v>0</v>
          </cell>
          <cell r="N322" t="str">
            <v>Polyester Fabric</v>
          </cell>
        </row>
        <row r="323">
          <cell r="C323" t="str">
            <v>KAPE-IB-177711-29-03-2022</v>
          </cell>
          <cell r="H323" t="str">
            <v>EOU</v>
          </cell>
          <cell r="L323">
            <v>0</v>
          </cell>
          <cell r="N323" t="str">
            <v>Textile Chemical</v>
          </cell>
        </row>
        <row r="324">
          <cell r="C324" t="str">
            <v>KAPE-IB-177816-29-03-2022</v>
          </cell>
          <cell r="H324" t="str">
            <v>EOU</v>
          </cell>
          <cell r="L324">
            <v>0</v>
          </cell>
          <cell r="N324" t="str">
            <v>Polyester Yarn</v>
          </cell>
        </row>
        <row r="325">
          <cell r="C325" t="str">
            <v>KAPE-IB-178580-30-03-2022</v>
          </cell>
          <cell r="H325" t="str">
            <v>EOU</v>
          </cell>
          <cell r="L325">
            <v>0</v>
          </cell>
          <cell r="N325" t="str">
            <v>Polyester Yarn</v>
          </cell>
        </row>
        <row r="326">
          <cell r="C326" t="str">
            <v>KAPW-IB-147499-31-03-2022</v>
          </cell>
          <cell r="H326" t="str">
            <v>EOU</v>
          </cell>
          <cell r="L326">
            <v>0</v>
          </cell>
          <cell r="N326" t="str">
            <v>Cotton Yarn</v>
          </cell>
        </row>
        <row r="327">
          <cell r="C327" t="str">
            <v>KAPE-IB-176878-28-03-2022</v>
          </cell>
          <cell r="H327" t="str">
            <v>EOU</v>
          </cell>
          <cell r="L327">
            <v>0</v>
          </cell>
          <cell r="N327" t="str">
            <v>Textile Chemical</v>
          </cell>
        </row>
        <row r="328">
          <cell r="C328" t="str">
            <v>KAPE-IB-181191-04-04-2022</v>
          </cell>
          <cell r="H328" t="str">
            <v>EOU</v>
          </cell>
          <cell r="L328">
            <v>0</v>
          </cell>
          <cell r="N328" t="str">
            <v>Cotton Yarn</v>
          </cell>
        </row>
        <row r="329">
          <cell r="C329" t="str">
            <v>KAPE-IB-182040-05-04-2022</v>
          </cell>
          <cell r="H329" t="str">
            <v>EOU</v>
          </cell>
          <cell r="L329">
            <v>0</v>
          </cell>
          <cell r="N329" t="str">
            <v>Textile Chemical</v>
          </cell>
        </row>
        <row r="330">
          <cell r="C330" t="str">
            <v>KAPE-IB-182264-06-04-2022</v>
          </cell>
          <cell r="H330" t="str">
            <v>EOU</v>
          </cell>
          <cell r="L330">
            <v>0</v>
          </cell>
          <cell r="N330" t="str">
            <v>Polyester Fabric</v>
          </cell>
        </row>
        <row r="331">
          <cell r="C331" t="str">
            <v>KPAF-IB-52645-11-04-2022</v>
          </cell>
          <cell r="H331" t="str">
            <v>EOU</v>
          </cell>
          <cell r="L331">
            <v>0</v>
          </cell>
          <cell r="N331" t="str">
            <v>Blended Fabric</v>
          </cell>
        </row>
        <row r="332">
          <cell r="C332" t="str">
            <v>KAPE-IB-187220-15-04-2022</v>
          </cell>
          <cell r="H332" t="str">
            <v>EOU</v>
          </cell>
          <cell r="L332">
            <v>0</v>
          </cell>
          <cell r="N332" t="str">
            <v>Cotton Fabric</v>
          </cell>
        </row>
        <row r="333">
          <cell r="C333" t="str">
            <v>KAPE-IB-188953-18-04-2022</v>
          </cell>
          <cell r="H333" t="str">
            <v>EOU</v>
          </cell>
          <cell r="L333">
            <v>0</v>
          </cell>
          <cell r="N333" t="str">
            <v>Cotton Yarn</v>
          </cell>
        </row>
        <row r="334">
          <cell r="C334" t="str">
            <v>KAPE-IB-188943-18-04-2022</v>
          </cell>
          <cell r="H334" t="str">
            <v>EOU</v>
          </cell>
          <cell r="L334">
            <v>0</v>
          </cell>
          <cell r="N334" t="str">
            <v>Cotton Yarn</v>
          </cell>
        </row>
        <row r="335">
          <cell r="C335" t="str">
            <v>KAPW-IB-154711-18-04-2022</v>
          </cell>
          <cell r="H335" t="str">
            <v>EOU</v>
          </cell>
          <cell r="L335">
            <v>0</v>
          </cell>
          <cell r="N335" t="str">
            <v>Cotton Yarn</v>
          </cell>
        </row>
        <row r="336">
          <cell r="C336" t="str">
            <v>KAPW-IB-157282-21-04-2022</v>
          </cell>
          <cell r="H336" t="str">
            <v>EOU</v>
          </cell>
          <cell r="L336">
            <v>0</v>
          </cell>
          <cell r="N336" t="str">
            <v>Textile Chemical</v>
          </cell>
        </row>
        <row r="337">
          <cell r="C337" t="str">
            <v>KAPE-IB-193166-25-04-2022</v>
          </cell>
          <cell r="H337" t="str">
            <v>EOU</v>
          </cell>
          <cell r="L337">
            <v>0</v>
          </cell>
          <cell r="N337" t="str">
            <v>Cotton Yarn</v>
          </cell>
        </row>
        <row r="338">
          <cell r="C338" t="str">
            <v>KAPW-IB-156911-21-04-2022</v>
          </cell>
          <cell r="H338" t="str">
            <v>EOU</v>
          </cell>
          <cell r="L338">
            <v>0</v>
          </cell>
          <cell r="N338" t="str">
            <v>Textile Dyes</v>
          </cell>
        </row>
        <row r="339">
          <cell r="C339" t="str">
            <v>KAPW-IB-157408-22-04-2022</v>
          </cell>
          <cell r="H339" t="str">
            <v>EOU</v>
          </cell>
          <cell r="L339">
            <v>0</v>
          </cell>
          <cell r="N339" t="str">
            <v>Polyester Fabric</v>
          </cell>
        </row>
        <row r="340">
          <cell r="C340" t="str">
            <v>KAPE-IB-193652-26-04-2022</v>
          </cell>
          <cell r="H340" t="str">
            <v>EOU</v>
          </cell>
          <cell r="L340">
            <v>0</v>
          </cell>
          <cell r="N340" t="str">
            <v>Cotton Yarn</v>
          </cell>
        </row>
        <row r="341">
          <cell r="C341" t="str">
            <v>KAPE-IB-191342-21-04-2022</v>
          </cell>
          <cell r="H341" t="str">
            <v>EOU</v>
          </cell>
          <cell r="L341">
            <v>0</v>
          </cell>
          <cell r="N341" t="str">
            <v>Textile Dyes</v>
          </cell>
        </row>
        <row r="342">
          <cell r="C342" t="str">
            <v>KAPE-IB-193852-26-04-2022</v>
          </cell>
          <cell r="H342" t="str">
            <v>EOU</v>
          </cell>
          <cell r="L342">
            <v>0</v>
          </cell>
          <cell r="N342" t="str">
            <v>Textile Chemical</v>
          </cell>
        </row>
        <row r="343">
          <cell r="C343" t="str">
            <v>KAPE-IB-196703-29-04-2022</v>
          </cell>
          <cell r="H343" t="str">
            <v>EOU</v>
          </cell>
          <cell r="L343">
            <v>0</v>
          </cell>
          <cell r="N343" t="str">
            <v>Textile Chemical</v>
          </cell>
        </row>
        <row r="344">
          <cell r="C344" t="str">
            <v>KAPE-IB-196874-29-04-2022</v>
          </cell>
          <cell r="H344" t="str">
            <v>EOU</v>
          </cell>
          <cell r="L344">
            <v>0</v>
          </cell>
          <cell r="N344" t="str">
            <v>Cotton Yarn</v>
          </cell>
        </row>
        <row r="345">
          <cell r="C345" t="str">
            <v>KPAF-IB-56483-06-05-2022</v>
          </cell>
          <cell r="H345" t="str">
            <v>EOU</v>
          </cell>
          <cell r="L345">
            <v>0</v>
          </cell>
          <cell r="N345" t="str">
            <v>Woven / Nylon Fabric</v>
          </cell>
        </row>
        <row r="346">
          <cell r="C346" t="str">
            <v>KAPE-IB-199558-09-05-2022</v>
          </cell>
          <cell r="H346" t="str">
            <v>EOU</v>
          </cell>
          <cell r="L346">
            <v>0</v>
          </cell>
          <cell r="N346" t="str">
            <v>Cotton Yarn</v>
          </cell>
        </row>
        <row r="347">
          <cell r="C347" t="str">
            <v>KAPE-IB-199160-09-05-2022</v>
          </cell>
          <cell r="H347" t="str">
            <v>EOU</v>
          </cell>
          <cell r="L347">
            <v>0</v>
          </cell>
          <cell r="N347" t="str">
            <v>Cotton Yarn</v>
          </cell>
        </row>
        <row r="348">
          <cell r="C348" t="str">
            <v>KAPW-IB-164566-10-05-2022</v>
          </cell>
          <cell r="H348" t="str">
            <v>EOU</v>
          </cell>
          <cell r="L348">
            <v>0</v>
          </cell>
          <cell r="N348" t="str">
            <v>Polyester Fabric</v>
          </cell>
        </row>
        <row r="349">
          <cell r="C349" t="str">
            <v>KAPE-IB-203232-12-05-2022</v>
          </cell>
          <cell r="H349" t="str">
            <v>EOU</v>
          </cell>
          <cell r="L349">
            <v>0</v>
          </cell>
          <cell r="N349" t="str">
            <v>Textile Chemical</v>
          </cell>
        </row>
        <row r="350">
          <cell r="C350" t="str">
            <v>KAPE-IB-202132-11-05-2022</v>
          </cell>
          <cell r="H350" t="str">
            <v>EOU</v>
          </cell>
          <cell r="L350">
            <v>0</v>
          </cell>
          <cell r="N350" t="str">
            <v>Textile Chemical</v>
          </cell>
        </row>
        <row r="351">
          <cell r="C351" t="str">
            <v>KAPE-IB-195567-28-04-2022</v>
          </cell>
          <cell r="H351" t="str">
            <v>EOU</v>
          </cell>
          <cell r="L351">
            <v>0</v>
          </cell>
          <cell r="N351" t="str">
            <v>Textile Dyes</v>
          </cell>
        </row>
        <row r="352">
          <cell r="C352" t="str">
            <v>KAPW-IB-165948-11-05-2022</v>
          </cell>
          <cell r="H352" t="str">
            <v>EOU</v>
          </cell>
          <cell r="L352">
            <v>0</v>
          </cell>
          <cell r="N352" t="str">
            <v>Textile Chemical</v>
          </cell>
        </row>
        <row r="353">
          <cell r="C353" t="str">
            <v>KAPW-IB-165902-11-05-2022</v>
          </cell>
          <cell r="H353" t="str">
            <v>EOU</v>
          </cell>
          <cell r="L353">
            <v>0</v>
          </cell>
          <cell r="N353" t="str">
            <v>Cotton Yarn</v>
          </cell>
        </row>
        <row r="354">
          <cell r="C354" t="str">
            <v>KAPW-IB-170426-18-05-2022</v>
          </cell>
          <cell r="H354" t="str">
            <v>EOU</v>
          </cell>
          <cell r="L354">
            <v>0</v>
          </cell>
          <cell r="N354" t="str">
            <v>Textile Dyes</v>
          </cell>
        </row>
        <row r="355">
          <cell r="C355" t="str">
            <v>KAPE-IB-207742-18-05-2022</v>
          </cell>
          <cell r="H355" t="str">
            <v>EOU</v>
          </cell>
          <cell r="L355">
            <v>0</v>
          </cell>
          <cell r="N355" t="str">
            <v>Textile Dyes</v>
          </cell>
        </row>
        <row r="356">
          <cell r="C356" t="str">
            <v>KAPE-IB-209585-23-05-2022</v>
          </cell>
          <cell r="H356" t="str">
            <v>EOU</v>
          </cell>
          <cell r="L356">
            <v>0</v>
          </cell>
          <cell r="N356" t="str">
            <v>Cotton Yarn</v>
          </cell>
        </row>
        <row r="357">
          <cell r="C357" t="str">
            <v>KAPE-IB-209572-23-05-2022</v>
          </cell>
          <cell r="H357" t="str">
            <v>EOU</v>
          </cell>
          <cell r="L357">
            <v>0</v>
          </cell>
          <cell r="N357" t="str">
            <v>Cotton Yarn</v>
          </cell>
        </row>
        <row r="358">
          <cell r="C358" t="str">
            <v>KAPE-IB-212426-26-05-2022</v>
          </cell>
          <cell r="H358" t="str">
            <v>EOU</v>
          </cell>
          <cell r="L358">
            <v>0</v>
          </cell>
          <cell r="N358" t="str">
            <v>Textile Dyes</v>
          </cell>
        </row>
        <row r="359">
          <cell r="C359" t="str">
            <v>KAPW-IB-174152-26-05-2022</v>
          </cell>
          <cell r="H359" t="str">
            <v>EOU</v>
          </cell>
          <cell r="L359">
            <v>0</v>
          </cell>
          <cell r="N359" t="str">
            <v>Cotton Yarn</v>
          </cell>
        </row>
        <row r="360">
          <cell r="C360" t="str">
            <v>KAPE-IB-213507-30-05-2022</v>
          </cell>
          <cell r="H360" t="str">
            <v>EOU</v>
          </cell>
          <cell r="L360">
            <v>0</v>
          </cell>
          <cell r="N360" t="str">
            <v>Cotton Yarn</v>
          </cell>
        </row>
        <row r="361">
          <cell r="C361" t="str">
            <v>KAPW-IB-176924-02-06-2022</v>
          </cell>
          <cell r="H361" t="str">
            <v>EOU</v>
          </cell>
          <cell r="L361">
            <v>0</v>
          </cell>
          <cell r="N361" t="str">
            <v>Textile Chemical</v>
          </cell>
        </row>
        <row r="362">
          <cell r="C362" t="str">
            <v>KAPE-IB-219641-07-06-2022</v>
          </cell>
          <cell r="H362" t="str">
            <v>EOU</v>
          </cell>
          <cell r="L362">
            <v>0</v>
          </cell>
          <cell r="N362" t="str">
            <v>Textile Chemical</v>
          </cell>
        </row>
        <row r="363">
          <cell r="C363" t="str">
            <v>KAPE-IB-219669-07-06-2022</v>
          </cell>
          <cell r="H363" t="str">
            <v>EOU</v>
          </cell>
          <cell r="L363">
            <v>0</v>
          </cell>
          <cell r="N363" t="str">
            <v>Textile Chemical</v>
          </cell>
        </row>
        <row r="364">
          <cell r="C364" t="str">
            <v>KAPE-IB-219687-07-06-2022</v>
          </cell>
          <cell r="H364" t="str">
            <v>EOU</v>
          </cell>
          <cell r="L364">
            <v>0</v>
          </cell>
          <cell r="N364" t="str">
            <v>Textile Chemical</v>
          </cell>
        </row>
        <row r="365">
          <cell r="C365" t="str">
            <v>KAPW-IB-178347-06-06-2022</v>
          </cell>
          <cell r="H365" t="str">
            <v>EOU</v>
          </cell>
          <cell r="L365">
            <v>0</v>
          </cell>
          <cell r="N365" t="str">
            <v>Textile Chemical</v>
          </cell>
        </row>
        <row r="366">
          <cell r="C366" t="str">
            <v>KAPE-IB-218987-07-06-2022</v>
          </cell>
          <cell r="H366" t="str">
            <v>EOU</v>
          </cell>
          <cell r="L366">
            <v>0</v>
          </cell>
          <cell r="N366" t="str">
            <v>Raw Cotton</v>
          </cell>
        </row>
        <row r="367">
          <cell r="C367" t="str">
            <v>KAPW-IB-182158-13-06-2022</v>
          </cell>
          <cell r="H367" t="str">
            <v>EOU</v>
          </cell>
          <cell r="L367">
            <v>0</v>
          </cell>
          <cell r="N367" t="str">
            <v>Polyester Fabric</v>
          </cell>
        </row>
        <row r="368">
          <cell r="C368" t="str">
            <v>KAPW-IB-182586-14-06-2022</v>
          </cell>
          <cell r="H368" t="str">
            <v>EOU</v>
          </cell>
          <cell r="L368">
            <v>0</v>
          </cell>
          <cell r="N368" t="str">
            <v>Blended Fabric</v>
          </cell>
        </row>
        <row r="369">
          <cell r="C369" t="str">
            <v>KAPE-IB-226952-21-06-2022</v>
          </cell>
          <cell r="H369" t="str">
            <v>EOU</v>
          </cell>
          <cell r="L369">
            <v>0</v>
          </cell>
          <cell r="N369" t="str">
            <v>Textile Chemical</v>
          </cell>
        </row>
        <row r="370">
          <cell r="C370" t="str">
            <v>KAPE-IB-228399-22-06-2022</v>
          </cell>
          <cell r="H370" t="str">
            <v>EOU</v>
          </cell>
          <cell r="L370">
            <v>0</v>
          </cell>
          <cell r="N370" t="str">
            <v>Textile Chemical</v>
          </cell>
        </row>
        <row r="371">
          <cell r="C371" t="str">
            <v>KAPW-IB-182881-14-06-2022</v>
          </cell>
          <cell r="H371" t="str">
            <v>EOU</v>
          </cell>
          <cell r="L371">
            <v>0</v>
          </cell>
          <cell r="N371" t="str">
            <v>Textile Chemical</v>
          </cell>
        </row>
        <row r="372">
          <cell r="C372" t="str">
            <v>KAPE-IB-226928-21-06-2022</v>
          </cell>
          <cell r="H372" t="str">
            <v>EOU</v>
          </cell>
          <cell r="L372">
            <v>0</v>
          </cell>
          <cell r="N372" t="str">
            <v>Cotton Yarn</v>
          </cell>
        </row>
        <row r="373">
          <cell r="C373" t="str">
            <v>KAPW-IB-187599-27-06-2022</v>
          </cell>
          <cell r="H373" t="str">
            <v>EOU</v>
          </cell>
          <cell r="L373">
            <v>0</v>
          </cell>
          <cell r="N373" t="str">
            <v>Blended Fabric</v>
          </cell>
        </row>
        <row r="374">
          <cell r="C374" t="str">
            <v>KAPW-IB-188078-27-06-2022</v>
          </cell>
          <cell r="H374" t="str">
            <v>EOU</v>
          </cell>
          <cell r="L374">
            <v>0</v>
          </cell>
          <cell r="N374" t="str">
            <v>Textile Chemical</v>
          </cell>
        </row>
        <row r="375">
          <cell r="C375" t="str">
            <v>KAPW-IB-190015-30-06-2022</v>
          </cell>
          <cell r="H375" t="str">
            <v>EOU</v>
          </cell>
          <cell r="L375">
            <v>0</v>
          </cell>
          <cell r="N375" t="str">
            <v>Textile Dyes</v>
          </cell>
        </row>
        <row r="376">
          <cell r="C376" t="str">
            <v>KAPE-IB-2006-04-07-2022</v>
          </cell>
          <cell r="H376" t="str">
            <v>EOU</v>
          </cell>
          <cell r="L376">
            <v>0</v>
          </cell>
          <cell r="N376" t="str">
            <v>Cotton Yarn</v>
          </cell>
        </row>
        <row r="377">
          <cell r="C377" t="str">
            <v>KAPE-IB-1995-04-07-2022</v>
          </cell>
          <cell r="H377" t="str">
            <v>EOU</v>
          </cell>
          <cell r="L377">
            <v>0</v>
          </cell>
          <cell r="N377" t="str">
            <v>Textile Chemical</v>
          </cell>
        </row>
        <row r="378">
          <cell r="C378" t="str">
            <v>KAPE-IB-3802-06-07-2022</v>
          </cell>
          <cell r="H378" t="str">
            <v>EOU</v>
          </cell>
          <cell r="L378">
            <v>0</v>
          </cell>
          <cell r="N378" t="str">
            <v>Textile Chemical</v>
          </cell>
        </row>
        <row r="379">
          <cell r="C379" t="str">
            <v>KAPE-IB-3878-06-07-2022</v>
          </cell>
          <cell r="H379" t="str">
            <v>EOU</v>
          </cell>
          <cell r="L379">
            <v>0</v>
          </cell>
          <cell r="N379" t="str">
            <v>Textile Chemical</v>
          </cell>
        </row>
        <row r="380">
          <cell r="C380" t="str">
            <v>KAPE-IB-4498-07-07-2022</v>
          </cell>
          <cell r="H380" t="str">
            <v>EOU</v>
          </cell>
          <cell r="L380">
            <v>0</v>
          </cell>
          <cell r="N380" t="str">
            <v>Textile Chemical</v>
          </cell>
        </row>
        <row r="381">
          <cell r="C381" t="str">
            <v>KPAF-IB-1330-13-07-2022</v>
          </cell>
          <cell r="H381" t="str">
            <v>EOU</v>
          </cell>
          <cell r="L381">
            <v>0</v>
          </cell>
          <cell r="N381" t="str">
            <v>Textile Dyes</v>
          </cell>
        </row>
        <row r="382">
          <cell r="C382" t="str">
            <v>KAPE-IB-2011-04-07-2022</v>
          </cell>
          <cell r="H382" t="str">
            <v>EOU</v>
          </cell>
          <cell r="L382">
            <v>0</v>
          </cell>
          <cell r="N382" t="str">
            <v>Cotton Yarn</v>
          </cell>
        </row>
        <row r="383">
          <cell r="C383" t="str">
            <v>KAPW-IB-4709-14-07-2022</v>
          </cell>
          <cell r="H383" t="str">
            <v>EOU</v>
          </cell>
          <cell r="L383">
            <v>0</v>
          </cell>
          <cell r="N383" t="str">
            <v>Polyester Yarn</v>
          </cell>
        </row>
        <row r="384">
          <cell r="C384" t="str">
            <v>KAPE-IB-6713-15-07-2022</v>
          </cell>
          <cell r="H384" t="str">
            <v>EOU</v>
          </cell>
          <cell r="L384">
            <v>0</v>
          </cell>
          <cell r="N384" t="str">
            <v>Blended Fabric</v>
          </cell>
        </row>
        <row r="385">
          <cell r="C385" t="str">
            <v>KAPE-IB-8569-19-07-2022</v>
          </cell>
          <cell r="H385" t="str">
            <v>EOU</v>
          </cell>
          <cell r="L385">
            <v>0</v>
          </cell>
          <cell r="N385" t="str">
            <v>Cotton Yarn</v>
          </cell>
        </row>
        <row r="386">
          <cell r="C386" t="str">
            <v>KPFI-IB-1486-15-07-2022</v>
          </cell>
          <cell r="H386" t="str">
            <v>EOU</v>
          </cell>
          <cell r="L386">
            <v>0</v>
          </cell>
          <cell r="N386" t="str">
            <v>Packing Material</v>
          </cell>
        </row>
        <row r="387">
          <cell r="C387" t="str">
            <v>KPFI-IB-1486-15-07-2022</v>
          </cell>
          <cell r="H387" t="str">
            <v>EOU</v>
          </cell>
          <cell r="L387">
            <v>0</v>
          </cell>
          <cell r="N387" t="str">
            <v>Sewing Thread</v>
          </cell>
        </row>
        <row r="388">
          <cell r="C388" t="str">
            <v>KPFI-IB-1754-18-07-2022</v>
          </cell>
          <cell r="H388" t="str">
            <v>EOU</v>
          </cell>
          <cell r="L388">
            <v>0</v>
          </cell>
          <cell r="N388" t="str">
            <v>Cotton Fabric</v>
          </cell>
        </row>
        <row r="389">
          <cell r="C389" t="str">
            <v>KPFI-IB-1749-18-07-2022</v>
          </cell>
          <cell r="H389" t="str">
            <v>EOU</v>
          </cell>
          <cell r="L389">
            <v>0</v>
          </cell>
          <cell r="N389" t="str">
            <v>Cotton Fabric</v>
          </cell>
        </row>
        <row r="390">
          <cell r="C390" t="str">
            <v>KAPE-IB-9650-20-07-2022</v>
          </cell>
          <cell r="H390" t="str">
            <v>EOU</v>
          </cell>
          <cell r="L390">
            <v>0</v>
          </cell>
          <cell r="N390" t="str">
            <v>Textile Dyes</v>
          </cell>
        </row>
        <row r="391">
          <cell r="C391" t="str">
            <v>KAPW-IB-8287-20-07-2022</v>
          </cell>
          <cell r="H391" t="str">
            <v>EOU</v>
          </cell>
          <cell r="L391">
            <v>0</v>
          </cell>
          <cell r="N391" t="str">
            <v>Packing Material</v>
          </cell>
        </row>
        <row r="392">
          <cell r="C392" t="str">
            <v>KAPE-IB-12583-26-07-2022</v>
          </cell>
          <cell r="H392" t="str">
            <v>EOU</v>
          </cell>
          <cell r="L392">
            <v>0</v>
          </cell>
          <cell r="N392" t="str">
            <v>Textile Dyes</v>
          </cell>
        </row>
        <row r="393">
          <cell r="C393" t="str">
            <v>KAPE-IB-10867-21-07-2022</v>
          </cell>
          <cell r="H393" t="str">
            <v>EOU</v>
          </cell>
          <cell r="L393">
            <v>0</v>
          </cell>
          <cell r="N393" t="str">
            <v>Blended Yarn</v>
          </cell>
        </row>
        <row r="394">
          <cell r="C394" t="str">
            <v>KAPE-IB-12604-26-07-2022</v>
          </cell>
          <cell r="H394" t="str">
            <v>EOU</v>
          </cell>
          <cell r="L394">
            <v>0</v>
          </cell>
          <cell r="N394" t="str">
            <v>Textile Chemical</v>
          </cell>
        </row>
        <row r="395">
          <cell r="C395" t="str">
            <v>KAPE-IB-15088-29-07-2022</v>
          </cell>
          <cell r="H395" t="str">
            <v>EOU</v>
          </cell>
          <cell r="L395">
            <v>0</v>
          </cell>
          <cell r="N395" t="str">
            <v>Textile Chemical</v>
          </cell>
        </row>
        <row r="396">
          <cell r="C396" t="str">
            <v>KAPE-IB-17173-02-08-2022</v>
          </cell>
          <cell r="H396" t="str">
            <v>EOU</v>
          </cell>
          <cell r="L396">
            <v>0</v>
          </cell>
          <cell r="N396" t="str">
            <v>Polyester Fabric</v>
          </cell>
        </row>
        <row r="397">
          <cell r="C397" t="str">
            <v>KAPE-IB-17136-02-08-2022</v>
          </cell>
          <cell r="H397" t="str">
            <v>EOU</v>
          </cell>
          <cell r="L397">
            <v>0</v>
          </cell>
          <cell r="N397" t="str">
            <v>Polyester Fabric</v>
          </cell>
        </row>
        <row r="398">
          <cell r="C398" t="str">
            <v>KAPW-IB-10863-26-07-2022</v>
          </cell>
          <cell r="H398" t="str">
            <v>EOU</v>
          </cell>
          <cell r="L398">
            <v>0</v>
          </cell>
          <cell r="N398" t="str">
            <v>Woven / Nylon Fabric</v>
          </cell>
        </row>
        <row r="399">
          <cell r="C399" t="str">
            <v>KAPW-IB-14373-02-08-2022</v>
          </cell>
          <cell r="H399" t="str">
            <v>EOU</v>
          </cell>
          <cell r="L399">
            <v>0</v>
          </cell>
          <cell r="N399" t="str">
            <v>Textile Chemical</v>
          </cell>
        </row>
        <row r="400">
          <cell r="C400" t="str">
            <v>KAPW-IB-14182-02-08-2022</v>
          </cell>
          <cell r="H400" t="str">
            <v>EOU</v>
          </cell>
          <cell r="L400">
            <v>0</v>
          </cell>
          <cell r="N400" t="str">
            <v>Textile Chemical</v>
          </cell>
        </row>
        <row r="401">
          <cell r="C401" t="str">
            <v>KAPE-IB-18161-03-08-2022</v>
          </cell>
          <cell r="H401" t="str">
            <v>EOU</v>
          </cell>
          <cell r="L401">
            <v>0</v>
          </cell>
          <cell r="N401" t="str">
            <v>Textile Chemical</v>
          </cell>
        </row>
        <row r="402">
          <cell r="C402" t="str">
            <v>KAPW-IB-14172-02-08-2022</v>
          </cell>
          <cell r="H402" t="str">
            <v>EOU</v>
          </cell>
          <cell r="L402">
            <v>0</v>
          </cell>
          <cell r="N402" t="str">
            <v>Textile Chemical</v>
          </cell>
        </row>
        <row r="403">
          <cell r="C403" t="str">
            <v>KAPE-IB-20059-06-08-2022</v>
          </cell>
          <cell r="H403" t="str">
            <v>EOU</v>
          </cell>
          <cell r="L403">
            <v>0</v>
          </cell>
          <cell r="N403" t="str">
            <v>Polyester Fabric</v>
          </cell>
        </row>
        <row r="404">
          <cell r="C404" t="str">
            <v>KAPE-IB-20052-06-08-2022</v>
          </cell>
          <cell r="H404" t="str">
            <v>EOU</v>
          </cell>
          <cell r="L404">
            <v>0</v>
          </cell>
          <cell r="N404" t="str">
            <v>Polyester Fabric</v>
          </cell>
        </row>
        <row r="405">
          <cell r="C405" t="str">
            <v>KAPW-IB-17639-11-08-2022</v>
          </cell>
          <cell r="H405" t="str">
            <v>EOU</v>
          </cell>
          <cell r="L405">
            <v>0</v>
          </cell>
          <cell r="N405" t="str">
            <v>Textile Chemical</v>
          </cell>
        </row>
        <row r="406">
          <cell r="C406" t="str">
            <v>KAPE-IB-20806-10-08-2022</v>
          </cell>
          <cell r="H406" t="str">
            <v>EOU</v>
          </cell>
          <cell r="L406">
            <v>0</v>
          </cell>
          <cell r="N406" t="str">
            <v>Textile Chemical</v>
          </cell>
        </row>
        <row r="407">
          <cell r="C407" t="str">
            <v>KAPE-IB-22786-12-08-2022</v>
          </cell>
          <cell r="H407" t="str">
            <v>EOU</v>
          </cell>
          <cell r="L407">
            <v>0</v>
          </cell>
          <cell r="N407" t="str">
            <v>Sewing Thread</v>
          </cell>
        </row>
        <row r="408">
          <cell r="C408" t="str">
            <v>KAPE-IB-20079-06-08-2022</v>
          </cell>
          <cell r="H408" t="str">
            <v>EOU</v>
          </cell>
          <cell r="L408">
            <v>0</v>
          </cell>
          <cell r="N408" t="str">
            <v>Packing Material</v>
          </cell>
        </row>
        <row r="409">
          <cell r="C409" t="str">
            <v>KAPE-IB-24256-16-08-2022</v>
          </cell>
          <cell r="H409" t="str">
            <v>EOU</v>
          </cell>
          <cell r="L409">
            <v>0</v>
          </cell>
          <cell r="N409" t="str">
            <v>Textile Chemical</v>
          </cell>
        </row>
        <row r="410">
          <cell r="C410" t="str">
            <v>KAPW-IB-25951-25-08-2022</v>
          </cell>
          <cell r="H410" t="str">
            <v>EOU</v>
          </cell>
          <cell r="L410">
            <v>0</v>
          </cell>
          <cell r="N410" t="str">
            <v>Textile Dyes</v>
          </cell>
        </row>
        <row r="411">
          <cell r="C411" t="str">
            <v>KAPW-IB-24417-23-08-2022</v>
          </cell>
          <cell r="H411" t="str">
            <v>EOU</v>
          </cell>
          <cell r="L411">
            <v>0</v>
          </cell>
          <cell r="N411" t="str">
            <v>Textile Dyes</v>
          </cell>
        </row>
        <row r="412">
          <cell r="C412" t="str">
            <v>KAPW-IB-27141-27-08-2022</v>
          </cell>
          <cell r="H412" t="str">
            <v>EOU</v>
          </cell>
          <cell r="L412">
            <v>0</v>
          </cell>
          <cell r="N412" t="str">
            <v>Polyester Yarn</v>
          </cell>
        </row>
        <row r="413">
          <cell r="C413" t="str">
            <v>KAPE-IB-35021-01-09-2022</v>
          </cell>
          <cell r="H413" t="str">
            <v>EOU</v>
          </cell>
          <cell r="L413">
            <v>0</v>
          </cell>
          <cell r="N413" t="str">
            <v>Textile Dyes</v>
          </cell>
        </row>
        <row r="414">
          <cell r="C414" t="str">
            <v>KAPE-IB-40552-12-09-2022</v>
          </cell>
          <cell r="H414" t="str">
            <v>EOU</v>
          </cell>
          <cell r="L414">
            <v>0</v>
          </cell>
          <cell r="N414" t="str">
            <v>Textile Dyes</v>
          </cell>
        </row>
        <row r="415">
          <cell r="C415" t="str">
            <v>KAPW-IB-34999-14-09-2022</v>
          </cell>
          <cell r="H415" t="str">
            <v>EOU</v>
          </cell>
          <cell r="L415">
            <v>0</v>
          </cell>
          <cell r="N415" t="str">
            <v>Textile Dyes</v>
          </cell>
        </row>
        <row r="416">
          <cell r="C416" t="str">
            <v>KAPE-IB-44112-19-09-2022</v>
          </cell>
          <cell r="H416" t="str">
            <v>EOU</v>
          </cell>
          <cell r="L416">
            <v>0</v>
          </cell>
          <cell r="N416" t="str">
            <v>Textile Dyes</v>
          </cell>
        </row>
        <row r="417">
          <cell r="C417" t="str">
            <v>KAPW-IB-36748-19-09-2022</v>
          </cell>
          <cell r="H417" t="str">
            <v>EOU</v>
          </cell>
          <cell r="L417">
            <v>0</v>
          </cell>
          <cell r="N417" t="str">
            <v>Textile Chemical</v>
          </cell>
        </row>
        <row r="418">
          <cell r="C418" t="str">
            <v>KAPE-IB-45663-21-09-2022</v>
          </cell>
          <cell r="H418" t="str">
            <v>EOU</v>
          </cell>
          <cell r="L418">
            <v>0</v>
          </cell>
          <cell r="N418" t="str">
            <v>Packing Material</v>
          </cell>
        </row>
        <row r="419">
          <cell r="C419" t="str">
            <v>KAPW-IB-36765-19-09-2022</v>
          </cell>
          <cell r="H419" t="str">
            <v>EOU</v>
          </cell>
          <cell r="L419">
            <v>0</v>
          </cell>
          <cell r="N419" t="str">
            <v>Textile Chemical</v>
          </cell>
        </row>
        <row r="420">
          <cell r="C420" t="str">
            <v>KAPW-IB-40776-28-09-2022</v>
          </cell>
          <cell r="H420" t="str">
            <v>EOU</v>
          </cell>
          <cell r="L420">
            <v>0</v>
          </cell>
          <cell r="N420" t="str">
            <v>Polyester Yarn</v>
          </cell>
        </row>
        <row r="421">
          <cell r="C421" t="str">
            <v>KAPE-IB-44820-20-09-2022</v>
          </cell>
          <cell r="H421" t="str">
            <v>EOU</v>
          </cell>
          <cell r="L421">
            <v>0</v>
          </cell>
          <cell r="N421" t="str">
            <v>Textile Chemical</v>
          </cell>
        </row>
        <row r="422">
          <cell r="C422" t="str">
            <v>KAPW-IB-40583-27-09-2022</v>
          </cell>
          <cell r="H422" t="str">
            <v>EOU</v>
          </cell>
          <cell r="L422">
            <v>0</v>
          </cell>
          <cell r="N422" t="str">
            <v>Textile Dyes</v>
          </cell>
        </row>
        <row r="423">
          <cell r="C423" t="str">
            <v>KAPW-IB-40528-27-09-2022</v>
          </cell>
          <cell r="H423" t="str">
            <v>EOU</v>
          </cell>
          <cell r="L423">
            <v>0</v>
          </cell>
          <cell r="N423" t="str">
            <v>Textile Chemical</v>
          </cell>
        </row>
        <row r="424">
          <cell r="C424" t="str">
            <v>KAPW-IB-40843-28-09-2022</v>
          </cell>
          <cell r="H424" t="str">
            <v>EOU</v>
          </cell>
          <cell r="L424">
            <v>0</v>
          </cell>
          <cell r="N424" t="str">
            <v>Textile Dyes</v>
          </cell>
        </row>
        <row r="425">
          <cell r="C425" t="str">
            <v>KAPE-IB-52786-05-10-2022</v>
          </cell>
          <cell r="H425" t="str">
            <v>EOU</v>
          </cell>
          <cell r="L425">
            <v>0</v>
          </cell>
          <cell r="N425" t="str">
            <v>Textile Chemical</v>
          </cell>
        </row>
        <row r="426">
          <cell r="C426" t="str">
            <v>KAPE-IB-54863-10-10-2022</v>
          </cell>
          <cell r="H426" t="str">
            <v>EOU</v>
          </cell>
          <cell r="L426">
            <v>0</v>
          </cell>
          <cell r="N426" t="str">
            <v>Polyester Yarn</v>
          </cell>
        </row>
        <row r="427">
          <cell r="C427" t="str">
            <v>KAPE-IB-56267-12-10-2022</v>
          </cell>
          <cell r="H427" t="str">
            <v>EOU</v>
          </cell>
          <cell r="L427">
            <v>0</v>
          </cell>
          <cell r="N427" t="str">
            <v>Polyester Yarn</v>
          </cell>
        </row>
        <row r="428">
          <cell r="C428" t="str">
            <v>KAPE-IB-55926-11-10-2022</v>
          </cell>
          <cell r="H428" t="str">
            <v>EOU</v>
          </cell>
          <cell r="L428">
            <v>0</v>
          </cell>
          <cell r="N428" t="str">
            <v>Textile Chemical</v>
          </cell>
        </row>
        <row r="429">
          <cell r="C429" t="str">
            <v>KAPE-IB-58949-17-10-2022</v>
          </cell>
          <cell r="H429" t="str">
            <v>EOU</v>
          </cell>
          <cell r="L429">
            <v>0</v>
          </cell>
          <cell r="N429" t="str">
            <v>Textile Chemical</v>
          </cell>
        </row>
        <row r="430">
          <cell r="C430" t="str">
            <v>KAPE-IB-58962-17-10-2022</v>
          </cell>
          <cell r="H430" t="str">
            <v>EOU</v>
          </cell>
          <cell r="L430">
            <v>0</v>
          </cell>
          <cell r="N430" t="str">
            <v>Polyester Yarn</v>
          </cell>
        </row>
        <row r="431">
          <cell r="C431" t="str">
            <v>KAPE-IB-53385-06-10-2022</v>
          </cell>
          <cell r="H431" t="str">
            <v>EOU</v>
          </cell>
          <cell r="L431">
            <v>0</v>
          </cell>
          <cell r="N431" t="str">
            <v>Textile Dyes</v>
          </cell>
        </row>
        <row r="432">
          <cell r="C432" t="str">
            <v>KPPI-IB-20546-17-10-2022</v>
          </cell>
          <cell r="H432" t="str">
            <v>EOU</v>
          </cell>
          <cell r="L432">
            <v>0</v>
          </cell>
          <cell r="N432" t="str">
            <v>Raw Cotton</v>
          </cell>
        </row>
        <row r="433">
          <cell r="C433" t="str">
            <v>KPPI-IB-20535-17-10-2022</v>
          </cell>
          <cell r="H433" t="str">
            <v>EOU</v>
          </cell>
          <cell r="L433">
            <v>0</v>
          </cell>
          <cell r="N433" t="str">
            <v>Raw Cotton</v>
          </cell>
        </row>
        <row r="434">
          <cell r="C434" t="str">
            <v>KAPE-IB-63343-24-10-2022</v>
          </cell>
          <cell r="H434" t="str">
            <v>EOU</v>
          </cell>
          <cell r="L434">
            <v>0</v>
          </cell>
          <cell r="N434" t="str">
            <v>Textile Chemical</v>
          </cell>
        </row>
        <row r="435">
          <cell r="C435" t="str">
            <v>KAPE-IB-65524-27-10-2022</v>
          </cell>
          <cell r="H435" t="str">
            <v>EOU</v>
          </cell>
          <cell r="L435">
            <v>0</v>
          </cell>
          <cell r="N435" t="str">
            <v>Cotton Yarn</v>
          </cell>
        </row>
        <row r="436">
          <cell r="C436" t="str">
            <v>KAPW-IB-53419-26-10-2022</v>
          </cell>
          <cell r="H436" t="str">
            <v>EOU</v>
          </cell>
          <cell r="L436">
            <v>0</v>
          </cell>
          <cell r="N436" t="str">
            <v>Textile Dyes</v>
          </cell>
        </row>
        <row r="437">
          <cell r="C437" t="str">
            <v>KAPE-IB-65375-27-10-2022</v>
          </cell>
          <cell r="H437" t="str">
            <v>EOU</v>
          </cell>
          <cell r="L437">
            <v>0</v>
          </cell>
          <cell r="N437" t="str">
            <v>Polyester Fabric</v>
          </cell>
        </row>
        <row r="438">
          <cell r="C438" t="str">
            <v>KAPE-IB-65330-27-10-2022</v>
          </cell>
          <cell r="H438" t="str">
            <v>EOU</v>
          </cell>
          <cell r="L438">
            <v>0</v>
          </cell>
          <cell r="N438" t="str">
            <v>Polyester Fabric</v>
          </cell>
        </row>
        <row r="439">
          <cell r="C439" t="str">
            <v>KAPW-IB-54840-28-10-2022</v>
          </cell>
          <cell r="H439" t="str">
            <v>EOU</v>
          </cell>
          <cell r="L439">
            <v>0</v>
          </cell>
          <cell r="N439" t="str">
            <v>Textile Dyes</v>
          </cell>
        </row>
        <row r="440">
          <cell r="C440" t="str">
            <v>KAPE-IB-68152-02-11-2022</v>
          </cell>
          <cell r="H440" t="str">
            <v>EOU</v>
          </cell>
          <cell r="L440">
            <v>0</v>
          </cell>
          <cell r="N440" t="str">
            <v>Polyester Yarn</v>
          </cell>
        </row>
        <row r="441">
          <cell r="C441" t="str">
            <v>KAPE-IB-69395-04-11-2022</v>
          </cell>
          <cell r="H441" t="str">
            <v>EOU</v>
          </cell>
          <cell r="L441">
            <v>0</v>
          </cell>
          <cell r="N441" t="str">
            <v>Polyester Yarn</v>
          </cell>
        </row>
        <row r="442">
          <cell r="C442" t="str">
            <v>KAPE-IB-70589-07-11-2022</v>
          </cell>
          <cell r="H442" t="str">
            <v>EOU</v>
          </cell>
          <cell r="L442">
            <v>0</v>
          </cell>
          <cell r="N442" t="str">
            <v>Textile Dyes</v>
          </cell>
        </row>
        <row r="443">
          <cell r="C443" t="str">
            <v>KAPE-IB-70582-07-11-2022</v>
          </cell>
          <cell r="H443" t="str">
            <v>EOU</v>
          </cell>
          <cell r="L443">
            <v>0</v>
          </cell>
          <cell r="N443" t="str">
            <v>Polyester Yarn</v>
          </cell>
        </row>
        <row r="444">
          <cell r="C444" t="str">
            <v>KAPE-IB-68147-02-11-2022</v>
          </cell>
          <cell r="H444" t="str">
            <v>EOU</v>
          </cell>
          <cell r="L444">
            <v>0</v>
          </cell>
          <cell r="N444" t="str">
            <v>Polyester Yarn</v>
          </cell>
        </row>
        <row r="445">
          <cell r="C445" t="str">
            <v>KAPE-IB-69401-04-11-2022</v>
          </cell>
          <cell r="H445" t="str">
            <v>EOU</v>
          </cell>
          <cell r="L445">
            <v>0</v>
          </cell>
          <cell r="N445" t="str">
            <v>Polyester Yarn</v>
          </cell>
        </row>
        <row r="446">
          <cell r="C446" t="str">
            <v>KAPW-IB-57245-04-11-2022</v>
          </cell>
          <cell r="H446" t="str">
            <v>EOU</v>
          </cell>
          <cell r="L446">
            <v>0</v>
          </cell>
          <cell r="N446" t="str">
            <v>Packing Material</v>
          </cell>
        </row>
        <row r="447">
          <cell r="C447" t="str">
            <v>KAPE-IB-71811-10-11-2022</v>
          </cell>
          <cell r="H447" t="str">
            <v>EOU</v>
          </cell>
          <cell r="L447">
            <v>0</v>
          </cell>
          <cell r="N447" t="str">
            <v>Polyester Staple Fiber</v>
          </cell>
        </row>
        <row r="448">
          <cell r="C448" t="str">
            <v>KPPI-IB-24375-07-11-2022</v>
          </cell>
          <cell r="H448" t="str">
            <v>EOU</v>
          </cell>
          <cell r="L448">
            <v>0</v>
          </cell>
          <cell r="N448" t="str">
            <v>Raw Cotton</v>
          </cell>
        </row>
        <row r="449">
          <cell r="C449" t="str">
            <v>KPAF-IB-19849-14-11-2022</v>
          </cell>
          <cell r="H449" t="str">
            <v>EOU</v>
          </cell>
          <cell r="L449">
            <v>0</v>
          </cell>
          <cell r="N449" t="str">
            <v>Elastolefin Yarn</v>
          </cell>
        </row>
        <row r="450">
          <cell r="C450" t="str">
            <v>KAPE-IB-73625-14-11-2022</v>
          </cell>
          <cell r="H450" t="str">
            <v>EOU</v>
          </cell>
          <cell r="L450">
            <v>0</v>
          </cell>
          <cell r="N450" t="str">
            <v>Raw Cotton</v>
          </cell>
        </row>
        <row r="451">
          <cell r="C451" t="str">
            <v>KPPI-IB-25585-14-11-2022</v>
          </cell>
          <cell r="H451" t="str">
            <v>EOU</v>
          </cell>
          <cell r="L451">
            <v>0</v>
          </cell>
          <cell r="N451" t="str">
            <v>Raw Cotton</v>
          </cell>
        </row>
        <row r="452">
          <cell r="C452" t="str">
            <v>KAPW-IB-65578-22-11-2022</v>
          </cell>
          <cell r="H452" t="str">
            <v>EOU</v>
          </cell>
          <cell r="L452">
            <v>0</v>
          </cell>
          <cell r="N452" t="str">
            <v>Textile Chemical</v>
          </cell>
        </row>
        <row r="453">
          <cell r="C453" t="str">
            <v>KPPI-IB-27083-21-11-2022</v>
          </cell>
          <cell r="H453" t="str">
            <v>EOU</v>
          </cell>
          <cell r="L453">
            <v>0</v>
          </cell>
          <cell r="N453" t="str">
            <v>Raw Cotton</v>
          </cell>
        </row>
        <row r="454">
          <cell r="C454" t="str">
            <v>KPPI-IB-27637-23-11-2022</v>
          </cell>
          <cell r="H454" t="str">
            <v>EOU</v>
          </cell>
          <cell r="L454">
            <v>0</v>
          </cell>
          <cell r="N454" t="str">
            <v>Raw Cotton</v>
          </cell>
        </row>
        <row r="455">
          <cell r="C455" t="str">
            <v>KAPW-IB-67755-26-11-2022</v>
          </cell>
          <cell r="H455" t="str">
            <v>EOU</v>
          </cell>
          <cell r="L455">
            <v>0</v>
          </cell>
          <cell r="N455" t="str">
            <v>Polyester Staple Fiber</v>
          </cell>
        </row>
        <row r="456">
          <cell r="C456" t="str">
            <v>KAPW-IB-67708-26-11-2022</v>
          </cell>
          <cell r="H456" t="str">
            <v>EOU</v>
          </cell>
          <cell r="L456">
            <v>0</v>
          </cell>
          <cell r="N456" t="str">
            <v>Blended Fabric</v>
          </cell>
        </row>
        <row r="457">
          <cell r="C457" t="str">
            <v>KAPW-IB-73558-08-12-2022</v>
          </cell>
          <cell r="H457" t="str">
            <v>EOU</v>
          </cell>
          <cell r="L457">
            <v>0</v>
          </cell>
          <cell r="N457" t="str">
            <v>Cotton Fabric</v>
          </cell>
        </row>
        <row r="458">
          <cell r="C458" t="str">
            <v>KAPE-IB-82182-28-11-2022</v>
          </cell>
          <cell r="H458" t="str">
            <v>EOU</v>
          </cell>
          <cell r="L458">
            <v>0</v>
          </cell>
          <cell r="N458" t="str">
            <v>Polyester Fabric</v>
          </cell>
        </row>
        <row r="459">
          <cell r="C459" t="str">
            <v>KAPE-IB-81883-28-11-2022</v>
          </cell>
          <cell r="H459" t="str">
            <v>EOU</v>
          </cell>
          <cell r="L459">
            <v>0</v>
          </cell>
          <cell r="N459" t="str">
            <v>Polyester Staple Fiber</v>
          </cell>
        </row>
        <row r="460">
          <cell r="C460" t="str">
            <v>KPAF-IB-22405-30-11-2022</v>
          </cell>
          <cell r="H460" t="str">
            <v>EOU</v>
          </cell>
          <cell r="L460">
            <v>0</v>
          </cell>
          <cell r="N460" t="str">
            <v>Textile Dyes</v>
          </cell>
        </row>
        <row r="461">
          <cell r="C461" t="str">
            <v>KAPW-IB-75086-12-12-2022</v>
          </cell>
          <cell r="H461" t="str">
            <v>EOU</v>
          </cell>
          <cell r="L461">
            <v>0</v>
          </cell>
          <cell r="N461" t="str">
            <v>Blended Yarn</v>
          </cell>
        </row>
        <row r="462">
          <cell r="C462" t="str">
            <v>KAPE-IB-93423-15-12-2022</v>
          </cell>
          <cell r="H462" t="str">
            <v>EOU</v>
          </cell>
          <cell r="L462">
            <v>0</v>
          </cell>
          <cell r="N462" t="str">
            <v>Textile Chemical</v>
          </cell>
        </row>
        <row r="463">
          <cell r="C463" t="str">
            <v>KAPE-IB-90728-12-12-2022</v>
          </cell>
          <cell r="H463" t="str">
            <v>EOU</v>
          </cell>
          <cell r="L463">
            <v>0</v>
          </cell>
          <cell r="N463" t="str">
            <v>Raw Cotton</v>
          </cell>
        </row>
        <row r="464">
          <cell r="C464" t="str">
            <v>KAPE-IB-90928-12-12-2022</v>
          </cell>
          <cell r="H464" t="str">
            <v>EOU</v>
          </cell>
          <cell r="L464">
            <v>0</v>
          </cell>
          <cell r="N464" t="str">
            <v>Blended Fabric</v>
          </cell>
        </row>
        <row r="465">
          <cell r="C465" t="str">
            <v>KAPW-IB-78434-19-12-2022</v>
          </cell>
          <cell r="H465" t="str">
            <v>EOU</v>
          </cell>
          <cell r="L465">
            <v>0</v>
          </cell>
          <cell r="N465" t="str">
            <v>Textile Chemical</v>
          </cell>
        </row>
        <row r="466">
          <cell r="C466" t="str">
            <v>KAPW-IB-79770-21-12-2022</v>
          </cell>
          <cell r="H466" t="str">
            <v>EOU</v>
          </cell>
          <cell r="L466">
            <v>0</v>
          </cell>
          <cell r="N466" t="str">
            <v>Polyester Fabric</v>
          </cell>
        </row>
        <row r="467">
          <cell r="C467" t="str">
            <v>KAPE-IB-103699-03-01-2023</v>
          </cell>
          <cell r="H467" t="str">
            <v>EOU</v>
          </cell>
          <cell r="L467">
            <v>0</v>
          </cell>
          <cell r="N467" t="str">
            <v>Textile Chemical</v>
          </cell>
        </row>
        <row r="468">
          <cell r="C468" t="str">
            <v>KAPE-IB-108364-11-01-2023</v>
          </cell>
          <cell r="H468" t="str">
            <v>EOU</v>
          </cell>
          <cell r="L468">
            <v>0</v>
          </cell>
          <cell r="N468" t="str">
            <v>Polyester Yarn</v>
          </cell>
        </row>
        <row r="469">
          <cell r="C469" t="str">
            <v>PQIB-IB-9547-06-12-2022</v>
          </cell>
          <cell r="H469" t="str">
            <v>EOU</v>
          </cell>
          <cell r="L469">
            <v>0</v>
          </cell>
          <cell r="N469" t="str">
            <v>Textile Coal</v>
          </cell>
        </row>
        <row r="470">
          <cell r="C470" t="str">
            <v>KAPE-IB-107391-09-01-2023</v>
          </cell>
          <cell r="H470" t="str">
            <v>EOU</v>
          </cell>
          <cell r="L470">
            <v>0</v>
          </cell>
          <cell r="N470" t="str">
            <v>Raw Cotton</v>
          </cell>
        </row>
        <row r="471">
          <cell r="C471" t="str">
            <v>KPAF-IB-29515-16-01-2023</v>
          </cell>
          <cell r="H471" t="str">
            <v>EOU</v>
          </cell>
          <cell r="L471">
            <v>0</v>
          </cell>
          <cell r="N471" t="str">
            <v>Cotton Fabric</v>
          </cell>
        </row>
        <row r="472">
          <cell r="C472" t="str">
            <v>KAPE-IB-113131-20-01-2023</v>
          </cell>
          <cell r="H472" t="str">
            <v>EOU</v>
          </cell>
          <cell r="L472">
            <v>0</v>
          </cell>
          <cell r="N472" t="str">
            <v>Polyester Fabric</v>
          </cell>
        </row>
        <row r="473">
          <cell r="C473" t="str">
            <v>KAPW-IB-90120-16-01-2023</v>
          </cell>
          <cell r="H473" t="str">
            <v>EOU</v>
          </cell>
          <cell r="L473">
            <v>0</v>
          </cell>
          <cell r="N473" t="str">
            <v>Textile Dyes</v>
          </cell>
        </row>
        <row r="474">
          <cell r="C474" t="str">
            <v>KPAF-IB-30221-20-01-2023</v>
          </cell>
          <cell r="H474" t="str">
            <v>EOU</v>
          </cell>
          <cell r="L474">
            <v>0</v>
          </cell>
          <cell r="N474" t="str">
            <v>Cotton Fabric</v>
          </cell>
        </row>
        <row r="475">
          <cell r="C475" t="str">
            <v>KAPE-IB-113930-21-01-2023</v>
          </cell>
          <cell r="H475" t="str">
            <v>EOU</v>
          </cell>
          <cell r="L475">
            <v>0</v>
          </cell>
          <cell r="N475" t="str">
            <v>Polyester Yarn</v>
          </cell>
        </row>
        <row r="476">
          <cell r="C476" t="str">
            <v>KPPI-IB-38567-19-01-2023</v>
          </cell>
          <cell r="H476" t="str">
            <v>EOU</v>
          </cell>
          <cell r="L476">
            <v>0</v>
          </cell>
          <cell r="N476" t="str">
            <v>Textile Chemical</v>
          </cell>
        </row>
        <row r="477">
          <cell r="C477" t="str">
            <v>KAPW-IB-93598-24-01-2023</v>
          </cell>
          <cell r="H477" t="str">
            <v>EOU</v>
          </cell>
          <cell r="L477">
            <v>0</v>
          </cell>
          <cell r="N477" t="str">
            <v>Raw Cotton</v>
          </cell>
        </row>
        <row r="478">
          <cell r="C478" t="str">
            <v>KAPE-IB-116635-26-01-2023</v>
          </cell>
          <cell r="H478" t="str">
            <v>EOU</v>
          </cell>
          <cell r="L478">
            <v>0</v>
          </cell>
          <cell r="N478" t="str">
            <v>Raw Cotton</v>
          </cell>
        </row>
        <row r="479">
          <cell r="C479" t="str">
            <v>KAPE-IB-116620-26-01-2023</v>
          </cell>
          <cell r="H479" t="str">
            <v>EOU</v>
          </cell>
          <cell r="L479">
            <v>0</v>
          </cell>
          <cell r="N479" t="str">
            <v>Raw Cotton</v>
          </cell>
        </row>
        <row r="480">
          <cell r="C480" t="str">
            <v>KAPE-IB-120077-30-01-2023</v>
          </cell>
          <cell r="H480" t="str">
            <v>EOU</v>
          </cell>
          <cell r="L480">
            <v>0</v>
          </cell>
          <cell r="N480" t="str">
            <v>Polyester Yarn</v>
          </cell>
        </row>
        <row r="481">
          <cell r="C481" t="str">
            <v>KAPE-IB-120271-30-01-2023</v>
          </cell>
          <cell r="H481" t="str">
            <v>EOU</v>
          </cell>
          <cell r="L481">
            <v>0</v>
          </cell>
          <cell r="N481" t="str">
            <v>Raw Cotton</v>
          </cell>
        </row>
        <row r="482">
          <cell r="C482" t="str">
            <v>KPFI-IB-25327-02-02-2023</v>
          </cell>
          <cell r="H482" t="str">
            <v>EOU</v>
          </cell>
          <cell r="L482">
            <v>0</v>
          </cell>
          <cell r="N482" t="str">
            <v>Textile Dyes</v>
          </cell>
        </row>
        <row r="483">
          <cell r="C483" t="str">
            <v>KAPE-IB-124652-06-02-2023</v>
          </cell>
          <cell r="H483" t="str">
            <v>EOU</v>
          </cell>
          <cell r="L483">
            <v>0</v>
          </cell>
          <cell r="N483" t="str">
            <v>Polyester Yarn</v>
          </cell>
        </row>
        <row r="484">
          <cell r="C484" t="str">
            <v>KAPW-IB-100096-06-02-2023</v>
          </cell>
          <cell r="H484" t="str">
            <v>EOU</v>
          </cell>
          <cell r="L484">
            <v>0</v>
          </cell>
          <cell r="N484" t="str">
            <v>Polyester Filament Yarn</v>
          </cell>
        </row>
        <row r="485">
          <cell r="C485" t="str">
            <v>KAPW-IB-101716-08-02-2023</v>
          </cell>
          <cell r="H485" t="str">
            <v>EOU</v>
          </cell>
          <cell r="L485">
            <v>0</v>
          </cell>
          <cell r="N485" t="str">
            <v>Textile Chemical</v>
          </cell>
        </row>
        <row r="486">
          <cell r="C486" t="str">
            <v>KAPE-IB-127848-09-02-2023</v>
          </cell>
          <cell r="H486" t="str">
            <v>EOU</v>
          </cell>
          <cell r="L486">
            <v>0</v>
          </cell>
          <cell r="N486" t="str">
            <v>Raw Cotton</v>
          </cell>
        </row>
        <row r="487">
          <cell r="C487" t="str">
            <v>KAPW-IB-102354-09-02-2023</v>
          </cell>
          <cell r="H487" t="str">
            <v>EOU</v>
          </cell>
          <cell r="L487">
            <v>0</v>
          </cell>
          <cell r="N487" t="str">
            <v>Polyester Fabric</v>
          </cell>
        </row>
        <row r="488">
          <cell r="C488" t="str">
            <v>KAPE-IB-132648-21-02-2023</v>
          </cell>
          <cell r="H488" t="str">
            <v>EOU</v>
          </cell>
          <cell r="L488">
            <v>0</v>
          </cell>
          <cell r="N488" t="str">
            <v>Blended Fabric</v>
          </cell>
        </row>
        <row r="489">
          <cell r="C489" t="str">
            <v>KAPW-IB-108664-24-02-2023</v>
          </cell>
          <cell r="H489" t="str">
            <v>EOU</v>
          </cell>
          <cell r="L489">
            <v>0</v>
          </cell>
          <cell r="N489" t="str">
            <v>Textile Dyes</v>
          </cell>
        </row>
        <row r="490">
          <cell r="C490" t="str">
            <v>KAPW-IB-108660-24-02-2023</v>
          </cell>
          <cell r="H490" t="str">
            <v>EOU</v>
          </cell>
          <cell r="L490">
            <v>0</v>
          </cell>
          <cell r="N490" t="str">
            <v>Textile Dyes</v>
          </cell>
        </row>
        <row r="491">
          <cell r="C491" t="str">
            <v>KAPW-IB-108654-24-02-2023</v>
          </cell>
          <cell r="H491" t="str">
            <v>EOU</v>
          </cell>
          <cell r="L491">
            <v>0</v>
          </cell>
          <cell r="N491" t="str">
            <v>Textile Dyes</v>
          </cell>
        </row>
        <row r="492">
          <cell r="C492" t="str">
            <v>KAPE-IB-133908-27-02-2023</v>
          </cell>
          <cell r="H492" t="str">
            <v>EOU</v>
          </cell>
          <cell r="L492">
            <v>0</v>
          </cell>
          <cell r="N492" t="str">
            <v>Polyester Yarn</v>
          </cell>
        </row>
        <row r="493">
          <cell r="C493" t="str">
            <v>KAPE-IB-134719-02-03-2023</v>
          </cell>
          <cell r="H493" t="str">
            <v>EOU</v>
          </cell>
          <cell r="L493">
            <v>0</v>
          </cell>
          <cell r="N493" t="str">
            <v>Textile Dyes</v>
          </cell>
        </row>
        <row r="494">
          <cell r="C494" t="str">
            <v>KAPW-IB-111548-03-03-2023</v>
          </cell>
          <cell r="H494" t="str">
            <v>EOU</v>
          </cell>
          <cell r="L494">
            <v>0</v>
          </cell>
          <cell r="N494" t="str">
            <v>Textile Dyes</v>
          </cell>
        </row>
        <row r="495">
          <cell r="C495" t="str">
            <v>KAPS-IB-4531-02-03-2023</v>
          </cell>
          <cell r="H495" t="str">
            <v>EOU</v>
          </cell>
          <cell r="L495">
            <v>0</v>
          </cell>
          <cell r="N495" t="str">
            <v>Polyester Fabric</v>
          </cell>
        </row>
        <row r="496">
          <cell r="C496" t="str">
            <v>KPAF-IB-34893-28-02-2023</v>
          </cell>
          <cell r="H496" t="str">
            <v>EOU</v>
          </cell>
          <cell r="L496">
            <v>0</v>
          </cell>
          <cell r="N496" t="str">
            <v>Blended Yarn</v>
          </cell>
        </row>
        <row r="497">
          <cell r="C497" t="str">
            <v>KAPS-IB-6074-08-03-2023</v>
          </cell>
          <cell r="H497" t="str">
            <v>EOU</v>
          </cell>
          <cell r="L497">
            <v>0</v>
          </cell>
          <cell r="N497" t="str">
            <v>Raw Cotton</v>
          </cell>
        </row>
        <row r="498">
          <cell r="C498" t="str">
            <v>KAPS-IB-5460-06-03-2023</v>
          </cell>
          <cell r="H498" t="str">
            <v>EOU</v>
          </cell>
          <cell r="L498">
            <v>0</v>
          </cell>
          <cell r="N498" t="str">
            <v>Polyester Staple Fiber</v>
          </cell>
        </row>
        <row r="499">
          <cell r="C499" t="str">
            <v>KAPS-IB-6595-10-03-2023</v>
          </cell>
          <cell r="H499" t="str">
            <v>EOU</v>
          </cell>
          <cell r="L499">
            <v>0</v>
          </cell>
          <cell r="N499" t="str">
            <v>Textile Chemical</v>
          </cell>
        </row>
        <row r="500">
          <cell r="C500" t="str">
            <v>KAPS-IB-9008-20-03-2023</v>
          </cell>
          <cell r="H500" t="str">
            <v>EOU</v>
          </cell>
          <cell r="L500">
            <v>0</v>
          </cell>
          <cell r="N500" t="str">
            <v>Textile Dyes</v>
          </cell>
        </row>
        <row r="501">
          <cell r="C501" t="str">
            <v>KAPE-IB-136853-15-03-2023</v>
          </cell>
          <cell r="H501" t="str">
            <v>EOU</v>
          </cell>
          <cell r="L501">
            <v>0</v>
          </cell>
          <cell r="N501" t="str">
            <v>Polyester Staple Fiber</v>
          </cell>
        </row>
        <row r="502">
          <cell r="C502" t="str">
            <v>KAPS-IB-3675-28-02-2023</v>
          </cell>
          <cell r="H502" t="str">
            <v>EOU</v>
          </cell>
          <cell r="L502">
            <v>0</v>
          </cell>
          <cell r="N502" t="str">
            <v>Textile Chemical</v>
          </cell>
        </row>
        <row r="503">
          <cell r="C503" t="str">
            <v>KPAF-IB-37027-15-03-2023</v>
          </cell>
          <cell r="H503" t="str">
            <v>EOU</v>
          </cell>
          <cell r="L503">
            <v>0</v>
          </cell>
          <cell r="N503" t="str">
            <v>Polyester Fabric</v>
          </cell>
        </row>
        <row r="504">
          <cell r="C504" t="str">
            <v>KPAF-IB-38071-22-03-2023</v>
          </cell>
          <cell r="H504" t="str">
            <v>EOU</v>
          </cell>
          <cell r="L504">
            <v>0</v>
          </cell>
          <cell r="N504" t="str">
            <v>Blended Fabric</v>
          </cell>
        </row>
        <row r="505">
          <cell r="C505" t="str">
            <v>KAPE-IB-138483-25-03-2023</v>
          </cell>
          <cell r="H505" t="str">
            <v>EOU</v>
          </cell>
          <cell r="L505">
            <v>0</v>
          </cell>
          <cell r="N505" t="str">
            <v>Textile Chemical</v>
          </cell>
        </row>
        <row r="506">
          <cell r="C506" t="str">
            <v>KAPE-IB-138782-27-03-2023</v>
          </cell>
          <cell r="H506" t="str">
            <v>EOU</v>
          </cell>
          <cell r="L506">
            <v>0</v>
          </cell>
          <cell r="N506" t="str">
            <v>Polyester Staple Fiber</v>
          </cell>
        </row>
        <row r="507">
          <cell r="C507" t="str">
            <v>KPPI-IB-50645-30-03-2023</v>
          </cell>
          <cell r="H507" t="str">
            <v>EOU</v>
          </cell>
          <cell r="L507">
            <v>0</v>
          </cell>
          <cell r="N507" t="str">
            <v>Textile Chemical</v>
          </cell>
        </row>
        <row r="508">
          <cell r="C508" t="str">
            <v>KAPS-IB-11803-03-04-2023</v>
          </cell>
          <cell r="H508" t="str">
            <v>EOU</v>
          </cell>
          <cell r="L508">
            <v>0</v>
          </cell>
          <cell r="N508" t="str">
            <v>Raw Cotton</v>
          </cell>
        </row>
        <row r="509">
          <cell r="C509" t="str">
            <v>KAPW-IB-119999-31-03-2023</v>
          </cell>
          <cell r="H509" t="str">
            <v>EOU</v>
          </cell>
          <cell r="L509">
            <v>0</v>
          </cell>
          <cell r="N509" t="str">
            <v>Blended Fabric</v>
          </cell>
        </row>
        <row r="510">
          <cell r="C510" t="str">
            <v>KAPW-IB-119882-31-03-2023</v>
          </cell>
          <cell r="H510" t="str">
            <v>EOU</v>
          </cell>
          <cell r="L510">
            <v>0</v>
          </cell>
          <cell r="N510" t="str">
            <v>Textile Dyes</v>
          </cell>
        </row>
        <row r="511">
          <cell r="C511" t="str">
            <v>KAPW-IB-120896-04-04-2023</v>
          </cell>
          <cell r="H511" t="str">
            <v>EOU</v>
          </cell>
          <cell r="L511">
            <v>0</v>
          </cell>
          <cell r="N511" t="str">
            <v>Textile Dyes</v>
          </cell>
        </row>
        <row r="512">
          <cell r="C512" t="str">
            <v>KAPS-IB-14376-12-04-2023</v>
          </cell>
          <cell r="H512" t="str">
            <v>EOU</v>
          </cell>
          <cell r="L512">
            <v>0</v>
          </cell>
          <cell r="N512" t="str">
            <v>Polyester Yarn</v>
          </cell>
        </row>
        <row r="513">
          <cell r="C513" t="str">
            <v>KAPS-IB-11991-03-04-2023</v>
          </cell>
          <cell r="H513" t="str">
            <v>EOU</v>
          </cell>
          <cell r="L513">
            <v>0</v>
          </cell>
          <cell r="N513" t="str">
            <v>Polyester Yarn</v>
          </cell>
        </row>
        <row r="514">
          <cell r="C514" t="str">
            <v>KAPW-IB-123024-10-04-2023</v>
          </cell>
          <cell r="H514" t="str">
            <v>EOU</v>
          </cell>
          <cell r="L514">
            <v>0</v>
          </cell>
          <cell r="N514" t="str">
            <v>Polyester Fabric</v>
          </cell>
        </row>
        <row r="515">
          <cell r="C515" t="str">
            <v>KAPW-IB-123040-10-04-2023</v>
          </cell>
          <cell r="H515" t="str">
            <v>EOU</v>
          </cell>
          <cell r="L515">
            <v>0</v>
          </cell>
          <cell r="N515" t="str">
            <v>Textile Dyes</v>
          </cell>
        </row>
        <row r="516">
          <cell r="C516" t="str">
            <v>KAPS-IB-15484-16-04-2023</v>
          </cell>
          <cell r="H516" t="str">
            <v>EOU</v>
          </cell>
          <cell r="L516">
            <v>0</v>
          </cell>
          <cell r="N516" t="str">
            <v>Raw Cotton</v>
          </cell>
        </row>
        <row r="517">
          <cell r="C517" t="str">
            <v>PQIB-IB-16708-28-03-2023</v>
          </cell>
          <cell r="H517" t="str">
            <v>EOU</v>
          </cell>
          <cell r="L517">
            <v>0</v>
          </cell>
          <cell r="N517" t="str">
            <v>Textile Coal</v>
          </cell>
        </row>
        <row r="518">
          <cell r="C518" t="str">
            <v>KAPE-IB-143556-26-04-2023</v>
          </cell>
          <cell r="H518" t="str">
            <v>EOU</v>
          </cell>
          <cell r="L518">
            <v>0</v>
          </cell>
          <cell r="N518" t="str">
            <v>Packing Material</v>
          </cell>
        </row>
        <row r="519">
          <cell r="C519" t="str">
            <v>KAPS-IB-17617-27-04-2023</v>
          </cell>
          <cell r="H519" t="str">
            <v>EOU</v>
          </cell>
          <cell r="L519">
            <v>0</v>
          </cell>
          <cell r="N519" t="str">
            <v>Polyester Yarn</v>
          </cell>
        </row>
        <row r="520">
          <cell r="C520" t="str">
            <v>KAPS-IB-17584-27-04-2023</v>
          </cell>
          <cell r="H520" t="str">
            <v>EOU</v>
          </cell>
          <cell r="L520">
            <v>0</v>
          </cell>
          <cell r="N520" t="str">
            <v>Textile Chemical</v>
          </cell>
        </row>
        <row r="521">
          <cell r="C521" t="str">
            <v>KAPW-IB-128480-28-04-2023</v>
          </cell>
          <cell r="H521" t="str">
            <v>EOU</v>
          </cell>
          <cell r="L521">
            <v>0</v>
          </cell>
          <cell r="N521" t="str">
            <v>Polyester Yarn</v>
          </cell>
        </row>
        <row r="522">
          <cell r="C522" t="str">
            <v>KPPI-IB-54759-27-04-2023</v>
          </cell>
          <cell r="H522" t="str">
            <v>EOU</v>
          </cell>
          <cell r="L522">
            <v>0</v>
          </cell>
          <cell r="N522" t="str">
            <v>Raw Cotton</v>
          </cell>
        </row>
        <row r="523">
          <cell r="C523" t="str">
            <v>KAPW-IB-130351-03-05-2023</v>
          </cell>
          <cell r="H523" t="str">
            <v>EOU</v>
          </cell>
          <cell r="L523">
            <v>0</v>
          </cell>
          <cell r="N523" t="str">
            <v>Textile Dyes</v>
          </cell>
        </row>
        <row r="524">
          <cell r="C524" t="str">
            <v>KAPW-IB-128979-28-04-2023</v>
          </cell>
          <cell r="H524" t="str">
            <v>EOU</v>
          </cell>
          <cell r="L524">
            <v>0</v>
          </cell>
          <cell r="N524" t="str">
            <v>Textile Dyes</v>
          </cell>
        </row>
        <row r="525">
          <cell r="C525" t="str">
            <v>KPFI-IB-34367-03-05-2023</v>
          </cell>
          <cell r="H525" t="str">
            <v>EOU</v>
          </cell>
          <cell r="L525">
            <v>0</v>
          </cell>
          <cell r="N525" t="str">
            <v>Blended Fabric</v>
          </cell>
        </row>
        <row r="526">
          <cell r="C526" t="str">
            <v>KAPW-IB-129446-02-05-2023</v>
          </cell>
          <cell r="H526" t="str">
            <v>EOU</v>
          </cell>
          <cell r="L526">
            <v>0</v>
          </cell>
          <cell r="N526" t="str">
            <v>Textile Dyes</v>
          </cell>
        </row>
        <row r="527">
          <cell r="C527" t="str">
            <v>KAPW-IB-132481-08-05-2023</v>
          </cell>
          <cell r="H527" t="str">
            <v>EOU</v>
          </cell>
          <cell r="L527">
            <v>0</v>
          </cell>
          <cell r="N527" t="str">
            <v>Textile Dyes</v>
          </cell>
        </row>
        <row r="528">
          <cell r="C528" t="str">
            <v>KAPE-IB-145570-05-05-2023</v>
          </cell>
          <cell r="H528" t="str">
            <v>EOU</v>
          </cell>
          <cell r="L528">
            <v>0</v>
          </cell>
          <cell r="N528" t="str">
            <v>Polyester Yarn</v>
          </cell>
        </row>
        <row r="529">
          <cell r="C529" t="str">
            <v>KAPW-IB-132473-08-05-2023</v>
          </cell>
          <cell r="H529" t="str">
            <v>EOU</v>
          </cell>
          <cell r="L529">
            <v>0</v>
          </cell>
          <cell r="N529" t="str">
            <v>Textile Dyes</v>
          </cell>
        </row>
        <row r="530">
          <cell r="C530" t="str">
            <v>KAPW-IB-131668-05-05-2023</v>
          </cell>
          <cell r="H530" t="str">
            <v>EOU</v>
          </cell>
          <cell r="L530">
            <v>0</v>
          </cell>
          <cell r="N530" t="str">
            <v>Textile Chemical</v>
          </cell>
        </row>
        <row r="531">
          <cell r="C531" t="str">
            <v>KPFI-IB-35047-08-05-2023</v>
          </cell>
          <cell r="H531" t="str">
            <v>EOU</v>
          </cell>
          <cell r="L531">
            <v>0</v>
          </cell>
          <cell r="N531" t="str">
            <v>Textile Dyes</v>
          </cell>
        </row>
        <row r="532">
          <cell r="C532" t="str">
            <v>KAPS-IB-22072-11-05-2023</v>
          </cell>
          <cell r="H532" t="str">
            <v>EOU</v>
          </cell>
          <cell r="L532">
            <v>0</v>
          </cell>
          <cell r="N532" t="str">
            <v>Polyester Yarn</v>
          </cell>
        </row>
        <row r="533">
          <cell r="C533" t="str">
            <v>KAPS-IB-21933-10-05-2023</v>
          </cell>
          <cell r="H533" t="str">
            <v>EOU</v>
          </cell>
          <cell r="L533">
            <v>0</v>
          </cell>
          <cell r="N533" t="str">
            <v>Textile Chemical</v>
          </cell>
        </row>
        <row r="534">
          <cell r="C534" t="str">
            <v>KAPW-IB-133211-09-05-2023</v>
          </cell>
          <cell r="H534" t="str">
            <v>EOU</v>
          </cell>
          <cell r="L534">
            <v>0</v>
          </cell>
          <cell r="N534" t="str">
            <v>Textile Chemical</v>
          </cell>
        </row>
        <row r="535">
          <cell r="C535" t="str">
            <v>KPAF-IB-45892-16-05-2023</v>
          </cell>
          <cell r="H535" t="str">
            <v>EOU</v>
          </cell>
          <cell r="L535">
            <v>0</v>
          </cell>
          <cell r="N535" t="str">
            <v>Textile Dyes</v>
          </cell>
        </row>
        <row r="536">
          <cell r="C536" t="str">
            <v>KAPW-IB-135626-15-05-2023</v>
          </cell>
          <cell r="H536" t="str">
            <v>EOU</v>
          </cell>
          <cell r="L536">
            <v>0</v>
          </cell>
          <cell r="N536" t="str">
            <v>Textile Chemical</v>
          </cell>
        </row>
        <row r="537">
          <cell r="C537" t="str">
            <v>KAPW-IB-136592-17-05-2023</v>
          </cell>
          <cell r="H537" t="str">
            <v>EOU</v>
          </cell>
          <cell r="L537">
            <v>0</v>
          </cell>
          <cell r="N537" t="str">
            <v>Textile Dyes</v>
          </cell>
        </row>
        <row r="538">
          <cell r="C538" t="str">
            <v>KAPS-IB-25629-22-05-2023</v>
          </cell>
          <cell r="H538" t="str">
            <v>EOU</v>
          </cell>
          <cell r="L538">
            <v>0</v>
          </cell>
          <cell r="N538" t="str">
            <v>Packing Material</v>
          </cell>
        </row>
        <row r="539">
          <cell r="C539" t="str">
            <v>KAPE-IB-149372-22-05-2023</v>
          </cell>
          <cell r="H539" t="str">
            <v>EOU</v>
          </cell>
          <cell r="L539">
            <v>0</v>
          </cell>
          <cell r="N539" t="str">
            <v>Textile Chemical</v>
          </cell>
        </row>
        <row r="540">
          <cell r="C540" t="str">
            <v>KAPS-IB-26207-24-05-2023</v>
          </cell>
          <cell r="H540" t="str">
            <v>EOU</v>
          </cell>
          <cell r="L540">
            <v>0</v>
          </cell>
          <cell r="N540" t="str">
            <v>Textile Chemical</v>
          </cell>
        </row>
        <row r="541">
          <cell r="C541" t="str">
            <v>KAPS-IB-26200-24-05-2023</v>
          </cell>
          <cell r="H541" t="str">
            <v>EOU</v>
          </cell>
          <cell r="L541">
            <v>0</v>
          </cell>
          <cell r="N541" t="str">
            <v>Textile Chemical</v>
          </cell>
        </row>
        <row r="542">
          <cell r="C542" t="str">
            <v>KAPW-IB-140973-29-05-2023</v>
          </cell>
          <cell r="H542" t="str">
            <v>EOU</v>
          </cell>
          <cell r="L542">
            <v>0</v>
          </cell>
          <cell r="N542" t="str">
            <v>Textile Chemical</v>
          </cell>
        </row>
        <row r="543">
          <cell r="C543" t="str">
            <v>KAPS-IB-27445-26-05-2023</v>
          </cell>
          <cell r="H543" t="str">
            <v>EOU</v>
          </cell>
          <cell r="L543">
            <v>0</v>
          </cell>
          <cell r="N543" t="str">
            <v>Packing Material</v>
          </cell>
        </row>
        <row r="544">
          <cell r="C544" t="str">
            <v>KAPW-IB-142009-31-05-2023</v>
          </cell>
          <cell r="H544" t="str">
            <v>EOU</v>
          </cell>
          <cell r="L544">
            <v>0</v>
          </cell>
          <cell r="N544" t="str">
            <v>Textile Chemical</v>
          </cell>
        </row>
        <row r="545">
          <cell r="C545" t="str">
            <v>KAPS-IB-29015-01-06-2023</v>
          </cell>
          <cell r="H545" t="str">
            <v>EOU</v>
          </cell>
          <cell r="L545">
            <v>0</v>
          </cell>
          <cell r="N545" t="str">
            <v>Textile Chemical</v>
          </cell>
        </row>
        <row r="546">
          <cell r="C546" t="str">
            <v>KAPE-IB-153269-07-06-2023</v>
          </cell>
          <cell r="H546" t="str">
            <v>EOU</v>
          </cell>
          <cell r="L546">
            <v>0</v>
          </cell>
          <cell r="N546" t="str">
            <v>Polyester Yarn</v>
          </cell>
        </row>
        <row r="547">
          <cell r="C547" t="str">
            <v>KAPW-IB-143970-06-06-2023</v>
          </cell>
          <cell r="H547" t="str">
            <v>EOU</v>
          </cell>
          <cell r="L547">
            <v>0</v>
          </cell>
          <cell r="N547" t="str">
            <v>Textile Dyes</v>
          </cell>
        </row>
        <row r="548">
          <cell r="C548" t="str">
            <v>KAPW-IB-146777-12-06-2023</v>
          </cell>
          <cell r="H548" t="str">
            <v>EOU</v>
          </cell>
          <cell r="L548">
            <v>0</v>
          </cell>
          <cell r="N548" t="str">
            <v>Packing Material</v>
          </cell>
        </row>
        <row r="549">
          <cell r="C549" t="str">
            <v>KAPE-IB-155829-20-06-2023</v>
          </cell>
          <cell r="H549" t="str">
            <v>EOU</v>
          </cell>
          <cell r="L549">
            <v>0</v>
          </cell>
          <cell r="N549" t="str">
            <v>Textile Dyes</v>
          </cell>
        </row>
        <row r="550">
          <cell r="C550" t="str">
            <v>KPPI-IB-63606-19-06-2023</v>
          </cell>
          <cell r="H550" t="str">
            <v>EOU</v>
          </cell>
          <cell r="L550">
            <v>0</v>
          </cell>
          <cell r="N550" t="str">
            <v>Raw Cotton</v>
          </cell>
        </row>
        <row r="551">
          <cell r="C551" t="str">
            <v>KPPI-IB-63605-19-06-2023</v>
          </cell>
          <cell r="H551" t="str">
            <v>EOU</v>
          </cell>
          <cell r="L551">
            <v>0</v>
          </cell>
          <cell r="N551" t="str">
            <v>Raw Cotton</v>
          </cell>
        </row>
        <row r="552">
          <cell r="C552" t="str">
            <v>KPPI-IB-63603-19-06-2023</v>
          </cell>
          <cell r="H552" t="str">
            <v>EOU</v>
          </cell>
          <cell r="L552">
            <v>0</v>
          </cell>
          <cell r="N552" t="str">
            <v>Raw Cotton</v>
          </cell>
        </row>
        <row r="553">
          <cell r="C553" t="str">
            <v>KPPI-IB-63604-19-06-2023</v>
          </cell>
          <cell r="H553" t="str">
            <v>EOU</v>
          </cell>
          <cell r="L553">
            <v>0</v>
          </cell>
          <cell r="N553" t="str">
            <v>Raw Cotton</v>
          </cell>
        </row>
        <row r="554">
          <cell r="C554" t="str">
            <v>KAPW-IB-149837-21-06-2023</v>
          </cell>
          <cell r="H554" t="str">
            <v>EOU</v>
          </cell>
          <cell r="L554">
            <v>0</v>
          </cell>
          <cell r="N554" t="str">
            <v>Polyester Fabric</v>
          </cell>
        </row>
        <row r="555">
          <cell r="C555" t="str">
            <v>KAPS-IB-36381-26-06-2023</v>
          </cell>
          <cell r="H555" t="str">
            <v>EOU</v>
          </cell>
          <cell r="L555">
            <v>0</v>
          </cell>
          <cell r="N555" t="str">
            <v>Polyester Yarn</v>
          </cell>
        </row>
        <row r="556">
          <cell r="C556" t="str">
            <v>KAPE-IB-156608-23-06-2023</v>
          </cell>
          <cell r="H556" t="str">
            <v>EOU</v>
          </cell>
          <cell r="L556">
            <v>0</v>
          </cell>
          <cell r="N556" t="str">
            <v>Textile Chemical</v>
          </cell>
        </row>
        <row r="557">
          <cell r="C557" t="str">
            <v>KAPS-IB-34263-20-06-2023</v>
          </cell>
          <cell r="H557" t="str">
            <v>EOU</v>
          </cell>
          <cell r="L557">
            <v>0</v>
          </cell>
          <cell r="N557" t="str">
            <v>Textile Chemical</v>
          </cell>
        </row>
        <row r="558">
          <cell r="C558" t="str">
            <v>KAPW-IB-143982-06-06-2023</v>
          </cell>
          <cell r="H558" t="str">
            <v>EOU</v>
          </cell>
          <cell r="L558">
            <v>0</v>
          </cell>
          <cell r="N558" t="str">
            <v>Textile Chemical</v>
          </cell>
        </row>
        <row r="559">
          <cell r="C559" t="str">
            <v>KPAF-IB-650-05-07-2023</v>
          </cell>
          <cell r="H559" t="str">
            <v>EOU</v>
          </cell>
          <cell r="L559">
            <v>0</v>
          </cell>
          <cell r="N559" t="str">
            <v>Polyester Fabric</v>
          </cell>
        </row>
        <row r="560">
          <cell r="C560" t="str">
            <v>KAPS-IB-37294-27-06-2023</v>
          </cell>
          <cell r="H560" t="str">
            <v>EOU</v>
          </cell>
          <cell r="L560">
            <v>0</v>
          </cell>
          <cell r="N560" t="str">
            <v>Textile Chemical</v>
          </cell>
        </row>
        <row r="561">
          <cell r="C561" t="str">
            <v>KAPE-IB-159-04-07-2023</v>
          </cell>
          <cell r="H561" t="str">
            <v>EOU</v>
          </cell>
          <cell r="L561">
            <v>0</v>
          </cell>
          <cell r="N561" t="str">
            <v>Textile Dyes</v>
          </cell>
        </row>
        <row r="562">
          <cell r="C562" t="str">
            <v>KPAF-IB-670-05-07-2023</v>
          </cell>
          <cell r="H562" t="str">
            <v>EOU</v>
          </cell>
          <cell r="L562">
            <v>0</v>
          </cell>
          <cell r="N562" t="str">
            <v>Blended Yarn</v>
          </cell>
        </row>
        <row r="563">
          <cell r="C563" t="str">
            <v>KAPE-IB-167-04-07-2023</v>
          </cell>
          <cell r="H563" t="str">
            <v>EOU</v>
          </cell>
          <cell r="L563">
            <v>0</v>
          </cell>
          <cell r="N563" t="str">
            <v>Textile Chemical</v>
          </cell>
        </row>
        <row r="564">
          <cell r="C564" t="str">
            <v>KPAF-IB-115-03-07-2023</v>
          </cell>
          <cell r="H564" t="str">
            <v>EOU</v>
          </cell>
          <cell r="L564">
            <v>0</v>
          </cell>
          <cell r="N564" t="str">
            <v>Textile Chemical</v>
          </cell>
        </row>
        <row r="565">
          <cell r="C565" t="str">
            <v>KAPW-IB-152829-27-06-2023</v>
          </cell>
          <cell r="H565" t="str">
            <v>EOU</v>
          </cell>
          <cell r="L565">
            <v>0</v>
          </cell>
          <cell r="N565" t="str">
            <v>Polyester Fabric</v>
          </cell>
        </row>
        <row r="566">
          <cell r="C566" t="str">
            <v>KAPS-IB-36447-26-06-2023</v>
          </cell>
          <cell r="H566" t="str">
            <v>EOU</v>
          </cell>
          <cell r="L566">
            <v>0</v>
          </cell>
          <cell r="N566" t="str">
            <v>Polyester Yarn</v>
          </cell>
        </row>
        <row r="567">
          <cell r="C567" t="str">
            <v>KPPI-IB-298-04-07-2023</v>
          </cell>
          <cell r="H567" t="str">
            <v>EOU</v>
          </cell>
          <cell r="L567">
            <v>0</v>
          </cell>
          <cell r="N567" t="str">
            <v>Raw Cotton</v>
          </cell>
        </row>
        <row r="568">
          <cell r="C568" t="str">
            <v>KPPI-IB-321-04-07-2023</v>
          </cell>
          <cell r="H568" t="str">
            <v>EOU</v>
          </cell>
          <cell r="L568">
            <v>0</v>
          </cell>
          <cell r="N568" t="str">
            <v>Raw Cotton</v>
          </cell>
        </row>
        <row r="569">
          <cell r="C569" t="str">
            <v>KAPW-IB-648-04-07-2023</v>
          </cell>
          <cell r="H569" t="str">
            <v>EOU</v>
          </cell>
          <cell r="L569">
            <v>0</v>
          </cell>
          <cell r="N569" t="str">
            <v>Textile Chemical</v>
          </cell>
        </row>
        <row r="570">
          <cell r="C570" t="str">
            <v>KAPW-IB-191-03-07-2023</v>
          </cell>
          <cell r="H570" t="str">
            <v>EOU</v>
          </cell>
          <cell r="L570">
            <v>0</v>
          </cell>
          <cell r="N570" t="str">
            <v>Packing Material</v>
          </cell>
        </row>
        <row r="571">
          <cell r="C571" t="str">
            <v>KAPS-IB-1409-06-07-2023</v>
          </cell>
          <cell r="H571" t="str">
            <v>EOU</v>
          </cell>
          <cell r="L571">
            <v>0</v>
          </cell>
          <cell r="N571" t="str">
            <v>Polyester Yarn</v>
          </cell>
        </row>
        <row r="572">
          <cell r="C572" t="str">
            <v>KAPE-FS-1496-08-07-2023</v>
          </cell>
          <cell r="H572" t="str">
            <v>EFS</v>
          </cell>
          <cell r="L572">
            <v>0</v>
          </cell>
          <cell r="N572" t="str">
            <v>Raw Cotton</v>
          </cell>
        </row>
        <row r="573">
          <cell r="C573" t="str">
            <v>KAPW-FS-4230-10-07-2023</v>
          </cell>
          <cell r="H573" t="str">
            <v>EFS</v>
          </cell>
          <cell r="L573">
            <v>0</v>
          </cell>
          <cell r="N573" t="str">
            <v>Blended Fabric</v>
          </cell>
        </row>
        <row r="574">
          <cell r="C574" t="str">
            <v>KAPE-FS-1994-11-07-2023</v>
          </cell>
          <cell r="H574" t="str">
            <v>EFS</v>
          </cell>
          <cell r="L574">
            <v>0</v>
          </cell>
          <cell r="N574" t="str">
            <v>Polyester Fabric</v>
          </cell>
        </row>
        <row r="575">
          <cell r="C575" t="str">
            <v>KPPI-FS-2370-12-07-2023</v>
          </cell>
          <cell r="H575" t="str">
            <v>EFS</v>
          </cell>
          <cell r="L575">
            <v>0</v>
          </cell>
          <cell r="N575" t="str">
            <v>Raw Cotton</v>
          </cell>
        </row>
        <row r="576">
          <cell r="C576" t="str">
            <v>KPPI-FS-2374-12-07-2023</v>
          </cell>
          <cell r="H576" t="str">
            <v>EFS</v>
          </cell>
          <cell r="L576">
            <v>0</v>
          </cell>
          <cell r="N576" t="str">
            <v>Raw Cotton</v>
          </cell>
        </row>
        <row r="577">
          <cell r="C577" t="str">
            <v>KAPS-FS-5256-12-07-2023</v>
          </cell>
          <cell r="H577" t="str">
            <v>EFS</v>
          </cell>
          <cell r="L577">
            <v>0</v>
          </cell>
          <cell r="N577" t="str">
            <v>Textile Chemical</v>
          </cell>
        </row>
        <row r="578">
          <cell r="C578" t="str">
            <v>KAPW-FS-7620-15-07-2023</v>
          </cell>
          <cell r="H578" t="str">
            <v>EFS</v>
          </cell>
          <cell r="L578">
            <v>0</v>
          </cell>
          <cell r="N578" t="str">
            <v>Textile Dyes</v>
          </cell>
        </row>
        <row r="579">
          <cell r="C579" t="str">
            <v>KPAF-FS-2302-15-07-2023</v>
          </cell>
          <cell r="H579" t="str">
            <v>EFS</v>
          </cell>
          <cell r="L579">
            <v>0</v>
          </cell>
          <cell r="N579" t="str">
            <v>Textile Chemical</v>
          </cell>
        </row>
        <row r="580">
          <cell r="C580" t="str">
            <v>KAPW-IB-2468-06-07-2023</v>
          </cell>
          <cell r="H580" t="str">
            <v>EOU</v>
          </cell>
          <cell r="L580">
            <v>0</v>
          </cell>
          <cell r="N580" t="str">
            <v>Textile Chemical</v>
          </cell>
        </row>
        <row r="581">
          <cell r="C581" t="str">
            <v>KAPW-IB-2040-06-07-2023</v>
          </cell>
          <cell r="H581" t="str">
            <v>EOU</v>
          </cell>
          <cell r="L581">
            <v>0</v>
          </cell>
          <cell r="N581" t="str">
            <v>Textile Dyes</v>
          </cell>
        </row>
        <row r="582">
          <cell r="C582" t="str">
            <v>KPPI-FS-2379-12-07-2023</v>
          </cell>
          <cell r="H582" t="str">
            <v>EFS</v>
          </cell>
          <cell r="L582">
            <v>0</v>
          </cell>
          <cell r="N582" t="str">
            <v>Raw Cotton</v>
          </cell>
        </row>
        <row r="583">
          <cell r="C583" t="str">
            <v>KAPW-FS-6474-13-07-2023</v>
          </cell>
          <cell r="H583" t="str">
            <v>EFS</v>
          </cell>
          <cell r="L583">
            <v>0</v>
          </cell>
          <cell r="N583" t="str">
            <v>Packing Material</v>
          </cell>
        </row>
        <row r="584">
          <cell r="C584" t="str">
            <v>KAPS-FS-6492-14-07-2023</v>
          </cell>
          <cell r="H584" t="str">
            <v>EFS</v>
          </cell>
          <cell r="L584">
            <v>0</v>
          </cell>
          <cell r="N584" t="str">
            <v>Polyester Yarn</v>
          </cell>
        </row>
        <row r="585">
          <cell r="C585" t="str">
            <v>KAPW-FS-7622-15-07-2023</v>
          </cell>
          <cell r="H585" t="str">
            <v>EFS</v>
          </cell>
          <cell r="L585">
            <v>0</v>
          </cell>
          <cell r="N585" t="str">
            <v>Packing Material</v>
          </cell>
        </row>
        <row r="586">
          <cell r="C586" t="str">
            <v>KAPW-FS-7623-15-07-2023</v>
          </cell>
          <cell r="H586" t="str">
            <v>EFS</v>
          </cell>
          <cell r="L586">
            <v>0</v>
          </cell>
          <cell r="N586" t="str">
            <v>Polyester Staple Fiber</v>
          </cell>
        </row>
        <row r="587">
          <cell r="C587" t="str">
            <v>KAPW-FS-10367-20-07-2023</v>
          </cell>
          <cell r="H587" t="str">
            <v>EFS</v>
          </cell>
          <cell r="L587">
            <v>0</v>
          </cell>
          <cell r="N587" t="str">
            <v>Packing Material</v>
          </cell>
        </row>
        <row r="588">
          <cell r="C588" t="str">
            <v>KAPW-FS-10366-20-07-2023</v>
          </cell>
          <cell r="H588" t="str">
            <v>EFS</v>
          </cell>
          <cell r="L588">
            <v>0</v>
          </cell>
          <cell r="N588" t="str">
            <v>Packing Material</v>
          </cell>
        </row>
        <row r="589">
          <cell r="C589" t="str">
            <v>KAPW-FS-10509-20-07-2023</v>
          </cell>
          <cell r="H589" t="str">
            <v>EFS</v>
          </cell>
          <cell r="L589">
            <v>4750</v>
          </cell>
          <cell r="N589" t="str">
            <v>Polyester Fabric</v>
          </cell>
        </row>
        <row r="590">
          <cell r="C590" t="str">
            <v>KAPW-FS-11807-22-07-2023</v>
          </cell>
          <cell r="H590" t="str">
            <v>EFS</v>
          </cell>
          <cell r="L590">
            <v>0</v>
          </cell>
          <cell r="N590" t="str">
            <v>Textile Dyes</v>
          </cell>
        </row>
        <row r="591">
          <cell r="C591" t="str">
            <v>KAPS-FS-9486-22-07-2023</v>
          </cell>
          <cell r="H591" t="str">
            <v>EFS</v>
          </cell>
          <cell r="L591">
            <v>0</v>
          </cell>
          <cell r="N591" t="str">
            <v>Textile Chemical</v>
          </cell>
        </row>
        <row r="592">
          <cell r="C592" t="str">
            <v>KAPW-FS-11808-22-07-2023</v>
          </cell>
          <cell r="H592" t="str">
            <v>EFS</v>
          </cell>
          <cell r="L592">
            <v>0</v>
          </cell>
          <cell r="N592" t="str">
            <v>Textile Chemical</v>
          </cell>
        </row>
        <row r="593">
          <cell r="C593" t="str">
            <v>KAPE-FS-5500-22-07-2023</v>
          </cell>
          <cell r="H593" t="str">
            <v>EFS</v>
          </cell>
          <cell r="L593">
            <v>0</v>
          </cell>
          <cell r="N593" t="str">
            <v>Polyester Staple Fiber</v>
          </cell>
        </row>
        <row r="594">
          <cell r="C594" t="str">
            <v>KAPW-FS-11805-22-07-2023</v>
          </cell>
          <cell r="H594" t="str">
            <v>EFS</v>
          </cell>
          <cell r="L594">
            <v>0</v>
          </cell>
          <cell r="N594" t="str">
            <v>Polyester Yarn</v>
          </cell>
        </row>
        <row r="595">
          <cell r="C595" t="str">
            <v>KAPW-FS-12038-24-07-2023</v>
          </cell>
          <cell r="H595" t="str">
            <v>EFS</v>
          </cell>
          <cell r="L595">
            <v>0</v>
          </cell>
          <cell r="N595" t="str">
            <v>Textile Dyes</v>
          </cell>
        </row>
        <row r="596">
          <cell r="C596" t="str">
            <v>KAPW-FS-12037-24-07-2023</v>
          </cell>
          <cell r="H596" t="str">
            <v>EFS</v>
          </cell>
          <cell r="L596">
            <v>0</v>
          </cell>
          <cell r="N596" t="str">
            <v>Textile Dyes</v>
          </cell>
        </row>
        <row r="597">
          <cell r="C597" t="str">
            <v>KAPW-FS-12729-25-07-2023</v>
          </cell>
          <cell r="H597" t="str">
            <v>EFS</v>
          </cell>
          <cell r="L597">
            <v>0</v>
          </cell>
          <cell r="N597" t="str">
            <v>Polyester Staple Fiber</v>
          </cell>
        </row>
        <row r="598">
          <cell r="C598" t="str">
            <v>KAPW-FS-13483-26-07-2023</v>
          </cell>
          <cell r="H598" t="str">
            <v>EFS</v>
          </cell>
          <cell r="L598">
            <v>0</v>
          </cell>
          <cell r="N598" t="str">
            <v>Blended Yarn</v>
          </cell>
        </row>
        <row r="599">
          <cell r="C599" t="str">
            <v>KAPS-FS-10920-26-07-2023</v>
          </cell>
          <cell r="H599" t="str">
            <v>EFS</v>
          </cell>
          <cell r="L599">
            <v>0</v>
          </cell>
          <cell r="N599" t="str">
            <v>Textile Chemical</v>
          </cell>
        </row>
        <row r="600">
          <cell r="C600" t="str">
            <v>KAPS-FS-13465-02-08-2023</v>
          </cell>
          <cell r="H600" t="str">
            <v>EFS</v>
          </cell>
          <cell r="L600">
            <v>0</v>
          </cell>
          <cell r="N600" t="str">
            <v>Polyester Fabric</v>
          </cell>
        </row>
        <row r="601">
          <cell r="C601" t="str">
            <v>KAPS-FS-14443-04-08-2023</v>
          </cell>
          <cell r="H601" t="str">
            <v>EFS</v>
          </cell>
          <cell r="L601">
            <v>0</v>
          </cell>
          <cell r="N601" t="str">
            <v>Textile Chemical</v>
          </cell>
        </row>
        <row r="602">
          <cell r="C602" t="str">
            <v>KAPS-FS-14441-04-08-2023</v>
          </cell>
          <cell r="H602" t="str">
            <v>EFS</v>
          </cell>
          <cell r="L602">
            <v>0</v>
          </cell>
          <cell r="N602" t="str">
            <v>Textile Chemical</v>
          </cell>
        </row>
        <row r="603">
          <cell r="C603" t="str">
            <v>KAPE-FS-9023-07-08-2023</v>
          </cell>
          <cell r="H603" t="str">
            <v>EFS</v>
          </cell>
          <cell r="L603">
            <v>0</v>
          </cell>
          <cell r="N603" t="str">
            <v>Packing Material</v>
          </cell>
        </row>
        <row r="604">
          <cell r="C604" t="str">
            <v>KAPS-FS-15439-07-08-2023</v>
          </cell>
          <cell r="H604" t="str">
            <v>EFS</v>
          </cell>
          <cell r="L604">
            <v>0</v>
          </cell>
          <cell r="N604" t="str">
            <v>Textile Chemical</v>
          </cell>
        </row>
        <row r="605">
          <cell r="C605" t="str">
            <v>KAPS-FS-15113-07-08-2023</v>
          </cell>
          <cell r="H605" t="str">
            <v>EFS</v>
          </cell>
          <cell r="L605">
            <v>0</v>
          </cell>
          <cell r="N605" t="str">
            <v>Textile Dyes</v>
          </cell>
        </row>
        <row r="606">
          <cell r="C606" t="str">
            <v>KAPE-FS-9119-08-08-2023</v>
          </cell>
          <cell r="H606" t="str">
            <v>EFS</v>
          </cell>
          <cell r="L606">
            <v>0</v>
          </cell>
          <cell r="N606" t="str">
            <v>Blended Fabric</v>
          </cell>
        </row>
        <row r="607">
          <cell r="C607" t="str">
            <v>KAPW-FS-20224-10-08-2023</v>
          </cell>
          <cell r="H607" t="str">
            <v>EFS</v>
          </cell>
          <cell r="L607">
            <v>0</v>
          </cell>
          <cell r="N607" t="str">
            <v>Textile Dyes</v>
          </cell>
        </row>
        <row r="608">
          <cell r="C608" t="str">
            <v>KAPE-FS-9741-10-08-2023</v>
          </cell>
          <cell r="H608" t="str">
            <v>EFS</v>
          </cell>
          <cell r="L608">
            <v>0</v>
          </cell>
          <cell r="N608" t="str">
            <v>Textile Dyes</v>
          </cell>
        </row>
        <row r="609">
          <cell r="C609" t="str">
            <v>KPPI-FS-8359-10-08-2023</v>
          </cell>
          <cell r="H609" t="str">
            <v>EFS</v>
          </cell>
          <cell r="L609">
            <v>0</v>
          </cell>
          <cell r="N609" t="str">
            <v>Raw Cotton</v>
          </cell>
        </row>
        <row r="610">
          <cell r="C610" t="str">
            <v>KPPI-FS-8357-10-08-2023</v>
          </cell>
          <cell r="H610" t="str">
            <v>EFS</v>
          </cell>
          <cell r="L610">
            <v>0</v>
          </cell>
          <cell r="N610" t="str">
            <v>Raw Cotton</v>
          </cell>
        </row>
        <row r="611">
          <cell r="C611" t="str">
            <v>KAPS-FS-17123-11-08-2023</v>
          </cell>
          <cell r="H611" t="str">
            <v>EFS</v>
          </cell>
          <cell r="L611">
            <v>0</v>
          </cell>
          <cell r="N611" t="str">
            <v>Polyester Yarn</v>
          </cell>
        </row>
        <row r="612">
          <cell r="C612" t="str">
            <v>KAPW-FS-23513-17-08-2023</v>
          </cell>
          <cell r="H612" t="str">
            <v>EFS</v>
          </cell>
          <cell r="L612">
            <v>0</v>
          </cell>
          <cell r="N612" t="str">
            <v>Textile Dyes</v>
          </cell>
        </row>
        <row r="613">
          <cell r="C613" t="str">
            <v>KPPI-FS-10403-22-08-2023</v>
          </cell>
          <cell r="H613" t="str">
            <v>EFS</v>
          </cell>
          <cell r="L613">
            <v>0</v>
          </cell>
          <cell r="N613" t="str">
            <v>Raw Cotton</v>
          </cell>
        </row>
        <row r="614">
          <cell r="C614" t="str">
            <v>KAPE-FS-12872-22-08-2023</v>
          </cell>
          <cell r="H614" t="str">
            <v>EFS</v>
          </cell>
          <cell r="L614">
            <v>0</v>
          </cell>
          <cell r="N614" t="str">
            <v>Raw Cotton</v>
          </cell>
        </row>
        <row r="615">
          <cell r="C615" t="str">
            <v>KAPS-FS-22034-24-08-2023</v>
          </cell>
          <cell r="H615" t="str">
            <v>EFS</v>
          </cell>
          <cell r="L615">
            <v>0</v>
          </cell>
          <cell r="N615" t="str">
            <v>Polyester Staple Fiber</v>
          </cell>
        </row>
        <row r="616">
          <cell r="C616" t="str">
            <v>KPPI-FS-11015-24-08-2023</v>
          </cell>
          <cell r="H616" t="str">
            <v>EFS</v>
          </cell>
          <cell r="L616">
            <v>0</v>
          </cell>
          <cell r="N616" t="str">
            <v>Raw Cotton</v>
          </cell>
        </row>
        <row r="617">
          <cell r="C617" t="str">
            <v>KAPE-FS-13569-24-08-2023</v>
          </cell>
          <cell r="H617" t="str">
            <v>EFS</v>
          </cell>
          <cell r="L617">
            <v>0</v>
          </cell>
          <cell r="N617" t="str">
            <v>Polyester Staple Fiber</v>
          </cell>
        </row>
        <row r="618">
          <cell r="C618" t="str">
            <v>KPPI-FS-11649-28-08-2023</v>
          </cell>
          <cell r="H618" t="str">
            <v>EFS</v>
          </cell>
          <cell r="L618">
            <v>0</v>
          </cell>
          <cell r="N618" t="str">
            <v>Raw Cotton</v>
          </cell>
        </row>
        <row r="619">
          <cell r="C619" t="str">
            <v>KPPI-FS-11650-28-08-2023</v>
          </cell>
          <cell r="H619" t="str">
            <v>EFS</v>
          </cell>
          <cell r="L619">
            <v>0</v>
          </cell>
          <cell r="N619" t="str">
            <v>Raw Cotton</v>
          </cell>
        </row>
        <row r="620">
          <cell r="C620" t="str">
            <v>KAPS-FS-23283-28-08-2023</v>
          </cell>
          <cell r="H620" t="str">
            <v>EFS</v>
          </cell>
          <cell r="L620">
            <v>0</v>
          </cell>
          <cell r="N620" t="str">
            <v>Polyester Yarn</v>
          </cell>
        </row>
        <row r="621">
          <cell r="C621" t="str">
            <v>KAPS-FS-23743-29-08-2023</v>
          </cell>
          <cell r="H621" t="str">
            <v>EFS</v>
          </cell>
          <cell r="L621">
            <v>0</v>
          </cell>
          <cell r="N621" t="str">
            <v>Textile Chemical</v>
          </cell>
        </row>
        <row r="622">
          <cell r="C622" t="str">
            <v>KAPW-FS-29391-29-08-2023</v>
          </cell>
          <cell r="H622" t="str">
            <v>EFS</v>
          </cell>
          <cell r="L622">
            <v>0</v>
          </cell>
          <cell r="N622" t="str">
            <v>Polyester Fabric</v>
          </cell>
        </row>
        <row r="623">
          <cell r="C623" t="str">
            <v>KAPE-FS-15673-01-09-2023</v>
          </cell>
          <cell r="H623" t="str">
            <v>EFS</v>
          </cell>
          <cell r="L623">
            <v>0</v>
          </cell>
          <cell r="N623" t="str">
            <v>Polyester Staple Fiber</v>
          </cell>
        </row>
        <row r="624">
          <cell r="C624" t="str">
            <v>KPPI-FS-12579-01-09-2023</v>
          </cell>
          <cell r="H624" t="str">
            <v>EFS</v>
          </cell>
          <cell r="L624">
            <v>0</v>
          </cell>
          <cell r="N624" t="str">
            <v>Textile Chemical</v>
          </cell>
        </row>
        <row r="625">
          <cell r="C625" t="str">
            <v>KAPW-FS-31229-01-09-2023</v>
          </cell>
          <cell r="H625" t="str">
            <v>EFS</v>
          </cell>
          <cell r="L625">
            <v>0</v>
          </cell>
          <cell r="N625" t="str">
            <v>Raw Cotton</v>
          </cell>
        </row>
        <row r="626">
          <cell r="C626" t="str">
            <v>KPPI-FS-12580-01-09-2023</v>
          </cell>
          <cell r="H626" t="str">
            <v>EFS</v>
          </cell>
          <cell r="L626">
            <v>0</v>
          </cell>
          <cell r="N626" t="str">
            <v>Raw Cotton</v>
          </cell>
        </row>
        <row r="627">
          <cell r="C627" t="str">
            <v>KAPS-FS-24917-01-09-2023</v>
          </cell>
          <cell r="H627" t="str">
            <v>EFS</v>
          </cell>
          <cell r="L627">
            <v>0</v>
          </cell>
          <cell r="N627" t="str">
            <v>Textile Chemical</v>
          </cell>
        </row>
        <row r="628">
          <cell r="C628" t="str">
            <v>KPPI-FS-13437-05-09-2023</v>
          </cell>
          <cell r="H628" t="str">
            <v>EFS</v>
          </cell>
          <cell r="L628">
            <v>0</v>
          </cell>
          <cell r="N628" t="str">
            <v>Raw Cotton</v>
          </cell>
        </row>
        <row r="629">
          <cell r="C629" t="str">
            <v>KPPI-FS-13434-05-09-2023</v>
          </cell>
          <cell r="H629" t="str">
            <v>EFS</v>
          </cell>
          <cell r="L629">
            <v>0</v>
          </cell>
          <cell r="N629" t="str">
            <v>Raw Cotton</v>
          </cell>
        </row>
        <row r="630">
          <cell r="C630" t="str">
            <v>KAPE-FS-16848-06-09-2023</v>
          </cell>
          <cell r="H630" t="str">
            <v>EFS</v>
          </cell>
          <cell r="L630">
            <v>0</v>
          </cell>
          <cell r="N630" t="str">
            <v>Polyester Yarn</v>
          </cell>
        </row>
        <row r="631">
          <cell r="C631" t="str">
            <v>KAPS-FS-26675-06-09-2023</v>
          </cell>
          <cell r="H631" t="str">
            <v>EFS</v>
          </cell>
          <cell r="L631">
            <v>0</v>
          </cell>
          <cell r="N631" t="str">
            <v>Textile Chemical</v>
          </cell>
        </row>
        <row r="632">
          <cell r="C632" t="str">
            <v>KAPW-FS-35299-08-09-2023</v>
          </cell>
          <cell r="H632" t="str">
            <v>EFS</v>
          </cell>
          <cell r="L632">
            <v>0</v>
          </cell>
          <cell r="N632" t="str">
            <v>Polyester Fabric</v>
          </cell>
        </row>
        <row r="633">
          <cell r="C633" t="str">
            <v>KAPW-FS-35066-08-09-2023</v>
          </cell>
          <cell r="H633" t="str">
            <v>EFS</v>
          </cell>
          <cell r="L633">
            <v>0</v>
          </cell>
          <cell r="N633" t="str">
            <v>Polyester Yarn</v>
          </cell>
        </row>
        <row r="634">
          <cell r="C634" t="str">
            <v>KAPW-FS-35064-08-09-2023</v>
          </cell>
          <cell r="H634" t="str">
            <v>EFS</v>
          </cell>
          <cell r="L634">
            <v>0</v>
          </cell>
          <cell r="N634" t="str">
            <v>Polyester Yarn</v>
          </cell>
        </row>
        <row r="635">
          <cell r="C635" t="str">
            <v>KAPW-FS-35531-08-09-2023</v>
          </cell>
          <cell r="H635" t="str">
            <v>EFS</v>
          </cell>
          <cell r="L635">
            <v>0</v>
          </cell>
          <cell r="N635" t="str">
            <v>Raw Cotton</v>
          </cell>
        </row>
        <row r="636">
          <cell r="C636" t="str">
            <v>KPPI-FS-13968-08-09-2023</v>
          </cell>
          <cell r="H636" t="str">
            <v>EFS</v>
          </cell>
          <cell r="L636">
            <v>0</v>
          </cell>
          <cell r="N636" t="str">
            <v>Raw Cotton</v>
          </cell>
        </row>
        <row r="637">
          <cell r="C637" t="str">
            <v>KAPW-FS-36581-12-09-2023</v>
          </cell>
          <cell r="H637" t="str">
            <v>EFS</v>
          </cell>
          <cell r="L637">
            <v>0</v>
          </cell>
          <cell r="N637" t="str">
            <v>Polyester Fabric</v>
          </cell>
        </row>
        <row r="638">
          <cell r="C638" t="str">
            <v>KPPI-FS-13969-08-09-2023</v>
          </cell>
          <cell r="H638" t="str">
            <v>EFS</v>
          </cell>
          <cell r="L638">
            <v>0</v>
          </cell>
          <cell r="N638" t="str">
            <v>Raw Cotton</v>
          </cell>
        </row>
        <row r="639">
          <cell r="C639" t="str">
            <v>KAPW-FS-37553-13-09-2023</v>
          </cell>
          <cell r="H639" t="str">
            <v>EFS</v>
          </cell>
          <cell r="L639">
            <v>0</v>
          </cell>
          <cell r="N639" t="str">
            <v>Textile Dyes</v>
          </cell>
        </row>
        <row r="640">
          <cell r="C640" t="str">
            <v>KAPE-FS-17348-08-09-2023</v>
          </cell>
          <cell r="H640" t="str">
            <v>EFS</v>
          </cell>
          <cell r="L640">
            <v>0</v>
          </cell>
          <cell r="N640" t="str">
            <v>Textile Dyes</v>
          </cell>
        </row>
        <row r="641">
          <cell r="C641" t="str">
            <v>KAPE-FS-19649-18-09-2023</v>
          </cell>
          <cell r="H641" t="str">
            <v>EFS</v>
          </cell>
          <cell r="L641">
            <v>0</v>
          </cell>
          <cell r="N641" t="str">
            <v>Polyester Yarn</v>
          </cell>
        </row>
        <row r="642">
          <cell r="C642" t="str">
            <v>KAPW-FS-37554-13-09-2023</v>
          </cell>
          <cell r="H642" t="str">
            <v>EFS</v>
          </cell>
          <cell r="L642">
            <v>0</v>
          </cell>
          <cell r="N642" t="str">
            <v>Textile Dyes</v>
          </cell>
        </row>
        <row r="643">
          <cell r="C643" t="str">
            <v>KAPS-FS-31014-19-09-2023</v>
          </cell>
          <cell r="H643" t="str">
            <v>EFS</v>
          </cell>
          <cell r="L643">
            <v>0</v>
          </cell>
          <cell r="N643" t="str">
            <v>Textile Dyes</v>
          </cell>
        </row>
        <row r="644">
          <cell r="C644" t="str">
            <v>KAPW-FS-39892-18-09-2023</v>
          </cell>
          <cell r="H644" t="str">
            <v>EFS</v>
          </cell>
          <cell r="L644">
            <v>0</v>
          </cell>
          <cell r="N644" t="str">
            <v>Textile Dyes</v>
          </cell>
        </row>
        <row r="645">
          <cell r="C645" t="str">
            <v>KAPW-FS-39893-18-09-2023</v>
          </cell>
          <cell r="H645" t="str">
            <v>EFS</v>
          </cell>
          <cell r="L645">
            <v>8080</v>
          </cell>
          <cell r="N645" t="str">
            <v>Polyester Fabric</v>
          </cell>
        </row>
        <row r="646">
          <cell r="C646" t="str">
            <v>KAPW-FS-39893-18-09-2023</v>
          </cell>
          <cell r="H646" t="str">
            <v>EFS</v>
          </cell>
          <cell r="L646">
            <v>8080</v>
          </cell>
          <cell r="N646" t="str">
            <v>Polyester Fabric</v>
          </cell>
        </row>
        <row r="647">
          <cell r="C647" t="str">
            <v>KPPI-FS-15582-16-09-2023</v>
          </cell>
          <cell r="H647" t="str">
            <v>EFS</v>
          </cell>
          <cell r="L647">
            <v>0</v>
          </cell>
          <cell r="N647" t="str">
            <v>Textile Chemical</v>
          </cell>
        </row>
        <row r="648">
          <cell r="C648" t="str">
            <v>KAPW-FS-40378-19-09-2023</v>
          </cell>
          <cell r="H648" t="str">
            <v>EFS</v>
          </cell>
          <cell r="L648">
            <v>0</v>
          </cell>
          <cell r="N648" t="str">
            <v>Textile Dyes</v>
          </cell>
        </row>
        <row r="649">
          <cell r="C649" t="str">
            <v>KAPS-FS-32026-22-09-2023</v>
          </cell>
          <cell r="H649" t="str">
            <v>EFS</v>
          </cell>
          <cell r="L649">
            <v>0</v>
          </cell>
          <cell r="N649" t="str">
            <v>Polyester Yarn</v>
          </cell>
        </row>
        <row r="650">
          <cell r="C650" t="str">
            <v>KAPW-FS-43777-26-09-2023</v>
          </cell>
          <cell r="H650" t="str">
            <v>EFS</v>
          </cell>
          <cell r="L650">
            <v>0</v>
          </cell>
          <cell r="N650" t="str">
            <v>Raw Cotton</v>
          </cell>
        </row>
        <row r="651">
          <cell r="C651" t="str">
            <v>KAPS-FS-34666-02-10-2023</v>
          </cell>
          <cell r="H651" t="str">
            <v>EFS</v>
          </cell>
          <cell r="L651">
            <v>0</v>
          </cell>
          <cell r="N651" t="str">
            <v>Polyester Yarn</v>
          </cell>
        </row>
        <row r="652">
          <cell r="C652" t="str">
            <v>KAPW-FS-46787-03-10-2023</v>
          </cell>
          <cell r="H652" t="str">
            <v>EFS</v>
          </cell>
          <cell r="L652">
            <v>0</v>
          </cell>
          <cell r="N652" t="str">
            <v>Textile Chemical</v>
          </cell>
        </row>
        <row r="653">
          <cell r="C653" t="str">
            <v>KPPI-FS-19300-05-10-2023</v>
          </cell>
          <cell r="H653" t="str">
            <v>EFS</v>
          </cell>
          <cell r="L653">
            <v>0</v>
          </cell>
          <cell r="N653" t="str">
            <v>Raw Cotton</v>
          </cell>
        </row>
        <row r="654">
          <cell r="C654" t="str">
            <v>KAPW-FS-49134-06-10-2023</v>
          </cell>
          <cell r="H654" t="str">
            <v>EFS</v>
          </cell>
          <cell r="L654">
            <v>0</v>
          </cell>
          <cell r="N654" t="str">
            <v>Textile Dyes</v>
          </cell>
        </row>
        <row r="655">
          <cell r="C655" t="str">
            <v>KAPW-FS-49133-06-10-2023</v>
          </cell>
          <cell r="H655" t="str">
            <v>EFS</v>
          </cell>
          <cell r="L655">
            <v>0</v>
          </cell>
          <cell r="N655" t="str">
            <v>Polyester Staple Fiber</v>
          </cell>
        </row>
        <row r="656">
          <cell r="C656" t="str">
            <v>KAPS-FS-36818-06-10-2023</v>
          </cell>
          <cell r="H656" t="str">
            <v>EFS</v>
          </cell>
          <cell r="L656">
            <v>0</v>
          </cell>
          <cell r="N656" t="str">
            <v>Polyester Staple Fiber</v>
          </cell>
        </row>
        <row r="657">
          <cell r="C657" t="str">
            <v>KAPE-FS-26063-13-10-2023</v>
          </cell>
          <cell r="H657" t="str">
            <v>EFS</v>
          </cell>
          <cell r="L657">
            <v>0</v>
          </cell>
          <cell r="N657" t="str">
            <v>Textile Dyes</v>
          </cell>
        </row>
        <row r="658">
          <cell r="C658" t="str">
            <v>KPAF-FS-18179-17-10-2023</v>
          </cell>
          <cell r="H658" t="str">
            <v>EFS</v>
          </cell>
          <cell r="L658">
            <v>0</v>
          </cell>
          <cell r="N658" t="str">
            <v>Polyester Filament Yarn</v>
          </cell>
        </row>
        <row r="659">
          <cell r="C659" t="str">
            <v>KAPW-FS-55507-18-10-2023</v>
          </cell>
          <cell r="H659" t="str">
            <v>EFS</v>
          </cell>
          <cell r="L659">
            <v>0</v>
          </cell>
          <cell r="N659" t="str">
            <v>Blended Fabric</v>
          </cell>
        </row>
        <row r="660">
          <cell r="C660" t="str">
            <v>KAPS-FS-41324-18-10-2023</v>
          </cell>
          <cell r="H660" t="str">
            <v>EFS</v>
          </cell>
          <cell r="L660">
            <v>0</v>
          </cell>
          <cell r="N660" t="str">
            <v>Polyester Yarn</v>
          </cell>
        </row>
        <row r="661">
          <cell r="C661" t="str">
            <v>KAPW-FS-57519-20-10-2023</v>
          </cell>
          <cell r="H661" t="str">
            <v>EFS</v>
          </cell>
          <cell r="L661">
            <v>0</v>
          </cell>
          <cell r="N661" t="str">
            <v>Raw Cotton</v>
          </cell>
        </row>
        <row r="662">
          <cell r="C662" t="str">
            <v>KAPE-FS-27472-18-10-2023</v>
          </cell>
          <cell r="H662" t="str">
            <v>EFS</v>
          </cell>
          <cell r="L662">
            <v>288</v>
          </cell>
          <cell r="N662" t="str">
            <v>Polyester Filament Yarn</v>
          </cell>
        </row>
        <row r="663">
          <cell r="C663" t="str">
            <v>KAPE-FS-28369-20-10-2023</v>
          </cell>
          <cell r="H663" t="str">
            <v>EFS</v>
          </cell>
          <cell r="L663">
            <v>0</v>
          </cell>
          <cell r="N663" t="str">
            <v>Polyester Staple Fiber</v>
          </cell>
        </row>
        <row r="664">
          <cell r="C664" t="str">
            <v>KAPS-FS-44579-26-10-2023</v>
          </cell>
          <cell r="H664" t="str">
            <v>EFS</v>
          </cell>
          <cell r="L664">
            <v>0</v>
          </cell>
          <cell r="N664" t="str">
            <v>Textile Chemical</v>
          </cell>
        </row>
        <row r="665">
          <cell r="C665" t="str">
            <v>KAPE-FS-30144-27-10-2023</v>
          </cell>
          <cell r="H665" t="str">
            <v>EFS</v>
          </cell>
          <cell r="L665">
            <v>0</v>
          </cell>
          <cell r="N665" t="str">
            <v>Polyester Yarn</v>
          </cell>
        </row>
        <row r="666">
          <cell r="C666" t="str">
            <v>KPPI-FS-23796-28-10-2023</v>
          </cell>
          <cell r="H666" t="str">
            <v>EFS</v>
          </cell>
          <cell r="L666">
            <v>0</v>
          </cell>
          <cell r="N666" t="str">
            <v>Raw Cotton</v>
          </cell>
        </row>
        <row r="667">
          <cell r="C667" t="str">
            <v>KAPS-FS-47366-01-11-2023</v>
          </cell>
          <cell r="H667" t="str">
            <v>EFS</v>
          </cell>
          <cell r="L667">
            <v>0</v>
          </cell>
          <cell r="N667" t="str">
            <v>Textile Chemical</v>
          </cell>
        </row>
        <row r="668">
          <cell r="C668" t="str">
            <v>KAPE-FS-31916-03-11-2023</v>
          </cell>
          <cell r="H668" t="str">
            <v>EFS</v>
          </cell>
          <cell r="L668">
            <v>1300</v>
          </cell>
          <cell r="N668" t="str">
            <v>Blended Fabric</v>
          </cell>
        </row>
        <row r="669">
          <cell r="C669" t="str">
            <v>KAPW-FS-65055-03-11-2023</v>
          </cell>
          <cell r="H669" t="str">
            <v>EFS</v>
          </cell>
          <cell r="L669">
            <v>4132</v>
          </cell>
          <cell r="N669" t="str">
            <v>Blended Fabric</v>
          </cell>
        </row>
        <row r="670">
          <cell r="C670" t="str">
            <v>KAPS-FS-47364-01-11-2023</v>
          </cell>
          <cell r="H670" t="str">
            <v>EFS</v>
          </cell>
          <cell r="L670">
            <v>0</v>
          </cell>
          <cell r="N670" t="str">
            <v>Packing Material</v>
          </cell>
        </row>
        <row r="671">
          <cell r="C671" t="str">
            <v>KAPE-FS-32181-04-11-2023</v>
          </cell>
          <cell r="H671" t="str">
            <v>EFS</v>
          </cell>
          <cell r="L671">
            <v>0</v>
          </cell>
          <cell r="N671" t="str">
            <v>Textile Dyes</v>
          </cell>
        </row>
        <row r="672">
          <cell r="C672" t="str">
            <v>KAPS-FS-48907-06-11-2023</v>
          </cell>
          <cell r="H672" t="str">
            <v>EFS</v>
          </cell>
          <cell r="L672">
            <v>0</v>
          </cell>
          <cell r="N672" t="str">
            <v>Textile Chemical</v>
          </cell>
        </row>
        <row r="673">
          <cell r="C673" t="str">
            <v>KAPS-FS-50062-10-11-2023</v>
          </cell>
          <cell r="H673" t="str">
            <v>EFS</v>
          </cell>
          <cell r="L673">
            <v>0</v>
          </cell>
          <cell r="N673" t="str">
            <v>Textile Chemical</v>
          </cell>
        </row>
        <row r="674">
          <cell r="C674" t="str">
            <v>KAPS-FS-51186-14-11-2023</v>
          </cell>
          <cell r="H674" t="str">
            <v>EFS</v>
          </cell>
          <cell r="L674">
            <v>0</v>
          </cell>
          <cell r="N674" t="str">
            <v>Polyester Yarn</v>
          </cell>
        </row>
        <row r="675">
          <cell r="C675" t="str">
            <v>KAPW-FS-68911-13-11-2023</v>
          </cell>
          <cell r="H675" t="str">
            <v>EFS</v>
          </cell>
          <cell r="L675">
            <v>0</v>
          </cell>
          <cell r="N675" t="str">
            <v>Textile Chemical</v>
          </cell>
        </row>
        <row r="676">
          <cell r="C676" t="str">
            <v>KAPS-FS-52107-16-11-2023</v>
          </cell>
          <cell r="H676" t="str">
            <v>EFS</v>
          </cell>
          <cell r="L676">
            <v>0</v>
          </cell>
          <cell r="N676" t="str">
            <v>Textile Chemical</v>
          </cell>
        </row>
        <row r="677">
          <cell r="C677" t="str">
            <v>KAPS-FS-51016-14-11-2023</v>
          </cell>
          <cell r="H677" t="str">
            <v>EFS</v>
          </cell>
          <cell r="L677">
            <v>0</v>
          </cell>
          <cell r="N677" t="str">
            <v>Textile Dyes</v>
          </cell>
        </row>
        <row r="678">
          <cell r="C678" t="str">
            <v>KAPS-FS-51188-14-11-2023</v>
          </cell>
          <cell r="H678" t="str">
            <v>EFS</v>
          </cell>
          <cell r="L678">
            <v>0</v>
          </cell>
          <cell r="N678" t="str">
            <v>Textile Chemical</v>
          </cell>
        </row>
        <row r="679">
          <cell r="C679" t="str">
            <v>KAPW-FS-75828-24-11-2023</v>
          </cell>
          <cell r="H679" t="str">
            <v>EFS</v>
          </cell>
          <cell r="L679">
            <v>914</v>
          </cell>
          <cell r="N679" t="str">
            <v>Blended Fabric</v>
          </cell>
        </row>
        <row r="680">
          <cell r="C680" t="str">
            <v>KAPS-FS-55283-23-11-2023</v>
          </cell>
          <cell r="H680" t="str">
            <v>EFS</v>
          </cell>
          <cell r="L680">
            <v>0</v>
          </cell>
          <cell r="N680" t="str">
            <v>Textile Chemical</v>
          </cell>
        </row>
        <row r="681">
          <cell r="C681" t="str">
            <v>KAPS-FS-57526-28-11-2023</v>
          </cell>
          <cell r="H681" t="str">
            <v>EFS</v>
          </cell>
          <cell r="L681">
            <v>0</v>
          </cell>
          <cell r="N681" t="str">
            <v>Textile Chemical</v>
          </cell>
        </row>
        <row r="682">
          <cell r="C682" t="str">
            <v>KAPS-FS-57525-28-11-2023</v>
          </cell>
          <cell r="H682" t="str">
            <v>EFS</v>
          </cell>
          <cell r="L682">
            <v>0</v>
          </cell>
          <cell r="N682" t="str">
            <v>Textile Chemical</v>
          </cell>
        </row>
        <row r="683">
          <cell r="C683" t="str">
            <v>KAPW-FS-80230-30-11-2023</v>
          </cell>
          <cell r="H683" t="str">
            <v>EFS</v>
          </cell>
          <cell r="L683">
            <v>0</v>
          </cell>
          <cell r="N683" t="str">
            <v>Textile Dyes</v>
          </cell>
        </row>
        <row r="684">
          <cell r="C684" t="str">
            <v>KAPW-FS-81819-04-12-2023</v>
          </cell>
          <cell r="H684" t="str">
            <v>EFS</v>
          </cell>
          <cell r="L684">
            <v>0</v>
          </cell>
          <cell r="N684" t="str">
            <v>Textile Dyes</v>
          </cell>
        </row>
        <row r="685">
          <cell r="C685" t="str">
            <v>KAPW-FS-80233-30-11-2023</v>
          </cell>
          <cell r="H685" t="str">
            <v>EFS</v>
          </cell>
          <cell r="L685">
            <v>0</v>
          </cell>
          <cell r="N685" t="str">
            <v>Textile Chemical</v>
          </cell>
        </row>
        <row r="686">
          <cell r="C686" t="str">
            <v>KAPW-FS-80231-30-11-2023</v>
          </cell>
          <cell r="H686" t="str">
            <v>EFS</v>
          </cell>
          <cell r="L686">
            <v>0</v>
          </cell>
          <cell r="N686" t="str">
            <v>Textile Chemical</v>
          </cell>
        </row>
        <row r="687">
          <cell r="C687" t="str">
            <v>KAPW-FS-82713-05-12-2023</v>
          </cell>
          <cell r="H687" t="str">
            <v>EFS</v>
          </cell>
          <cell r="L687">
            <v>0</v>
          </cell>
          <cell r="N687" t="str">
            <v>Textile Chemical</v>
          </cell>
        </row>
        <row r="688">
          <cell r="C688" t="str">
            <v>KAPW-FS-84073-07-12-2023</v>
          </cell>
          <cell r="H688" t="str">
            <v>EFS</v>
          </cell>
          <cell r="L688">
            <v>1871</v>
          </cell>
          <cell r="N688" t="str">
            <v>Polyester Fabric</v>
          </cell>
        </row>
        <row r="689">
          <cell r="C689" t="str">
            <v>KAPS-FS-62965-12-12-2023</v>
          </cell>
          <cell r="H689" t="str">
            <v>EFS</v>
          </cell>
          <cell r="L689">
            <v>0</v>
          </cell>
          <cell r="N689" t="str">
            <v>Polyester Yarn</v>
          </cell>
        </row>
        <row r="690">
          <cell r="C690" t="str">
            <v>KAPE-FS-41875-13-12-2023</v>
          </cell>
          <cell r="H690" t="str">
            <v>EFS</v>
          </cell>
          <cell r="L690">
            <v>200</v>
          </cell>
          <cell r="N690" t="str">
            <v>Textile Chemical</v>
          </cell>
        </row>
        <row r="691">
          <cell r="C691" t="str">
            <v>KPAF-FS-28587-15-12-2023</v>
          </cell>
          <cell r="H691" t="str">
            <v>EFS</v>
          </cell>
          <cell r="L691">
            <v>132</v>
          </cell>
          <cell r="N691" t="str">
            <v>Blended Fabric</v>
          </cell>
        </row>
        <row r="692">
          <cell r="C692" t="str">
            <v>KAPE-FS-43019-18-12-2023</v>
          </cell>
          <cell r="H692" t="str">
            <v>EFS</v>
          </cell>
          <cell r="L692">
            <v>0</v>
          </cell>
          <cell r="N692" t="str">
            <v>Blended Fabric</v>
          </cell>
        </row>
        <row r="693">
          <cell r="C693" t="str">
            <v>KAPS-FS-64757-16-12-2023</v>
          </cell>
          <cell r="H693" t="str">
            <v>EFS</v>
          </cell>
          <cell r="L693">
            <v>0</v>
          </cell>
          <cell r="N693" t="str">
            <v>Polyester Yarn</v>
          </cell>
        </row>
        <row r="694">
          <cell r="C694" t="str">
            <v>KAPS-FS-65794-19-12-2023</v>
          </cell>
          <cell r="H694" t="str">
            <v>EFS</v>
          </cell>
          <cell r="L694">
            <v>0</v>
          </cell>
          <cell r="N694" t="str">
            <v>Textile Chemical</v>
          </cell>
        </row>
        <row r="695">
          <cell r="C695" t="str">
            <v>KAPS-FS-67466-21-12-2023</v>
          </cell>
          <cell r="H695" t="str">
            <v>EFS</v>
          </cell>
          <cell r="L695">
            <v>618.79000000000008</v>
          </cell>
          <cell r="N695" t="str">
            <v>Packing Material</v>
          </cell>
        </row>
        <row r="696">
          <cell r="C696" t="str">
            <v>KAPS-FS-67818-22-12-2023</v>
          </cell>
          <cell r="H696" t="str">
            <v>EFS</v>
          </cell>
          <cell r="L696">
            <v>0</v>
          </cell>
          <cell r="N696" t="str">
            <v>Packing Material</v>
          </cell>
        </row>
        <row r="697">
          <cell r="C697" t="str">
            <v>KAPS-FS-68864-26-12-2023</v>
          </cell>
          <cell r="H697" t="str">
            <v>EFS</v>
          </cell>
          <cell r="L697">
            <v>0</v>
          </cell>
          <cell r="N697" t="str">
            <v>Polyester Yarn</v>
          </cell>
        </row>
        <row r="698">
          <cell r="C698" t="str">
            <v>KAPS-FS-69884-28-12-2023</v>
          </cell>
          <cell r="H698" t="str">
            <v>EFS</v>
          </cell>
          <cell r="L698">
            <v>0</v>
          </cell>
          <cell r="N698" t="str">
            <v>Packing Material</v>
          </cell>
        </row>
        <row r="699">
          <cell r="C699" t="str">
            <v>KAPS-FS-72689-04-01-2024</v>
          </cell>
          <cell r="H699" t="str">
            <v>EFS</v>
          </cell>
          <cell r="L699">
            <v>0</v>
          </cell>
          <cell r="N699" t="str">
            <v>Polyester Yarn</v>
          </cell>
        </row>
        <row r="700">
          <cell r="C700" t="str">
            <v>KAPE-FS-46606-04-01-2024</v>
          </cell>
          <cell r="H700" t="str">
            <v>EFS</v>
          </cell>
          <cell r="L700">
            <v>0</v>
          </cell>
          <cell r="N700" t="str">
            <v>Polyester Yarn</v>
          </cell>
        </row>
        <row r="701">
          <cell r="C701" t="str">
            <v>KPAF-FS-31625-02-01-2024</v>
          </cell>
          <cell r="H701" t="str">
            <v>EFS</v>
          </cell>
          <cell r="L701">
            <v>0</v>
          </cell>
          <cell r="N701" t="str">
            <v>Textile Dyes</v>
          </cell>
        </row>
        <row r="702">
          <cell r="C702" t="str">
            <v>KAPS-FS-72691-04-01-2024</v>
          </cell>
          <cell r="H702" t="str">
            <v>EFS</v>
          </cell>
          <cell r="L702">
            <v>14595.79</v>
          </cell>
          <cell r="N702" t="str">
            <v>Polyester Yarn</v>
          </cell>
        </row>
        <row r="703">
          <cell r="C703" t="str">
            <v>KAPE-FS-45579-01-01-2024</v>
          </cell>
          <cell r="H703" t="str">
            <v>EFS</v>
          </cell>
          <cell r="L703">
            <v>0</v>
          </cell>
          <cell r="N703" t="str">
            <v>Textile Dyes</v>
          </cell>
        </row>
        <row r="704">
          <cell r="C704" t="str">
            <v>KAPS-FS-75024-10-01-2024</v>
          </cell>
          <cell r="H704" t="str">
            <v>EFS</v>
          </cell>
          <cell r="L704">
            <v>7536</v>
          </cell>
          <cell r="N704" t="str">
            <v>Polyester Filament Yarn</v>
          </cell>
        </row>
        <row r="705">
          <cell r="C705" t="str">
            <v>KAPW-FS-100035-05-01-2024</v>
          </cell>
          <cell r="H705" t="str">
            <v>EFS</v>
          </cell>
          <cell r="L705">
            <v>19300</v>
          </cell>
          <cell r="N705" t="str">
            <v>Textile Chemical</v>
          </cell>
        </row>
        <row r="706">
          <cell r="C706" t="str">
            <v>KAPS-FS-76288-12-01-2024</v>
          </cell>
          <cell r="H706" t="str">
            <v>EFS</v>
          </cell>
          <cell r="L706">
            <v>0</v>
          </cell>
          <cell r="N706" t="str">
            <v>Textile Chemical</v>
          </cell>
        </row>
        <row r="707">
          <cell r="C707" t="str">
            <v>KAPS-FS-76290-12-01-2024</v>
          </cell>
          <cell r="H707" t="str">
            <v>EFS</v>
          </cell>
          <cell r="L707">
            <v>0</v>
          </cell>
          <cell r="N707" t="str">
            <v>Textile Chemical</v>
          </cell>
        </row>
        <row r="708">
          <cell r="C708" t="str">
            <v>KAPW-FS-104585-12-01-2024</v>
          </cell>
          <cell r="H708" t="str">
            <v>EFS</v>
          </cell>
          <cell r="L708">
            <v>24480</v>
          </cell>
          <cell r="N708" t="str">
            <v>Polyester Yarn</v>
          </cell>
        </row>
        <row r="709">
          <cell r="C709" t="str">
            <v>KAPS-FS-77946-16-01-2024</v>
          </cell>
          <cell r="H709" t="str">
            <v>EFS</v>
          </cell>
          <cell r="L709">
            <v>0</v>
          </cell>
          <cell r="N709" t="str">
            <v>Textile Chemical</v>
          </cell>
        </row>
        <row r="710">
          <cell r="C710" t="str">
            <v>KAPW-FS-104588-12-01-2024</v>
          </cell>
          <cell r="H710" t="str">
            <v>EFS</v>
          </cell>
          <cell r="L710">
            <v>23100</v>
          </cell>
          <cell r="N710" t="str">
            <v>Polyester Yarn</v>
          </cell>
        </row>
        <row r="711">
          <cell r="C711" t="str">
            <v>KAPW-FS-104587-12-01-2024</v>
          </cell>
          <cell r="H711" t="str">
            <v>EFS</v>
          </cell>
          <cell r="L711">
            <v>24480</v>
          </cell>
          <cell r="N711" t="str">
            <v>Polyester Yarn</v>
          </cell>
        </row>
        <row r="712">
          <cell r="C712" t="str">
            <v>KAPW-FS-107833-18-01-2024</v>
          </cell>
          <cell r="H712" t="str">
            <v>EFS</v>
          </cell>
          <cell r="L712">
            <v>0</v>
          </cell>
          <cell r="N712" t="str">
            <v>Textile Chemical</v>
          </cell>
        </row>
        <row r="713">
          <cell r="C713" t="str">
            <v>KAPW-FS-107064-16-01-2024</v>
          </cell>
          <cell r="H713" t="str">
            <v>EFS</v>
          </cell>
          <cell r="L713">
            <v>956</v>
          </cell>
          <cell r="N713" t="str">
            <v>Blended Fabric</v>
          </cell>
        </row>
        <row r="714">
          <cell r="C714" t="str">
            <v>KPPI-FS-40049-16-01-2024</v>
          </cell>
          <cell r="H714" t="str">
            <v>EFS</v>
          </cell>
          <cell r="L714">
            <v>0</v>
          </cell>
          <cell r="N714" t="str">
            <v>Raw Cotton</v>
          </cell>
        </row>
        <row r="715">
          <cell r="C715" t="str">
            <v>KAPS-FS-78557-18-01-2024</v>
          </cell>
          <cell r="H715" t="str">
            <v>EFS</v>
          </cell>
          <cell r="L715">
            <v>23100</v>
          </cell>
          <cell r="N715" t="str">
            <v>Polyester Yarn</v>
          </cell>
        </row>
        <row r="716">
          <cell r="C716" t="str">
            <v>KAPW-FS-107801-18-01-2024</v>
          </cell>
          <cell r="H716" t="str">
            <v>EFS</v>
          </cell>
          <cell r="L716">
            <v>0</v>
          </cell>
          <cell r="N716" t="str">
            <v>Textile Chemical</v>
          </cell>
        </row>
        <row r="717">
          <cell r="C717" t="str">
            <v>KAPW-FS-110804-23-01-2024</v>
          </cell>
          <cell r="H717" t="str">
            <v>EFS</v>
          </cell>
          <cell r="L717">
            <v>23100</v>
          </cell>
          <cell r="N717" t="str">
            <v>Polyester Yarn</v>
          </cell>
        </row>
        <row r="718">
          <cell r="C718" t="str">
            <v>KAPS-FS-80327-23-01-2024</v>
          </cell>
          <cell r="H718" t="str">
            <v>EFS</v>
          </cell>
          <cell r="L718">
            <v>24480</v>
          </cell>
          <cell r="N718" t="str">
            <v>Polyester Yarn</v>
          </cell>
        </row>
        <row r="719">
          <cell r="C719" t="str">
            <v>KAPS-FS-78581-18-01-2024</v>
          </cell>
          <cell r="H719" t="str">
            <v>EFS</v>
          </cell>
          <cell r="L719">
            <v>0</v>
          </cell>
          <cell r="N719" t="str">
            <v>Textile Chemical</v>
          </cell>
        </row>
        <row r="720">
          <cell r="C720" t="str">
            <v>KAPS-FS-78582-18-01-2024</v>
          </cell>
          <cell r="H720" t="str">
            <v>EFS</v>
          </cell>
          <cell r="L720">
            <v>0</v>
          </cell>
          <cell r="N720" t="str">
            <v>Textile Chemical</v>
          </cell>
        </row>
        <row r="721">
          <cell r="C721" t="str">
            <v>KAPS-FS-80270-23-01-2024</v>
          </cell>
          <cell r="H721" t="str">
            <v>EFS</v>
          </cell>
          <cell r="L721">
            <v>23100</v>
          </cell>
          <cell r="N721" t="str">
            <v>Polyester Yarn</v>
          </cell>
        </row>
        <row r="722">
          <cell r="C722" t="str">
            <v>KAPW-FS-110799-23-01-2024</v>
          </cell>
          <cell r="H722" t="str">
            <v>EFS</v>
          </cell>
          <cell r="L722">
            <v>0</v>
          </cell>
          <cell r="N722" t="str">
            <v>Textile Chemical</v>
          </cell>
        </row>
        <row r="723">
          <cell r="C723" t="str">
            <v>KAPW-FS-112745-25-01-2024</v>
          </cell>
          <cell r="H723" t="str">
            <v>EFS</v>
          </cell>
          <cell r="L723">
            <v>0</v>
          </cell>
          <cell r="N723" t="str">
            <v>Textile Chemical</v>
          </cell>
        </row>
        <row r="724">
          <cell r="C724" t="str">
            <v>KAPS-FS-84174-31-01-2024</v>
          </cell>
          <cell r="H724" t="str">
            <v>EFS</v>
          </cell>
          <cell r="L724">
            <v>0</v>
          </cell>
          <cell r="N724" t="str">
            <v>Textile Chemical</v>
          </cell>
        </row>
        <row r="725">
          <cell r="C725" t="str">
            <v>KAPW-FS-116119-31-01-2024</v>
          </cell>
          <cell r="H725" t="str">
            <v>EFS</v>
          </cell>
          <cell r="L725">
            <v>23100</v>
          </cell>
          <cell r="N725" t="str">
            <v>Polyester Yarn</v>
          </cell>
        </row>
        <row r="726">
          <cell r="C726" t="str">
            <v>KAPW-FS-116120-31-01-2024</v>
          </cell>
          <cell r="H726" t="str">
            <v>EFS</v>
          </cell>
          <cell r="L726">
            <v>23100</v>
          </cell>
          <cell r="N726" t="str">
            <v>Polyester Yarn</v>
          </cell>
        </row>
        <row r="727">
          <cell r="C727" t="str">
            <v>KAPS-FS-84173-31-01-2024</v>
          </cell>
          <cell r="H727" t="str">
            <v>EFS</v>
          </cell>
          <cell r="L727">
            <v>0</v>
          </cell>
          <cell r="N727" t="str">
            <v>Textile Chemical</v>
          </cell>
        </row>
        <row r="728">
          <cell r="C728" t="str">
            <v>KAPW-FS-117024-01-02-2024</v>
          </cell>
          <cell r="H728" t="str">
            <v>EFS</v>
          </cell>
          <cell r="L728">
            <v>23100</v>
          </cell>
          <cell r="N728" t="str">
            <v>Polyester Yarn</v>
          </cell>
        </row>
        <row r="729">
          <cell r="C729" t="str">
            <v>KPAF-FS-36895-02-02-2024</v>
          </cell>
          <cell r="H729" t="str">
            <v>EFS</v>
          </cell>
          <cell r="L729">
            <v>184.78</v>
          </cell>
          <cell r="N729" t="str">
            <v>Blended Fabric</v>
          </cell>
        </row>
        <row r="730">
          <cell r="C730" t="str">
            <v>KAPW-FS-118330-02-02-2024</v>
          </cell>
          <cell r="H730" t="str">
            <v>EFS</v>
          </cell>
          <cell r="L730">
            <v>23100</v>
          </cell>
          <cell r="N730" t="str">
            <v>Polyester Yarn</v>
          </cell>
        </row>
        <row r="731">
          <cell r="C731" t="str">
            <v>KAPW-FS-118328-02-02-2024</v>
          </cell>
          <cell r="H731" t="str">
            <v>EFS</v>
          </cell>
          <cell r="L731">
            <v>23100</v>
          </cell>
          <cell r="N731" t="str">
            <v>Polyester Yarn</v>
          </cell>
        </row>
        <row r="732">
          <cell r="C732" t="str">
            <v>KAPS-FS-86837-06-02-2024</v>
          </cell>
          <cell r="H732" t="str">
            <v>EFS</v>
          </cell>
          <cell r="L732">
            <v>24480</v>
          </cell>
          <cell r="N732" t="str">
            <v>Polyester Yarn</v>
          </cell>
        </row>
        <row r="733">
          <cell r="C733" t="str">
            <v>KAPW-FS-119331-06-02-2024</v>
          </cell>
          <cell r="H733" t="str">
            <v>EFS</v>
          </cell>
          <cell r="L733">
            <v>0</v>
          </cell>
          <cell r="N733" t="str">
            <v>Textile Dyes</v>
          </cell>
        </row>
        <row r="734">
          <cell r="C734" t="str">
            <v>KAPW-FS-119521-06-02-2024</v>
          </cell>
          <cell r="H734" t="str">
            <v>EFS</v>
          </cell>
          <cell r="L734">
            <v>0</v>
          </cell>
          <cell r="N734" t="str">
            <v>Polyester Fabric</v>
          </cell>
        </row>
        <row r="735">
          <cell r="C735" t="str">
            <v>KPFI-FS-26918-07-02-2024</v>
          </cell>
          <cell r="H735" t="str">
            <v>EFS</v>
          </cell>
          <cell r="L735">
            <v>889</v>
          </cell>
          <cell r="N735" t="str">
            <v>Blended Fabric</v>
          </cell>
        </row>
        <row r="736">
          <cell r="C736" t="str">
            <v>KPFI-FS-26919-07-02-2024</v>
          </cell>
          <cell r="H736" t="str">
            <v>EFS</v>
          </cell>
          <cell r="L736">
            <v>0</v>
          </cell>
          <cell r="N736" t="str">
            <v>Packing Material</v>
          </cell>
        </row>
        <row r="737">
          <cell r="C737" t="str">
            <v>KPFI-FS-26920-07-02-2024</v>
          </cell>
          <cell r="H737" t="str">
            <v>EFS</v>
          </cell>
          <cell r="L737">
            <v>0</v>
          </cell>
          <cell r="N737" t="str">
            <v>Packing Material</v>
          </cell>
        </row>
        <row r="738">
          <cell r="C738" t="str">
            <v>KAPW-FS-122316-10-02-2024</v>
          </cell>
          <cell r="H738" t="str">
            <v>EFS</v>
          </cell>
          <cell r="L738">
            <v>0</v>
          </cell>
          <cell r="N738" t="str">
            <v>Textile Chemical</v>
          </cell>
        </row>
        <row r="739">
          <cell r="C739" t="str">
            <v>KAPS-FS-89059-12-02-2024</v>
          </cell>
          <cell r="H739" t="str">
            <v>EFS</v>
          </cell>
          <cell r="L739">
            <v>24480</v>
          </cell>
          <cell r="N739" t="str">
            <v>Polyester Yarn</v>
          </cell>
        </row>
        <row r="740">
          <cell r="C740" t="str">
            <v>KAPW-FS-124277-14-02-2024</v>
          </cell>
          <cell r="H740" t="str">
            <v>EFS</v>
          </cell>
          <cell r="L740">
            <v>22.569999999999965</v>
          </cell>
          <cell r="N740" t="str">
            <v>Packing Material</v>
          </cell>
        </row>
        <row r="741">
          <cell r="C741" t="str">
            <v>KAPW-FS-124476-14-02-2024</v>
          </cell>
          <cell r="H741" t="str">
            <v>EFS</v>
          </cell>
          <cell r="L741">
            <v>0</v>
          </cell>
          <cell r="N741" t="str">
            <v>Textile Dyes</v>
          </cell>
        </row>
        <row r="742">
          <cell r="C742" t="str">
            <v>KAPW-FS-125038-15-02-2024</v>
          </cell>
          <cell r="H742" t="str">
            <v>EFS</v>
          </cell>
          <cell r="L742">
            <v>1080.79</v>
          </cell>
          <cell r="N742" t="str">
            <v>Blended Fabric</v>
          </cell>
        </row>
        <row r="743">
          <cell r="C743" t="str">
            <v>KAPS-FS-91865-16-02-2024</v>
          </cell>
          <cell r="H743" t="str">
            <v>EFS</v>
          </cell>
          <cell r="L743">
            <v>24480</v>
          </cell>
          <cell r="N743" t="str">
            <v>Polyester Yarn</v>
          </cell>
        </row>
        <row r="744">
          <cell r="C744" t="str">
            <v>KPPI-FS-46101-21-02-2024</v>
          </cell>
          <cell r="H744" t="str">
            <v>EFS</v>
          </cell>
          <cell r="L744">
            <v>0</v>
          </cell>
          <cell r="N744" t="str">
            <v>Raw Cotton</v>
          </cell>
        </row>
        <row r="745">
          <cell r="C745" t="str">
            <v>KAPS-FS-95844-23-02-2024</v>
          </cell>
          <cell r="H745" t="str">
            <v>EFS</v>
          </cell>
          <cell r="L745">
            <v>0</v>
          </cell>
          <cell r="N745" t="str">
            <v>Polyester Staple Fiber</v>
          </cell>
        </row>
        <row r="746">
          <cell r="C746" t="str">
            <v>KAPW-FS-131726-27-02-2024</v>
          </cell>
          <cell r="H746" t="str">
            <v>EFS</v>
          </cell>
          <cell r="L746">
            <v>3.68</v>
          </cell>
          <cell r="N746" t="str">
            <v>Textile Chemical</v>
          </cell>
        </row>
        <row r="747">
          <cell r="C747" t="str">
            <v>KAPW-FS-132705-28-02-2024</v>
          </cell>
          <cell r="H747" t="str">
            <v>EFS</v>
          </cell>
          <cell r="L747">
            <v>0</v>
          </cell>
          <cell r="N747" t="str">
            <v>Textile Chemical</v>
          </cell>
        </row>
        <row r="748">
          <cell r="C748" t="str">
            <v>KAPW-FS-137643-07-03-2024</v>
          </cell>
          <cell r="H748" t="str">
            <v>EFS</v>
          </cell>
          <cell r="L748">
            <v>0</v>
          </cell>
          <cell r="N748" t="str">
            <v>Packing Material</v>
          </cell>
        </row>
        <row r="749">
          <cell r="C749" t="str">
            <v>KAPW-FS-137770-07-03-2024</v>
          </cell>
          <cell r="H749" t="str">
            <v>EFS</v>
          </cell>
          <cell r="L749">
            <v>1920</v>
          </cell>
          <cell r="N749" t="str">
            <v>Blended Fabric</v>
          </cell>
        </row>
        <row r="750">
          <cell r="C750" t="str">
            <v>KAPW-FS-137771-07-03-2024</v>
          </cell>
          <cell r="H750" t="str">
            <v>EFS</v>
          </cell>
          <cell r="L750">
            <v>1000</v>
          </cell>
          <cell r="N750" t="str">
            <v>Blended Fabric</v>
          </cell>
        </row>
        <row r="751">
          <cell r="C751" t="str">
            <v>KAPW-FS-139283-09-03-2024</v>
          </cell>
          <cell r="H751" t="str">
            <v>EFS</v>
          </cell>
          <cell r="L751">
            <v>0</v>
          </cell>
          <cell r="N751" t="str">
            <v>Polyester Staple Fiber</v>
          </cell>
        </row>
        <row r="752">
          <cell r="C752" t="str">
            <v>KAPS-FS-102925-09-03-2024</v>
          </cell>
          <cell r="H752" t="str">
            <v>EFS</v>
          </cell>
          <cell r="L752">
            <v>24480</v>
          </cell>
          <cell r="N752" t="str">
            <v>Polyester Yarn</v>
          </cell>
        </row>
        <row r="753">
          <cell r="C753" t="str">
            <v>KPAF-FS-43681-11-03-2024</v>
          </cell>
          <cell r="H753" t="str">
            <v>EFS</v>
          </cell>
          <cell r="L753">
            <v>0</v>
          </cell>
          <cell r="N753" t="str">
            <v>Textile Dyes</v>
          </cell>
        </row>
        <row r="754">
          <cell r="C754" t="str">
            <v>KAPS-FS-104215-12-03-2024</v>
          </cell>
          <cell r="H754" t="str">
            <v>EFS</v>
          </cell>
          <cell r="L754">
            <v>81.080000000000013</v>
          </cell>
          <cell r="N754" t="str">
            <v>Textile Chemical</v>
          </cell>
        </row>
        <row r="755">
          <cell r="C755" t="str">
            <v>KAPS-FS-104803-13-03-2024</v>
          </cell>
          <cell r="H755" t="str">
            <v>EFS</v>
          </cell>
          <cell r="L755">
            <v>0</v>
          </cell>
          <cell r="N755" t="str">
            <v>Textile Dyes</v>
          </cell>
        </row>
        <row r="756">
          <cell r="C756" t="str">
            <v>KAPE-FS-60621-13-03-2024</v>
          </cell>
          <cell r="H756" t="str">
            <v>EFS</v>
          </cell>
          <cell r="L756">
            <v>0</v>
          </cell>
          <cell r="N756" t="str">
            <v>Textile Dyes</v>
          </cell>
        </row>
        <row r="757">
          <cell r="C757" t="str">
            <v>KAPW-FS-142293-15-03-2024</v>
          </cell>
          <cell r="H757" t="str">
            <v>EFS</v>
          </cell>
          <cell r="L757">
            <v>23100</v>
          </cell>
          <cell r="N757" t="str">
            <v>Polyester Yarn</v>
          </cell>
        </row>
        <row r="758">
          <cell r="C758" t="str">
            <v>KAPW-FS-142294-15-03-2024</v>
          </cell>
          <cell r="H758" t="str">
            <v>EFS</v>
          </cell>
          <cell r="L758">
            <v>24480</v>
          </cell>
          <cell r="N758" t="str">
            <v>Polyester Yarn</v>
          </cell>
        </row>
        <row r="759">
          <cell r="C759" t="str">
            <v>KPAF-FS-44664-15-03-2024</v>
          </cell>
          <cell r="H759" t="str">
            <v>EFS</v>
          </cell>
          <cell r="L759">
            <v>187.56</v>
          </cell>
          <cell r="N759" t="str">
            <v>Blended Fabric</v>
          </cell>
        </row>
        <row r="760">
          <cell r="C760" t="str">
            <v>KAPS-FS-106915-18-03-2024</v>
          </cell>
          <cell r="H760" t="str">
            <v>EFS</v>
          </cell>
          <cell r="L760">
            <v>24480</v>
          </cell>
          <cell r="N760" t="str">
            <v>Polyester Yarn</v>
          </cell>
        </row>
        <row r="761">
          <cell r="C761" t="str">
            <v>KAPS-FS-106914-18-03-2024</v>
          </cell>
          <cell r="H761" t="str">
            <v>EFS</v>
          </cell>
          <cell r="L761">
            <v>116.82999999999916</v>
          </cell>
          <cell r="N761" t="str">
            <v>Textile Chemical</v>
          </cell>
        </row>
        <row r="762">
          <cell r="C762" t="str">
            <v>KAPS-FS-106916-18-03-2024</v>
          </cell>
          <cell r="H762" t="str">
            <v>EFS</v>
          </cell>
          <cell r="L762">
            <v>0</v>
          </cell>
          <cell r="N762" t="str">
            <v>Packing Material</v>
          </cell>
        </row>
        <row r="763">
          <cell r="C763" t="str">
            <v>KAPS-FS-106917-18-03-2024</v>
          </cell>
          <cell r="H763" t="str">
            <v>EFS</v>
          </cell>
          <cell r="L763">
            <v>0</v>
          </cell>
          <cell r="N763" t="str">
            <v>Packing Material</v>
          </cell>
        </row>
        <row r="764">
          <cell r="C764" t="str">
            <v>KAPS-FS-106918-18-03-2024</v>
          </cell>
          <cell r="H764" t="str">
            <v>EFS</v>
          </cell>
          <cell r="L764">
            <v>0</v>
          </cell>
          <cell r="N764" t="str">
            <v>Packing Material</v>
          </cell>
        </row>
        <row r="765">
          <cell r="C765" t="str">
            <v>KAPS-FS-107200-19-03-2024</v>
          </cell>
          <cell r="H765" t="str">
            <v>EFS</v>
          </cell>
          <cell r="L765">
            <v>0</v>
          </cell>
          <cell r="N765" t="str">
            <v>Textile Dyes</v>
          </cell>
        </row>
        <row r="766">
          <cell r="C766" t="str">
            <v>KAPS-FS-108088-21-03-2024</v>
          </cell>
          <cell r="H766" t="str">
            <v>EFS</v>
          </cell>
          <cell r="L766">
            <v>0</v>
          </cell>
          <cell r="N766" t="str">
            <v>Textile Chemical</v>
          </cell>
        </row>
        <row r="767">
          <cell r="C767" t="str">
            <v>KAPW-FS-148199-27-03-2024</v>
          </cell>
          <cell r="H767" t="str">
            <v>EFS</v>
          </cell>
          <cell r="L767">
            <v>23100</v>
          </cell>
          <cell r="N767" t="str">
            <v>Polyester Yarn</v>
          </cell>
        </row>
        <row r="768">
          <cell r="C768" t="str">
            <v>KAPW-FS-150133-30-03-2024</v>
          </cell>
          <cell r="H768" t="str">
            <v>EFS</v>
          </cell>
          <cell r="L768">
            <v>0</v>
          </cell>
          <cell r="N768" t="str">
            <v>Textile Chemical</v>
          </cell>
        </row>
        <row r="769">
          <cell r="C769" t="str">
            <v>KAPW-FS-150846-01-04-2024</v>
          </cell>
          <cell r="H769" t="str">
            <v>EFS</v>
          </cell>
          <cell r="L769">
            <v>23100</v>
          </cell>
          <cell r="N769" t="str">
            <v>Polyester Yarn</v>
          </cell>
        </row>
        <row r="770">
          <cell r="C770" t="str">
            <v>KAPS-FS-110169-27-03-2024</v>
          </cell>
          <cell r="H770" t="str">
            <v>EFS</v>
          </cell>
          <cell r="L770">
            <v>0</v>
          </cell>
          <cell r="N770" t="str">
            <v>Raw Cotton</v>
          </cell>
        </row>
        <row r="771">
          <cell r="C771" t="str">
            <v>KAPW-FS-150842-01-04-2024</v>
          </cell>
          <cell r="H771" t="str">
            <v>EFS</v>
          </cell>
          <cell r="L771">
            <v>23100</v>
          </cell>
          <cell r="N771" t="str">
            <v>Polyester Yarn</v>
          </cell>
        </row>
        <row r="772">
          <cell r="C772" t="str">
            <v>KAPW-FS-150848-01-04-2024</v>
          </cell>
          <cell r="H772" t="str">
            <v>EFS</v>
          </cell>
          <cell r="L772">
            <v>23100</v>
          </cell>
          <cell r="N772" t="str">
            <v>Polyester Yarn</v>
          </cell>
        </row>
        <row r="773">
          <cell r="C773" t="str">
            <v>KAPE-FS-64665-03-04-2024</v>
          </cell>
          <cell r="H773" t="str">
            <v>EFS</v>
          </cell>
          <cell r="L773">
            <v>0</v>
          </cell>
          <cell r="N773" t="str">
            <v>Textile Dyes</v>
          </cell>
        </row>
        <row r="774">
          <cell r="C774" t="str">
            <v>KAPS-FS-114599-05-04-2024</v>
          </cell>
          <cell r="H774" t="str">
            <v>EFS</v>
          </cell>
          <cell r="L774">
            <v>0</v>
          </cell>
          <cell r="N774" t="str">
            <v>Raw Cotton</v>
          </cell>
        </row>
        <row r="775">
          <cell r="C775" t="str">
            <v>KAPE-FS-65450-08-04-2024</v>
          </cell>
          <cell r="H775" t="str">
            <v>EFS</v>
          </cell>
          <cell r="L775">
            <v>24480</v>
          </cell>
          <cell r="N775" t="str">
            <v>Polyester Yarn</v>
          </cell>
        </row>
        <row r="776">
          <cell r="C776" t="str">
            <v>KPAF-FS-50053-15-04-2024</v>
          </cell>
          <cell r="H776" t="str">
            <v>EFS</v>
          </cell>
          <cell r="L776">
            <v>384.88</v>
          </cell>
          <cell r="N776" t="str">
            <v>Packing Material</v>
          </cell>
        </row>
        <row r="777">
          <cell r="C777" t="str">
            <v>KAPS-FS-119046-18-04-2024</v>
          </cell>
          <cell r="H777" t="str">
            <v>EFS</v>
          </cell>
          <cell r="L777">
            <v>24300</v>
          </cell>
          <cell r="N777" t="str">
            <v>Polyester Yarn</v>
          </cell>
        </row>
        <row r="778">
          <cell r="C778" t="str">
            <v>KAPW-FS-158790-18-04-2024</v>
          </cell>
          <cell r="H778" t="str">
            <v>EFS</v>
          </cell>
          <cell r="L778">
            <v>36.21</v>
          </cell>
          <cell r="N778" t="str">
            <v>Packing Material</v>
          </cell>
        </row>
        <row r="779">
          <cell r="C779" t="str">
            <v>KAPW-FS-158798-18-04-2024</v>
          </cell>
          <cell r="H779" t="str">
            <v>EFS</v>
          </cell>
          <cell r="L779">
            <v>2263</v>
          </cell>
          <cell r="N779" t="str">
            <v>Blended Fabric</v>
          </cell>
        </row>
        <row r="780">
          <cell r="C780" t="str">
            <v>KAPW-FS-158859-18-04-2024</v>
          </cell>
          <cell r="H780" t="str">
            <v>EFS</v>
          </cell>
          <cell r="L780">
            <v>23100</v>
          </cell>
          <cell r="N780" t="str">
            <v>Polyester Yarn</v>
          </cell>
        </row>
        <row r="781">
          <cell r="C781" t="str">
            <v>KAPW-FS-158867-18-04-2024</v>
          </cell>
          <cell r="H781" t="str">
            <v>EFS</v>
          </cell>
          <cell r="L781">
            <v>23100</v>
          </cell>
          <cell r="N781" t="str">
            <v>Polyester Yarn</v>
          </cell>
        </row>
        <row r="782">
          <cell r="C782" t="str">
            <v>KAPW-FS-158784-18-04-2024</v>
          </cell>
          <cell r="H782" t="str">
            <v>EFS</v>
          </cell>
          <cell r="L782">
            <v>4050</v>
          </cell>
          <cell r="N782" t="str">
            <v>Packing Material</v>
          </cell>
        </row>
        <row r="783">
          <cell r="C783" t="str">
            <v>KAPS-FS-119025-18-04-2024</v>
          </cell>
          <cell r="H783" t="str">
            <v>EFS</v>
          </cell>
          <cell r="L783">
            <v>18720</v>
          </cell>
          <cell r="N783" t="str">
            <v>Textile Chemical</v>
          </cell>
        </row>
        <row r="784">
          <cell r="C784" t="str">
            <v>KAPS-FS-119014-18-04-2024</v>
          </cell>
          <cell r="H784" t="str">
            <v>EFS</v>
          </cell>
          <cell r="L784">
            <v>24480</v>
          </cell>
          <cell r="N784" t="str">
            <v>Polyester Yarn</v>
          </cell>
        </row>
        <row r="785">
          <cell r="C785" t="str">
            <v>KAPS-FS-120629-22-04-2024</v>
          </cell>
          <cell r="H785" t="str">
            <v>EFS</v>
          </cell>
          <cell r="L785">
            <v>24480</v>
          </cell>
          <cell r="N785" t="str">
            <v>Polyester Yarn</v>
          </cell>
        </row>
        <row r="786">
          <cell r="C786" t="str">
            <v>KAPW-FS-161911-24-04-2024</v>
          </cell>
          <cell r="H786" t="str">
            <v>EFS</v>
          </cell>
          <cell r="L786">
            <v>23100</v>
          </cell>
          <cell r="N786" t="str">
            <v>Polyester Yarn</v>
          </cell>
        </row>
        <row r="787">
          <cell r="C787" t="str">
            <v>KAPS-FS-122706-25-04-2024</v>
          </cell>
          <cell r="H787" t="str">
            <v>EFS</v>
          </cell>
          <cell r="L787">
            <v>24300</v>
          </cell>
          <cell r="N787" t="str">
            <v>Polyester Yarn</v>
          </cell>
        </row>
        <row r="788">
          <cell r="C788" t="str">
            <v>KPPI-FS-59812-25-04-2024</v>
          </cell>
          <cell r="H788" t="str">
            <v>EFS</v>
          </cell>
          <cell r="L788">
            <v>0</v>
          </cell>
          <cell r="N788" t="str">
            <v>Raw Cotton</v>
          </cell>
        </row>
        <row r="789">
          <cell r="C789" t="str">
            <v>KAPW-FS-163540-25-04-2024</v>
          </cell>
          <cell r="H789" t="str">
            <v>EFS</v>
          </cell>
          <cell r="L789">
            <v>23100</v>
          </cell>
          <cell r="N789" t="str">
            <v>Polyester Yarn</v>
          </cell>
        </row>
        <row r="790">
          <cell r="C790" t="str">
            <v>KAPS-FS-122708-25-04-2024</v>
          </cell>
          <cell r="H790" t="str">
            <v>EFS</v>
          </cell>
          <cell r="L790">
            <v>24480</v>
          </cell>
          <cell r="N790" t="str">
            <v>Polyester Yarn</v>
          </cell>
        </row>
        <row r="791">
          <cell r="C791" t="str">
            <v>KAPW-FS-164826-27-04-2024</v>
          </cell>
          <cell r="H791" t="str">
            <v>EFS</v>
          </cell>
          <cell r="L791">
            <v>23100</v>
          </cell>
          <cell r="N791" t="str">
            <v>Polyester Yarn</v>
          </cell>
        </row>
        <row r="792">
          <cell r="C792" t="str">
            <v>KAPS-FS-123714-27-04-2024</v>
          </cell>
          <cell r="H792" t="str">
            <v>EFS</v>
          </cell>
          <cell r="L792">
            <v>24480</v>
          </cell>
          <cell r="N792" t="str">
            <v>Polyester Yarn</v>
          </cell>
        </row>
        <row r="793">
          <cell r="C793" t="str">
            <v>KAPS-FS-125753-02-05-2024</v>
          </cell>
          <cell r="H793" t="str">
            <v>EFS</v>
          </cell>
          <cell r="L793">
            <v>5087</v>
          </cell>
          <cell r="N793" t="str">
            <v>Blended Fabric</v>
          </cell>
        </row>
        <row r="794">
          <cell r="C794" t="str">
            <v>KPPI-FS-61552-04-05-2024</v>
          </cell>
          <cell r="H794" t="str">
            <v>EFS</v>
          </cell>
          <cell r="L794">
            <v>0</v>
          </cell>
          <cell r="N794" t="str">
            <v>Raw Cotton</v>
          </cell>
        </row>
        <row r="795">
          <cell r="C795" t="str">
            <v>KAPS-FS-127354-06-05-2024</v>
          </cell>
          <cell r="H795" t="str">
            <v>EFS</v>
          </cell>
          <cell r="L795">
            <v>0</v>
          </cell>
          <cell r="N795" t="str">
            <v>Textile Dyes</v>
          </cell>
        </row>
        <row r="796">
          <cell r="C796" t="str">
            <v>KAPS-FS-127356-06-05-2024</v>
          </cell>
          <cell r="H796" t="str">
            <v>EFS</v>
          </cell>
          <cell r="L796">
            <v>1.1300000000000026</v>
          </cell>
          <cell r="N796" t="str">
            <v>Textile Chemical</v>
          </cell>
        </row>
        <row r="797">
          <cell r="C797" t="str">
            <v>KPAF-FS-55270-07-05-2024</v>
          </cell>
          <cell r="H797" t="str">
            <v>EFS</v>
          </cell>
          <cell r="L797">
            <v>300</v>
          </cell>
          <cell r="N797" t="str">
            <v>Woven / Nylon Fabric</v>
          </cell>
        </row>
        <row r="798">
          <cell r="C798" t="str">
            <v>KAPW-FS-171598-09-05-2024</v>
          </cell>
          <cell r="H798" t="str">
            <v>EFS</v>
          </cell>
          <cell r="L798">
            <v>480</v>
          </cell>
          <cell r="N798" t="str">
            <v>Textile Chemical</v>
          </cell>
        </row>
        <row r="799">
          <cell r="C799" t="str">
            <v>KAPS-FS-130888-11-05-2024</v>
          </cell>
          <cell r="H799" t="str">
            <v>EFS</v>
          </cell>
          <cell r="L799">
            <v>30179.65</v>
          </cell>
          <cell r="N799" t="str">
            <v>Polyester Staple Fiber</v>
          </cell>
        </row>
        <row r="800">
          <cell r="C800" t="str">
            <v>KAPS-FS-131674-14-05-2024</v>
          </cell>
          <cell r="H800" t="str">
            <v>EFS</v>
          </cell>
          <cell r="L800">
            <v>18720</v>
          </cell>
          <cell r="N800" t="str">
            <v>Textile Chemical</v>
          </cell>
        </row>
        <row r="801">
          <cell r="C801" t="str">
            <v>KAPS-FS-131938-14-05-2024</v>
          </cell>
          <cell r="H801" t="str">
            <v>EFS</v>
          </cell>
          <cell r="L801">
            <v>0</v>
          </cell>
          <cell r="N801" t="str">
            <v>Textile Dyes</v>
          </cell>
        </row>
        <row r="802">
          <cell r="C802" t="str">
            <v>KAPW-FS-174553-15-05-2024</v>
          </cell>
          <cell r="H802" t="str">
            <v>EFS</v>
          </cell>
          <cell r="L802">
            <v>0</v>
          </cell>
          <cell r="N802" t="str">
            <v>Raw Cotton</v>
          </cell>
        </row>
        <row r="803">
          <cell r="C803" t="str">
            <v>KAPW-FS-174554-15-05-2024</v>
          </cell>
          <cell r="H803" t="str">
            <v>EFS</v>
          </cell>
          <cell r="L803">
            <v>0</v>
          </cell>
          <cell r="N803" t="str">
            <v>Raw Cotton</v>
          </cell>
        </row>
        <row r="804">
          <cell r="C804" t="str">
            <v>KAPS-FS-133478-17-05-2024</v>
          </cell>
          <cell r="H804" t="str">
            <v>EFS</v>
          </cell>
          <cell r="L804">
            <v>596305.5</v>
          </cell>
          <cell r="N804" t="str">
            <v>Polyester Staple Fiber</v>
          </cell>
        </row>
        <row r="805">
          <cell r="C805" t="str">
            <v>KPFI-FS-35857-18-05-2024</v>
          </cell>
          <cell r="H805" t="str">
            <v>EFS</v>
          </cell>
          <cell r="L805">
            <v>180</v>
          </cell>
          <cell r="N805" t="str">
            <v>Blended Fabric</v>
          </cell>
        </row>
        <row r="806">
          <cell r="C806" t="str">
            <v>KPPI-FS-65099-21-05-2024</v>
          </cell>
          <cell r="H806" t="str">
            <v>EFS</v>
          </cell>
          <cell r="L806">
            <v>0</v>
          </cell>
          <cell r="N806" t="str">
            <v>Raw Cotton</v>
          </cell>
        </row>
        <row r="807">
          <cell r="C807" t="str">
            <v>KAPS-FS-136023-22-05-2024</v>
          </cell>
          <cell r="H807" t="str">
            <v>EFS</v>
          </cell>
          <cell r="L807">
            <v>0</v>
          </cell>
          <cell r="N807" t="str">
            <v>Textile Chemical</v>
          </cell>
        </row>
        <row r="808">
          <cell r="C808" t="str">
            <v>KAPW-FS-179692-23-05-2024</v>
          </cell>
          <cell r="H808" t="str">
            <v>EFS</v>
          </cell>
          <cell r="L808">
            <v>302527.5</v>
          </cell>
          <cell r="N808" t="str">
            <v>Polyester Staple Fiber</v>
          </cell>
        </row>
        <row r="809">
          <cell r="C809" t="str">
            <v>KAPS-FS-136823-23-05-2024</v>
          </cell>
          <cell r="H809" t="str">
            <v>EFS</v>
          </cell>
          <cell r="L809">
            <v>10080</v>
          </cell>
          <cell r="N809" t="str">
            <v>Textile Chemical</v>
          </cell>
        </row>
        <row r="810">
          <cell r="C810" t="str">
            <v>KAPS-FS-136827-23-05-2024</v>
          </cell>
          <cell r="H810" t="str">
            <v>EFS</v>
          </cell>
          <cell r="L810">
            <v>375.29</v>
          </cell>
          <cell r="N810" t="str">
            <v>Textile Chemical</v>
          </cell>
        </row>
        <row r="811">
          <cell r="C811" t="str">
            <v>KAPW-FS-184827-01-06-2024</v>
          </cell>
          <cell r="H811" t="str">
            <v>EFS</v>
          </cell>
          <cell r="L811">
            <v>0</v>
          </cell>
          <cell r="N811" t="str">
            <v>Textile Chemical</v>
          </cell>
        </row>
        <row r="812">
          <cell r="C812" t="str">
            <v>KAPS-FS-140861-03-06-2024</v>
          </cell>
          <cell r="H812" t="str">
            <v>EFS</v>
          </cell>
          <cell r="L812">
            <v>19562.62</v>
          </cell>
          <cell r="N812" t="str">
            <v>Blended Yarn</v>
          </cell>
        </row>
        <row r="813">
          <cell r="C813" t="str">
            <v>KAPS-FS-141691-04-06-2024</v>
          </cell>
          <cell r="H813" t="str">
            <v>EFS</v>
          </cell>
          <cell r="L813">
            <v>51680</v>
          </cell>
          <cell r="N813" t="str">
            <v>Polyester Staple Fiber</v>
          </cell>
        </row>
        <row r="814">
          <cell r="C814" t="str">
            <v>KAPS-FS-144067-08-06-2024</v>
          </cell>
          <cell r="H814" t="str">
            <v>EFS</v>
          </cell>
          <cell r="L814">
            <v>24480</v>
          </cell>
          <cell r="N814" t="str">
            <v>Polyester Yarn</v>
          </cell>
        </row>
        <row r="815">
          <cell r="C815" t="str">
            <v>KAPW-FS-190514-08-06-2024</v>
          </cell>
          <cell r="H815" t="str">
            <v>EFS</v>
          </cell>
          <cell r="L815">
            <v>24480</v>
          </cell>
          <cell r="N815" t="str">
            <v>Polyester Yarn</v>
          </cell>
        </row>
        <row r="816">
          <cell r="C816" t="str">
            <v>KAPW-FS-192860-11-06-2024</v>
          </cell>
          <cell r="H816" t="str">
            <v>EFS</v>
          </cell>
          <cell r="L816">
            <v>3609</v>
          </cell>
          <cell r="N816" t="str">
            <v>Polyester Fabric</v>
          </cell>
        </row>
        <row r="817">
          <cell r="C817" t="str">
            <v>KAPW-FS-192862-11-06-2024</v>
          </cell>
          <cell r="H817" t="str">
            <v>EFS</v>
          </cell>
          <cell r="L817">
            <v>1959.1</v>
          </cell>
          <cell r="N817" t="str">
            <v>Polyester Fabric</v>
          </cell>
        </row>
        <row r="818">
          <cell r="C818" t="str">
            <v>KAPW-FS-192859-11-06-2024</v>
          </cell>
          <cell r="H818" t="str">
            <v>EFS</v>
          </cell>
          <cell r="L818">
            <v>8500</v>
          </cell>
          <cell r="N818" t="str">
            <v>Textile Chemical</v>
          </cell>
        </row>
        <row r="819">
          <cell r="C819" t="str">
            <v>KAPW-FS-192762-11-06-2024</v>
          </cell>
          <cell r="H819" t="str">
            <v>EFS</v>
          </cell>
          <cell r="L819">
            <v>0</v>
          </cell>
          <cell r="N819" t="str">
            <v>Textile Dyes</v>
          </cell>
        </row>
        <row r="820">
          <cell r="C820" t="str">
            <v>KAPS-FS-146211-12-06-2024</v>
          </cell>
          <cell r="H820" t="str">
            <v>EFS</v>
          </cell>
          <cell r="L820">
            <v>0</v>
          </cell>
          <cell r="N820" t="str">
            <v>Packing Material</v>
          </cell>
        </row>
        <row r="821">
          <cell r="C821" t="str">
            <v>KAPS-FS-146216-12-06-2024</v>
          </cell>
          <cell r="H821" t="str">
            <v>EFS</v>
          </cell>
          <cell r="L821">
            <v>0</v>
          </cell>
          <cell r="N821" t="str">
            <v>Packing Material</v>
          </cell>
        </row>
        <row r="822">
          <cell r="C822" t="str">
            <v>KAPS-FS-146212-12-06-2024</v>
          </cell>
          <cell r="H822" t="str">
            <v>EFS</v>
          </cell>
          <cell r="L822">
            <v>2.3099999999999881</v>
          </cell>
          <cell r="N822" t="str">
            <v>Packing Material</v>
          </cell>
        </row>
        <row r="823">
          <cell r="C823" t="str">
            <v>KAPW-FS-192984-12-06-2024</v>
          </cell>
          <cell r="H823" t="str">
            <v>EFS</v>
          </cell>
          <cell r="L823">
            <v>18912</v>
          </cell>
          <cell r="N823" t="str">
            <v>Polyester Yarn</v>
          </cell>
        </row>
        <row r="824">
          <cell r="C824" t="str">
            <v>KAPE-FS-79606-13-06-2024</v>
          </cell>
          <cell r="H824" t="str">
            <v>EFS</v>
          </cell>
          <cell r="L824">
            <v>0</v>
          </cell>
          <cell r="N824" t="str">
            <v>Textile Dyes</v>
          </cell>
        </row>
        <row r="825">
          <cell r="C825" t="str">
            <v>KAPS-FS-147645-17-06-2024</v>
          </cell>
          <cell r="H825" t="str">
            <v>EFS</v>
          </cell>
          <cell r="L825">
            <v>22000</v>
          </cell>
          <cell r="N825" t="str">
            <v>Polyester Yarn</v>
          </cell>
        </row>
        <row r="826">
          <cell r="C826" t="str">
            <v>KAPW-FS-195627-20-06-2024</v>
          </cell>
          <cell r="H826" t="str">
            <v>EFS</v>
          </cell>
          <cell r="L826">
            <v>0</v>
          </cell>
          <cell r="N826" t="str">
            <v>Textile Dyes</v>
          </cell>
        </row>
        <row r="827">
          <cell r="C827" t="str">
            <v>KAPW-FS-199126-26-06-2024</v>
          </cell>
          <cell r="H827" t="str">
            <v>EFS</v>
          </cell>
          <cell r="L827">
            <v>888</v>
          </cell>
          <cell r="N827" t="str">
            <v>Packing Material</v>
          </cell>
        </row>
        <row r="828">
          <cell r="C828" t="str">
            <v>KAPW-FS-199895-27-06-2024</v>
          </cell>
          <cell r="H828" t="str">
            <v>EFS</v>
          </cell>
          <cell r="L828">
            <v>67627.110000000015</v>
          </cell>
          <cell r="N828" t="str">
            <v>Textile Chemical</v>
          </cell>
        </row>
        <row r="829">
          <cell r="C829" t="str">
            <v>KAPS-FS-153945-29-06-2024</v>
          </cell>
          <cell r="H829" t="str">
            <v>EFS</v>
          </cell>
          <cell r="L829">
            <v>22000</v>
          </cell>
          <cell r="N829" t="str">
            <v>Polyester Yarn</v>
          </cell>
        </row>
        <row r="830">
          <cell r="C830" t="str">
            <v>KPFI-FS-49-01-07-2024</v>
          </cell>
          <cell r="H830" t="str">
            <v>EFS</v>
          </cell>
          <cell r="L830">
            <v>0</v>
          </cell>
          <cell r="N830" t="str">
            <v>Packing Material</v>
          </cell>
        </row>
        <row r="831">
          <cell r="C831" t="str">
            <v>KPAF-FS-119-01-07-2024</v>
          </cell>
          <cell r="H831" t="str">
            <v>EFS</v>
          </cell>
          <cell r="L831">
            <v>0</v>
          </cell>
          <cell r="N831" t="str">
            <v>Packing Material</v>
          </cell>
        </row>
        <row r="832">
          <cell r="C832" t="str">
            <v>KAPS-FS-1283-03-07-2024</v>
          </cell>
          <cell r="H832" t="str">
            <v>EFS</v>
          </cell>
          <cell r="L832">
            <v>0</v>
          </cell>
          <cell r="N832" t="str">
            <v>Textile Chemical</v>
          </cell>
        </row>
        <row r="833">
          <cell r="C833" t="str">
            <v>KAPS-FS-2067-04-07-2024</v>
          </cell>
          <cell r="H833" t="str">
            <v>EFS</v>
          </cell>
          <cell r="L833">
            <v>19300</v>
          </cell>
          <cell r="N833" t="str">
            <v>Textile Chemical</v>
          </cell>
        </row>
        <row r="834">
          <cell r="C834" t="str">
            <v>KAPW-FS-2055-04-07-2024</v>
          </cell>
          <cell r="H834" t="str">
            <v>EFS</v>
          </cell>
          <cell r="L834">
            <v>16500</v>
          </cell>
          <cell r="N834" t="str">
            <v>Textile Chemical</v>
          </cell>
        </row>
        <row r="835">
          <cell r="C835" t="str">
            <v>KAPS-FS-1801-04-07-2024</v>
          </cell>
          <cell r="H835" t="str">
            <v>EFS</v>
          </cell>
          <cell r="L835">
            <v>22000</v>
          </cell>
          <cell r="N835" t="str">
            <v>Polyester Yarn</v>
          </cell>
        </row>
        <row r="836">
          <cell r="C836" t="str">
            <v>KAPS-FS-2075-04-07-2024</v>
          </cell>
          <cell r="H836" t="str">
            <v>EFS</v>
          </cell>
          <cell r="L836">
            <v>25600</v>
          </cell>
          <cell r="N836" t="str">
            <v>Textile Chemical</v>
          </cell>
        </row>
        <row r="837">
          <cell r="C837" t="str">
            <v>KAPS-FS-2068-04-07-2024</v>
          </cell>
          <cell r="H837" t="str">
            <v>EFS</v>
          </cell>
          <cell r="L837">
            <v>21800</v>
          </cell>
          <cell r="N837" t="str">
            <v>Textile Chemical</v>
          </cell>
        </row>
        <row r="838">
          <cell r="C838" t="str">
            <v>KAPW-FS-2045-04-07-2024</v>
          </cell>
          <cell r="H838" t="str">
            <v>EFS</v>
          </cell>
          <cell r="L838">
            <v>8099</v>
          </cell>
          <cell r="N838" t="str">
            <v>Polyester Fabric</v>
          </cell>
        </row>
        <row r="839">
          <cell r="C839" t="str">
            <v>KAPS-FS-3081-05-07-2024</v>
          </cell>
          <cell r="H839" t="str">
            <v>EFS</v>
          </cell>
          <cell r="L839">
            <v>2214.8000000000002</v>
          </cell>
          <cell r="N839" t="str">
            <v>Blended Yarn</v>
          </cell>
        </row>
        <row r="840">
          <cell r="C840" t="str">
            <v>KAPW-FS-3540-06-07-2024</v>
          </cell>
          <cell r="H840" t="str">
            <v>EFS</v>
          </cell>
          <cell r="L840">
            <v>2077</v>
          </cell>
          <cell r="N840" t="str">
            <v>Blended Fabric</v>
          </cell>
        </row>
        <row r="841">
          <cell r="C841" t="str">
            <v>KPAF-FS-1624-08-07-2024</v>
          </cell>
          <cell r="H841" t="str">
            <v>EFS</v>
          </cell>
          <cell r="L841">
            <v>4.5</v>
          </cell>
          <cell r="N841" t="str">
            <v>Packing Material</v>
          </cell>
        </row>
        <row r="842">
          <cell r="C842" t="str">
            <v>KPAF-FS-1625-08-07-2024</v>
          </cell>
          <cell r="H842" t="str">
            <v>EFS</v>
          </cell>
          <cell r="L842">
            <v>396</v>
          </cell>
          <cell r="N842" t="str">
            <v>Packing Material</v>
          </cell>
        </row>
        <row r="843">
          <cell r="C843" t="str">
            <v>KAPW-FS-5672-10-07-2024</v>
          </cell>
          <cell r="H843" t="str">
            <v>EFS</v>
          </cell>
          <cell r="L843">
            <v>135</v>
          </cell>
          <cell r="N843" t="str">
            <v>Packing Material</v>
          </cell>
        </row>
        <row r="844">
          <cell r="C844" t="str">
            <v>KAPE-FS-1698-10-07-2024</v>
          </cell>
          <cell r="H844" t="str">
            <v>EFS</v>
          </cell>
          <cell r="L844">
            <v>114.25999999999999</v>
          </cell>
          <cell r="N844" t="str">
            <v>Packing Material</v>
          </cell>
        </row>
        <row r="845">
          <cell r="C845" t="str">
            <v>KAPE-FS-1698-10-07-2024</v>
          </cell>
          <cell r="H845" t="str">
            <v>EFS</v>
          </cell>
          <cell r="L845">
            <v>114.25999999999999</v>
          </cell>
          <cell r="N845" t="str">
            <v>Packing Material</v>
          </cell>
        </row>
        <row r="846">
          <cell r="C846" t="str">
            <v>KAPW-FS-5673-10-07-2024</v>
          </cell>
          <cell r="H846" t="str">
            <v>EFS</v>
          </cell>
          <cell r="L846">
            <v>9125</v>
          </cell>
          <cell r="N846" t="str">
            <v>Packing Material</v>
          </cell>
        </row>
        <row r="847">
          <cell r="C847" t="str">
            <v>KAPW-FS-5673-10-07-2024</v>
          </cell>
          <cell r="H847" t="str">
            <v>EFS</v>
          </cell>
          <cell r="L847">
            <v>9125</v>
          </cell>
          <cell r="N847" t="str">
            <v>Packing Material</v>
          </cell>
        </row>
        <row r="848">
          <cell r="C848" t="str">
            <v>KPPI-FS-2177-10-07-2024</v>
          </cell>
          <cell r="H848" t="str">
            <v>EFS</v>
          </cell>
          <cell r="L848">
            <v>0</v>
          </cell>
          <cell r="N848" t="str">
            <v>Raw Cotton</v>
          </cell>
        </row>
        <row r="849">
          <cell r="C849" t="str">
            <v>KAPS-FS-5048-10-07-2024</v>
          </cell>
          <cell r="H849" t="str">
            <v>EFS</v>
          </cell>
          <cell r="L849">
            <v>0</v>
          </cell>
          <cell r="N849" t="str">
            <v>Textile Chemical</v>
          </cell>
        </row>
        <row r="850">
          <cell r="C850" t="str">
            <v>KPAF-FS-2405-11-07-2024</v>
          </cell>
          <cell r="H850" t="str">
            <v>EFS</v>
          </cell>
          <cell r="L850">
            <v>68</v>
          </cell>
          <cell r="N850" t="str">
            <v>Packing Material</v>
          </cell>
        </row>
        <row r="851">
          <cell r="C851" t="str">
            <v>KPAF-FS-2766-12-07-2024</v>
          </cell>
          <cell r="H851" t="str">
            <v>EFS</v>
          </cell>
          <cell r="L851">
            <v>105000</v>
          </cell>
          <cell r="N851" t="str">
            <v>Packing Material</v>
          </cell>
        </row>
        <row r="852">
          <cell r="C852" t="str">
            <v>KPAF-FS-2629-12-07-2024</v>
          </cell>
          <cell r="H852" t="str">
            <v>EFS</v>
          </cell>
          <cell r="L852">
            <v>21000</v>
          </cell>
          <cell r="N852" t="str">
            <v>Packing Material</v>
          </cell>
        </row>
        <row r="853">
          <cell r="C853" t="str">
            <v>KAPS-FS-6940-13-07-2024</v>
          </cell>
          <cell r="H853" t="str">
            <v>EFS</v>
          </cell>
          <cell r="L853">
            <v>15080</v>
          </cell>
          <cell r="N853" t="str">
            <v>Textile Chemical</v>
          </cell>
        </row>
        <row r="854">
          <cell r="C854" t="str">
            <v>KPAF-FS-3174-15-07-2024</v>
          </cell>
          <cell r="H854" t="str">
            <v>EFS</v>
          </cell>
          <cell r="L854">
            <v>133</v>
          </cell>
          <cell r="N854" t="str">
            <v>Packing Material</v>
          </cell>
        </row>
        <row r="855">
          <cell r="C855" t="str">
            <v>KPPI-FS-2930-15-07-2024</v>
          </cell>
          <cell r="H855" t="str">
            <v>EFS</v>
          </cell>
          <cell r="L855">
            <v>0</v>
          </cell>
          <cell r="N855" t="str">
            <v>Raw Cotton</v>
          </cell>
        </row>
        <row r="856">
          <cell r="C856" t="str">
            <v>KPPI-FS-2931-15-07-2024</v>
          </cell>
          <cell r="H856" t="str">
            <v>EFS</v>
          </cell>
          <cell r="L856">
            <v>3556.8600000000033</v>
          </cell>
          <cell r="N856" t="str">
            <v>Raw Cotton</v>
          </cell>
        </row>
        <row r="857">
          <cell r="C857" t="str">
            <v>KPAF-FS-3882-20-07-2024</v>
          </cell>
          <cell r="H857" t="str">
            <v>EFS</v>
          </cell>
          <cell r="L857">
            <v>0</v>
          </cell>
          <cell r="N857" t="str">
            <v>Textile Dyes</v>
          </cell>
        </row>
        <row r="858">
          <cell r="C858" t="str">
            <v>KPAF-FS-4060-22-07-2024</v>
          </cell>
          <cell r="H858" t="str">
            <v>EFS</v>
          </cell>
          <cell r="L858">
            <v>1665.5</v>
          </cell>
          <cell r="N858" t="str">
            <v>Polyester Staple Fiber</v>
          </cell>
        </row>
        <row r="859">
          <cell r="C859" t="str">
            <v>PQZI-EI-2074-23-07-2024</v>
          </cell>
          <cell r="H859" t="str">
            <v>EFS</v>
          </cell>
          <cell r="L859">
            <v>388.28</v>
          </cell>
          <cell r="N859" t="str">
            <v>Packing Material</v>
          </cell>
        </row>
        <row r="860">
          <cell r="C860" t="str">
            <v>PQZI-EI-2074-23-07-2024</v>
          </cell>
          <cell r="H860" t="str">
            <v>EFS</v>
          </cell>
          <cell r="L860">
            <v>388.28</v>
          </cell>
          <cell r="N860" t="str">
            <v>Packing Material</v>
          </cell>
        </row>
        <row r="861">
          <cell r="C861" t="str">
            <v>PQZI-EI-2074-23-07-2024</v>
          </cell>
          <cell r="H861" t="str">
            <v>EFS</v>
          </cell>
          <cell r="L861">
            <v>388.28</v>
          </cell>
          <cell r="N861" t="str">
            <v>Packing Material</v>
          </cell>
        </row>
        <row r="862">
          <cell r="C862" t="str">
            <v>PQZI-EI-2075-23-07-2024</v>
          </cell>
          <cell r="H862" t="str">
            <v>EFS</v>
          </cell>
          <cell r="L862">
            <v>461.73</v>
          </cell>
          <cell r="N862" t="str">
            <v>Packing Material</v>
          </cell>
        </row>
        <row r="863">
          <cell r="C863" t="str">
            <v>PQZI-EI-2076-23-07-2024</v>
          </cell>
          <cell r="H863" t="str">
            <v>EFS</v>
          </cell>
          <cell r="L863">
            <v>0</v>
          </cell>
          <cell r="N863" t="str">
            <v>Packing Material</v>
          </cell>
        </row>
        <row r="864">
          <cell r="C864" t="str">
            <v>KAPS-FS-11539-23-07-2024</v>
          </cell>
          <cell r="H864" t="str">
            <v>EFS</v>
          </cell>
          <cell r="L864">
            <v>0</v>
          </cell>
          <cell r="N864" t="str">
            <v>Textile Chemical</v>
          </cell>
        </row>
        <row r="865">
          <cell r="C865" t="str">
            <v>KAPW-FS-11659-23-07-2024</v>
          </cell>
          <cell r="H865" t="str">
            <v>EFS</v>
          </cell>
          <cell r="L865">
            <v>0</v>
          </cell>
          <cell r="N865" t="str">
            <v>Textile Dyes</v>
          </cell>
        </row>
        <row r="866">
          <cell r="C866" t="str">
            <v>KAPS-FS-11538-23-07-2024</v>
          </cell>
          <cell r="H866" t="str">
            <v>EFS</v>
          </cell>
          <cell r="L866">
            <v>24000</v>
          </cell>
          <cell r="N866" t="str">
            <v>Textile Chemical</v>
          </cell>
        </row>
        <row r="867">
          <cell r="C867" t="str">
            <v>PQZI-EI-2207-24-07-2024</v>
          </cell>
          <cell r="H867" t="str">
            <v>EFS</v>
          </cell>
          <cell r="L867">
            <v>260</v>
          </cell>
          <cell r="N867" t="str">
            <v>Packing Material</v>
          </cell>
        </row>
        <row r="868">
          <cell r="C868" t="str">
            <v>PQZI-EI-2208-24-07-2024</v>
          </cell>
          <cell r="H868" t="str">
            <v>EFS</v>
          </cell>
          <cell r="L868">
            <v>1</v>
          </cell>
          <cell r="N868" t="str">
            <v>Packing Material</v>
          </cell>
        </row>
        <row r="869">
          <cell r="C869" t="str">
            <v>PQZI-EI-2208-24-07-2024</v>
          </cell>
          <cell r="H869" t="str">
            <v>EFS</v>
          </cell>
          <cell r="L869">
            <v>1</v>
          </cell>
          <cell r="N869" t="str">
            <v>Packing Material</v>
          </cell>
        </row>
        <row r="870">
          <cell r="C870" t="str">
            <v>KPAF-FS-4893-24-07-2024</v>
          </cell>
          <cell r="H870" t="str">
            <v>EFS</v>
          </cell>
          <cell r="L870">
            <v>376</v>
          </cell>
          <cell r="N870" t="str">
            <v>Packing Material</v>
          </cell>
        </row>
        <row r="871">
          <cell r="C871" t="str">
            <v>KPAF-FS-4618-23-07-2024</v>
          </cell>
          <cell r="H871" t="str">
            <v>EFS</v>
          </cell>
          <cell r="L871">
            <v>13000</v>
          </cell>
          <cell r="N871" t="str">
            <v>Packing Material</v>
          </cell>
        </row>
        <row r="872">
          <cell r="C872" t="str">
            <v>KAPS-FS-11548-23-07-2024</v>
          </cell>
          <cell r="H872" t="str">
            <v>EFS</v>
          </cell>
          <cell r="L872">
            <v>11042</v>
          </cell>
          <cell r="N872" t="str">
            <v>Packing Material</v>
          </cell>
        </row>
        <row r="873">
          <cell r="C873" t="str">
            <v>KPPI-FS-4684-24-07-2024</v>
          </cell>
          <cell r="H873" t="str">
            <v>EFS</v>
          </cell>
          <cell r="L873">
            <v>74176</v>
          </cell>
          <cell r="N873" t="str">
            <v>Raw Cotton</v>
          </cell>
        </row>
        <row r="874">
          <cell r="C874" t="str">
            <v>PQZI-EI-2225-24-07-2024</v>
          </cell>
          <cell r="H874" t="str">
            <v>EFS</v>
          </cell>
          <cell r="L874">
            <v>27.42</v>
          </cell>
          <cell r="N874" t="str">
            <v>Packing Material</v>
          </cell>
        </row>
        <row r="875">
          <cell r="C875" t="str">
            <v>KAPW-FS-12332-24-07-2024</v>
          </cell>
          <cell r="H875" t="str">
            <v>EFS</v>
          </cell>
          <cell r="L875">
            <v>163200</v>
          </cell>
          <cell r="N875" t="str">
            <v>Textile Chemical</v>
          </cell>
        </row>
        <row r="876">
          <cell r="C876" t="str">
            <v>KAPE-FS-4281-25-07-2024</v>
          </cell>
          <cell r="H876" t="str">
            <v>EFS</v>
          </cell>
          <cell r="L876">
            <v>0</v>
          </cell>
          <cell r="N876" t="str">
            <v>Textile Dyes</v>
          </cell>
        </row>
        <row r="877">
          <cell r="C877" t="str">
            <v>KAPW-FS-14136-26-07-2024</v>
          </cell>
          <cell r="H877" t="str">
            <v>EFS</v>
          </cell>
          <cell r="L877">
            <v>0</v>
          </cell>
          <cell r="N877" t="str">
            <v>Textile Dyes</v>
          </cell>
        </row>
        <row r="878">
          <cell r="C878" t="str">
            <v>KPAF-FS-6380-30-07-2024</v>
          </cell>
          <cell r="H878" t="str">
            <v>EFS</v>
          </cell>
          <cell r="L878">
            <v>29</v>
          </cell>
          <cell r="N878" t="str">
            <v>Packing Material</v>
          </cell>
        </row>
        <row r="879">
          <cell r="C879" t="str">
            <v>PQZI-EI-3010-30-07-2024</v>
          </cell>
          <cell r="H879" t="str">
            <v>EFS</v>
          </cell>
          <cell r="L879">
            <v>0</v>
          </cell>
          <cell r="N879" t="str">
            <v>Packing Material</v>
          </cell>
        </row>
        <row r="880">
          <cell r="C880" t="str">
            <v>KPAF-FS-6152-30-07-2024</v>
          </cell>
          <cell r="H880" t="str">
            <v>EFS</v>
          </cell>
          <cell r="L880">
            <v>149.20000000000002</v>
          </cell>
          <cell r="N880" t="str">
            <v>Polyester Fabric</v>
          </cell>
        </row>
        <row r="881">
          <cell r="C881" t="str">
            <v>KPAF-FS-6152-30-07-2024</v>
          </cell>
          <cell r="H881" t="str">
            <v>EFS</v>
          </cell>
          <cell r="L881">
            <v>149.20000000000002</v>
          </cell>
          <cell r="N881" t="str">
            <v>Polyester Fabric</v>
          </cell>
        </row>
        <row r="882">
          <cell r="C882" t="str">
            <v>KPAF-FS-6483-31-07-2024</v>
          </cell>
          <cell r="H882" t="str">
            <v>EFS</v>
          </cell>
          <cell r="L882">
            <v>1415</v>
          </cell>
          <cell r="N882" t="str">
            <v>Polyester Staple Fiber</v>
          </cell>
        </row>
        <row r="883">
          <cell r="C883" t="str">
            <v>KAPS-FS-16818-31-07-2024</v>
          </cell>
          <cell r="H883" t="str">
            <v>EFS</v>
          </cell>
          <cell r="L883">
            <v>310080</v>
          </cell>
          <cell r="N883" t="str">
            <v>Polyester Staple Fiber</v>
          </cell>
        </row>
        <row r="884">
          <cell r="C884" t="str">
            <v>KAPS-FS-18211-03-08-2024</v>
          </cell>
          <cell r="H884" t="str">
            <v>EFS</v>
          </cell>
          <cell r="L884">
            <v>16826.11</v>
          </cell>
          <cell r="N884" t="str">
            <v>Blended Yarn</v>
          </cell>
        </row>
        <row r="885">
          <cell r="C885" t="str">
            <v>KAPW-FS-18088-03-08-2024</v>
          </cell>
          <cell r="H885" t="str">
            <v>EFS</v>
          </cell>
          <cell r="L885">
            <v>6000</v>
          </cell>
          <cell r="N885" t="str">
            <v>Textile Chemical</v>
          </cell>
        </row>
        <row r="886">
          <cell r="C886" t="str">
            <v>PQZI-EI-3647-05-08-2024</v>
          </cell>
          <cell r="H886" t="str">
            <v>EFS</v>
          </cell>
          <cell r="L886">
            <v>1302.57</v>
          </cell>
          <cell r="N886" t="str">
            <v>Packing Material</v>
          </cell>
        </row>
        <row r="887">
          <cell r="C887" t="str">
            <v>PQZI-EI-3893-06-08-2024</v>
          </cell>
          <cell r="H887" t="str">
            <v>EFS</v>
          </cell>
          <cell r="L887">
            <v>1302.57</v>
          </cell>
          <cell r="N887" t="str">
            <v>Packing Material</v>
          </cell>
        </row>
        <row r="888">
          <cell r="C888" t="str">
            <v>PQZI-EI-3887-06-08-2024</v>
          </cell>
          <cell r="H888" t="str">
            <v>EFS</v>
          </cell>
          <cell r="L888">
            <v>5.98</v>
          </cell>
          <cell r="N888" t="str">
            <v>Packing Material</v>
          </cell>
        </row>
        <row r="889">
          <cell r="C889" t="str">
            <v>PQZI-EI-3887-06-08-2024</v>
          </cell>
          <cell r="H889" t="str">
            <v>EFS</v>
          </cell>
          <cell r="L889">
            <v>5.98</v>
          </cell>
          <cell r="N889" t="str">
            <v>Packing Material</v>
          </cell>
        </row>
        <row r="890">
          <cell r="C890" t="str">
            <v>PQZI-EI-3871-06-08-2024</v>
          </cell>
          <cell r="H890" t="str">
            <v>EFS</v>
          </cell>
          <cell r="L890">
            <v>36.75</v>
          </cell>
          <cell r="N890" t="str">
            <v>Packing Material</v>
          </cell>
        </row>
        <row r="891">
          <cell r="C891" t="str">
            <v>KAPW-FS-19999-07-08-2024</v>
          </cell>
          <cell r="H891" t="str">
            <v>EFS</v>
          </cell>
          <cell r="L891">
            <v>163200</v>
          </cell>
          <cell r="N891" t="str">
            <v>Textile Chemical</v>
          </cell>
        </row>
        <row r="892">
          <cell r="C892" t="str">
            <v>KAPS-FS-19691-07-08-2024</v>
          </cell>
          <cell r="H892" t="str">
            <v>EFS</v>
          </cell>
          <cell r="L892">
            <v>18000</v>
          </cell>
          <cell r="N892" t="str">
            <v>Textile Chemical</v>
          </cell>
        </row>
        <row r="893">
          <cell r="C893" t="str">
            <v>KPFI-FS-3849-08-08-2024</v>
          </cell>
          <cell r="H893" t="str">
            <v>EFS</v>
          </cell>
          <cell r="L893">
            <v>8.1</v>
          </cell>
          <cell r="N893" t="str">
            <v>packing Material</v>
          </cell>
        </row>
        <row r="894">
          <cell r="C894" t="str">
            <v>KPPI-FS-7424-08-08-2024</v>
          </cell>
          <cell r="H894" t="str">
            <v>EFS</v>
          </cell>
          <cell r="L894">
            <v>398648</v>
          </cell>
          <cell r="N894" t="str">
            <v>Raw Cotton</v>
          </cell>
        </row>
        <row r="895">
          <cell r="C895" t="str">
            <v>KPPI-FS-7423-08-08-2024</v>
          </cell>
          <cell r="H895" t="str">
            <v>EFS</v>
          </cell>
          <cell r="L895">
            <v>100384</v>
          </cell>
          <cell r="N895" t="str">
            <v>Raw Cotton</v>
          </cell>
        </row>
        <row r="896">
          <cell r="C896" t="str">
            <v>KAPW-FS-20695-08-08-2024</v>
          </cell>
          <cell r="H896" t="str">
            <v>EFS</v>
          </cell>
          <cell r="L896">
            <v>0</v>
          </cell>
          <cell r="N896" t="str">
            <v>Textile Dyes</v>
          </cell>
        </row>
        <row r="897">
          <cell r="C897" t="str">
            <v>KAPE-FS-7207-09-08-2024</v>
          </cell>
          <cell r="H897" t="str">
            <v>EFS</v>
          </cell>
          <cell r="L897">
            <v>1000</v>
          </cell>
          <cell r="N897" t="str">
            <v>Textile Chemical</v>
          </cell>
        </row>
        <row r="898">
          <cell r="C898" t="str">
            <v>KAPS-FS-22010-10-08-2024</v>
          </cell>
          <cell r="H898" t="str">
            <v>EFS</v>
          </cell>
          <cell r="L898">
            <v>14714</v>
          </cell>
          <cell r="N898" t="str">
            <v>packing Material</v>
          </cell>
        </row>
        <row r="899">
          <cell r="C899" t="str">
            <v>PQZI-EI-4453-10-08-2024</v>
          </cell>
          <cell r="H899" t="str">
            <v>EFS</v>
          </cell>
          <cell r="L899">
            <v>288.66000000000003</v>
          </cell>
          <cell r="N899" t="str">
            <v>Packing Material</v>
          </cell>
        </row>
        <row r="900">
          <cell r="C900" t="str">
            <v>PQZI-EI-4453-10-08-2024</v>
          </cell>
          <cell r="H900" t="str">
            <v>EFS</v>
          </cell>
          <cell r="L900">
            <v>288.66000000000003</v>
          </cell>
          <cell r="N900" t="str">
            <v>Packing Material</v>
          </cell>
        </row>
        <row r="901">
          <cell r="C901" t="str">
            <v>PQZI-EI-4454-10-08-2024</v>
          </cell>
          <cell r="H901" t="str">
            <v>EFS</v>
          </cell>
          <cell r="L901">
            <v>350.46</v>
          </cell>
          <cell r="N901" t="str">
            <v>Packing Material</v>
          </cell>
        </row>
        <row r="902">
          <cell r="C902" t="str">
            <v>KPAF-FS-8892-12-08-2024</v>
          </cell>
          <cell r="H902" t="str">
            <v>EFS</v>
          </cell>
          <cell r="L902">
            <v>25</v>
          </cell>
          <cell r="N902" t="str">
            <v>Packing Material</v>
          </cell>
        </row>
        <row r="903">
          <cell r="C903" t="str">
            <v>KPAF-FS-8894-12-08-2024</v>
          </cell>
          <cell r="H903" t="str">
            <v>EFS</v>
          </cell>
          <cell r="L903">
            <v>44</v>
          </cell>
          <cell r="N903" t="str">
            <v>Packing Material</v>
          </cell>
        </row>
        <row r="904">
          <cell r="C904" t="str">
            <v>KPAF-FS-9057-12-08-2024</v>
          </cell>
          <cell r="H904" t="str">
            <v>EFS</v>
          </cell>
          <cell r="L904">
            <v>41000</v>
          </cell>
          <cell r="N904" t="str">
            <v>Packing Material</v>
          </cell>
        </row>
        <row r="905">
          <cell r="C905" t="str">
            <v>KPFI-FS-4334-13-08-2024</v>
          </cell>
          <cell r="H905" t="str">
            <v>EFS</v>
          </cell>
          <cell r="L905">
            <v>18</v>
          </cell>
          <cell r="N905" t="str">
            <v>Packing Material</v>
          </cell>
        </row>
        <row r="906">
          <cell r="C906" t="str">
            <v>KAPW-FS-23706-13-08-2024</v>
          </cell>
          <cell r="H906" t="str">
            <v>EFS</v>
          </cell>
          <cell r="L906">
            <v>5040</v>
          </cell>
          <cell r="N906" t="str">
            <v>Textile Chemical</v>
          </cell>
        </row>
        <row r="907">
          <cell r="C907" t="str">
            <v>PQZI-EI-4789-13-08-2024</v>
          </cell>
          <cell r="H907" t="str">
            <v>EFS</v>
          </cell>
          <cell r="L907">
            <v>1271.5999999999999</v>
          </cell>
          <cell r="N907" t="str">
            <v>Packing Material</v>
          </cell>
        </row>
        <row r="908">
          <cell r="C908" t="str">
            <v>KAPW-FS-24925-15-08-2024</v>
          </cell>
          <cell r="H908" t="str">
            <v>EFS</v>
          </cell>
          <cell r="L908">
            <v>310080</v>
          </cell>
          <cell r="N908" t="str">
            <v>Polyester Staple Fiber</v>
          </cell>
        </row>
        <row r="909">
          <cell r="C909" t="str">
            <v>PQZI-EI-5074-16-08-2024</v>
          </cell>
          <cell r="H909" t="str">
            <v>EFS</v>
          </cell>
          <cell r="L909">
            <v>22.65</v>
          </cell>
          <cell r="N909" t="str">
            <v>Packing Material</v>
          </cell>
        </row>
        <row r="910">
          <cell r="C910" t="str">
            <v>PQZI-EI-5074-16-08-2024</v>
          </cell>
          <cell r="H910" t="str">
            <v>EFS</v>
          </cell>
          <cell r="L910">
            <v>22.65</v>
          </cell>
          <cell r="N910" t="str">
            <v>Packing Material</v>
          </cell>
        </row>
        <row r="911">
          <cell r="C911" t="str">
            <v>PQZI-EI-5069-16-08-2024</v>
          </cell>
          <cell r="H911" t="str">
            <v>EFS</v>
          </cell>
          <cell r="L911">
            <v>94.28</v>
          </cell>
          <cell r="N911" t="str">
            <v>Packing Material</v>
          </cell>
        </row>
        <row r="912">
          <cell r="C912" t="str">
            <v>KAPW-FS-25994-17-08-2024</v>
          </cell>
          <cell r="H912" t="str">
            <v>EFS</v>
          </cell>
          <cell r="L912">
            <v>24908</v>
          </cell>
          <cell r="N912" t="str">
            <v>Packing Material</v>
          </cell>
        </row>
        <row r="913">
          <cell r="C913" t="str">
            <v>KAPW-FS-25993-17-08-2024</v>
          </cell>
          <cell r="H913" t="str">
            <v>EFS</v>
          </cell>
          <cell r="L913">
            <v>24908</v>
          </cell>
          <cell r="N913" t="str">
            <v>Packing Material</v>
          </cell>
        </row>
        <row r="914">
          <cell r="C914" t="str">
            <v>KAPW-FS-25992-17-08-2024</v>
          </cell>
          <cell r="H914" t="str">
            <v>EFS</v>
          </cell>
          <cell r="L914">
            <v>24908</v>
          </cell>
          <cell r="N914" t="str">
            <v>Packing Material</v>
          </cell>
        </row>
        <row r="915">
          <cell r="C915" t="str">
            <v>KPAF-FS-10104-17-08-2024</v>
          </cell>
          <cell r="H915" t="str">
            <v>EFS</v>
          </cell>
          <cell r="L915">
            <v>594</v>
          </cell>
          <cell r="N915" t="str">
            <v>Packing Material</v>
          </cell>
        </row>
        <row r="916">
          <cell r="C916" t="str">
            <v>KAPW-FS-26955-20-08-2024</v>
          </cell>
          <cell r="H916" t="str">
            <v>EFS</v>
          </cell>
          <cell r="L916">
            <v>24908</v>
          </cell>
          <cell r="N916" t="str">
            <v>Packing Material</v>
          </cell>
        </row>
        <row r="917">
          <cell r="C917" t="str">
            <v>PQZI-EI-5500-20-08-2024</v>
          </cell>
          <cell r="H917" t="str">
            <v>EFS</v>
          </cell>
          <cell r="L917">
            <v>56.67</v>
          </cell>
          <cell r="N917" t="str">
            <v>Packing Material</v>
          </cell>
        </row>
        <row r="918">
          <cell r="C918" t="str">
            <v>PQZI-EI-5500-20-08-2024</v>
          </cell>
          <cell r="H918" t="str">
            <v>EFS</v>
          </cell>
          <cell r="L918">
            <v>56.67</v>
          </cell>
          <cell r="N918" t="str">
            <v>Packing Material</v>
          </cell>
        </row>
        <row r="919">
          <cell r="C919" t="str">
            <v>KPPI-FS-10311-21-08-2024</v>
          </cell>
          <cell r="H919" t="str">
            <v>EFS</v>
          </cell>
          <cell r="L919">
            <v>124220</v>
          </cell>
          <cell r="N919" t="str">
            <v>Raw Cotton</v>
          </cell>
        </row>
        <row r="920">
          <cell r="C920" t="str">
            <v>KAPW-FS-29063-22-08-2024</v>
          </cell>
          <cell r="H920" t="str">
            <v>EFS</v>
          </cell>
          <cell r="L920">
            <v>5000</v>
          </cell>
          <cell r="N920" t="str">
            <v>Textile Dyes</v>
          </cell>
        </row>
        <row r="921">
          <cell r="C921" t="str">
            <v>KAPS-FS-27864-22-08-2024</v>
          </cell>
          <cell r="H921" t="str">
            <v>EFS</v>
          </cell>
          <cell r="L921">
            <v>10418</v>
          </cell>
          <cell r="N921" t="str">
            <v>Polyester Fabric</v>
          </cell>
        </row>
        <row r="922">
          <cell r="C922" t="str">
            <v>KAPW-FS-29065-22-08-2024</v>
          </cell>
          <cell r="H922" t="str">
            <v>EFS</v>
          </cell>
          <cell r="L922">
            <v>16620</v>
          </cell>
          <cell r="N922" t="str">
            <v>Packing Material</v>
          </cell>
        </row>
        <row r="923">
          <cell r="C923" t="str">
            <v>KAPW-FS-29550-23-08-2024</v>
          </cell>
          <cell r="H923" t="str">
            <v>EFS</v>
          </cell>
          <cell r="L923">
            <v>2000</v>
          </cell>
          <cell r="N923" t="str">
            <v>Textile Dyes</v>
          </cell>
        </row>
        <row r="924">
          <cell r="C924" t="str">
            <v>PQZI-EI-6103-23-08-2024</v>
          </cell>
          <cell r="H924" t="str">
            <v>EFS</v>
          </cell>
          <cell r="L924">
            <v>1080.9000000000001</v>
          </cell>
          <cell r="N924" t="str">
            <v>Packing Material</v>
          </cell>
        </row>
        <row r="925">
          <cell r="C925" t="str">
            <v>PQZI-EI-6283-24-08-2024</v>
          </cell>
          <cell r="H925" t="str">
            <v>EFS</v>
          </cell>
          <cell r="L925">
            <v>948</v>
          </cell>
          <cell r="N925" t="str">
            <v>Packing Material</v>
          </cell>
        </row>
        <row r="926">
          <cell r="C926" t="str">
            <v>KPAF-FS-11887-27-08-2024</v>
          </cell>
          <cell r="H926" t="str">
            <v>EFS</v>
          </cell>
          <cell r="L926">
            <v>74</v>
          </cell>
          <cell r="N926" t="str">
            <v>Packing Material</v>
          </cell>
        </row>
        <row r="927">
          <cell r="C927" t="str">
            <v>KPAF-FS-11794-27-08-2024</v>
          </cell>
          <cell r="H927" t="str">
            <v>EFS</v>
          </cell>
          <cell r="L927">
            <v>94.8</v>
          </cell>
          <cell r="N927" t="str">
            <v>Packing Material</v>
          </cell>
        </row>
        <row r="928">
          <cell r="C928" t="str">
            <v>KAPW-FS-31082-27-08-2024</v>
          </cell>
          <cell r="H928" t="str">
            <v>EFS</v>
          </cell>
          <cell r="L928">
            <v>2905.38</v>
          </cell>
          <cell r="N928" t="str">
            <v>Textile Dyes</v>
          </cell>
        </row>
        <row r="929">
          <cell r="C929" t="str">
            <v>KPAF-FS-12346-28-08-2024</v>
          </cell>
          <cell r="H929" t="str">
            <v>EFS</v>
          </cell>
          <cell r="L929">
            <v>79.5</v>
          </cell>
          <cell r="N929" t="str">
            <v>Packing Material</v>
          </cell>
        </row>
        <row r="930">
          <cell r="C930" t="str">
            <v>PQZI-EI-6670-28-08-2024</v>
          </cell>
          <cell r="H930" t="str">
            <v>EFS</v>
          </cell>
          <cell r="L930">
            <v>620</v>
          </cell>
          <cell r="N930" t="str">
            <v>Packing Material</v>
          </cell>
        </row>
        <row r="931">
          <cell r="C931" t="str">
            <v>KPAF-FS-12702-30-08-2024</v>
          </cell>
          <cell r="H931" t="str">
            <v>EFS</v>
          </cell>
          <cell r="L931">
            <v>80</v>
          </cell>
          <cell r="N931" t="str">
            <v>Packing Material</v>
          </cell>
        </row>
        <row r="932">
          <cell r="C932" t="str">
            <v>KAPW-FS-33323-30-08-2024</v>
          </cell>
          <cell r="H932" t="str">
            <v>EFS</v>
          </cell>
          <cell r="L932">
            <v>647</v>
          </cell>
          <cell r="N932" t="str">
            <v>Packing Material</v>
          </cell>
        </row>
        <row r="933">
          <cell r="C933" t="str">
            <v>KAPW-FS-33321-30-08-2024</v>
          </cell>
          <cell r="H933" t="str">
            <v>EFS</v>
          </cell>
          <cell r="L933">
            <v>1312</v>
          </cell>
          <cell r="N933" t="str">
            <v>Packing Material</v>
          </cell>
        </row>
        <row r="934">
          <cell r="C934" t="str">
            <v>KPPI-FS-12207-30-08-2024</v>
          </cell>
          <cell r="H934" t="str">
            <v>EFS</v>
          </cell>
          <cell r="L934">
            <v>500600</v>
          </cell>
          <cell r="N934" t="str">
            <v>Raw Cotton</v>
          </cell>
        </row>
        <row r="935">
          <cell r="C935" t="str">
            <v>KAPW-FS-32816-30-08-2024</v>
          </cell>
          <cell r="H935" t="str">
            <v>EFS</v>
          </cell>
          <cell r="L935">
            <v>1550</v>
          </cell>
          <cell r="N935" t="str">
            <v>Textile Dyes</v>
          </cell>
        </row>
        <row r="971">
          <cell r="C971" t="str">
            <v>PCSE-PF-12-25-07-2023</v>
          </cell>
          <cell r="H971" t="str">
            <v>IND</v>
          </cell>
          <cell r="L971">
            <v>0</v>
          </cell>
          <cell r="N971" t="str">
            <v>Cotton Yarn</v>
          </cell>
        </row>
        <row r="972">
          <cell r="C972" t="str">
            <v>PCSE-PF-15-25-07-2023</v>
          </cell>
          <cell r="H972" t="str">
            <v>IND</v>
          </cell>
          <cell r="L972">
            <v>0</v>
          </cell>
          <cell r="N972" t="str">
            <v>Cotton Yarn</v>
          </cell>
        </row>
        <row r="973">
          <cell r="C973" t="str">
            <v>PCSE-PF-10-25-07-2023</v>
          </cell>
          <cell r="H973" t="str">
            <v>IND</v>
          </cell>
          <cell r="L973">
            <v>0</v>
          </cell>
          <cell r="N973" t="str">
            <v>Blended Yarn</v>
          </cell>
        </row>
        <row r="974">
          <cell r="C974" t="str">
            <v>PCSE-PF-14-25-07-2023</v>
          </cell>
          <cell r="H974" t="str">
            <v>IND</v>
          </cell>
          <cell r="L974">
            <v>0</v>
          </cell>
          <cell r="N974" t="str">
            <v>Blended Yarn</v>
          </cell>
        </row>
        <row r="975">
          <cell r="C975" t="str">
            <v>PCSE-PF-11-25-07-2023</v>
          </cell>
          <cell r="H975" t="str">
            <v>IND</v>
          </cell>
          <cell r="L975">
            <v>0</v>
          </cell>
          <cell r="N975" t="str">
            <v>Blended Yarn</v>
          </cell>
        </row>
        <row r="976">
          <cell r="C976" t="str">
            <v>PCSE-PF-13-25-07-2023</v>
          </cell>
          <cell r="H976" t="str">
            <v>IND</v>
          </cell>
          <cell r="L976">
            <v>0</v>
          </cell>
          <cell r="N976" t="str">
            <v>Blended Yarn</v>
          </cell>
        </row>
        <row r="977">
          <cell r="C977" t="str">
            <v>PCSE-PF-9-25-07-2023</v>
          </cell>
          <cell r="H977" t="str">
            <v>IND</v>
          </cell>
          <cell r="L977">
            <v>0</v>
          </cell>
          <cell r="N977" t="str">
            <v>Blended Yarn</v>
          </cell>
        </row>
        <row r="978">
          <cell r="C978" t="str">
            <v>PCSE-PF-16-04-08-2023</v>
          </cell>
          <cell r="H978" t="str">
            <v>IND</v>
          </cell>
          <cell r="L978">
            <v>0</v>
          </cell>
          <cell r="N978" t="str">
            <v>Cotton Yarn</v>
          </cell>
        </row>
        <row r="979">
          <cell r="C979" t="str">
            <v>PCSE-PF-22-04-08-2023</v>
          </cell>
          <cell r="H979" t="str">
            <v>IND</v>
          </cell>
          <cell r="L979">
            <v>0</v>
          </cell>
          <cell r="N979" t="str">
            <v>Cotton Yarn</v>
          </cell>
        </row>
        <row r="980">
          <cell r="C980" t="str">
            <v>PCSE-PF-19-04-08-2023</v>
          </cell>
          <cell r="H980" t="str">
            <v>IND</v>
          </cell>
          <cell r="L980">
            <v>0</v>
          </cell>
          <cell r="N980" t="str">
            <v>Cotton Yarn</v>
          </cell>
        </row>
        <row r="981">
          <cell r="C981" t="str">
            <v>PCSE-PF-21-04-08-2023</v>
          </cell>
          <cell r="H981" t="str">
            <v>IND</v>
          </cell>
          <cell r="L981">
            <v>0</v>
          </cell>
          <cell r="N981" t="str">
            <v>Cotton Yarn</v>
          </cell>
        </row>
        <row r="982">
          <cell r="C982" t="str">
            <v>PCSE-PF-17-04-08-2023</v>
          </cell>
          <cell r="H982" t="str">
            <v>IND</v>
          </cell>
          <cell r="L982">
            <v>53763.08</v>
          </cell>
          <cell r="N982" t="str">
            <v>Blended Yarn</v>
          </cell>
        </row>
        <row r="983">
          <cell r="C983" t="str">
            <v>PCSE-PF-18-04-08-2023</v>
          </cell>
          <cell r="H983" t="str">
            <v>IND</v>
          </cell>
          <cell r="L983">
            <v>55702.080000000002</v>
          </cell>
          <cell r="N983" t="str">
            <v>Blended Yarn</v>
          </cell>
        </row>
        <row r="984">
          <cell r="C984" t="str">
            <v>PCSE-PF-20-04-08-2023</v>
          </cell>
          <cell r="H984" t="str">
            <v>IND</v>
          </cell>
          <cell r="L984">
            <v>0</v>
          </cell>
          <cell r="N984" t="str">
            <v>Blended Yarn</v>
          </cell>
        </row>
        <row r="985">
          <cell r="C985" t="str">
            <v>PCSE-PF-23-04-08-2023</v>
          </cell>
          <cell r="H985" t="str">
            <v>IND</v>
          </cell>
          <cell r="L985">
            <v>0</v>
          </cell>
          <cell r="N985" t="str">
            <v>Blended Yarn</v>
          </cell>
        </row>
        <row r="986">
          <cell r="C986" t="str">
            <v>PCSE-PF-34-16-08-2023</v>
          </cell>
          <cell r="H986" t="str">
            <v>IND</v>
          </cell>
          <cell r="L986">
            <v>0</v>
          </cell>
          <cell r="N986" t="str">
            <v>Blended Yarn</v>
          </cell>
        </row>
        <row r="987">
          <cell r="C987" t="str">
            <v>PCSE-PF-35-16-08-2023</v>
          </cell>
          <cell r="H987" t="str">
            <v>IND</v>
          </cell>
          <cell r="L987">
            <v>0</v>
          </cell>
          <cell r="N987" t="str">
            <v>Polyester Yarn</v>
          </cell>
        </row>
        <row r="988">
          <cell r="C988" t="str">
            <v>PCSE-PF-92-12-09-2023</v>
          </cell>
          <cell r="H988" t="str">
            <v>IND</v>
          </cell>
          <cell r="L988">
            <v>0</v>
          </cell>
          <cell r="N988" t="str">
            <v>Blended Yarn</v>
          </cell>
        </row>
        <row r="989">
          <cell r="C989" t="str">
            <v>PCSE-PF-93-12-09-2023</v>
          </cell>
          <cell r="H989" t="str">
            <v>IND</v>
          </cell>
          <cell r="L989">
            <v>0</v>
          </cell>
          <cell r="N989" t="str">
            <v>Blended Yarn</v>
          </cell>
        </row>
        <row r="990">
          <cell r="C990" t="str">
            <v>GWDE-PF-11-18-08-2023</v>
          </cell>
          <cell r="H990" t="str">
            <v>IND</v>
          </cell>
          <cell r="L990">
            <v>0</v>
          </cell>
          <cell r="N990" t="str">
            <v>Cotton Yarn</v>
          </cell>
        </row>
        <row r="991">
          <cell r="C991" t="str">
            <v>PCSE-PF-113-02-10-2023</v>
          </cell>
          <cell r="H991" t="str">
            <v>IND</v>
          </cell>
          <cell r="L991">
            <v>0</v>
          </cell>
          <cell r="N991" t="str">
            <v>Cotton Yarn</v>
          </cell>
        </row>
        <row r="992">
          <cell r="C992" t="str">
            <v>PCSE-PF-114-02-10-2023</v>
          </cell>
          <cell r="H992" t="str">
            <v>IND</v>
          </cell>
          <cell r="L992">
            <v>0</v>
          </cell>
          <cell r="N992" t="str">
            <v>Cotton Yarn</v>
          </cell>
        </row>
        <row r="993">
          <cell r="C993" t="str">
            <v>PCSE-PF-115-02-10-2023</v>
          </cell>
          <cell r="H993" t="str">
            <v>IND</v>
          </cell>
          <cell r="L993">
            <v>0</v>
          </cell>
          <cell r="N993" t="str">
            <v>Cotton Yarn</v>
          </cell>
        </row>
        <row r="994">
          <cell r="C994" t="str">
            <v>PCSE-PF-116-02-10-2023</v>
          </cell>
          <cell r="H994" t="str">
            <v>IND</v>
          </cell>
          <cell r="L994">
            <v>0</v>
          </cell>
          <cell r="N994" t="str">
            <v>Cotton Yarn</v>
          </cell>
        </row>
        <row r="995">
          <cell r="C995" t="str">
            <v>PCSE-PF-117-02-10-2023</v>
          </cell>
          <cell r="H995" t="str">
            <v>IND</v>
          </cell>
          <cell r="L995">
            <v>0</v>
          </cell>
          <cell r="N995" t="str">
            <v>Polyester Yarn</v>
          </cell>
        </row>
        <row r="996">
          <cell r="C996" t="str">
            <v>PCSE-PF-119-02-10-2023</v>
          </cell>
          <cell r="H996" t="str">
            <v>IND</v>
          </cell>
          <cell r="L996">
            <v>0</v>
          </cell>
          <cell r="N996" t="str">
            <v>Polyester Yarn</v>
          </cell>
        </row>
        <row r="997">
          <cell r="C997" t="str">
            <v>PCSE-PF-121-02-10-2023</v>
          </cell>
          <cell r="H997" t="str">
            <v>IND</v>
          </cell>
          <cell r="L997">
            <v>0</v>
          </cell>
          <cell r="N997" t="str">
            <v>Cotton Yarn</v>
          </cell>
        </row>
        <row r="998">
          <cell r="C998" t="str">
            <v>PCSE-PF-123-02-10-2023</v>
          </cell>
          <cell r="H998" t="str">
            <v>IND</v>
          </cell>
          <cell r="L998">
            <v>0</v>
          </cell>
          <cell r="N998" t="str">
            <v>Cotton Yarn</v>
          </cell>
        </row>
        <row r="999">
          <cell r="C999" t="str">
            <v>PCSE-PF-125-02-10-2023</v>
          </cell>
          <cell r="H999" t="str">
            <v>IND</v>
          </cell>
          <cell r="L999">
            <v>10577.43</v>
          </cell>
          <cell r="N999" t="str">
            <v>Blended Yarn</v>
          </cell>
        </row>
        <row r="1000">
          <cell r="C1000" t="str">
            <v>PCSE-PF-145-12-10-2023</v>
          </cell>
          <cell r="H1000" t="str">
            <v>IND</v>
          </cell>
          <cell r="L1000">
            <v>0</v>
          </cell>
          <cell r="N1000" t="str">
            <v>Cotton Yarn</v>
          </cell>
        </row>
        <row r="1001">
          <cell r="C1001" t="str">
            <v>PCSE-PF-146-12-10-2023</v>
          </cell>
          <cell r="H1001" t="str">
            <v>IND</v>
          </cell>
          <cell r="L1001">
            <v>0</v>
          </cell>
          <cell r="N1001" t="str">
            <v>Cotton Yarn</v>
          </cell>
        </row>
        <row r="1002">
          <cell r="C1002" t="str">
            <v>PCSE-PF-147-12-10-2023</v>
          </cell>
          <cell r="H1002" t="str">
            <v>IND</v>
          </cell>
          <cell r="L1002">
            <v>8573.0399999999991</v>
          </cell>
          <cell r="N1002" t="str">
            <v>Blended Yarn</v>
          </cell>
        </row>
        <row r="1003">
          <cell r="C1003" t="str">
            <v>PCSE-PF-148-12-10-2023</v>
          </cell>
          <cell r="H1003" t="str">
            <v>IND</v>
          </cell>
          <cell r="L1003">
            <v>6259.68</v>
          </cell>
          <cell r="N1003" t="str">
            <v>Blended Yarn</v>
          </cell>
        </row>
        <row r="1004">
          <cell r="C1004" t="str">
            <v>PCSE-PF-152-17-10-2023</v>
          </cell>
          <cell r="H1004" t="str">
            <v>IND</v>
          </cell>
          <cell r="L1004">
            <v>0</v>
          </cell>
          <cell r="N1004" t="str">
            <v>Polyester Yarn</v>
          </cell>
        </row>
        <row r="1005">
          <cell r="C1005" t="str">
            <v>PCSE-PF-153-17-10-2023</v>
          </cell>
          <cell r="H1005" t="str">
            <v>IND</v>
          </cell>
          <cell r="L1005">
            <v>5760.72</v>
          </cell>
          <cell r="N1005" t="str">
            <v>Blended Yarn</v>
          </cell>
        </row>
        <row r="1006">
          <cell r="C1006" t="str">
            <v>PCSE-PF-154-17-10-2023</v>
          </cell>
          <cell r="H1006" t="str">
            <v>IND</v>
          </cell>
          <cell r="L1006">
            <v>0</v>
          </cell>
          <cell r="N1006" t="str">
            <v>Cotton Yarn</v>
          </cell>
        </row>
        <row r="1007">
          <cell r="C1007" t="str">
            <v>KPEX-PF-66592-21-10-2023</v>
          </cell>
          <cell r="H1007" t="str">
            <v>IND</v>
          </cell>
          <cell r="L1007">
            <v>0</v>
          </cell>
          <cell r="N1007" t="str">
            <v>Denim Fabric</v>
          </cell>
        </row>
        <row r="1008">
          <cell r="C1008" t="str">
            <v>KPEX-PF-66597-21-10-2023</v>
          </cell>
          <cell r="H1008" t="str">
            <v>IND</v>
          </cell>
          <cell r="L1008">
            <v>0</v>
          </cell>
          <cell r="N1008" t="str">
            <v>Denim Fabric</v>
          </cell>
        </row>
        <row r="1009">
          <cell r="C1009" t="str">
            <v>PCSE-PF-172-21-10-2023</v>
          </cell>
          <cell r="H1009" t="str">
            <v>IND</v>
          </cell>
          <cell r="L1009">
            <v>0</v>
          </cell>
          <cell r="N1009" t="str">
            <v>Cotton Yarn</v>
          </cell>
        </row>
        <row r="1010">
          <cell r="C1010" t="str">
            <v>PCSE-PF-173-21-10-2023</v>
          </cell>
          <cell r="H1010" t="str">
            <v>IND</v>
          </cell>
          <cell r="L1010">
            <v>26127.360000000001</v>
          </cell>
          <cell r="N1010" t="str">
            <v>Blended Yarn</v>
          </cell>
        </row>
        <row r="1011">
          <cell r="C1011" t="str">
            <v>PCSE-PF-174-23-10-2023</v>
          </cell>
          <cell r="H1011" t="str">
            <v>IND</v>
          </cell>
          <cell r="L1011">
            <v>0</v>
          </cell>
          <cell r="N1011" t="str">
            <v>Cotton Yarn</v>
          </cell>
        </row>
        <row r="1012">
          <cell r="C1012" t="str">
            <v>PCSE-PF-177-25-10-2023</v>
          </cell>
          <cell r="H1012" t="str">
            <v>IND</v>
          </cell>
          <cell r="L1012">
            <v>0</v>
          </cell>
          <cell r="N1012" t="str">
            <v>Cotton Yarn</v>
          </cell>
        </row>
        <row r="1013">
          <cell r="C1013" t="str">
            <v>LPEX-PF-721-16-10-2023</v>
          </cell>
          <cell r="H1013" t="str">
            <v>IND</v>
          </cell>
          <cell r="L1013">
            <v>3084.4596999999999</v>
          </cell>
          <cell r="N1013" t="str">
            <v>Cotton Yarn</v>
          </cell>
        </row>
        <row r="1014">
          <cell r="C1014" t="str">
            <v>PCSE-PF-182-30-10-2023</v>
          </cell>
          <cell r="H1014" t="str">
            <v>IND</v>
          </cell>
          <cell r="L1014">
            <v>0</v>
          </cell>
          <cell r="N1014" t="str">
            <v>Polyester Yarn</v>
          </cell>
        </row>
        <row r="1015">
          <cell r="C1015" t="str">
            <v>PCSE-PF-184-01-11-2023</v>
          </cell>
          <cell r="H1015" t="str">
            <v>IND</v>
          </cell>
          <cell r="L1015">
            <v>0</v>
          </cell>
          <cell r="N1015" t="str">
            <v>Polyester Yarn</v>
          </cell>
        </row>
        <row r="1016">
          <cell r="C1016" t="str">
            <v>PCSE-PF-185-01-11-2023</v>
          </cell>
          <cell r="H1016" t="str">
            <v>IND</v>
          </cell>
          <cell r="L1016">
            <v>0</v>
          </cell>
          <cell r="N1016" t="str">
            <v>Cotton Yarn</v>
          </cell>
        </row>
        <row r="1017">
          <cell r="C1017" t="str">
            <v>PCSE-PF-195-03-11-2023</v>
          </cell>
          <cell r="H1017" t="str">
            <v>IND</v>
          </cell>
          <cell r="L1017">
            <v>4762.8</v>
          </cell>
          <cell r="N1017" t="str">
            <v>Blended Yarn</v>
          </cell>
        </row>
        <row r="1018">
          <cell r="C1018" t="str">
            <v>KPEX-PF-61133-13-10-2023</v>
          </cell>
          <cell r="H1018" t="str">
            <v>IND</v>
          </cell>
          <cell r="L1018">
            <v>0</v>
          </cell>
          <cell r="N1018" t="str">
            <v>Blended Yarn</v>
          </cell>
        </row>
        <row r="1019">
          <cell r="C1019" t="str">
            <v>PCSE-PF-205-07-11-2023</v>
          </cell>
          <cell r="H1019" t="str">
            <v>IND</v>
          </cell>
          <cell r="L1019">
            <v>7393.68</v>
          </cell>
          <cell r="N1019" t="str">
            <v>Cotton Yarn</v>
          </cell>
        </row>
        <row r="1020">
          <cell r="C1020" t="str">
            <v>KPEX-PF-76735-07-11-2023</v>
          </cell>
          <cell r="H1020" t="str">
            <v>IND</v>
          </cell>
          <cell r="L1020">
            <v>0</v>
          </cell>
          <cell r="N1020" t="str">
            <v>Denim Fabric</v>
          </cell>
        </row>
        <row r="1021">
          <cell r="C1021" t="str">
            <v>PCSE-PF-211-13-11-2023</v>
          </cell>
          <cell r="H1021" t="str">
            <v>IND</v>
          </cell>
          <cell r="L1021">
            <v>0</v>
          </cell>
          <cell r="N1021" t="str">
            <v>Cotton Yarn</v>
          </cell>
        </row>
        <row r="1022">
          <cell r="C1022" t="str">
            <v>PCSE-PF-210-13-11-2023</v>
          </cell>
          <cell r="H1022" t="str">
            <v>IND</v>
          </cell>
          <cell r="L1022">
            <v>31661.279999999999</v>
          </cell>
          <cell r="N1022" t="str">
            <v>Cotton Yarn</v>
          </cell>
        </row>
        <row r="1023">
          <cell r="C1023" t="str">
            <v>PCSE-PF-209-13-11-2023</v>
          </cell>
          <cell r="H1023" t="str">
            <v>IND</v>
          </cell>
          <cell r="L1023">
            <v>0</v>
          </cell>
          <cell r="N1023" t="str">
            <v>Blended Yarn</v>
          </cell>
        </row>
        <row r="1024">
          <cell r="C1024" t="str">
            <v>PCSE-PF-208-13-11-2023</v>
          </cell>
          <cell r="H1024" t="str">
            <v>IND</v>
          </cell>
          <cell r="L1024">
            <v>0</v>
          </cell>
          <cell r="N1024" t="str">
            <v>Polyester Yarn</v>
          </cell>
        </row>
        <row r="1025">
          <cell r="C1025" t="str">
            <v>PCSE-PF-227-23-11-2023</v>
          </cell>
          <cell r="H1025" t="str">
            <v>IND</v>
          </cell>
          <cell r="L1025">
            <v>0</v>
          </cell>
          <cell r="N1025" t="str">
            <v>Cotton Yarn</v>
          </cell>
        </row>
        <row r="1026">
          <cell r="C1026" t="str">
            <v>PCSE-PF-228-23-11-2023</v>
          </cell>
          <cell r="H1026" t="str">
            <v>IND</v>
          </cell>
          <cell r="L1026">
            <v>0</v>
          </cell>
          <cell r="N1026" t="str">
            <v>Polyester Yarn</v>
          </cell>
        </row>
        <row r="1027">
          <cell r="C1027" t="str">
            <v>KPEX-PF-87079-24-11-2023</v>
          </cell>
          <cell r="H1027" t="str">
            <v>IND</v>
          </cell>
          <cell r="L1027">
            <v>0</v>
          </cell>
          <cell r="N1027" t="str">
            <v>Denim Fabric</v>
          </cell>
        </row>
        <row r="1028">
          <cell r="C1028" t="str">
            <v>KPPE-PF-113533-30-11-2023</v>
          </cell>
          <cell r="H1028" t="str">
            <v>IND</v>
          </cell>
          <cell r="L1028">
            <v>0</v>
          </cell>
          <cell r="N1028" t="str">
            <v>Packing Material</v>
          </cell>
        </row>
        <row r="1029">
          <cell r="C1029" t="str">
            <v>PCSE-PF-241-04-12-2023</v>
          </cell>
          <cell r="H1029" t="str">
            <v>IND</v>
          </cell>
          <cell r="L1029">
            <v>0</v>
          </cell>
          <cell r="N1029" t="str">
            <v>Cotton Yarn</v>
          </cell>
        </row>
        <row r="1030">
          <cell r="C1030" t="str">
            <v>PCSE-PF-242-05-12-2023</v>
          </cell>
          <cell r="H1030" t="str">
            <v>IND</v>
          </cell>
          <cell r="L1030">
            <v>0</v>
          </cell>
          <cell r="N1030" t="str">
            <v>Polyester Yarn</v>
          </cell>
        </row>
        <row r="1031">
          <cell r="C1031" t="str">
            <v>PCSE-PF-240-04-12-2023</v>
          </cell>
          <cell r="H1031" t="str">
            <v>IND</v>
          </cell>
          <cell r="L1031">
            <v>0</v>
          </cell>
          <cell r="N1031" t="str">
            <v>Cotton Yarn</v>
          </cell>
        </row>
        <row r="1032">
          <cell r="C1032" t="str">
            <v>PCSE-PF-243-05-12-2023</v>
          </cell>
          <cell r="H1032" t="str">
            <v>IND</v>
          </cell>
          <cell r="L1032">
            <v>0</v>
          </cell>
          <cell r="N1032" t="str">
            <v>Cotton Yarn</v>
          </cell>
        </row>
        <row r="1033">
          <cell r="C1033" t="str">
            <v>PCSE-PF-247-07-12-2023</v>
          </cell>
          <cell r="H1033" t="str">
            <v>IND</v>
          </cell>
          <cell r="L1033">
            <v>0</v>
          </cell>
          <cell r="N1033" t="str">
            <v>Blended Yarn</v>
          </cell>
        </row>
        <row r="1034">
          <cell r="C1034" t="str">
            <v>PCSE-PF-248-07-12-2023</v>
          </cell>
          <cell r="H1034" t="str">
            <v>IND</v>
          </cell>
          <cell r="L1034">
            <v>0</v>
          </cell>
          <cell r="N1034" t="str">
            <v>Blended Yarn</v>
          </cell>
        </row>
        <row r="1035">
          <cell r="C1035" t="str">
            <v>PCSE-PF-249-07-12-2023</v>
          </cell>
          <cell r="H1035" t="str">
            <v>IND</v>
          </cell>
          <cell r="L1035">
            <v>7871.3100000000013</v>
          </cell>
          <cell r="N1035" t="str">
            <v>Cotton Yarn</v>
          </cell>
        </row>
        <row r="1036">
          <cell r="C1036" t="str">
            <v>KPEX-PF-95472-07-12-2023</v>
          </cell>
          <cell r="H1036" t="str">
            <v>IND</v>
          </cell>
          <cell r="L1036">
            <v>0</v>
          </cell>
          <cell r="N1036" t="str">
            <v>Denim Fabric</v>
          </cell>
        </row>
        <row r="1037">
          <cell r="C1037" t="str">
            <v>LPEX-PF-2286-23-11-2023</v>
          </cell>
          <cell r="H1037" t="str">
            <v>IND</v>
          </cell>
          <cell r="L1037">
            <v>0</v>
          </cell>
          <cell r="N1037" t="str">
            <v>Blended Yarn</v>
          </cell>
        </row>
        <row r="1038">
          <cell r="C1038" t="str">
            <v>LPEX-PF-2815-04-12-2023</v>
          </cell>
          <cell r="H1038" t="str">
            <v>IND</v>
          </cell>
          <cell r="L1038">
            <v>0</v>
          </cell>
          <cell r="N1038" t="str">
            <v>Blended Yarn</v>
          </cell>
        </row>
        <row r="1039">
          <cell r="C1039" t="str">
            <v>PCSE-PF-265-14-12-2023</v>
          </cell>
          <cell r="H1039" t="str">
            <v>IND</v>
          </cell>
          <cell r="L1039">
            <v>0</v>
          </cell>
          <cell r="N1039" t="str">
            <v>Polyester Yarn</v>
          </cell>
        </row>
        <row r="1040">
          <cell r="C1040" t="str">
            <v>LPEX-PF-3489-14-12-2023</v>
          </cell>
          <cell r="H1040" t="str">
            <v>IND</v>
          </cell>
          <cell r="L1040">
            <v>0</v>
          </cell>
          <cell r="N1040" t="str">
            <v>Cotton Yarn</v>
          </cell>
        </row>
        <row r="1041">
          <cell r="C1041" t="str">
            <v>PCSE-PF-267-18-12-2023</v>
          </cell>
          <cell r="H1041" t="str">
            <v>IND</v>
          </cell>
          <cell r="L1041">
            <v>0</v>
          </cell>
          <cell r="N1041" t="str">
            <v>Cotton Yarn</v>
          </cell>
        </row>
        <row r="1042">
          <cell r="C1042" t="str">
            <v>PCSE-PF-268-18-12-2023</v>
          </cell>
          <cell r="H1042" t="str">
            <v>IND</v>
          </cell>
          <cell r="L1042">
            <v>0</v>
          </cell>
          <cell r="N1042" t="str">
            <v>Cotton Yarn</v>
          </cell>
        </row>
        <row r="1043">
          <cell r="C1043" t="str">
            <v>PCSE-PF-269-18-12-2023</v>
          </cell>
          <cell r="H1043" t="str">
            <v>IND</v>
          </cell>
          <cell r="L1043">
            <v>8482.32</v>
          </cell>
          <cell r="N1043" t="str">
            <v>Cotton Yarn</v>
          </cell>
        </row>
        <row r="1044">
          <cell r="C1044" t="str">
            <v>PCSE-PF-270-18-12-2023</v>
          </cell>
          <cell r="H1044" t="str">
            <v>IND</v>
          </cell>
          <cell r="L1044">
            <v>0</v>
          </cell>
          <cell r="N1044" t="str">
            <v>Cotton Yarn</v>
          </cell>
        </row>
        <row r="1045">
          <cell r="C1045" t="str">
            <v>LPEX-PF-3200-08-12-2023</v>
          </cell>
          <cell r="H1045" t="str">
            <v>IND</v>
          </cell>
          <cell r="L1045">
            <v>0</v>
          </cell>
          <cell r="N1045" t="str">
            <v>Blended Yarn</v>
          </cell>
        </row>
        <row r="1046">
          <cell r="C1046" t="str">
            <v>KPPE-PF-92855-04-11-2023</v>
          </cell>
          <cell r="H1046" t="str">
            <v>IND</v>
          </cell>
          <cell r="L1046">
            <v>0</v>
          </cell>
          <cell r="N1046" t="str">
            <v>Cotton Yarn</v>
          </cell>
        </row>
        <row r="1047">
          <cell r="C1047" t="str">
            <v>KPEX-PF-109996-28-12-2023</v>
          </cell>
          <cell r="H1047" t="str">
            <v>IND</v>
          </cell>
          <cell r="L1047">
            <v>0</v>
          </cell>
          <cell r="N1047" t="str">
            <v>Denim Fabric</v>
          </cell>
        </row>
        <row r="1048">
          <cell r="C1048" t="str">
            <v>PCSE-PF-292-30-12-2023</v>
          </cell>
          <cell r="H1048" t="str">
            <v>IND</v>
          </cell>
          <cell r="L1048">
            <v>0</v>
          </cell>
          <cell r="N1048" t="str">
            <v>Cotton Yarn</v>
          </cell>
        </row>
        <row r="1049">
          <cell r="C1049" t="str">
            <v>PCSE-PF-293-30-12-2023</v>
          </cell>
          <cell r="H1049" t="str">
            <v>IND</v>
          </cell>
          <cell r="L1049">
            <v>0</v>
          </cell>
          <cell r="N1049" t="str">
            <v>Cotton Yarn</v>
          </cell>
        </row>
        <row r="1050">
          <cell r="C1050" t="str">
            <v>PCSE-PF-294-30-12-2023</v>
          </cell>
          <cell r="H1050" t="str">
            <v>IND</v>
          </cell>
          <cell r="L1050">
            <v>226800</v>
          </cell>
          <cell r="N1050" t="str">
            <v>Cotton Yarn</v>
          </cell>
        </row>
        <row r="1051">
          <cell r="C1051" t="str">
            <v>PCSE-PF-295-30-12-2023</v>
          </cell>
          <cell r="H1051" t="str">
            <v>IND</v>
          </cell>
          <cell r="L1051">
            <v>0</v>
          </cell>
          <cell r="N1051" t="str">
            <v>Blended Yarn</v>
          </cell>
        </row>
        <row r="1052">
          <cell r="C1052" t="str">
            <v>KPPE-PF-138364-30-12-2023</v>
          </cell>
          <cell r="H1052" t="str">
            <v>IND</v>
          </cell>
          <cell r="L1052">
            <v>0</v>
          </cell>
          <cell r="N1052" t="str">
            <v>Textile Chemical</v>
          </cell>
        </row>
        <row r="1053">
          <cell r="C1053" t="str">
            <v>PCSE-PF-302-03-01-2024</v>
          </cell>
          <cell r="H1053" t="str">
            <v>IND</v>
          </cell>
          <cell r="L1053">
            <v>2463.3900000000003</v>
          </cell>
          <cell r="N1053" t="str">
            <v>Cotton Yarn</v>
          </cell>
        </row>
        <row r="1054">
          <cell r="C1054" t="str">
            <v>LPEX-PF-4732-03-01-2024</v>
          </cell>
          <cell r="H1054" t="str">
            <v>IND</v>
          </cell>
          <cell r="L1054">
            <v>0</v>
          </cell>
          <cell r="N1054" t="str">
            <v>Blended Yarn</v>
          </cell>
        </row>
        <row r="1055">
          <cell r="C1055" t="str">
            <v>LPEX-PF-2828-04-12-2023</v>
          </cell>
          <cell r="H1055" t="str">
            <v>IND</v>
          </cell>
          <cell r="L1055">
            <v>0</v>
          </cell>
          <cell r="N1055" t="str">
            <v>Blended Yarn</v>
          </cell>
        </row>
        <row r="1056">
          <cell r="C1056" t="str">
            <v>KPPE-PF-147335-10-01-2024</v>
          </cell>
          <cell r="H1056" t="str">
            <v>IND</v>
          </cell>
          <cell r="L1056">
            <v>4536</v>
          </cell>
          <cell r="N1056" t="str">
            <v>Cotton Yarn</v>
          </cell>
        </row>
        <row r="1057">
          <cell r="C1057" t="str">
            <v>PCSE-PF-320-12-01-2024</v>
          </cell>
          <cell r="H1057" t="str">
            <v>IND</v>
          </cell>
          <cell r="L1057">
            <v>48183.479300000006</v>
          </cell>
          <cell r="N1057" t="str">
            <v>Cotton Yarn</v>
          </cell>
        </row>
        <row r="1058">
          <cell r="C1058" t="str">
            <v>KPEX-PF-119701-12-01-2024</v>
          </cell>
          <cell r="H1058" t="str">
            <v>IND</v>
          </cell>
          <cell r="L1058">
            <v>0</v>
          </cell>
          <cell r="N1058" t="str">
            <v>Denim Fabric</v>
          </cell>
        </row>
        <row r="1059">
          <cell r="C1059" t="str">
            <v>FPEX-PF-2106-13-01-2024</v>
          </cell>
          <cell r="H1059" t="str">
            <v>IND</v>
          </cell>
          <cell r="L1059">
            <v>0</v>
          </cell>
          <cell r="N1059" t="str">
            <v>Blended Fabric</v>
          </cell>
        </row>
        <row r="1060">
          <cell r="C1060" t="str">
            <v>FPEX-PF-2105-13-01-2024</v>
          </cell>
          <cell r="H1060" t="str">
            <v>IND</v>
          </cell>
          <cell r="L1060">
            <v>0</v>
          </cell>
          <cell r="N1060" t="str">
            <v>Blended Fabric</v>
          </cell>
        </row>
        <row r="1061">
          <cell r="C1061" t="str">
            <v>FPEX-PF-2104-13-01-2024</v>
          </cell>
          <cell r="H1061" t="str">
            <v>IND</v>
          </cell>
          <cell r="L1061">
            <v>416.07999999999993</v>
          </cell>
          <cell r="N1061" t="str">
            <v>Blended Fabric</v>
          </cell>
        </row>
        <row r="1062">
          <cell r="C1062" t="str">
            <v>PCSE-PF-331-16-01-2024</v>
          </cell>
          <cell r="H1062" t="str">
            <v>IND</v>
          </cell>
          <cell r="L1062">
            <v>5443.1643000000004</v>
          </cell>
          <cell r="N1062" t="str">
            <v>Cotton Yarn</v>
          </cell>
        </row>
        <row r="1063">
          <cell r="C1063" t="str">
            <v>PCSE-PF-330-16-01-2024</v>
          </cell>
          <cell r="H1063" t="str">
            <v>IND</v>
          </cell>
          <cell r="L1063">
            <v>0</v>
          </cell>
          <cell r="N1063" t="str">
            <v>Cotton Yarn</v>
          </cell>
        </row>
        <row r="1064">
          <cell r="C1064" t="str">
            <v>PCSE-PF-329-16-01-2024</v>
          </cell>
          <cell r="H1064" t="str">
            <v>IND</v>
          </cell>
          <cell r="L1064">
            <v>0</v>
          </cell>
          <cell r="N1064" t="str">
            <v>Blended Yarn</v>
          </cell>
        </row>
        <row r="1065">
          <cell r="C1065" t="str">
            <v>LPEX-PF-5727-16-01-2024</v>
          </cell>
          <cell r="H1065" t="str">
            <v>IND</v>
          </cell>
          <cell r="L1065">
            <v>0</v>
          </cell>
          <cell r="N1065" t="str">
            <v>Blended Yarn</v>
          </cell>
        </row>
        <row r="1066">
          <cell r="C1066" t="str">
            <v>LPEX-PF-5733-16-01-2024</v>
          </cell>
          <cell r="H1066" t="str">
            <v>IND</v>
          </cell>
          <cell r="L1066">
            <v>179.59559999999965</v>
          </cell>
          <cell r="N1066" t="str">
            <v>Blended Yarn</v>
          </cell>
        </row>
        <row r="1067">
          <cell r="C1067" t="str">
            <v>LPEX-PF-5740-16-01-2024</v>
          </cell>
          <cell r="H1067" t="str">
            <v>IND</v>
          </cell>
          <cell r="L1067">
            <v>671.39819999999997</v>
          </cell>
          <cell r="N1067" t="str">
            <v>Blended Yarn</v>
          </cell>
        </row>
        <row r="1068">
          <cell r="C1068" t="str">
            <v>LPEX-PF-5659-16-01-2024</v>
          </cell>
          <cell r="H1068" t="str">
            <v>IND</v>
          </cell>
          <cell r="L1068">
            <v>0</v>
          </cell>
          <cell r="N1068" t="str">
            <v>Blended Yarn</v>
          </cell>
        </row>
        <row r="1069">
          <cell r="C1069" t="str">
            <v>LPEX-PF-5661-16-01-2024</v>
          </cell>
          <cell r="H1069" t="str">
            <v>IND</v>
          </cell>
          <cell r="L1069">
            <v>0</v>
          </cell>
          <cell r="N1069" t="str">
            <v>Blended Yarn</v>
          </cell>
        </row>
        <row r="1070">
          <cell r="C1070" t="str">
            <v>KPEX-PF-127903-24-01-2024</v>
          </cell>
          <cell r="H1070" t="str">
            <v>IND</v>
          </cell>
          <cell r="L1070">
            <v>0</v>
          </cell>
          <cell r="N1070" t="str">
            <v>Denim Fabric</v>
          </cell>
        </row>
        <row r="1071">
          <cell r="C1071" t="str">
            <v>PCSE-PF-378-23-01-2024</v>
          </cell>
          <cell r="H1071" t="str">
            <v>IND</v>
          </cell>
          <cell r="L1071">
            <v>10160.64</v>
          </cell>
          <cell r="N1071" t="str">
            <v>Polyester Yarn</v>
          </cell>
        </row>
        <row r="1072">
          <cell r="C1072" t="str">
            <v>PCSE-PF-379-25-01-2024</v>
          </cell>
          <cell r="H1072" t="str">
            <v>IND</v>
          </cell>
          <cell r="L1072">
            <v>11067.84</v>
          </cell>
          <cell r="N1072" t="str">
            <v>Polyester Yarn</v>
          </cell>
        </row>
        <row r="1073">
          <cell r="C1073" t="str">
            <v>KPEX-PF-128435-24-01-2024</v>
          </cell>
          <cell r="H1073" t="str">
            <v>IND</v>
          </cell>
          <cell r="L1073">
            <v>28803.409999999996</v>
          </cell>
          <cell r="N1073" t="str">
            <v>Cotton Yarn</v>
          </cell>
        </row>
        <row r="1074">
          <cell r="C1074" t="str">
            <v>KPEX-PF-128446-24-01-2024</v>
          </cell>
          <cell r="H1074" t="str">
            <v>IND</v>
          </cell>
          <cell r="L1074">
            <v>0</v>
          </cell>
          <cell r="N1074" t="str">
            <v>Cotton Yarn</v>
          </cell>
        </row>
        <row r="1075">
          <cell r="C1075" t="str">
            <v>KPPE-PF-164011-30-01-2024</v>
          </cell>
          <cell r="H1075" t="str">
            <v>IND</v>
          </cell>
          <cell r="L1075">
            <v>0</v>
          </cell>
          <cell r="N1075" t="str">
            <v>Packing Material</v>
          </cell>
        </row>
        <row r="1076">
          <cell r="C1076" t="str">
            <v>KPPE-PF-164013-30-01-2024</v>
          </cell>
          <cell r="H1076" t="str">
            <v>IND</v>
          </cell>
          <cell r="L1076">
            <v>0</v>
          </cell>
          <cell r="N1076" t="str">
            <v>Packing Material</v>
          </cell>
        </row>
        <row r="1077">
          <cell r="C1077" t="str">
            <v>LPEX-PF-7269-02-02-2024</v>
          </cell>
          <cell r="H1077" t="str">
            <v>IND</v>
          </cell>
          <cell r="L1077">
            <v>0</v>
          </cell>
          <cell r="N1077" t="str">
            <v>Blended Yarn</v>
          </cell>
        </row>
        <row r="1078">
          <cell r="C1078" t="str">
            <v>PCSE-PF-424-09-02-2024</v>
          </cell>
          <cell r="H1078" t="str">
            <v>IND</v>
          </cell>
          <cell r="L1078">
            <v>4490.6104999999998</v>
          </cell>
          <cell r="N1078" t="str">
            <v>Cotton Yarn</v>
          </cell>
        </row>
        <row r="1079">
          <cell r="C1079" t="str">
            <v>KPEX-PF-139851-09-02-2024</v>
          </cell>
          <cell r="H1079" t="str">
            <v>IND</v>
          </cell>
          <cell r="L1079">
            <v>15286.22</v>
          </cell>
          <cell r="N1079" t="str">
            <v>Cotton Yarn</v>
          </cell>
        </row>
        <row r="1080">
          <cell r="C1080" t="str">
            <v>KPEX-PF-139864-09-02-2024</v>
          </cell>
          <cell r="H1080" t="str">
            <v>IND</v>
          </cell>
          <cell r="L1080">
            <v>0</v>
          </cell>
          <cell r="N1080" t="str">
            <v>Cotton Yarn</v>
          </cell>
        </row>
        <row r="1081">
          <cell r="C1081" t="str">
            <v>LPEX-PF-7853-13-02-2024</v>
          </cell>
          <cell r="H1081" t="str">
            <v>IND</v>
          </cell>
          <cell r="L1081">
            <v>0</v>
          </cell>
          <cell r="N1081" t="str">
            <v>Blended Yarn</v>
          </cell>
        </row>
        <row r="1082">
          <cell r="C1082" t="str">
            <v>LPEX-PF-7864-13-02-2024</v>
          </cell>
          <cell r="H1082" t="str">
            <v>IND</v>
          </cell>
          <cell r="L1082">
            <v>0</v>
          </cell>
          <cell r="N1082" t="str">
            <v>Blended Yarn</v>
          </cell>
        </row>
        <row r="1083">
          <cell r="C1083" t="str">
            <v>LPEX-PF-7865-13-02-2024</v>
          </cell>
          <cell r="H1083" t="str">
            <v>IND</v>
          </cell>
          <cell r="L1083">
            <v>9071.9403999999995</v>
          </cell>
          <cell r="N1083" t="str">
            <v>Blended Yarn</v>
          </cell>
        </row>
        <row r="1084">
          <cell r="C1084" t="str">
            <v>LPEX-PF-7866-13-02-2024</v>
          </cell>
          <cell r="H1084" t="str">
            <v>IND</v>
          </cell>
          <cell r="L1084">
            <v>0</v>
          </cell>
          <cell r="N1084" t="str">
            <v>Blended Yarn</v>
          </cell>
        </row>
        <row r="1085">
          <cell r="C1085" t="str">
            <v>LPEX-PF-7867-13-02-2024</v>
          </cell>
          <cell r="H1085" t="str">
            <v>IND</v>
          </cell>
          <cell r="L1085">
            <v>15875.8958</v>
          </cell>
          <cell r="N1085" t="str">
            <v>Blended Yarn</v>
          </cell>
        </row>
        <row r="1086">
          <cell r="C1086" t="str">
            <v>LPEX-PF-7995-14-02-2024</v>
          </cell>
          <cell r="H1086" t="str">
            <v>IND</v>
          </cell>
          <cell r="L1086">
            <v>0</v>
          </cell>
          <cell r="N1086" t="str">
            <v>Blended Yarn</v>
          </cell>
        </row>
        <row r="1087">
          <cell r="C1087" t="str">
            <v>LPEX-PF-6657-26-01-2024</v>
          </cell>
          <cell r="H1087" t="str">
            <v>IND</v>
          </cell>
          <cell r="L1087">
            <v>0</v>
          </cell>
          <cell r="N1087" t="str">
            <v>Cotton Yarn</v>
          </cell>
        </row>
        <row r="1088">
          <cell r="C1088" t="str">
            <v>GWDE-PF-143-14-02-2024</v>
          </cell>
          <cell r="H1088" t="str">
            <v>IND</v>
          </cell>
          <cell r="L1088">
            <v>0</v>
          </cell>
          <cell r="N1088" t="str">
            <v>Cotton Yarn</v>
          </cell>
        </row>
        <row r="1089">
          <cell r="C1089" t="str">
            <v>GWDE-PF-142-14-02-2024</v>
          </cell>
          <cell r="H1089" t="str">
            <v>IND</v>
          </cell>
          <cell r="L1089">
            <v>11668.24</v>
          </cell>
          <cell r="N1089" t="str">
            <v>Cotton Yarn</v>
          </cell>
        </row>
        <row r="1090">
          <cell r="C1090" t="str">
            <v>GWDE-PF-141-14-02-2024</v>
          </cell>
          <cell r="H1090" t="str">
            <v>IND</v>
          </cell>
          <cell r="L1090">
            <v>11884.32</v>
          </cell>
          <cell r="N1090" t="str">
            <v>Cotton Yarn</v>
          </cell>
        </row>
        <row r="1091">
          <cell r="C1091" t="str">
            <v>PCSE-PF-439-15-02-2024</v>
          </cell>
          <cell r="H1091" t="str">
            <v>IND</v>
          </cell>
          <cell r="L1091">
            <v>1451.52</v>
          </cell>
          <cell r="N1091" t="str">
            <v>Polyester Yarn</v>
          </cell>
        </row>
        <row r="1092">
          <cell r="C1092" t="str">
            <v>GWDE-PF-145-15-02-2024</v>
          </cell>
          <cell r="H1092" t="str">
            <v>IND</v>
          </cell>
          <cell r="L1092">
            <v>12020.4</v>
          </cell>
          <cell r="N1092" t="str">
            <v>Cotton Yarn</v>
          </cell>
        </row>
        <row r="1093">
          <cell r="C1093" t="str">
            <v>PCSE-PF-452-16-02-2024</v>
          </cell>
          <cell r="H1093" t="str">
            <v>IND</v>
          </cell>
          <cell r="L1093">
            <v>226798.5122</v>
          </cell>
          <cell r="N1093" t="str">
            <v>Cotton Yarn</v>
          </cell>
        </row>
        <row r="1094">
          <cell r="C1094" t="str">
            <v>PCSE-PF-458-19-02-2024</v>
          </cell>
          <cell r="H1094" t="str">
            <v>IND</v>
          </cell>
          <cell r="L1094">
            <v>16420.212299999999</v>
          </cell>
          <cell r="N1094" t="str">
            <v>Cotton Yarn</v>
          </cell>
        </row>
        <row r="1095">
          <cell r="C1095" t="str">
            <v>KPPE-PF-180676-20-02-2024</v>
          </cell>
          <cell r="H1095" t="str">
            <v>IND</v>
          </cell>
          <cell r="L1095">
            <v>54432</v>
          </cell>
          <cell r="N1095" t="str">
            <v>Cotton Yarn</v>
          </cell>
        </row>
        <row r="1096">
          <cell r="C1096" t="str">
            <v>KPEX-PF-147892-21-02-2024</v>
          </cell>
          <cell r="H1096" t="str">
            <v>IND</v>
          </cell>
          <cell r="L1096">
            <v>0</v>
          </cell>
          <cell r="N1096" t="str">
            <v>Denim Fabric</v>
          </cell>
        </row>
        <row r="1097">
          <cell r="C1097" t="str">
            <v>PCSE-PF-469-22-02-2024</v>
          </cell>
          <cell r="H1097" t="str">
            <v>IND</v>
          </cell>
          <cell r="L1097">
            <v>0</v>
          </cell>
          <cell r="N1097" t="str">
            <v>Blended Yarn</v>
          </cell>
        </row>
        <row r="1098">
          <cell r="C1098" t="str">
            <v>PCSE-PF-470-22-02-2024</v>
          </cell>
          <cell r="H1098" t="str">
            <v>IND</v>
          </cell>
          <cell r="L1098">
            <v>6304.9985999999999</v>
          </cell>
          <cell r="N1098" t="str">
            <v>Cotton Yarn</v>
          </cell>
        </row>
        <row r="1099">
          <cell r="C1099" t="str">
            <v>KPEX-PF-151682-26-02-2024</v>
          </cell>
          <cell r="H1099" t="str">
            <v>IND</v>
          </cell>
          <cell r="L1099">
            <v>0</v>
          </cell>
          <cell r="N1099" t="str">
            <v>Cotton Yarn</v>
          </cell>
        </row>
        <row r="1100">
          <cell r="C1100" t="str">
            <v>KPEX-PF-151687-26-02-2024</v>
          </cell>
          <cell r="H1100" t="str">
            <v>IND</v>
          </cell>
          <cell r="L1100">
            <v>0</v>
          </cell>
          <cell r="N1100" t="str">
            <v>Cotton Yarn</v>
          </cell>
        </row>
        <row r="1101">
          <cell r="C1101" t="str">
            <v>PQEB-PF-466-22-02-2024</v>
          </cell>
          <cell r="H1101" t="str">
            <v>IND</v>
          </cell>
          <cell r="L1101">
            <v>0</v>
          </cell>
          <cell r="N1101" t="str">
            <v>Packing Material</v>
          </cell>
        </row>
        <row r="1102">
          <cell r="C1102" t="str">
            <v>PQEB-PF-476-28-02-2024</v>
          </cell>
          <cell r="H1102" t="str">
            <v>IND</v>
          </cell>
          <cell r="L1102">
            <v>0</v>
          </cell>
          <cell r="N1102" t="str">
            <v>Packing Material</v>
          </cell>
        </row>
        <row r="1103">
          <cell r="C1103" t="str">
            <v>PQEB-PF-477-28-02-2024</v>
          </cell>
          <cell r="H1103" t="str">
            <v>IND</v>
          </cell>
          <cell r="L1103">
            <v>0</v>
          </cell>
          <cell r="N1103" t="str">
            <v>Packing Material</v>
          </cell>
        </row>
        <row r="1104">
          <cell r="C1104" t="str">
            <v>PCSE-PF-508-04-03-2024</v>
          </cell>
          <cell r="H1104" t="str">
            <v>IND</v>
          </cell>
          <cell r="L1104">
            <v>33974.417099999999</v>
          </cell>
          <cell r="N1104" t="str">
            <v>Polyester Yarn</v>
          </cell>
        </row>
        <row r="1105">
          <cell r="C1105" t="str">
            <v>LPEX-PF-9440-01-03-2024</v>
          </cell>
          <cell r="H1105" t="str">
            <v>IND</v>
          </cell>
          <cell r="L1105">
            <v>0</v>
          </cell>
          <cell r="N1105" t="str">
            <v>Blended Yarn</v>
          </cell>
        </row>
        <row r="1106">
          <cell r="C1106" t="str">
            <v>KPEX-PF-156873-05-03-2024</v>
          </cell>
          <cell r="H1106" t="str">
            <v>IND</v>
          </cell>
          <cell r="L1106">
            <v>0</v>
          </cell>
          <cell r="N1106" t="str">
            <v>Denim Fabric</v>
          </cell>
        </row>
        <row r="1107">
          <cell r="C1107" t="str">
            <v>KPEX-PF-152493-27-02-2024</v>
          </cell>
          <cell r="H1107" t="str">
            <v>IND</v>
          </cell>
          <cell r="L1107">
            <v>0</v>
          </cell>
          <cell r="N1107" t="str">
            <v>Packing Material</v>
          </cell>
        </row>
        <row r="1108">
          <cell r="C1108" t="str">
            <v>PCSE-PF-512-11-03-2024</v>
          </cell>
          <cell r="H1108" t="str">
            <v>IND</v>
          </cell>
          <cell r="L1108">
            <v>226798.5122</v>
          </cell>
          <cell r="N1108" t="str">
            <v>Cotton Yarn</v>
          </cell>
        </row>
        <row r="1109">
          <cell r="C1109" t="str">
            <v>KPEX-PF-161676-12-03-2024</v>
          </cell>
          <cell r="H1109" t="str">
            <v>IND</v>
          </cell>
          <cell r="L1109">
            <v>0</v>
          </cell>
          <cell r="N1109" t="str">
            <v>Denim Fabric</v>
          </cell>
        </row>
        <row r="1110">
          <cell r="C1110" t="str">
            <v>KPEX-PF-165497-18-03-2024</v>
          </cell>
          <cell r="H1110" t="str">
            <v>IND</v>
          </cell>
          <cell r="L1110">
            <v>28758.05</v>
          </cell>
          <cell r="N1110" t="str">
            <v>Cotton Yarn</v>
          </cell>
        </row>
        <row r="1111">
          <cell r="C1111" t="str">
            <v>KPEX-PF-165506-18-03-2024</v>
          </cell>
          <cell r="H1111" t="str">
            <v>IND</v>
          </cell>
          <cell r="L1111">
            <v>22362.33</v>
          </cell>
          <cell r="N1111" t="str">
            <v>Cotton Yarn</v>
          </cell>
        </row>
        <row r="1112">
          <cell r="C1112" t="str">
            <v>LPEX-PF-11369-19-03-2024</v>
          </cell>
          <cell r="H1112" t="str">
            <v>IND</v>
          </cell>
          <cell r="L1112">
            <v>0</v>
          </cell>
          <cell r="N1112" t="str">
            <v>Blended Yarn</v>
          </cell>
        </row>
        <row r="1113">
          <cell r="C1113" t="str">
            <v>LPEX-PF-11402-20-03-2024</v>
          </cell>
          <cell r="H1113" t="str">
            <v>IND</v>
          </cell>
          <cell r="L1113">
            <v>0</v>
          </cell>
          <cell r="N1113" t="str">
            <v>Blended Yarn</v>
          </cell>
        </row>
        <row r="1114">
          <cell r="C1114" t="str">
            <v>PCSE-PF-529-21-03-2024</v>
          </cell>
          <cell r="H1114" t="str">
            <v>IND</v>
          </cell>
          <cell r="L1114">
            <v>0</v>
          </cell>
          <cell r="N1114" t="str">
            <v>Blended Yarn</v>
          </cell>
        </row>
        <row r="1115">
          <cell r="C1115" t="str">
            <v>KPPE-PF-202915-20-03-2024</v>
          </cell>
          <cell r="H1115" t="str">
            <v>IND</v>
          </cell>
          <cell r="L1115">
            <v>0</v>
          </cell>
          <cell r="N1115" t="str">
            <v>Textile Chemical</v>
          </cell>
        </row>
        <row r="1116">
          <cell r="C1116" t="str">
            <v>PQEB-PF-553-20-03-2024</v>
          </cell>
          <cell r="H1116" t="str">
            <v>IND</v>
          </cell>
          <cell r="L1116">
            <v>0</v>
          </cell>
          <cell r="N1116" t="str">
            <v>Packing Material</v>
          </cell>
        </row>
        <row r="1117">
          <cell r="C1117" t="str">
            <v>PQEB-PF-554-20-03-2024</v>
          </cell>
          <cell r="H1117" t="str">
            <v>IND</v>
          </cell>
          <cell r="L1117">
            <v>0</v>
          </cell>
          <cell r="N1117" t="str">
            <v>Packing Material</v>
          </cell>
        </row>
        <row r="1118">
          <cell r="C1118" t="str">
            <v>PQEB-PF-555-20-03-2024</v>
          </cell>
          <cell r="H1118" t="str">
            <v>IND</v>
          </cell>
          <cell r="L1118">
            <v>11554</v>
          </cell>
          <cell r="N1118" t="str">
            <v>Packing Material</v>
          </cell>
        </row>
        <row r="1119">
          <cell r="C1119" t="str">
            <v>KPEX-PF-167450-21-03-2024</v>
          </cell>
          <cell r="H1119" t="str">
            <v>IND</v>
          </cell>
          <cell r="L1119">
            <v>0</v>
          </cell>
          <cell r="N1119" t="str">
            <v>Blended Yarn</v>
          </cell>
        </row>
        <row r="1120">
          <cell r="C1120" t="str">
            <v>LPEX-PF-10311-08-03-2024</v>
          </cell>
          <cell r="H1120" t="str">
            <v>IND</v>
          </cell>
          <cell r="L1120">
            <v>0</v>
          </cell>
          <cell r="N1120" t="str">
            <v>Blended Yarn</v>
          </cell>
        </row>
        <row r="1121">
          <cell r="C1121" t="str">
            <v>LPEX-PF-11267-19-03-2024</v>
          </cell>
          <cell r="H1121" t="str">
            <v>IND</v>
          </cell>
          <cell r="L1121">
            <v>0</v>
          </cell>
          <cell r="N1121" t="str">
            <v>Blended Yarn</v>
          </cell>
        </row>
        <row r="1122">
          <cell r="C1122" t="str">
            <v>LPEX-PF-11080-15-03-2024</v>
          </cell>
          <cell r="H1122" t="str">
            <v>IND</v>
          </cell>
          <cell r="L1122">
            <v>0</v>
          </cell>
          <cell r="N1122" t="str">
            <v>Cotton Fabric</v>
          </cell>
        </row>
        <row r="1123">
          <cell r="C1123" t="str">
            <v>LPEX-PF-11081-15-03-2024</v>
          </cell>
          <cell r="H1123" t="str">
            <v>IND</v>
          </cell>
          <cell r="L1123">
            <v>0</v>
          </cell>
          <cell r="N1123" t="str">
            <v>Cotton Fabric</v>
          </cell>
        </row>
        <row r="1124">
          <cell r="C1124" t="str">
            <v>LPEX-PF-11084-15-03-2024</v>
          </cell>
          <cell r="H1124" t="str">
            <v>IND</v>
          </cell>
          <cell r="L1124">
            <v>0</v>
          </cell>
          <cell r="N1124" t="str">
            <v>Cotton Fabric</v>
          </cell>
        </row>
        <row r="1125">
          <cell r="C1125" t="str">
            <v>LPEX-PF-11091-15-03-2024</v>
          </cell>
          <cell r="H1125" t="str">
            <v>IND</v>
          </cell>
          <cell r="L1125">
            <v>0</v>
          </cell>
          <cell r="N1125" t="str">
            <v>Cotton Fabric</v>
          </cell>
        </row>
        <row r="1126">
          <cell r="C1126" t="str">
            <v>MCSE-PF-2911-18-03-2024</v>
          </cell>
          <cell r="H1126" t="str">
            <v>IND</v>
          </cell>
          <cell r="L1126">
            <v>1245.3799999999992</v>
          </cell>
          <cell r="N1126" t="str">
            <v>Cotton Fabric</v>
          </cell>
        </row>
        <row r="1127">
          <cell r="C1127" t="str">
            <v>KPEX-PF-170454-26-03-2024</v>
          </cell>
          <cell r="H1127" t="str">
            <v>IND</v>
          </cell>
          <cell r="L1127">
            <v>0</v>
          </cell>
          <cell r="N1127" t="str">
            <v>Denim Fabric</v>
          </cell>
        </row>
        <row r="1128">
          <cell r="C1128" t="str">
            <v>LPEX-PF-11426-20-03-2024</v>
          </cell>
          <cell r="H1128" t="str">
            <v>IND</v>
          </cell>
          <cell r="L1128">
            <v>0</v>
          </cell>
          <cell r="N1128" t="str">
            <v>Blended Yarn</v>
          </cell>
        </row>
        <row r="1129">
          <cell r="C1129" t="str">
            <v>KPPE-PF-209601-28-03-2024</v>
          </cell>
          <cell r="H1129" t="str">
            <v>IND</v>
          </cell>
          <cell r="L1129">
            <v>0</v>
          </cell>
          <cell r="N1129" t="str">
            <v>Sewing Thread</v>
          </cell>
        </row>
        <row r="1130">
          <cell r="C1130" t="str">
            <v>KPPE-PF-209612-28-03-2024</v>
          </cell>
          <cell r="H1130" t="str">
            <v>IND</v>
          </cell>
          <cell r="L1130">
            <v>0</v>
          </cell>
          <cell r="N1130" t="str">
            <v>Sewing Thread</v>
          </cell>
        </row>
        <row r="1131">
          <cell r="C1131" t="str">
            <v>PCSE-PF-563-03-04-2024</v>
          </cell>
          <cell r="H1131" t="str">
            <v>IND</v>
          </cell>
          <cell r="L1131">
            <v>5715.3225000000002</v>
          </cell>
          <cell r="N1131" t="str">
            <v>Cotton Yarn</v>
          </cell>
        </row>
        <row r="1132">
          <cell r="C1132" t="str">
            <v>LPEX-PF-12823-03-04-2024</v>
          </cell>
          <cell r="H1132" t="str">
            <v>IND</v>
          </cell>
          <cell r="L1132">
            <v>8204</v>
          </cell>
          <cell r="N1132" t="str">
            <v>Cotton Yarn</v>
          </cell>
        </row>
        <row r="1133">
          <cell r="C1133" t="str">
            <v>LPEX-PF-12827-03-04-2024</v>
          </cell>
          <cell r="H1133" t="str">
            <v>IND</v>
          </cell>
          <cell r="L1133">
            <v>4507</v>
          </cell>
          <cell r="N1133" t="str">
            <v>Cotton Yarn</v>
          </cell>
        </row>
        <row r="1134">
          <cell r="C1134" t="str">
            <v>LPEX-PF-12829-03-04-2024</v>
          </cell>
          <cell r="H1134" t="str">
            <v>IND</v>
          </cell>
          <cell r="L1134">
            <v>8130</v>
          </cell>
          <cell r="N1134" t="str">
            <v>Cotton Yarn</v>
          </cell>
        </row>
        <row r="1135">
          <cell r="C1135" t="str">
            <v>LPEX-PF-12204-28-03-2024</v>
          </cell>
          <cell r="H1135" t="str">
            <v>IND</v>
          </cell>
          <cell r="L1135">
            <v>0</v>
          </cell>
          <cell r="N1135" t="str">
            <v>Blended Yarn</v>
          </cell>
        </row>
        <row r="1136">
          <cell r="C1136" t="str">
            <v>LPEX-PF-11487-20-03-2024</v>
          </cell>
          <cell r="H1136" t="str">
            <v>IND</v>
          </cell>
          <cell r="L1136">
            <v>0</v>
          </cell>
          <cell r="N1136" t="str">
            <v>Blended Yarn</v>
          </cell>
        </row>
        <row r="1137">
          <cell r="C1137" t="str">
            <v>PCSE-PF-575-04-04-2024</v>
          </cell>
          <cell r="H1137" t="str">
            <v>IND</v>
          </cell>
          <cell r="L1137">
            <v>226798.5122</v>
          </cell>
          <cell r="N1137" t="str">
            <v>Cotton Yarn</v>
          </cell>
        </row>
        <row r="1138">
          <cell r="C1138" t="str">
            <v>PQEB-PF-634-05-04-2024</v>
          </cell>
          <cell r="H1138" t="str">
            <v>IND</v>
          </cell>
          <cell r="L1138">
            <v>0</v>
          </cell>
          <cell r="N1138" t="str">
            <v>Packing Material</v>
          </cell>
        </row>
        <row r="1139">
          <cell r="C1139" t="str">
            <v>KPEX-PF-178431-06-04-2024</v>
          </cell>
          <cell r="H1139" t="str">
            <v>IND</v>
          </cell>
          <cell r="L1139">
            <v>0</v>
          </cell>
          <cell r="N1139" t="str">
            <v>Denim Fabric</v>
          </cell>
        </row>
        <row r="1140">
          <cell r="C1140" t="str">
            <v>KPEX-PF-180715-15-04-2024</v>
          </cell>
          <cell r="H1140" t="str">
            <v>IND</v>
          </cell>
          <cell r="L1140">
            <v>11566.72</v>
          </cell>
          <cell r="N1140" t="str">
            <v>Cotton Yarn</v>
          </cell>
        </row>
        <row r="1141">
          <cell r="C1141" t="str">
            <v>KPEX-PF-180718-15-04-2024</v>
          </cell>
          <cell r="H1141" t="str">
            <v>IND</v>
          </cell>
          <cell r="L1141">
            <v>12247.12</v>
          </cell>
          <cell r="N1141" t="str">
            <v>Cotton Yarn</v>
          </cell>
        </row>
        <row r="1142">
          <cell r="C1142" t="str">
            <v>KPEX-PF-180742-15-04-2024</v>
          </cell>
          <cell r="H1142" t="str">
            <v>IND</v>
          </cell>
          <cell r="L1142">
            <v>0</v>
          </cell>
          <cell r="N1142" t="str">
            <v>Cotton Yarn</v>
          </cell>
        </row>
        <row r="1143">
          <cell r="C1143" t="str">
            <v>KPEX-PF-181007-16-04-2024</v>
          </cell>
          <cell r="H1143" t="str">
            <v>IND</v>
          </cell>
          <cell r="L1143">
            <v>6259.6390000000001</v>
          </cell>
          <cell r="N1143" t="str">
            <v>Cotton Yarn</v>
          </cell>
        </row>
        <row r="1144">
          <cell r="C1144" t="str">
            <v>KPEX-PF-181236-16-04-2024</v>
          </cell>
          <cell r="H1144" t="str">
            <v>IND</v>
          </cell>
          <cell r="L1144">
            <v>0</v>
          </cell>
          <cell r="N1144" t="str">
            <v>Cotton Yarn</v>
          </cell>
        </row>
        <row r="1145">
          <cell r="C1145" t="str">
            <v>KPEX-PF-181243-16-04-2024</v>
          </cell>
          <cell r="H1145" t="str">
            <v>IND</v>
          </cell>
          <cell r="L1145">
            <v>0</v>
          </cell>
          <cell r="N1145" t="str">
            <v>Cotton Yarn</v>
          </cell>
        </row>
        <row r="1146">
          <cell r="C1146" t="str">
            <v>KPEX-PF-181238-16-04-2024</v>
          </cell>
          <cell r="H1146" t="str">
            <v>IND</v>
          </cell>
          <cell r="L1146">
            <v>0</v>
          </cell>
          <cell r="N1146" t="str">
            <v>Cotton Yarn</v>
          </cell>
        </row>
        <row r="1147">
          <cell r="C1147" t="str">
            <v>KPPE-PF-222368-16-04-2024</v>
          </cell>
          <cell r="H1147" t="str">
            <v>IND</v>
          </cell>
          <cell r="L1147">
            <v>0</v>
          </cell>
          <cell r="N1147" t="str">
            <v>Textile Chemical</v>
          </cell>
        </row>
        <row r="1148">
          <cell r="C1148" t="str">
            <v>PCSE-PF-597-18-04-2024</v>
          </cell>
          <cell r="H1148" t="str">
            <v>IND</v>
          </cell>
          <cell r="L1148">
            <v>28395.173699999999</v>
          </cell>
          <cell r="N1148" t="str">
            <v>Polyester Yarn</v>
          </cell>
        </row>
        <row r="1149">
          <cell r="C1149" t="str">
            <v>KPEX-PF-182817-18-04-2024</v>
          </cell>
          <cell r="H1149" t="str">
            <v>IND</v>
          </cell>
          <cell r="L1149">
            <v>0</v>
          </cell>
          <cell r="N1149" t="str">
            <v>Denim Fabric</v>
          </cell>
        </row>
        <row r="1150">
          <cell r="C1150" t="str">
            <v>LPEX-PF-13736-19-04-2024</v>
          </cell>
          <cell r="H1150" t="str">
            <v>IND</v>
          </cell>
          <cell r="L1150">
            <v>0</v>
          </cell>
          <cell r="N1150" t="str">
            <v>Sewing Thread</v>
          </cell>
        </row>
        <row r="1151">
          <cell r="C1151" t="str">
            <v>PCSE-PF-601-22-04-2024</v>
          </cell>
          <cell r="H1151" t="str">
            <v>IND</v>
          </cell>
          <cell r="L1151">
            <v>7438.9912000000004</v>
          </cell>
          <cell r="N1151" t="str">
            <v>Polyester Yarn</v>
          </cell>
        </row>
        <row r="1152">
          <cell r="C1152" t="str">
            <v>FPEX-PF-3657-23-04-2024</v>
          </cell>
          <cell r="H1152" t="str">
            <v>IND</v>
          </cell>
          <cell r="L1152">
            <v>15876</v>
          </cell>
          <cell r="N1152" t="str">
            <v>Cotton Yarn</v>
          </cell>
        </row>
        <row r="1153">
          <cell r="C1153" t="str">
            <v>LPEX-PF-13687-18-04-2024</v>
          </cell>
          <cell r="H1153" t="str">
            <v>IND</v>
          </cell>
          <cell r="L1153">
            <v>0</v>
          </cell>
          <cell r="N1153" t="str">
            <v>Cotton Yarn</v>
          </cell>
        </row>
        <row r="1154">
          <cell r="C1154" t="str">
            <v>KPPE-PF-214884-03-04-2024</v>
          </cell>
          <cell r="H1154" t="str">
            <v>IND</v>
          </cell>
          <cell r="L1154">
            <v>0</v>
          </cell>
          <cell r="N1154" t="str">
            <v>Packing Material</v>
          </cell>
        </row>
        <row r="1155">
          <cell r="C1155" t="str">
            <v>PCSE-PF-615-29-04-2024</v>
          </cell>
          <cell r="H1155" t="str">
            <v>IND</v>
          </cell>
          <cell r="L1155">
            <v>486.53050000000007</v>
          </cell>
          <cell r="N1155" t="str">
            <v>Blended Yarn</v>
          </cell>
        </row>
        <row r="1156">
          <cell r="C1156" t="str">
            <v>PCSE-PF-617-29-04-2024</v>
          </cell>
          <cell r="H1156" t="str">
            <v>IND</v>
          </cell>
          <cell r="L1156">
            <v>226798.5122</v>
          </cell>
          <cell r="N1156" t="str">
            <v>Cotton Yarn</v>
          </cell>
        </row>
        <row r="1157">
          <cell r="C1157" t="str">
            <v>KPPE-PF-232315-27-04-2024</v>
          </cell>
          <cell r="H1157" t="str">
            <v>IND</v>
          </cell>
          <cell r="L1157">
            <v>54432</v>
          </cell>
          <cell r="N1157" t="str">
            <v>Cotton Yarn</v>
          </cell>
        </row>
        <row r="1158">
          <cell r="C1158" t="str">
            <v>KPPE-PF-236962-03-05-2024</v>
          </cell>
          <cell r="H1158" t="str">
            <v>IND</v>
          </cell>
          <cell r="L1158">
            <v>0</v>
          </cell>
          <cell r="N1158" t="str">
            <v>Sewing Thread</v>
          </cell>
        </row>
        <row r="1159">
          <cell r="C1159" t="str">
            <v>KPPE-PF-237059-03-05-2024</v>
          </cell>
          <cell r="H1159" t="str">
            <v>IND</v>
          </cell>
          <cell r="L1159">
            <v>0</v>
          </cell>
          <cell r="N1159" t="str">
            <v>Sewing Thread</v>
          </cell>
        </row>
        <row r="1160">
          <cell r="C1160" t="str">
            <v>LPEX-PF-15035-02-05-2024</v>
          </cell>
          <cell r="H1160" t="str">
            <v>IND</v>
          </cell>
          <cell r="L1160">
            <v>0</v>
          </cell>
          <cell r="N1160" t="str">
            <v>Sewing Thread</v>
          </cell>
        </row>
        <row r="1161">
          <cell r="C1161" t="str">
            <v>KPEX-PF-192418-03-05-2024</v>
          </cell>
          <cell r="H1161" t="str">
            <v>IND</v>
          </cell>
          <cell r="L1161">
            <v>1542.23</v>
          </cell>
          <cell r="N1161" t="str">
            <v>Cotton Yarn</v>
          </cell>
        </row>
        <row r="1162">
          <cell r="C1162" t="str">
            <v>KPEX-PF-192429-03-05-2024</v>
          </cell>
          <cell r="H1162" t="str">
            <v>IND</v>
          </cell>
          <cell r="L1162">
            <v>4535.97</v>
          </cell>
          <cell r="N1162" t="str">
            <v>Cotton Yarn</v>
          </cell>
        </row>
        <row r="1163">
          <cell r="C1163" t="str">
            <v>KPEX-PF-193818-06-05-2024</v>
          </cell>
          <cell r="H1163" t="str">
            <v>IND</v>
          </cell>
          <cell r="L1163">
            <v>42320.6</v>
          </cell>
          <cell r="N1163" t="str">
            <v>Cotton Yarn</v>
          </cell>
        </row>
        <row r="1164">
          <cell r="C1164" t="str">
            <v>KPEX-PF-193820-06-05-2024</v>
          </cell>
          <cell r="H1164" t="str">
            <v>IND</v>
          </cell>
          <cell r="L1164">
            <v>2585.5</v>
          </cell>
          <cell r="N1164" t="str">
            <v>Cotton Yarn</v>
          </cell>
        </row>
        <row r="1165">
          <cell r="C1165" t="str">
            <v>KPPE-PF-239595-07-05-2024</v>
          </cell>
          <cell r="H1165" t="str">
            <v>IND</v>
          </cell>
          <cell r="L1165">
            <v>0</v>
          </cell>
          <cell r="N1165" t="str">
            <v>Packing Material</v>
          </cell>
        </row>
        <row r="1166">
          <cell r="C1166" t="str">
            <v>PCSE-PF-628-08-05-2024</v>
          </cell>
          <cell r="H1166" t="str">
            <v>IND</v>
          </cell>
          <cell r="L1166">
            <v>27215.821499999998</v>
          </cell>
          <cell r="N1166" t="str">
            <v>Polyester Yarn</v>
          </cell>
        </row>
        <row r="1167">
          <cell r="C1167" t="str">
            <v>PCSE-PF-643-14-05-2024</v>
          </cell>
          <cell r="H1167" t="str">
            <v>IND</v>
          </cell>
          <cell r="L1167">
            <v>27215.821499999998</v>
          </cell>
          <cell r="N1167" t="str">
            <v>Polyester Yarn</v>
          </cell>
        </row>
        <row r="1168">
          <cell r="C1168" t="str">
            <v>KPEX-PF-198947-14-05-2024</v>
          </cell>
          <cell r="H1168" t="str">
            <v>IND</v>
          </cell>
          <cell r="L1168">
            <v>0</v>
          </cell>
          <cell r="N1168" t="str">
            <v>Denim Fabric</v>
          </cell>
        </row>
        <row r="1169">
          <cell r="C1169" t="str">
            <v>LPEX-PF-16461-14-05-2024</v>
          </cell>
          <cell r="H1169" t="str">
            <v>IND</v>
          </cell>
          <cell r="L1169">
            <v>358.44999999999982</v>
          </cell>
          <cell r="N1169" t="str">
            <v>Cotton Yarn</v>
          </cell>
        </row>
        <row r="1170">
          <cell r="C1170" t="str">
            <v>KPPE-PF-249139-17-05-2024</v>
          </cell>
          <cell r="H1170" t="str">
            <v>IND</v>
          </cell>
          <cell r="L1170">
            <v>0</v>
          </cell>
          <cell r="N1170" t="str">
            <v>Textile Chemical</v>
          </cell>
        </row>
        <row r="1171">
          <cell r="C1171" t="str">
            <v>KPPE-PF-249168-17-05-2024</v>
          </cell>
          <cell r="H1171" t="str">
            <v>IND</v>
          </cell>
          <cell r="L1171">
            <v>0</v>
          </cell>
          <cell r="N1171" t="str">
            <v>Textile Chemical</v>
          </cell>
        </row>
        <row r="1172">
          <cell r="C1172" t="str">
            <v>LPEX-PF-17174-18-05-2024</v>
          </cell>
          <cell r="H1172" t="str">
            <v>IND</v>
          </cell>
          <cell r="L1172">
            <v>0</v>
          </cell>
          <cell r="N1172" t="str">
            <v>Sewing Thread</v>
          </cell>
        </row>
        <row r="1173">
          <cell r="C1173" t="str">
            <v>LPEX-PF-17178-18-05-2024</v>
          </cell>
          <cell r="H1173" t="str">
            <v>IND</v>
          </cell>
          <cell r="L1173">
            <v>0</v>
          </cell>
          <cell r="N1173" t="str">
            <v>Sewing Thread</v>
          </cell>
        </row>
        <row r="1174">
          <cell r="C1174" t="str">
            <v>KPEX-PF-203176-20-05-2024</v>
          </cell>
          <cell r="H1174" t="str">
            <v>IND</v>
          </cell>
          <cell r="L1174">
            <v>0</v>
          </cell>
          <cell r="N1174" t="str">
            <v>Sewing Thread</v>
          </cell>
        </row>
        <row r="1175">
          <cell r="C1175" t="str">
            <v>KPEX-PF-197897-13-05-2024</v>
          </cell>
          <cell r="H1175" t="str">
            <v>IND</v>
          </cell>
          <cell r="L1175">
            <v>0</v>
          </cell>
          <cell r="N1175" t="str">
            <v>Sewing Thread</v>
          </cell>
        </row>
        <row r="1176">
          <cell r="C1176" t="str">
            <v>KPEX-PF-197895-13-05-2024</v>
          </cell>
          <cell r="H1176" t="str">
            <v>IND</v>
          </cell>
          <cell r="L1176">
            <v>0</v>
          </cell>
          <cell r="N1176" t="str">
            <v>Sewing Thread</v>
          </cell>
        </row>
        <row r="1177">
          <cell r="C1177" t="str">
            <v>KPEX-PF-203809-21-05-2024</v>
          </cell>
          <cell r="H1177" t="str">
            <v>IND</v>
          </cell>
          <cell r="L1177">
            <v>7.56</v>
          </cell>
          <cell r="N1177" t="str">
            <v>Polyester Yarn</v>
          </cell>
        </row>
        <row r="1178">
          <cell r="C1178" t="str">
            <v>KPEX-PF-205236-23-05-2024</v>
          </cell>
          <cell r="H1178" t="str">
            <v>IND</v>
          </cell>
          <cell r="L1178">
            <v>7484.35</v>
          </cell>
          <cell r="N1178" t="str">
            <v>Cotton Yarn</v>
          </cell>
        </row>
        <row r="1179">
          <cell r="C1179" t="str">
            <v>KPEX-PF-206700-25-05-2024</v>
          </cell>
          <cell r="H1179" t="str">
            <v>IND</v>
          </cell>
          <cell r="L1179">
            <v>0</v>
          </cell>
          <cell r="N1179" t="str">
            <v>Denim Fabric</v>
          </cell>
        </row>
        <row r="1180">
          <cell r="C1180" t="str">
            <v>KPEX-PF-206724-25-05-2024</v>
          </cell>
          <cell r="H1180" t="str">
            <v>IND</v>
          </cell>
          <cell r="L1180">
            <v>3764.855</v>
          </cell>
          <cell r="N1180" t="str">
            <v>Cotton Yarn</v>
          </cell>
        </row>
        <row r="1181">
          <cell r="C1181" t="str">
            <v>KPEX-PF-206725-25-05-2024</v>
          </cell>
          <cell r="H1181" t="str">
            <v>IND</v>
          </cell>
          <cell r="L1181">
            <v>5624.6030000000001</v>
          </cell>
          <cell r="N1181" t="str">
            <v>Cotton Yarn</v>
          </cell>
        </row>
        <row r="1182">
          <cell r="C1182" t="str">
            <v>KPPE-PF-259491-29-05-2024</v>
          </cell>
          <cell r="H1182" t="str">
            <v>IND</v>
          </cell>
          <cell r="L1182">
            <v>0</v>
          </cell>
          <cell r="N1182" t="str">
            <v>Textile Chemical</v>
          </cell>
        </row>
        <row r="1183">
          <cell r="C1183" t="str">
            <v>HCSE-PF-2369-29-05-2024</v>
          </cell>
          <cell r="H1183" t="str">
            <v>IND</v>
          </cell>
          <cell r="L1183">
            <v>0</v>
          </cell>
          <cell r="N1183" t="str">
            <v>Textile Chemical</v>
          </cell>
        </row>
        <row r="1184">
          <cell r="C1184" t="str">
            <v>HCSE-PF-2370-29-05-2024</v>
          </cell>
          <cell r="H1184" t="str">
            <v>IND</v>
          </cell>
          <cell r="L1184">
            <v>0</v>
          </cell>
          <cell r="N1184" t="str">
            <v>Textile Chemical</v>
          </cell>
        </row>
        <row r="1185">
          <cell r="C1185" t="str">
            <v>FPEX-PF-4287-16-05-2024</v>
          </cell>
          <cell r="H1185" t="str">
            <v>IND</v>
          </cell>
          <cell r="L1185">
            <v>9072</v>
          </cell>
          <cell r="N1185" t="str">
            <v>Cotton Yarn</v>
          </cell>
        </row>
        <row r="1186">
          <cell r="C1186" t="str">
            <v>HCSE-PF-2471-03-06-2024</v>
          </cell>
          <cell r="H1186" t="str">
            <v>IND</v>
          </cell>
          <cell r="L1186">
            <v>0</v>
          </cell>
          <cell r="N1186" t="str">
            <v>Textile Chemical</v>
          </cell>
        </row>
        <row r="1187">
          <cell r="C1187" t="str">
            <v>LPEX-PF-19066-03-06-2024</v>
          </cell>
          <cell r="H1187" t="str">
            <v>IND</v>
          </cell>
          <cell r="L1187">
            <v>0</v>
          </cell>
          <cell r="N1187" t="str">
            <v>Sewing Thread</v>
          </cell>
        </row>
        <row r="1188">
          <cell r="C1188" t="str">
            <v>KPEX-PF-213367-04-06-2024</v>
          </cell>
          <cell r="H1188" t="str">
            <v>IND</v>
          </cell>
          <cell r="L1188">
            <v>0</v>
          </cell>
          <cell r="N1188" t="str">
            <v>Sewing Thread</v>
          </cell>
        </row>
        <row r="1189">
          <cell r="C1189" t="str">
            <v>KPEX-PF-213370-04-06-2024</v>
          </cell>
          <cell r="H1189" t="str">
            <v>IND</v>
          </cell>
          <cell r="L1189">
            <v>0</v>
          </cell>
          <cell r="N1189" t="str">
            <v>Sewing Thread</v>
          </cell>
        </row>
        <row r="1190">
          <cell r="C1190" t="str">
            <v>KPEX-PF-213372-04-06-2024</v>
          </cell>
          <cell r="H1190" t="str">
            <v>IND</v>
          </cell>
          <cell r="L1190">
            <v>0</v>
          </cell>
          <cell r="N1190" t="str">
            <v>Sewing Thread</v>
          </cell>
        </row>
        <row r="1191">
          <cell r="C1191" t="str">
            <v>PCSE-PF-710-06-06-2024</v>
          </cell>
          <cell r="H1191" t="str">
            <v>IND</v>
          </cell>
          <cell r="L1191">
            <v>45359.702400000002</v>
          </cell>
          <cell r="N1191" t="str">
            <v>Polyester Yarn</v>
          </cell>
        </row>
        <row r="1192">
          <cell r="C1192" t="str">
            <v>KPEX-PF-214738-06-06-2024</v>
          </cell>
          <cell r="H1192" t="str">
            <v>IND</v>
          </cell>
          <cell r="L1192">
            <v>0</v>
          </cell>
          <cell r="N1192" t="str">
            <v>Denim Fabric</v>
          </cell>
        </row>
        <row r="1193">
          <cell r="C1193" t="str">
            <v>KPEX-PF-217704-11-06-2024</v>
          </cell>
          <cell r="H1193" t="str">
            <v>IND</v>
          </cell>
          <cell r="L1193">
            <v>0</v>
          </cell>
          <cell r="N1193" t="str">
            <v>Cotton Yarn</v>
          </cell>
        </row>
        <row r="1194">
          <cell r="C1194" t="str">
            <v>KPEX-PF-217707-11-06-2024</v>
          </cell>
          <cell r="H1194" t="str">
            <v>IND</v>
          </cell>
          <cell r="L1194">
            <v>0</v>
          </cell>
          <cell r="N1194" t="str">
            <v>Cotton Yarn</v>
          </cell>
        </row>
        <row r="1195">
          <cell r="C1195" t="str">
            <v>KPPE-PF-272567-11-06-2024</v>
          </cell>
          <cell r="H1195" t="str">
            <v>IND</v>
          </cell>
          <cell r="L1195">
            <v>0</v>
          </cell>
          <cell r="N1195" t="str">
            <v>Sewing Thread</v>
          </cell>
        </row>
        <row r="1196">
          <cell r="C1196" t="str">
            <v>KPPE-PF-272620-11-06-2024</v>
          </cell>
          <cell r="H1196" t="str">
            <v>IND</v>
          </cell>
          <cell r="L1196">
            <v>0</v>
          </cell>
          <cell r="N1196" t="str">
            <v>Sewing Thread</v>
          </cell>
        </row>
        <row r="1197">
          <cell r="C1197" t="str">
            <v>KPPE-PF-273411-12-06-2024</v>
          </cell>
          <cell r="H1197" t="str">
            <v>IND</v>
          </cell>
          <cell r="L1197">
            <v>0</v>
          </cell>
          <cell r="N1197" t="str">
            <v>Textile Chemical</v>
          </cell>
        </row>
        <row r="1198">
          <cell r="C1198" t="str">
            <v>PQEB-PF-835-11-06-2024</v>
          </cell>
          <cell r="H1198" t="str">
            <v>IND</v>
          </cell>
          <cell r="L1198">
            <v>0</v>
          </cell>
          <cell r="N1198" t="str">
            <v>Packing Material</v>
          </cell>
        </row>
        <row r="1199">
          <cell r="C1199" t="str">
            <v>KPEX-PF-219975-13-06-2024</v>
          </cell>
          <cell r="H1199" t="str">
            <v>IND</v>
          </cell>
          <cell r="L1199">
            <v>0</v>
          </cell>
          <cell r="N1199" t="str">
            <v>Denim Fabric</v>
          </cell>
        </row>
        <row r="1200">
          <cell r="C1200" t="str">
            <v>KPPE-PF-276187-14-06-2024</v>
          </cell>
          <cell r="H1200" t="str">
            <v>IND</v>
          </cell>
          <cell r="L1200">
            <v>0</v>
          </cell>
          <cell r="N1200" t="str">
            <v>Packing Material</v>
          </cell>
        </row>
        <row r="1201">
          <cell r="C1201" t="str">
            <v>PQEB-PF-855-20-06-2024</v>
          </cell>
          <cell r="H1201" t="str">
            <v>IND</v>
          </cell>
          <cell r="L1201">
            <v>0</v>
          </cell>
          <cell r="N1201" t="str">
            <v>Packing Material</v>
          </cell>
        </row>
        <row r="1202">
          <cell r="C1202" t="str">
            <v>GWDE-PF-170-20-06-2024</v>
          </cell>
          <cell r="H1202" t="str">
            <v>IND</v>
          </cell>
          <cell r="L1202">
            <v>13471.92</v>
          </cell>
          <cell r="N1202" t="str">
            <v>Cotton Yarn</v>
          </cell>
        </row>
        <row r="1203">
          <cell r="C1203" t="str">
            <v>GWDE-PF-171-20-06-2024</v>
          </cell>
          <cell r="H1203" t="str">
            <v>IND</v>
          </cell>
          <cell r="L1203">
            <v>12020.4</v>
          </cell>
          <cell r="N1203" t="str">
            <v>Cotton Yarn</v>
          </cell>
        </row>
        <row r="1204">
          <cell r="C1204" t="str">
            <v>PQEB-PF-859-20-06-2024</v>
          </cell>
          <cell r="H1204" t="str">
            <v>IND</v>
          </cell>
          <cell r="L1204">
            <v>0</v>
          </cell>
          <cell r="N1204" t="str">
            <v>Packing Material</v>
          </cell>
        </row>
        <row r="1205">
          <cell r="C1205" t="str">
            <v>LPEX-PF-17738-22-05-2024</v>
          </cell>
          <cell r="H1205" t="str">
            <v>IND</v>
          </cell>
          <cell r="L1205">
            <v>0</v>
          </cell>
          <cell r="N1205" t="str">
            <v>Denim Fabric</v>
          </cell>
        </row>
        <row r="1206">
          <cell r="C1206" t="str">
            <v>LPEX-PF-17745-22-05-2024</v>
          </cell>
          <cell r="H1206" t="str">
            <v>IND</v>
          </cell>
          <cell r="L1206">
            <v>0</v>
          </cell>
          <cell r="N1206" t="str">
            <v>Denim Fabric</v>
          </cell>
        </row>
        <row r="1207">
          <cell r="C1207" t="str">
            <v>LPEX-PF-15809-09-05-2024</v>
          </cell>
          <cell r="H1207" t="str">
            <v>IND</v>
          </cell>
          <cell r="L1207">
            <v>0</v>
          </cell>
          <cell r="N1207" t="str">
            <v>Denim Fabric</v>
          </cell>
        </row>
        <row r="1208">
          <cell r="C1208" t="str">
            <v>LPEX-PF-19922-11-06-2024</v>
          </cell>
          <cell r="H1208" t="str">
            <v>IND</v>
          </cell>
          <cell r="L1208">
            <v>0</v>
          </cell>
          <cell r="N1208" t="str">
            <v>Sewing Thread</v>
          </cell>
        </row>
        <row r="1209">
          <cell r="C1209" t="str">
            <v>LPEX-PF-19923-11-06-2024</v>
          </cell>
          <cell r="H1209" t="str">
            <v>IND</v>
          </cell>
          <cell r="L1209">
            <v>0</v>
          </cell>
          <cell r="N1209" t="str">
            <v>Sewing Thread</v>
          </cell>
        </row>
        <row r="1210">
          <cell r="C1210" t="str">
            <v>KPEX-PF-218629-12-06-2024</v>
          </cell>
          <cell r="H1210" t="str">
            <v>IND</v>
          </cell>
          <cell r="L1210">
            <v>9071.94</v>
          </cell>
          <cell r="N1210" t="str">
            <v>Cotton Yarn</v>
          </cell>
        </row>
        <row r="1211">
          <cell r="C1211" t="str">
            <v>HCSE-PF-2661-12-06-2024</v>
          </cell>
          <cell r="H1211" t="str">
            <v>IND</v>
          </cell>
          <cell r="L1211">
            <v>0</v>
          </cell>
          <cell r="N1211" t="str">
            <v>Textile Chemical</v>
          </cell>
        </row>
        <row r="1212">
          <cell r="C1212" t="str">
            <v>HCSE-PF-2660-12-06-2024</v>
          </cell>
          <cell r="H1212" t="str">
            <v>IND</v>
          </cell>
          <cell r="L1212">
            <v>0</v>
          </cell>
          <cell r="N1212" t="str">
            <v>Textile Chemical</v>
          </cell>
        </row>
        <row r="1213">
          <cell r="C1213" t="str">
            <v>KPPE-PF-282531-26-06-2024</v>
          </cell>
          <cell r="H1213" t="str">
            <v>IND</v>
          </cell>
          <cell r="L1213">
            <v>0</v>
          </cell>
          <cell r="N1213" t="str">
            <v>Sewing Thread</v>
          </cell>
        </row>
        <row r="1214">
          <cell r="C1214" t="str">
            <v>KPPE-PF-282570-26-06-2024</v>
          </cell>
          <cell r="H1214" t="str">
            <v>IND</v>
          </cell>
          <cell r="L1214">
            <v>19.501899999999999</v>
          </cell>
          <cell r="N1214" t="str">
            <v>Sewing Thread</v>
          </cell>
        </row>
        <row r="1215">
          <cell r="C1215" t="str">
            <v>LPEX-PF-21049-25-06-2024</v>
          </cell>
          <cell r="H1215" t="str">
            <v>IND</v>
          </cell>
          <cell r="L1215">
            <v>0</v>
          </cell>
          <cell r="N1215" t="str">
            <v>Sewing Thread</v>
          </cell>
        </row>
        <row r="1216">
          <cell r="C1216" t="str">
            <v>LPEX-PF-21051-25-06-2024</v>
          </cell>
          <cell r="H1216" t="str">
            <v>IND</v>
          </cell>
          <cell r="L1216">
            <v>0</v>
          </cell>
          <cell r="N1216" t="str">
            <v>Sewing Thread</v>
          </cell>
        </row>
        <row r="1217">
          <cell r="C1217" t="str">
            <v>KPPE-PF-284294-28-06-2024</v>
          </cell>
          <cell r="H1217" t="str">
            <v>IND</v>
          </cell>
          <cell r="L1217">
            <v>0</v>
          </cell>
          <cell r="N1217" t="str">
            <v>Packing Material</v>
          </cell>
        </row>
        <row r="1218">
          <cell r="C1218" t="str">
            <v>KPEX-PF-227108-28-06-2024</v>
          </cell>
          <cell r="H1218" t="str">
            <v>IND</v>
          </cell>
          <cell r="L1218">
            <v>0</v>
          </cell>
          <cell r="N1218" t="str">
            <v>Denim Fabric</v>
          </cell>
        </row>
        <row r="1219">
          <cell r="C1219" t="str">
            <v>KPEX-PF-227079-28-06-2024</v>
          </cell>
          <cell r="H1219" t="str">
            <v>IND</v>
          </cell>
          <cell r="L1219">
            <v>0</v>
          </cell>
          <cell r="N1219" t="str">
            <v>Denim Fabric</v>
          </cell>
        </row>
        <row r="1220">
          <cell r="C1220" t="str">
            <v>LPEX-PF-21646-29-06-2024</v>
          </cell>
          <cell r="H1220" t="str">
            <v>IND</v>
          </cell>
          <cell r="L1220">
            <v>1523.64</v>
          </cell>
          <cell r="N1220" t="str">
            <v>Blended Yarn</v>
          </cell>
        </row>
        <row r="1221">
          <cell r="C1221" t="str">
            <v>HCSE-PF-2865-26-06-2024</v>
          </cell>
          <cell r="H1221" t="str">
            <v>IND</v>
          </cell>
          <cell r="L1221">
            <v>0</v>
          </cell>
          <cell r="N1221" t="str">
            <v>Textile Chemical</v>
          </cell>
        </row>
        <row r="1222">
          <cell r="C1222" t="str">
            <v>HCSE-PF-2866-26-06-2024</v>
          </cell>
          <cell r="H1222" t="str">
            <v>IND</v>
          </cell>
          <cell r="L1222">
            <v>0</v>
          </cell>
          <cell r="N1222" t="str">
            <v>Textile Chemical</v>
          </cell>
        </row>
        <row r="1223">
          <cell r="C1223" t="str">
            <v>HCSE-PF-2773-24-06-2024</v>
          </cell>
          <cell r="H1223" t="str">
            <v>IND</v>
          </cell>
          <cell r="L1223">
            <v>0</v>
          </cell>
          <cell r="N1223" t="str">
            <v>Textile Chemical</v>
          </cell>
        </row>
        <row r="1224">
          <cell r="C1224" t="str">
            <v>KPEX-PF-224799-25-06-2024</v>
          </cell>
          <cell r="H1224" t="str">
            <v>IND</v>
          </cell>
          <cell r="L1224">
            <v>90.72</v>
          </cell>
          <cell r="N1224" t="str">
            <v>Cotton Yarn</v>
          </cell>
        </row>
        <row r="1225">
          <cell r="C1225" t="str">
            <v>KPEX-PF-224811-25-06-2024</v>
          </cell>
          <cell r="H1225" t="str">
            <v>IND</v>
          </cell>
          <cell r="L1225">
            <v>7983.31</v>
          </cell>
          <cell r="N1225" t="str">
            <v>Cotton Yarn</v>
          </cell>
        </row>
        <row r="1226">
          <cell r="C1226" t="str">
            <v>KPEX-PF-228386-29-06-2024</v>
          </cell>
          <cell r="H1226" t="str">
            <v>IND</v>
          </cell>
          <cell r="L1226">
            <v>16.96</v>
          </cell>
          <cell r="N1226" t="str">
            <v>Packing Material</v>
          </cell>
        </row>
        <row r="1227">
          <cell r="C1227" t="str">
            <v>KPEX-PF-5405-09-07-2024</v>
          </cell>
          <cell r="H1227" t="str">
            <v>IND</v>
          </cell>
          <cell r="L1227">
            <v>0</v>
          </cell>
          <cell r="N1227" t="str">
            <v>Denim Fabric</v>
          </cell>
        </row>
        <row r="1228">
          <cell r="C1228" t="str">
            <v>KPEX-PF-5373-09-07-2024</v>
          </cell>
          <cell r="H1228" t="str">
            <v>IND</v>
          </cell>
          <cell r="L1228">
            <v>0</v>
          </cell>
          <cell r="N1228" t="str">
            <v>Denim Fabric</v>
          </cell>
        </row>
        <row r="1229">
          <cell r="C1229" t="str">
            <v>KPEX-PF-4596-08-07-2024</v>
          </cell>
          <cell r="H1229" t="str">
            <v>IND</v>
          </cell>
          <cell r="L1229">
            <v>3447.34</v>
          </cell>
          <cell r="N1229" t="str">
            <v>Cotton Yarn</v>
          </cell>
        </row>
        <row r="1230">
          <cell r="C1230" t="str">
            <v>MCSE-PF-116-03-07-2024</v>
          </cell>
          <cell r="H1230" t="str">
            <v>IND</v>
          </cell>
          <cell r="L1230">
            <v>0</v>
          </cell>
          <cell r="N1230" t="str">
            <v>Cotton Yarn</v>
          </cell>
        </row>
        <row r="1231">
          <cell r="C1231" t="str">
            <v>LPEX-PF-756-08-07-2024</v>
          </cell>
          <cell r="H1231" t="str">
            <v>IND</v>
          </cell>
          <cell r="L1231">
            <v>0</v>
          </cell>
          <cell r="N1231" t="str">
            <v>Cotton Fabric</v>
          </cell>
        </row>
        <row r="1232">
          <cell r="C1232" t="str">
            <v>LPEX-PF-758-08-07-2024</v>
          </cell>
          <cell r="H1232" t="str">
            <v>IND</v>
          </cell>
          <cell r="L1232">
            <v>3686</v>
          </cell>
          <cell r="N1232" t="str">
            <v>Cotton Fabric</v>
          </cell>
        </row>
        <row r="1233">
          <cell r="C1233" t="str">
            <v>LPEX-PF-762-08-07-2024</v>
          </cell>
          <cell r="H1233" t="str">
            <v>IND</v>
          </cell>
          <cell r="L1233">
            <v>6106</v>
          </cell>
          <cell r="N1233" t="str">
            <v>Cotton Fabric</v>
          </cell>
        </row>
        <row r="1234">
          <cell r="C1234" t="str">
            <v>LPEX-PF-767-08-07-2024</v>
          </cell>
          <cell r="H1234" t="str">
            <v>IND</v>
          </cell>
          <cell r="L1234">
            <v>22129</v>
          </cell>
          <cell r="N1234" t="str">
            <v>Cotton Fabric</v>
          </cell>
        </row>
        <row r="1235">
          <cell r="C1235" t="str">
            <v>LPEX-PF-771-08-07-2024</v>
          </cell>
          <cell r="H1235" t="str">
            <v>IND</v>
          </cell>
          <cell r="L1235">
            <v>11163</v>
          </cell>
          <cell r="N1235" t="str">
            <v>Cotton Fabric</v>
          </cell>
        </row>
        <row r="1236">
          <cell r="C1236" t="str">
            <v>KPEX-PF-7177-11-07-2024</v>
          </cell>
          <cell r="H1236" t="str">
            <v>IND</v>
          </cell>
          <cell r="L1236">
            <v>0</v>
          </cell>
          <cell r="N1236" t="str">
            <v>Sewing Thread</v>
          </cell>
        </row>
        <row r="1237">
          <cell r="C1237" t="str">
            <v>KPEX-PF-7210-11-07-2024</v>
          </cell>
          <cell r="H1237" t="str">
            <v>IND</v>
          </cell>
          <cell r="L1237">
            <v>0</v>
          </cell>
          <cell r="N1237" t="str">
            <v>Sewing Thread</v>
          </cell>
        </row>
        <row r="1238">
          <cell r="C1238" t="str">
            <v>KPEX-PF-7211-11-07-2024</v>
          </cell>
          <cell r="H1238" t="str">
            <v>IND</v>
          </cell>
          <cell r="L1238">
            <v>23.089000000000006</v>
          </cell>
          <cell r="N1238" t="str">
            <v>Sewing Thread</v>
          </cell>
        </row>
        <row r="1239">
          <cell r="C1239" t="str">
            <v>KPEX-PF-6260-10-07-2024</v>
          </cell>
          <cell r="H1239" t="str">
            <v>IND</v>
          </cell>
          <cell r="L1239">
            <v>3628.78</v>
          </cell>
          <cell r="N1239" t="str">
            <v>Blended Yarn</v>
          </cell>
        </row>
        <row r="1240">
          <cell r="C1240" t="str">
            <v>KPEX-PF-6272-10-07-2024</v>
          </cell>
          <cell r="H1240" t="str">
            <v>IND</v>
          </cell>
          <cell r="L1240">
            <v>2220.73</v>
          </cell>
          <cell r="N1240" t="str">
            <v>Blended Yarn</v>
          </cell>
        </row>
        <row r="1241">
          <cell r="C1241" t="str">
            <v>LPEX-PF-1389-11-07-2024</v>
          </cell>
          <cell r="H1241" t="str">
            <v>IND</v>
          </cell>
          <cell r="L1241">
            <v>0</v>
          </cell>
          <cell r="N1241" t="str">
            <v>Denim Fabric</v>
          </cell>
        </row>
        <row r="1242">
          <cell r="C1242" t="str">
            <v>LPEX-PF-1392-11-07-2024</v>
          </cell>
          <cell r="H1242" t="str">
            <v>IND</v>
          </cell>
          <cell r="L1242">
            <v>0</v>
          </cell>
          <cell r="N1242" t="str">
            <v>Denim Fabric</v>
          </cell>
        </row>
        <row r="1243">
          <cell r="C1243" t="str">
            <v>LPEX-PF-20009-11-06-2024</v>
          </cell>
          <cell r="H1243" t="str">
            <v>IND</v>
          </cell>
          <cell r="L1243">
            <v>2086.5463</v>
          </cell>
          <cell r="N1243" t="str">
            <v>Cotton Yarn</v>
          </cell>
        </row>
        <row r="1244">
          <cell r="C1244" t="str">
            <v>LPEX-PF-924-09-07-2024</v>
          </cell>
          <cell r="H1244" t="str">
            <v>IND</v>
          </cell>
          <cell r="L1244">
            <v>15067.1324</v>
          </cell>
          <cell r="N1244" t="str">
            <v>Blended Yarn</v>
          </cell>
        </row>
        <row r="1245">
          <cell r="C1245" t="str">
            <v>KPEX-PF-9832-15-07-2024</v>
          </cell>
          <cell r="H1245" t="str">
            <v>IND</v>
          </cell>
          <cell r="L1245">
            <v>1891.038</v>
          </cell>
          <cell r="N1245" t="str">
            <v>Cotton Yarn</v>
          </cell>
        </row>
        <row r="1246">
          <cell r="C1246" t="str">
            <v>KPEX-PF-9840-15-07-2024</v>
          </cell>
          <cell r="H1246" t="str">
            <v>IND</v>
          </cell>
          <cell r="L1246">
            <v>3265.8989999999999</v>
          </cell>
          <cell r="N1246" t="str">
            <v>Cotton Yarn</v>
          </cell>
        </row>
        <row r="1247">
          <cell r="C1247" t="str">
            <v>LPEX-PF-1628-15-07-2024</v>
          </cell>
          <cell r="H1247" t="str">
            <v>IND</v>
          </cell>
          <cell r="L1247">
            <v>1291.4800000000005</v>
          </cell>
          <cell r="N1247" t="str">
            <v>Blended Yarn</v>
          </cell>
        </row>
        <row r="1248">
          <cell r="C1248" t="str">
            <v>LPEX-PF-1446-12-07-2024</v>
          </cell>
          <cell r="H1248" t="str">
            <v>IND</v>
          </cell>
          <cell r="L1248">
            <v>2313.3447999999999</v>
          </cell>
          <cell r="N1248" t="str">
            <v>Cotton Yarn</v>
          </cell>
        </row>
        <row r="1249">
          <cell r="C1249" t="str">
            <v>LPEX-PF-1506-12-07-2024</v>
          </cell>
          <cell r="H1249" t="str">
            <v>IND</v>
          </cell>
          <cell r="L1249">
            <v>0</v>
          </cell>
          <cell r="N1249" t="str">
            <v>Sewing Thread</v>
          </cell>
        </row>
        <row r="1250">
          <cell r="C1250" t="str">
            <v>LPEX-PF-1507-12-07-2024</v>
          </cell>
          <cell r="H1250" t="str">
            <v>IND</v>
          </cell>
          <cell r="L1250">
            <v>52.879999999999981</v>
          </cell>
          <cell r="N1250" t="str">
            <v>Sewing Thread</v>
          </cell>
        </row>
        <row r="1251">
          <cell r="C1251" t="str">
            <v>KPEX-PF-10162-15-07-2024</v>
          </cell>
          <cell r="H1251" t="str">
            <v>IND</v>
          </cell>
          <cell r="L1251">
            <v>0</v>
          </cell>
          <cell r="N1251" t="str">
            <v>Blended Yarn</v>
          </cell>
        </row>
        <row r="1252">
          <cell r="C1252" t="str">
            <v>LPEX-PF-1643-15-07-2024</v>
          </cell>
          <cell r="H1252" t="str">
            <v>IND</v>
          </cell>
          <cell r="L1252">
            <v>0</v>
          </cell>
          <cell r="N1252" t="str">
            <v>Denim Fabric</v>
          </cell>
        </row>
        <row r="1253">
          <cell r="C1253" t="str">
            <v>KPPE-PF-16017-20-07-2024</v>
          </cell>
          <cell r="H1253" t="str">
            <v>IND</v>
          </cell>
          <cell r="L1253">
            <v>5.36</v>
          </cell>
          <cell r="N1253" t="str">
            <v>Packing Material</v>
          </cell>
        </row>
        <row r="1254">
          <cell r="C1254" t="str">
            <v>FPEX-PF-5104-21-06-2024</v>
          </cell>
          <cell r="H1254" t="str">
            <v>IND</v>
          </cell>
          <cell r="L1254">
            <v>9072</v>
          </cell>
          <cell r="N1254" t="str">
            <v>Cotton Yarn</v>
          </cell>
        </row>
        <row r="1255">
          <cell r="C1255" t="str">
            <v>LPEX-PF-16333-13-05-2024</v>
          </cell>
          <cell r="H1255" t="str">
            <v>IND</v>
          </cell>
          <cell r="L1255">
            <v>0</v>
          </cell>
          <cell r="N1255" t="str">
            <v>Denim Fabric</v>
          </cell>
        </row>
        <row r="1256">
          <cell r="C1256" t="str">
            <v>LPEX-PF-16336-13-05-2024</v>
          </cell>
          <cell r="H1256" t="str">
            <v>IND</v>
          </cell>
          <cell r="L1256">
            <v>0</v>
          </cell>
          <cell r="N1256" t="str">
            <v>Denim Fabric</v>
          </cell>
        </row>
        <row r="1257">
          <cell r="C1257" t="str">
            <v>LPEX-PF-16350-13-05-2024</v>
          </cell>
          <cell r="H1257" t="str">
            <v>IND</v>
          </cell>
          <cell r="L1257">
            <v>0</v>
          </cell>
          <cell r="N1257" t="str">
            <v>Denim Fabric</v>
          </cell>
        </row>
        <row r="1258">
          <cell r="C1258" t="str">
            <v>LPEX-PF-17864-23-05-2024</v>
          </cell>
          <cell r="H1258" t="str">
            <v>IND</v>
          </cell>
          <cell r="L1258">
            <v>0</v>
          </cell>
          <cell r="N1258" t="str">
            <v>Denim Fabric</v>
          </cell>
        </row>
        <row r="1259">
          <cell r="C1259" t="str">
            <v>LPEX-PF-17866-23-05-2024</v>
          </cell>
          <cell r="H1259" t="str">
            <v>IND</v>
          </cell>
          <cell r="L1259">
            <v>0</v>
          </cell>
          <cell r="N1259" t="str">
            <v>Denim Fabric</v>
          </cell>
        </row>
        <row r="1260">
          <cell r="C1260" t="str">
            <v>LPEX-PF-17868-23-05-2024</v>
          </cell>
          <cell r="H1260" t="str">
            <v>IND</v>
          </cell>
          <cell r="L1260">
            <v>0</v>
          </cell>
          <cell r="N1260" t="str">
            <v>Denim Fabric</v>
          </cell>
        </row>
        <row r="1261">
          <cell r="C1261" t="str">
            <v>LPEX-PF-18515-30-05-2024</v>
          </cell>
          <cell r="H1261" t="str">
            <v>IND</v>
          </cell>
          <cell r="L1261">
            <v>0</v>
          </cell>
          <cell r="N1261" t="str">
            <v>Denim Fabric</v>
          </cell>
        </row>
        <row r="1262">
          <cell r="C1262" t="str">
            <v>LPEX-PF-18518-30-05-2024</v>
          </cell>
          <cell r="H1262" t="str">
            <v>IND</v>
          </cell>
          <cell r="L1262">
            <v>0</v>
          </cell>
          <cell r="N1262" t="str">
            <v>Denim Fabric</v>
          </cell>
        </row>
        <row r="1263">
          <cell r="C1263" t="str">
            <v>HCSE-PF-74-09-07-2024</v>
          </cell>
          <cell r="H1263" t="str">
            <v>IND</v>
          </cell>
          <cell r="L1263">
            <v>0</v>
          </cell>
          <cell r="N1263" t="str">
            <v>Textile Chemical</v>
          </cell>
        </row>
        <row r="1264">
          <cell r="C1264" t="str">
            <v>HCSE-PF-150-13-07-2024</v>
          </cell>
          <cell r="H1264" t="str">
            <v>IND</v>
          </cell>
          <cell r="L1264">
            <v>0</v>
          </cell>
          <cell r="N1264" t="str">
            <v>Textile Chemical</v>
          </cell>
        </row>
        <row r="1265">
          <cell r="C1265" t="str">
            <v>HCSE-PF-151-13-07-2024</v>
          </cell>
          <cell r="H1265" t="str">
            <v>IND</v>
          </cell>
          <cell r="L1265">
            <v>0</v>
          </cell>
          <cell r="N1265" t="str">
            <v>Textile Chemical</v>
          </cell>
        </row>
        <row r="1266">
          <cell r="C1266" t="str">
            <v>PCSE-PF-51-24-08-2024</v>
          </cell>
          <cell r="H1266" t="str">
            <v>IND</v>
          </cell>
          <cell r="L1266">
            <v>317.5179</v>
          </cell>
          <cell r="N1266" t="str">
            <v>Cotton Yarn</v>
          </cell>
        </row>
        <row r="1267">
          <cell r="C1267" t="str">
            <v>PCSE-PF-52-24-08-2024</v>
          </cell>
          <cell r="H1267" t="str">
            <v>IND</v>
          </cell>
          <cell r="L1267">
            <v>18148.4169</v>
          </cell>
          <cell r="N1267" t="str">
            <v>Polyester Yarn</v>
          </cell>
        </row>
        <row r="1268">
          <cell r="C1268" t="str">
            <v>PCSE-PF-53-24-08-2024</v>
          </cell>
          <cell r="H1268" t="str">
            <v>IND</v>
          </cell>
          <cell r="L1268">
            <v>13562.550999999999</v>
          </cell>
          <cell r="N1268" t="str">
            <v>Blended Yarn</v>
          </cell>
        </row>
        <row r="1269">
          <cell r="C1269" t="str">
            <v>PCSE-PF-54-24-08-2024</v>
          </cell>
          <cell r="H1269" t="str">
            <v>IND</v>
          </cell>
          <cell r="L1269">
            <v>408.2373</v>
          </cell>
          <cell r="N1269" t="str">
            <v>Blended Yarn</v>
          </cell>
        </row>
        <row r="1270">
          <cell r="C1270" t="str">
            <v>PCSE-PF-55-24-08-2024</v>
          </cell>
          <cell r="H1270" t="str">
            <v>IND</v>
          </cell>
          <cell r="L1270">
            <v>1496.8702000000001</v>
          </cell>
          <cell r="N1270" t="str">
            <v>Blended Yarn</v>
          </cell>
        </row>
        <row r="1271">
          <cell r="C1271" t="str">
            <v>PCSE-PF-56-24-08-2024</v>
          </cell>
          <cell r="H1271" t="str">
            <v>IND</v>
          </cell>
          <cell r="L1271">
            <v>24811.7572</v>
          </cell>
          <cell r="N1271" t="str">
            <v>Cotton Yarn</v>
          </cell>
        </row>
        <row r="1272">
          <cell r="C1272" t="str">
            <v>PCSE-PF-57-24-08-2024</v>
          </cell>
          <cell r="H1272" t="str">
            <v>IND</v>
          </cell>
          <cell r="L1272">
            <v>7575.0703000000003</v>
          </cell>
          <cell r="N1272" t="str">
            <v>Cotton Yarn</v>
          </cell>
        </row>
        <row r="1273">
          <cell r="C1273" t="str">
            <v>PCSE-PF-58-24-08-2024</v>
          </cell>
          <cell r="H1273" t="str">
            <v>IND</v>
          </cell>
          <cell r="L1273">
            <v>3991.6538</v>
          </cell>
          <cell r="N1273" t="str">
            <v>Blended Yarn</v>
          </cell>
        </row>
        <row r="1274">
          <cell r="C1274" t="str">
            <v>PCSE-PF-59-24-08-2024</v>
          </cell>
          <cell r="H1274" t="str">
            <v>IND</v>
          </cell>
          <cell r="L1274">
            <v>907.19399999999996</v>
          </cell>
          <cell r="N1274" t="str">
            <v>Blended Yarn</v>
          </cell>
        </row>
        <row r="1275">
          <cell r="C1275" t="str">
            <v>PCSE-PF-60-24-08-2024</v>
          </cell>
          <cell r="H1275" t="str">
            <v>IND</v>
          </cell>
          <cell r="L1275">
            <v>34019.7768</v>
          </cell>
          <cell r="N1275" t="str">
            <v>Blended Yarn</v>
          </cell>
        </row>
        <row r="1276">
          <cell r="C1276" t="str">
            <v>PCSE-PF-61-24-08-2024</v>
          </cell>
          <cell r="H1276" t="str">
            <v>IND</v>
          </cell>
          <cell r="L1276">
            <v>5987.4807000000001</v>
          </cell>
          <cell r="N1276" t="str">
            <v>Blended Yarn</v>
          </cell>
        </row>
        <row r="1277">
          <cell r="C1277" t="str">
            <v>PCSE-PF-62-24-08-2024</v>
          </cell>
          <cell r="H1277" t="str">
            <v>IND</v>
          </cell>
          <cell r="L1277">
            <v>22725.210899999998</v>
          </cell>
          <cell r="N1277" t="str">
            <v>Blended Yarn</v>
          </cell>
        </row>
        <row r="1278">
          <cell r="C1278" t="str">
            <v>PCSE-PF-63-24-08-2024</v>
          </cell>
          <cell r="H1278" t="str">
            <v>IND</v>
          </cell>
          <cell r="L1278">
            <v>104327.3156</v>
          </cell>
          <cell r="N1278" t="str">
            <v>Blended Yarn</v>
          </cell>
        </row>
        <row r="1279">
          <cell r="C1279" t="str">
            <v>PCSE-PF-64-24-08-2024</v>
          </cell>
          <cell r="H1279" t="str">
            <v>IND</v>
          </cell>
          <cell r="L1279">
            <v>4263.8119999999999</v>
          </cell>
          <cell r="N1279" t="str">
            <v>Cotton Yarn</v>
          </cell>
        </row>
        <row r="1280">
          <cell r="C1280" t="str">
            <v>HCSE-PF-383-16-08-2024</v>
          </cell>
          <cell r="H1280" t="str">
            <v>IND</v>
          </cell>
          <cell r="L1280">
            <v>9331.2000000000007</v>
          </cell>
          <cell r="N1280" t="str">
            <v>Textile Chemical</v>
          </cell>
        </row>
        <row r="1281">
          <cell r="C1281" t="str">
            <v>HCSE-PF-392-21-08-2024</v>
          </cell>
          <cell r="H1281" t="str">
            <v>IND</v>
          </cell>
          <cell r="L1281">
            <v>1000</v>
          </cell>
          <cell r="N1281" t="str">
            <v>Textile Chemical</v>
          </cell>
        </row>
        <row r="1282">
          <cell r="L1282">
            <v>0</v>
          </cell>
        </row>
        <row r="1283">
          <cell r="L1283">
            <v>0</v>
          </cell>
        </row>
        <row r="1284">
          <cell r="L1284">
            <v>0</v>
          </cell>
        </row>
        <row r="1285">
          <cell r="L1285">
            <v>0</v>
          </cell>
        </row>
        <row r="1286">
          <cell r="L1286">
            <v>0</v>
          </cell>
        </row>
        <row r="1287">
          <cell r="L1287">
            <v>0</v>
          </cell>
        </row>
        <row r="1288">
          <cell r="L1288">
            <v>0</v>
          </cell>
        </row>
        <row r="1289">
          <cell r="L1289">
            <v>0</v>
          </cell>
        </row>
        <row r="1290">
          <cell r="L1290">
            <v>0</v>
          </cell>
        </row>
        <row r="1291">
          <cell r="L1291">
            <v>0</v>
          </cell>
        </row>
        <row r="1292">
          <cell r="L1292">
            <v>0</v>
          </cell>
        </row>
        <row r="1293">
          <cell r="L1293">
            <v>0</v>
          </cell>
        </row>
        <row r="1294">
          <cell r="L1294">
            <v>0</v>
          </cell>
        </row>
        <row r="1295">
          <cell r="L1295">
            <v>0</v>
          </cell>
        </row>
        <row r="1296">
          <cell r="L1296">
            <v>0</v>
          </cell>
        </row>
        <row r="1297">
          <cell r="L1297">
            <v>0</v>
          </cell>
        </row>
        <row r="1298">
          <cell r="L1298">
            <v>0</v>
          </cell>
        </row>
        <row r="1300">
          <cell r="C1300" t="str">
            <v>KAPE-EB-60624-13-03-2024</v>
          </cell>
          <cell r="H1300" t="str">
            <v>IND</v>
          </cell>
          <cell r="L1300">
            <v>0</v>
          </cell>
          <cell r="N1300" t="str">
            <v>Textile Dyes</v>
          </cell>
        </row>
        <row r="1301">
          <cell r="C1301" t="str">
            <v>KAPW-EB-148150-26-03-2024</v>
          </cell>
          <cell r="H1301" t="str">
            <v>IND</v>
          </cell>
          <cell r="L1301">
            <v>0</v>
          </cell>
          <cell r="N1301" t="str">
            <v>Textile Dyes</v>
          </cell>
        </row>
        <row r="1302">
          <cell r="C1302" t="str">
            <v>KAPE-EB-75231-27-05-2024</v>
          </cell>
          <cell r="H1302" t="str">
            <v>IND</v>
          </cell>
          <cell r="L1302">
            <v>0</v>
          </cell>
          <cell r="N1302" t="str">
            <v>Textile Dyes</v>
          </cell>
        </row>
        <row r="1303">
          <cell r="C1303" t="str">
            <v>KAPW-EB-194894-14-06-2024</v>
          </cell>
          <cell r="H1303" t="str">
            <v>IND</v>
          </cell>
          <cell r="L1303">
            <v>0</v>
          </cell>
          <cell r="N1303" t="str">
            <v>Textile Dyes</v>
          </cell>
        </row>
        <row r="1304">
          <cell r="C1304" t="str">
            <v>KAPE-EB-6087-02-08-2024</v>
          </cell>
          <cell r="H1304" t="str">
            <v>IND</v>
          </cell>
          <cell r="L1304">
            <v>0</v>
          </cell>
          <cell r="N1304" t="str">
            <v>Textile Dyes</v>
          </cell>
        </row>
        <row r="1305">
          <cell r="C1305" t="str">
            <v>KAPE-EB-6086-02-08-2024</v>
          </cell>
          <cell r="H1305" t="str">
            <v>IND</v>
          </cell>
          <cell r="L1305">
            <v>0</v>
          </cell>
          <cell r="N1305" t="str">
            <v>Textile Dyes</v>
          </cell>
        </row>
        <row r="1310">
          <cell r="C1310" t="str">
            <v>09082023-A-004755</v>
          </cell>
          <cell r="H1310" t="str">
            <v>L</v>
          </cell>
          <cell r="L1310">
            <v>0</v>
          </cell>
          <cell r="N1310" t="str">
            <v>Raw Cotton</v>
          </cell>
        </row>
        <row r="1311">
          <cell r="C1311" t="str">
            <v>15082023-A-004760</v>
          </cell>
          <cell r="H1311" t="str">
            <v>L</v>
          </cell>
          <cell r="L1311">
            <v>0</v>
          </cell>
          <cell r="N1311" t="str">
            <v>Raw Cotton</v>
          </cell>
        </row>
        <row r="1312">
          <cell r="C1312" t="str">
            <v>15082023-A-004762</v>
          </cell>
          <cell r="H1312" t="str">
            <v>L</v>
          </cell>
          <cell r="L1312">
            <v>0</v>
          </cell>
          <cell r="N1312" t="str">
            <v>Raw Cotton</v>
          </cell>
        </row>
        <row r="1313">
          <cell r="C1313" t="str">
            <v>15082023-A-004766</v>
          </cell>
          <cell r="H1313" t="str">
            <v>L</v>
          </cell>
          <cell r="L1313">
            <v>0</v>
          </cell>
          <cell r="N1313" t="str">
            <v>Raw Cotton</v>
          </cell>
        </row>
        <row r="1314">
          <cell r="C1314" t="str">
            <v>15082023-A-005318</v>
          </cell>
          <cell r="H1314" t="str">
            <v>L</v>
          </cell>
          <cell r="L1314">
            <v>0</v>
          </cell>
          <cell r="N1314" t="str">
            <v>Raw Cotton</v>
          </cell>
        </row>
        <row r="1315">
          <cell r="C1315" t="str">
            <v>15082023-A-005332</v>
          </cell>
          <cell r="H1315" t="str">
            <v>L</v>
          </cell>
          <cell r="L1315">
            <v>0</v>
          </cell>
          <cell r="N1315" t="str">
            <v>Comber Noil</v>
          </cell>
        </row>
        <row r="1316">
          <cell r="C1316" t="str">
            <v>15082023-A-005336</v>
          </cell>
          <cell r="H1316" t="str">
            <v>L</v>
          </cell>
          <cell r="L1316">
            <v>0</v>
          </cell>
          <cell r="N1316" t="str">
            <v>Comber Noil</v>
          </cell>
        </row>
        <row r="1317">
          <cell r="C1317" t="str">
            <v>15082023-A-005339</v>
          </cell>
          <cell r="H1317" t="str">
            <v>L</v>
          </cell>
          <cell r="L1317">
            <v>0</v>
          </cell>
          <cell r="N1317" t="str">
            <v>Comber Noil</v>
          </cell>
        </row>
        <row r="1318">
          <cell r="C1318" t="str">
            <v>15082023-A-005340</v>
          </cell>
          <cell r="H1318" t="str">
            <v>L</v>
          </cell>
          <cell r="L1318">
            <v>0</v>
          </cell>
          <cell r="N1318" t="str">
            <v>Comber Noil</v>
          </cell>
        </row>
        <row r="1319">
          <cell r="C1319" t="str">
            <v>15082023-A-005342</v>
          </cell>
          <cell r="H1319" t="str">
            <v>L</v>
          </cell>
          <cell r="L1319">
            <v>0</v>
          </cell>
          <cell r="N1319" t="str">
            <v>Comber Noil</v>
          </cell>
        </row>
        <row r="1320">
          <cell r="C1320" t="str">
            <v>16082023-A-005553</v>
          </cell>
          <cell r="H1320" t="str">
            <v>L</v>
          </cell>
          <cell r="L1320">
            <v>0</v>
          </cell>
          <cell r="N1320" t="str">
            <v>Comber Noil</v>
          </cell>
        </row>
        <row r="1321">
          <cell r="C1321" t="str">
            <v>16082023-A-005560</v>
          </cell>
          <cell r="H1321" t="str">
            <v>L</v>
          </cell>
          <cell r="L1321">
            <v>0</v>
          </cell>
          <cell r="N1321" t="str">
            <v>Comber Noil</v>
          </cell>
        </row>
        <row r="1322">
          <cell r="C1322" t="str">
            <v>16082023-A-005562</v>
          </cell>
          <cell r="H1322" t="str">
            <v>L</v>
          </cell>
          <cell r="L1322">
            <v>0</v>
          </cell>
          <cell r="N1322" t="str">
            <v>Comber Noil</v>
          </cell>
        </row>
        <row r="1323">
          <cell r="C1323" t="str">
            <v>16082023-A-005565</v>
          </cell>
          <cell r="H1323" t="str">
            <v>L</v>
          </cell>
          <cell r="L1323">
            <v>0</v>
          </cell>
          <cell r="N1323" t="str">
            <v>Comber Noil</v>
          </cell>
        </row>
        <row r="1324">
          <cell r="C1324" t="str">
            <v>16082023-A-005570</v>
          </cell>
          <cell r="H1324" t="str">
            <v>L</v>
          </cell>
          <cell r="L1324">
            <v>0</v>
          </cell>
          <cell r="N1324" t="str">
            <v>Comber Noil</v>
          </cell>
        </row>
        <row r="1325">
          <cell r="C1325" t="str">
            <v>16082023-A-005575</v>
          </cell>
          <cell r="H1325" t="str">
            <v>L</v>
          </cell>
          <cell r="L1325">
            <v>0</v>
          </cell>
          <cell r="N1325" t="str">
            <v>Comber Noil</v>
          </cell>
        </row>
        <row r="1326">
          <cell r="C1326" t="str">
            <v>16082023-A-005579</v>
          </cell>
          <cell r="H1326" t="str">
            <v>L</v>
          </cell>
          <cell r="L1326">
            <v>0</v>
          </cell>
          <cell r="N1326" t="str">
            <v>Comber Noil</v>
          </cell>
        </row>
        <row r="1327">
          <cell r="C1327" t="str">
            <v>16082023-A-005582</v>
          </cell>
          <cell r="H1327" t="str">
            <v>L</v>
          </cell>
          <cell r="L1327">
            <v>0</v>
          </cell>
          <cell r="N1327" t="str">
            <v>Comber Noil</v>
          </cell>
        </row>
        <row r="1328">
          <cell r="C1328" t="str">
            <v>16082023-A-005609</v>
          </cell>
          <cell r="H1328" t="str">
            <v>L</v>
          </cell>
          <cell r="L1328">
            <v>0</v>
          </cell>
          <cell r="N1328" t="str">
            <v>Raw Cotton</v>
          </cell>
        </row>
        <row r="1329">
          <cell r="C1329" t="str">
            <v>16082023-A-005616</v>
          </cell>
          <cell r="H1329" t="str">
            <v>L</v>
          </cell>
          <cell r="L1329">
            <v>0</v>
          </cell>
          <cell r="N1329" t="str">
            <v>Raw Cotton</v>
          </cell>
        </row>
        <row r="1330">
          <cell r="C1330" t="str">
            <v>16082023-A-005623</v>
          </cell>
          <cell r="H1330" t="str">
            <v>L</v>
          </cell>
          <cell r="L1330">
            <v>0</v>
          </cell>
          <cell r="N1330" t="str">
            <v>Comber Noil</v>
          </cell>
        </row>
        <row r="1331">
          <cell r="C1331" t="str">
            <v>17082023-A-005930</v>
          </cell>
          <cell r="H1331" t="str">
            <v>L</v>
          </cell>
          <cell r="L1331">
            <v>0</v>
          </cell>
          <cell r="N1331" t="str">
            <v>Comber Noil</v>
          </cell>
        </row>
        <row r="1332">
          <cell r="C1332" t="str">
            <v>17082023-A-005934</v>
          </cell>
          <cell r="H1332" t="str">
            <v>L</v>
          </cell>
          <cell r="L1332">
            <v>0</v>
          </cell>
          <cell r="N1332" t="str">
            <v>Polyester Staple Fiber</v>
          </cell>
        </row>
        <row r="1333">
          <cell r="C1333" t="str">
            <v>17082023-A-005942</v>
          </cell>
          <cell r="H1333" t="str">
            <v>L</v>
          </cell>
          <cell r="L1333">
            <v>9.9999999998544808E-2</v>
          </cell>
          <cell r="N1333" t="str">
            <v>Polyester Staple Fiber</v>
          </cell>
        </row>
        <row r="1334">
          <cell r="C1334" t="str">
            <v>17082023-A-005943</v>
          </cell>
          <cell r="H1334" t="str">
            <v>L</v>
          </cell>
          <cell r="L1334">
            <v>0.40000000000145519</v>
          </cell>
          <cell r="N1334" t="str">
            <v>Polyester Staple Fiber</v>
          </cell>
        </row>
        <row r="1335">
          <cell r="C1335" t="str">
            <v>17082023-A-005944</v>
          </cell>
          <cell r="H1335" t="str">
            <v>L</v>
          </cell>
          <cell r="L1335">
            <v>0</v>
          </cell>
          <cell r="N1335" t="str">
            <v>Polyester Staple Fiber</v>
          </cell>
        </row>
        <row r="1336">
          <cell r="C1336" t="str">
            <v>17082023-A-005945</v>
          </cell>
          <cell r="H1336" t="str">
            <v>L</v>
          </cell>
          <cell r="L1336">
            <v>0</v>
          </cell>
          <cell r="N1336" t="str">
            <v>Raw Cotton</v>
          </cell>
        </row>
        <row r="1337">
          <cell r="C1337" t="str">
            <v>17082023-A-005946</v>
          </cell>
          <cell r="H1337" t="str">
            <v>L</v>
          </cell>
          <cell r="L1337">
            <v>0</v>
          </cell>
          <cell r="N1337" t="str">
            <v>Raw cotton</v>
          </cell>
        </row>
        <row r="1338">
          <cell r="C1338" t="str">
            <v>24082023-A-006501</v>
          </cell>
          <cell r="H1338" t="str">
            <v>L</v>
          </cell>
          <cell r="L1338">
            <v>0</v>
          </cell>
          <cell r="N1338" t="str">
            <v>Comber Noil</v>
          </cell>
        </row>
        <row r="1339">
          <cell r="C1339" t="str">
            <v>24082023-A-006503</v>
          </cell>
          <cell r="H1339" t="str">
            <v>L</v>
          </cell>
          <cell r="L1339">
            <v>0</v>
          </cell>
          <cell r="N1339" t="str">
            <v>Comber Noil</v>
          </cell>
        </row>
        <row r="1340">
          <cell r="C1340" t="str">
            <v>24082023-A-006504</v>
          </cell>
          <cell r="H1340" t="str">
            <v>L</v>
          </cell>
          <cell r="L1340">
            <v>0</v>
          </cell>
          <cell r="N1340" t="str">
            <v>Comber Noil</v>
          </cell>
        </row>
        <row r="1341">
          <cell r="C1341" t="str">
            <v>24082023-A-006505</v>
          </cell>
          <cell r="H1341" t="str">
            <v>L</v>
          </cell>
          <cell r="L1341">
            <v>0</v>
          </cell>
          <cell r="N1341" t="str">
            <v>Comber Noil</v>
          </cell>
        </row>
        <row r="1342">
          <cell r="C1342" t="str">
            <v>24082023-A-006506</v>
          </cell>
          <cell r="H1342" t="str">
            <v>L</v>
          </cell>
          <cell r="L1342">
            <v>0</v>
          </cell>
          <cell r="N1342" t="str">
            <v>Comber Noil</v>
          </cell>
        </row>
        <row r="1343">
          <cell r="C1343" t="str">
            <v>30082023-A-007762</v>
          </cell>
          <cell r="H1343" t="str">
            <v>L</v>
          </cell>
          <cell r="L1343">
            <v>0</v>
          </cell>
          <cell r="N1343" t="str">
            <v>Raw Cotton</v>
          </cell>
        </row>
        <row r="1344">
          <cell r="C1344" t="str">
            <v>30082023-A-007764</v>
          </cell>
          <cell r="H1344" t="str">
            <v>L</v>
          </cell>
          <cell r="L1344">
            <v>0</v>
          </cell>
          <cell r="N1344" t="str">
            <v>Raw Cotton</v>
          </cell>
        </row>
        <row r="1345">
          <cell r="C1345" t="str">
            <v>30082023-A-007767</v>
          </cell>
          <cell r="H1345" t="str">
            <v>L</v>
          </cell>
          <cell r="L1345">
            <v>0</v>
          </cell>
          <cell r="N1345" t="str">
            <v>Raw Cotton</v>
          </cell>
        </row>
        <row r="1346">
          <cell r="C1346" t="str">
            <v>30082023-A-007772</v>
          </cell>
          <cell r="H1346" t="str">
            <v>L</v>
          </cell>
          <cell r="L1346">
            <v>0</v>
          </cell>
          <cell r="N1346" t="str">
            <v>Raw Cotton</v>
          </cell>
        </row>
        <row r="1347">
          <cell r="C1347" t="str">
            <v>30082023-A-007773</v>
          </cell>
          <cell r="H1347" t="str">
            <v>L</v>
          </cell>
          <cell r="L1347">
            <v>0</v>
          </cell>
          <cell r="N1347" t="str">
            <v>Raw Cotton</v>
          </cell>
        </row>
        <row r="1348">
          <cell r="C1348" t="str">
            <v>30082023-A-007775</v>
          </cell>
          <cell r="H1348" t="str">
            <v>L</v>
          </cell>
          <cell r="L1348">
            <v>0</v>
          </cell>
          <cell r="N1348" t="str">
            <v>Raw Cotton</v>
          </cell>
        </row>
        <row r="1349">
          <cell r="C1349" t="str">
            <v>30082023-A-007776</v>
          </cell>
          <cell r="H1349" t="str">
            <v>L</v>
          </cell>
          <cell r="L1349">
            <v>0</v>
          </cell>
          <cell r="N1349" t="str">
            <v>Raw Cotton</v>
          </cell>
        </row>
        <row r="1350">
          <cell r="C1350" t="str">
            <v>30082023-A-007777</v>
          </cell>
          <cell r="H1350" t="str">
            <v>L</v>
          </cell>
          <cell r="L1350">
            <v>0</v>
          </cell>
          <cell r="N1350" t="str">
            <v>Raw Cotton</v>
          </cell>
        </row>
        <row r="1351">
          <cell r="C1351" t="str">
            <v>30082023-A-007779</v>
          </cell>
          <cell r="H1351" t="str">
            <v>L</v>
          </cell>
          <cell r="L1351">
            <v>0</v>
          </cell>
          <cell r="N1351" t="str">
            <v>Raw Cotton</v>
          </cell>
        </row>
        <row r="1352">
          <cell r="C1352" t="str">
            <v>30082023-A-007780</v>
          </cell>
          <cell r="H1352" t="str">
            <v>L</v>
          </cell>
          <cell r="L1352">
            <v>0</v>
          </cell>
          <cell r="N1352" t="str">
            <v>Raw Cotton</v>
          </cell>
        </row>
        <row r="1353">
          <cell r="C1353" t="str">
            <v>05092023-A-009011</v>
          </cell>
          <cell r="H1353" t="str">
            <v>L</v>
          </cell>
          <cell r="L1353">
            <v>0</v>
          </cell>
          <cell r="N1353" t="str">
            <v>Raw Cotton</v>
          </cell>
        </row>
        <row r="1354">
          <cell r="C1354" t="str">
            <v>05092023-A-009015</v>
          </cell>
          <cell r="H1354" t="str">
            <v>L</v>
          </cell>
          <cell r="L1354">
            <v>0</v>
          </cell>
          <cell r="N1354" t="str">
            <v>Raw Cotton</v>
          </cell>
        </row>
        <row r="1355">
          <cell r="C1355" t="str">
            <v>05092023-A-009017</v>
          </cell>
          <cell r="H1355" t="str">
            <v>L</v>
          </cell>
          <cell r="L1355">
            <v>0</v>
          </cell>
          <cell r="N1355" t="str">
            <v>Raw Cotton</v>
          </cell>
        </row>
        <row r="1356">
          <cell r="C1356" t="str">
            <v>05092023-A-009019</v>
          </cell>
          <cell r="H1356" t="str">
            <v>L</v>
          </cell>
          <cell r="L1356">
            <v>0</v>
          </cell>
          <cell r="N1356" t="str">
            <v>Raw Cotton</v>
          </cell>
        </row>
        <row r="1357">
          <cell r="C1357" t="str">
            <v>11092023-A-010002</v>
          </cell>
          <cell r="H1357" t="str">
            <v>L</v>
          </cell>
          <cell r="L1357">
            <v>0</v>
          </cell>
          <cell r="N1357" t="str">
            <v>Raw Cotton</v>
          </cell>
        </row>
        <row r="1358">
          <cell r="C1358" t="str">
            <v>11092023-A-010003</v>
          </cell>
          <cell r="H1358" t="str">
            <v>L</v>
          </cell>
          <cell r="L1358">
            <v>0</v>
          </cell>
          <cell r="N1358" t="str">
            <v>Raw Cotton</v>
          </cell>
        </row>
        <row r="1359">
          <cell r="C1359" t="str">
            <v>11092023-A-010005</v>
          </cell>
          <cell r="H1359" t="str">
            <v>L</v>
          </cell>
          <cell r="L1359">
            <v>0</v>
          </cell>
          <cell r="N1359" t="str">
            <v>Raw Cotton</v>
          </cell>
        </row>
        <row r="1360">
          <cell r="C1360" t="str">
            <v>11092023-A-010007</v>
          </cell>
          <cell r="H1360" t="str">
            <v>L</v>
          </cell>
          <cell r="L1360">
            <v>0</v>
          </cell>
          <cell r="N1360" t="str">
            <v>Comber Noil</v>
          </cell>
        </row>
        <row r="1361">
          <cell r="C1361" t="str">
            <v>11092023-A-010013</v>
          </cell>
          <cell r="H1361" t="str">
            <v>L</v>
          </cell>
          <cell r="L1361">
            <v>0</v>
          </cell>
          <cell r="N1361" t="str">
            <v>Comber Noil</v>
          </cell>
        </row>
        <row r="1362">
          <cell r="C1362" t="str">
            <v>11092023-A-010036</v>
          </cell>
          <cell r="H1362" t="str">
            <v>L</v>
          </cell>
          <cell r="L1362">
            <v>0</v>
          </cell>
          <cell r="N1362" t="str">
            <v>Comber Noil</v>
          </cell>
        </row>
        <row r="1363">
          <cell r="C1363" t="str">
            <v>11092023-A-010040</v>
          </cell>
          <cell r="H1363" t="str">
            <v>L</v>
          </cell>
          <cell r="L1363">
            <v>0</v>
          </cell>
          <cell r="N1363" t="str">
            <v>Comber Noil</v>
          </cell>
        </row>
        <row r="1364">
          <cell r="C1364" t="str">
            <v>11092023-A-010048</v>
          </cell>
          <cell r="H1364" t="str">
            <v>L</v>
          </cell>
          <cell r="L1364">
            <v>0</v>
          </cell>
          <cell r="N1364" t="str">
            <v>Comber Noil</v>
          </cell>
        </row>
        <row r="1365">
          <cell r="C1365" t="str">
            <v>13092023-A-010742</v>
          </cell>
          <cell r="H1365" t="str">
            <v>L</v>
          </cell>
          <cell r="L1365">
            <v>0</v>
          </cell>
          <cell r="N1365" t="str">
            <v>Raw Cotton</v>
          </cell>
        </row>
        <row r="1366">
          <cell r="C1366" t="str">
            <v>13092023-A-010744</v>
          </cell>
          <cell r="H1366" t="str">
            <v>L</v>
          </cell>
          <cell r="L1366">
            <v>0</v>
          </cell>
          <cell r="N1366" t="str">
            <v>Raw Cotton</v>
          </cell>
        </row>
        <row r="1367">
          <cell r="C1367" t="str">
            <v>13092023-A-010746</v>
          </cell>
          <cell r="H1367" t="str">
            <v>L</v>
          </cell>
          <cell r="L1367">
            <v>0</v>
          </cell>
          <cell r="N1367" t="str">
            <v>Blended Yarn</v>
          </cell>
        </row>
        <row r="1368">
          <cell r="C1368" t="str">
            <v>13092023-A-010750</v>
          </cell>
          <cell r="H1368" t="str">
            <v>L</v>
          </cell>
          <cell r="L1368">
            <v>272</v>
          </cell>
          <cell r="N1368" t="str">
            <v>Cotton Yarn</v>
          </cell>
        </row>
        <row r="1369">
          <cell r="C1369" t="str">
            <v>13092023-A-010753</v>
          </cell>
          <cell r="H1369" t="str">
            <v>L</v>
          </cell>
          <cell r="L1369">
            <v>0</v>
          </cell>
          <cell r="N1369" t="str">
            <v>Raw Cotton</v>
          </cell>
        </row>
        <row r="1370">
          <cell r="C1370" t="str">
            <v>13092023-A-010755</v>
          </cell>
          <cell r="H1370" t="str">
            <v>L</v>
          </cell>
          <cell r="L1370">
            <v>0</v>
          </cell>
          <cell r="N1370" t="str">
            <v>Blended Yarn</v>
          </cell>
        </row>
        <row r="1371">
          <cell r="C1371" t="str">
            <v>13092023-A-010756</v>
          </cell>
          <cell r="H1371" t="str">
            <v>L</v>
          </cell>
          <cell r="L1371">
            <v>0</v>
          </cell>
          <cell r="N1371" t="str">
            <v>Blended Yarn</v>
          </cell>
        </row>
        <row r="1372">
          <cell r="C1372" t="str">
            <v>18092023-A-011662</v>
          </cell>
          <cell r="H1372" t="str">
            <v>L</v>
          </cell>
          <cell r="L1372">
            <v>0</v>
          </cell>
          <cell r="N1372" t="str">
            <v>Comber Noil</v>
          </cell>
        </row>
        <row r="1373">
          <cell r="C1373" t="str">
            <v>18092023-A-011664</v>
          </cell>
          <cell r="H1373" t="str">
            <v>L</v>
          </cell>
          <cell r="L1373">
            <v>0</v>
          </cell>
          <cell r="N1373" t="str">
            <v>Comber Noil</v>
          </cell>
        </row>
        <row r="1374">
          <cell r="C1374" t="str">
            <v>18092023-A-011668</v>
          </cell>
          <cell r="H1374" t="str">
            <v>L</v>
          </cell>
          <cell r="L1374">
            <v>0</v>
          </cell>
          <cell r="N1374" t="str">
            <v>Comber Noil</v>
          </cell>
        </row>
        <row r="1375">
          <cell r="C1375" t="str">
            <v>18092023-A-011670</v>
          </cell>
          <cell r="H1375" t="str">
            <v>L</v>
          </cell>
          <cell r="L1375">
            <v>0</v>
          </cell>
          <cell r="N1375" t="str">
            <v>Comber Noil</v>
          </cell>
        </row>
        <row r="1376">
          <cell r="C1376" t="str">
            <v>18092023-A-011674</v>
          </cell>
          <cell r="H1376" t="str">
            <v>L</v>
          </cell>
          <cell r="L1376">
            <v>0</v>
          </cell>
          <cell r="N1376" t="str">
            <v>Comber Noil</v>
          </cell>
        </row>
        <row r="1377">
          <cell r="C1377" t="str">
            <v>18092023-A-011675</v>
          </cell>
          <cell r="H1377" t="str">
            <v>L</v>
          </cell>
          <cell r="L1377">
            <v>0</v>
          </cell>
          <cell r="N1377" t="str">
            <v>Comber Noil</v>
          </cell>
        </row>
        <row r="1378">
          <cell r="C1378" t="str">
            <v>19092023-A-011695</v>
          </cell>
          <cell r="H1378" t="str">
            <v>L</v>
          </cell>
          <cell r="L1378">
            <v>0</v>
          </cell>
          <cell r="N1378" t="str">
            <v>Raw Cotton</v>
          </cell>
        </row>
        <row r="1379">
          <cell r="C1379" t="str">
            <v>19092023-A-011697</v>
          </cell>
          <cell r="H1379" t="str">
            <v>L</v>
          </cell>
          <cell r="L1379">
            <v>0</v>
          </cell>
          <cell r="N1379" t="str">
            <v>Raw Cotton</v>
          </cell>
        </row>
        <row r="1380">
          <cell r="C1380" t="str">
            <v>19092023-A-011703</v>
          </cell>
          <cell r="H1380" t="str">
            <v>L</v>
          </cell>
          <cell r="L1380">
            <v>0</v>
          </cell>
          <cell r="N1380" t="str">
            <v>Raw Cotton</v>
          </cell>
        </row>
        <row r="1381">
          <cell r="C1381" t="str">
            <v>19092023-A-011706</v>
          </cell>
          <cell r="H1381" t="str">
            <v>L</v>
          </cell>
          <cell r="L1381">
            <v>0</v>
          </cell>
          <cell r="N1381" t="str">
            <v>Polyester Staple Fiber</v>
          </cell>
        </row>
        <row r="1382">
          <cell r="C1382" t="str">
            <v>19092023-A-011707</v>
          </cell>
          <cell r="H1382" t="str">
            <v>L</v>
          </cell>
          <cell r="L1382">
            <v>0</v>
          </cell>
          <cell r="N1382" t="str">
            <v>Raw Cotton</v>
          </cell>
        </row>
        <row r="1383">
          <cell r="C1383" t="str">
            <v>19092023-A-011710</v>
          </cell>
          <cell r="H1383" t="str">
            <v>L</v>
          </cell>
          <cell r="L1383">
            <v>0</v>
          </cell>
          <cell r="N1383" t="str">
            <v>Polyester Staple Fiber</v>
          </cell>
        </row>
        <row r="1384">
          <cell r="C1384" t="str">
            <v>19092023-A-011713</v>
          </cell>
          <cell r="H1384" t="str">
            <v>L</v>
          </cell>
          <cell r="L1384">
            <v>0</v>
          </cell>
          <cell r="N1384" t="str">
            <v>Polyester Staple Fiber</v>
          </cell>
        </row>
        <row r="1385">
          <cell r="C1385" t="str">
            <v>02102023-A-014157</v>
          </cell>
          <cell r="H1385" t="str">
            <v>L</v>
          </cell>
          <cell r="L1385">
            <v>0</v>
          </cell>
          <cell r="N1385" t="str">
            <v>Raw Cotton</v>
          </cell>
        </row>
        <row r="1386">
          <cell r="C1386" t="str">
            <v>02102023-A-014163</v>
          </cell>
          <cell r="H1386" t="str">
            <v>L</v>
          </cell>
          <cell r="L1386">
            <v>0</v>
          </cell>
          <cell r="N1386" t="str">
            <v>Raw Cotton</v>
          </cell>
        </row>
        <row r="1387">
          <cell r="C1387" t="str">
            <v>02102023-A-014165</v>
          </cell>
          <cell r="H1387" t="str">
            <v>L</v>
          </cell>
          <cell r="L1387">
            <v>0</v>
          </cell>
          <cell r="N1387" t="str">
            <v>Raw Cotton</v>
          </cell>
        </row>
        <row r="1388">
          <cell r="C1388" t="str">
            <v>16102023-A-017219</v>
          </cell>
          <cell r="H1388" t="str">
            <v>L</v>
          </cell>
          <cell r="L1388">
            <v>0</v>
          </cell>
          <cell r="N1388" t="str">
            <v>Raw Cotton</v>
          </cell>
        </row>
        <row r="1389">
          <cell r="C1389" t="str">
            <v>16102023-A-017223</v>
          </cell>
          <cell r="H1389" t="str">
            <v>L</v>
          </cell>
          <cell r="L1389">
            <v>0</v>
          </cell>
          <cell r="N1389" t="str">
            <v>Raw Cotton</v>
          </cell>
        </row>
        <row r="1390">
          <cell r="C1390" t="str">
            <v>16102023-A-017228</v>
          </cell>
          <cell r="H1390" t="str">
            <v>L</v>
          </cell>
          <cell r="L1390">
            <v>0</v>
          </cell>
          <cell r="N1390" t="str">
            <v>Raw Cotton</v>
          </cell>
        </row>
        <row r="1391">
          <cell r="C1391" t="str">
            <v>16102023-A-017233</v>
          </cell>
          <cell r="H1391" t="str">
            <v>L</v>
          </cell>
          <cell r="L1391">
            <v>0</v>
          </cell>
          <cell r="N1391" t="str">
            <v>Raw Cotton</v>
          </cell>
        </row>
        <row r="1392">
          <cell r="C1392" t="str">
            <v>16102023-A-017236</v>
          </cell>
          <cell r="H1392" t="str">
            <v>L</v>
          </cell>
          <cell r="L1392">
            <v>0</v>
          </cell>
          <cell r="N1392" t="str">
            <v>Raw Cotton</v>
          </cell>
        </row>
        <row r="1393">
          <cell r="C1393" t="str">
            <v>16102023-A-017239</v>
          </cell>
          <cell r="H1393" t="str">
            <v>L</v>
          </cell>
          <cell r="L1393">
            <v>0</v>
          </cell>
          <cell r="N1393" t="str">
            <v>Raw Cotton</v>
          </cell>
        </row>
        <row r="1394">
          <cell r="C1394" t="str">
            <v>16102023-A-017243</v>
          </cell>
          <cell r="H1394" t="str">
            <v>L</v>
          </cell>
          <cell r="L1394">
            <v>0</v>
          </cell>
          <cell r="N1394" t="str">
            <v>Polyester Staple Fiber</v>
          </cell>
        </row>
        <row r="1395">
          <cell r="C1395" t="str">
            <v>16102023-A-017246</v>
          </cell>
          <cell r="H1395" t="str">
            <v>L</v>
          </cell>
          <cell r="L1395">
            <v>0</v>
          </cell>
          <cell r="N1395" t="str">
            <v>Polyester Staple Fiber</v>
          </cell>
        </row>
        <row r="1396">
          <cell r="C1396" t="str">
            <v>16102023-A-017250</v>
          </cell>
          <cell r="H1396" t="str">
            <v>L</v>
          </cell>
          <cell r="L1396">
            <v>0</v>
          </cell>
          <cell r="N1396" t="str">
            <v>Polyester Staple Fiber</v>
          </cell>
        </row>
        <row r="1397">
          <cell r="C1397" t="str">
            <v>16102023-A-017254</v>
          </cell>
          <cell r="H1397" t="str">
            <v>L</v>
          </cell>
          <cell r="L1397">
            <v>0</v>
          </cell>
          <cell r="N1397" t="str">
            <v>Cotton Yarn</v>
          </cell>
        </row>
        <row r="1398">
          <cell r="C1398" t="str">
            <v>18102023-A-018016</v>
          </cell>
          <cell r="H1398" t="str">
            <v>L</v>
          </cell>
          <cell r="L1398">
            <v>0</v>
          </cell>
          <cell r="N1398" t="str">
            <v>Textile Chemical</v>
          </cell>
        </row>
        <row r="1399">
          <cell r="C1399" t="str">
            <v>18102023-A-018020</v>
          </cell>
          <cell r="H1399" t="str">
            <v>L</v>
          </cell>
          <cell r="L1399">
            <v>0</v>
          </cell>
          <cell r="N1399" t="str">
            <v>Textile Chemical</v>
          </cell>
        </row>
        <row r="1400">
          <cell r="C1400" t="str">
            <v>18102023-A-018022</v>
          </cell>
          <cell r="H1400" t="str">
            <v>L</v>
          </cell>
          <cell r="L1400">
            <v>0</v>
          </cell>
          <cell r="N1400" t="str">
            <v>Textile Chemical</v>
          </cell>
        </row>
        <row r="1401">
          <cell r="C1401" t="str">
            <v>24102023-A-019228</v>
          </cell>
          <cell r="H1401" t="str">
            <v>L</v>
          </cell>
          <cell r="L1401">
            <v>0</v>
          </cell>
          <cell r="N1401" t="str">
            <v>Raw Cotton</v>
          </cell>
        </row>
        <row r="1402">
          <cell r="C1402" t="str">
            <v>24102023-A-019233</v>
          </cell>
          <cell r="H1402" t="str">
            <v>L</v>
          </cell>
          <cell r="L1402">
            <v>0</v>
          </cell>
          <cell r="N1402" t="str">
            <v>Cotton Yarn</v>
          </cell>
        </row>
        <row r="1403">
          <cell r="C1403" t="str">
            <v>26102023-A-019917</v>
          </cell>
          <cell r="H1403" t="str">
            <v>L</v>
          </cell>
          <cell r="L1403">
            <v>0</v>
          </cell>
          <cell r="N1403" t="str">
            <v>Comber Noil</v>
          </cell>
        </row>
        <row r="1404">
          <cell r="C1404" t="str">
            <v>26102023-A-019921</v>
          </cell>
          <cell r="H1404" t="str">
            <v>L</v>
          </cell>
          <cell r="L1404">
            <v>0</v>
          </cell>
          <cell r="N1404" t="str">
            <v>Comber Noil</v>
          </cell>
        </row>
        <row r="1405">
          <cell r="C1405" t="str">
            <v>26102023-A-019923</v>
          </cell>
          <cell r="H1405" t="str">
            <v>L</v>
          </cell>
          <cell r="L1405">
            <v>0</v>
          </cell>
          <cell r="N1405" t="str">
            <v>Comber Noil</v>
          </cell>
        </row>
        <row r="1406">
          <cell r="C1406" t="str">
            <v>26102023-A-019927</v>
          </cell>
          <cell r="H1406" t="str">
            <v>L</v>
          </cell>
          <cell r="L1406">
            <v>0</v>
          </cell>
          <cell r="N1406" t="str">
            <v>Comber Noil</v>
          </cell>
        </row>
        <row r="1407">
          <cell r="C1407" t="str">
            <v>26102023-A-019930</v>
          </cell>
          <cell r="H1407" t="str">
            <v>L</v>
          </cell>
          <cell r="L1407">
            <v>0</v>
          </cell>
          <cell r="N1407" t="str">
            <v>Comber Noil</v>
          </cell>
        </row>
        <row r="1408">
          <cell r="C1408" t="str">
            <v>30102023-A-020733</v>
          </cell>
          <cell r="H1408" t="str">
            <v>L</v>
          </cell>
          <cell r="L1408">
            <v>0</v>
          </cell>
          <cell r="N1408" t="str">
            <v>Blended Yarn</v>
          </cell>
        </row>
        <row r="1409">
          <cell r="C1409" t="str">
            <v>30102023-A-020740</v>
          </cell>
          <cell r="H1409" t="str">
            <v>L</v>
          </cell>
          <cell r="L1409">
            <v>0</v>
          </cell>
          <cell r="N1409" t="str">
            <v>Cotton Yarn</v>
          </cell>
        </row>
        <row r="1410">
          <cell r="C1410" t="str">
            <v>30102023-A-020742</v>
          </cell>
          <cell r="H1410" t="str">
            <v>L</v>
          </cell>
          <cell r="L1410">
            <v>0</v>
          </cell>
          <cell r="N1410" t="str">
            <v>Blended Yarn</v>
          </cell>
        </row>
        <row r="1411">
          <cell r="C1411" t="str">
            <v>30102023-A-020745</v>
          </cell>
          <cell r="H1411" t="str">
            <v>L</v>
          </cell>
          <cell r="L1411">
            <v>0</v>
          </cell>
          <cell r="N1411" t="str">
            <v>Cotton Yarn</v>
          </cell>
        </row>
        <row r="1412">
          <cell r="C1412" t="str">
            <v>30102023-A-020748</v>
          </cell>
          <cell r="H1412" t="str">
            <v>L</v>
          </cell>
          <cell r="L1412">
            <v>0</v>
          </cell>
          <cell r="N1412" t="str">
            <v>Blended Yarn</v>
          </cell>
        </row>
        <row r="1413">
          <cell r="C1413" t="str">
            <v>30102023-A-020760</v>
          </cell>
          <cell r="H1413" t="str">
            <v>L</v>
          </cell>
          <cell r="L1413">
            <v>0</v>
          </cell>
          <cell r="N1413" t="str">
            <v>Cotton Yarn</v>
          </cell>
        </row>
        <row r="1414">
          <cell r="C1414" t="str">
            <v>30102023-A-020762</v>
          </cell>
          <cell r="H1414" t="str">
            <v>L</v>
          </cell>
          <cell r="L1414">
            <v>0</v>
          </cell>
          <cell r="N1414" t="str">
            <v>Blended Yarn</v>
          </cell>
        </row>
        <row r="1415">
          <cell r="C1415" t="str">
            <v>30102023-A-020769</v>
          </cell>
          <cell r="H1415" t="str">
            <v>L</v>
          </cell>
          <cell r="L1415">
            <v>0</v>
          </cell>
          <cell r="N1415" t="str">
            <v>Blended Yarn</v>
          </cell>
        </row>
        <row r="1416">
          <cell r="C1416" t="str">
            <v>30102023-A-020770</v>
          </cell>
          <cell r="H1416" t="str">
            <v>L</v>
          </cell>
          <cell r="L1416">
            <v>0</v>
          </cell>
          <cell r="N1416" t="str">
            <v>Blended Yarn</v>
          </cell>
        </row>
        <row r="1417">
          <cell r="C1417" t="str">
            <v>30102023-A-020773</v>
          </cell>
          <cell r="H1417" t="str">
            <v>L</v>
          </cell>
          <cell r="L1417">
            <v>0</v>
          </cell>
          <cell r="N1417" t="str">
            <v>Blended Yarn</v>
          </cell>
        </row>
        <row r="1418">
          <cell r="C1418" t="str">
            <v>17112023-A-026220</v>
          </cell>
          <cell r="H1418" t="str">
            <v>L</v>
          </cell>
          <cell r="L1418">
            <v>0</v>
          </cell>
          <cell r="N1418" t="str">
            <v>Raw Cotton</v>
          </cell>
        </row>
        <row r="1419">
          <cell r="C1419" t="str">
            <v>17112023-A-026235</v>
          </cell>
          <cell r="H1419" t="str">
            <v>L</v>
          </cell>
          <cell r="L1419">
            <v>0</v>
          </cell>
          <cell r="N1419" t="str">
            <v>Raw Cotton</v>
          </cell>
        </row>
        <row r="1420">
          <cell r="C1420" t="str">
            <v>17112023-A-026240</v>
          </cell>
          <cell r="H1420" t="str">
            <v>L</v>
          </cell>
          <cell r="L1420">
            <v>0</v>
          </cell>
          <cell r="N1420" t="str">
            <v>Raw Cotton</v>
          </cell>
        </row>
        <row r="1421">
          <cell r="C1421" t="str">
            <v>17112023-A-026245</v>
          </cell>
          <cell r="H1421" t="str">
            <v>L</v>
          </cell>
          <cell r="L1421">
            <v>0</v>
          </cell>
          <cell r="N1421" t="str">
            <v>Raw Cotton</v>
          </cell>
        </row>
        <row r="1422">
          <cell r="C1422" t="str">
            <v>17112023-A-026250</v>
          </cell>
          <cell r="H1422" t="str">
            <v>L</v>
          </cell>
          <cell r="L1422">
            <v>0</v>
          </cell>
          <cell r="N1422" t="str">
            <v>Raw Cotton</v>
          </cell>
        </row>
        <row r="1423">
          <cell r="C1423" t="str">
            <v>17112023-A-026264</v>
          </cell>
          <cell r="H1423" t="str">
            <v>L</v>
          </cell>
          <cell r="L1423">
            <v>0</v>
          </cell>
          <cell r="N1423" t="str">
            <v>Raw Cotton</v>
          </cell>
        </row>
        <row r="1424">
          <cell r="C1424" t="str">
            <v>17112023-A-026268</v>
          </cell>
          <cell r="H1424" t="str">
            <v>L</v>
          </cell>
          <cell r="L1424">
            <v>0</v>
          </cell>
          <cell r="N1424" t="str">
            <v>Raw Cotton</v>
          </cell>
        </row>
        <row r="1425">
          <cell r="C1425" t="str">
            <v>17112023-A-026276</v>
          </cell>
          <cell r="H1425" t="str">
            <v>L</v>
          </cell>
          <cell r="L1425">
            <v>0</v>
          </cell>
          <cell r="N1425" t="str">
            <v>Raw Cotton</v>
          </cell>
        </row>
        <row r="1426">
          <cell r="C1426" t="str">
            <v>17112023-A-026280</v>
          </cell>
          <cell r="H1426" t="str">
            <v>L</v>
          </cell>
          <cell r="L1426">
            <v>0</v>
          </cell>
          <cell r="N1426" t="str">
            <v>Raw Cotton</v>
          </cell>
        </row>
        <row r="1427">
          <cell r="C1427" t="str">
            <v>17112023-A-026284</v>
          </cell>
          <cell r="H1427" t="str">
            <v>L</v>
          </cell>
          <cell r="L1427">
            <v>0</v>
          </cell>
          <cell r="N1427" t="str">
            <v>Raw Cotton</v>
          </cell>
        </row>
        <row r="1428">
          <cell r="C1428" t="str">
            <v>17112023-A-026287</v>
          </cell>
          <cell r="H1428" t="str">
            <v>L</v>
          </cell>
          <cell r="L1428">
            <v>0</v>
          </cell>
          <cell r="N1428" t="str">
            <v>Raw Cotton</v>
          </cell>
        </row>
        <row r="1429">
          <cell r="C1429" t="str">
            <v>17112023-A-026301</v>
          </cell>
          <cell r="H1429" t="str">
            <v>L</v>
          </cell>
          <cell r="L1429">
            <v>0</v>
          </cell>
          <cell r="N1429" t="str">
            <v>Raw Cotton</v>
          </cell>
        </row>
        <row r="1430">
          <cell r="C1430" t="str">
            <v>17112023-A-026305</v>
          </cell>
          <cell r="H1430" t="str">
            <v>L</v>
          </cell>
          <cell r="L1430">
            <v>0</v>
          </cell>
          <cell r="N1430" t="str">
            <v>Raw Cotton</v>
          </cell>
        </row>
        <row r="1431">
          <cell r="C1431" t="str">
            <v>17112023-A-026313</v>
          </cell>
          <cell r="H1431" t="str">
            <v>L</v>
          </cell>
          <cell r="L1431">
            <v>0</v>
          </cell>
          <cell r="N1431" t="str">
            <v>Raw Cotton</v>
          </cell>
        </row>
        <row r="1432">
          <cell r="C1432" t="str">
            <v>17112023-A-026316</v>
          </cell>
          <cell r="H1432" t="str">
            <v>L</v>
          </cell>
          <cell r="L1432">
            <v>0</v>
          </cell>
          <cell r="N1432" t="str">
            <v>Raw Cotton</v>
          </cell>
        </row>
        <row r="1433">
          <cell r="C1433" t="str">
            <v>17112023-A-026321</v>
          </cell>
          <cell r="H1433" t="str">
            <v>L</v>
          </cell>
          <cell r="L1433">
            <v>0</v>
          </cell>
          <cell r="N1433" t="str">
            <v>Raw Cotton</v>
          </cell>
        </row>
        <row r="1434">
          <cell r="C1434" t="str">
            <v>17112023-A-026326</v>
          </cell>
          <cell r="H1434" t="str">
            <v>L</v>
          </cell>
          <cell r="L1434">
            <v>0</v>
          </cell>
          <cell r="N1434" t="str">
            <v>Raw Cotton</v>
          </cell>
        </row>
        <row r="1435">
          <cell r="C1435" t="str">
            <v>17112023-A-026330</v>
          </cell>
          <cell r="H1435" t="str">
            <v>L</v>
          </cell>
          <cell r="L1435">
            <v>0</v>
          </cell>
          <cell r="N1435" t="str">
            <v>Raw Cotton</v>
          </cell>
        </row>
        <row r="1436">
          <cell r="C1436" t="str">
            <v>17112023-A-026335</v>
          </cell>
          <cell r="H1436" t="str">
            <v>L</v>
          </cell>
          <cell r="L1436">
            <v>0</v>
          </cell>
          <cell r="N1436" t="str">
            <v>Raw Cotton</v>
          </cell>
        </row>
        <row r="1437">
          <cell r="C1437" t="str">
            <v>17112023-A-026440</v>
          </cell>
          <cell r="H1437" t="str">
            <v>L</v>
          </cell>
          <cell r="L1437">
            <v>0</v>
          </cell>
          <cell r="N1437" t="str">
            <v>Raw Cotton</v>
          </cell>
        </row>
        <row r="1438">
          <cell r="C1438" t="str">
            <v>17112023-A-026456</v>
          </cell>
          <cell r="H1438" t="str">
            <v>L</v>
          </cell>
          <cell r="L1438">
            <v>0</v>
          </cell>
          <cell r="N1438" t="str">
            <v>Raw Cotton</v>
          </cell>
        </row>
        <row r="1439">
          <cell r="C1439" t="str">
            <v>17112023-A-026464</v>
          </cell>
          <cell r="H1439" t="str">
            <v>L</v>
          </cell>
          <cell r="L1439">
            <v>0</v>
          </cell>
          <cell r="N1439" t="str">
            <v>Raw Cotton</v>
          </cell>
        </row>
        <row r="1440">
          <cell r="C1440" t="str">
            <v>17112023-A-026471</v>
          </cell>
          <cell r="H1440" t="str">
            <v>L</v>
          </cell>
          <cell r="L1440">
            <v>0</v>
          </cell>
          <cell r="N1440" t="str">
            <v>Raw Cotton</v>
          </cell>
        </row>
        <row r="1441">
          <cell r="C1441" t="str">
            <v>17112023-A-026474</v>
          </cell>
          <cell r="H1441" t="str">
            <v>L</v>
          </cell>
          <cell r="L1441">
            <v>0</v>
          </cell>
          <cell r="N1441" t="str">
            <v>Raw Cotton</v>
          </cell>
        </row>
        <row r="1442">
          <cell r="C1442" t="str">
            <v>17112023-A-026484</v>
          </cell>
          <cell r="H1442" t="str">
            <v>L</v>
          </cell>
          <cell r="L1442">
            <v>0</v>
          </cell>
          <cell r="N1442" t="str">
            <v>Raw Cotton</v>
          </cell>
        </row>
        <row r="1443">
          <cell r="C1443" t="str">
            <v>17112023-A-026488</v>
          </cell>
          <cell r="H1443" t="str">
            <v>L</v>
          </cell>
          <cell r="L1443">
            <v>0</v>
          </cell>
          <cell r="N1443" t="str">
            <v>Raw Cotton</v>
          </cell>
        </row>
        <row r="1444">
          <cell r="C1444" t="str">
            <v>17112023-A-026491</v>
          </cell>
          <cell r="H1444" t="str">
            <v>L</v>
          </cell>
          <cell r="L1444">
            <v>0</v>
          </cell>
          <cell r="N1444" t="str">
            <v>Raw Cotton</v>
          </cell>
        </row>
        <row r="1445">
          <cell r="C1445" t="str">
            <v>17112023-A-026498</v>
          </cell>
          <cell r="H1445" t="str">
            <v>L</v>
          </cell>
          <cell r="L1445">
            <v>0</v>
          </cell>
          <cell r="N1445" t="str">
            <v>Raw Cotton</v>
          </cell>
        </row>
        <row r="1446">
          <cell r="C1446" t="str">
            <v>17112023-A-026507</v>
          </cell>
          <cell r="H1446" t="str">
            <v>L</v>
          </cell>
          <cell r="L1446">
            <v>0</v>
          </cell>
          <cell r="N1446" t="str">
            <v>Raw Cotton</v>
          </cell>
        </row>
        <row r="1447">
          <cell r="C1447" t="str">
            <v>17112023-A-026513</v>
          </cell>
          <cell r="H1447" t="str">
            <v>L</v>
          </cell>
          <cell r="L1447">
            <v>0</v>
          </cell>
          <cell r="N1447" t="str">
            <v>Raw Cotton</v>
          </cell>
        </row>
        <row r="1448">
          <cell r="C1448" t="str">
            <v>17112023-A-026529</v>
          </cell>
          <cell r="H1448" t="str">
            <v>L</v>
          </cell>
          <cell r="L1448">
            <v>0</v>
          </cell>
          <cell r="N1448" t="str">
            <v>Raw Cotton</v>
          </cell>
        </row>
        <row r="1449">
          <cell r="C1449" t="str">
            <v>17112023-A-026518</v>
          </cell>
          <cell r="H1449" t="str">
            <v>L</v>
          </cell>
          <cell r="L1449">
            <v>0</v>
          </cell>
          <cell r="N1449" t="str">
            <v>Raw Cotton</v>
          </cell>
        </row>
        <row r="1450">
          <cell r="C1450" t="str">
            <v>17112023-A-026523</v>
          </cell>
          <cell r="H1450" t="str">
            <v>L</v>
          </cell>
          <cell r="L1450">
            <v>0</v>
          </cell>
          <cell r="N1450" t="str">
            <v>Raw Cotton</v>
          </cell>
        </row>
        <row r="1451">
          <cell r="C1451" t="str">
            <v>18112023-A-026769</v>
          </cell>
          <cell r="H1451" t="str">
            <v>L</v>
          </cell>
          <cell r="L1451">
            <v>0</v>
          </cell>
          <cell r="N1451" t="str">
            <v>Cotton Yarn</v>
          </cell>
        </row>
        <row r="1452">
          <cell r="C1452" t="str">
            <v>18112023-A-026772</v>
          </cell>
          <cell r="H1452" t="str">
            <v>L</v>
          </cell>
          <cell r="L1452">
            <v>0</v>
          </cell>
          <cell r="N1452" t="str">
            <v>Cotton Yarn</v>
          </cell>
        </row>
        <row r="1453">
          <cell r="C1453" t="str">
            <v>18112023-A-026779</v>
          </cell>
          <cell r="H1453" t="str">
            <v>L</v>
          </cell>
          <cell r="L1453">
            <v>0</v>
          </cell>
          <cell r="N1453" t="str">
            <v>Cotton Yarn</v>
          </cell>
        </row>
        <row r="1454">
          <cell r="C1454" t="str">
            <v>20112023-A-026954</v>
          </cell>
          <cell r="H1454" t="str">
            <v>L</v>
          </cell>
          <cell r="L1454">
            <v>0</v>
          </cell>
          <cell r="N1454" t="str">
            <v>Cotton Yarn</v>
          </cell>
        </row>
        <row r="1455">
          <cell r="C1455" t="str">
            <v>20112023-A-026961</v>
          </cell>
          <cell r="H1455" t="str">
            <v>L</v>
          </cell>
          <cell r="L1455">
            <v>0</v>
          </cell>
          <cell r="N1455" t="str">
            <v>Cotton Yarn</v>
          </cell>
        </row>
        <row r="1456">
          <cell r="C1456" t="str">
            <v>20112023-A-026973</v>
          </cell>
          <cell r="H1456" t="str">
            <v>L</v>
          </cell>
          <cell r="L1456">
            <v>0</v>
          </cell>
          <cell r="N1456" t="str">
            <v>Cotton Yarn</v>
          </cell>
        </row>
        <row r="1457">
          <cell r="C1457" t="str">
            <v>20112023-A-026978</v>
          </cell>
          <cell r="H1457" t="str">
            <v>L</v>
          </cell>
          <cell r="L1457">
            <v>0</v>
          </cell>
          <cell r="N1457" t="str">
            <v>Cotton Yarn</v>
          </cell>
        </row>
        <row r="1458">
          <cell r="C1458" t="str">
            <v>20112023-A-026984</v>
          </cell>
          <cell r="H1458" t="str">
            <v>L</v>
          </cell>
          <cell r="L1458">
            <v>2268</v>
          </cell>
          <cell r="N1458" t="str">
            <v>Cotton Yarn</v>
          </cell>
        </row>
        <row r="1459">
          <cell r="C1459" t="str">
            <v>20112023-A-026994</v>
          </cell>
          <cell r="H1459" t="str">
            <v>L</v>
          </cell>
          <cell r="L1459">
            <v>0</v>
          </cell>
          <cell r="N1459" t="str">
            <v>Cotton Yarn</v>
          </cell>
        </row>
        <row r="1460">
          <cell r="C1460" t="str">
            <v>20112023-A-026999</v>
          </cell>
          <cell r="H1460" t="str">
            <v>L</v>
          </cell>
          <cell r="L1460">
            <v>0</v>
          </cell>
          <cell r="N1460" t="str">
            <v>Cotton Yarn</v>
          </cell>
        </row>
        <row r="1461">
          <cell r="C1461" t="str">
            <v>20112023-A-027007</v>
          </cell>
          <cell r="H1461" t="str">
            <v>L</v>
          </cell>
          <cell r="L1461">
            <v>2268</v>
          </cell>
          <cell r="N1461" t="str">
            <v>Cotton Yarn</v>
          </cell>
        </row>
        <row r="1462">
          <cell r="C1462" t="str">
            <v>20112023-A-027037</v>
          </cell>
          <cell r="H1462" t="str">
            <v>L</v>
          </cell>
          <cell r="L1462">
            <v>0</v>
          </cell>
          <cell r="N1462" t="str">
            <v>Cotton Yarn</v>
          </cell>
        </row>
        <row r="1463">
          <cell r="C1463" t="str">
            <v>20112023-A-027050</v>
          </cell>
          <cell r="H1463" t="str">
            <v>L</v>
          </cell>
          <cell r="L1463">
            <v>0</v>
          </cell>
          <cell r="N1463" t="str">
            <v>Cotton Yarn</v>
          </cell>
        </row>
        <row r="1464">
          <cell r="C1464" t="str">
            <v>20112023-A-027059</v>
          </cell>
          <cell r="H1464" t="str">
            <v>L</v>
          </cell>
          <cell r="L1464">
            <v>0</v>
          </cell>
          <cell r="N1464" t="str">
            <v>Cotton Yarn</v>
          </cell>
        </row>
        <row r="1465">
          <cell r="C1465" t="str">
            <v>20112023-A-027064</v>
          </cell>
          <cell r="H1465" t="str">
            <v>L</v>
          </cell>
          <cell r="L1465">
            <v>0</v>
          </cell>
          <cell r="N1465" t="str">
            <v>Cotton Yarn</v>
          </cell>
        </row>
        <row r="1466">
          <cell r="C1466" t="str">
            <v>17112023-A-026533</v>
          </cell>
          <cell r="H1466" t="str">
            <v>L</v>
          </cell>
          <cell r="L1466">
            <v>0</v>
          </cell>
          <cell r="N1466" t="str">
            <v>Raw Cotton</v>
          </cell>
        </row>
        <row r="1467">
          <cell r="C1467" t="str">
            <v>17112023-A-026448</v>
          </cell>
          <cell r="H1467" t="str">
            <v>L</v>
          </cell>
          <cell r="L1467">
            <v>0</v>
          </cell>
          <cell r="N1467" t="str">
            <v>Raw Cotton</v>
          </cell>
        </row>
        <row r="1468">
          <cell r="C1468" t="str">
            <v>17112023-A-026461</v>
          </cell>
          <cell r="H1468" t="str">
            <v>L</v>
          </cell>
          <cell r="L1468">
            <v>0</v>
          </cell>
          <cell r="N1468" t="str">
            <v>Raw Cotton</v>
          </cell>
        </row>
        <row r="1469">
          <cell r="C1469" t="str">
            <v>17112023-A-026537</v>
          </cell>
          <cell r="H1469" t="str">
            <v>L</v>
          </cell>
          <cell r="L1469">
            <v>0</v>
          </cell>
          <cell r="N1469" t="str">
            <v>Raw Cotton</v>
          </cell>
        </row>
        <row r="1470">
          <cell r="C1470" t="str">
            <v>17112023-A-026542</v>
          </cell>
          <cell r="H1470" t="str">
            <v>L</v>
          </cell>
          <cell r="L1470">
            <v>0</v>
          </cell>
          <cell r="N1470" t="str">
            <v>Raw Cotton</v>
          </cell>
        </row>
        <row r="1471">
          <cell r="C1471" t="str">
            <v>27112023-A-030664</v>
          </cell>
          <cell r="H1471" t="str">
            <v>L</v>
          </cell>
          <cell r="L1471">
            <v>4627</v>
          </cell>
          <cell r="N1471" t="str">
            <v>Cotton Yarn</v>
          </cell>
        </row>
        <row r="1472">
          <cell r="C1472" t="str">
            <v>27112023-A-030670</v>
          </cell>
          <cell r="H1472" t="str">
            <v>L</v>
          </cell>
          <cell r="L1472">
            <v>0</v>
          </cell>
          <cell r="N1472" t="str">
            <v>Cotton Yarn</v>
          </cell>
        </row>
        <row r="1473">
          <cell r="C1473" t="str">
            <v>27112023-A-030675</v>
          </cell>
          <cell r="H1473" t="str">
            <v>L</v>
          </cell>
          <cell r="L1473">
            <v>0</v>
          </cell>
          <cell r="N1473" t="str">
            <v>Cotton Yarn</v>
          </cell>
        </row>
        <row r="1474">
          <cell r="C1474" t="str">
            <v>27112023-A-030683</v>
          </cell>
          <cell r="H1474" t="str">
            <v>L</v>
          </cell>
          <cell r="L1474">
            <v>0</v>
          </cell>
          <cell r="N1474" t="str">
            <v>Cotton Yarn</v>
          </cell>
        </row>
        <row r="1475">
          <cell r="C1475" t="str">
            <v>27112023-A-030688</v>
          </cell>
          <cell r="H1475" t="str">
            <v>L</v>
          </cell>
          <cell r="L1475">
            <v>0</v>
          </cell>
          <cell r="N1475" t="str">
            <v>Cotton Yarn</v>
          </cell>
        </row>
        <row r="1476">
          <cell r="C1476" t="str">
            <v>27112023-A-030698</v>
          </cell>
          <cell r="H1476" t="str">
            <v>L</v>
          </cell>
          <cell r="L1476">
            <v>0</v>
          </cell>
          <cell r="N1476" t="str">
            <v>Raw Cotton</v>
          </cell>
        </row>
        <row r="1477">
          <cell r="C1477" t="str">
            <v>04122023-A-034274</v>
          </cell>
          <cell r="H1477" t="str">
            <v>L</v>
          </cell>
          <cell r="L1477">
            <v>0</v>
          </cell>
          <cell r="N1477" t="str">
            <v>Textile Chemical</v>
          </cell>
        </row>
        <row r="1478">
          <cell r="C1478" t="str">
            <v>04122023-A-034304</v>
          </cell>
          <cell r="H1478" t="str">
            <v>L</v>
          </cell>
          <cell r="L1478">
            <v>0</v>
          </cell>
          <cell r="N1478" t="str">
            <v>Textile Chemical</v>
          </cell>
        </row>
        <row r="1479">
          <cell r="C1479" t="str">
            <v>04122023-A-034309</v>
          </cell>
          <cell r="H1479" t="str">
            <v>L</v>
          </cell>
          <cell r="L1479">
            <v>0</v>
          </cell>
          <cell r="N1479" t="str">
            <v>Textile Chemical</v>
          </cell>
        </row>
        <row r="1480">
          <cell r="C1480" t="str">
            <v>04122023-A-034314</v>
          </cell>
          <cell r="H1480" t="str">
            <v>L</v>
          </cell>
          <cell r="L1480">
            <v>0</v>
          </cell>
          <cell r="N1480" t="str">
            <v>Textile Dyes</v>
          </cell>
        </row>
        <row r="1481">
          <cell r="C1481" t="str">
            <v>04122023-A-034318</v>
          </cell>
          <cell r="H1481" t="str">
            <v>L</v>
          </cell>
          <cell r="L1481">
            <v>0</v>
          </cell>
          <cell r="N1481" t="str">
            <v>Textile Dyes</v>
          </cell>
        </row>
        <row r="1482">
          <cell r="C1482" t="str">
            <v>04122023-A-034323</v>
          </cell>
          <cell r="H1482" t="str">
            <v>L</v>
          </cell>
          <cell r="L1482">
            <v>0</v>
          </cell>
          <cell r="N1482" t="str">
            <v>Textile Chemical</v>
          </cell>
        </row>
        <row r="1483">
          <cell r="C1483" t="str">
            <v>04122023-A-034350</v>
          </cell>
          <cell r="H1483" t="str">
            <v>L</v>
          </cell>
          <cell r="L1483">
            <v>0</v>
          </cell>
          <cell r="N1483" t="str">
            <v>Textile Dyes</v>
          </cell>
        </row>
        <row r="1484">
          <cell r="C1484" t="str">
            <v>04122023-A-034357</v>
          </cell>
          <cell r="H1484" t="str">
            <v>L</v>
          </cell>
          <cell r="L1484">
            <v>0</v>
          </cell>
          <cell r="N1484" t="str">
            <v>Textile Dyes</v>
          </cell>
        </row>
        <row r="1485">
          <cell r="C1485" t="str">
            <v>04122023-A-034357</v>
          </cell>
          <cell r="H1485" t="str">
            <v>L</v>
          </cell>
          <cell r="L1485">
            <v>0</v>
          </cell>
          <cell r="N1485" t="str">
            <v>Textile Chemical</v>
          </cell>
        </row>
        <row r="1486">
          <cell r="C1486" t="str">
            <v>04122023-A-034374</v>
          </cell>
          <cell r="H1486" t="str">
            <v>L</v>
          </cell>
          <cell r="L1486">
            <v>0</v>
          </cell>
          <cell r="N1486" t="str">
            <v>Textile Chemical</v>
          </cell>
        </row>
        <row r="1487">
          <cell r="C1487" t="str">
            <v>04122023-A-034385</v>
          </cell>
          <cell r="H1487" t="str">
            <v>L</v>
          </cell>
          <cell r="L1487">
            <v>0</v>
          </cell>
          <cell r="N1487" t="str">
            <v>Textile Dyes</v>
          </cell>
        </row>
        <row r="1488">
          <cell r="C1488" t="str">
            <v>04122023-A-034385</v>
          </cell>
          <cell r="H1488" t="str">
            <v>L</v>
          </cell>
          <cell r="L1488">
            <v>0</v>
          </cell>
          <cell r="N1488" t="str">
            <v>Textile Chemical</v>
          </cell>
        </row>
        <row r="1489">
          <cell r="C1489" t="str">
            <v>04122023-A-034403</v>
          </cell>
          <cell r="H1489" t="str">
            <v>L</v>
          </cell>
          <cell r="L1489">
            <v>0</v>
          </cell>
          <cell r="N1489" t="str">
            <v>Textile Dyes</v>
          </cell>
        </row>
        <row r="1490">
          <cell r="C1490" t="str">
            <v>04122023-A-034409</v>
          </cell>
          <cell r="H1490" t="str">
            <v>L</v>
          </cell>
          <cell r="L1490">
            <v>0</v>
          </cell>
          <cell r="N1490" t="str">
            <v>Textile Chemical</v>
          </cell>
        </row>
        <row r="1491">
          <cell r="C1491" t="str">
            <v>04122023-A-034417</v>
          </cell>
          <cell r="H1491" t="str">
            <v>L</v>
          </cell>
          <cell r="L1491">
            <v>0</v>
          </cell>
          <cell r="N1491" t="str">
            <v>Textile Dyes</v>
          </cell>
        </row>
        <row r="1492">
          <cell r="C1492" t="str">
            <v>04122023-A-034423</v>
          </cell>
          <cell r="H1492" t="str">
            <v>L</v>
          </cell>
          <cell r="L1492">
            <v>0</v>
          </cell>
          <cell r="N1492" t="str">
            <v>Textile Chemical</v>
          </cell>
        </row>
        <row r="1493">
          <cell r="C1493" t="str">
            <v>04122023-A-034429</v>
          </cell>
          <cell r="H1493" t="str">
            <v>L</v>
          </cell>
          <cell r="L1493">
            <v>0</v>
          </cell>
          <cell r="N1493" t="str">
            <v>Textile Chemical</v>
          </cell>
        </row>
        <row r="1494">
          <cell r="C1494" t="str">
            <v>07122023-A-035810</v>
          </cell>
          <cell r="H1494" t="str">
            <v>L</v>
          </cell>
          <cell r="L1494">
            <v>0</v>
          </cell>
          <cell r="N1494" t="str">
            <v>Textile Chemical</v>
          </cell>
        </row>
        <row r="1495">
          <cell r="C1495" t="str">
            <v>14122023-A-038556</v>
          </cell>
          <cell r="H1495" t="str">
            <v>L</v>
          </cell>
          <cell r="L1495">
            <v>0</v>
          </cell>
          <cell r="N1495" t="str">
            <v>Textile Chemical</v>
          </cell>
        </row>
        <row r="1496">
          <cell r="C1496" t="str">
            <v>21122023-A-041859</v>
          </cell>
          <cell r="H1496" t="str">
            <v>L</v>
          </cell>
          <cell r="L1496">
            <v>0</v>
          </cell>
          <cell r="N1496" t="str">
            <v>Textile Chemical</v>
          </cell>
        </row>
        <row r="1497">
          <cell r="C1497" t="str">
            <v>23122023-A-042856</v>
          </cell>
          <cell r="H1497" t="str">
            <v>L</v>
          </cell>
          <cell r="L1497">
            <v>0</v>
          </cell>
          <cell r="N1497" t="str">
            <v>Textile Chemical</v>
          </cell>
        </row>
        <row r="1498">
          <cell r="C1498" t="str">
            <v>26122023-A-043738</v>
          </cell>
          <cell r="H1498" t="str">
            <v>L</v>
          </cell>
          <cell r="L1498">
            <v>0</v>
          </cell>
          <cell r="N1498" t="str">
            <v>Textile Chemical</v>
          </cell>
        </row>
        <row r="1499">
          <cell r="C1499" t="str">
            <v>26122023-A-043742</v>
          </cell>
          <cell r="H1499" t="str">
            <v>L</v>
          </cell>
          <cell r="L1499">
            <v>0</v>
          </cell>
          <cell r="N1499" t="str">
            <v>Textile Chemical</v>
          </cell>
        </row>
        <row r="1500">
          <cell r="C1500" t="str">
            <v>26122023-A-043755</v>
          </cell>
          <cell r="H1500" t="str">
            <v>L</v>
          </cell>
          <cell r="L1500">
            <v>0</v>
          </cell>
          <cell r="N1500" t="str">
            <v>Textile Chemical</v>
          </cell>
        </row>
        <row r="1501">
          <cell r="C1501" t="str">
            <v>26122023-A-043760</v>
          </cell>
          <cell r="H1501" t="str">
            <v>L</v>
          </cell>
          <cell r="L1501">
            <v>0</v>
          </cell>
          <cell r="N1501" t="str">
            <v>Textile Chemical</v>
          </cell>
        </row>
        <row r="1502">
          <cell r="C1502" t="str">
            <v>26122023-A-043781</v>
          </cell>
          <cell r="H1502" t="str">
            <v>L</v>
          </cell>
          <cell r="L1502">
            <v>0</v>
          </cell>
          <cell r="N1502" t="str">
            <v>Textile Chemical</v>
          </cell>
        </row>
        <row r="1503">
          <cell r="C1503" t="str">
            <v>26122023-A-043804</v>
          </cell>
          <cell r="H1503" t="str">
            <v>L</v>
          </cell>
          <cell r="L1503">
            <v>0</v>
          </cell>
          <cell r="N1503" t="str">
            <v>Textile Chemical</v>
          </cell>
        </row>
        <row r="1504">
          <cell r="C1504" t="str">
            <v>26122023-A-043812</v>
          </cell>
          <cell r="H1504" t="str">
            <v>L</v>
          </cell>
          <cell r="L1504">
            <v>0</v>
          </cell>
          <cell r="N1504" t="str">
            <v>Textile Chemical</v>
          </cell>
        </row>
        <row r="1505">
          <cell r="C1505" t="str">
            <v>26122023-A-043819</v>
          </cell>
          <cell r="H1505" t="str">
            <v>L</v>
          </cell>
          <cell r="L1505">
            <v>0</v>
          </cell>
          <cell r="N1505" t="str">
            <v>Textile Chemical</v>
          </cell>
        </row>
        <row r="1506">
          <cell r="C1506" t="str">
            <v>26122023-A-043963</v>
          </cell>
          <cell r="H1506" t="str">
            <v>L</v>
          </cell>
          <cell r="L1506">
            <v>0</v>
          </cell>
          <cell r="N1506" t="str">
            <v>Textile Chemical</v>
          </cell>
        </row>
        <row r="1507">
          <cell r="C1507" t="str">
            <v>26122023-A-043965</v>
          </cell>
          <cell r="H1507" t="str">
            <v>L</v>
          </cell>
          <cell r="L1507">
            <v>0</v>
          </cell>
          <cell r="N1507" t="str">
            <v>Textile Chemical</v>
          </cell>
        </row>
        <row r="1508">
          <cell r="C1508" t="str">
            <v>26122023-A-043973</v>
          </cell>
          <cell r="H1508" t="str">
            <v>L</v>
          </cell>
          <cell r="L1508">
            <v>0</v>
          </cell>
          <cell r="N1508" t="str">
            <v>Textile Chemical</v>
          </cell>
        </row>
        <row r="1509">
          <cell r="C1509" t="str">
            <v>26122023-A-043999</v>
          </cell>
          <cell r="H1509" t="str">
            <v>L</v>
          </cell>
          <cell r="L1509">
            <v>0</v>
          </cell>
          <cell r="N1509" t="str">
            <v>Textile Chemical</v>
          </cell>
        </row>
        <row r="1510">
          <cell r="C1510" t="str">
            <v>26122023-A-044008</v>
          </cell>
          <cell r="H1510" t="str">
            <v>L</v>
          </cell>
          <cell r="L1510">
            <v>0</v>
          </cell>
          <cell r="N1510" t="str">
            <v>Textile Chemical</v>
          </cell>
        </row>
        <row r="1511">
          <cell r="C1511" t="str">
            <v>26122023-A-044021</v>
          </cell>
          <cell r="H1511" t="str">
            <v>L</v>
          </cell>
          <cell r="L1511">
            <v>0</v>
          </cell>
          <cell r="N1511" t="str">
            <v>Textile Dyes</v>
          </cell>
        </row>
        <row r="1512">
          <cell r="C1512" t="str">
            <v>26122023-A-044027</v>
          </cell>
          <cell r="H1512" t="str">
            <v>L</v>
          </cell>
          <cell r="L1512">
            <v>0</v>
          </cell>
          <cell r="N1512" t="str">
            <v>Textile Chemical</v>
          </cell>
        </row>
        <row r="1513">
          <cell r="C1513" t="str">
            <v>26122023-A-044101</v>
          </cell>
          <cell r="H1513" t="str">
            <v>L</v>
          </cell>
          <cell r="L1513">
            <v>0</v>
          </cell>
          <cell r="N1513" t="str">
            <v>Raw Cotton</v>
          </cell>
        </row>
        <row r="1514">
          <cell r="C1514" t="str">
            <v>26122023-A-044107</v>
          </cell>
          <cell r="H1514" t="str">
            <v>L</v>
          </cell>
          <cell r="L1514">
            <v>0</v>
          </cell>
          <cell r="N1514" t="str">
            <v>Raw Cotton</v>
          </cell>
        </row>
        <row r="1515">
          <cell r="C1515" t="str">
            <v>26122023-A-044113</v>
          </cell>
          <cell r="H1515" t="str">
            <v>L</v>
          </cell>
          <cell r="L1515">
            <v>0</v>
          </cell>
          <cell r="N1515" t="str">
            <v>Raw Cotton</v>
          </cell>
        </row>
        <row r="1516">
          <cell r="C1516" t="str">
            <v>26122023-A-044120</v>
          </cell>
          <cell r="H1516" t="str">
            <v>L</v>
          </cell>
          <cell r="L1516">
            <v>0</v>
          </cell>
          <cell r="N1516" t="str">
            <v>Raw Cotton</v>
          </cell>
        </row>
        <row r="1517">
          <cell r="C1517" t="str">
            <v>26122023-A-044124</v>
          </cell>
          <cell r="H1517" t="str">
            <v>L</v>
          </cell>
          <cell r="L1517">
            <v>0</v>
          </cell>
          <cell r="N1517" t="str">
            <v>Raw Cotton</v>
          </cell>
        </row>
        <row r="1518">
          <cell r="C1518" t="str">
            <v>26122023-A-044127</v>
          </cell>
          <cell r="H1518" t="str">
            <v>L</v>
          </cell>
          <cell r="L1518">
            <v>0</v>
          </cell>
          <cell r="N1518" t="str">
            <v>Raw Cotton</v>
          </cell>
        </row>
        <row r="1519">
          <cell r="C1519" t="str">
            <v>26122023-A-044133</v>
          </cell>
          <cell r="H1519" t="str">
            <v>L</v>
          </cell>
          <cell r="L1519">
            <v>0</v>
          </cell>
          <cell r="N1519" t="str">
            <v>Raw Cotton</v>
          </cell>
        </row>
        <row r="1520">
          <cell r="C1520" t="str">
            <v>26122023-A-044140</v>
          </cell>
          <cell r="H1520" t="str">
            <v>L</v>
          </cell>
          <cell r="L1520">
            <v>0</v>
          </cell>
          <cell r="N1520" t="str">
            <v>Raw Cotton</v>
          </cell>
        </row>
        <row r="1521">
          <cell r="C1521" t="str">
            <v>26122023-A-044147</v>
          </cell>
          <cell r="H1521" t="str">
            <v>L</v>
          </cell>
          <cell r="L1521">
            <v>0</v>
          </cell>
          <cell r="N1521" t="str">
            <v>Raw Cotton</v>
          </cell>
        </row>
        <row r="1522">
          <cell r="C1522" t="str">
            <v>26122023-A-044152</v>
          </cell>
          <cell r="H1522" t="str">
            <v>L</v>
          </cell>
          <cell r="L1522">
            <v>0</v>
          </cell>
          <cell r="N1522" t="str">
            <v>Raw Cotton</v>
          </cell>
        </row>
        <row r="1523">
          <cell r="C1523" t="str">
            <v>26122023-A-044206</v>
          </cell>
          <cell r="H1523" t="str">
            <v>L</v>
          </cell>
          <cell r="L1523">
            <v>0</v>
          </cell>
          <cell r="N1523" t="str">
            <v>Raw Cotton</v>
          </cell>
        </row>
        <row r="1524">
          <cell r="C1524" t="str">
            <v>26122023-A-044210</v>
          </cell>
          <cell r="H1524" t="str">
            <v>L</v>
          </cell>
          <cell r="L1524">
            <v>0</v>
          </cell>
          <cell r="N1524" t="str">
            <v>Raw Cotton</v>
          </cell>
        </row>
        <row r="1525">
          <cell r="C1525" t="str">
            <v>26122023-A-044216</v>
          </cell>
          <cell r="H1525" t="str">
            <v>L</v>
          </cell>
          <cell r="L1525">
            <v>0</v>
          </cell>
          <cell r="N1525" t="str">
            <v>Raw Cotton</v>
          </cell>
        </row>
        <row r="1526">
          <cell r="C1526" t="str">
            <v>26122023-A-044222</v>
          </cell>
          <cell r="H1526" t="str">
            <v>L</v>
          </cell>
          <cell r="L1526">
            <v>0</v>
          </cell>
          <cell r="N1526" t="str">
            <v>Raw Cotton</v>
          </cell>
        </row>
        <row r="1527">
          <cell r="C1527" t="str">
            <v>26122023-A-044226</v>
          </cell>
          <cell r="H1527" t="str">
            <v>L</v>
          </cell>
          <cell r="L1527">
            <v>0</v>
          </cell>
          <cell r="N1527" t="str">
            <v>Raw Cotton</v>
          </cell>
        </row>
        <row r="1528">
          <cell r="C1528" t="str">
            <v>26122023-A-044234</v>
          </cell>
          <cell r="H1528" t="str">
            <v>L</v>
          </cell>
          <cell r="L1528">
            <v>0</v>
          </cell>
          <cell r="N1528" t="str">
            <v>Raw Cotton</v>
          </cell>
        </row>
        <row r="1529">
          <cell r="C1529" t="str">
            <v>26122023-A-044237</v>
          </cell>
          <cell r="H1529" t="str">
            <v>L</v>
          </cell>
          <cell r="L1529">
            <v>0</v>
          </cell>
          <cell r="N1529" t="str">
            <v>Raw Cotton</v>
          </cell>
        </row>
        <row r="1530">
          <cell r="C1530" t="str">
            <v>26122023-A-044247</v>
          </cell>
          <cell r="H1530" t="str">
            <v>L</v>
          </cell>
          <cell r="L1530">
            <v>0</v>
          </cell>
          <cell r="N1530" t="str">
            <v>Raw Cotton</v>
          </cell>
        </row>
        <row r="1531">
          <cell r="C1531" t="str">
            <v>26122023-A-044278</v>
          </cell>
          <cell r="H1531" t="str">
            <v>L</v>
          </cell>
          <cell r="L1531">
            <v>0</v>
          </cell>
          <cell r="N1531" t="str">
            <v>Raw Cotton</v>
          </cell>
        </row>
        <row r="1532">
          <cell r="C1532" t="str">
            <v>26122023-A-044286</v>
          </cell>
          <cell r="H1532" t="str">
            <v>L</v>
          </cell>
          <cell r="L1532">
            <v>0</v>
          </cell>
          <cell r="N1532" t="str">
            <v>Raw Cotton</v>
          </cell>
        </row>
        <row r="1533">
          <cell r="C1533" t="str">
            <v>26122023-A-044292</v>
          </cell>
          <cell r="H1533" t="str">
            <v>L</v>
          </cell>
          <cell r="L1533">
            <v>0</v>
          </cell>
          <cell r="N1533" t="str">
            <v>Raw Cotton</v>
          </cell>
        </row>
        <row r="1534">
          <cell r="C1534" t="str">
            <v>26122023-A-044300</v>
          </cell>
          <cell r="H1534" t="str">
            <v>L</v>
          </cell>
          <cell r="L1534">
            <v>0</v>
          </cell>
          <cell r="N1534" t="str">
            <v>Raw Cotton</v>
          </cell>
        </row>
        <row r="1535">
          <cell r="C1535" t="str">
            <v>27122023-A-044558</v>
          </cell>
          <cell r="H1535" t="str">
            <v>L</v>
          </cell>
          <cell r="L1535">
            <v>0</v>
          </cell>
          <cell r="N1535" t="str">
            <v>Raw Cotton</v>
          </cell>
        </row>
        <row r="1536">
          <cell r="C1536" t="str">
            <v>27122023-A-044561</v>
          </cell>
          <cell r="H1536" t="str">
            <v>L</v>
          </cell>
          <cell r="L1536">
            <v>0</v>
          </cell>
          <cell r="N1536" t="str">
            <v>Raw Cotton</v>
          </cell>
        </row>
        <row r="1537">
          <cell r="C1537" t="str">
            <v>27122023-A-044566</v>
          </cell>
          <cell r="H1537" t="str">
            <v>L</v>
          </cell>
          <cell r="L1537">
            <v>0</v>
          </cell>
          <cell r="N1537" t="str">
            <v>Raw Cotton</v>
          </cell>
        </row>
        <row r="1538">
          <cell r="C1538" t="str">
            <v>27122023-A-044568</v>
          </cell>
          <cell r="H1538" t="str">
            <v>L</v>
          </cell>
          <cell r="L1538">
            <v>0</v>
          </cell>
          <cell r="N1538" t="str">
            <v>Raw Cotton</v>
          </cell>
        </row>
        <row r="1539">
          <cell r="C1539" t="str">
            <v>27122023-A-044575</v>
          </cell>
          <cell r="H1539" t="str">
            <v>L</v>
          </cell>
          <cell r="L1539">
            <v>0</v>
          </cell>
          <cell r="N1539" t="str">
            <v>Raw Cotton</v>
          </cell>
        </row>
        <row r="1540">
          <cell r="C1540" t="str">
            <v>27122023-A-044577</v>
          </cell>
          <cell r="H1540" t="str">
            <v>L</v>
          </cell>
          <cell r="L1540">
            <v>0</v>
          </cell>
          <cell r="N1540" t="str">
            <v>Raw Cotton</v>
          </cell>
        </row>
        <row r="1541">
          <cell r="C1541" t="str">
            <v>27122023-A-044581</v>
          </cell>
          <cell r="H1541" t="str">
            <v>L</v>
          </cell>
          <cell r="L1541">
            <v>0</v>
          </cell>
          <cell r="N1541" t="str">
            <v>Raw Cotton</v>
          </cell>
        </row>
        <row r="1542">
          <cell r="C1542" t="str">
            <v>27122023-A-044586</v>
          </cell>
          <cell r="H1542" t="str">
            <v>L</v>
          </cell>
          <cell r="L1542">
            <v>0</v>
          </cell>
          <cell r="N1542" t="str">
            <v>Raw Cotton</v>
          </cell>
        </row>
        <row r="1543">
          <cell r="C1543" t="str">
            <v>27122023-A-044589</v>
          </cell>
          <cell r="H1543" t="str">
            <v>L</v>
          </cell>
          <cell r="L1543">
            <v>0</v>
          </cell>
          <cell r="N1543" t="str">
            <v>Raw Cotton</v>
          </cell>
        </row>
        <row r="1544">
          <cell r="C1544" t="str">
            <v>27122023-A-044604</v>
          </cell>
          <cell r="H1544" t="str">
            <v>L</v>
          </cell>
          <cell r="L1544">
            <v>0</v>
          </cell>
          <cell r="N1544" t="str">
            <v>Raw Cotton</v>
          </cell>
        </row>
        <row r="1545">
          <cell r="C1545" t="str">
            <v>27122023-A-044606</v>
          </cell>
          <cell r="H1545" t="str">
            <v>L</v>
          </cell>
          <cell r="L1545">
            <v>0</v>
          </cell>
          <cell r="N1545" t="str">
            <v>Raw Cotton</v>
          </cell>
        </row>
        <row r="1546">
          <cell r="C1546" t="str">
            <v>27122023-A-044607</v>
          </cell>
          <cell r="H1546" t="str">
            <v>L</v>
          </cell>
          <cell r="L1546">
            <v>0</v>
          </cell>
          <cell r="N1546" t="str">
            <v>Raw Cotton</v>
          </cell>
        </row>
        <row r="1547">
          <cell r="C1547" t="str">
            <v>27122023-A-044610</v>
          </cell>
          <cell r="H1547" t="str">
            <v>L</v>
          </cell>
          <cell r="L1547">
            <v>0</v>
          </cell>
          <cell r="N1547" t="str">
            <v>Raw Cotton</v>
          </cell>
        </row>
        <row r="1548">
          <cell r="C1548" t="str">
            <v>27122023-A-044612</v>
          </cell>
          <cell r="H1548" t="str">
            <v>L</v>
          </cell>
          <cell r="L1548">
            <v>0</v>
          </cell>
          <cell r="N1548" t="str">
            <v>Raw Cotton</v>
          </cell>
        </row>
        <row r="1549">
          <cell r="C1549" t="str">
            <v>27122023-A-044618</v>
          </cell>
          <cell r="H1549" t="str">
            <v>L</v>
          </cell>
          <cell r="L1549">
            <v>0</v>
          </cell>
          <cell r="N1549" t="str">
            <v>Raw Cotton</v>
          </cell>
        </row>
        <row r="1550">
          <cell r="C1550" t="str">
            <v>27122023-A-044625</v>
          </cell>
          <cell r="H1550" t="str">
            <v>L</v>
          </cell>
          <cell r="L1550">
            <v>0</v>
          </cell>
          <cell r="N1550" t="str">
            <v>Raw Cotton</v>
          </cell>
        </row>
        <row r="1551">
          <cell r="C1551" t="str">
            <v>27122023-A-044626</v>
          </cell>
          <cell r="H1551" t="str">
            <v>L</v>
          </cell>
          <cell r="L1551">
            <v>0</v>
          </cell>
          <cell r="N1551" t="str">
            <v>Raw Cotton</v>
          </cell>
        </row>
        <row r="1552">
          <cell r="C1552" t="str">
            <v>27122023-A-044634</v>
          </cell>
          <cell r="H1552" t="str">
            <v>L</v>
          </cell>
          <cell r="L1552">
            <v>0</v>
          </cell>
          <cell r="N1552" t="str">
            <v>Raw Cotton</v>
          </cell>
        </row>
        <row r="1553">
          <cell r="C1553" t="str">
            <v>27122023-A-044639</v>
          </cell>
          <cell r="H1553" t="str">
            <v>L</v>
          </cell>
          <cell r="L1553">
            <v>0</v>
          </cell>
          <cell r="N1553" t="str">
            <v>Raw Cotton</v>
          </cell>
        </row>
        <row r="1554">
          <cell r="C1554" t="str">
            <v>27122023-A-044645</v>
          </cell>
          <cell r="H1554" t="str">
            <v>L</v>
          </cell>
          <cell r="L1554">
            <v>0</v>
          </cell>
          <cell r="N1554" t="str">
            <v>Raw Cotton</v>
          </cell>
        </row>
        <row r="1555">
          <cell r="C1555" t="str">
            <v>27122023-A-044647</v>
          </cell>
          <cell r="H1555" t="str">
            <v>L</v>
          </cell>
          <cell r="L1555">
            <v>0</v>
          </cell>
          <cell r="N1555" t="str">
            <v>Raw Cotton</v>
          </cell>
        </row>
        <row r="1556">
          <cell r="C1556" t="str">
            <v>27122023-A-044650</v>
          </cell>
          <cell r="H1556" t="str">
            <v>L</v>
          </cell>
          <cell r="L1556">
            <v>0</v>
          </cell>
          <cell r="N1556" t="str">
            <v>Raw Cotton</v>
          </cell>
        </row>
        <row r="1557">
          <cell r="C1557" t="str">
            <v>27122023-A-044657</v>
          </cell>
          <cell r="H1557" t="str">
            <v>L</v>
          </cell>
          <cell r="L1557">
            <v>0</v>
          </cell>
          <cell r="N1557" t="str">
            <v>Raw Cotton</v>
          </cell>
        </row>
        <row r="1558">
          <cell r="C1558" t="str">
            <v>27122023-A-044663</v>
          </cell>
          <cell r="H1558" t="str">
            <v>L</v>
          </cell>
          <cell r="L1558">
            <v>0</v>
          </cell>
          <cell r="N1558" t="str">
            <v>Raw Cotton</v>
          </cell>
        </row>
        <row r="1559">
          <cell r="C1559" t="str">
            <v>27122023-A-044668</v>
          </cell>
          <cell r="H1559" t="str">
            <v>L</v>
          </cell>
          <cell r="L1559">
            <v>0</v>
          </cell>
          <cell r="N1559" t="str">
            <v>Polyester Staple Fiber</v>
          </cell>
        </row>
        <row r="1560">
          <cell r="C1560" t="str">
            <v>27122023-A-044673</v>
          </cell>
          <cell r="H1560" t="str">
            <v>L</v>
          </cell>
          <cell r="L1560">
            <v>0</v>
          </cell>
          <cell r="N1560" t="str">
            <v>Polyester Staple Fiber</v>
          </cell>
        </row>
        <row r="1561">
          <cell r="C1561" t="str">
            <v>27122023-A-044676</v>
          </cell>
          <cell r="H1561" t="str">
            <v>L</v>
          </cell>
          <cell r="L1561">
            <v>0</v>
          </cell>
          <cell r="N1561" t="str">
            <v>Polyester Staple Fiber</v>
          </cell>
        </row>
        <row r="1562">
          <cell r="C1562" t="str">
            <v>27122023-A-044680</v>
          </cell>
          <cell r="H1562" t="str">
            <v>L</v>
          </cell>
          <cell r="L1562">
            <v>0</v>
          </cell>
          <cell r="N1562" t="str">
            <v>Polyester Staple Fiber</v>
          </cell>
        </row>
        <row r="1563">
          <cell r="C1563" t="str">
            <v>27122023-A-044687</v>
          </cell>
          <cell r="H1563" t="str">
            <v>L</v>
          </cell>
          <cell r="L1563">
            <v>0</v>
          </cell>
          <cell r="N1563" t="str">
            <v>Comber Noil</v>
          </cell>
        </row>
        <row r="1564">
          <cell r="C1564" t="str">
            <v>27122023-A-044691</v>
          </cell>
          <cell r="H1564" t="str">
            <v>L</v>
          </cell>
          <cell r="L1564">
            <v>0</v>
          </cell>
          <cell r="N1564" t="str">
            <v>Comber Noil</v>
          </cell>
        </row>
        <row r="1565">
          <cell r="C1565" t="str">
            <v>27122023-A-044707</v>
          </cell>
          <cell r="H1565" t="str">
            <v>L</v>
          </cell>
          <cell r="L1565">
            <v>0</v>
          </cell>
          <cell r="N1565" t="str">
            <v>Comber Noil</v>
          </cell>
        </row>
        <row r="1566">
          <cell r="C1566" t="str">
            <v>27122023-A-044711</v>
          </cell>
          <cell r="H1566" t="str">
            <v>L</v>
          </cell>
          <cell r="L1566">
            <v>0</v>
          </cell>
          <cell r="N1566" t="str">
            <v>Comber Noil</v>
          </cell>
        </row>
        <row r="1567">
          <cell r="C1567" t="str">
            <v>27122023-A-044715</v>
          </cell>
          <cell r="H1567" t="str">
            <v>L</v>
          </cell>
          <cell r="L1567">
            <v>0</v>
          </cell>
          <cell r="N1567" t="str">
            <v>Comber Noil</v>
          </cell>
        </row>
        <row r="1568">
          <cell r="C1568" t="str">
            <v>27122023-A-044717</v>
          </cell>
          <cell r="H1568" t="str">
            <v>L</v>
          </cell>
          <cell r="L1568">
            <v>0</v>
          </cell>
          <cell r="N1568" t="str">
            <v>Comber Noil</v>
          </cell>
        </row>
        <row r="1569">
          <cell r="C1569" t="str">
            <v>27122023-A-044722</v>
          </cell>
          <cell r="H1569" t="str">
            <v>L</v>
          </cell>
          <cell r="L1569">
            <v>0</v>
          </cell>
          <cell r="N1569" t="str">
            <v>Comber Noil</v>
          </cell>
        </row>
        <row r="1570">
          <cell r="C1570" t="str">
            <v>27122023-A-044737</v>
          </cell>
          <cell r="H1570" t="str">
            <v>L</v>
          </cell>
          <cell r="L1570">
            <v>0</v>
          </cell>
          <cell r="N1570" t="str">
            <v>Blended Yarn</v>
          </cell>
        </row>
        <row r="1571">
          <cell r="C1571" t="str">
            <v>27122023-A-044747</v>
          </cell>
          <cell r="H1571" t="str">
            <v>L</v>
          </cell>
          <cell r="L1571">
            <v>0</v>
          </cell>
          <cell r="N1571" t="str">
            <v>Blended Yarn</v>
          </cell>
        </row>
        <row r="1572">
          <cell r="C1572" t="str">
            <v>27122023-A-044749</v>
          </cell>
          <cell r="H1572" t="str">
            <v>L</v>
          </cell>
          <cell r="L1572">
            <v>0</v>
          </cell>
          <cell r="N1572" t="str">
            <v>Blended Yarn</v>
          </cell>
        </row>
        <row r="1573">
          <cell r="C1573" t="str">
            <v>27122023-A-044753</v>
          </cell>
          <cell r="H1573" t="str">
            <v>L</v>
          </cell>
          <cell r="L1573">
            <v>0</v>
          </cell>
          <cell r="N1573" t="str">
            <v>Blended Yarn</v>
          </cell>
        </row>
        <row r="1574">
          <cell r="C1574" t="str">
            <v>02012024-A-047155</v>
          </cell>
          <cell r="H1574" t="str">
            <v>L</v>
          </cell>
          <cell r="L1574">
            <v>0</v>
          </cell>
          <cell r="N1574" t="str">
            <v>Comber Noil</v>
          </cell>
        </row>
        <row r="1575">
          <cell r="C1575" t="str">
            <v>02012024-A-047159</v>
          </cell>
          <cell r="H1575" t="str">
            <v>L</v>
          </cell>
          <cell r="L1575">
            <v>0</v>
          </cell>
          <cell r="N1575" t="str">
            <v>Comber Noil</v>
          </cell>
        </row>
        <row r="1576">
          <cell r="C1576" t="str">
            <v>02012024-A-047163</v>
          </cell>
          <cell r="H1576" t="str">
            <v>L</v>
          </cell>
          <cell r="L1576">
            <v>0</v>
          </cell>
          <cell r="N1576" t="str">
            <v>Comber Noil</v>
          </cell>
        </row>
        <row r="1577">
          <cell r="C1577" t="str">
            <v>02012024-A-047167</v>
          </cell>
          <cell r="H1577" t="str">
            <v>L</v>
          </cell>
          <cell r="L1577">
            <v>0</v>
          </cell>
          <cell r="N1577" t="str">
            <v>Comber Noil</v>
          </cell>
        </row>
        <row r="1578">
          <cell r="C1578" t="str">
            <v>02012024-A-047177</v>
          </cell>
          <cell r="H1578" t="str">
            <v>L</v>
          </cell>
          <cell r="L1578">
            <v>0</v>
          </cell>
          <cell r="N1578" t="str">
            <v>Blended Yarn</v>
          </cell>
        </row>
        <row r="1579">
          <cell r="C1579" t="str">
            <v>02012024-A-047184</v>
          </cell>
          <cell r="H1579" t="str">
            <v>L</v>
          </cell>
          <cell r="L1579">
            <v>0</v>
          </cell>
          <cell r="N1579" t="str">
            <v>Blended Yarn</v>
          </cell>
        </row>
        <row r="1580">
          <cell r="C1580" t="str">
            <v>02012024-A-047189</v>
          </cell>
          <cell r="H1580" t="str">
            <v>L</v>
          </cell>
          <cell r="L1580">
            <v>0</v>
          </cell>
          <cell r="N1580" t="str">
            <v>Blended Yarn</v>
          </cell>
        </row>
        <row r="1581">
          <cell r="C1581" t="str">
            <v>02012024-A-047195</v>
          </cell>
          <cell r="H1581" t="str">
            <v>L</v>
          </cell>
          <cell r="L1581">
            <v>0</v>
          </cell>
          <cell r="N1581" t="str">
            <v>Blended Yarn</v>
          </cell>
        </row>
        <row r="1582">
          <cell r="C1582" t="str">
            <v>02012024-A-047200</v>
          </cell>
          <cell r="H1582" t="str">
            <v>L</v>
          </cell>
          <cell r="L1582">
            <v>0</v>
          </cell>
          <cell r="N1582" t="str">
            <v>Blended Yarn</v>
          </cell>
        </row>
        <row r="1583">
          <cell r="C1583" t="str">
            <v>02012024-A-047210</v>
          </cell>
          <cell r="H1583" t="str">
            <v>L</v>
          </cell>
          <cell r="L1583">
            <v>0</v>
          </cell>
          <cell r="N1583" t="str">
            <v>Blended Yarn</v>
          </cell>
        </row>
        <row r="1584">
          <cell r="C1584" t="str">
            <v>02012024-A-047215</v>
          </cell>
          <cell r="H1584" t="str">
            <v>L</v>
          </cell>
          <cell r="L1584">
            <v>0</v>
          </cell>
          <cell r="N1584" t="str">
            <v>Blended Yarn</v>
          </cell>
        </row>
        <row r="1585">
          <cell r="C1585" t="str">
            <v>02012024-A-047222</v>
          </cell>
          <cell r="H1585" t="str">
            <v>L</v>
          </cell>
          <cell r="L1585">
            <v>0</v>
          </cell>
          <cell r="N1585" t="str">
            <v>Blended Yarn</v>
          </cell>
        </row>
        <row r="1586">
          <cell r="C1586" t="str">
            <v>02012024-A-047229</v>
          </cell>
          <cell r="H1586" t="str">
            <v>L</v>
          </cell>
          <cell r="L1586">
            <v>0</v>
          </cell>
          <cell r="N1586" t="str">
            <v>Blended Yarn</v>
          </cell>
        </row>
        <row r="1587">
          <cell r="C1587" t="str">
            <v>02012024-A-047233</v>
          </cell>
          <cell r="H1587" t="str">
            <v>L</v>
          </cell>
          <cell r="L1587">
            <v>0</v>
          </cell>
          <cell r="N1587" t="str">
            <v>Blended Yarn</v>
          </cell>
        </row>
        <row r="1588">
          <cell r="C1588" t="str">
            <v>02012024-A-047234</v>
          </cell>
          <cell r="H1588" t="str">
            <v>L</v>
          </cell>
          <cell r="L1588">
            <v>0</v>
          </cell>
          <cell r="N1588" t="str">
            <v>Blended Yarn</v>
          </cell>
        </row>
        <row r="1589">
          <cell r="C1589" t="str">
            <v>02012024-A-047246</v>
          </cell>
          <cell r="H1589" t="str">
            <v>L</v>
          </cell>
          <cell r="L1589">
            <v>0</v>
          </cell>
          <cell r="N1589" t="str">
            <v>Textile Chemical</v>
          </cell>
        </row>
        <row r="1590">
          <cell r="C1590" t="str">
            <v>02012024-A-047249</v>
          </cell>
          <cell r="H1590" t="str">
            <v>L</v>
          </cell>
          <cell r="L1590">
            <v>0</v>
          </cell>
          <cell r="N1590" t="str">
            <v>Textile Dyes</v>
          </cell>
        </row>
        <row r="1591">
          <cell r="C1591" t="str">
            <v>02012024-A-047254</v>
          </cell>
          <cell r="H1591" t="str">
            <v>L</v>
          </cell>
          <cell r="L1591">
            <v>0</v>
          </cell>
          <cell r="N1591" t="str">
            <v>Textile Chemical</v>
          </cell>
        </row>
        <row r="1592">
          <cell r="C1592" t="str">
            <v>02012024-A-047258</v>
          </cell>
          <cell r="H1592" t="str">
            <v>L</v>
          </cell>
          <cell r="L1592">
            <v>0</v>
          </cell>
          <cell r="N1592" t="str">
            <v>Textile Dyes</v>
          </cell>
        </row>
        <row r="1593">
          <cell r="C1593" t="str">
            <v>02012024-A-047267</v>
          </cell>
          <cell r="H1593" t="str">
            <v>L</v>
          </cell>
          <cell r="L1593">
            <v>0</v>
          </cell>
          <cell r="N1593" t="str">
            <v>Textile Chemical</v>
          </cell>
        </row>
        <row r="1594">
          <cell r="C1594" t="str">
            <v>02012024-A-047270</v>
          </cell>
          <cell r="H1594" t="str">
            <v>L</v>
          </cell>
          <cell r="L1594">
            <v>0</v>
          </cell>
          <cell r="N1594" t="str">
            <v>Textile Chemical</v>
          </cell>
        </row>
        <row r="1595">
          <cell r="C1595" t="str">
            <v>02012024-A-047281</v>
          </cell>
          <cell r="H1595" t="str">
            <v>L</v>
          </cell>
          <cell r="L1595">
            <v>0</v>
          </cell>
          <cell r="N1595" t="str">
            <v>Textile Chemical</v>
          </cell>
        </row>
        <row r="1596">
          <cell r="C1596" t="str">
            <v>02012024-A-047287</v>
          </cell>
          <cell r="H1596" t="str">
            <v>L</v>
          </cell>
          <cell r="L1596">
            <v>0</v>
          </cell>
          <cell r="N1596" t="str">
            <v>Textile Chemical</v>
          </cell>
        </row>
        <row r="1597">
          <cell r="C1597" t="str">
            <v>02012024-A-047308</v>
          </cell>
          <cell r="H1597" t="str">
            <v>L</v>
          </cell>
          <cell r="L1597">
            <v>0</v>
          </cell>
          <cell r="N1597" t="str">
            <v>Textile Chemical</v>
          </cell>
        </row>
        <row r="1598">
          <cell r="C1598" t="str">
            <v>02012024-A-047312</v>
          </cell>
          <cell r="H1598" t="str">
            <v>L</v>
          </cell>
          <cell r="L1598">
            <v>0</v>
          </cell>
          <cell r="N1598" t="str">
            <v>Textile Chemical</v>
          </cell>
        </row>
        <row r="1599">
          <cell r="C1599" t="str">
            <v>02012024-A-047316</v>
          </cell>
          <cell r="H1599" t="str">
            <v>L</v>
          </cell>
          <cell r="L1599">
            <v>0</v>
          </cell>
          <cell r="N1599" t="str">
            <v>Textile Chemical</v>
          </cell>
        </row>
        <row r="1600">
          <cell r="C1600" t="str">
            <v>02012024-A-047319</v>
          </cell>
          <cell r="H1600" t="str">
            <v>L</v>
          </cell>
          <cell r="L1600">
            <v>0</v>
          </cell>
          <cell r="N1600" t="str">
            <v>Textile Chemical</v>
          </cell>
        </row>
        <row r="1601">
          <cell r="C1601" t="str">
            <v>02012024-A-047320</v>
          </cell>
          <cell r="H1601" t="str">
            <v>L</v>
          </cell>
          <cell r="L1601">
            <v>0</v>
          </cell>
          <cell r="N1601" t="str">
            <v>Textile Chemical</v>
          </cell>
        </row>
        <row r="1602">
          <cell r="C1602" t="str">
            <v>02012024-A-047324</v>
          </cell>
          <cell r="H1602" t="str">
            <v>L</v>
          </cell>
          <cell r="L1602">
            <v>0</v>
          </cell>
          <cell r="N1602" t="str">
            <v>Textile Chemical</v>
          </cell>
        </row>
        <row r="1603">
          <cell r="C1603" t="str">
            <v>02012024-A-047326</v>
          </cell>
          <cell r="H1603" t="str">
            <v>L</v>
          </cell>
          <cell r="L1603">
            <v>0</v>
          </cell>
          <cell r="N1603" t="str">
            <v>Textile Chemical</v>
          </cell>
        </row>
        <row r="1604">
          <cell r="C1604" t="str">
            <v>02012024-A-047329</v>
          </cell>
          <cell r="H1604" t="str">
            <v>L</v>
          </cell>
          <cell r="L1604">
            <v>0</v>
          </cell>
          <cell r="N1604" t="str">
            <v>Textile Dyes</v>
          </cell>
        </row>
        <row r="1605">
          <cell r="C1605" t="str">
            <v>03012024-A-047436</v>
          </cell>
          <cell r="H1605" t="str">
            <v>L</v>
          </cell>
          <cell r="L1605">
            <v>0</v>
          </cell>
          <cell r="N1605" t="str">
            <v>Textile Chemical</v>
          </cell>
        </row>
        <row r="1606">
          <cell r="C1606" t="str">
            <v>03012024-A-047464</v>
          </cell>
          <cell r="H1606" t="str">
            <v>L</v>
          </cell>
          <cell r="L1606">
            <v>0</v>
          </cell>
          <cell r="N1606" t="str">
            <v>Cotton Fabric</v>
          </cell>
        </row>
        <row r="1607">
          <cell r="C1607" t="str">
            <v>03012024-A-047470</v>
          </cell>
          <cell r="H1607" t="str">
            <v>L</v>
          </cell>
          <cell r="L1607">
            <v>0</v>
          </cell>
          <cell r="N1607" t="str">
            <v>Blended Fabric</v>
          </cell>
        </row>
        <row r="1608">
          <cell r="C1608" t="str">
            <v>03012024-A-047474</v>
          </cell>
          <cell r="H1608" t="str">
            <v>L</v>
          </cell>
          <cell r="L1608">
            <v>0</v>
          </cell>
          <cell r="N1608" t="str">
            <v>Blended Fabric</v>
          </cell>
        </row>
        <row r="1609">
          <cell r="C1609" t="str">
            <v>03012024-A-047480</v>
          </cell>
          <cell r="H1609" t="str">
            <v>L</v>
          </cell>
          <cell r="L1609">
            <v>0</v>
          </cell>
          <cell r="N1609" t="str">
            <v>Blended Fabric</v>
          </cell>
        </row>
        <row r="1610">
          <cell r="C1610" t="str">
            <v>03012024-A-047490</v>
          </cell>
          <cell r="H1610" t="str">
            <v>L</v>
          </cell>
          <cell r="L1610">
            <v>0</v>
          </cell>
          <cell r="N1610" t="str">
            <v>Blended Fabric</v>
          </cell>
        </row>
        <row r="1611">
          <cell r="C1611" t="str">
            <v>03012024-A-047502</v>
          </cell>
          <cell r="H1611" t="str">
            <v>L</v>
          </cell>
          <cell r="L1611">
            <v>0</v>
          </cell>
          <cell r="N1611" t="str">
            <v>Cotton Fabric</v>
          </cell>
        </row>
        <row r="1612">
          <cell r="C1612" t="str">
            <v>03012024-A-047507</v>
          </cell>
          <cell r="H1612" t="str">
            <v>L</v>
          </cell>
          <cell r="L1612">
            <v>0</v>
          </cell>
          <cell r="N1612" t="str">
            <v>Cotton Fabric</v>
          </cell>
        </row>
        <row r="1613">
          <cell r="C1613" t="str">
            <v>03012024-A-047528</v>
          </cell>
          <cell r="H1613" t="str">
            <v>L</v>
          </cell>
          <cell r="L1613">
            <v>0</v>
          </cell>
          <cell r="N1613" t="str">
            <v>Cotton Fabric</v>
          </cell>
        </row>
        <row r="1614">
          <cell r="C1614" t="str">
            <v>03012024-A-047532</v>
          </cell>
          <cell r="H1614" t="str">
            <v>L</v>
          </cell>
          <cell r="L1614">
            <v>0</v>
          </cell>
          <cell r="N1614" t="str">
            <v>Cotton Fabric</v>
          </cell>
        </row>
        <row r="1615">
          <cell r="C1615" t="str">
            <v>03012024-A-047536</v>
          </cell>
          <cell r="H1615" t="str">
            <v>L</v>
          </cell>
          <cell r="L1615">
            <v>0</v>
          </cell>
          <cell r="N1615" t="str">
            <v>Cotton Fabric</v>
          </cell>
        </row>
        <row r="1616">
          <cell r="C1616" t="str">
            <v>03012024-A-047556</v>
          </cell>
          <cell r="H1616" t="str">
            <v>L</v>
          </cell>
          <cell r="L1616">
            <v>0</v>
          </cell>
          <cell r="N1616" t="str">
            <v>Cotton Fabric</v>
          </cell>
        </row>
        <row r="1617">
          <cell r="C1617" t="str">
            <v>03012024-A-047567</v>
          </cell>
          <cell r="H1617" t="str">
            <v>L</v>
          </cell>
          <cell r="L1617">
            <v>0</v>
          </cell>
          <cell r="N1617" t="str">
            <v>Cotton Fabric</v>
          </cell>
        </row>
        <row r="1618">
          <cell r="C1618" t="str">
            <v>03012024-A-047570</v>
          </cell>
          <cell r="H1618" t="str">
            <v>L</v>
          </cell>
          <cell r="L1618">
            <v>0</v>
          </cell>
          <cell r="N1618" t="str">
            <v>Cotton Fabric</v>
          </cell>
        </row>
        <row r="1619">
          <cell r="C1619" t="str">
            <v>03012024-A-047578</v>
          </cell>
          <cell r="H1619" t="str">
            <v>L</v>
          </cell>
          <cell r="L1619">
            <v>0</v>
          </cell>
          <cell r="N1619" t="str">
            <v>Raw Cotton</v>
          </cell>
        </row>
        <row r="1620">
          <cell r="C1620" t="str">
            <v>03012024-A-047586</v>
          </cell>
          <cell r="H1620" t="str">
            <v>L</v>
          </cell>
          <cell r="L1620">
            <v>0</v>
          </cell>
          <cell r="N1620" t="str">
            <v>Raw Cotton</v>
          </cell>
        </row>
        <row r="1621">
          <cell r="C1621" t="str">
            <v>03012024-A-047589</v>
          </cell>
          <cell r="H1621" t="str">
            <v>L</v>
          </cell>
          <cell r="L1621">
            <v>0</v>
          </cell>
          <cell r="N1621" t="str">
            <v>Raw Cotton</v>
          </cell>
        </row>
        <row r="1622">
          <cell r="C1622" t="str">
            <v>03012024-A-047594</v>
          </cell>
          <cell r="H1622" t="str">
            <v>L</v>
          </cell>
          <cell r="L1622">
            <v>0</v>
          </cell>
          <cell r="N1622" t="str">
            <v>Raw Cotton</v>
          </cell>
        </row>
        <row r="1623">
          <cell r="C1623" t="str">
            <v>03012024-A-047599</v>
          </cell>
          <cell r="H1623" t="str">
            <v>L</v>
          </cell>
          <cell r="L1623">
            <v>0</v>
          </cell>
          <cell r="N1623" t="str">
            <v>Raw Cotton</v>
          </cell>
        </row>
        <row r="1624">
          <cell r="C1624" t="str">
            <v>03012024-A-047644</v>
          </cell>
          <cell r="H1624" t="str">
            <v>L</v>
          </cell>
          <cell r="L1624">
            <v>0</v>
          </cell>
          <cell r="N1624" t="str">
            <v>Raw Cotton</v>
          </cell>
        </row>
        <row r="1625">
          <cell r="C1625" t="str">
            <v>03012024-A-047645</v>
          </cell>
          <cell r="H1625" t="str">
            <v>L</v>
          </cell>
          <cell r="L1625">
            <v>0</v>
          </cell>
          <cell r="N1625" t="str">
            <v>Raw Cotton</v>
          </cell>
        </row>
        <row r="1626">
          <cell r="C1626" t="str">
            <v>03012024-A-047646</v>
          </cell>
          <cell r="H1626" t="str">
            <v>L</v>
          </cell>
          <cell r="L1626">
            <v>0</v>
          </cell>
          <cell r="N1626" t="str">
            <v>Comber Noil</v>
          </cell>
        </row>
        <row r="1627">
          <cell r="C1627" t="str">
            <v>03012024-A-047647</v>
          </cell>
          <cell r="H1627" t="str">
            <v>L</v>
          </cell>
          <cell r="L1627">
            <v>0</v>
          </cell>
          <cell r="N1627" t="str">
            <v>Comber Noil</v>
          </cell>
        </row>
        <row r="1628">
          <cell r="C1628" t="str">
            <v>03012024-A-047648</v>
          </cell>
          <cell r="H1628" t="str">
            <v>L</v>
          </cell>
          <cell r="L1628">
            <v>0</v>
          </cell>
          <cell r="N1628" t="str">
            <v>Comber Noil</v>
          </cell>
        </row>
        <row r="1629">
          <cell r="C1629" t="str">
            <v>03012024-A-047649</v>
          </cell>
          <cell r="H1629" t="str">
            <v>L</v>
          </cell>
          <cell r="L1629">
            <v>0</v>
          </cell>
          <cell r="N1629" t="str">
            <v>Comber Noil</v>
          </cell>
        </row>
        <row r="1630">
          <cell r="C1630" t="str">
            <v>03012024-A-047652</v>
          </cell>
          <cell r="H1630" t="str">
            <v>L</v>
          </cell>
          <cell r="L1630">
            <v>0</v>
          </cell>
          <cell r="N1630" t="str">
            <v>Comber Noil</v>
          </cell>
        </row>
        <row r="1631">
          <cell r="C1631" t="str">
            <v>03012024-A-047653</v>
          </cell>
          <cell r="H1631" t="str">
            <v>L</v>
          </cell>
          <cell r="L1631">
            <v>0</v>
          </cell>
          <cell r="N1631" t="str">
            <v>Comber Noil</v>
          </cell>
        </row>
        <row r="1632">
          <cell r="C1632" t="str">
            <v>03012024-A-047662</v>
          </cell>
          <cell r="H1632" t="str">
            <v>L</v>
          </cell>
          <cell r="L1632">
            <v>0</v>
          </cell>
          <cell r="N1632" t="str">
            <v>Comber Noil</v>
          </cell>
        </row>
        <row r="1633">
          <cell r="C1633" t="str">
            <v>03012024-A-047672</v>
          </cell>
          <cell r="H1633" t="str">
            <v>L</v>
          </cell>
          <cell r="L1633">
            <v>0</v>
          </cell>
          <cell r="N1633" t="str">
            <v>Comber Noil</v>
          </cell>
        </row>
        <row r="1634">
          <cell r="C1634" t="str">
            <v>03012024-A-047684</v>
          </cell>
          <cell r="H1634" t="str">
            <v>L</v>
          </cell>
          <cell r="L1634">
            <v>0</v>
          </cell>
          <cell r="N1634" t="str">
            <v>Comber Noil</v>
          </cell>
        </row>
        <row r="1635">
          <cell r="C1635" t="str">
            <v>03012024-A-047690</v>
          </cell>
          <cell r="H1635" t="str">
            <v>L</v>
          </cell>
          <cell r="L1635">
            <v>0</v>
          </cell>
          <cell r="N1635" t="str">
            <v>Comber Noil</v>
          </cell>
        </row>
        <row r="1636">
          <cell r="C1636" t="str">
            <v>03012024-A-047716</v>
          </cell>
          <cell r="H1636" t="str">
            <v>L</v>
          </cell>
          <cell r="L1636">
            <v>0</v>
          </cell>
          <cell r="N1636" t="str">
            <v>Comber Noil</v>
          </cell>
        </row>
        <row r="1637">
          <cell r="C1637" t="str">
            <v>03012024-A-047722</v>
          </cell>
          <cell r="H1637" t="str">
            <v>L</v>
          </cell>
          <cell r="L1637">
            <v>0</v>
          </cell>
          <cell r="N1637" t="str">
            <v>Comber Noil</v>
          </cell>
        </row>
        <row r="1638">
          <cell r="C1638" t="str">
            <v>03012024-A-047725</v>
          </cell>
          <cell r="H1638" t="str">
            <v>L</v>
          </cell>
          <cell r="L1638">
            <v>0</v>
          </cell>
          <cell r="N1638" t="str">
            <v>Comber Noil</v>
          </cell>
        </row>
        <row r="1639">
          <cell r="C1639" t="str">
            <v>03012024-A-047727</v>
          </cell>
          <cell r="H1639" t="str">
            <v>L</v>
          </cell>
          <cell r="L1639">
            <v>0</v>
          </cell>
          <cell r="N1639" t="str">
            <v>Comber Noil</v>
          </cell>
        </row>
        <row r="1640">
          <cell r="C1640" t="str">
            <v>03012024-A-047728</v>
          </cell>
          <cell r="H1640" t="str">
            <v>L</v>
          </cell>
          <cell r="L1640">
            <v>0</v>
          </cell>
          <cell r="N1640" t="str">
            <v>Polyester Staple Fiber</v>
          </cell>
        </row>
        <row r="1641">
          <cell r="C1641" t="str">
            <v>03012024-A-047741</v>
          </cell>
          <cell r="H1641" t="str">
            <v>L</v>
          </cell>
          <cell r="L1641">
            <v>0</v>
          </cell>
          <cell r="N1641" t="str">
            <v>Cotton Yarn</v>
          </cell>
        </row>
        <row r="1642">
          <cell r="C1642" t="str">
            <v>03012024-A-047747</v>
          </cell>
          <cell r="H1642" t="str">
            <v>L</v>
          </cell>
          <cell r="L1642">
            <v>0</v>
          </cell>
          <cell r="N1642" t="str">
            <v>Textile Chemical</v>
          </cell>
        </row>
        <row r="1643">
          <cell r="C1643" t="str">
            <v>03012024-A-047747</v>
          </cell>
          <cell r="H1643" t="str">
            <v>L</v>
          </cell>
          <cell r="L1643">
            <v>0</v>
          </cell>
          <cell r="N1643" t="str">
            <v>Textile Dyes</v>
          </cell>
        </row>
        <row r="1644">
          <cell r="C1644" t="str">
            <v>03012024-A-047754</v>
          </cell>
          <cell r="H1644" t="str">
            <v>L</v>
          </cell>
          <cell r="L1644">
            <v>0</v>
          </cell>
          <cell r="N1644" t="str">
            <v>Textile Chemical</v>
          </cell>
        </row>
        <row r="1645">
          <cell r="C1645" t="str">
            <v>03012024-A-047759</v>
          </cell>
          <cell r="H1645" t="str">
            <v>L</v>
          </cell>
          <cell r="L1645">
            <v>0</v>
          </cell>
          <cell r="N1645" t="str">
            <v>Textile Chemical</v>
          </cell>
        </row>
        <row r="1646">
          <cell r="C1646" t="str">
            <v>03012024-A-047762</v>
          </cell>
          <cell r="H1646" t="str">
            <v>L</v>
          </cell>
          <cell r="L1646">
            <v>0</v>
          </cell>
          <cell r="N1646" t="str">
            <v>Textile Chemical</v>
          </cell>
        </row>
        <row r="1647">
          <cell r="C1647" t="str">
            <v>03012024-A-047774</v>
          </cell>
          <cell r="H1647" t="str">
            <v>L</v>
          </cell>
          <cell r="L1647">
            <v>0</v>
          </cell>
          <cell r="N1647" t="str">
            <v>Textile Chemical</v>
          </cell>
        </row>
        <row r="1648">
          <cell r="C1648" t="str">
            <v>03012024-A-047784</v>
          </cell>
          <cell r="H1648" t="str">
            <v>L</v>
          </cell>
          <cell r="L1648">
            <v>0</v>
          </cell>
          <cell r="N1648" t="str">
            <v>Textile Chemical</v>
          </cell>
        </row>
        <row r="1649">
          <cell r="C1649" t="str">
            <v>03012024-A-047788</v>
          </cell>
          <cell r="H1649" t="str">
            <v>L</v>
          </cell>
          <cell r="L1649">
            <v>0</v>
          </cell>
          <cell r="N1649" t="str">
            <v>Textile Chemical</v>
          </cell>
        </row>
        <row r="1650">
          <cell r="C1650" t="str">
            <v>03012024-A-047791</v>
          </cell>
          <cell r="H1650" t="str">
            <v>L</v>
          </cell>
          <cell r="L1650">
            <v>0</v>
          </cell>
          <cell r="N1650" t="str">
            <v>Textile Chemical</v>
          </cell>
        </row>
        <row r="1651">
          <cell r="C1651" t="str">
            <v>03012024-A-047797</v>
          </cell>
          <cell r="H1651" t="str">
            <v>L</v>
          </cell>
          <cell r="L1651">
            <v>0</v>
          </cell>
          <cell r="N1651" t="str">
            <v>Textile Chemical</v>
          </cell>
        </row>
        <row r="1652">
          <cell r="C1652" t="str">
            <v>03012024-A-047801</v>
          </cell>
          <cell r="H1652" t="str">
            <v>L</v>
          </cell>
          <cell r="L1652">
            <v>0</v>
          </cell>
          <cell r="N1652" t="str">
            <v>Textile Chemical</v>
          </cell>
        </row>
        <row r="1653">
          <cell r="C1653" t="str">
            <v>03012024-A-047806</v>
          </cell>
          <cell r="H1653" t="str">
            <v>L</v>
          </cell>
          <cell r="L1653">
            <v>0</v>
          </cell>
          <cell r="N1653" t="str">
            <v>Textile Chemical</v>
          </cell>
        </row>
        <row r="1654">
          <cell r="C1654" t="str">
            <v>03012024-A-047812</v>
          </cell>
          <cell r="H1654" t="str">
            <v>L</v>
          </cell>
          <cell r="L1654">
            <v>0</v>
          </cell>
          <cell r="N1654" t="str">
            <v>Textile Chemical</v>
          </cell>
        </row>
        <row r="1655">
          <cell r="C1655" t="str">
            <v>03012024-A-047820</v>
          </cell>
          <cell r="H1655" t="str">
            <v>L</v>
          </cell>
          <cell r="L1655">
            <v>0</v>
          </cell>
          <cell r="N1655" t="str">
            <v>Textile Chemical</v>
          </cell>
        </row>
        <row r="1656">
          <cell r="C1656" t="str">
            <v>03012024-A-047830</v>
          </cell>
          <cell r="H1656" t="str">
            <v>L</v>
          </cell>
          <cell r="L1656">
            <v>0</v>
          </cell>
          <cell r="N1656" t="str">
            <v>Textile Chemical</v>
          </cell>
        </row>
        <row r="1657">
          <cell r="C1657" t="str">
            <v>03012024-A-047860</v>
          </cell>
          <cell r="H1657" t="str">
            <v>L</v>
          </cell>
          <cell r="L1657">
            <v>0</v>
          </cell>
          <cell r="N1657" t="str">
            <v>Textile Chemical</v>
          </cell>
        </row>
        <row r="1658">
          <cell r="C1658" t="str">
            <v>03012024-A-047872</v>
          </cell>
          <cell r="H1658" t="str">
            <v>L</v>
          </cell>
          <cell r="L1658">
            <v>0</v>
          </cell>
          <cell r="N1658" t="str">
            <v>Textile Chemical</v>
          </cell>
        </row>
        <row r="1659">
          <cell r="C1659" t="str">
            <v>03012024-A-047882</v>
          </cell>
          <cell r="H1659" t="str">
            <v>L</v>
          </cell>
          <cell r="L1659">
            <v>0</v>
          </cell>
          <cell r="N1659" t="str">
            <v>Textile Chemical</v>
          </cell>
        </row>
        <row r="1660">
          <cell r="C1660" t="str">
            <v>03012024-A-047882</v>
          </cell>
          <cell r="H1660" t="str">
            <v>L</v>
          </cell>
          <cell r="L1660">
            <v>0</v>
          </cell>
          <cell r="N1660" t="str">
            <v>Textile Dyes</v>
          </cell>
        </row>
        <row r="1661">
          <cell r="C1661" t="str">
            <v>03012024-A-047892</v>
          </cell>
          <cell r="H1661" t="str">
            <v>L</v>
          </cell>
          <cell r="L1661">
            <v>0</v>
          </cell>
          <cell r="N1661" t="str">
            <v>Textile Chemical</v>
          </cell>
        </row>
        <row r="1662">
          <cell r="C1662" t="str">
            <v>03012024-A-047895</v>
          </cell>
          <cell r="H1662" t="str">
            <v>L</v>
          </cell>
          <cell r="L1662">
            <v>0</v>
          </cell>
          <cell r="N1662" t="str">
            <v>Textile Chemical</v>
          </cell>
        </row>
        <row r="1663">
          <cell r="C1663" t="str">
            <v>03012024-A-047897</v>
          </cell>
          <cell r="H1663" t="str">
            <v>L</v>
          </cell>
          <cell r="L1663">
            <v>0</v>
          </cell>
          <cell r="N1663" t="str">
            <v>Textile Chemical</v>
          </cell>
        </row>
        <row r="1664">
          <cell r="C1664" t="str">
            <v>03012024-A-047901</v>
          </cell>
          <cell r="H1664" t="str">
            <v>L</v>
          </cell>
          <cell r="L1664">
            <v>0</v>
          </cell>
          <cell r="N1664" t="str">
            <v>Textile Chemical</v>
          </cell>
        </row>
        <row r="1665">
          <cell r="C1665" t="str">
            <v>03012024-A-047901</v>
          </cell>
          <cell r="H1665" t="str">
            <v>L</v>
          </cell>
          <cell r="L1665">
            <v>0</v>
          </cell>
          <cell r="N1665" t="str">
            <v>Textile Dyes</v>
          </cell>
        </row>
        <row r="1666">
          <cell r="C1666" t="str">
            <v>03012024-A-047905</v>
          </cell>
          <cell r="H1666" t="str">
            <v>L</v>
          </cell>
          <cell r="L1666">
            <v>0</v>
          </cell>
          <cell r="N1666" t="str">
            <v>Textile Dyes</v>
          </cell>
        </row>
        <row r="1667">
          <cell r="C1667" t="str">
            <v>03012024-A-047910</v>
          </cell>
          <cell r="H1667" t="str">
            <v>L</v>
          </cell>
          <cell r="L1667">
            <v>0</v>
          </cell>
          <cell r="N1667" t="str">
            <v>Textile Chemical</v>
          </cell>
        </row>
        <row r="1668">
          <cell r="C1668" t="str">
            <v>03012024-A-047912</v>
          </cell>
          <cell r="H1668" t="str">
            <v>L</v>
          </cell>
          <cell r="L1668">
            <v>0</v>
          </cell>
          <cell r="N1668" t="str">
            <v>Textile Chemical</v>
          </cell>
        </row>
        <row r="1669">
          <cell r="C1669" t="str">
            <v>03012024-A-047912</v>
          </cell>
          <cell r="H1669" t="str">
            <v>L</v>
          </cell>
          <cell r="L1669">
            <v>0</v>
          </cell>
          <cell r="N1669" t="str">
            <v>Textile Chemical</v>
          </cell>
        </row>
        <row r="1670">
          <cell r="C1670" t="str">
            <v>03012024-A-047912</v>
          </cell>
          <cell r="H1670" t="str">
            <v>L</v>
          </cell>
          <cell r="L1670">
            <v>0</v>
          </cell>
          <cell r="N1670" t="str">
            <v>Textile Dyes</v>
          </cell>
        </row>
        <row r="1671">
          <cell r="C1671" t="str">
            <v>03012024-A-047912</v>
          </cell>
          <cell r="H1671" t="str">
            <v>L</v>
          </cell>
          <cell r="L1671">
            <v>0</v>
          </cell>
          <cell r="N1671" t="str">
            <v>Textile Dyes</v>
          </cell>
        </row>
        <row r="1672">
          <cell r="C1672" t="str">
            <v>03012024-A-047916</v>
          </cell>
          <cell r="H1672" t="str">
            <v>L</v>
          </cell>
          <cell r="L1672">
            <v>0</v>
          </cell>
          <cell r="N1672" t="str">
            <v>Textile Chemical</v>
          </cell>
        </row>
        <row r="1673">
          <cell r="C1673" t="str">
            <v>03012024-A-047917</v>
          </cell>
          <cell r="H1673" t="str">
            <v>L</v>
          </cell>
          <cell r="L1673">
            <v>0</v>
          </cell>
          <cell r="N1673" t="str">
            <v>Textile Chemical</v>
          </cell>
        </row>
        <row r="1674">
          <cell r="C1674" t="str">
            <v>03012024-A-047919</v>
          </cell>
          <cell r="H1674" t="str">
            <v>L</v>
          </cell>
          <cell r="L1674">
            <v>0</v>
          </cell>
          <cell r="N1674" t="str">
            <v>Textile Chemical</v>
          </cell>
        </row>
        <row r="1675">
          <cell r="C1675" t="str">
            <v>03012024-A-047920</v>
          </cell>
          <cell r="H1675" t="str">
            <v>L</v>
          </cell>
          <cell r="L1675">
            <v>0</v>
          </cell>
          <cell r="N1675" t="str">
            <v>Textile Chemical</v>
          </cell>
        </row>
        <row r="1676">
          <cell r="C1676" t="str">
            <v>03012024-A-047921</v>
          </cell>
          <cell r="H1676" t="str">
            <v>L</v>
          </cell>
          <cell r="L1676">
            <v>0</v>
          </cell>
          <cell r="N1676" t="str">
            <v>Textile Chemical</v>
          </cell>
        </row>
        <row r="1677">
          <cell r="C1677" t="str">
            <v>03012024-A-047922</v>
          </cell>
          <cell r="H1677" t="str">
            <v>L</v>
          </cell>
          <cell r="L1677">
            <v>0</v>
          </cell>
          <cell r="N1677" t="str">
            <v>Textile Chemical</v>
          </cell>
        </row>
        <row r="1678">
          <cell r="C1678" t="str">
            <v>16012024-A-052582</v>
          </cell>
          <cell r="H1678" t="str">
            <v>L</v>
          </cell>
          <cell r="L1678">
            <v>0</v>
          </cell>
          <cell r="N1678" t="str">
            <v>Raw Cotton</v>
          </cell>
        </row>
        <row r="1679">
          <cell r="C1679" t="str">
            <v>16012024-A-052606</v>
          </cell>
          <cell r="H1679" t="str">
            <v>L</v>
          </cell>
          <cell r="L1679">
            <v>0</v>
          </cell>
          <cell r="N1679" t="str">
            <v>Raw Cotton</v>
          </cell>
        </row>
        <row r="1680">
          <cell r="C1680" t="str">
            <v>16012024-A-052616</v>
          </cell>
          <cell r="H1680" t="str">
            <v>L</v>
          </cell>
          <cell r="L1680">
            <v>0</v>
          </cell>
          <cell r="N1680" t="str">
            <v>Raw Cotton</v>
          </cell>
        </row>
        <row r="1681">
          <cell r="C1681" t="str">
            <v>16012024-A-052621</v>
          </cell>
          <cell r="H1681" t="str">
            <v>L</v>
          </cell>
          <cell r="L1681">
            <v>0</v>
          </cell>
          <cell r="N1681" t="str">
            <v>Raw Cotton</v>
          </cell>
        </row>
        <row r="1682">
          <cell r="C1682" t="str">
            <v>16012024-A-052629</v>
          </cell>
          <cell r="H1682" t="str">
            <v>L</v>
          </cell>
          <cell r="L1682">
            <v>0</v>
          </cell>
          <cell r="N1682" t="str">
            <v>Cotton Yarn</v>
          </cell>
        </row>
        <row r="1683">
          <cell r="C1683" t="str">
            <v>16012024-A-052669</v>
          </cell>
          <cell r="H1683" t="str">
            <v>L</v>
          </cell>
          <cell r="L1683">
            <v>0</v>
          </cell>
          <cell r="N1683" t="str">
            <v>Cotton Yarn</v>
          </cell>
        </row>
        <row r="1684">
          <cell r="C1684" t="str">
            <v>16012024-A-052669</v>
          </cell>
          <cell r="H1684" t="str">
            <v>L</v>
          </cell>
          <cell r="L1684">
            <v>0</v>
          </cell>
          <cell r="N1684" t="str">
            <v>Cotton Yarn</v>
          </cell>
        </row>
        <row r="1685">
          <cell r="C1685" t="str">
            <v>16012024-A-052681</v>
          </cell>
          <cell r="H1685" t="str">
            <v>L</v>
          </cell>
          <cell r="L1685">
            <v>590</v>
          </cell>
          <cell r="N1685" t="str">
            <v>Cotton Yarn</v>
          </cell>
        </row>
        <row r="1686">
          <cell r="C1686" t="str">
            <v>16012024-A-052687</v>
          </cell>
          <cell r="H1686" t="str">
            <v>L</v>
          </cell>
          <cell r="L1686">
            <v>0</v>
          </cell>
          <cell r="N1686" t="str">
            <v>Cotton Yarn</v>
          </cell>
        </row>
        <row r="1687">
          <cell r="C1687" t="str">
            <v>16012024-A-052690</v>
          </cell>
          <cell r="H1687" t="str">
            <v>L</v>
          </cell>
          <cell r="L1687">
            <v>0</v>
          </cell>
          <cell r="N1687" t="str">
            <v>Comber Noil</v>
          </cell>
        </row>
        <row r="1688">
          <cell r="C1688" t="str">
            <v>16012024-A-052693</v>
          </cell>
          <cell r="H1688" t="str">
            <v>L</v>
          </cell>
          <cell r="L1688">
            <v>0</v>
          </cell>
          <cell r="N1688" t="str">
            <v>Comber Noil</v>
          </cell>
        </row>
        <row r="1689">
          <cell r="C1689" t="str">
            <v>16012024-A-052695</v>
          </cell>
          <cell r="H1689" t="str">
            <v>L</v>
          </cell>
          <cell r="L1689">
            <v>0</v>
          </cell>
          <cell r="N1689" t="str">
            <v>Comber Noil</v>
          </cell>
        </row>
        <row r="1690">
          <cell r="C1690" t="str">
            <v>16012024-A-052697</v>
          </cell>
          <cell r="H1690" t="str">
            <v>L</v>
          </cell>
          <cell r="L1690">
            <v>0</v>
          </cell>
          <cell r="N1690" t="str">
            <v>Comber Noil</v>
          </cell>
        </row>
        <row r="1691">
          <cell r="C1691" t="str">
            <v>17012024-A-052765</v>
          </cell>
          <cell r="H1691" t="str">
            <v>L</v>
          </cell>
          <cell r="L1691">
            <v>0</v>
          </cell>
          <cell r="N1691" t="str">
            <v>Comber Noil</v>
          </cell>
        </row>
        <row r="1692">
          <cell r="C1692" t="str">
            <v>17012024-A-052779</v>
          </cell>
          <cell r="H1692" t="str">
            <v>L</v>
          </cell>
          <cell r="L1692">
            <v>0</v>
          </cell>
          <cell r="N1692" t="str">
            <v>Polyester Staple Fiber</v>
          </cell>
        </row>
        <row r="1693">
          <cell r="C1693" t="str">
            <v>17012024-A-052787</v>
          </cell>
          <cell r="H1693" t="str">
            <v>L</v>
          </cell>
          <cell r="L1693">
            <v>0</v>
          </cell>
          <cell r="N1693" t="str">
            <v>Polyester Staple Fiber</v>
          </cell>
        </row>
        <row r="1694">
          <cell r="C1694" t="str">
            <v>17012024-A-052798</v>
          </cell>
          <cell r="H1694" t="str">
            <v>L</v>
          </cell>
          <cell r="L1694">
            <v>0</v>
          </cell>
          <cell r="N1694" t="str">
            <v>Polyester Staple Fiber</v>
          </cell>
        </row>
        <row r="1695">
          <cell r="C1695" t="str">
            <v>17012024-A-052805</v>
          </cell>
          <cell r="H1695" t="str">
            <v>L</v>
          </cell>
          <cell r="L1695">
            <v>0</v>
          </cell>
          <cell r="N1695" t="str">
            <v>Polyester Staple Fiber</v>
          </cell>
        </row>
        <row r="1696">
          <cell r="C1696" t="str">
            <v>18012024-A-053414</v>
          </cell>
          <cell r="H1696" t="str">
            <v>L</v>
          </cell>
          <cell r="L1696">
            <v>0</v>
          </cell>
          <cell r="N1696" t="str">
            <v>Blended Yarn</v>
          </cell>
        </row>
        <row r="1697">
          <cell r="C1697" t="str">
            <v>18012024-A-053419</v>
          </cell>
          <cell r="H1697" t="str">
            <v>L</v>
          </cell>
          <cell r="L1697">
            <v>0</v>
          </cell>
          <cell r="N1697" t="str">
            <v>Textile Chemical</v>
          </cell>
        </row>
        <row r="1698">
          <cell r="C1698" t="str">
            <v>18012024-A-053430</v>
          </cell>
          <cell r="H1698" t="str">
            <v>L</v>
          </cell>
          <cell r="L1698">
            <v>0</v>
          </cell>
          <cell r="N1698" t="str">
            <v>Textile Chemical</v>
          </cell>
        </row>
        <row r="1699">
          <cell r="C1699" t="str">
            <v>18012024-A-053438</v>
          </cell>
          <cell r="H1699" t="str">
            <v>L</v>
          </cell>
          <cell r="L1699">
            <v>0</v>
          </cell>
          <cell r="N1699" t="str">
            <v>Textile Chemical</v>
          </cell>
        </row>
        <row r="1700">
          <cell r="C1700" t="str">
            <v>18012024-A-053445</v>
          </cell>
          <cell r="H1700" t="str">
            <v>L</v>
          </cell>
          <cell r="L1700">
            <v>0</v>
          </cell>
          <cell r="N1700" t="str">
            <v>Textile Chemical</v>
          </cell>
        </row>
        <row r="1701">
          <cell r="C1701" t="str">
            <v>18012024-A-053455</v>
          </cell>
          <cell r="H1701" t="str">
            <v>L</v>
          </cell>
          <cell r="L1701">
            <v>0</v>
          </cell>
          <cell r="N1701" t="str">
            <v>Textile Chemical</v>
          </cell>
        </row>
        <row r="1702">
          <cell r="C1702" t="str">
            <v>18012024-A-053463</v>
          </cell>
          <cell r="H1702" t="str">
            <v>L</v>
          </cell>
          <cell r="L1702">
            <v>0</v>
          </cell>
          <cell r="N1702" t="str">
            <v>Textile Chemical</v>
          </cell>
        </row>
        <row r="1703">
          <cell r="C1703" t="str">
            <v>18012024-A-053467</v>
          </cell>
          <cell r="H1703" t="str">
            <v>L</v>
          </cell>
          <cell r="L1703">
            <v>0</v>
          </cell>
          <cell r="N1703" t="str">
            <v>Textile Dyes</v>
          </cell>
        </row>
        <row r="1704">
          <cell r="C1704" t="str">
            <v>18012024-A-053472</v>
          </cell>
          <cell r="H1704" t="str">
            <v>L</v>
          </cell>
          <cell r="L1704">
            <v>0</v>
          </cell>
          <cell r="N1704" t="str">
            <v>Textile Chemical</v>
          </cell>
        </row>
        <row r="1705">
          <cell r="C1705" t="str">
            <v>18012024-A-053481</v>
          </cell>
          <cell r="H1705" t="str">
            <v>L</v>
          </cell>
          <cell r="L1705">
            <v>0</v>
          </cell>
          <cell r="N1705" t="str">
            <v>Textile Chemical</v>
          </cell>
        </row>
        <row r="1706">
          <cell r="C1706" t="str">
            <v>18012024-A-053487</v>
          </cell>
          <cell r="H1706" t="str">
            <v>L</v>
          </cell>
          <cell r="L1706">
            <v>0</v>
          </cell>
          <cell r="N1706" t="str">
            <v>Textile Chemical</v>
          </cell>
        </row>
        <row r="1707">
          <cell r="C1707" t="str">
            <v>18012024-A-053494</v>
          </cell>
          <cell r="H1707" t="str">
            <v>L</v>
          </cell>
          <cell r="L1707">
            <v>0</v>
          </cell>
          <cell r="N1707" t="str">
            <v>Textile Dyes</v>
          </cell>
        </row>
        <row r="1708">
          <cell r="C1708" t="str">
            <v>18012024-A-053499</v>
          </cell>
          <cell r="H1708" t="str">
            <v>L</v>
          </cell>
          <cell r="L1708">
            <v>0</v>
          </cell>
          <cell r="N1708" t="str">
            <v>Textile Dyes</v>
          </cell>
        </row>
        <row r="1709">
          <cell r="C1709" t="str">
            <v>18012024-A-053506</v>
          </cell>
          <cell r="H1709" t="str">
            <v>L</v>
          </cell>
          <cell r="L1709">
            <v>0</v>
          </cell>
          <cell r="N1709" t="str">
            <v>Textile Dyes</v>
          </cell>
        </row>
        <row r="1710">
          <cell r="C1710" t="str">
            <v>18012024-A-053512</v>
          </cell>
          <cell r="H1710" t="str">
            <v>L</v>
          </cell>
          <cell r="L1710">
            <v>0</v>
          </cell>
          <cell r="N1710" t="str">
            <v>Textile Dyes</v>
          </cell>
        </row>
        <row r="1711">
          <cell r="C1711" t="str">
            <v>18012024-A-053526</v>
          </cell>
          <cell r="H1711" t="str">
            <v>L</v>
          </cell>
          <cell r="L1711">
            <v>0</v>
          </cell>
          <cell r="N1711" t="str">
            <v>Textile Dyes</v>
          </cell>
        </row>
        <row r="1712">
          <cell r="C1712" t="str">
            <v>18012024-A-053531</v>
          </cell>
          <cell r="H1712" t="str">
            <v>L</v>
          </cell>
          <cell r="L1712">
            <v>0</v>
          </cell>
          <cell r="N1712" t="str">
            <v>Textile Dyes</v>
          </cell>
        </row>
        <row r="1713">
          <cell r="C1713" t="str">
            <v>18012024-A-053535</v>
          </cell>
          <cell r="H1713" t="str">
            <v>L</v>
          </cell>
          <cell r="L1713">
            <v>0</v>
          </cell>
          <cell r="N1713" t="str">
            <v>Textile Dyes</v>
          </cell>
        </row>
        <row r="1714">
          <cell r="C1714" t="str">
            <v>18012024-A-053540</v>
          </cell>
          <cell r="H1714" t="str">
            <v>L</v>
          </cell>
          <cell r="L1714">
            <v>0</v>
          </cell>
          <cell r="N1714" t="str">
            <v>Textile Dyes</v>
          </cell>
        </row>
        <row r="1715">
          <cell r="C1715" t="str">
            <v>18012024-A-053547</v>
          </cell>
          <cell r="H1715" t="str">
            <v>L</v>
          </cell>
          <cell r="L1715">
            <v>0</v>
          </cell>
          <cell r="N1715" t="str">
            <v>Textile Chemical</v>
          </cell>
        </row>
        <row r="1716">
          <cell r="C1716" t="str">
            <v>18012024-A-053553</v>
          </cell>
          <cell r="H1716" t="str">
            <v>L</v>
          </cell>
          <cell r="L1716">
            <v>0</v>
          </cell>
          <cell r="N1716" t="str">
            <v>Textile Chemical</v>
          </cell>
        </row>
        <row r="1717">
          <cell r="C1717" t="str">
            <v>18012024-A-053558</v>
          </cell>
          <cell r="H1717" t="str">
            <v>L</v>
          </cell>
          <cell r="L1717">
            <v>0</v>
          </cell>
          <cell r="N1717" t="str">
            <v>Textile Dyes</v>
          </cell>
        </row>
        <row r="1718">
          <cell r="C1718" t="str">
            <v>18012024-A-053561</v>
          </cell>
          <cell r="H1718" t="str">
            <v>L</v>
          </cell>
          <cell r="L1718">
            <v>0</v>
          </cell>
          <cell r="N1718" t="str">
            <v>Textile Dyes</v>
          </cell>
        </row>
        <row r="1719">
          <cell r="C1719" t="str">
            <v>18012024-A-053565</v>
          </cell>
          <cell r="H1719" t="str">
            <v>L</v>
          </cell>
          <cell r="L1719">
            <v>0</v>
          </cell>
          <cell r="N1719" t="str">
            <v>Textile Dyes</v>
          </cell>
        </row>
        <row r="1720">
          <cell r="C1720" t="str">
            <v>18012024-A-053574</v>
          </cell>
          <cell r="H1720" t="str">
            <v>L</v>
          </cell>
          <cell r="L1720">
            <v>0</v>
          </cell>
          <cell r="N1720" t="str">
            <v>Textile Dyes</v>
          </cell>
        </row>
        <row r="1721">
          <cell r="C1721" t="str">
            <v>18012024-A-053584</v>
          </cell>
          <cell r="H1721" t="str">
            <v>L</v>
          </cell>
          <cell r="L1721">
            <v>0</v>
          </cell>
          <cell r="N1721" t="str">
            <v>Textile Chemical</v>
          </cell>
        </row>
        <row r="1722">
          <cell r="C1722" t="str">
            <v>23012024-A-055051</v>
          </cell>
          <cell r="H1722" t="str">
            <v>L</v>
          </cell>
          <cell r="L1722">
            <v>0</v>
          </cell>
          <cell r="N1722" t="str">
            <v>Raw Cotton</v>
          </cell>
        </row>
        <row r="1723">
          <cell r="C1723" t="str">
            <v>23012024-A-055058</v>
          </cell>
          <cell r="H1723" t="str">
            <v>L</v>
          </cell>
          <cell r="L1723">
            <v>0</v>
          </cell>
          <cell r="N1723" t="str">
            <v>Raw Cotton</v>
          </cell>
        </row>
        <row r="1724">
          <cell r="C1724" t="str">
            <v>23012024-A-055063</v>
          </cell>
          <cell r="H1724" t="str">
            <v>L</v>
          </cell>
          <cell r="L1724">
            <v>0</v>
          </cell>
          <cell r="N1724" t="str">
            <v>Raw Cotton</v>
          </cell>
        </row>
        <row r="1725">
          <cell r="C1725" t="str">
            <v>23012024-A-055067</v>
          </cell>
          <cell r="H1725" t="str">
            <v>L</v>
          </cell>
          <cell r="L1725">
            <v>0</v>
          </cell>
          <cell r="N1725" t="str">
            <v>Raw Cotton</v>
          </cell>
        </row>
        <row r="1726">
          <cell r="C1726" t="str">
            <v>23012024-A-055071</v>
          </cell>
          <cell r="H1726" t="str">
            <v>L</v>
          </cell>
          <cell r="L1726">
            <v>0</v>
          </cell>
          <cell r="N1726" t="str">
            <v>Raw Cotton</v>
          </cell>
        </row>
        <row r="1727">
          <cell r="C1727" t="str">
            <v>23012024-A-055073</v>
          </cell>
          <cell r="H1727" t="str">
            <v>L</v>
          </cell>
          <cell r="L1727">
            <v>0</v>
          </cell>
          <cell r="N1727" t="str">
            <v>Raw Cotton</v>
          </cell>
        </row>
        <row r="1728">
          <cell r="C1728" t="str">
            <v>23012024-A-055078</v>
          </cell>
          <cell r="H1728" t="str">
            <v>L</v>
          </cell>
          <cell r="L1728">
            <v>0</v>
          </cell>
          <cell r="N1728" t="str">
            <v>Raw Cotton</v>
          </cell>
        </row>
        <row r="1729">
          <cell r="C1729" t="str">
            <v>23012024-A-055083</v>
          </cell>
          <cell r="H1729" t="str">
            <v>L</v>
          </cell>
          <cell r="L1729">
            <v>0</v>
          </cell>
          <cell r="N1729" t="str">
            <v>Raw Cotton</v>
          </cell>
        </row>
        <row r="1730">
          <cell r="C1730" t="str">
            <v>23012024-A-055087</v>
          </cell>
          <cell r="H1730" t="str">
            <v>L</v>
          </cell>
          <cell r="L1730">
            <v>0</v>
          </cell>
          <cell r="N1730" t="str">
            <v>Raw Cotton</v>
          </cell>
        </row>
        <row r="1731">
          <cell r="C1731" t="str">
            <v>23012024-A-055089</v>
          </cell>
          <cell r="H1731" t="str">
            <v>L</v>
          </cell>
          <cell r="L1731">
            <v>32257</v>
          </cell>
          <cell r="N1731" t="str">
            <v>Raw Cotton</v>
          </cell>
        </row>
        <row r="1732">
          <cell r="C1732" t="str">
            <v>23012024-A-055094</v>
          </cell>
          <cell r="H1732" t="str">
            <v>L</v>
          </cell>
          <cell r="L1732">
            <v>0</v>
          </cell>
          <cell r="N1732" t="str">
            <v>Raw Cotton</v>
          </cell>
        </row>
        <row r="1733">
          <cell r="C1733" t="str">
            <v>23012024-A-055098</v>
          </cell>
          <cell r="H1733" t="str">
            <v>L</v>
          </cell>
          <cell r="L1733">
            <v>0</v>
          </cell>
          <cell r="N1733" t="str">
            <v>Raw Cotton</v>
          </cell>
        </row>
        <row r="1734">
          <cell r="C1734" t="str">
            <v>23012024-A-055101</v>
          </cell>
          <cell r="H1734" t="str">
            <v>L</v>
          </cell>
          <cell r="L1734">
            <v>0</v>
          </cell>
          <cell r="N1734" t="str">
            <v>Raw Cotton</v>
          </cell>
        </row>
        <row r="1735">
          <cell r="C1735" t="str">
            <v>23012024-A-055107</v>
          </cell>
          <cell r="H1735" t="str">
            <v>L</v>
          </cell>
          <cell r="L1735">
            <v>0</v>
          </cell>
          <cell r="N1735" t="str">
            <v>Raw Cotton</v>
          </cell>
        </row>
        <row r="1736">
          <cell r="C1736" t="str">
            <v>23012024-A-055109</v>
          </cell>
          <cell r="H1736" t="str">
            <v>L</v>
          </cell>
          <cell r="L1736">
            <v>0</v>
          </cell>
          <cell r="N1736" t="str">
            <v>Raw Cotton</v>
          </cell>
        </row>
        <row r="1737">
          <cell r="C1737" t="str">
            <v>23012024-A-055112</v>
          </cell>
          <cell r="H1737" t="str">
            <v>L</v>
          </cell>
          <cell r="L1737">
            <v>0</v>
          </cell>
          <cell r="N1737" t="str">
            <v>Raw Cotton</v>
          </cell>
        </row>
        <row r="1738">
          <cell r="C1738" t="str">
            <v>23012024-A-055115</v>
          </cell>
          <cell r="H1738" t="str">
            <v>L</v>
          </cell>
          <cell r="L1738">
            <v>0</v>
          </cell>
          <cell r="N1738" t="str">
            <v>Raw Cotton</v>
          </cell>
        </row>
        <row r="1739">
          <cell r="C1739" t="str">
            <v>23012024-A-055118</v>
          </cell>
          <cell r="H1739" t="str">
            <v>L</v>
          </cell>
          <cell r="L1739">
            <v>5231</v>
          </cell>
          <cell r="N1739" t="str">
            <v>Raw Cotton</v>
          </cell>
        </row>
        <row r="1740">
          <cell r="C1740" t="str">
            <v>23012024-A-055121</v>
          </cell>
          <cell r="H1740" t="str">
            <v>L</v>
          </cell>
          <cell r="L1740">
            <v>0</v>
          </cell>
          <cell r="N1740" t="str">
            <v>Polyester Yarn</v>
          </cell>
        </row>
        <row r="1741">
          <cell r="C1741" t="str">
            <v>23012024-A-055125</v>
          </cell>
          <cell r="H1741" t="str">
            <v>L</v>
          </cell>
          <cell r="L1741">
            <v>0</v>
          </cell>
          <cell r="N1741" t="str">
            <v>Polyester Yarn</v>
          </cell>
        </row>
        <row r="1742">
          <cell r="C1742" t="str">
            <v>23012024-A-055132</v>
          </cell>
          <cell r="H1742" t="str">
            <v>L</v>
          </cell>
          <cell r="L1742">
            <v>0</v>
          </cell>
          <cell r="N1742" t="str">
            <v>Comber Noil</v>
          </cell>
        </row>
        <row r="1743">
          <cell r="C1743" t="str">
            <v>23012024-A-055134</v>
          </cell>
          <cell r="H1743" t="str">
            <v>L</v>
          </cell>
          <cell r="L1743">
            <v>0</v>
          </cell>
          <cell r="N1743" t="str">
            <v>Comber Noil</v>
          </cell>
        </row>
        <row r="1744">
          <cell r="C1744" t="str">
            <v>23012024-A-055138</v>
          </cell>
          <cell r="H1744" t="str">
            <v>L</v>
          </cell>
          <cell r="L1744">
            <v>0</v>
          </cell>
          <cell r="N1744" t="str">
            <v>Comber Noil</v>
          </cell>
        </row>
        <row r="1745">
          <cell r="C1745" t="str">
            <v>23012024-A-055143</v>
          </cell>
          <cell r="H1745" t="str">
            <v>L</v>
          </cell>
          <cell r="L1745">
            <v>0</v>
          </cell>
          <cell r="N1745" t="str">
            <v>Comber Noil</v>
          </cell>
        </row>
        <row r="1746">
          <cell r="C1746" t="str">
            <v>23012024-A-055145</v>
          </cell>
          <cell r="H1746" t="str">
            <v>L</v>
          </cell>
          <cell r="L1746">
            <v>0</v>
          </cell>
          <cell r="N1746" t="str">
            <v>Comber Noil</v>
          </cell>
        </row>
        <row r="1747">
          <cell r="C1747" t="str">
            <v>23012024-A-055147</v>
          </cell>
          <cell r="H1747" t="str">
            <v>L</v>
          </cell>
          <cell r="L1747">
            <v>0</v>
          </cell>
          <cell r="N1747" t="str">
            <v>Cotton Yarn</v>
          </cell>
        </row>
        <row r="1748">
          <cell r="C1748" t="str">
            <v>23012024-A-055149</v>
          </cell>
          <cell r="H1748" t="str">
            <v>L</v>
          </cell>
          <cell r="L1748">
            <v>0</v>
          </cell>
          <cell r="N1748" t="str">
            <v>Cotton Yarn</v>
          </cell>
        </row>
        <row r="1749">
          <cell r="C1749" t="str">
            <v>23012024-A-055150</v>
          </cell>
          <cell r="H1749" t="str">
            <v>L</v>
          </cell>
          <cell r="L1749">
            <v>0</v>
          </cell>
          <cell r="N1749" t="str">
            <v>Blended Fabric</v>
          </cell>
        </row>
        <row r="1750">
          <cell r="C1750" t="str">
            <v>23012024-A-055152</v>
          </cell>
          <cell r="H1750" t="str">
            <v>L</v>
          </cell>
          <cell r="L1750">
            <v>0</v>
          </cell>
          <cell r="N1750" t="str">
            <v>Cotton Fabric</v>
          </cell>
        </row>
        <row r="1751">
          <cell r="C1751" t="str">
            <v>23012024-A-055154</v>
          </cell>
          <cell r="H1751" t="str">
            <v>L</v>
          </cell>
          <cell r="L1751">
            <v>2706</v>
          </cell>
          <cell r="N1751" t="str">
            <v>Cotton Fabric</v>
          </cell>
        </row>
        <row r="1752">
          <cell r="C1752" t="str">
            <v>23012024-A-055167</v>
          </cell>
          <cell r="H1752" t="str">
            <v>L</v>
          </cell>
          <cell r="L1752">
            <v>0</v>
          </cell>
          <cell r="N1752" t="str">
            <v>Blended Fabric</v>
          </cell>
        </row>
        <row r="1753">
          <cell r="C1753" t="str">
            <v>23012024-A-055169</v>
          </cell>
          <cell r="H1753" t="str">
            <v>L</v>
          </cell>
          <cell r="L1753">
            <v>0</v>
          </cell>
          <cell r="N1753" t="str">
            <v>Cotton Fabric</v>
          </cell>
        </row>
        <row r="1754">
          <cell r="C1754" t="str">
            <v>23012024-A-055170</v>
          </cell>
          <cell r="H1754" t="str">
            <v>L</v>
          </cell>
          <cell r="L1754">
            <v>0</v>
          </cell>
          <cell r="N1754" t="str">
            <v>Cotton Fabric</v>
          </cell>
        </row>
        <row r="1755">
          <cell r="C1755" t="str">
            <v>23012024-A-055171</v>
          </cell>
          <cell r="H1755" t="str">
            <v>L</v>
          </cell>
          <cell r="L1755">
            <v>1253</v>
          </cell>
          <cell r="N1755" t="str">
            <v>Cotton Fabric</v>
          </cell>
        </row>
        <row r="1756">
          <cell r="C1756" t="str">
            <v>23012024-A-055173</v>
          </cell>
          <cell r="H1756" t="str">
            <v>L</v>
          </cell>
          <cell r="L1756">
            <v>390</v>
          </cell>
          <cell r="N1756" t="str">
            <v>Cotton Fabric</v>
          </cell>
        </row>
        <row r="1757">
          <cell r="C1757" t="str">
            <v>23012024-A-055177</v>
          </cell>
          <cell r="H1757" t="str">
            <v>L</v>
          </cell>
          <cell r="L1757">
            <v>0</v>
          </cell>
          <cell r="N1757" t="str">
            <v>Cotton Fabric</v>
          </cell>
        </row>
        <row r="1758">
          <cell r="C1758" t="str">
            <v>23012024-A-055178</v>
          </cell>
          <cell r="H1758" t="str">
            <v>L</v>
          </cell>
          <cell r="L1758">
            <v>0</v>
          </cell>
          <cell r="N1758" t="str">
            <v>Textile Chemical</v>
          </cell>
        </row>
        <row r="1759">
          <cell r="C1759" t="str">
            <v>23012024-A-055188</v>
          </cell>
          <cell r="H1759" t="str">
            <v>L</v>
          </cell>
          <cell r="L1759">
            <v>0</v>
          </cell>
          <cell r="N1759" t="str">
            <v>Textile Chemical</v>
          </cell>
        </row>
        <row r="1760">
          <cell r="C1760" t="str">
            <v>23012024-A-055193</v>
          </cell>
          <cell r="H1760" t="str">
            <v>L</v>
          </cell>
          <cell r="L1760">
            <v>0</v>
          </cell>
          <cell r="N1760" t="str">
            <v>Textile Chemical</v>
          </cell>
        </row>
        <row r="1761">
          <cell r="C1761" t="str">
            <v>23012024-A-055194</v>
          </cell>
          <cell r="H1761" t="str">
            <v>L</v>
          </cell>
          <cell r="L1761">
            <v>0</v>
          </cell>
          <cell r="N1761" t="str">
            <v>Textile Chemical</v>
          </cell>
        </row>
        <row r="1762">
          <cell r="C1762" t="str">
            <v>23012024-A-055197</v>
          </cell>
          <cell r="H1762" t="str">
            <v>L</v>
          </cell>
          <cell r="L1762">
            <v>0</v>
          </cell>
          <cell r="N1762" t="str">
            <v>Textile Chemical</v>
          </cell>
        </row>
        <row r="1763">
          <cell r="C1763" t="str">
            <v>23012024-A-055199</v>
          </cell>
          <cell r="H1763" t="str">
            <v>L</v>
          </cell>
          <cell r="L1763">
            <v>-2</v>
          </cell>
          <cell r="N1763" t="str">
            <v>Textile Chemical</v>
          </cell>
        </row>
        <row r="1764">
          <cell r="C1764" t="str">
            <v>23012024-A-055203</v>
          </cell>
          <cell r="H1764" t="str">
            <v>L</v>
          </cell>
          <cell r="L1764">
            <v>0</v>
          </cell>
          <cell r="N1764" t="str">
            <v>Textile Chemical</v>
          </cell>
        </row>
        <row r="1765">
          <cell r="C1765" t="str">
            <v>23012024-A-055204</v>
          </cell>
          <cell r="H1765" t="str">
            <v>L</v>
          </cell>
          <cell r="L1765">
            <v>0</v>
          </cell>
          <cell r="N1765" t="str">
            <v>Textile Chemical</v>
          </cell>
        </row>
        <row r="1766">
          <cell r="C1766" t="str">
            <v>23012024-A-055209</v>
          </cell>
          <cell r="H1766" t="str">
            <v>L</v>
          </cell>
          <cell r="L1766">
            <v>0</v>
          </cell>
          <cell r="N1766" t="str">
            <v>Textile Chemical</v>
          </cell>
        </row>
        <row r="1767">
          <cell r="C1767" t="str">
            <v>23012024-A-055212</v>
          </cell>
          <cell r="H1767" t="str">
            <v>L</v>
          </cell>
          <cell r="L1767">
            <v>0</v>
          </cell>
          <cell r="N1767" t="str">
            <v>Textile Chemical</v>
          </cell>
        </row>
        <row r="1768">
          <cell r="C1768" t="str">
            <v>23012024-A-055217</v>
          </cell>
          <cell r="H1768" t="str">
            <v>L</v>
          </cell>
          <cell r="L1768">
            <v>0</v>
          </cell>
          <cell r="N1768" t="str">
            <v>Textile Chemical</v>
          </cell>
        </row>
        <row r="1769">
          <cell r="C1769" t="str">
            <v>23012024-A-055222</v>
          </cell>
          <cell r="H1769" t="str">
            <v>L</v>
          </cell>
          <cell r="L1769">
            <v>0</v>
          </cell>
          <cell r="N1769" t="str">
            <v>Textile Chemical</v>
          </cell>
        </row>
        <row r="1770">
          <cell r="C1770" t="str">
            <v>23012024-A-055227</v>
          </cell>
          <cell r="H1770" t="str">
            <v>L</v>
          </cell>
          <cell r="L1770">
            <v>0</v>
          </cell>
          <cell r="N1770" t="str">
            <v>Textile Chemical</v>
          </cell>
        </row>
        <row r="1771">
          <cell r="C1771" t="str">
            <v>23012024-A-055231</v>
          </cell>
          <cell r="H1771" t="str">
            <v>L</v>
          </cell>
          <cell r="L1771">
            <v>0</v>
          </cell>
          <cell r="N1771" t="str">
            <v>Textile Chemical</v>
          </cell>
        </row>
        <row r="1772">
          <cell r="C1772" t="str">
            <v>31012024-A-058217</v>
          </cell>
          <cell r="H1772" t="str">
            <v>L</v>
          </cell>
          <cell r="L1772">
            <v>0</v>
          </cell>
          <cell r="N1772" t="str">
            <v>Textile Dyes</v>
          </cell>
        </row>
        <row r="1773">
          <cell r="C1773" t="str">
            <v>31012024-A-058228</v>
          </cell>
          <cell r="H1773" t="str">
            <v>L</v>
          </cell>
          <cell r="L1773">
            <v>0</v>
          </cell>
          <cell r="N1773" t="str">
            <v>Textile Chemical</v>
          </cell>
        </row>
        <row r="1774">
          <cell r="C1774" t="str">
            <v>31012024-A-058228</v>
          </cell>
          <cell r="H1774" t="str">
            <v>L</v>
          </cell>
          <cell r="L1774">
            <v>0</v>
          </cell>
          <cell r="N1774" t="str">
            <v>Textile Chemical</v>
          </cell>
        </row>
        <row r="1775">
          <cell r="C1775" t="str">
            <v>31012024-A-058228</v>
          </cell>
          <cell r="H1775" t="str">
            <v>L</v>
          </cell>
          <cell r="L1775">
            <v>0</v>
          </cell>
          <cell r="N1775" t="str">
            <v>Textile Chemical</v>
          </cell>
        </row>
        <row r="1776">
          <cell r="C1776" t="str">
            <v>31012024-A-058261</v>
          </cell>
          <cell r="H1776" t="str">
            <v>L</v>
          </cell>
          <cell r="L1776">
            <v>0</v>
          </cell>
          <cell r="N1776" t="str">
            <v>Textile Dyes</v>
          </cell>
        </row>
        <row r="1777">
          <cell r="C1777" t="str">
            <v>31012024-A-058261</v>
          </cell>
          <cell r="H1777" t="str">
            <v>L</v>
          </cell>
          <cell r="L1777">
            <v>0</v>
          </cell>
          <cell r="N1777" t="str">
            <v>Textile Chemical</v>
          </cell>
        </row>
        <row r="1778">
          <cell r="C1778" t="str">
            <v>31012024-A-058276</v>
          </cell>
          <cell r="H1778" t="str">
            <v>L</v>
          </cell>
          <cell r="L1778">
            <v>0</v>
          </cell>
          <cell r="N1778" t="str">
            <v>Textile Chemical</v>
          </cell>
        </row>
        <row r="1779">
          <cell r="C1779" t="str">
            <v>31012024-A-058280</v>
          </cell>
          <cell r="H1779" t="str">
            <v>L</v>
          </cell>
          <cell r="L1779">
            <v>0</v>
          </cell>
          <cell r="N1779" t="str">
            <v>Textile Dyes</v>
          </cell>
        </row>
        <row r="1780">
          <cell r="C1780" t="str">
            <v>31012024-A-058297</v>
          </cell>
          <cell r="H1780" t="str">
            <v>L</v>
          </cell>
          <cell r="L1780">
            <v>0</v>
          </cell>
          <cell r="N1780" t="str">
            <v>Textile Chemical</v>
          </cell>
        </row>
        <row r="1781">
          <cell r="C1781" t="str">
            <v>31012024-A-058297</v>
          </cell>
          <cell r="H1781" t="str">
            <v>L</v>
          </cell>
          <cell r="L1781">
            <v>0</v>
          </cell>
          <cell r="N1781" t="str">
            <v>Textile Dyes</v>
          </cell>
        </row>
        <row r="1782">
          <cell r="C1782" t="str">
            <v>31012024-A-058430</v>
          </cell>
          <cell r="H1782" t="str">
            <v>L</v>
          </cell>
          <cell r="L1782">
            <v>0</v>
          </cell>
          <cell r="N1782" t="str">
            <v>Textile Chemical</v>
          </cell>
        </row>
        <row r="1783">
          <cell r="C1783" t="str">
            <v>31012024-A-058440</v>
          </cell>
          <cell r="H1783" t="str">
            <v>L</v>
          </cell>
          <cell r="L1783">
            <v>0</v>
          </cell>
          <cell r="N1783" t="str">
            <v>Textile Dyes</v>
          </cell>
        </row>
        <row r="1784">
          <cell r="C1784" t="str">
            <v>31012024-A-058443</v>
          </cell>
          <cell r="H1784" t="str">
            <v>L</v>
          </cell>
          <cell r="L1784">
            <v>0</v>
          </cell>
          <cell r="N1784" t="str">
            <v>Textile Chemical</v>
          </cell>
        </row>
        <row r="1785">
          <cell r="C1785" t="str">
            <v>31012024-A-058448</v>
          </cell>
          <cell r="H1785" t="str">
            <v>L</v>
          </cell>
          <cell r="L1785">
            <v>0</v>
          </cell>
          <cell r="N1785" t="str">
            <v>Textile Dyes</v>
          </cell>
        </row>
        <row r="1786">
          <cell r="C1786" t="str">
            <v>31012024-A-058454</v>
          </cell>
          <cell r="H1786" t="str">
            <v>L</v>
          </cell>
          <cell r="L1786">
            <v>0</v>
          </cell>
          <cell r="N1786" t="str">
            <v>Textile Chemical</v>
          </cell>
        </row>
        <row r="1787">
          <cell r="C1787" t="str">
            <v>31012024-A-058466</v>
          </cell>
          <cell r="H1787" t="str">
            <v>L</v>
          </cell>
          <cell r="L1787">
            <v>0</v>
          </cell>
          <cell r="N1787" t="str">
            <v>Textile Chemical</v>
          </cell>
        </row>
        <row r="1788">
          <cell r="C1788" t="str">
            <v>31012024-A-058474</v>
          </cell>
          <cell r="H1788" t="str">
            <v>L</v>
          </cell>
          <cell r="L1788">
            <v>0</v>
          </cell>
          <cell r="N1788" t="str">
            <v>Textile Chemical</v>
          </cell>
        </row>
        <row r="1789">
          <cell r="C1789" t="str">
            <v>31012024-A-058482</v>
          </cell>
          <cell r="H1789" t="str">
            <v>L</v>
          </cell>
          <cell r="L1789">
            <v>0</v>
          </cell>
          <cell r="N1789" t="str">
            <v>Textile Chemical</v>
          </cell>
        </row>
        <row r="1790">
          <cell r="C1790" t="str">
            <v>31012024-A-058490</v>
          </cell>
          <cell r="H1790" t="str">
            <v>L</v>
          </cell>
          <cell r="L1790">
            <v>0</v>
          </cell>
          <cell r="N1790" t="str">
            <v>Textile Chemical</v>
          </cell>
        </row>
        <row r="1791">
          <cell r="C1791" t="str">
            <v>31012024-A-058494</v>
          </cell>
          <cell r="H1791" t="str">
            <v>L</v>
          </cell>
          <cell r="L1791">
            <v>0</v>
          </cell>
          <cell r="N1791" t="str">
            <v>Textile Chemical</v>
          </cell>
        </row>
        <row r="1792">
          <cell r="C1792" t="str">
            <v>31012024-A-058499</v>
          </cell>
          <cell r="H1792" t="str">
            <v>L</v>
          </cell>
          <cell r="L1792">
            <v>0</v>
          </cell>
          <cell r="N1792" t="str">
            <v>Textile Chemical</v>
          </cell>
        </row>
        <row r="1793">
          <cell r="C1793" t="str">
            <v>31012024-A-058504</v>
          </cell>
          <cell r="H1793" t="str">
            <v>L</v>
          </cell>
          <cell r="L1793">
            <v>0</v>
          </cell>
          <cell r="N1793" t="str">
            <v>Textile Chemical</v>
          </cell>
        </row>
        <row r="1794">
          <cell r="C1794" t="str">
            <v>31012024-A-058508</v>
          </cell>
          <cell r="H1794" t="str">
            <v>L</v>
          </cell>
          <cell r="L1794">
            <v>4043</v>
          </cell>
          <cell r="N1794" t="str">
            <v>Textile Chemical</v>
          </cell>
        </row>
        <row r="1795">
          <cell r="C1795" t="str">
            <v>31012024-A-058516</v>
          </cell>
          <cell r="H1795" t="str">
            <v>L</v>
          </cell>
          <cell r="L1795">
            <v>29630</v>
          </cell>
          <cell r="N1795" t="str">
            <v>Textile Chemical</v>
          </cell>
        </row>
        <row r="1796">
          <cell r="C1796" t="str">
            <v>31012024-A-058519</v>
          </cell>
          <cell r="H1796" t="str">
            <v>L</v>
          </cell>
          <cell r="L1796">
            <v>29610</v>
          </cell>
          <cell r="N1796" t="str">
            <v>Textile Chemical</v>
          </cell>
        </row>
        <row r="1797">
          <cell r="C1797" t="str">
            <v>31012024-A-058522</v>
          </cell>
          <cell r="H1797" t="str">
            <v>L</v>
          </cell>
          <cell r="L1797">
            <v>0</v>
          </cell>
          <cell r="N1797" t="str">
            <v>Textile Chemical</v>
          </cell>
        </row>
        <row r="1798">
          <cell r="C1798" t="str">
            <v>31012024-A-058527</v>
          </cell>
          <cell r="H1798" t="str">
            <v>L</v>
          </cell>
          <cell r="L1798">
            <v>0</v>
          </cell>
          <cell r="N1798" t="str">
            <v>Textile Chemical</v>
          </cell>
        </row>
        <row r="1799">
          <cell r="C1799" t="str">
            <v>31012024-A-058532</v>
          </cell>
          <cell r="H1799" t="str">
            <v>L</v>
          </cell>
          <cell r="L1799">
            <v>0</v>
          </cell>
          <cell r="N1799" t="str">
            <v>Comber Noil</v>
          </cell>
        </row>
        <row r="1800">
          <cell r="C1800" t="str">
            <v>31012024-A-058535</v>
          </cell>
          <cell r="H1800" t="str">
            <v>L</v>
          </cell>
          <cell r="L1800">
            <v>0</v>
          </cell>
          <cell r="N1800" t="str">
            <v>Comber Noil</v>
          </cell>
        </row>
        <row r="1801">
          <cell r="C1801" t="str">
            <v>31012024-A-058538</v>
          </cell>
          <cell r="H1801" t="str">
            <v>L</v>
          </cell>
          <cell r="L1801">
            <v>0</v>
          </cell>
          <cell r="N1801" t="str">
            <v>Comber Noil</v>
          </cell>
        </row>
        <row r="1802">
          <cell r="C1802" t="str">
            <v>31012024-A-058554</v>
          </cell>
          <cell r="H1802" t="str">
            <v>L</v>
          </cell>
          <cell r="L1802">
            <v>0</v>
          </cell>
          <cell r="N1802" t="str">
            <v>Comber Noil</v>
          </cell>
        </row>
        <row r="1803">
          <cell r="C1803" t="str">
            <v>31012024-A-058555</v>
          </cell>
          <cell r="H1803" t="str">
            <v>L</v>
          </cell>
          <cell r="L1803">
            <v>0</v>
          </cell>
          <cell r="N1803" t="str">
            <v>Comber Noil</v>
          </cell>
        </row>
        <row r="1804">
          <cell r="C1804" t="str">
            <v>31012024-A-058556</v>
          </cell>
          <cell r="H1804" t="str">
            <v>L</v>
          </cell>
          <cell r="L1804">
            <v>0</v>
          </cell>
          <cell r="N1804" t="str">
            <v>Comber Noil</v>
          </cell>
        </row>
        <row r="1805">
          <cell r="C1805" t="str">
            <v>31012024-A-058557</v>
          </cell>
          <cell r="H1805" t="str">
            <v>L</v>
          </cell>
          <cell r="L1805">
            <v>0</v>
          </cell>
          <cell r="N1805" t="str">
            <v>Comber Noil</v>
          </cell>
        </row>
        <row r="1806">
          <cell r="C1806" t="str">
            <v>31012024-A-058558</v>
          </cell>
          <cell r="H1806" t="str">
            <v>L</v>
          </cell>
          <cell r="L1806">
            <v>0</v>
          </cell>
          <cell r="N1806" t="str">
            <v>Comber Noil</v>
          </cell>
        </row>
        <row r="1807">
          <cell r="C1807" t="str">
            <v>31012024-A-058559</v>
          </cell>
          <cell r="H1807" t="str">
            <v>L</v>
          </cell>
          <cell r="L1807">
            <v>0</v>
          </cell>
          <cell r="N1807" t="str">
            <v>Comber Noil</v>
          </cell>
        </row>
        <row r="1808">
          <cell r="C1808" t="str">
            <v>31012024-A-058560</v>
          </cell>
          <cell r="H1808" t="str">
            <v>L</v>
          </cell>
          <cell r="L1808">
            <v>0</v>
          </cell>
          <cell r="N1808" t="str">
            <v>Cotton Yarn</v>
          </cell>
        </row>
        <row r="1809">
          <cell r="C1809" t="str">
            <v>31012024-A-058561</v>
          </cell>
          <cell r="H1809" t="str">
            <v>L</v>
          </cell>
          <cell r="L1809">
            <v>0</v>
          </cell>
          <cell r="N1809" t="str">
            <v>Cotton Yarn</v>
          </cell>
        </row>
        <row r="1810">
          <cell r="C1810" t="str">
            <v>20022024-A-063898</v>
          </cell>
          <cell r="H1810" t="str">
            <v>L</v>
          </cell>
          <cell r="L1810">
            <v>0</v>
          </cell>
          <cell r="N1810" t="str">
            <v>Textile Chemical</v>
          </cell>
        </row>
        <row r="1811">
          <cell r="C1811" t="str">
            <v>20022024-A-063927</v>
          </cell>
          <cell r="H1811" t="str">
            <v>L</v>
          </cell>
          <cell r="L1811">
            <v>0</v>
          </cell>
          <cell r="N1811" t="str">
            <v>Textile Chemical</v>
          </cell>
        </row>
        <row r="1812">
          <cell r="C1812" t="str">
            <v>20022024-A-063934</v>
          </cell>
          <cell r="H1812" t="str">
            <v>L</v>
          </cell>
          <cell r="L1812">
            <v>0</v>
          </cell>
          <cell r="N1812" t="str">
            <v>Textile Chemical</v>
          </cell>
        </row>
        <row r="1813">
          <cell r="C1813" t="str">
            <v>20022024-A-063940</v>
          </cell>
          <cell r="H1813" t="str">
            <v>L</v>
          </cell>
          <cell r="L1813">
            <v>19290</v>
          </cell>
          <cell r="N1813" t="str">
            <v>Textile Chemical</v>
          </cell>
        </row>
        <row r="1814">
          <cell r="C1814" t="str">
            <v>20022024-A-063948</v>
          </cell>
          <cell r="H1814" t="str">
            <v>L</v>
          </cell>
          <cell r="L1814">
            <v>19500</v>
          </cell>
          <cell r="N1814" t="str">
            <v>Textile Chemical</v>
          </cell>
        </row>
        <row r="1815">
          <cell r="C1815" t="str">
            <v>20022024-A-063955</v>
          </cell>
          <cell r="H1815" t="str">
            <v>L</v>
          </cell>
          <cell r="L1815">
            <v>29570</v>
          </cell>
          <cell r="N1815" t="str">
            <v>Textile Chemical</v>
          </cell>
        </row>
        <row r="1816">
          <cell r="C1816" t="str">
            <v>20022024-A-063958</v>
          </cell>
          <cell r="H1816" t="str">
            <v>L</v>
          </cell>
          <cell r="L1816">
            <v>29670</v>
          </cell>
          <cell r="N1816" t="str">
            <v>Textile Chemical</v>
          </cell>
        </row>
        <row r="1817">
          <cell r="C1817" t="str">
            <v>20022024-A-063959</v>
          </cell>
          <cell r="H1817" t="str">
            <v>L</v>
          </cell>
          <cell r="L1817">
            <v>29380</v>
          </cell>
          <cell r="N1817" t="str">
            <v>Textile Chemical</v>
          </cell>
        </row>
        <row r="1818">
          <cell r="C1818" t="str">
            <v>20022024-A-063961</v>
          </cell>
          <cell r="H1818" t="str">
            <v>L</v>
          </cell>
          <cell r="L1818">
            <v>29580</v>
          </cell>
          <cell r="N1818" t="str">
            <v>Textile Chemical</v>
          </cell>
        </row>
        <row r="1819">
          <cell r="C1819" t="str">
            <v>20022024-A-063971</v>
          </cell>
          <cell r="H1819" t="str">
            <v>L</v>
          </cell>
          <cell r="L1819">
            <v>0</v>
          </cell>
          <cell r="N1819" t="str">
            <v>Textile Chemical</v>
          </cell>
        </row>
        <row r="1820">
          <cell r="C1820" t="str">
            <v>20022024-A-063977</v>
          </cell>
          <cell r="H1820" t="str">
            <v>L</v>
          </cell>
          <cell r="L1820">
            <v>0</v>
          </cell>
          <cell r="N1820" t="str">
            <v>Textile Chemical</v>
          </cell>
        </row>
        <row r="1821">
          <cell r="C1821" t="str">
            <v>20022024-A-063982</v>
          </cell>
          <cell r="H1821" t="str">
            <v>L</v>
          </cell>
          <cell r="L1821">
            <v>0</v>
          </cell>
          <cell r="N1821" t="str">
            <v>Textile Chemical</v>
          </cell>
        </row>
        <row r="1822">
          <cell r="C1822" t="str">
            <v>20022024-A-063987</v>
          </cell>
          <cell r="H1822" t="str">
            <v>L</v>
          </cell>
          <cell r="L1822">
            <v>0</v>
          </cell>
          <cell r="N1822" t="str">
            <v>Textile Dyes</v>
          </cell>
        </row>
        <row r="1823">
          <cell r="C1823" t="str">
            <v>20022024-A-063992</v>
          </cell>
          <cell r="H1823" t="str">
            <v>L</v>
          </cell>
          <cell r="L1823">
            <v>0</v>
          </cell>
          <cell r="N1823" t="str">
            <v>Textile Dyes</v>
          </cell>
        </row>
        <row r="1824">
          <cell r="C1824" t="str">
            <v>20022024-A-063996</v>
          </cell>
          <cell r="H1824" t="str">
            <v>L</v>
          </cell>
          <cell r="L1824">
            <v>0</v>
          </cell>
          <cell r="N1824" t="str">
            <v>Textile Dyes</v>
          </cell>
        </row>
        <row r="1825">
          <cell r="C1825" t="str">
            <v>20022024-A-064002</v>
          </cell>
          <cell r="H1825" t="str">
            <v>L</v>
          </cell>
          <cell r="L1825">
            <v>0</v>
          </cell>
          <cell r="N1825" t="str">
            <v>Textile Dyes</v>
          </cell>
        </row>
        <row r="1826">
          <cell r="C1826" t="str">
            <v>20022024-A-064011</v>
          </cell>
          <cell r="H1826" t="str">
            <v>L</v>
          </cell>
          <cell r="L1826">
            <v>0</v>
          </cell>
          <cell r="N1826" t="str">
            <v>Textile Dyes</v>
          </cell>
        </row>
        <row r="1827">
          <cell r="C1827" t="str">
            <v>20022024-A-064016</v>
          </cell>
          <cell r="H1827" t="str">
            <v>L</v>
          </cell>
          <cell r="L1827">
            <v>0</v>
          </cell>
          <cell r="N1827" t="str">
            <v>Textile Chemical</v>
          </cell>
        </row>
        <row r="1828">
          <cell r="C1828" t="str">
            <v>20022024-A-064021</v>
          </cell>
          <cell r="H1828" t="str">
            <v>L</v>
          </cell>
          <cell r="L1828">
            <v>0</v>
          </cell>
          <cell r="N1828" t="str">
            <v>Textile Chemical</v>
          </cell>
        </row>
        <row r="1829">
          <cell r="C1829" t="str">
            <v>26022024-A-065247</v>
          </cell>
          <cell r="H1829" t="str">
            <v>L</v>
          </cell>
          <cell r="L1829">
            <v>0</v>
          </cell>
          <cell r="N1829" t="str">
            <v>Comber Noil</v>
          </cell>
        </row>
        <row r="1830">
          <cell r="C1830" t="str">
            <v>26022024-A-065263</v>
          </cell>
          <cell r="H1830" t="str">
            <v>L</v>
          </cell>
          <cell r="L1830">
            <v>0</v>
          </cell>
          <cell r="N1830" t="str">
            <v>Comber Noil</v>
          </cell>
        </row>
        <row r="1831">
          <cell r="C1831" t="str">
            <v>26022024-A-065269</v>
          </cell>
          <cell r="H1831" t="str">
            <v>L</v>
          </cell>
          <cell r="L1831">
            <v>0</v>
          </cell>
          <cell r="N1831" t="str">
            <v>Comber Noil</v>
          </cell>
        </row>
        <row r="1832">
          <cell r="C1832" t="str">
            <v>26022024-A-065308</v>
          </cell>
          <cell r="H1832" t="str">
            <v>L</v>
          </cell>
          <cell r="L1832">
            <v>0</v>
          </cell>
          <cell r="N1832" t="str">
            <v>Comber Noil</v>
          </cell>
        </row>
        <row r="1833">
          <cell r="C1833" t="str">
            <v>26022024-A-065311</v>
          </cell>
          <cell r="H1833" t="str">
            <v>L</v>
          </cell>
          <cell r="L1833">
            <v>0</v>
          </cell>
          <cell r="N1833" t="str">
            <v>Comber Noil</v>
          </cell>
        </row>
        <row r="1834">
          <cell r="C1834" t="str">
            <v>26022024-A-065315</v>
          </cell>
          <cell r="H1834" t="str">
            <v>L</v>
          </cell>
          <cell r="L1834">
            <v>0</v>
          </cell>
          <cell r="N1834" t="str">
            <v>Comber Noil</v>
          </cell>
        </row>
        <row r="1835">
          <cell r="C1835" t="str">
            <v>26022024-A-065321</v>
          </cell>
          <cell r="H1835" t="str">
            <v>L</v>
          </cell>
          <cell r="L1835">
            <v>0</v>
          </cell>
          <cell r="N1835" t="str">
            <v>Comber Noil</v>
          </cell>
        </row>
        <row r="1836">
          <cell r="C1836" t="str">
            <v>26022024-A-065323</v>
          </cell>
          <cell r="H1836" t="str">
            <v>L</v>
          </cell>
          <cell r="L1836">
            <v>0</v>
          </cell>
          <cell r="N1836" t="str">
            <v>Comber Noil</v>
          </cell>
        </row>
        <row r="1837">
          <cell r="C1837" t="str">
            <v>26022024-A-065330</v>
          </cell>
          <cell r="H1837" t="str">
            <v>L</v>
          </cell>
          <cell r="L1837">
            <v>0</v>
          </cell>
          <cell r="N1837" t="str">
            <v>Comber Noil</v>
          </cell>
        </row>
        <row r="1838">
          <cell r="C1838" t="str">
            <v>26022024-A-065440</v>
          </cell>
          <cell r="H1838" t="str">
            <v>L</v>
          </cell>
          <cell r="L1838">
            <v>0</v>
          </cell>
          <cell r="N1838" t="str">
            <v>Comber Noil</v>
          </cell>
        </row>
        <row r="1839">
          <cell r="C1839" t="str">
            <v>26022024-A-065447</v>
          </cell>
          <cell r="H1839" t="str">
            <v>L</v>
          </cell>
          <cell r="L1839">
            <v>0</v>
          </cell>
          <cell r="N1839" t="str">
            <v>Comber Noil</v>
          </cell>
        </row>
        <row r="1840">
          <cell r="C1840" t="str">
            <v>26022024-A-065453</v>
          </cell>
          <cell r="H1840" t="str">
            <v>L</v>
          </cell>
          <cell r="L1840">
            <v>0</v>
          </cell>
          <cell r="N1840" t="str">
            <v>Comber Noil</v>
          </cell>
        </row>
        <row r="1841">
          <cell r="C1841" t="str">
            <v>26022024-A-065488</v>
          </cell>
          <cell r="H1841" t="str">
            <v>L</v>
          </cell>
          <cell r="L1841">
            <v>0</v>
          </cell>
          <cell r="N1841" t="str">
            <v>Comber Noil</v>
          </cell>
        </row>
        <row r="1842">
          <cell r="C1842" t="str">
            <v>26022024-A-065493</v>
          </cell>
          <cell r="H1842" t="str">
            <v>L</v>
          </cell>
          <cell r="L1842">
            <v>0</v>
          </cell>
          <cell r="N1842" t="str">
            <v>Comber Noil</v>
          </cell>
        </row>
        <row r="1843">
          <cell r="C1843" t="str">
            <v>26022024-A-065500</v>
          </cell>
          <cell r="H1843" t="str">
            <v>L</v>
          </cell>
          <cell r="L1843">
            <v>0</v>
          </cell>
          <cell r="N1843" t="str">
            <v>Comber Noil</v>
          </cell>
        </row>
        <row r="1844">
          <cell r="C1844" t="str">
            <v>26022024-A-065503</v>
          </cell>
          <cell r="H1844" t="str">
            <v>L</v>
          </cell>
          <cell r="L1844">
            <v>0</v>
          </cell>
          <cell r="N1844" t="str">
            <v>Comber Noil</v>
          </cell>
        </row>
        <row r="1845">
          <cell r="C1845" t="str">
            <v>26022024-A-065504</v>
          </cell>
          <cell r="H1845" t="str">
            <v>L</v>
          </cell>
          <cell r="L1845">
            <v>0</v>
          </cell>
          <cell r="N1845" t="str">
            <v>Comber Noil</v>
          </cell>
        </row>
        <row r="1846">
          <cell r="C1846" t="str">
            <v>26022024-A-065509</v>
          </cell>
          <cell r="H1846" t="str">
            <v>L</v>
          </cell>
          <cell r="L1846">
            <v>0</v>
          </cell>
          <cell r="N1846" t="str">
            <v>Comber Noil</v>
          </cell>
        </row>
        <row r="1847">
          <cell r="C1847" t="str">
            <v>26022024-A-065514</v>
          </cell>
          <cell r="H1847" t="str">
            <v>L</v>
          </cell>
          <cell r="L1847">
            <v>0</v>
          </cell>
          <cell r="N1847" t="str">
            <v>Comber Noil</v>
          </cell>
        </row>
        <row r="1848">
          <cell r="C1848" t="str">
            <v>26022024-A-065520</v>
          </cell>
          <cell r="H1848" t="str">
            <v>L</v>
          </cell>
          <cell r="L1848">
            <v>0</v>
          </cell>
          <cell r="N1848" t="str">
            <v>Comber Noil</v>
          </cell>
        </row>
        <row r="1849">
          <cell r="C1849" t="str">
            <v>27022024-A-065952</v>
          </cell>
          <cell r="H1849" t="str">
            <v>L</v>
          </cell>
          <cell r="L1849">
            <v>29770</v>
          </cell>
          <cell r="N1849" t="str">
            <v>Textile Chemical</v>
          </cell>
        </row>
        <row r="1850">
          <cell r="C1850" t="str">
            <v>27022024-A-065967</v>
          </cell>
          <cell r="H1850" t="str">
            <v>L</v>
          </cell>
          <cell r="L1850">
            <v>19930</v>
          </cell>
          <cell r="N1850" t="str">
            <v>Textile Chemical</v>
          </cell>
        </row>
        <row r="1851">
          <cell r="C1851" t="str">
            <v>27022024-A-065976</v>
          </cell>
          <cell r="H1851" t="str">
            <v>L</v>
          </cell>
          <cell r="L1851">
            <v>19930</v>
          </cell>
          <cell r="N1851" t="str">
            <v>Textile Chemical</v>
          </cell>
        </row>
        <row r="1852">
          <cell r="C1852" t="str">
            <v>27022024-A-065985</v>
          </cell>
          <cell r="H1852" t="str">
            <v>L</v>
          </cell>
          <cell r="L1852">
            <v>29630</v>
          </cell>
          <cell r="N1852" t="str">
            <v>Textile Chemical</v>
          </cell>
        </row>
        <row r="1853">
          <cell r="C1853" t="str">
            <v>27022024-A-065993</v>
          </cell>
          <cell r="H1853" t="str">
            <v>L</v>
          </cell>
          <cell r="L1853">
            <v>19880</v>
          </cell>
          <cell r="N1853" t="str">
            <v>Textile Chemical</v>
          </cell>
        </row>
        <row r="1854">
          <cell r="C1854" t="str">
            <v>27022024-A-066000</v>
          </cell>
          <cell r="H1854" t="str">
            <v>L</v>
          </cell>
          <cell r="L1854">
            <v>9730</v>
          </cell>
          <cell r="N1854" t="str">
            <v>Textile Chemical</v>
          </cell>
        </row>
        <row r="1855">
          <cell r="C1855" t="str">
            <v>27022024-A-066011</v>
          </cell>
          <cell r="H1855" t="str">
            <v>L</v>
          </cell>
          <cell r="L1855">
            <v>19530</v>
          </cell>
          <cell r="N1855" t="str">
            <v>Textile Chemical</v>
          </cell>
        </row>
        <row r="1856">
          <cell r="C1856" t="str">
            <v>27022024-A-066016</v>
          </cell>
          <cell r="H1856" t="str">
            <v>L</v>
          </cell>
          <cell r="L1856">
            <v>19470</v>
          </cell>
          <cell r="N1856" t="str">
            <v>Textile Chemical</v>
          </cell>
        </row>
        <row r="1857">
          <cell r="C1857" t="str">
            <v>27022024-A-066025</v>
          </cell>
          <cell r="H1857" t="str">
            <v>L</v>
          </cell>
          <cell r="L1857">
            <v>29370</v>
          </cell>
          <cell r="N1857" t="str">
            <v>Textile Chemical</v>
          </cell>
        </row>
        <row r="1858">
          <cell r="C1858" t="str">
            <v>27022024-A-066033</v>
          </cell>
          <cell r="H1858" t="str">
            <v>L</v>
          </cell>
          <cell r="L1858">
            <v>29210</v>
          </cell>
          <cell r="N1858" t="str">
            <v>Textile Chemical</v>
          </cell>
        </row>
        <row r="1859">
          <cell r="C1859" t="str">
            <v>27022024-A-066039</v>
          </cell>
          <cell r="H1859" t="str">
            <v>L</v>
          </cell>
          <cell r="L1859">
            <v>29440</v>
          </cell>
          <cell r="N1859" t="str">
            <v>Textile Chemical</v>
          </cell>
        </row>
        <row r="1860">
          <cell r="C1860" t="str">
            <v>27022024-A-066064</v>
          </cell>
          <cell r="H1860" t="str">
            <v>L</v>
          </cell>
          <cell r="L1860">
            <v>0</v>
          </cell>
          <cell r="N1860" t="str">
            <v>Textile Dyes</v>
          </cell>
        </row>
        <row r="1861">
          <cell r="C1861" t="str">
            <v>27022024-A-066064</v>
          </cell>
          <cell r="H1861" t="str">
            <v>L</v>
          </cell>
          <cell r="L1861">
            <v>0</v>
          </cell>
          <cell r="N1861" t="str">
            <v>Textile Chemical</v>
          </cell>
        </row>
        <row r="1862">
          <cell r="C1862" t="str">
            <v>27022024-A-066064</v>
          </cell>
          <cell r="H1862" t="str">
            <v>L</v>
          </cell>
          <cell r="L1862">
            <v>0</v>
          </cell>
          <cell r="N1862" t="str">
            <v>Textile Chemical</v>
          </cell>
        </row>
        <row r="1863">
          <cell r="C1863" t="str">
            <v>27022024-A-066079</v>
          </cell>
          <cell r="H1863" t="str">
            <v>L</v>
          </cell>
          <cell r="L1863">
            <v>0</v>
          </cell>
          <cell r="N1863" t="str">
            <v>Textile Chemical</v>
          </cell>
        </row>
        <row r="1864">
          <cell r="C1864" t="str">
            <v>27022024-A-066079</v>
          </cell>
          <cell r="H1864" t="str">
            <v>L</v>
          </cell>
          <cell r="L1864">
            <v>0</v>
          </cell>
          <cell r="N1864" t="str">
            <v>Textile Chemical</v>
          </cell>
        </row>
        <row r="1865">
          <cell r="C1865" t="str">
            <v>27022024-A-066079</v>
          </cell>
          <cell r="H1865" t="str">
            <v>L</v>
          </cell>
          <cell r="L1865">
            <v>0</v>
          </cell>
          <cell r="N1865" t="str">
            <v>Textile Dyes</v>
          </cell>
        </row>
        <row r="1866">
          <cell r="C1866" t="str">
            <v>27022024-A-066094</v>
          </cell>
          <cell r="H1866" t="str">
            <v>L</v>
          </cell>
          <cell r="L1866">
            <v>0</v>
          </cell>
          <cell r="N1866" t="str">
            <v>Textile Chemical</v>
          </cell>
        </row>
        <row r="1867">
          <cell r="C1867" t="str">
            <v>27022024-A-066094</v>
          </cell>
          <cell r="H1867" t="str">
            <v>L</v>
          </cell>
          <cell r="L1867">
            <v>0</v>
          </cell>
          <cell r="N1867" t="str">
            <v>Textile Chemical</v>
          </cell>
        </row>
        <row r="1868">
          <cell r="C1868" t="str">
            <v>27022024-A-066094</v>
          </cell>
          <cell r="H1868" t="str">
            <v>L</v>
          </cell>
          <cell r="L1868">
            <v>0</v>
          </cell>
          <cell r="N1868" t="str">
            <v>Textile Chemical</v>
          </cell>
        </row>
        <row r="1869">
          <cell r="C1869" t="str">
            <v>27022024-A-066109</v>
          </cell>
          <cell r="H1869" t="str">
            <v>L</v>
          </cell>
          <cell r="L1869">
            <v>0</v>
          </cell>
          <cell r="N1869" t="str">
            <v>Textile Dyes</v>
          </cell>
        </row>
        <row r="1870">
          <cell r="C1870" t="str">
            <v>27022024-A-066116</v>
          </cell>
          <cell r="H1870" t="str">
            <v>L</v>
          </cell>
          <cell r="L1870">
            <v>0</v>
          </cell>
          <cell r="N1870" t="str">
            <v>Textile Chemical</v>
          </cell>
        </row>
        <row r="1871">
          <cell r="C1871" t="str">
            <v>27022024-A-066222</v>
          </cell>
          <cell r="H1871" t="str">
            <v>L</v>
          </cell>
          <cell r="L1871">
            <v>0</v>
          </cell>
          <cell r="N1871" t="str">
            <v>Textile Chemical</v>
          </cell>
        </row>
        <row r="1872">
          <cell r="C1872" t="str">
            <v>27022024-A-066222</v>
          </cell>
          <cell r="H1872" t="str">
            <v>L</v>
          </cell>
          <cell r="L1872">
            <v>0</v>
          </cell>
          <cell r="N1872" t="str">
            <v>Textile Dyes</v>
          </cell>
        </row>
        <row r="1873">
          <cell r="C1873" t="str">
            <v>27022024-A-066141</v>
          </cell>
          <cell r="H1873" t="str">
            <v>L</v>
          </cell>
          <cell r="L1873">
            <v>0</v>
          </cell>
          <cell r="N1873" t="str">
            <v>Textile Chemical</v>
          </cell>
        </row>
        <row r="1874">
          <cell r="C1874" t="str">
            <v>27022024-A-066145</v>
          </cell>
          <cell r="H1874" t="str">
            <v>L</v>
          </cell>
          <cell r="L1874">
            <v>0</v>
          </cell>
          <cell r="N1874" t="str">
            <v>Textile Dyes</v>
          </cell>
        </row>
        <row r="1875">
          <cell r="C1875" t="str">
            <v>27022024-A-066156</v>
          </cell>
          <cell r="H1875" t="str">
            <v>L</v>
          </cell>
          <cell r="L1875">
            <v>0</v>
          </cell>
          <cell r="N1875" t="str">
            <v>Textile Dyes</v>
          </cell>
        </row>
        <row r="1876">
          <cell r="C1876" t="str">
            <v>27022024-A-066163</v>
          </cell>
          <cell r="H1876" t="str">
            <v>L</v>
          </cell>
          <cell r="L1876">
            <v>0</v>
          </cell>
          <cell r="N1876" t="str">
            <v>Textile Chemical</v>
          </cell>
        </row>
        <row r="1877">
          <cell r="C1877" t="str">
            <v>27022024-A-066169</v>
          </cell>
          <cell r="H1877" t="str">
            <v>L</v>
          </cell>
          <cell r="L1877">
            <v>0</v>
          </cell>
          <cell r="N1877" t="str">
            <v>Textile Chemical</v>
          </cell>
        </row>
        <row r="1878">
          <cell r="C1878" t="str">
            <v>27022024-A-066220</v>
          </cell>
          <cell r="H1878" t="str">
            <v>L</v>
          </cell>
          <cell r="L1878">
            <v>0</v>
          </cell>
          <cell r="N1878" t="str">
            <v>Textile Chemical</v>
          </cell>
        </row>
        <row r="1879">
          <cell r="C1879" t="str">
            <v>27022024-A-066227</v>
          </cell>
          <cell r="H1879" t="str">
            <v>L</v>
          </cell>
          <cell r="L1879">
            <v>0</v>
          </cell>
          <cell r="N1879" t="str">
            <v>Textile Chemical</v>
          </cell>
        </row>
        <row r="1880">
          <cell r="C1880" t="str">
            <v>27022024-A-066228</v>
          </cell>
          <cell r="H1880" t="str">
            <v>L</v>
          </cell>
          <cell r="L1880">
            <v>0</v>
          </cell>
          <cell r="N1880" t="str">
            <v>Textile Chemical</v>
          </cell>
        </row>
        <row r="1881">
          <cell r="C1881" t="str">
            <v>28022024-A-066299</v>
          </cell>
          <cell r="H1881" t="str">
            <v>L</v>
          </cell>
          <cell r="L1881">
            <v>0</v>
          </cell>
          <cell r="N1881" t="str">
            <v>Textile Chemical</v>
          </cell>
        </row>
        <row r="1882">
          <cell r="C1882" t="str">
            <v>28022024-A-066302</v>
          </cell>
          <cell r="H1882" t="str">
            <v>L</v>
          </cell>
          <cell r="L1882">
            <v>0</v>
          </cell>
          <cell r="N1882" t="str">
            <v>Textile Chemical</v>
          </cell>
        </row>
        <row r="1883">
          <cell r="C1883" t="str">
            <v>28022024-A-066313</v>
          </cell>
          <cell r="H1883" t="str">
            <v>L</v>
          </cell>
          <cell r="L1883">
            <v>0</v>
          </cell>
          <cell r="N1883" t="str">
            <v>Textile Chemical</v>
          </cell>
        </row>
        <row r="1884">
          <cell r="C1884" t="str">
            <v>28022024-A-066318</v>
          </cell>
          <cell r="H1884" t="str">
            <v>L</v>
          </cell>
          <cell r="L1884">
            <v>0</v>
          </cell>
          <cell r="N1884" t="str">
            <v>Textile Dyes</v>
          </cell>
        </row>
        <row r="1885">
          <cell r="C1885" t="str">
            <v>04032024-A-068165</v>
          </cell>
          <cell r="H1885" t="str">
            <v>L</v>
          </cell>
          <cell r="L1885">
            <v>0</v>
          </cell>
          <cell r="N1885" t="str">
            <v>Blended Fabric</v>
          </cell>
        </row>
        <row r="1886">
          <cell r="C1886" t="str">
            <v>04032024-A-068168</v>
          </cell>
          <cell r="H1886" t="str">
            <v>L</v>
          </cell>
          <cell r="L1886">
            <v>0</v>
          </cell>
          <cell r="N1886" t="str">
            <v>Blended Fabric</v>
          </cell>
        </row>
        <row r="1887">
          <cell r="C1887" t="str">
            <v>08032024-A-070139</v>
          </cell>
          <cell r="H1887" t="str">
            <v>L</v>
          </cell>
          <cell r="L1887">
            <v>0</v>
          </cell>
          <cell r="N1887" t="str">
            <v>Textile Chemical</v>
          </cell>
        </row>
        <row r="1888">
          <cell r="C1888" t="str">
            <v>08032024-A-070148</v>
          </cell>
          <cell r="H1888" t="str">
            <v>L</v>
          </cell>
          <cell r="L1888">
            <v>0</v>
          </cell>
          <cell r="N1888" t="str">
            <v>Textile Chemical</v>
          </cell>
        </row>
        <row r="1889">
          <cell r="C1889" t="str">
            <v>08032024-A-070152</v>
          </cell>
          <cell r="H1889" t="str">
            <v>L</v>
          </cell>
          <cell r="L1889">
            <v>29620</v>
          </cell>
          <cell r="N1889" t="str">
            <v>Textile Chemical</v>
          </cell>
        </row>
        <row r="1890">
          <cell r="C1890" t="str">
            <v>08032024-A-070159</v>
          </cell>
          <cell r="H1890" t="str">
            <v>L</v>
          </cell>
          <cell r="L1890">
            <v>29620</v>
          </cell>
          <cell r="N1890" t="str">
            <v>Textile Chemical</v>
          </cell>
        </row>
        <row r="1891">
          <cell r="C1891" t="str">
            <v>08032024-A-070166</v>
          </cell>
          <cell r="H1891" t="str">
            <v>L</v>
          </cell>
          <cell r="L1891">
            <v>19920</v>
          </cell>
          <cell r="N1891" t="str">
            <v>Textile Chemical</v>
          </cell>
        </row>
        <row r="1892">
          <cell r="C1892" t="str">
            <v>08032024-A-070172</v>
          </cell>
          <cell r="H1892" t="str">
            <v>L</v>
          </cell>
          <cell r="L1892">
            <v>29930</v>
          </cell>
          <cell r="N1892" t="str">
            <v>Textile Chemical</v>
          </cell>
        </row>
        <row r="1893">
          <cell r="C1893" t="str">
            <v>08032024-A-070178</v>
          </cell>
          <cell r="H1893" t="str">
            <v>L</v>
          </cell>
          <cell r="L1893">
            <v>29940</v>
          </cell>
          <cell r="N1893" t="str">
            <v>Textile Chemical</v>
          </cell>
        </row>
        <row r="1894">
          <cell r="C1894" t="str">
            <v>08032024-A-070186</v>
          </cell>
          <cell r="H1894" t="str">
            <v>L</v>
          </cell>
          <cell r="L1894">
            <v>0</v>
          </cell>
          <cell r="N1894" t="str">
            <v>Textile Chemical</v>
          </cell>
        </row>
        <row r="1895">
          <cell r="C1895" t="str">
            <v>08032024-A-070192</v>
          </cell>
          <cell r="H1895" t="str">
            <v>L</v>
          </cell>
          <cell r="L1895">
            <v>0</v>
          </cell>
          <cell r="N1895" t="str">
            <v>Textile Chemical</v>
          </cell>
        </row>
        <row r="1896">
          <cell r="C1896" t="str">
            <v>08032024-A-070198</v>
          </cell>
          <cell r="H1896" t="str">
            <v>L</v>
          </cell>
          <cell r="L1896">
            <v>0</v>
          </cell>
          <cell r="N1896" t="str">
            <v>Textile Chemical</v>
          </cell>
        </row>
        <row r="1897">
          <cell r="C1897" t="str">
            <v>08032024-A-070202</v>
          </cell>
          <cell r="H1897" t="str">
            <v>L</v>
          </cell>
          <cell r="L1897">
            <v>0</v>
          </cell>
          <cell r="N1897" t="str">
            <v>Textile Chemical</v>
          </cell>
        </row>
        <row r="1898">
          <cell r="C1898" t="str">
            <v>08032024-A-070202</v>
          </cell>
          <cell r="H1898" t="str">
            <v>L</v>
          </cell>
          <cell r="L1898">
            <v>0</v>
          </cell>
          <cell r="N1898" t="str">
            <v>Textile Chemical</v>
          </cell>
        </row>
        <row r="1899">
          <cell r="C1899" t="str">
            <v>08032024-A-070202</v>
          </cell>
          <cell r="H1899" t="str">
            <v>L</v>
          </cell>
          <cell r="L1899">
            <v>0</v>
          </cell>
          <cell r="N1899" t="str">
            <v>Textile Dyes</v>
          </cell>
        </row>
        <row r="1900">
          <cell r="C1900" t="str">
            <v>08032024-A-070214</v>
          </cell>
          <cell r="H1900" t="str">
            <v>L</v>
          </cell>
          <cell r="L1900">
            <v>0</v>
          </cell>
          <cell r="N1900" t="str">
            <v>Textile Dyes</v>
          </cell>
        </row>
        <row r="1901">
          <cell r="C1901" t="str">
            <v>08032024-A-070219</v>
          </cell>
          <cell r="H1901" t="str">
            <v>L</v>
          </cell>
          <cell r="L1901">
            <v>0</v>
          </cell>
          <cell r="N1901" t="str">
            <v>Textile Dyes</v>
          </cell>
        </row>
        <row r="1902">
          <cell r="C1902" t="str">
            <v>08032024-A-070223</v>
          </cell>
          <cell r="H1902" t="str">
            <v>L</v>
          </cell>
          <cell r="L1902">
            <v>0</v>
          </cell>
          <cell r="N1902" t="str">
            <v>Textile Chemical</v>
          </cell>
        </row>
        <row r="1903">
          <cell r="C1903" t="str">
            <v>08032024-A-070227</v>
          </cell>
          <cell r="H1903" t="str">
            <v>L</v>
          </cell>
          <cell r="L1903">
            <v>0</v>
          </cell>
          <cell r="N1903" t="str">
            <v>Textile Chemical</v>
          </cell>
        </row>
        <row r="1904">
          <cell r="C1904" t="str">
            <v>08032024-A-070232</v>
          </cell>
          <cell r="H1904" t="str">
            <v>L</v>
          </cell>
          <cell r="L1904">
            <v>0</v>
          </cell>
          <cell r="N1904" t="str">
            <v>Textile Chemical</v>
          </cell>
        </row>
        <row r="1905">
          <cell r="C1905" t="str">
            <v>13032024-A-072273</v>
          </cell>
          <cell r="H1905" t="str">
            <v>L</v>
          </cell>
          <cell r="L1905">
            <v>0</v>
          </cell>
          <cell r="N1905" t="str">
            <v>Polyester Staple Fiber</v>
          </cell>
        </row>
        <row r="1906">
          <cell r="C1906" t="str">
            <v>13032024-A-072296</v>
          </cell>
          <cell r="H1906" t="str">
            <v>L</v>
          </cell>
          <cell r="L1906">
            <v>0</v>
          </cell>
          <cell r="N1906" t="str">
            <v>Polyester Staple Fiber</v>
          </cell>
        </row>
        <row r="1907">
          <cell r="C1907" t="str">
            <v>13032024-A-072314</v>
          </cell>
          <cell r="H1907" t="str">
            <v>L</v>
          </cell>
          <cell r="L1907">
            <v>0</v>
          </cell>
          <cell r="N1907" t="str">
            <v>Polyester Staple Fiber</v>
          </cell>
        </row>
        <row r="1908">
          <cell r="C1908" t="str">
            <v>13032024-A-072326</v>
          </cell>
          <cell r="H1908" t="str">
            <v>L</v>
          </cell>
          <cell r="L1908">
            <v>0</v>
          </cell>
          <cell r="N1908" t="str">
            <v>Polyester Staple Fiber</v>
          </cell>
        </row>
        <row r="1909">
          <cell r="C1909" t="str">
            <v>11032024-A-071139</v>
          </cell>
          <cell r="H1909" t="str">
            <v>L</v>
          </cell>
          <cell r="L1909">
            <v>0</v>
          </cell>
          <cell r="N1909" t="str">
            <v>Comber Noil</v>
          </cell>
        </row>
        <row r="1910">
          <cell r="C1910" t="str">
            <v>11032024-A-071149</v>
          </cell>
          <cell r="H1910" t="str">
            <v>L</v>
          </cell>
          <cell r="L1910">
            <v>0</v>
          </cell>
          <cell r="N1910" t="str">
            <v>Comber Noil</v>
          </cell>
        </row>
        <row r="1911">
          <cell r="C1911" t="str">
            <v>11032024-A-071156</v>
          </cell>
          <cell r="H1911" t="str">
            <v>L</v>
          </cell>
          <cell r="L1911">
            <v>0</v>
          </cell>
          <cell r="N1911" t="str">
            <v>Comber Noil</v>
          </cell>
        </row>
        <row r="1912">
          <cell r="C1912" t="str">
            <v>11032024-A-071164</v>
          </cell>
          <cell r="H1912" t="str">
            <v>L</v>
          </cell>
          <cell r="L1912">
            <v>0</v>
          </cell>
          <cell r="N1912" t="str">
            <v>Comber Noil</v>
          </cell>
        </row>
        <row r="1913">
          <cell r="C1913" t="str">
            <v>11032024-A-071172</v>
          </cell>
          <cell r="H1913" t="str">
            <v>L</v>
          </cell>
          <cell r="L1913">
            <v>0</v>
          </cell>
          <cell r="N1913" t="str">
            <v>Comber Noil</v>
          </cell>
        </row>
        <row r="1914">
          <cell r="C1914" t="str">
            <v>11032024-A-071177</v>
          </cell>
          <cell r="H1914" t="str">
            <v>L</v>
          </cell>
          <cell r="L1914">
            <v>0</v>
          </cell>
          <cell r="N1914" t="str">
            <v>Comber Noil</v>
          </cell>
        </row>
        <row r="1915">
          <cell r="C1915" t="str">
            <v>11032024-A-071192</v>
          </cell>
          <cell r="H1915" t="str">
            <v>L</v>
          </cell>
          <cell r="L1915">
            <v>0</v>
          </cell>
          <cell r="N1915" t="str">
            <v>Comber Noil</v>
          </cell>
        </row>
        <row r="1916">
          <cell r="C1916" t="str">
            <v>11032024-A-071205</v>
          </cell>
          <cell r="H1916" t="str">
            <v>L</v>
          </cell>
          <cell r="L1916">
            <v>0</v>
          </cell>
          <cell r="N1916" t="str">
            <v>Comber Noil</v>
          </cell>
        </row>
        <row r="1917">
          <cell r="C1917" t="str">
            <v>11032024-A-071215</v>
          </cell>
          <cell r="H1917" t="str">
            <v>L</v>
          </cell>
          <cell r="L1917">
            <v>0</v>
          </cell>
          <cell r="N1917" t="str">
            <v>Comber Noil</v>
          </cell>
        </row>
        <row r="1918">
          <cell r="C1918" t="str">
            <v>11032024-A-071224</v>
          </cell>
          <cell r="H1918" t="str">
            <v>L</v>
          </cell>
          <cell r="L1918">
            <v>0</v>
          </cell>
          <cell r="N1918" t="str">
            <v>Comber Noil</v>
          </cell>
        </row>
        <row r="1919">
          <cell r="C1919" t="str">
            <v>13032024-A-072205</v>
          </cell>
          <cell r="H1919" t="str">
            <v>L</v>
          </cell>
          <cell r="L1919">
            <v>0</v>
          </cell>
          <cell r="N1919" t="str">
            <v>Comber Noil</v>
          </cell>
        </row>
        <row r="1920">
          <cell r="C1920" t="str">
            <v>13032024-A-072225</v>
          </cell>
          <cell r="H1920" t="str">
            <v>L</v>
          </cell>
          <cell r="L1920">
            <v>0</v>
          </cell>
          <cell r="N1920" t="str">
            <v>Comber Noil</v>
          </cell>
        </row>
        <row r="1921">
          <cell r="C1921" t="str">
            <v>13032024-A-072233</v>
          </cell>
          <cell r="H1921" t="str">
            <v>L</v>
          </cell>
          <cell r="L1921">
            <v>0</v>
          </cell>
          <cell r="N1921" t="str">
            <v>Comber Noil</v>
          </cell>
        </row>
        <row r="1922">
          <cell r="C1922" t="str">
            <v>13032024-A-072241</v>
          </cell>
          <cell r="H1922" t="str">
            <v>L</v>
          </cell>
          <cell r="L1922">
            <v>0</v>
          </cell>
          <cell r="N1922" t="str">
            <v>Comber Noil</v>
          </cell>
        </row>
        <row r="1923">
          <cell r="C1923" t="str">
            <v>13032024-A-072247</v>
          </cell>
          <cell r="H1923" t="str">
            <v>L</v>
          </cell>
          <cell r="L1923">
            <v>0</v>
          </cell>
          <cell r="N1923" t="str">
            <v>Comber Noil</v>
          </cell>
        </row>
        <row r="1924">
          <cell r="C1924" t="str">
            <v>13032024-A-072261</v>
          </cell>
          <cell r="H1924" t="str">
            <v>L</v>
          </cell>
          <cell r="L1924">
            <v>0</v>
          </cell>
          <cell r="N1924" t="str">
            <v>Comber Noil</v>
          </cell>
        </row>
        <row r="1925">
          <cell r="C1925" t="str">
            <v>16032024-A-073979</v>
          </cell>
          <cell r="H1925" t="str">
            <v>L</v>
          </cell>
          <cell r="L1925">
            <v>0</v>
          </cell>
          <cell r="N1925" t="str">
            <v>Textile Chemical</v>
          </cell>
        </row>
        <row r="1926">
          <cell r="C1926" t="str">
            <v>16032024-A-073985</v>
          </cell>
          <cell r="H1926" t="str">
            <v>L</v>
          </cell>
          <cell r="L1926">
            <v>19910</v>
          </cell>
          <cell r="N1926" t="str">
            <v>Textile Chemical</v>
          </cell>
        </row>
        <row r="1927">
          <cell r="C1927" t="str">
            <v>16032024-A-073990</v>
          </cell>
          <cell r="H1927" t="str">
            <v>L</v>
          </cell>
          <cell r="L1927">
            <v>19920</v>
          </cell>
          <cell r="N1927" t="str">
            <v>Textile Chemical</v>
          </cell>
        </row>
        <row r="1928">
          <cell r="C1928" t="str">
            <v>16032024-A-073993</v>
          </cell>
          <cell r="H1928" t="str">
            <v>L</v>
          </cell>
          <cell r="L1928">
            <v>29900</v>
          </cell>
          <cell r="N1928" t="str">
            <v>Textile Chemical</v>
          </cell>
        </row>
        <row r="1929">
          <cell r="C1929" t="str">
            <v>16032024-A-073995</v>
          </cell>
          <cell r="H1929" t="str">
            <v>L</v>
          </cell>
          <cell r="L1929">
            <v>29890</v>
          </cell>
          <cell r="N1929" t="str">
            <v>Textile Chemical</v>
          </cell>
        </row>
        <row r="1930">
          <cell r="C1930" t="str">
            <v>16032024-A-073997</v>
          </cell>
          <cell r="H1930" t="str">
            <v>L</v>
          </cell>
          <cell r="L1930">
            <v>29890</v>
          </cell>
          <cell r="N1930" t="str">
            <v>Textile Chemical</v>
          </cell>
        </row>
        <row r="1931">
          <cell r="C1931" t="str">
            <v>16032024-A-074002</v>
          </cell>
          <cell r="H1931" t="str">
            <v>L</v>
          </cell>
          <cell r="L1931">
            <v>0</v>
          </cell>
          <cell r="N1931" t="str">
            <v>Textile Chemical</v>
          </cell>
        </row>
        <row r="1932">
          <cell r="C1932" t="str">
            <v>16032024-A-074005</v>
          </cell>
          <cell r="H1932" t="str">
            <v>L</v>
          </cell>
          <cell r="L1932">
            <v>0</v>
          </cell>
          <cell r="N1932" t="str">
            <v>Textile Dyes</v>
          </cell>
        </row>
        <row r="1933">
          <cell r="C1933" t="str">
            <v>16032024-A-074009</v>
          </cell>
          <cell r="H1933" t="str">
            <v>L</v>
          </cell>
          <cell r="L1933">
            <v>0</v>
          </cell>
          <cell r="N1933" t="str">
            <v>Textile Dyes</v>
          </cell>
        </row>
        <row r="1934">
          <cell r="C1934" t="str">
            <v>16032024-A-074012</v>
          </cell>
          <cell r="H1934" t="str">
            <v>L</v>
          </cell>
          <cell r="L1934">
            <v>0</v>
          </cell>
          <cell r="N1934" t="str">
            <v>Textile Dyes</v>
          </cell>
        </row>
        <row r="1935">
          <cell r="C1935" t="str">
            <v>16032024-A-074015</v>
          </cell>
          <cell r="H1935" t="str">
            <v>L</v>
          </cell>
          <cell r="L1935">
            <v>0</v>
          </cell>
          <cell r="N1935" t="str">
            <v>Textile Dyes</v>
          </cell>
        </row>
        <row r="1936">
          <cell r="C1936" t="str">
            <v>16032024-A-074017</v>
          </cell>
          <cell r="H1936" t="str">
            <v>L</v>
          </cell>
          <cell r="L1936">
            <v>0</v>
          </cell>
          <cell r="N1936" t="str">
            <v>Textile Dyes</v>
          </cell>
        </row>
        <row r="1937">
          <cell r="C1937" t="str">
            <v>16032024-A-074019</v>
          </cell>
          <cell r="H1937" t="str">
            <v>L</v>
          </cell>
          <cell r="L1937">
            <v>0</v>
          </cell>
          <cell r="N1937" t="str">
            <v>Textile Dyes</v>
          </cell>
        </row>
        <row r="1938">
          <cell r="H1938" t="str">
            <v>L</v>
          </cell>
          <cell r="L1938">
            <v>0</v>
          </cell>
          <cell r="N1938" t="str">
            <v>Textile Chemical</v>
          </cell>
        </row>
        <row r="1939">
          <cell r="H1939" t="str">
            <v>L</v>
          </cell>
          <cell r="L1939">
            <v>0</v>
          </cell>
          <cell r="N1939" t="str">
            <v>Textile Chemical</v>
          </cell>
        </row>
        <row r="1940">
          <cell r="H1940" t="str">
            <v>L</v>
          </cell>
          <cell r="L1940">
            <v>0</v>
          </cell>
          <cell r="N1940" t="str">
            <v>Textile Chemical</v>
          </cell>
        </row>
        <row r="1941">
          <cell r="H1941" t="str">
            <v>L</v>
          </cell>
          <cell r="L1941">
            <v>0</v>
          </cell>
          <cell r="N1941" t="str">
            <v>Textile Chemical</v>
          </cell>
        </row>
        <row r="1942">
          <cell r="H1942" t="str">
            <v>L</v>
          </cell>
          <cell r="L1942">
            <v>0</v>
          </cell>
          <cell r="N1942" t="str">
            <v>Textile Chemical</v>
          </cell>
        </row>
        <row r="1943">
          <cell r="H1943" t="str">
            <v>L</v>
          </cell>
          <cell r="L1943">
            <v>0</v>
          </cell>
          <cell r="N1943" t="str">
            <v>Textile Chemical</v>
          </cell>
        </row>
        <row r="1944">
          <cell r="H1944" t="str">
            <v>L</v>
          </cell>
          <cell r="L1944">
            <v>0</v>
          </cell>
          <cell r="N1944" t="str">
            <v>Textile Chemical</v>
          </cell>
        </row>
        <row r="1945">
          <cell r="H1945" t="str">
            <v>L</v>
          </cell>
          <cell r="L1945">
            <v>0</v>
          </cell>
          <cell r="N1945" t="str">
            <v>Cotton Fabric</v>
          </cell>
        </row>
        <row r="1946">
          <cell r="H1946" t="str">
            <v>L</v>
          </cell>
          <cell r="L1946">
            <v>0</v>
          </cell>
          <cell r="N1946" t="str">
            <v>Cotton Fabric</v>
          </cell>
        </row>
        <row r="1947">
          <cell r="H1947" t="str">
            <v>L</v>
          </cell>
          <cell r="L1947">
            <v>0</v>
          </cell>
          <cell r="N1947" t="str">
            <v>Cotton Fabric</v>
          </cell>
        </row>
        <row r="1948">
          <cell r="H1948" t="str">
            <v>L</v>
          </cell>
          <cell r="L1948">
            <v>0</v>
          </cell>
          <cell r="N1948" t="str">
            <v>Blended Fabric</v>
          </cell>
        </row>
        <row r="1949">
          <cell r="H1949" t="str">
            <v>L</v>
          </cell>
          <cell r="L1949">
            <v>0</v>
          </cell>
          <cell r="N1949" t="str">
            <v>Cotton Yarn</v>
          </cell>
        </row>
        <row r="1950">
          <cell r="H1950" t="str">
            <v>L</v>
          </cell>
          <cell r="L1950">
            <v>0</v>
          </cell>
          <cell r="N1950" t="str">
            <v>Polyester Yarn</v>
          </cell>
        </row>
        <row r="1951">
          <cell r="H1951" t="str">
            <v>L</v>
          </cell>
          <cell r="L1951">
            <v>0</v>
          </cell>
          <cell r="N1951" t="str">
            <v>Blended Yarn</v>
          </cell>
        </row>
        <row r="1952">
          <cell r="H1952" t="str">
            <v>L</v>
          </cell>
          <cell r="L1952">
            <v>0</v>
          </cell>
          <cell r="N1952" t="str">
            <v>Blended Yarn</v>
          </cell>
        </row>
        <row r="1953">
          <cell r="H1953" t="str">
            <v>L</v>
          </cell>
          <cell r="L1953">
            <v>0</v>
          </cell>
          <cell r="N1953" t="str">
            <v>Blended YARN</v>
          </cell>
        </row>
        <row r="1954">
          <cell r="H1954" t="str">
            <v>L</v>
          </cell>
          <cell r="L1954">
            <v>0</v>
          </cell>
          <cell r="N1954" t="str">
            <v>Blended Yarn</v>
          </cell>
        </row>
        <row r="1955">
          <cell r="H1955" t="str">
            <v>L</v>
          </cell>
          <cell r="L1955">
            <v>0</v>
          </cell>
          <cell r="N1955" t="str">
            <v>Blended Yarn</v>
          </cell>
        </row>
        <row r="1956">
          <cell r="H1956" t="str">
            <v>L</v>
          </cell>
          <cell r="L1956">
            <v>0</v>
          </cell>
          <cell r="N1956" t="str">
            <v>Blended Yarn</v>
          </cell>
        </row>
        <row r="1957">
          <cell r="H1957" t="str">
            <v>L</v>
          </cell>
          <cell r="L1957">
            <v>0</v>
          </cell>
          <cell r="N1957" t="str">
            <v>Blended Yarn</v>
          </cell>
        </row>
        <row r="1958">
          <cell r="H1958" t="str">
            <v>L</v>
          </cell>
          <cell r="L1958">
            <v>0</v>
          </cell>
          <cell r="N1958" t="str">
            <v>Blended Yarn</v>
          </cell>
        </row>
        <row r="1959">
          <cell r="H1959" t="str">
            <v>L</v>
          </cell>
          <cell r="L1959">
            <v>0</v>
          </cell>
          <cell r="N1959" t="str">
            <v>Blended Yarn</v>
          </cell>
        </row>
        <row r="1960">
          <cell r="H1960" t="str">
            <v>L</v>
          </cell>
          <cell r="L1960">
            <v>35962</v>
          </cell>
          <cell r="N1960" t="str">
            <v>Raw Cotton</v>
          </cell>
        </row>
        <row r="1961">
          <cell r="H1961" t="str">
            <v>L</v>
          </cell>
          <cell r="L1961">
            <v>46801</v>
          </cell>
          <cell r="N1961" t="str">
            <v>Raw Cotton</v>
          </cell>
        </row>
        <row r="1962">
          <cell r="H1962" t="str">
            <v>L</v>
          </cell>
          <cell r="L1962">
            <v>0</v>
          </cell>
          <cell r="N1962" t="str">
            <v>Comber Noil</v>
          </cell>
        </row>
        <row r="1963">
          <cell r="H1963" t="str">
            <v>L</v>
          </cell>
          <cell r="L1963">
            <v>0</v>
          </cell>
          <cell r="N1963" t="str">
            <v>Comber Noil</v>
          </cell>
        </row>
        <row r="1964">
          <cell r="H1964" t="str">
            <v>L</v>
          </cell>
          <cell r="L1964">
            <v>0</v>
          </cell>
          <cell r="N1964" t="str">
            <v>Comber Noil</v>
          </cell>
        </row>
        <row r="1965">
          <cell r="H1965" t="str">
            <v>L</v>
          </cell>
          <cell r="L1965">
            <v>0</v>
          </cell>
          <cell r="N1965" t="str">
            <v>Comber Noil</v>
          </cell>
        </row>
        <row r="1966">
          <cell r="H1966" t="str">
            <v>L</v>
          </cell>
          <cell r="L1966">
            <v>0</v>
          </cell>
          <cell r="N1966" t="str">
            <v>Comber Noil</v>
          </cell>
        </row>
        <row r="1967">
          <cell r="H1967" t="str">
            <v>L</v>
          </cell>
          <cell r="L1967">
            <v>0</v>
          </cell>
          <cell r="N1967" t="str">
            <v>Comber Noil</v>
          </cell>
        </row>
        <row r="1968">
          <cell r="H1968" t="str">
            <v>L</v>
          </cell>
          <cell r="L1968">
            <v>0</v>
          </cell>
          <cell r="N1968" t="str">
            <v>Comber Noil</v>
          </cell>
        </row>
        <row r="1969">
          <cell r="H1969" t="str">
            <v>L</v>
          </cell>
          <cell r="L1969">
            <v>0</v>
          </cell>
          <cell r="N1969" t="str">
            <v>Comber Noil</v>
          </cell>
        </row>
        <row r="1970">
          <cell r="H1970" t="str">
            <v>L</v>
          </cell>
          <cell r="L1970">
            <v>0</v>
          </cell>
          <cell r="N1970" t="str">
            <v>Comber Noil</v>
          </cell>
        </row>
        <row r="1971">
          <cell r="H1971" t="str">
            <v>L</v>
          </cell>
          <cell r="L1971">
            <v>0</v>
          </cell>
          <cell r="N1971" t="str">
            <v>Comber Noil</v>
          </cell>
        </row>
        <row r="1972">
          <cell r="H1972" t="str">
            <v>L</v>
          </cell>
          <cell r="L1972">
            <v>0</v>
          </cell>
          <cell r="N1972" t="str">
            <v>Comber Noil</v>
          </cell>
        </row>
        <row r="1973">
          <cell r="H1973" t="str">
            <v>L</v>
          </cell>
          <cell r="L1973">
            <v>0</v>
          </cell>
          <cell r="N1973" t="str">
            <v>Comber Noil</v>
          </cell>
        </row>
        <row r="1974">
          <cell r="H1974" t="str">
            <v>L</v>
          </cell>
          <cell r="L1974">
            <v>0</v>
          </cell>
          <cell r="N1974" t="str">
            <v>Comber Noil</v>
          </cell>
        </row>
        <row r="1975">
          <cell r="H1975" t="str">
            <v>L</v>
          </cell>
          <cell r="L1975">
            <v>0</v>
          </cell>
          <cell r="N1975" t="str">
            <v>Comber Noil</v>
          </cell>
        </row>
        <row r="1976">
          <cell r="H1976" t="str">
            <v>L</v>
          </cell>
          <cell r="L1976">
            <v>0</v>
          </cell>
          <cell r="N1976" t="str">
            <v>Comber Noil</v>
          </cell>
        </row>
        <row r="1977">
          <cell r="H1977" t="str">
            <v>L</v>
          </cell>
          <cell r="L1977">
            <v>0</v>
          </cell>
          <cell r="N1977" t="str">
            <v>Comber Noil</v>
          </cell>
        </row>
        <row r="1978">
          <cell r="H1978" t="str">
            <v>L</v>
          </cell>
          <cell r="L1978">
            <v>0</v>
          </cell>
          <cell r="N1978" t="str">
            <v>Comber Noil</v>
          </cell>
        </row>
        <row r="1979">
          <cell r="H1979" t="str">
            <v>L</v>
          </cell>
          <cell r="L1979">
            <v>0</v>
          </cell>
          <cell r="N1979" t="str">
            <v>Comber Noil</v>
          </cell>
        </row>
        <row r="1980">
          <cell r="H1980" t="str">
            <v>L</v>
          </cell>
          <cell r="L1980">
            <v>0</v>
          </cell>
          <cell r="N1980" t="str">
            <v>Comber Noil</v>
          </cell>
        </row>
        <row r="1981">
          <cell r="H1981" t="str">
            <v>L</v>
          </cell>
          <cell r="L1981">
            <v>9650</v>
          </cell>
          <cell r="N1981" t="str">
            <v>Textile Chemical</v>
          </cell>
        </row>
        <row r="1982">
          <cell r="H1982" t="str">
            <v>L</v>
          </cell>
          <cell r="L1982">
            <v>29478</v>
          </cell>
          <cell r="N1982" t="str">
            <v>Textile Chemical</v>
          </cell>
        </row>
        <row r="1983">
          <cell r="H1983" t="str">
            <v>L</v>
          </cell>
          <cell r="L1983">
            <v>29448</v>
          </cell>
          <cell r="N1983" t="str">
            <v>Textile Chemical</v>
          </cell>
        </row>
        <row r="1984">
          <cell r="H1984" t="str">
            <v>L</v>
          </cell>
          <cell r="L1984">
            <v>29458</v>
          </cell>
          <cell r="N1984" t="str">
            <v>Textile Chemical</v>
          </cell>
        </row>
        <row r="1985">
          <cell r="H1985" t="str">
            <v>L</v>
          </cell>
          <cell r="L1985">
            <v>29270</v>
          </cell>
          <cell r="N1985" t="str">
            <v>Textile Chemical</v>
          </cell>
        </row>
        <row r="1986">
          <cell r="H1986" t="str">
            <v>L</v>
          </cell>
          <cell r="L1986">
            <v>29290</v>
          </cell>
          <cell r="N1986" t="str">
            <v>Textile Chemical</v>
          </cell>
        </row>
        <row r="1987">
          <cell r="H1987" t="str">
            <v>L</v>
          </cell>
          <cell r="L1987">
            <v>29310</v>
          </cell>
          <cell r="N1987" t="str">
            <v>Textile Chemical</v>
          </cell>
        </row>
        <row r="1988">
          <cell r="H1988" t="str">
            <v>L</v>
          </cell>
          <cell r="L1988">
            <v>29330</v>
          </cell>
          <cell r="N1988" t="str">
            <v>Textile Chemical</v>
          </cell>
        </row>
        <row r="1989">
          <cell r="H1989" t="str">
            <v>L</v>
          </cell>
          <cell r="L1989">
            <v>29330</v>
          </cell>
          <cell r="N1989" t="str">
            <v>Textile Chemical</v>
          </cell>
        </row>
        <row r="1990">
          <cell r="H1990" t="str">
            <v>L</v>
          </cell>
          <cell r="L1990">
            <v>29500</v>
          </cell>
          <cell r="N1990" t="str">
            <v>Textile Chemical</v>
          </cell>
        </row>
        <row r="1991">
          <cell r="H1991" t="str">
            <v>L</v>
          </cell>
          <cell r="L1991">
            <v>29930</v>
          </cell>
          <cell r="N1991" t="str">
            <v>Textile Chemical</v>
          </cell>
        </row>
        <row r="1992">
          <cell r="H1992" t="str">
            <v>L</v>
          </cell>
          <cell r="L1992">
            <v>19910</v>
          </cell>
          <cell r="N1992" t="str">
            <v>Textile Chemical</v>
          </cell>
        </row>
        <row r="1993">
          <cell r="H1993" t="str">
            <v>L</v>
          </cell>
          <cell r="L1993">
            <v>29740</v>
          </cell>
          <cell r="N1993" t="str">
            <v>Textile Chemical</v>
          </cell>
        </row>
        <row r="1994">
          <cell r="H1994" t="str">
            <v>L</v>
          </cell>
          <cell r="L1994">
            <v>29900</v>
          </cell>
          <cell r="N1994" t="str">
            <v>Textile Chemical</v>
          </cell>
        </row>
        <row r="1995">
          <cell r="H1995" t="str">
            <v>L</v>
          </cell>
          <cell r="L1995">
            <v>0</v>
          </cell>
          <cell r="N1995" t="str">
            <v>Textile Dyes</v>
          </cell>
        </row>
        <row r="1996">
          <cell r="H1996" t="str">
            <v>L</v>
          </cell>
          <cell r="L1996">
            <v>0</v>
          </cell>
          <cell r="N1996" t="str">
            <v>Textile Dyes</v>
          </cell>
        </row>
        <row r="1997">
          <cell r="H1997" t="str">
            <v>L</v>
          </cell>
          <cell r="L1997">
            <v>0</v>
          </cell>
          <cell r="N1997" t="str">
            <v>Textile Chemical</v>
          </cell>
        </row>
        <row r="1998">
          <cell r="H1998" t="str">
            <v>L</v>
          </cell>
          <cell r="L1998">
            <v>0</v>
          </cell>
          <cell r="N1998" t="str">
            <v>Textile Chemical</v>
          </cell>
        </row>
        <row r="1999">
          <cell r="H1999" t="str">
            <v>L</v>
          </cell>
          <cell r="L1999">
            <v>0</v>
          </cell>
          <cell r="N1999" t="str">
            <v>Textile Dyes</v>
          </cell>
        </row>
        <row r="2000">
          <cell r="H2000" t="str">
            <v>L</v>
          </cell>
          <cell r="L2000">
            <v>0</v>
          </cell>
          <cell r="N2000" t="str">
            <v>Textile Chemical</v>
          </cell>
        </row>
        <row r="2001">
          <cell r="H2001" t="str">
            <v>L</v>
          </cell>
          <cell r="L2001">
            <v>0</v>
          </cell>
          <cell r="N2001" t="str">
            <v>Textile Chemical</v>
          </cell>
        </row>
        <row r="2002">
          <cell r="H2002" t="str">
            <v>L</v>
          </cell>
          <cell r="L2002">
            <v>0</v>
          </cell>
          <cell r="N2002" t="str">
            <v>Textile Dyes</v>
          </cell>
        </row>
        <row r="2003">
          <cell r="H2003" t="str">
            <v>L</v>
          </cell>
          <cell r="L2003">
            <v>0</v>
          </cell>
          <cell r="N2003" t="str">
            <v>Textile Chemical</v>
          </cell>
        </row>
        <row r="2004">
          <cell r="H2004" t="str">
            <v>L</v>
          </cell>
          <cell r="L2004">
            <v>400</v>
          </cell>
          <cell r="N2004" t="str">
            <v>Textile Chemical</v>
          </cell>
        </row>
        <row r="2005">
          <cell r="H2005" t="str">
            <v>L</v>
          </cell>
          <cell r="L2005">
            <v>0</v>
          </cell>
          <cell r="N2005" t="str">
            <v>Textile Chemical</v>
          </cell>
        </row>
        <row r="2006">
          <cell r="H2006" t="str">
            <v>L</v>
          </cell>
          <cell r="L2006">
            <v>0</v>
          </cell>
          <cell r="N2006" t="str">
            <v>Textile Chemical</v>
          </cell>
        </row>
        <row r="2007">
          <cell r="H2007" t="str">
            <v>L</v>
          </cell>
          <cell r="L2007">
            <v>0</v>
          </cell>
          <cell r="N2007" t="str">
            <v>Textile Chemical</v>
          </cell>
        </row>
        <row r="2008">
          <cell r="H2008" t="str">
            <v>L</v>
          </cell>
          <cell r="L2008">
            <v>0</v>
          </cell>
          <cell r="N2008" t="str">
            <v>Textile Dyes</v>
          </cell>
        </row>
        <row r="2009">
          <cell r="H2009" t="str">
            <v>L</v>
          </cell>
          <cell r="L2009">
            <v>0</v>
          </cell>
          <cell r="N2009" t="str">
            <v>Textile Chemical</v>
          </cell>
        </row>
        <row r="2010">
          <cell r="H2010" t="str">
            <v>L</v>
          </cell>
          <cell r="L2010">
            <v>0</v>
          </cell>
          <cell r="N2010" t="str">
            <v>Textile Dyes</v>
          </cell>
        </row>
        <row r="2011">
          <cell r="H2011" t="str">
            <v>L</v>
          </cell>
          <cell r="L2011">
            <v>0</v>
          </cell>
          <cell r="N2011" t="str">
            <v>Textile Chemical</v>
          </cell>
        </row>
        <row r="2012">
          <cell r="H2012" t="str">
            <v>L</v>
          </cell>
          <cell r="L2012">
            <v>0</v>
          </cell>
          <cell r="N2012" t="str">
            <v>Textile Chemical</v>
          </cell>
        </row>
        <row r="2013">
          <cell r="H2013" t="str">
            <v>L</v>
          </cell>
          <cell r="L2013">
            <v>0</v>
          </cell>
          <cell r="N2013" t="str">
            <v>Textile Chemical</v>
          </cell>
        </row>
        <row r="2014">
          <cell r="H2014" t="str">
            <v>L</v>
          </cell>
          <cell r="L2014">
            <v>0</v>
          </cell>
          <cell r="N2014" t="str">
            <v>Textile Dyes</v>
          </cell>
        </row>
        <row r="2015">
          <cell r="H2015" t="str">
            <v>L</v>
          </cell>
          <cell r="L2015">
            <v>0</v>
          </cell>
          <cell r="N2015" t="str">
            <v>Textile Chemical</v>
          </cell>
        </row>
        <row r="2016">
          <cell r="H2016" t="str">
            <v>L</v>
          </cell>
          <cell r="L2016">
            <v>0</v>
          </cell>
          <cell r="N2016" t="str">
            <v>Textile Chemical</v>
          </cell>
        </row>
        <row r="2017">
          <cell r="H2017" t="str">
            <v>L</v>
          </cell>
          <cell r="L2017">
            <v>0</v>
          </cell>
          <cell r="N2017" t="str">
            <v>Textile Dyes</v>
          </cell>
        </row>
        <row r="2018">
          <cell r="H2018" t="str">
            <v>L</v>
          </cell>
          <cell r="L2018">
            <v>0</v>
          </cell>
          <cell r="N2018" t="str">
            <v>Textile Dyes</v>
          </cell>
        </row>
        <row r="2019">
          <cell r="H2019" t="str">
            <v>L</v>
          </cell>
          <cell r="L2019">
            <v>0</v>
          </cell>
          <cell r="N2019" t="str">
            <v>Textile Chemical</v>
          </cell>
        </row>
        <row r="2020">
          <cell r="H2020" t="str">
            <v>L</v>
          </cell>
          <cell r="L2020">
            <v>0</v>
          </cell>
          <cell r="N2020" t="str">
            <v>Textile Dyes</v>
          </cell>
        </row>
        <row r="2021">
          <cell r="H2021" t="str">
            <v>L</v>
          </cell>
          <cell r="L2021">
            <v>0</v>
          </cell>
          <cell r="N2021" t="str">
            <v>Textile Chemical</v>
          </cell>
        </row>
        <row r="2022">
          <cell r="H2022" t="str">
            <v>L</v>
          </cell>
          <cell r="L2022">
            <v>0</v>
          </cell>
          <cell r="N2022" t="str">
            <v>Textile Chemical</v>
          </cell>
        </row>
        <row r="2023">
          <cell r="H2023" t="str">
            <v>L</v>
          </cell>
          <cell r="L2023">
            <v>0</v>
          </cell>
          <cell r="N2023" t="str">
            <v>Textile Chemical</v>
          </cell>
        </row>
        <row r="2024">
          <cell r="H2024" t="str">
            <v>L</v>
          </cell>
          <cell r="L2024">
            <v>0</v>
          </cell>
          <cell r="N2024" t="str">
            <v>Textile Dyes</v>
          </cell>
        </row>
        <row r="2025">
          <cell r="H2025" t="str">
            <v>L</v>
          </cell>
          <cell r="L2025">
            <v>155</v>
          </cell>
          <cell r="N2025" t="str">
            <v>Textile Chemical</v>
          </cell>
        </row>
        <row r="2026">
          <cell r="H2026" t="str">
            <v>L</v>
          </cell>
          <cell r="L2026">
            <v>0</v>
          </cell>
          <cell r="N2026" t="str">
            <v>Textile Chemical</v>
          </cell>
        </row>
        <row r="2027">
          <cell r="H2027" t="str">
            <v>L</v>
          </cell>
          <cell r="L2027">
            <v>0</v>
          </cell>
          <cell r="N2027" t="str">
            <v>Textile Chemical</v>
          </cell>
        </row>
        <row r="2028">
          <cell r="H2028" t="str">
            <v>L</v>
          </cell>
          <cell r="L2028">
            <v>0</v>
          </cell>
          <cell r="N2028" t="str">
            <v>Textile Chemical</v>
          </cell>
        </row>
        <row r="2029">
          <cell r="H2029" t="str">
            <v>L</v>
          </cell>
          <cell r="L2029">
            <v>0</v>
          </cell>
          <cell r="N2029" t="str">
            <v>Textile Chemical</v>
          </cell>
        </row>
        <row r="2030">
          <cell r="H2030" t="str">
            <v>L</v>
          </cell>
          <cell r="L2030">
            <v>5000</v>
          </cell>
          <cell r="N2030" t="str">
            <v>Textile Chemical</v>
          </cell>
        </row>
        <row r="2031">
          <cell r="H2031" t="str">
            <v>L</v>
          </cell>
          <cell r="L2031">
            <v>5000</v>
          </cell>
          <cell r="N2031" t="str">
            <v>Textile Chemical</v>
          </cell>
        </row>
        <row r="2032">
          <cell r="H2032" t="str">
            <v>L</v>
          </cell>
          <cell r="L2032">
            <v>0</v>
          </cell>
          <cell r="N2032" t="str">
            <v>Textile Chemical</v>
          </cell>
        </row>
        <row r="2033">
          <cell r="H2033" t="str">
            <v>L</v>
          </cell>
          <cell r="L2033">
            <v>5000</v>
          </cell>
          <cell r="N2033" t="str">
            <v>Textile Chemical</v>
          </cell>
        </row>
        <row r="2034">
          <cell r="H2034" t="str">
            <v>L</v>
          </cell>
          <cell r="L2034">
            <v>0</v>
          </cell>
          <cell r="N2034" t="str">
            <v>Textile Chemical</v>
          </cell>
        </row>
        <row r="2035">
          <cell r="H2035" t="str">
            <v>L</v>
          </cell>
          <cell r="L2035">
            <v>0</v>
          </cell>
          <cell r="N2035" t="str">
            <v>Textile Chemical</v>
          </cell>
        </row>
        <row r="2036">
          <cell r="H2036" t="str">
            <v>L</v>
          </cell>
          <cell r="L2036">
            <v>0</v>
          </cell>
          <cell r="N2036" t="str">
            <v>Textile Chemical</v>
          </cell>
        </row>
        <row r="2037">
          <cell r="H2037" t="str">
            <v>L</v>
          </cell>
          <cell r="L2037">
            <v>0</v>
          </cell>
          <cell r="N2037" t="str">
            <v>Textile Chemical</v>
          </cell>
        </row>
        <row r="2038">
          <cell r="H2038" t="str">
            <v>L</v>
          </cell>
          <cell r="L2038">
            <v>0</v>
          </cell>
          <cell r="N2038" t="str">
            <v>Textile Chemical</v>
          </cell>
        </row>
        <row r="2039">
          <cell r="H2039" t="str">
            <v>L</v>
          </cell>
          <cell r="L2039">
            <v>0</v>
          </cell>
          <cell r="N2039" t="str">
            <v>Textile Chemical</v>
          </cell>
        </row>
        <row r="2040">
          <cell r="H2040" t="str">
            <v>L</v>
          </cell>
          <cell r="L2040">
            <v>0</v>
          </cell>
          <cell r="N2040" t="str">
            <v>Textile Chemical</v>
          </cell>
        </row>
        <row r="2041">
          <cell r="H2041" t="str">
            <v>L</v>
          </cell>
          <cell r="L2041">
            <v>0</v>
          </cell>
          <cell r="N2041" t="str">
            <v>Textile Chemical</v>
          </cell>
        </row>
        <row r="2042">
          <cell r="H2042" t="str">
            <v>L</v>
          </cell>
          <cell r="L2042">
            <v>0</v>
          </cell>
          <cell r="N2042" t="str">
            <v>Textile Chemical</v>
          </cell>
        </row>
        <row r="2043">
          <cell r="H2043" t="str">
            <v>L</v>
          </cell>
          <cell r="L2043">
            <v>0</v>
          </cell>
          <cell r="N2043" t="str">
            <v>Textile Chemical</v>
          </cell>
        </row>
        <row r="2044">
          <cell r="H2044" t="str">
            <v>L</v>
          </cell>
          <cell r="L2044">
            <v>0</v>
          </cell>
          <cell r="N2044" t="str">
            <v>Textile Dyes</v>
          </cell>
        </row>
        <row r="2045">
          <cell r="H2045" t="str">
            <v>L</v>
          </cell>
          <cell r="L2045">
            <v>26</v>
          </cell>
          <cell r="N2045" t="str">
            <v>Textile Chemical</v>
          </cell>
        </row>
        <row r="2046">
          <cell r="H2046" t="str">
            <v>L</v>
          </cell>
          <cell r="L2046">
            <v>0</v>
          </cell>
          <cell r="N2046" t="str">
            <v>Textile Chemical</v>
          </cell>
        </row>
        <row r="2047">
          <cell r="H2047" t="str">
            <v>L</v>
          </cell>
          <cell r="L2047">
            <v>0</v>
          </cell>
          <cell r="N2047" t="str">
            <v>Textile Chemical</v>
          </cell>
        </row>
        <row r="2048">
          <cell r="H2048" t="str">
            <v>L</v>
          </cell>
          <cell r="L2048">
            <v>0</v>
          </cell>
          <cell r="N2048" t="str">
            <v>Textile Dyes</v>
          </cell>
        </row>
        <row r="2049">
          <cell r="H2049" t="str">
            <v>L</v>
          </cell>
          <cell r="L2049">
            <v>0</v>
          </cell>
          <cell r="N2049" t="str">
            <v>Textile Dyes</v>
          </cell>
        </row>
        <row r="2050">
          <cell r="H2050" t="str">
            <v>L</v>
          </cell>
          <cell r="L2050">
            <v>0</v>
          </cell>
          <cell r="N2050" t="str">
            <v>Textile Chemical</v>
          </cell>
        </row>
        <row r="2051">
          <cell r="H2051" t="str">
            <v>L</v>
          </cell>
          <cell r="L2051">
            <v>0</v>
          </cell>
          <cell r="N2051" t="str">
            <v>Textile Chemical</v>
          </cell>
        </row>
        <row r="2052">
          <cell r="H2052" t="str">
            <v>L</v>
          </cell>
          <cell r="L2052">
            <v>0</v>
          </cell>
          <cell r="N2052" t="str">
            <v>Textile Chemical</v>
          </cell>
        </row>
        <row r="2053">
          <cell r="H2053" t="str">
            <v>L</v>
          </cell>
          <cell r="L2053">
            <v>570</v>
          </cell>
          <cell r="N2053" t="str">
            <v>Cotton Fabric</v>
          </cell>
        </row>
        <row r="2054">
          <cell r="H2054" t="str">
            <v>L</v>
          </cell>
          <cell r="L2054">
            <v>29250</v>
          </cell>
          <cell r="N2054" t="str">
            <v>Textile Chemical</v>
          </cell>
        </row>
        <row r="2055">
          <cell r="H2055" t="str">
            <v>L</v>
          </cell>
          <cell r="L2055">
            <v>29630</v>
          </cell>
          <cell r="N2055" t="str">
            <v>Textile Chemical</v>
          </cell>
        </row>
        <row r="2056">
          <cell r="H2056" t="str">
            <v>L</v>
          </cell>
          <cell r="L2056">
            <v>0</v>
          </cell>
          <cell r="N2056" t="str">
            <v>Textile Dyes</v>
          </cell>
        </row>
        <row r="2057">
          <cell r="H2057" t="str">
            <v>L</v>
          </cell>
          <cell r="L2057">
            <v>0</v>
          </cell>
          <cell r="N2057" t="str">
            <v>Textile Dyes</v>
          </cell>
        </row>
        <row r="2058">
          <cell r="H2058" t="str">
            <v>L</v>
          </cell>
          <cell r="L2058">
            <v>0</v>
          </cell>
          <cell r="N2058" t="str">
            <v>Textile Chemical</v>
          </cell>
        </row>
        <row r="2059">
          <cell r="H2059" t="str">
            <v>L</v>
          </cell>
          <cell r="L2059">
            <v>0</v>
          </cell>
          <cell r="N2059" t="str">
            <v>Textile Dyes</v>
          </cell>
        </row>
        <row r="2060">
          <cell r="H2060" t="str">
            <v>L</v>
          </cell>
          <cell r="L2060">
            <v>0</v>
          </cell>
          <cell r="N2060" t="str">
            <v>Textile Chemical</v>
          </cell>
        </row>
        <row r="2061">
          <cell r="H2061" t="str">
            <v>L</v>
          </cell>
          <cell r="L2061">
            <v>0</v>
          </cell>
          <cell r="N2061" t="str">
            <v>Textile Chemical</v>
          </cell>
        </row>
        <row r="2062">
          <cell r="H2062" t="str">
            <v>L</v>
          </cell>
          <cell r="L2062">
            <v>0</v>
          </cell>
          <cell r="N2062" t="str">
            <v>Textile Chemical</v>
          </cell>
        </row>
        <row r="2063">
          <cell r="H2063" t="str">
            <v>L</v>
          </cell>
          <cell r="L2063">
            <v>0</v>
          </cell>
          <cell r="N2063" t="str">
            <v>Comber Noil</v>
          </cell>
        </row>
        <row r="2064">
          <cell r="H2064" t="str">
            <v>L</v>
          </cell>
          <cell r="L2064">
            <v>0</v>
          </cell>
          <cell r="N2064" t="str">
            <v>Comber Noil</v>
          </cell>
        </row>
        <row r="2065">
          <cell r="H2065" t="str">
            <v>L</v>
          </cell>
          <cell r="L2065">
            <v>0</v>
          </cell>
          <cell r="N2065" t="str">
            <v>Comber Noil</v>
          </cell>
        </row>
        <row r="2066">
          <cell r="H2066" t="str">
            <v>L</v>
          </cell>
          <cell r="L2066">
            <v>0</v>
          </cell>
          <cell r="N2066" t="str">
            <v>Comber Noil</v>
          </cell>
        </row>
        <row r="2067">
          <cell r="H2067" t="str">
            <v>L</v>
          </cell>
          <cell r="L2067">
            <v>0</v>
          </cell>
          <cell r="N2067" t="str">
            <v>Comber Noil</v>
          </cell>
        </row>
        <row r="2068">
          <cell r="H2068" t="str">
            <v>L</v>
          </cell>
          <cell r="L2068">
            <v>0</v>
          </cell>
          <cell r="N2068" t="str">
            <v>Comber Noil</v>
          </cell>
        </row>
        <row r="2069">
          <cell r="H2069" t="str">
            <v>L</v>
          </cell>
          <cell r="L2069">
            <v>0</v>
          </cell>
          <cell r="N2069" t="str">
            <v>Comber Noil</v>
          </cell>
        </row>
        <row r="2070">
          <cell r="H2070" t="str">
            <v>L</v>
          </cell>
          <cell r="L2070">
            <v>9</v>
          </cell>
          <cell r="N2070" t="str">
            <v>Comber Noil</v>
          </cell>
        </row>
        <row r="2071">
          <cell r="H2071" t="str">
            <v>L</v>
          </cell>
          <cell r="L2071">
            <v>452</v>
          </cell>
          <cell r="N2071" t="str">
            <v>Comber Noil</v>
          </cell>
        </row>
        <row r="2072">
          <cell r="H2072" t="str">
            <v>L</v>
          </cell>
          <cell r="L2072">
            <v>0</v>
          </cell>
          <cell r="N2072" t="str">
            <v>Comber Noil</v>
          </cell>
        </row>
        <row r="2073">
          <cell r="H2073" t="str">
            <v>L</v>
          </cell>
          <cell r="L2073">
            <v>40</v>
          </cell>
          <cell r="N2073" t="str">
            <v>Comber Noil</v>
          </cell>
        </row>
        <row r="2074">
          <cell r="H2074" t="str">
            <v>L</v>
          </cell>
          <cell r="L2074">
            <v>2319</v>
          </cell>
          <cell r="N2074" t="str">
            <v>Comber Noil</v>
          </cell>
        </row>
        <row r="2075">
          <cell r="H2075" t="str">
            <v>L</v>
          </cell>
          <cell r="L2075">
            <v>12974</v>
          </cell>
          <cell r="N2075" t="str">
            <v>Comber Noil</v>
          </cell>
        </row>
        <row r="2076">
          <cell r="H2076" t="str">
            <v>L</v>
          </cell>
          <cell r="L2076">
            <v>12270</v>
          </cell>
          <cell r="N2076" t="str">
            <v>Comber Noil</v>
          </cell>
        </row>
        <row r="2077">
          <cell r="H2077" t="str">
            <v>L</v>
          </cell>
          <cell r="L2077">
            <v>12474</v>
          </cell>
          <cell r="N2077" t="str">
            <v>Comber Noil</v>
          </cell>
        </row>
        <row r="2078">
          <cell r="H2078" t="str">
            <v>L</v>
          </cell>
          <cell r="L2078">
            <v>12395</v>
          </cell>
          <cell r="N2078" t="str">
            <v>Comber Noil</v>
          </cell>
        </row>
        <row r="2079">
          <cell r="H2079" t="str">
            <v>L</v>
          </cell>
          <cell r="L2079">
            <v>12624</v>
          </cell>
          <cell r="N2079" t="str">
            <v>Comber Noil</v>
          </cell>
        </row>
        <row r="2080">
          <cell r="H2080" t="str">
            <v>L</v>
          </cell>
          <cell r="L2080">
            <v>12188</v>
          </cell>
          <cell r="N2080" t="str">
            <v>Comber Noil</v>
          </cell>
        </row>
        <row r="2081">
          <cell r="H2081" t="str">
            <v>L</v>
          </cell>
          <cell r="L2081">
            <v>12574</v>
          </cell>
          <cell r="N2081" t="str">
            <v>Comber Noil</v>
          </cell>
        </row>
        <row r="2082">
          <cell r="H2082" t="str">
            <v>L</v>
          </cell>
          <cell r="L2082">
            <v>12705</v>
          </cell>
          <cell r="N2082" t="str">
            <v>Comber Noil</v>
          </cell>
        </row>
        <row r="2083">
          <cell r="H2083" t="str">
            <v>L</v>
          </cell>
          <cell r="L2083">
            <v>939</v>
          </cell>
          <cell r="N2083" t="str">
            <v>Cotton Fabric</v>
          </cell>
        </row>
        <row r="2084">
          <cell r="H2084" t="str">
            <v>L</v>
          </cell>
          <cell r="L2084">
            <v>654</v>
          </cell>
          <cell r="N2084" t="str">
            <v>Cotton Fabric</v>
          </cell>
        </row>
        <row r="2085">
          <cell r="H2085" t="str">
            <v>L</v>
          </cell>
          <cell r="L2085">
            <v>612</v>
          </cell>
          <cell r="N2085" t="str">
            <v>Cotton Fabric</v>
          </cell>
        </row>
        <row r="2086">
          <cell r="H2086" t="str">
            <v>L</v>
          </cell>
          <cell r="L2086">
            <v>14630</v>
          </cell>
          <cell r="N2086" t="str">
            <v>Cotton Fabric</v>
          </cell>
        </row>
        <row r="2087">
          <cell r="H2087" t="str">
            <v>L</v>
          </cell>
          <cell r="L2087">
            <v>7136</v>
          </cell>
          <cell r="N2087" t="str">
            <v>Cotton Fabric</v>
          </cell>
        </row>
        <row r="2088">
          <cell r="H2088" t="str">
            <v>L</v>
          </cell>
          <cell r="L2088">
            <v>14271</v>
          </cell>
          <cell r="N2088" t="str">
            <v>Cotton Fabric</v>
          </cell>
        </row>
        <row r="2089">
          <cell r="H2089" t="str">
            <v>L</v>
          </cell>
          <cell r="L2089">
            <v>0</v>
          </cell>
          <cell r="N2089" t="str">
            <v>Cotton Fabric</v>
          </cell>
        </row>
        <row r="2090">
          <cell r="H2090" t="str">
            <v>L</v>
          </cell>
          <cell r="L2090">
            <v>3670</v>
          </cell>
          <cell r="N2090" t="str">
            <v>Cotton Fabric</v>
          </cell>
        </row>
        <row r="2091">
          <cell r="H2091" t="str">
            <v>L</v>
          </cell>
          <cell r="L2091">
            <v>0</v>
          </cell>
          <cell r="N2091" t="str">
            <v>Cotton Fabric</v>
          </cell>
        </row>
        <row r="2092">
          <cell r="H2092" t="str">
            <v>L</v>
          </cell>
          <cell r="L2092">
            <v>0</v>
          </cell>
          <cell r="N2092" t="str">
            <v>Textile Chemical</v>
          </cell>
        </row>
        <row r="2093">
          <cell r="H2093" t="str">
            <v>L</v>
          </cell>
          <cell r="L2093">
            <v>0</v>
          </cell>
          <cell r="N2093" t="str">
            <v>Textile Chemical</v>
          </cell>
        </row>
        <row r="2094">
          <cell r="H2094" t="str">
            <v>L</v>
          </cell>
          <cell r="L2094">
            <v>0</v>
          </cell>
          <cell r="N2094" t="str">
            <v>Textile Chemical</v>
          </cell>
        </row>
        <row r="2095">
          <cell r="H2095" t="str">
            <v>L</v>
          </cell>
          <cell r="L2095">
            <v>0</v>
          </cell>
          <cell r="N2095" t="str">
            <v>Textile Chemical</v>
          </cell>
        </row>
        <row r="2096">
          <cell r="H2096" t="str">
            <v>L</v>
          </cell>
          <cell r="L2096">
            <v>0</v>
          </cell>
          <cell r="N2096" t="str">
            <v>Textile Chemical</v>
          </cell>
        </row>
        <row r="2097">
          <cell r="H2097" t="str">
            <v>L</v>
          </cell>
          <cell r="L2097">
            <v>0</v>
          </cell>
          <cell r="N2097" t="str">
            <v>Textile Chemical</v>
          </cell>
        </row>
        <row r="2098">
          <cell r="H2098" t="str">
            <v>L</v>
          </cell>
          <cell r="L2098">
            <v>0</v>
          </cell>
          <cell r="N2098" t="str">
            <v>Textile Chemical</v>
          </cell>
        </row>
        <row r="2099">
          <cell r="H2099" t="str">
            <v>L</v>
          </cell>
          <cell r="L2099">
            <v>0</v>
          </cell>
          <cell r="N2099" t="str">
            <v>Textile Dyes</v>
          </cell>
        </row>
        <row r="2100">
          <cell r="H2100" t="str">
            <v>L</v>
          </cell>
          <cell r="L2100">
            <v>0</v>
          </cell>
          <cell r="N2100" t="str">
            <v>Textile Chemical</v>
          </cell>
        </row>
        <row r="2101">
          <cell r="H2101" t="str">
            <v>L</v>
          </cell>
          <cell r="L2101">
            <v>0</v>
          </cell>
          <cell r="N2101" t="str">
            <v>Textile Dyes</v>
          </cell>
        </row>
        <row r="2102">
          <cell r="H2102" t="str">
            <v>L</v>
          </cell>
          <cell r="L2102">
            <v>0</v>
          </cell>
          <cell r="N2102" t="str">
            <v>Textile Chemical</v>
          </cell>
        </row>
        <row r="2103">
          <cell r="H2103" t="str">
            <v>L</v>
          </cell>
          <cell r="L2103">
            <v>0</v>
          </cell>
          <cell r="N2103" t="str">
            <v>Textile Chemical</v>
          </cell>
        </row>
        <row r="2104">
          <cell r="H2104" t="str">
            <v>L</v>
          </cell>
          <cell r="L2104">
            <v>200</v>
          </cell>
          <cell r="N2104" t="str">
            <v>Textile Chemical</v>
          </cell>
        </row>
        <row r="2105">
          <cell r="H2105" t="str">
            <v>L</v>
          </cell>
          <cell r="L2105">
            <v>0</v>
          </cell>
          <cell r="N2105" t="str">
            <v>Textile Dyes</v>
          </cell>
        </row>
        <row r="2106">
          <cell r="H2106" t="str">
            <v>L</v>
          </cell>
          <cell r="L2106">
            <v>0</v>
          </cell>
          <cell r="N2106" t="str">
            <v>Textile Chemical</v>
          </cell>
        </row>
        <row r="2107">
          <cell r="H2107" t="str">
            <v>L</v>
          </cell>
          <cell r="L2107">
            <v>0</v>
          </cell>
          <cell r="N2107" t="str">
            <v>Textile Dyes</v>
          </cell>
        </row>
        <row r="2108">
          <cell r="H2108" t="str">
            <v>L</v>
          </cell>
          <cell r="L2108">
            <v>0</v>
          </cell>
          <cell r="N2108" t="str">
            <v>Textile Chemical</v>
          </cell>
        </row>
        <row r="2109">
          <cell r="H2109" t="str">
            <v>L</v>
          </cell>
          <cell r="L2109">
            <v>0</v>
          </cell>
          <cell r="N2109" t="str">
            <v>Textile Dyes</v>
          </cell>
        </row>
        <row r="2110">
          <cell r="H2110" t="str">
            <v>L</v>
          </cell>
          <cell r="L2110">
            <v>0</v>
          </cell>
          <cell r="N2110" t="str">
            <v>Textile Dyes</v>
          </cell>
        </row>
        <row r="2111">
          <cell r="H2111" t="str">
            <v>L</v>
          </cell>
          <cell r="L2111">
            <v>0</v>
          </cell>
          <cell r="N2111" t="str">
            <v>Textile Chemical</v>
          </cell>
        </row>
        <row r="2112">
          <cell r="H2112" t="str">
            <v>L</v>
          </cell>
          <cell r="L2112">
            <v>0</v>
          </cell>
          <cell r="N2112" t="str">
            <v>Textile Dyes</v>
          </cell>
        </row>
        <row r="2113">
          <cell r="H2113" t="str">
            <v>L</v>
          </cell>
          <cell r="L2113">
            <v>0</v>
          </cell>
          <cell r="N2113" t="str">
            <v>Textile Chemical</v>
          </cell>
        </row>
        <row r="2114">
          <cell r="H2114" t="str">
            <v>L</v>
          </cell>
          <cell r="L2114">
            <v>0</v>
          </cell>
          <cell r="N2114" t="str">
            <v>Textile Dyes</v>
          </cell>
        </row>
        <row r="2115">
          <cell r="H2115" t="str">
            <v>L</v>
          </cell>
          <cell r="L2115">
            <v>0</v>
          </cell>
          <cell r="N2115" t="str">
            <v>Textile Dyes</v>
          </cell>
        </row>
        <row r="2116">
          <cell r="H2116" t="str">
            <v>L</v>
          </cell>
          <cell r="L2116">
            <v>0</v>
          </cell>
          <cell r="N2116" t="str">
            <v>Textile Chemical</v>
          </cell>
        </row>
        <row r="2117">
          <cell r="H2117" t="str">
            <v>L</v>
          </cell>
          <cell r="L2117">
            <v>0</v>
          </cell>
          <cell r="N2117" t="str">
            <v>Textile Chemical</v>
          </cell>
        </row>
        <row r="2118">
          <cell r="H2118" t="str">
            <v>L</v>
          </cell>
          <cell r="L2118">
            <v>175</v>
          </cell>
          <cell r="N2118" t="str">
            <v>Textile Chemical</v>
          </cell>
        </row>
        <row r="2119">
          <cell r="H2119" t="str">
            <v>L</v>
          </cell>
          <cell r="L2119">
            <v>225</v>
          </cell>
          <cell r="N2119" t="str">
            <v>Textile Chemical</v>
          </cell>
        </row>
        <row r="2120">
          <cell r="H2120" t="str">
            <v>L</v>
          </cell>
          <cell r="L2120">
            <v>0</v>
          </cell>
          <cell r="N2120" t="str">
            <v>Textile Chemical</v>
          </cell>
        </row>
        <row r="2121">
          <cell r="H2121" t="str">
            <v>L</v>
          </cell>
          <cell r="L2121">
            <v>0</v>
          </cell>
          <cell r="N2121" t="str">
            <v>Textile Chemical</v>
          </cell>
        </row>
        <row r="2122">
          <cell r="H2122" t="str">
            <v>L</v>
          </cell>
          <cell r="L2122">
            <v>0</v>
          </cell>
          <cell r="N2122" t="str">
            <v>Textile Chemical</v>
          </cell>
        </row>
        <row r="2123">
          <cell r="H2123" t="str">
            <v>L</v>
          </cell>
          <cell r="L2123">
            <v>0</v>
          </cell>
          <cell r="N2123" t="str">
            <v>Textile Chemical</v>
          </cell>
        </row>
        <row r="2124">
          <cell r="H2124" t="str">
            <v>L</v>
          </cell>
          <cell r="L2124">
            <v>29520</v>
          </cell>
          <cell r="N2124" t="str">
            <v>Textile Chemical</v>
          </cell>
        </row>
        <row r="2125">
          <cell r="H2125" t="str">
            <v>L</v>
          </cell>
          <cell r="L2125">
            <v>29420</v>
          </cell>
          <cell r="N2125" t="str">
            <v>Textile Chemical</v>
          </cell>
        </row>
        <row r="2126">
          <cell r="H2126" t="str">
            <v>L</v>
          </cell>
          <cell r="L2126">
            <v>29620</v>
          </cell>
          <cell r="N2126" t="str">
            <v>Textile Chemical</v>
          </cell>
        </row>
        <row r="2127">
          <cell r="H2127" t="str">
            <v>L</v>
          </cell>
          <cell r="L2127">
            <v>13074</v>
          </cell>
          <cell r="N2127" t="str">
            <v>Comber Noil</v>
          </cell>
        </row>
        <row r="2128">
          <cell r="H2128" t="str">
            <v>L</v>
          </cell>
          <cell r="L2128">
            <v>12654</v>
          </cell>
          <cell r="N2128" t="str">
            <v>Comber Noil</v>
          </cell>
        </row>
        <row r="2129">
          <cell r="H2129" t="str">
            <v>L</v>
          </cell>
          <cell r="L2129">
            <v>12128</v>
          </cell>
          <cell r="N2129" t="str">
            <v>Comber Noil</v>
          </cell>
        </row>
        <row r="2130">
          <cell r="H2130" t="str">
            <v>L</v>
          </cell>
          <cell r="L2130">
            <v>12070</v>
          </cell>
          <cell r="N2130" t="str">
            <v>Comber Noil</v>
          </cell>
        </row>
        <row r="2131">
          <cell r="H2131" t="str">
            <v>L</v>
          </cell>
          <cell r="L2131">
            <v>12814</v>
          </cell>
          <cell r="N2131" t="str">
            <v>Comber Noil</v>
          </cell>
        </row>
        <row r="2132">
          <cell r="H2132" t="str">
            <v>L</v>
          </cell>
          <cell r="L2132">
            <v>12447</v>
          </cell>
          <cell r="N2132" t="str">
            <v>Comber Noil</v>
          </cell>
        </row>
        <row r="2133">
          <cell r="H2133" t="str">
            <v>L</v>
          </cell>
          <cell r="L2133">
            <v>12108</v>
          </cell>
          <cell r="N2133" t="str">
            <v>Comber Noil</v>
          </cell>
        </row>
        <row r="2134">
          <cell r="H2134" t="str">
            <v>L</v>
          </cell>
          <cell r="L2134">
            <v>0</v>
          </cell>
          <cell r="N2134" t="str">
            <v>Blended Yarn</v>
          </cell>
        </row>
        <row r="2135">
          <cell r="H2135" t="str">
            <v>L</v>
          </cell>
          <cell r="L2135">
            <v>4354</v>
          </cell>
          <cell r="N2135" t="str">
            <v>Blended Yarn</v>
          </cell>
        </row>
        <row r="2136">
          <cell r="H2136" t="str">
            <v>L</v>
          </cell>
          <cell r="L2136">
            <v>66</v>
          </cell>
          <cell r="N2136" t="str">
            <v>Blended Yarn</v>
          </cell>
        </row>
        <row r="2137">
          <cell r="H2137" t="str">
            <v>L</v>
          </cell>
          <cell r="L2137">
            <v>0</v>
          </cell>
          <cell r="N2137" t="str">
            <v>Blended Yarn</v>
          </cell>
        </row>
        <row r="2138">
          <cell r="H2138" t="str">
            <v>L</v>
          </cell>
          <cell r="L2138">
            <v>4536</v>
          </cell>
          <cell r="N2138" t="str">
            <v>Blended Yarn</v>
          </cell>
        </row>
        <row r="2139">
          <cell r="H2139" t="str">
            <v>L</v>
          </cell>
          <cell r="L2139">
            <v>0</v>
          </cell>
          <cell r="N2139" t="str">
            <v>Blended Yarn</v>
          </cell>
        </row>
        <row r="2140">
          <cell r="H2140" t="str">
            <v>L</v>
          </cell>
          <cell r="L2140">
            <v>0</v>
          </cell>
          <cell r="N2140" t="str">
            <v>Blended Yarn</v>
          </cell>
        </row>
        <row r="2141">
          <cell r="H2141" t="str">
            <v>L</v>
          </cell>
          <cell r="L2141">
            <v>4536</v>
          </cell>
          <cell r="N2141" t="str">
            <v>Blended Yarn</v>
          </cell>
        </row>
        <row r="2142">
          <cell r="H2142" t="str">
            <v>L</v>
          </cell>
          <cell r="L2142">
            <v>0</v>
          </cell>
          <cell r="N2142" t="str">
            <v>Cotton Yarn</v>
          </cell>
        </row>
        <row r="2143">
          <cell r="H2143" t="str">
            <v>L</v>
          </cell>
          <cell r="L2143">
            <v>0</v>
          </cell>
          <cell r="N2143" t="str">
            <v>Cotton Yarn</v>
          </cell>
        </row>
        <row r="2144">
          <cell r="H2144" t="str">
            <v>L</v>
          </cell>
          <cell r="L2144">
            <v>0</v>
          </cell>
          <cell r="N2144" t="str">
            <v>Cotton Yarn</v>
          </cell>
        </row>
        <row r="2145">
          <cell r="H2145" t="str">
            <v>L</v>
          </cell>
          <cell r="L2145">
            <v>0</v>
          </cell>
          <cell r="N2145" t="str">
            <v>Cotton Yarn</v>
          </cell>
        </row>
        <row r="2146">
          <cell r="H2146" t="str">
            <v>L</v>
          </cell>
          <cell r="L2146">
            <v>0</v>
          </cell>
          <cell r="N2146" t="str">
            <v>Cotton Yarn</v>
          </cell>
        </row>
        <row r="2147">
          <cell r="H2147" t="str">
            <v>L</v>
          </cell>
          <cell r="L2147">
            <v>0</v>
          </cell>
          <cell r="N2147" t="str">
            <v>Textile Dyes</v>
          </cell>
        </row>
        <row r="2148">
          <cell r="H2148" t="str">
            <v>L</v>
          </cell>
          <cell r="L2148">
            <v>0</v>
          </cell>
          <cell r="N2148" t="str">
            <v>Textile Dyes</v>
          </cell>
        </row>
        <row r="2149">
          <cell r="H2149" t="str">
            <v>L</v>
          </cell>
          <cell r="L2149">
            <v>0</v>
          </cell>
          <cell r="N2149" t="str">
            <v>Textile Chemical</v>
          </cell>
        </row>
        <row r="2150">
          <cell r="H2150" t="str">
            <v>L</v>
          </cell>
          <cell r="L2150">
            <v>29302</v>
          </cell>
          <cell r="N2150" t="str">
            <v>Textile Chemical</v>
          </cell>
        </row>
        <row r="2151">
          <cell r="H2151" t="str">
            <v>L</v>
          </cell>
          <cell r="L2151">
            <v>29460</v>
          </cell>
          <cell r="N2151" t="str">
            <v>Textile Chemical</v>
          </cell>
        </row>
        <row r="2152">
          <cell r="H2152" t="str">
            <v>L</v>
          </cell>
          <cell r="L2152">
            <v>29080</v>
          </cell>
          <cell r="N2152" t="str">
            <v>Textile Chemical</v>
          </cell>
        </row>
        <row r="2153">
          <cell r="H2153" t="str">
            <v>L</v>
          </cell>
          <cell r="L2153">
            <v>29250</v>
          </cell>
          <cell r="N2153" t="str">
            <v>Textile Chemical</v>
          </cell>
        </row>
        <row r="2154">
          <cell r="H2154" t="str">
            <v>L</v>
          </cell>
          <cell r="L2154">
            <v>29330</v>
          </cell>
          <cell r="N2154" t="str">
            <v>Textile Chemical</v>
          </cell>
        </row>
        <row r="2155">
          <cell r="H2155" t="str">
            <v>L</v>
          </cell>
          <cell r="L2155">
            <v>29302</v>
          </cell>
          <cell r="N2155" t="str">
            <v>Textile Chemical</v>
          </cell>
        </row>
        <row r="2156">
          <cell r="H2156" t="str">
            <v>L</v>
          </cell>
          <cell r="L2156">
            <v>0</v>
          </cell>
          <cell r="N2156" t="str">
            <v>Textile Dyes</v>
          </cell>
        </row>
        <row r="2157">
          <cell r="H2157" t="str">
            <v>L</v>
          </cell>
          <cell r="L2157">
            <v>0</v>
          </cell>
          <cell r="N2157" t="str">
            <v>Textile Dyes</v>
          </cell>
        </row>
        <row r="2158">
          <cell r="H2158" t="str">
            <v>L</v>
          </cell>
          <cell r="L2158">
            <v>0</v>
          </cell>
          <cell r="N2158" t="str">
            <v>Textile Chemical</v>
          </cell>
        </row>
        <row r="2159">
          <cell r="H2159" t="str">
            <v>L</v>
          </cell>
          <cell r="L2159">
            <v>0</v>
          </cell>
          <cell r="N2159" t="str">
            <v>Textile Chemical</v>
          </cell>
        </row>
        <row r="2160">
          <cell r="H2160" t="str">
            <v>L</v>
          </cell>
          <cell r="L2160">
            <v>0</v>
          </cell>
          <cell r="N2160" t="str">
            <v>Textile Chemical</v>
          </cell>
        </row>
        <row r="2161">
          <cell r="H2161" t="str">
            <v>L</v>
          </cell>
          <cell r="L2161">
            <v>0</v>
          </cell>
          <cell r="N2161" t="str">
            <v>Textile Chemical</v>
          </cell>
        </row>
        <row r="2162">
          <cell r="H2162" t="str">
            <v>L</v>
          </cell>
          <cell r="L2162">
            <v>0</v>
          </cell>
          <cell r="N2162" t="str">
            <v>Textile Chemical</v>
          </cell>
        </row>
        <row r="2163">
          <cell r="H2163" t="str">
            <v>L</v>
          </cell>
          <cell r="L2163">
            <v>0</v>
          </cell>
          <cell r="N2163" t="str">
            <v>Textile Chemical</v>
          </cell>
        </row>
        <row r="2164">
          <cell r="H2164" t="str">
            <v>L</v>
          </cell>
          <cell r="L2164">
            <v>0</v>
          </cell>
          <cell r="N2164" t="str">
            <v>Textile Chemical</v>
          </cell>
        </row>
        <row r="2165">
          <cell r="H2165" t="str">
            <v>L</v>
          </cell>
          <cell r="L2165">
            <v>0</v>
          </cell>
          <cell r="N2165" t="str">
            <v>Textile Chemical</v>
          </cell>
        </row>
        <row r="2166">
          <cell r="H2166" t="str">
            <v>L</v>
          </cell>
          <cell r="L2166">
            <v>400</v>
          </cell>
          <cell r="N2166" t="str">
            <v>Textile Chemical</v>
          </cell>
        </row>
        <row r="2167">
          <cell r="H2167" t="str">
            <v>L</v>
          </cell>
          <cell r="L2167">
            <v>0</v>
          </cell>
          <cell r="N2167" t="str">
            <v>Textile Dyes</v>
          </cell>
        </row>
        <row r="2168">
          <cell r="H2168" t="str">
            <v>L</v>
          </cell>
          <cell r="L2168">
            <v>0</v>
          </cell>
          <cell r="N2168" t="str">
            <v>Textile Dyes</v>
          </cell>
        </row>
        <row r="2169">
          <cell r="H2169" t="str">
            <v>L</v>
          </cell>
          <cell r="L2169">
            <v>0</v>
          </cell>
          <cell r="N2169" t="str">
            <v>Textile Chemical</v>
          </cell>
        </row>
        <row r="2170">
          <cell r="H2170" t="str">
            <v>L</v>
          </cell>
          <cell r="L2170">
            <v>0</v>
          </cell>
          <cell r="N2170" t="str">
            <v>Textile Chemical</v>
          </cell>
        </row>
        <row r="2171">
          <cell r="H2171" t="str">
            <v>L</v>
          </cell>
          <cell r="L2171">
            <v>0</v>
          </cell>
          <cell r="N2171" t="str">
            <v>Textile Chemical</v>
          </cell>
        </row>
        <row r="2172">
          <cell r="H2172" t="str">
            <v>L</v>
          </cell>
          <cell r="L2172">
            <v>0</v>
          </cell>
          <cell r="N2172" t="str">
            <v>Textile Chemical</v>
          </cell>
        </row>
        <row r="2173">
          <cell r="H2173" t="str">
            <v>L</v>
          </cell>
          <cell r="L2173">
            <v>0</v>
          </cell>
          <cell r="N2173" t="str">
            <v>Textile Dyes</v>
          </cell>
        </row>
        <row r="2174">
          <cell r="H2174" t="str">
            <v>L</v>
          </cell>
          <cell r="L2174">
            <v>0</v>
          </cell>
          <cell r="N2174" t="str">
            <v>Textile Dyes</v>
          </cell>
        </row>
        <row r="2175">
          <cell r="H2175" t="str">
            <v>L</v>
          </cell>
          <cell r="L2175">
            <v>19925</v>
          </cell>
          <cell r="N2175" t="str">
            <v>Textile Chemical</v>
          </cell>
        </row>
        <row r="2176">
          <cell r="H2176" t="str">
            <v>L</v>
          </cell>
          <cell r="L2176">
            <v>0</v>
          </cell>
          <cell r="N2176" t="str">
            <v>Textile Chemical</v>
          </cell>
        </row>
        <row r="2177">
          <cell r="H2177" t="str">
            <v>L</v>
          </cell>
          <cell r="L2177">
            <v>0</v>
          </cell>
          <cell r="N2177" t="str">
            <v>Textile Chemical</v>
          </cell>
        </row>
        <row r="2178">
          <cell r="H2178" t="str">
            <v>L</v>
          </cell>
          <cell r="L2178">
            <v>0</v>
          </cell>
          <cell r="N2178" t="str">
            <v>Textile Chemical</v>
          </cell>
        </row>
        <row r="2179">
          <cell r="H2179" t="str">
            <v>L</v>
          </cell>
          <cell r="L2179">
            <v>8126</v>
          </cell>
          <cell r="N2179" t="str">
            <v>Cotton Fabric</v>
          </cell>
        </row>
        <row r="2180">
          <cell r="H2180" t="str">
            <v>L</v>
          </cell>
          <cell r="L2180">
            <v>3485</v>
          </cell>
          <cell r="N2180" t="str">
            <v>Cotton Fabric</v>
          </cell>
        </row>
        <row r="2181">
          <cell r="H2181" t="str">
            <v>L</v>
          </cell>
          <cell r="L2181">
            <v>3857</v>
          </cell>
          <cell r="N2181" t="str">
            <v>Cotton Fabric</v>
          </cell>
        </row>
        <row r="2182">
          <cell r="H2182" t="str">
            <v>L</v>
          </cell>
          <cell r="L2182">
            <v>0</v>
          </cell>
          <cell r="N2182" t="str">
            <v>Blended Fabric</v>
          </cell>
        </row>
        <row r="2183">
          <cell r="H2183" t="str">
            <v>L</v>
          </cell>
          <cell r="L2183">
            <v>2490</v>
          </cell>
          <cell r="N2183" t="str">
            <v>Cotton Fabric</v>
          </cell>
        </row>
        <row r="2184">
          <cell r="H2184" t="str">
            <v>L</v>
          </cell>
          <cell r="L2184">
            <v>17700</v>
          </cell>
          <cell r="N2184" t="str">
            <v>Cotton Fabric</v>
          </cell>
        </row>
        <row r="2185">
          <cell r="H2185" t="str">
            <v>L</v>
          </cell>
          <cell r="L2185">
            <v>0</v>
          </cell>
          <cell r="N2185" t="str">
            <v>Blended Fabric</v>
          </cell>
        </row>
        <row r="2186">
          <cell r="H2186" t="str">
            <v>L</v>
          </cell>
          <cell r="L2186">
            <v>0</v>
          </cell>
          <cell r="N2186" t="str">
            <v>Blended Fabric</v>
          </cell>
        </row>
        <row r="2187">
          <cell r="H2187" t="str">
            <v>L</v>
          </cell>
          <cell r="L2187">
            <v>0</v>
          </cell>
          <cell r="N2187" t="str">
            <v>Cotton Yarn</v>
          </cell>
        </row>
        <row r="2188">
          <cell r="H2188" t="str">
            <v>L</v>
          </cell>
          <cell r="L2188">
            <v>0</v>
          </cell>
          <cell r="N2188" t="str">
            <v>Cotton Yarn</v>
          </cell>
        </row>
        <row r="2189">
          <cell r="H2189" t="str">
            <v>L</v>
          </cell>
          <cell r="L2189">
            <v>210</v>
          </cell>
          <cell r="N2189" t="str">
            <v>Cotton Yarn</v>
          </cell>
        </row>
        <row r="2190">
          <cell r="H2190" t="str">
            <v>L</v>
          </cell>
          <cell r="L2190">
            <v>0</v>
          </cell>
          <cell r="N2190" t="str">
            <v>Polyester Staple Fiber</v>
          </cell>
        </row>
        <row r="2191">
          <cell r="H2191" t="str">
            <v>L</v>
          </cell>
          <cell r="L2191">
            <v>0</v>
          </cell>
          <cell r="N2191" t="str">
            <v>Polyester Staple Fiber</v>
          </cell>
        </row>
        <row r="2192">
          <cell r="H2192" t="str">
            <v>L</v>
          </cell>
          <cell r="L2192">
            <v>0</v>
          </cell>
          <cell r="N2192" t="str">
            <v>Polyester Staple Fiber</v>
          </cell>
        </row>
        <row r="2193">
          <cell r="H2193" t="str">
            <v>L</v>
          </cell>
          <cell r="L2193">
            <v>0</v>
          </cell>
          <cell r="N2193" t="str">
            <v>Polyester Staple Fiber</v>
          </cell>
        </row>
        <row r="2194">
          <cell r="H2194" t="str">
            <v>L</v>
          </cell>
          <cell r="L2194">
            <v>0</v>
          </cell>
          <cell r="N2194" t="str">
            <v>Polyester Staple Fiber</v>
          </cell>
        </row>
        <row r="2195">
          <cell r="H2195" t="str">
            <v>L</v>
          </cell>
          <cell r="L2195">
            <v>0</v>
          </cell>
          <cell r="N2195" t="str">
            <v>Polyester Staple Fiber</v>
          </cell>
        </row>
        <row r="2196">
          <cell r="H2196" t="str">
            <v>L</v>
          </cell>
          <cell r="L2196">
            <v>12437</v>
          </cell>
          <cell r="N2196" t="str">
            <v>Comber Noil</v>
          </cell>
        </row>
        <row r="2197">
          <cell r="H2197" t="str">
            <v>L</v>
          </cell>
          <cell r="L2197">
            <v>12884</v>
          </cell>
          <cell r="N2197" t="str">
            <v>Comber Noil</v>
          </cell>
        </row>
        <row r="2198">
          <cell r="H2198" t="str">
            <v>L</v>
          </cell>
          <cell r="L2198">
            <v>11920</v>
          </cell>
          <cell r="N2198" t="str">
            <v>Comber Noil</v>
          </cell>
        </row>
        <row r="2199">
          <cell r="H2199" t="str">
            <v>L</v>
          </cell>
          <cell r="L2199">
            <v>12397</v>
          </cell>
          <cell r="N2199" t="str">
            <v>Comber Noil</v>
          </cell>
        </row>
        <row r="2200">
          <cell r="H2200" t="str">
            <v>L</v>
          </cell>
          <cell r="L2200">
            <v>12147</v>
          </cell>
          <cell r="N2200" t="str">
            <v>Comber Noil</v>
          </cell>
        </row>
        <row r="2201">
          <cell r="H2201" t="str">
            <v>L</v>
          </cell>
          <cell r="L2201">
            <v>12244</v>
          </cell>
          <cell r="N2201" t="str">
            <v>Comber Noil</v>
          </cell>
        </row>
        <row r="2202">
          <cell r="H2202" t="str">
            <v>L</v>
          </cell>
          <cell r="L2202">
            <v>12442</v>
          </cell>
          <cell r="N2202" t="str">
            <v>Comber Noil</v>
          </cell>
        </row>
        <row r="2203">
          <cell r="H2203" t="str">
            <v>L</v>
          </cell>
          <cell r="L2203">
            <v>12584</v>
          </cell>
          <cell r="N2203" t="str">
            <v>Comber Noil</v>
          </cell>
        </row>
        <row r="2204">
          <cell r="H2204" t="str">
            <v>L</v>
          </cell>
          <cell r="L2204">
            <v>12851</v>
          </cell>
          <cell r="N2204" t="str">
            <v>Comber Noil</v>
          </cell>
        </row>
        <row r="2205">
          <cell r="H2205" t="str">
            <v>L</v>
          </cell>
          <cell r="L2205">
            <v>13122</v>
          </cell>
          <cell r="N2205" t="str">
            <v>Comber Noil</v>
          </cell>
        </row>
        <row r="2206">
          <cell r="H2206" t="str">
            <v>L</v>
          </cell>
          <cell r="L2206">
            <v>12028</v>
          </cell>
          <cell r="N2206" t="str">
            <v>Comber Noil</v>
          </cell>
        </row>
        <row r="2207">
          <cell r="H2207" t="str">
            <v>L</v>
          </cell>
          <cell r="L2207">
            <v>12582</v>
          </cell>
          <cell r="N2207" t="str">
            <v>Comber Noil</v>
          </cell>
        </row>
        <row r="2208">
          <cell r="H2208" t="str">
            <v>L</v>
          </cell>
          <cell r="L2208">
            <v>12805</v>
          </cell>
          <cell r="N2208" t="str">
            <v>Comber Noil</v>
          </cell>
        </row>
        <row r="2209">
          <cell r="H2209" t="str">
            <v>L</v>
          </cell>
          <cell r="L2209">
            <v>12077</v>
          </cell>
          <cell r="N2209" t="str">
            <v>Comber Noil</v>
          </cell>
        </row>
        <row r="2210">
          <cell r="H2210" t="str">
            <v>L</v>
          </cell>
          <cell r="L2210">
            <v>12664</v>
          </cell>
          <cell r="N2210" t="str">
            <v>Comber Noil</v>
          </cell>
        </row>
        <row r="2211">
          <cell r="H2211" t="str">
            <v>L</v>
          </cell>
          <cell r="L2211">
            <v>12335</v>
          </cell>
          <cell r="N2211" t="str">
            <v>Comber Noil</v>
          </cell>
        </row>
        <row r="2212">
          <cell r="H2212" t="str">
            <v>L</v>
          </cell>
          <cell r="L2212">
            <v>12224</v>
          </cell>
          <cell r="N2212" t="str">
            <v>Comber Noil</v>
          </cell>
        </row>
        <row r="2213">
          <cell r="H2213" t="str">
            <v>L</v>
          </cell>
          <cell r="L2213">
            <v>12095</v>
          </cell>
          <cell r="N2213" t="str">
            <v>Comber Noil</v>
          </cell>
        </row>
        <row r="2214">
          <cell r="H2214" t="str">
            <v>L</v>
          </cell>
          <cell r="L2214">
            <v>13081</v>
          </cell>
          <cell r="N2214" t="str">
            <v>Comber Noil</v>
          </cell>
        </row>
        <row r="2215">
          <cell r="H2215" t="str">
            <v>L</v>
          </cell>
          <cell r="L2215">
            <v>0</v>
          </cell>
          <cell r="N2215" t="str">
            <v>Textile Dyes</v>
          </cell>
        </row>
        <row r="2216">
          <cell r="H2216" t="str">
            <v>L</v>
          </cell>
          <cell r="L2216">
            <v>0</v>
          </cell>
          <cell r="N2216" t="str">
            <v>Textile Chemical</v>
          </cell>
        </row>
        <row r="2217">
          <cell r="H2217" t="str">
            <v>L</v>
          </cell>
          <cell r="L2217">
            <v>0</v>
          </cell>
          <cell r="N2217" t="str">
            <v>Textile Chemical</v>
          </cell>
        </row>
        <row r="2218">
          <cell r="H2218" t="str">
            <v>L</v>
          </cell>
          <cell r="L2218">
            <v>0</v>
          </cell>
          <cell r="N2218" t="str">
            <v>Textile Chemical</v>
          </cell>
        </row>
        <row r="2219">
          <cell r="H2219" t="str">
            <v>L</v>
          </cell>
          <cell r="L2219">
            <v>0</v>
          </cell>
          <cell r="N2219" t="str">
            <v>Textile Chemical</v>
          </cell>
        </row>
        <row r="2220">
          <cell r="H2220" t="str">
            <v>L</v>
          </cell>
          <cell r="L2220">
            <v>0</v>
          </cell>
          <cell r="N2220" t="str">
            <v>Textile Chemical</v>
          </cell>
        </row>
        <row r="2221">
          <cell r="H2221" t="str">
            <v>L</v>
          </cell>
          <cell r="L2221">
            <v>0</v>
          </cell>
          <cell r="N2221" t="str">
            <v>Textile Chemical</v>
          </cell>
        </row>
        <row r="2222">
          <cell r="H2222" t="str">
            <v>L</v>
          </cell>
          <cell r="L2222">
            <v>0</v>
          </cell>
          <cell r="N2222" t="str">
            <v>Textile Chemical</v>
          </cell>
        </row>
        <row r="2223">
          <cell r="H2223" t="str">
            <v>L</v>
          </cell>
          <cell r="L2223">
            <v>0</v>
          </cell>
          <cell r="N2223" t="str">
            <v>Textile Chemical</v>
          </cell>
        </row>
        <row r="2224">
          <cell r="H2224" t="str">
            <v>L</v>
          </cell>
          <cell r="L2224">
            <v>0</v>
          </cell>
          <cell r="N2224" t="str">
            <v>Textile Chemical</v>
          </cell>
        </row>
        <row r="2225">
          <cell r="H2225" t="str">
            <v>L</v>
          </cell>
          <cell r="L2225">
            <v>0</v>
          </cell>
          <cell r="N2225" t="str">
            <v>Textile Chemical</v>
          </cell>
        </row>
        <row r="2226">
          <cell r="H2226" t="str">
            <v>L</v>
          </cell>
          <cell r="L2226">
            <v>0</v>
          </cell>
          <cell r="N2226" t="str">
            <v>Textile Chemical</v>
          </cell>
        </row>
        <row r="2227">
          <cell r="H2227" t="str">
            <v>L</v>
          </cell>
          <cell r="L2227">
            <v>0</v>
          </cell>
          <cell r="N2227" t="str">
            <v>Textile Dyes</v>
          </cell>
        </row>
        <row r="2228">
          <cell r="H2228" t="str">
            <v>L</v>
          </cell>
          <cell r="L2228">
            <v>0</v>
          </cell>
          <cell r="N2228" t="str">
            <v>Textile Chemical</v>
          </cell>
        </row>
        <row r="2229">
          <cell r="H2229" t="str">
            <v>L</v>
          </cell>
          <cell r="L2229">
            <v>0</v>
          </cell>
          <cell r="N2229" t="str">
            <v>Textile Dyes</v>
          </cell>
        </row>
        <row r="2230">
          <cell r="H2230" t="str">
            <v>L</v>
          </cell>
          <cell r="L2230">
            <v>0</v>
          </cell>
          <cell r="N2230" t="str">
            <v>Textile Chemical</v>
          </cell>
        </row>
        <row r="2231">
          <cell r="H2231" t="str">
            <v>L</v>
          </cell>
          <cell r="L2231">
            <v>0</v>
          </cell>
          <cell r="N2231" t="str">
            <v>Textile Chemical</v>
          </cell>
        </row>
        <row r="2232">
          <cell r="H2232" t="str">
            <v>L</v>
          </cell>
          <cell r="L2232">
            <v>0</v>
          </cell>
          <cell r="N2232" t="str">
            <v>Textile Dyes</v>
          </cell>
        </row>
        <row r="2233">
          <cell r="H2233" t="str">
            <v>L</v>
          </cell>
          <cell r="L2233">
            <v>0</v>
          </cell>
          <cell r="N2233" t="str">
            <v>Textile Chemical</v>
          </cell>
        </row>
        <row r="2234">
          <cell r="H2234" t="str">
            <v>L</v>
          </cell>
          <cell r="L2234">
            <v>0</v>
          </cell>
          <cell r="N2234" t="str">
            <v>Textile Chemical</v>
          </cell>
        </row>
        <row r="2235">
          <cell r="H2235" t="str">
            <v>L</v>
          </cell>
          <cell r="L2235">
            <v>0</v>
          </cell>
          <cell r="N2235" t="str">
            <v>Textile Chemical</v>
          </cell>
        </row>
        <row r="2236">
          <cell r="H2236" t="str">
            <v>L</v>
          </cell>
          <cell r="L2236">
            <v>0</v>
          </cell>
          <cell r="N2236" t="str">
            <v>Textile Chemical</v>
          </cell>
        </row>
        <row r="2237">
          <cell r="H2237" t="str">
            <v>L</v>
          </cell>
          <cell r="L2237">
            <v>0</v>
          </cell>
          <cell r="N2237" t="str">
            <v>Textile Chemical</v>
          </cell>
        </row>
        <row r="2238">
          <cell r="H2238" t="str">
            <v>L</v>
          </cell>
          <cell r="L2238">
            <v>0</v>
          </cell>
          <cell r="N2238" t="str">
            <v>Textile Chemical</v>
          </cell>
        </row>
        <row r="2239">
          <cell r="H2239" t="str">
            <v>L</v>
          </cell>
          <cell r="L2239">
            <v>0</v>
          </cell>
          <cell r="N2239" t="str">
            <v>Textile Chemical</v>
          </cell>
        </row>
        <row r="2240">
          <cell r="H2240" t="str">
            <v>L</v>
          </cell>
          <cell r="L2240">
            <v>0</v>
          </cell>
          <cell r="N2240" t="str">
            <v>Textile Chemical</v>
          </cell>
        </row>
        <row r="2241">
          <cell r="H2241" t="str">
            <v>L</v>
          </cell>
          <cell r="L2241">
            <v>0</v>
          </cell>
          <cell r="N2241" t="str">
            <v>Textile Chemical</v>
          </cell>
        </row>
        <row r="2242">
          <cell r="H2242" t="str">
            <v>L</v>
          </cell>
          <cell r="L2242">
            <v>0</v>
          </cell>
          <cell r="N2242" t="str">
            <v>Textile Chemical</v>
          </cell>
        </row>
        <row r="2243">
          <cell r="H2243" t="str">
            <v>L</v>
          </cell>
          <cell r="L2243">
            <v>0</v>
          </cell>
          <cell r="N2243" t="str">
            <v>Textile Chemical</v>
          </cell>
        </row>
        <row r="2244">
          <cell r="H2244" t="str">
            <v>L</v>
          </cell>
          <cell r="L2244">
            <v>0</v>
          </cell>
          <cell r="N2244" t="str">
            <v>Textile Chemical</v>
          </cell>
        </row>
        <row r="2245">
          <cell r="H2245" t="str">
            <v>L</v>
          </cell>
          <cell r="L2245">
            <v>0</v>
          </cell>
          <cell r="N2245" t="str">
            <v>Textile Chemical</v>
          </cell>
        </row>
        <row r="2246">
          <cell r="H2246" t="str">
            <v>L</v>
          </cell>
          <cell r="L2246">
            <v>0</v>
          </cell>
          <cell r="N2246" t="str">
            <v>Textile Chemical</v>
          </cell>
        </row>
        <row r="2247">
          <cell r="H2247" t="str">
            <v>L</v>
          </cell>
          <cell r="L2247">
            <v>0</v>
          </cell>
          <cell r="N2247" t="str">
            <v>Textile Chemical</v>
          </cell>
        </row>
        <row r="2248">
          <cell r="H2248" t="str">
            <v>L</v>
          </cell>
          <cell r="L2248">
            <v>0</v>
          </cell>
          <cell r="N2248" t="str">
            <v>Textile Chemical</v>
          </cell>
        </row>
        <row r="2249">
          <cell r="H2249" t="str">
            <v>L</v>
          </cell>
          <cell r="L2249">
            <v>0</v>
          </cell>
          <cell r="N2249" t="str">
            <v>Textile Chemical</v>
          </cell>
        </row>
        <row r="2250">
          <cell r="H2250" t="str">
            <v>L</v>
          </cell>
          <cell r="L2250">
            <v>9690</v>
          </cell>
          <cell r="N2250" t="str">
            <v>Textile Chemical</v>
          </cell>
        </row>
        <row r="2251">
          <cell r="H2251" t="str">
            <v>L</v>
          </cell>
          <cell r="L2251">
            <v>29080</v>
          </cell>
          <cell r="N2251" t="str">
            <v>Textile Chemical</v>
          </cell>
        </row>
        <row r="2252">
          <cell r="H2252" t="str">
            <v>L</v>
          </cell>
          <cell r="L2252">
            <v>29310</v>
          </cell>
          <cell r="N2252" t="str">
            <v>Textile Chemical</v>
          </cell>
        </row>
        <row r="2253">
          <cell r="H2253" t="str">
            <v>L</v>
          </cell>
          <cell r="L2253">
            <v>29030</v>
          </cell>
          <cell r="N2253" t="str">
            <v>Textile Chemical</v>
          </cell>
        </row>
        <row r="2254">
          <cell r="H2254" t="str">
            <v>L</v>
          </cell>
          <cell r="L2254">
            <v>29110</v>
          </cell>
          <cell r="N2254" t="str">
            <v>Textile Chemical</v>
          </cell>
        </row>
        <row r="2255">
          <cell r="H2255" t="str">
            <v>L</v>
          </cell>
          <cell r="L2255">
            <v>29420</v>
          </cell>
          <cell r="N2255" t="str">
            <v>Textile Chemical</v>
          </cell>
        </row>
        <row r="2256">
          <cell r="H2256" t="str">
            <v>L</v>
          </cell>
          <cell r="L2256">
            <v>29060</v>
          </cell>
          <cell r="N2256" t="str">
            <v>Textile Chemical</v>
          </cell>
        </row>
        <row r="2257">
          <cell r="H2257" t="str">
            <v>L</v>
          </cell>
          <cell r="L2257">
            <v>29460</v>
          </cell>
          <cell r="N2257" t="str">
            <v>Textile Chemical</v>
          </cell>
        </row>
        <row r="2258">
          <cell r="H2258" t="str">
            <v>L</v>
          </cell>
          <cell r="L2258">
            <v>29260</v>
          </cell>
          <cell r="N2258" t="str">
            <v>Textile Chemical</v>
          </cell>
        </row>
        <row r="2259">
          <cell r="H2259" t="str">
            <v>L</v>
          </cell>
          <cell r="L2259">
            <v>29020</v>
          </cell>
          <cell r="N2259" t="str">
            <v>Textile Chemical</v>
          </cell>
        </row>
        <row r="2260">
          <cell r="H2260" t="str">
            <v>L</v>
          </cell>
          <cell r="L2260">
            <v>29320</v>
          </cell>
          <cell r="N2260" t="str">
            <v>Textile Chemical</v>
          </cell>
        </row>
        <row r="2261">
          <cell r="H2261" t="str">
            <v>L</v>
          </cell>
          <cell r="L2261">
            <v>29352</v>
          </cell>
          <cell r="N2261" t="str">
            <v>Textile Chemical</v>
          </cell>
        </row>
        <row r="2262">
          <cell r="H2262" t="str">
            <v>L</v>
          </cell>
          <cell r="L2262">
            <v>29690</v>
          </cell>
          <cell r="N2262" t="str">
            <v>Textile Chemical</v>
          </cell>
        </row>
        <row r="2263">
          <cell r="H2263" t="str">
            <v>L</v>
          </cell>
          <cell r="L2263">
            <v>0</v>
          </cell>
          <cell r="N2263" t="str">
            <v>Textile Chemical</v>
          </cell>
        </row>
        <row r="2264">
          <cell r="H2264" t="str">
            <v>L</v>
          </cell>
          <cell r="L2264">
            <v>0</v>
          </cell>
          <cell r="N2264" t="str">
            <v>Textile Chemical</v>
          </cell>
        </row>
        <row r="2265">
          <cell r="H2265" t="str">
            <v>L</v>
          </cell>
          <cell r="L2265">
            <v>0</v>
          </cell>
          <cell r="N2265" t="str">
            <v>Textile Dyes</v>
          </cell>
        </row>
        <row r="2266">
          <cell r="H2266" t="str">
            <v>L</v>
          </cell>
          <cell r="L2266">
            <v>0</v>
          </cell>
          <cell r="N2266" t="str">
            <v>Textile Chemical</v>
          </cell>
        </row>
        <row r="2267">
          <cell r="H2267" t="str">
            <v>L</v>
          </cell>
          <cell r="L2267">
            <v>12821</v>
          </cell>
          <cell r="N2267" t="str">
            <v>Comber Noil</v>
          </cell>
        </row>
        <row r="2268">
          <cell r="H2268" t="str">
            <v>L</v>
          </cell>
          <cell r="L2268">
            <v>12594</v>
          </cell>
          <cell r="N2268" t="str">
            <v>Comber Noil</v>
          </cell>
        </row>
        <row r="2269">
          <cell r="H2269" t="str">
            <v>L</v>
          </cell>
          <cell r="L2269">
            <v>0</v>
          </cell>
          <cell r="N2269" t="str">
            <v>Blended Yarn</v>
          </cell>
        </row>
        <row r="2270">
          <cell r="H2270" t="str">
            <v>L</v>
          </cell>
          <cell r="L2270">
            <v>0</v>
          </cell>
          <cell r="N2270" t="str">
            <v>Cotton Yarn</v>
          </cell>
        </row>
        <row r="2271">
          <cell r="H2271" t="str">
            <v>L</v>
          </cell>
          <cell r="L2271">
            <v>29000</v>
          </cell>
          <cell r="N2271" t="str">
            <v>Textile Chemical</v>
          </cell>
        </row>
        <row r="2272">
          <cell r="H2272" t="str">
            <v>L</v>
          </cell>
          <cell r="L2272">
            <v>29020</v>
          </cell>
          <cell r="N2272" t="str">
            <v>Textile Chemical</v>
          </cell>
        </row>
        <row r="2273">
          <cell r="H2273" t="str">
            <v>L</v>
          </cell>
          <cell r="L2273">
            <v>29312</v>
          </cell>
          <cell r="N2273" t="str">
            <v>Textile Chemical</v>
          </cell>
        </row>
        <row r="2274">
          <cell r="H2274" t="str">
            <v>L</v>
          </cell>
          <cell r="L2274">
            <v>29440</v>
          </cell>
          <cell r="N2274" t="str">
            <v>Textile Chemical</v>
          </cell>
        </row>
        <row r="2275">
          <cell r="H2275" t="str">
            <v>L</v>
          </cell>
          <cell r="L2275">
            <v>0</v>
          </cell>
          <cell r="N2275" t="str">
            <v>Textile Dyes</v>
          </cell>
        </row>
        <row r="2276">
          <cell r="H2276" t="str">
            <v>L</v>
          </cell>
          <cell r="L2276">
            <v>0</v>
          </cell>
          <cell r="N2276" t="str">
            <v>Textile Dyes</v>
          </cell>
        </row>
        <row r="2277">
          <cell r="H2277" t="str">
            <v>L</v>
          </cell>
          <cell r="L2277">
            <v>0</v>
          </cell>
          <cell r="N2277" t="str">
            <v>Textile Dyes</v>
          </cell>
        </row>
        <row r="2278">
          <cell r="H2278" t="str">
            <v>L</v>
          </cell>
          <cell r="L2278">
            <v>28</v>
          </cell>
          <cell r="N2278" t="str">
            <v>Textile Chemical</v>
          </cell>
        </row>
        <row r="2279">
          <cell r="H2279" t="str">
            <v>L</v>
          </cell>
          <cell r="L2279">
            <v>28</v>
          </cell>
          <cell r="N2279" t="str">
            <v>Textile Chemical</v>
          </cell>
        </row>
        <row r="2280">
          <cell r="H2280" t="str">
            <v>L</v>
          </cell>
          <cell r="L2280">
            <v>0</v>
          </cell>
          <cell r="N2280" t="str">
            <v>Textile Dyes</v>
          </cell>
        </row>
        <row r="2281">
          <cell r="H2281" t="str">
            <v>L</v>
          </cell>
          <cell r="L2281">
            <v>0</v>
          </cell>
          <cell r="N2281" t="str">
            <v>Textile Chemical</v>
          </cell>
        </row>
        <row r="2282">
          <cell r="H2282" t="str">
            <v>L</v>
          </cell>
          <cell r="L2282">
            <v>0</v>
          </cell>
          <cell r="N2282" t="str">
            <v>Textile Dyes</v>
          </cell>
        </row>
        <row r="2283">
          <cell r="H2283" t="str">
            <v>L</v>
          </cell>
          <cell r="L2283">
            <v>0</v>
          </cell>
          <cell r="N2283" t="str">
            <v>Textile Chemical</v>
          </cell>
        </row>
        <row r="2284">
          <cell r="H2284" t="str">
            <v>L</v>
          </cell>
          <cell r="L2284">
            <v>0</v>
          </cell>
          <cell r="N2284" t="str">
            <v>Textile Chemical</v>
          </cell>
        </row>
        <row r="2285">
          <cell r="H2285" t="str">
            <v>L</v>
          </cell>
          <cell r="L2285">
            <v>0</v>
          </cell>
          <cell r="N2285" t="str">
            <v>Textile Chemical</v>
          </cell>
        </row>
        <row r="2286">
          <cell r="H2286" t="str">
            <v>L</v>
          </cell>
          <cell r="L2286">
            <v>0</v>
          </cell>
          <cell r="N2286" t="str">
            <v>Textile Chemical</v>
          </cell>
        </row>
        <row r="2287">
          <cell r="H2287" t="str">
            <v>L</v>
          </cell>
          <cell r="L2287">
            <v>0</v>
          </cell>
          <cell r="N2287" t="str">
            <v>Textile Chemical</v>
          </cell>
        </row>
        <row r="2288">
          <cell r="H2288" t="str">
            <v>L</v>
          </cell>
          <cell r="L2288">
            <v>0</v>
          </cell>
          <cell r="N2288" t="str">
            <v>Textile Chemical</v>
          </cell>
        </row>
        <row r="2289">
          <cell r="H2289" t="str">
            <v>L</v>
          </cell>
          <cell r="L2289">
            <v>0</v>
          </cell>
          <cell r="N2289" t="str">
            <v>Textile Chemical</v>
          </cell>
        </row>
        <row r="2290">
          <cell r="H2290" t="str">
            <v>L</v>
          </cell>
          <cell r="L2290">
            <v>0</v>
          </cell>
          <cell r="N2290" t="str">
            <v>Textile Chemical</v>
          </cell>
        </row>
        <row r="2291">
          <cell r="H2291" t="str">
            <v>L</v>
          </cell>
          <cell r="L2291">
            <v>0</v>
          </cell>
          <cell r="N2291" t="str">
            <v>Textile Chemical</v>
          </cell>
        </row>
        <row r="2292">
          <cell r="H2292" t="str">
            <v>L</v>
          </cell>
          <cell r="L2292">
            <v>0</v>
          </cell>
          <cell r="N2292" t="str">
            <v>Textile Chemical</v>
          </cell>
        </row>
        <row r="2293">
          <cell r="H2293" t="str">
            <v>L</v>
          </cell>
          <cell r="L2293">
            <v>0</v>
          </cell>
          <cell r="N2293" t="str">
            <v>Textile Chemical</v>
          </cell>
        </row>
        <row r="2294">
          <cell r="H2294" t="str">
            <v>L</v>
          </cell>
          <cell r="L2294">
            <v>0</v>
          </cell>
          <cell r="N2294" t="str">
            <v>Textile Chemical</v>
          </cell>
        </row>
        <row r="2295">
          <cell r="H2295" t="str">
            <v>L</v>
          </cell>
          <cell r="L2295">
            <v>0</v>
          </cell>
          <cell r="N2295" t="str">
            <v>Textile Chemical</v>
          </cell>
        </row>
        <row r="2296">
          <cell r="H2296" t="str">
            <v>L</v>
          </cell>
          <cell r="L2296">
            <v>0</v>
          </cell>
          <cell r="N2296" t="str">
            <v>Textile Chemical</v>
          </cell>
        </row>
        <row r="2297">
          <cell r="H2297" t="str">
            <v>L</v>
          </cell>
          <cell r="L2297">
            <v>0</v>
          </cell>
          <cell r="N2297" t="str">
            <v>Textile Chemical</v>
          </cell>
        </row>
        <row r="2298">
          <cell r="H2298" t="str">
            <v>L</v>
          </cell>
          <cell r="L2298">
            <v>0</v>
          </cell>
          <cell r="N2298" t="str">
            <v>Textile Chemical</v>
          </cell>
        </row>
        <row r="2299">
          <cell r="H2299" t="str">
            <v>L</v>
          </cell>
          <cell r="L2299">
            <v>0</v>
          </cell>
          <cell r="N2299" t="str">
            <v>Textile Chemical</v>
          </cell>
        </row>
        <row r="2300">
          <cell r="H2300" t="str">
            <v>L</v>
          </cell>
          <cell r="L2300">
            <v>0</v>
          </cell>
          <cell r="N2300" t="str">
            <v>Textile Chemical</v>
          </cell>
        </row>
        <row r="2301">
          <cell r="H2301" t="str">
            <v>L</v>
          </cell>
          <cell r="L2301">
            <v>500</v>
          </cell>
          <cell r="N2301" t="str">
            <v>Textile Chemical</v>
          </cell>
        </row>
        <row r="2302">
          <cell r="H2302" t="str">
            <v>L</v>
          </cell>
          <cell r="L2302">
            <v>0</v>
          </cell>
          <cell r="N2302" t="str">
            <v>Textile Chemical</v>
          </cell>
        </row>
        <row r="2303">
          <cell r="H2303" t="str">
            <v>L</v>
          </cell>
          <cell r="L2303">
            <v>0</v>
          </cell>
          <cell r="N2303" t="str">
            <v>Textile Chemical</v>
          </cell>
        </row>
        <row r="2304">
          <cell r="H2304" t="str">
            <v>L</v>
          </cell>
          <cell r="L2304">
            <v>0</v>
          </cell>
          <cell r="N2304" t="str">
            <v>Textile Chemical</v>
          </cell>
        </row>
        <row r="2305">
          <cell r="H2305" t="str">
            <v>L</v>
          </cell>
          <cell r="L2305">
            <v>0</v>
          </cell>
          <cell r="N2305" t="str">
            <v>Textile Chemical</v>
          </cell>
        </row>
        <row r="2306">
          <cell r="H2306" t="str">
            <v>L</v>
          </cell>
          <cell r="L2306">
            <v>0</v>
          </cell>
          <cell r="N2306" t="str">
            <v>Textile Chemical</v>
          </cell>
        </row>
        <row r="2307">
          <cell r="H2307" t="str">
            <v>L</v>
          </cell>
          <cell r="L2307">
            <v>0</v>
          </cell>
          <cell r="N2307" t="str">
            <v>Textile Chemical</v>
          </cell>
        </row>
        <row r="2308">
          <cell r="H2308" t="str">
            <v>L</v>
          </cell>
          <cell r="L2308">
            <v>0</v>
          </cell>
          <cell r="N2308" t="str">
            <v>Textile Dyes</v>
          </cell>
        </row>
        <row r="2309">
          <cell r="H2309" t="str">
            <v>L</v>
          </cell>
          <cell r="L2309">
            <v>0</v>
          </cell>
          <cell r="N2309" t="str">
            <v>Textile Dyes</v>
          </cell>
        </row>
        <row r="2310">
          <cell r="H2310" t="str">
            <v>L</v>
          </cell>
          <cell r="L2310">
            <v>0</v>
          </cell>
          <cell r="N2310" t="str">
            <v>Textile Chemical</v>
          </cell>
        </row>
        <row r="2311">
          <cell r="H2311" t="str">
            <v>L</v>
          </cell>
          <cell r="L2311">
            <v>0</v>
          </cell>
          <cell r="N2311" t="str">
            <v>Textile Chemical</v>
          </cell>
        </row>
        <row r="2312">
          <cell r="H2312" t="str">
            <v>L</v>
          </cell>
          <cell r="L2312">
            <v>5</v>
          </cell>
          <cell r="N2312" t="str">
            <v>Textile Chemical</v>
          </cell>
        </row>
        <row r="2313">
          <cell r="H2313" t="str">
            <v>L</v>
          </cell>
          <cell r="L2313">
            <v>0</v>
          </cell>
          <cell r="N2313" t="str">
            <v>Textile Chemical</v>
          </cell>
        </row>
        <row r="2314">
          <cell r="H2314" t="str">
            <v>L</v>
          </cell>
          <cell r="L2314">
            <v>0</v>
          </cell>
          <cell r="N2314" t="str">
            <v>Textile Chemical</v>
          </cell>
        </row>
        <row r="2315">
          <cell r="H2315" t="str">
            <v>L</v>
          </cell>
          <cell r="L2315">
            <v>0</v>
          </cell>
          <cell r="N2315" t="str">
            <v>Textile Chemical</v>
          </cell>
        </row>
        <row r="2316">
          <cell r="H2316" t="str">
            <v>L</v>
          </cell>
          <cell r="L2316">
            <v>28691</v>
          </cell>
          <cell r="N2316" t="str">
            <v>Textile Chemical</v>
          </cell>
        </row>
        <row r="2317">
          <cell r="H2317" t="str">
            <v>L</v>
          </cell>
          <cell r="L2317">
            <v>5870</v>
          </cell>
          <cell r="N2317" t="str">
            <v>Cotton Fabric</v>
          </cell>
        </row>
        <row r="2318">
          <cell r="H2318" t="str">
            <v>L</v>
          </cell>
          <cell r="L2318">
            <v>7671</v>
          </cell>
          <cell r="N2318" t="str">
            <v>Cotton Fabric</v>
          </cell>
        </row>
        <row r="2319">
          <cell r="H2319" t="str">
            <v>L</v>
          </cell>
          <cell r="L2319">
            <v>9823</v>
          </cell>
          <cell r="N2319" t="str">
            <v>Blended Fabric</v>
          </cell>
        </row>
        <row r="2320">
          <cell r="H2320" t="str">
            <v>L</v>
          </cell>
          <cell r="L2320">
            <v>329</v>
          </cell>
          <cell r="N2320" t="str">
            <v>Blended Fabric</v>
          </cell>
        </row>
        <row r="2321">
          <cell r="H2321" t="str">
            <v>L</v>
          </cell>
          <cell r="L2321">
            <v>14057</v>
          </cell>
          <cell r="N2321" t="str">
            <v>Cotton Fabric</v>
          </cell>
        </row>
        <row r="2322">
          <cell r="H2322" t="str">
            <v>L</v>
          </cell>
          <cell r="L2322">
            <v>0</v>
          </cell>
          <cell r="N2322" t="str">
            <v>Polyester Yarn</v>
          </cell>
        </row>
        <row r="2323">
          <cell r="H2323" t="str">
            <v>L</v>
          </cell>
          <cell r="L2323">
            <v>0</v>
          </cell>
          <cell r="N2323" t="str">
            <v>Blended Yarn</v>
          </cell>
        </row>
        <row r="2324">
          <cell r="H2324" t="str">
            <v>L</v>
          </cell>
          <cell r="L2324">
            <v>0</v>
          </cell>
          <cell r="N2324" t="str">
            <v>Blended Yarn</v>
          </cell>
        </row>
        <row r="2325">
          <cell r="H2325" t="str">
            <v>L</v>
          </cell>
          <cell r="L2325">
            <v>0</v>
          </cell>
          <cell r="N2325" t="str">
            <v>Textile Dyes</v>
          </cell>
        </row>
        <row r="2326">
          <cell r="H2326" t="str">
            <v>L</v>
          </cell>
          <cell r="L2326">
            <v>0</v>
          </cell>
          <cell r="N2326" t="str">
            <v>Textile Chemical</v>
          </cell>
        </row>
        <row r="2327">
          <cell r="H2327" t="str">
            <v>L</v>
          </cell>
          <cell r="L2327">
            <v>0</v>
          </cell>
          <cell r="N2327" t="str">
            <v>Textile Chemical</v>
          </cell>
        </row>
        <row r="2328">
          <cell r="H2328" t="str">
            <v>L</v>
          </cell>
          <cell r="L2328">
            <v>0</v>
          </cell>
          <cell r="N2328" t="str">
            <v>Textile Dyes</v>
          </cell>
        </row>
        <row r="2329">
          <cell r="H2329" t="str">
            <v>L</v>
          </cell>
          <cell r="L2329">
            <v>0</v>
          </cell>
          <cell r="N2329" t="str">
            <v>Textile Dyes</v>
          </cell>
        </row>
        <row r="2330">
          <cell r="H2330" t="str">
            <v>L</v>
          </cell>
          <cell r="L2330">
            <v>0</v>
          </cell>
          <cell r="N2330" t="str">
            <v>Textile Dyes</v>
          </cell>
        </row>
        <row r="2331">
          <cell r="H2331" t="str">
            <v>L</v>
          </cell>
          <cell r="L2331">
            <v>0</v>
          </cell>
          <cell r="N2331" t="str">
            <v>Textile Chemical</v>
          </cell>
        </row>
        <row r="2332">
          <cell r="H2332" t="str">
            <v>L</v>
          </cell>
          <cell r="L2332">
            <v>0</v>
          </cell>
          <cell r="N2332" t="str">
            <v>Textile Chemical</v>
          </cell>
        </row>
        <row r="2333">
          <cell r="H2333" t="str">
            <v>L</v>
          </cell>
          <cell r="L2333">
            <v>0</v>
          </cell>
          <cell r="N2333" t="str">
            <v>Textile Dyes</v>
          </cell>
        </row>
        <row r="2334">
          <cell r="H2334" t="str">
            <v>L</v>
          </cell>
          <cell r="L2334">
            <v>0</v>
          </cell>
          <cell r="N2334" t="str">
            <v>Textile Dyes</v>
          </cell>
        </row>
        <row r="2335">
          <cell r="H2335" t="str">
            <v>L</v>
          </cell>
          <cell r="L2335">
            <v>0</v>
          </cell>
          <cell r="N2335" t="str">
            <v>Textile Chemical</v>
          </cell>
        </row>
        <row r="2336">
          <cell r="H2336" t="str">
            <v>L</v>
          </cell>
          <cell r="L2336">
            <v>0</v>
          </cell>
          <cell r="N2336" t="str">
            <v>Textile Dyes</v>
          </cell>
        </row>
        <row r="2337">
          <cell r="H2337" t="str">
            <v>L</v>
          </cell>
          <cell r="L2337">
            <v>0</v>
          </cell>
          <cell r="N2337" t="str">
            <v>Textile Chemical</v>
          </cell>
        </row>
        <row r="2338">
          <cell r="H2338" t="str">
            <v>L</v>
          </cell>
          <cell r="L2338">
            <v>0</v>
          </cell>
          <cell r="N2338" t="str">
            <v>Textile Chemical</v>
          </cell>
        </row>
        <row r="2339">
          <cell r="H2339" t="str">
            <v>L</v>
          </cell>
          <cell r="L2339">
            <v>0</v>
          </cell>
          <cell r="N2339" t="str">
            <v>Textile Chemical</v>
          </cell>
        </row>
        <row r="2340">
          <cell r="H2340" t="str">
            <v>L</v>
          </cell>
          <cell r="L2340">
            <v>58</v>
          </cell>
          <cell r="N2340" t="str">
            <v>Textile Dyes</v>
          </cell>
        </row>
        <row r="2341">
          <cell r="H2341" t="str">
            <v>L</v>
          </cell>
          <cell r="L2341">
            <v>0</v>
          </cell>
          <cell r="N2341" t="str">
            <v>Textile Chemical</v>
          </cell>
        </row>
        <row r="2342">
          <cell r="H2342" t="str">
            <v>L</v>
          </cell>
          <cell r="L2342">
            <v>0</v>
          </cell>
          <cell r="N2342" t="str">
            <v>Textile Chemical</v>
          </cell>
        </row>
        <row r="2343">
          <cell r="H2343" t="str">
            <v>L</v>
          </cell>
          <cell r="L2343">
            <v>0</v>
          </cell>
          <cell r="N2343" t="str">
            <v>Textile Dyes</v>
          </cell>
        </row>
        <row r="2344">
          <cell r="H2344" t="str">
            <v>L</v>
          </cell>
          <cell r="L2344">
            <v>3</v>
          </cell>
          <cell r="N2344" t="str">
            <v>Textile Chemical</v>
          </cell>
        </row>
        <row r="2345">
          <cell r="H2345" t="str">
            <v>L</v>
          </cell>
          <cell r="L2345">
            <v>0</v>
          </cell>
          <cell r="N2345" t="str">
            <v>Textile Chemical</v>
          </cell>
        </row>
        <row r="2346">
          <cell r="H2346" t="str">
            <v>L</v>
          </cell>
          <cell r="L2346">
            <v>0</v>
          </cell>
          <cell r="N2346" t="str">
            <v>Textile Chemical</v>
          </cell>
        </row>
        <row r="2347">
          <cell r="H2347" t="str">
            <v>L</v>
          </cell>
          <cell r="L2347">
            <v>0</v>
          </cell>
          <cell r="N2347" t="str">
            <v>Textile Dyes</v>
          </cell>
        </row>
        <row r="2348">
          <cell r="H2348" t="str">
            <v>L</v>
          </cell>
          <cell r="L2348">
            <v>0</v>
          </cell>
          <cell r="N2348" t="str">
            <v>Textile Chemical</v>
          </cell>
        </row>
        <row r="2349">
          <cell r="H2349" t="str">
            <v>L</v>
          </cell>
          <cell r="L2349">
            <v>0</v>
          </cell>
          <cell r="N2349" t="str">
            <v>Textile Chemical</v>
          </cell>
        </row>
        <row r="2350">
          <cell r="H2350" t="str">
            <v>L</v>
          </cell>
          <cell r="L2350">
            <v>0</v>
          </cell>
          <cell r="N2350" t="str">
            <v>Textile Chemical</v>
          </cell>
        </row>
        <row r="2351">
          <cell r="H2351" t="str">
            <v>L</v>
          </cell>
          <cell r="L2351">
            <v>0</v>
          </cell>
          <cell r="N2351" t="str">
            <v>Textile Chemical</v>
          </cell>
        </row>
        <row r="2352">
          <cell r="H2352" t="str">
            <v>L</v>
          </cell>
          <cell r="L2352">
            <v>0</v>
          </cell>
          <cell r="N2352" t="str">
            <v>Textile Chemical</v>
          </cell>
        </row>
        <row r="2353">
          <cell r="H2353" t="str">
            <v>L</v>
          </cell>
          <cell r="L2353">
            <v>0</v>
          </cell>
          <cell r="N2353" t="str">
            <v>Textile Chemical</v>
          </cell>
        </row>
        <row r="2354">
          <cell r="H2354" t="str">
            <v>L</v>
          </cell>
          <cell r="L2354">
            <v>0</v>
          </cell>
          <cell r="N2354" t="str">
            <v>Textile Chemical</v>
          </cell>
        </row>
        <row r="2355">
          <cell r="H2355" t="str">
            <v>L</v>
          </cell>
          <cell r="L2355">
            <v>0</v>
          </cell>
          <cell r="N2355" t="str">
            <v>Textile Chemical</v>
          </cell>
        </row>
        <row r="2356">
          <cell r="H2356" t="str">
            <v>L</v>
          </cell>
          <cell r="L2356">
            <v>0</v>
          </cell>
          <cell r="N2356" t="str">
            <v>Textile Chemical</v>
          </cell>
        </row>
        <row r="2357">
          <cell r="H2357" t="str">
            <v>L</v>
          </cell>
          <cell r="L2357">
            <v>0</v>
          </cell>
          <cell r="N2357" t="str">
            <v>Textile Chemical</v>
          </cell>
        </row>
        <row r="2358">
          <cell r="H2358" t="str">
            <v>L</v>
          </cell>
          <cell r="L2358">
            <v>0</v>
          </cell>
          <cell r="N2358" t="str">
            <v>Textile Chemical</v>
          </cell>
        </row>
        <row r="2359">
          <cell r="H2359" t="str">
            <v>L</v>
          </cell>
          <cell r="L2359">
            <v>0</v>
          </cell>
          <cell r="N2359" t="str">
            <v>Textile Chemical</v>
          </cell>
        </row>
        <row r="2360">
          <cell r="H2360" t="str">
            <v>L</v>
          </cell>
          <cell r="L2360">
            <v>0</v>
          </cell>
          <cell r="N2360" t="str">
            <v>Textile Chemical</v>
          </cell>
        </row>
        <row r="2361">
          <cell r="H2361" t="str">
            <v>L</v>
          </cell>
          <cell r="L2361">
            <v>0</v>
          </cell>
          <cell r="N2361" t="str">
            <v>Textile Chemical</v>
          </cell>
        </row>
        <row r="2362">
          <cell r="H2362" t="str">
            <v>L</v>
          </cell>
          <cell r="L2362">
            <v>0</v>
          </cell>
          <cell r="N2362" t="str">
            <v>Textile Chemical</v>
          </cell>
        </row>
        <row r="2363">
          <cell r="H2363" t="str">
            <v>L</v>
          </cell>
          <cell r="L2363">
            <v>3000</v>
          </cell>
          <cell r="N2363" t="str">
            <v>Textile Chemical</v>
          </cell>
        </row>
        <row r="2364">
          <cell r="H2364" t="str">
            <v>L</v>
          </cell>
          <cell r="L2364">
            <v>7</v>
          </cell>
          <cell r="N2364" t="str">
            <v>Textile Chemical</v>
          </cell>
        </row>
        <row r="2365">
          <cell r="H2365" t="str">
            <v>L</v>
          </cell>
          <cell r="L2365">
            <v>0</v>
          </cell>
          <cell r="N2365" t="str">
            <v>Textile Chemical</v>
          </cell>
        </row>
        <row r="2366">
          <cell r="H2366" t="str">
            <v>L</v>
          </cell>
          <cell r="L2366">
            <v>0</v>
          </cell>
          <cell r="N2366" t="str">
            <v>Textile Chemical</v>
          </cell>
        </row>
        <row r="2367">
          <cell r="H2367" t="str">
            <v>L</v>
          </cell>
          <cell r="L2367">
            <v>0</v>
          </cell>
          <cell r="N2367" t="str">
            <v>Textile Chemical</v>
          </cell>
        </row>
        <row r="2368">
          <cell r="H2368" t="str">
            <v>L</v>
          </cell>
          <cell r="L2368">
            <v>29450</v>
          </cell>
          <cell r="N2368" t="str">
            <v>Textile Chemical</v>
          </cell>
        </row>
        <row r="2369">
          <cell r="H2369" t="str">
            <v>L</v>
          </cell>
          <cell r="L2369">
            <v>29360</v>
          </cell>
          <cell r="N2369" t="str">
            <v>Textile Chemical</v>
          </cell>
        </row>
        <row r="2370">
          <cell r="H2370" t="str">
            <v>L</v>
          </cell>
          <cell r="L2370">
            <v>29450</v>
          </cell>
          <cell r="N2370" t="str">
            <v>Textile Chemical</v>
          </cell>
        </row>
        <row r="2371">
          <cell r="H2371" t="str">
            <v>L</v>
          </cell>
          <cell r="L2371">
            <v>29352</v>
          </cell>
          <cell r="N2371" t="str">
            <v>Textile Chemical</v>
          </cell>
        </row>
        <row r="2372">
          <cell r="H2372" t="str">
            <v>L</v>
          </cell>
          <cell r="L2372">
            <v>29332</v>
          </cell>
          <cell r="N2372" t="str">
            <v>Textile Chemical</v>
          </cell>
        </row>
        <row r="2373">
          <cell r="H2373" t="str">
            <v>L</v>
          </cell>
          <cell r="L2373">
            <v>29410</v>
          </cell>
          <cell r="N2373" t="str">
            <v>Textile Chemical</v>
          </cell>
        </row>
        <row r="2374">
          <cell r="H2374" t="str">
            <v>L</v>
          </cell>
          <cell r="L2374">
            <v>29350</v>
          </cell>
          <cell r="N2374" t="str">
            <v>Textile Chemical</v>
          </cell>
        </row>
        <row r="2375">
          <cell r="H2375" t="str">
            <v>L</v>
          </cell>
          <cell r="L2375">
            <v>29410</v>
          </cell>
          <cell r="N2375" t="str">
            <v>Textile Chemical</v>
          </cell>
        </row>
        <row r="2376">
          <cell r="H2376" t="str">
            <v>L</v>
          </cell>
          <cell r="L2376">
            <v>29430</v>
          </cell>
          <cell r="N2376" t="str">
            <v>Textile Chemical</v>
          </cell>
        </row>
        <row r="2377">
          <cell r="H2377" t="str">
            <v>L</v>
          </cell>
          <cell r="L2377">
            <v>184</v>
          </cell>
          <cell r="N2377" t="str">
            <v>Textile Chemical</v>
          </cell>
        </row>
        <row r="2378">
          <cell r="H2378" t="str">
            <v>L</v>
          </cell>
          <cell r="L2378">
            <v>3</v>
          </cell>
          <cell r="N2378" t="str">
            <v>Textile Chemical</v>
          </cell>
        </row>
        <row r="2379">
          <cell r="H2379" t="str">
            <v>L</v>
          </cell>
          <cell r="L2379">
            <v>40000</v>
          </cell>
          <cell r="N2379" t="str">
            <v>Textile Chemical</v>
          </cell>
        </row>
        <row r="2380">
          <cell r="H2380" t="str">
            <v>L</v>
          </cell>
          <cell r="L2380">
            <v>0</v>
          </cell>
          <cell r="N2380" t="str">
            <v>Textile Chemical</v>
          </cell>
        </row>
        <row r="2381">
          <cell r="H2381" t="str">
            <v>L</v>
          </cell>
          <cell r="L2381">
            <v>0</v>
          </cell>
          <cell r="N2381" t="str">
            <v>Cotton Yarn</v>
          </cell>
        </row>
        <row r="2382">
          <cell r="H2382" t="str">
            <v>L</v>
          </cell>
          <cell r="L2382">
            <v>0</v>
          </cell>
          <cell r="N2382" t="str">
            <v>Cotton Yarn</v>
          </cell>
        </row>
        <row r="2383">
          <cell r="H2383" t="str">
            <v>L</v>
          </cell>
          <cell r="L2383">
            <v>0</v>
          </cell>
          <cell r="N2383" t="str">
            <v>Polyester Staple Fiber</v>
          </cell>
        </row>
        <row r="2384">
          <cell r="H2384" t="str">
            <v>L</v>
          </cell>
          <cell r="L2384">
            <v>0</v>
          </cell>
          <cell r="N2384" t="str">
            <v>Polyester Staple Fiber</v>
          </cell>
        </row>
        <row r="2385">
          <cell r="H2385" t="str">
            <v>L</v>
          </cell>
          <cell r="L2385">
            <v>2309</v>
          </cell>
          <cell r="N2385" t="str">
            <v>Polyester Staple Fiber</v>
          </cell>
        </row>
        <row r="2386">
          <cell r="H2386" t="str">
            <v>L</v>
          </cell>
          <cell r="L2386">
            <v>0</v>
          </cell>
          <cell r="N2386" t="str">
            <v>Textile Chemical</v>
          </cell>
        </row>
        <row r="2387">
          <cell r="H2387" t="str">
            <v>L</v>
          </cell>
          <cell r="L2387">
            <v>0</v>
          </cell>
          <cell r="N2387" t="str">
            <v>Textile Chemical</v>
          </cell>
        </row>
        <row r="2388">
          <cell r="H2388" t="str">
            <v>L</v>
          </cell>
          <cell r="L2388">
            <v>0</v>
          </cell>
          <cell r="N2388" t="str">
            <v>Textile Chemical</v>
          </cell>
        </row>
        <row r="2389">
          <cell r="H2389" t="str">
            <v>L</v>
          </cell>
          <cell r="L2389">
            <v>0</v>
          </cell>
          <cell r="N2389" t="str">
            <v>Textile Chemical</v>
          </cell>
        </row>
        <row r="2390">
          <cell r="H2390" t="str">
            <v>L</v>
          </cell>
          <cell r="L2390">
            <v>0</v>
          </cell>
          <cell r="N2390" t="str">
            <v>Textile Chemical</v>
          </cell>
        </row>
        <row r="2391">
          <cell r="H2391" t="str">
            <v>L</v>
          </cell>
          <cell r="L2391">
            <v>0</v>
          </cell>
          <cell r="N2391" t="str">
            <v>Textile Chemical</v>
          </cell>
        </row>
        <row r="2392">
          <cell r="H2392" t="str">
            <v>L</v>
          </cell>
          <cell r="L2392">
            <v>0</v>
          </cell>
          <cell r="N2392" t="str">
            <v>Textile Chemical</v>
          </cell>
        </row>
        <row r="2393">
          <cell r="H2393" t="str">
            <v>L</v>
          </cell>
          <cell r="L2393">
            <v>0</v>
          </cell>
          <cell r="N2393" t="str">
            <v>Textile Chemical</v>
          </cell>
        </row>
        <row r="2394">
          <cell r="H2394" t="str">
            <v>L</v>
          </cell>
          <cell r="L2394">
            <v>0</v>
          </cell>
          <cell r="N2394" t="str">
            <v>Textile Chemical</v>
          </cell>
        </row>
        <row r="2395">
          <cell r="H2395" t="str">
            <v>L</v>
          </cell>
          <cell r="L2395">
            <v>0</v>
          </cell>
          <cell r="N2395" t="str">
            <v>Textile Chemical</v>
          </cell>
        </row>
        <row r="2396">
          <cell r="H2396" t="str">
            <v>L</v>
          </cell>
          <cell r="L2396">
            <v>89</v>
          </cell>
          <cell r="N2396" t="str">
            <v>Textile Chemical</v>
          </cell>
        </row>
        <row r="2397">
          <cell r="H2397" t="str">
            <v>L</v>
          </cell>
          <cell r="L2397">
            <v>0</v>
          </cell>
          <cell r="N2397" t="str">
            <v>Textile Chemical</v>
          </cell>
        </row>
        <row r="2398">
          <cell r="H2398" t="str">
            <v>L</v>
          </cell>
          <cell r="L2398">
            <v>0</v>
          </cell>
          <cell r="N2398" t="str">
            <v>Textile Chemical</v>
          </cell>
        </row>
        <row r="2399">
          <cell r="H2399" t="str">
            <v>L</v>
          </cell>
          <cell r="L2399">
            <v>252</v>
          </cell>
          <cell r="N2399" t="str">
            <v>Textile Chemical</v>
          </cell>
        </row>
        <row r="2400">
          <cell r="H2400" t="str">
            <v>L</v>
          </cell>
          <cell r="L2400">
            <v>0</v>
          </cell>
          <cell r="N2400" t="str">
            <v>Textile Chemical</v>
          </cell>
        </row>
        <row r="2401">
          <cell r="H2401" t="str">
            <v>L</v>
          </cell>
          <cell r="L2401">
            <v>0</v>
          </cell>
          <cell r="N2401" t="str">
            <v>Textile Chemical</v>
          </cell>
        </row>
        <row r="2402">
          <cell r="H2402" t="str">
            <v>L</v>
          </cell>
          <cell r="L2402">
            <v>0</v>
          </cell>
          <cell r="N2402" t="str">
            <v>Textile Dyes</v>
          </cell>
        </row>
        <row r="2403">
          <cell r="H2403" t="str">
            <v>L</v>
          </cell>
          <cell r="L2403">
            <v>0</v>
          </cell>
          <cell r="N2403" t="str">
            <v>Textile Dyes</v>
          </cell>
        </row>
        <row r="2404">
          <cell r="H2404" t="str">
            <v>L</v>
          </cell>
          <cell r="L2404">
            <v>0</v>
          </cell>
          <cell r="N2404" t="str">
            <v>Textile Dyes</v>
          </cell>
        </row>
        <row r="2405">
          <cell r="H2405" t="str">
            <v>L</v>
          </cell>
          <cell r="L2405">
            <v>0</v>
          </cell>
          <cell r="N2405" t="str">
            <v>Textile Dyes</v>
          </cell>
        </row>
        <row r="2406">
          <cell r="H2406" t="str">
            <v>L</v>
          </cell>
          <cell r="L2406">
            <v>0</v>
          </cell>
          <cell r="N2406" t="str">
            <v>Textile Dyes</v>
          </cell>
        </row>
        <row r="2407">
          <cell r="H2407" t="str">
            <v>L</v>
          </cell>
          <cell r="L2407">
            <v>0</v>
          </cell>
          <cell r="N2407" t="str">
            <v>Textile Dyes</v>
          </cell>
        </row>
        <row r="2408">
          <cell r="H2408" t="str">
            <v>L</v>
          </cell>
          <cell r="L2408">
            <v>0</v>
          </cell>
          <cell r="N2408" t="str">
            <v>Textile Dyes</v>
          </cell>
        </row>
        <row r="2409">
          <cell r="H2409" t="str">
            <v>L</v>
          </cell>
          <cell r="L2409">
            <v>0</v>
          </cell>
          <cell r="N2409" t="str">
            <v>Textile Dyes</v>
          </cell>
        </row>
        <row r="2410">
          <cell r="H2410" t="str">
            <v>L</v>
          </cell>
          <cell r="L2410">
            <v>0</v>
          </cell>
          <cell r="N2410" t="str">
            <v>Textile Dyes</v>
          </cell>
        </row>
        <row r="2411">
          <cell r="H2411" t="str">
            <v>L</v>
          </cell>
          <cell r="L2411">
            <v>0</v>
          </cell>
          <cell r="N2411" t="str">
            <v>Textile Dyes</v>
          </cell>
        </row>
        <row r="2412">
          <cell r="H2412" t="str">
            <v>L</v>
          </cell>
          <cell r="L2412">
            <v>0</v>
          </cell>
          <cell r="N2412" t="str">
            <v>Textile Chemical</v>
          </cell>
        </row>
        <row r="2413">
          <cell r="H2413" t="str">
            <v>L</v>
          </cell>
          <cell r="L2413">
            <v>0</v>
          </cell>
          <cell r="N2413" t="str">
            <v>Textile Dyes</v>
          </cell>
        </row>
        <row r="2414">
          <cell r="H2414" t="str">
            <v>L</v>
          </cell>
          <cell r="L2414">
            <v>29320</v>
          </cell>
          <cell r="N2414" t="str">
            <v>Textile Chemical</v>
          </cell>
        </row>
        <row r="2415">
          <cell r="H2415" t="str">
            <v>L</v>
          </cell>
          <cell r="L2415">
            <v>0</v>
          </cell>
          <cell r="N2415" t="str">
            <v>Textile Chemical</v>
          </cell>
        </row>
        <row r="2416">
          <cell r="H2416" t="str">
            <v>L</v>
          </cell>
          <cell r="L2416">
            <v>0</v>
          </cell>
          <cell r="N2416" t="str">
            <v>Cotton Yarn</v>
          </cell>
        </row>
        <row r="2417">
          <cell r="H2417" t="str">
            <v>L</v>
          </cell>
          <cell r="L2417">
            <v>0</v>
          </cell>
          <cell r="N2417" t="str">
            <v>Textile Dyes</v>
          </cell>
        </row>
        <row r="2418">
          <cell r="H2418" t="str">
            <v>L</v>
          </cell>
          <cell r="L2418">
            <v>0</v>
          </cell>
          <cell r="N2418" t="str">
            <v>Textile Chemical</v>
          </cell>
        </row>
        <row r="2419">
          <cell r="H2419" t="str">
            <v>L</v>
          </cell>
          <cell r="L2419">
            <v>0</v>
          </cell>
          <cell r="N2419" t="str">
            <v>Textile Dyes</v>
          </cell>
        </row>
        <row r="2420">
          <cell r="H2420" t="str">
            <v>L</v>
          </cell>
          <cell r="L2420">
            <v>0</v>
          </cell>
          <cell r="N2420" t="str">
            <v>Textile Chemical</v>
          </cell>
        </row>
        <row r="2421">
          <cell r="H2421" t="str">
            <v>L</v>
          </cell>
          <cell r="L2421">
            <v>0</v>
          </cell>
          <cell r="N2421" t="str">
            <v>Textile Chemical</v>
          </cell>
        </row>
        <row r="2422">
          <cell r="H2422" t="str">
            <v>L</v>
          </cell>
          <cell r="L2422">
            <v>0</v>
          </cell>
          <cell r="N2422" t="str">
            <v>Textile Chemical</v>
          </cell>
        </row>
        <row r="2423">
          <cell r="H2423" t="str">
            <v>L</v>
          </cell>
          <cell r="L2423">
            <v>0</v>
          </cell>
          <cell r="N2423" t="str">
            <v>Textile Chemical</v>
          </cell>
        </row>
        <row r="2424">
          <cell r="H2424" t="str">
            <v>L</v>
          </cell>
          <cell r="L2424">
            <v>0</v>
          </cell>
          <cell r="N2424" t="str">
            <v>Textile Dyes</v>
          </cell>
        </row>
        <row r="2425">
          <cell r="H2425" t="str">
            <v>L</v>
          </cell>
          <cell r="L2425">
            <v>0</v>
          </cell>
          <cell r="N2425" t="str">
            <v>Textile Chemical</v>
          </cell>
        </row>
        <row r="2426">
          <cell r="H2426" t="str">
            <v>L</v>
          </cell>
          <cell r="L2426">
            <v>309</v>
          </cell>
          <cell r="N2426" t="str">
            <v>Blended YARN</v>
          </cell>
        </row>
        <row r="2427">
          <cell r="H2427" t="str">
            <v>L</v>
          </cell>
          <cell r="L2427">
            <v>0</v>
          </cell>
          <cell r="N2427" t="str">
            <v>Blended YARN</v>
          </cell>
        </row>
        <row r="2428">
          <cell r="H2428" t="str">
            <v>L</v>
          </cell>
          <cell r="L2428">
            <v>0</v>
          </cell>
          <cell r="N2428" t="str">
            <v>Cotton Yarn</v>
          </cell>
        </row>
        <row r="2429">
          <cell r="H2429" t="str">
            <v>L</v>
          </cell>
          <cell r="L2429">
            <v>94</v>
          </cell>
          <cell r="N2429" t="str">
            <v>Cotton Yarn</v>
          </cell>
        </row>
        <row r="2430">
          <cell r="L2430">
            <v>0</v>
          </cell>
        </row>
      </sheetData>
      <sheetData sheetId="40"/>
      <sheetData sheetId="4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Import%20declaration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Import%20declaration.xlsx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481.735276388892" createdVersion="8" refreshedVersion="8" minRefreshableVersion="3" recordCount="132" xr:uid="{FDB70FB7-1017-4603-BB91-2508B1E6BC07}">
  <cacheSource type="worksheet">
    <worksheetSource ref="A2:H134" sheet="MC+SP Data"/>
  </cacheSource>
  <cacheFields count="8">
    <cacheField name="SRO" numFmtId="0">
      <sharedItems containsSemiMixedTypes="0" containsString="0" containsNumber="1" containsInteger="1" minValue="1" maxValue="132" count="132">
        <n v="18"/>
        <n v="34"/>
        <n v="35"/>
        <n v="47"/>
        <n v="50"/>
        <n v="51"/>
        <n v="54"/>
        <n v="55"/>
        <n v="60"/>
        <n v="63"/>
        <n v="70"/>
        <n v="71"/>
        <n v="74"/>
        <n v="75"/>
        <n v="76"/>
        <n v="77"/>
        <n v="84"/>
        <n v="88"/>
        <n v="98"/>
        <n v="109"/>
        <n v="112"/>
        <n v="114"/>
        <n v="122"/>
        <n v="124"/>
        <n v="127"/>
        <n v="131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6"/>
        <n v="37"/>
        <n v="38"/>
        <n v="39"/>
        <n v="40"/>
        <n v="41"/>
        <n v="42"/>
        <n v="43"/>
        <n v="44"/>
        <n v="45"/>
        <n v="46"/>
        <n v="48"/>
        <n v="49"/>
        <n v="52"/>
        <n v="53"/>
        <n v="56"/>
        <n v="57"/>
        <n v="58"/>
        <n v="59"/>
        <n v="61"/>
        <n v="62"/>
        <n v="64"/>
        <n v="65"/>
        <n v="66"/>
        <n v="67"/>
        <n v="68"/>
        <n v="69"/>
        <n v="72"/>
        <n v="73"/>
        <n v="78"/>
        <n v="79"/>
        <n v="80"/>
        <n v="81"/>
        <n v="82"/>
        <n v="83"/>
        <n v="85"/>
        <n v="86"/>
        <n v="87"/>
        <n v="89"/>
        <n v="90"/>
        <n v="91"/>
        <n v="92"/>
        <n v="93"/>
        <n v="94"/>
        <n v="95"/>
        <n v="96"/>
        <n v="97"/>
        <n v="99"/>
        <n v="100"/>
        <n v="101"/>
        <n v="102"/>
        <n v="103"/>
        <n v="104"/>
        <n v="105"/>
        <n v="106"/>
        <n v="107"/>
        <n v="108"/>
        <n v="110"/>
        <n v="111"/>
        <n v="113"/>
        <n v="115"/>
        <n v="116"/>
        <n v="117"/>
        <n v="118"/>
        <n v="119"/>
        <n v="120"/>
        <n v="121"/>
        <n v="123"/>
        <n v="125"/>
        <n v="126"/>
        <n v="128"/>
        <n v="129"/>
        <n v="130"/>
        <n v="132"/>
      </sharedItems>
    </cacheField>
    <cacheField name="Prod" numFmtId="0">
      <sharedItems count="2">
        <s v="Machinery"/>
        <s v="Spare Parts"/>
      </sharedItems>
    </cacheField>
    <cacheField name="GD No" numFmtId="0">
      <sharedItems count="132">
        <s v="KAPE-FS-11946-17-08-2023"/>
        <s v="KAPS-FS-39339-12-10-2023"/>
        <s v="KAPS-FS-39341-12-10-2023"/>
        <s v="KAPS-FS-51542-15-11-2023"/>
        <s v="KAPE-FS-34418-15-11-2023"/>
        <s v="KPAF-FS-24307-21-11-2023"/>
        <s v="KAPE-FS-37625-28-11-2023"/>
        <s v="KAPE-FS-37624-28-11-2023"/>
        <s v="KPAF-FS-26988-06-12-2023"/>
        <s v="KAPE-FS-40657-08-12-2023"/>
        <s v="KAPS-FS-67286-21-12-2023"/>
        <s v="KAPW-FS-92395-21-12-2023"/>
        <s v="KAPW-FS-95246-28-12-2023"/>
        <s v="KPAF-FS-32849-10-01-2024"/>
        <s v="KPAF-FS-32850-10-01-2024"/>
        <s v="KAPS-FS-76128-11-01-2024"/>
        <s v="KAPW-FS-112866-26-01-2024"/>
        <s v="KAPS-FS-87786-07-02-2024"/>
        <s v="KAPW-FS-134063-01-03-2024"/>
        <s v="KAPE-FS-63998-30-03-2024"/>
        <s v="KAPE-FS-66769-18-04-2024"/>
        <s v="KAPS-FS-120630-22-04-2024"/>
        <s v="KAPW-FS-165341-29-04-2024"/>
        <s v="KAPW-FS-166962-02-05-2024"/>
        <s v="KAPW-FS-171617-09-05-2024"/>
        <s v="KAPS-FS-135499-21-05-2024"/>
        <s v="KAPE-FS-1774-10-07-2023"/>
        <s v="KPAF-FS-1831-12-07-2023"/>
        <s v="KAPW-FS-7624-15-07-2023"/>
        <s v="KPAF-FS-3735-24-07-2023"/>
        <s v="KAPS-FS-9674-24-07-2023"/>
        <s v="KAPW-FS-12039-24-07-2023"/>
        <s v="KPAF-FS-5160-02-08-2023"/>
        <s v="KAPE-FS-8254-03-08-2023"/>
        <s v="KPFI-FS-4114-04-08-2023"/>
        <s v="KAPW-FS-18744-07-08-2023"/>
        <s v="KPAF-FS-6126-08-08-2023"/>
        <s v="KPFI-FS-5370-16-08-2023"/>
        <s v="KPAF-FS-7253-16-08-2023"/>
        <s v="KPFI-FS-5365-16-08-2023"/>
        <s v="KPAF-FS-7498-17-08-2023"/>
        <s v="KPAF-FS-7499-17-08-2023"/>
        <s v="KAPW-FS-23515-17-08-2023"/>
        <s v="KPAF-FS-10254-01-09-2023"/>
        <s v="KPAF-FS-10514-04-09-2023"/>
        <s v="KAPE-FS-17972-12-09-2023"/>
        <s v="KPAF-FS-12555-14-09-2023"/>
        <s v="KPAF-FS-12554-14-09-2023"/>
        <s v="KAPW-FS-38544-15-09-2023"/>
        <s v="KAPW-FS-38543-15-09-2023"/>
        <s v="KPFI-FS-9869-21-09-2023"/>
        <s v="KPAF-FS-14035-22-09-2023"/>
        <s v="KAPE-FS-21272-25-09-2023"/>
        <s v="KPAF-FS-16495-06-10-2023"/>
        <s v="KPFI-FS-11650-06-10-2023"/>
        <s v="KPFI-FS-11651-06-10-2023"/>
        <s v="KPAF-FS-16368-06-10-2023"/>
        <s v="KPFI-FS-12097-10-10-2023"/>
        <s v="KAPW-FS-52954-13-10-2023"/>
        <s v="KPAF-FS-18178-17-10-2023"/>
        <s v="KPAF-FS-18177-17-10-2023"/>
        <s v="KPAF-FS-18176-17-10-2023"/>
        <s v="KAPW-FS-54642-17-10-2023"/>
        <s v="KPAF-FS-18347-17-10-2023"/>
        <s v="KAPW-FS-57668-20-10-2023"/>
        <s v="KPAF-FS-19538-24-10-2023"/>
        <s v="KPAF-FS-20254-28-10-2023"/>
        <s v="KPAF-FS-22177-08-11-2023"/>
        <s v="KPAF-FS-22627-11-11-2023"/>
        <s v="KPAF-FS-23277-15-11-2023"/>
        <s v="KPAF-FS-23276-15-11-2023"/>
        <s v="KAPW-FS-73817-21-11-2023"/>
        <s v="KPFI-FS-17814-24-11-2023"/>
        <s v="KPAF-FS-25776-29-11-2023"/>
        <s v="KPAF-FS-25777-29-11-2023"/>
        <s v="KPAF-FS-26984-06-12-2023"/>
        <s v="KPAF-FS-26987-06-12-2023"/>
        <s v="KPAF-FS-26989-06-12-2023"/>
        <s v="KPFI-FS-19572-07-12-2023"/>
        <s v="KPAF-FS-28106-13-12-2023"/>
        <s v="KPAF-FS-28107-13-12-2023"/>
        <s v="KPAF-FS-28866-18-12-2023"/>
        <s v="KAPW-FS-89452-18-12-2023"/>
        <s v="KPAF-FS-29149-19-12-2023"/>
        <s v="KPAF-FS-29522-20-12-2023"/>
        <s v="KAPW-FS-91778-21-12-2023"/>
        <s v="KPFI-FS-21641-26-12-2023"/>
        <s v="KPFI-FS-23551-11-01-2024"/>
        <s v="KPAF-FS-33367-12-01-2024"/>
        <s v="KPFI-FS-24231-17-01-2024"/>
        <s v="KAPW-FS-108013-18-01-2024"/>
        <s v="KPAF-FS-35088-23-01-2024"/>
        <s v="KPAF-FS-34975-23-01-2024"/>
        <s v="KPFI-FS-25704-29-01-2024"/>
        <s v="KAPW-FS-116171-31-01-2024"/>
        <s v="KPAF-FS-37698-07-02-2024"/>
        <s v="KPAF-FS-38478-12-02-2024"/>
        <s v="KAPW-FS-123748-13-02-2024"/>
        <s v="KAPW-FS-124474-14-02-2024"/>
        <s v="KPAF-FS-40326-21-02-2024"/>
        <s v="KPAF-FS-40544-22-02-2024"/>
        <s v="KPFI-FS-28637-22-02-2024"/>
        <s v="KPAF-FS-40704-23-02-2024"/>
        <s v="KPAF-FS-41257-27-02-2024"/>
        <s v="KAPW-FS-133914-29-02-2024"/>
        <s v="KAPS-FS-100405-05-03-2024"/>
        <s v="KPAF-FS-42826-06-03-2024"/>
        <s v="KAPW-FS-140764-12-03-2024"/>
        <s v="KPAF-FS-43887-12-03-2024"/>
        <s v="KPFI-FS-30058-12-03-2024"/>
        <s v="KPFI-FS-30059-12-03-2024"/>
        <s v="KPAF-FS-44289-14-03-2024"/>
        <s v="KPAF-FS-44556-15-03-2024"/>
        <s v="KPAF-FS-46154-22-03-2024"/>
        <s v="KPAF-FS-47520-29-03-2024"/>
        <s v="KPAF-FS-49517-08-04-2024"/>
        <s v="KAPW-FS-154812-08-04-2024"/>
        <s v="KPAF-FS-51218-18-04-2024"/>
        <s v="KPAF-FS-51849-22-04-2024"/>
        <s v="KAPW-FS-160251-22-04-2024"/>
        <s v="KPAF-FS-52345-24-04-2024"/>
        <s v="KAPW-FS-161791-24-04-2024"/>
        <s v="KPAF-FS-52748-25-04-2024"/>
        <s v="KPAF-FS-52749-25-04-2024"/>
        <s v="KPAF-FS-52750-25-04-2024"/>
        <s v="KPAF-FS-54192-02-05-2024"/>
        <s v="KAPS-FS-127351-06-05-2024"/>
        <s v="KPAF-FS-55269-07-05-2024"/>
        <s v="KPAF-FS-57170-16-05-2024"/>
        <s v="KAPW-FS-175590-16-05-2024"/>
        <s v="KPAF-FS-57728-20-05-2024"/>
        <s v="KAPE-FS-74067-21-05-2024"/>
      </sharedItems>
    </cacheField>
    <cacheField name="Qty" numFmtId="0">
      <sharedItems containsSemiMixedTypes="0" containsString="0" containsNumber="1" minValue="1" maxValue="609858"/>
    </cacheField>
    <cacheField name="Value" numFmtId="164">
      <sharedItems containsSemiMixedTypes="0" containsString="0" containsNumber="1" containsInteger="1" minValue="58450" maxValue="589092449"/>
    </cacheField>
    <cacheField name="Duty" numFmtId="164">
      <sharedItems containsSemiMixedTypes="0" containsString="0" containsNumber="1" minValue="29225" maxValue="176727735"/>
    </cacheField>
    <cacheField name="HS Code" numFmtId="0">
      <sharedItems/>
    </cacheField>
    <cacheField name="Status" numFmtId="0">
      <sharedItems count="1">
        <s v="-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38.454032175927" createdVersion="8" refreshedVersion="8" minRefreshableVersion="3" recordCount="1934" xr:uid="{0F051350-71AF-4E50-8B34-CCC613F0D185}">
  <cacheSource type="worksheet">
    <worksheetSource ref="A3:AM1937" sheet="GD.List" r:id="rId2"/>
  </cacheSource>
  <cacheFields count="39">
    <cacheField name="Inv#" numFmtId="0">
      <sharedItems containsBlank="1" containsMixedTypes="1" containsNumber="1" containsInteger="1" minValue="1" maxValue="845" count="84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m/>
        <s v="Additional"/>
        <n v="843" u="1"/>
        <n v="844" u="1"/>
        <n v="845" u="1"/>
        <n v="836" u="1"/>
        <n v="837" u="1"/>
        <n v="838" u="1"/>
        <n v="839" u="1"/>
        <n v="840" u="1"/>
        <n v="841" u="1"/>
        <n v="842" u="1"/>
      </sharedItems>
    </cacheField>
    <cacheField name="Recd.Dt" numFmtId="0">
      <sharedItems containsNonDate="0" containsDate="1" containsString="0" containsBlank="1" minDate="2022-02-01T00:00:00" maxDate="2024-08-05T00:00:00"/>
    </cacheField>
    <cacheField name="Document Reference No" numFmtId="0">
      <sharedItems containsBlank="1" count="2016">
        <s v="KPPI-MB-40627-13-12-2019"/>
        <s v="KAPE-MB-125952-11-02-2020"/>
        <s v="KAPE-MB-146511-17-03-2020"/>
        <s v="KAPE-MB-37204-04-09-2020"/>
        <s v="KAPE-MB-160501-02-03-2021"/>
        <s v="KAPE-MB-171427-17-03-2021"/>
        <s v="KAPE-MB-172535-18-03-2021"/>
        <s v="KAPE-MB-174350-22-03-2021"/>
        <s v="KAPW-MB-175767-29-05-2021"/>
        <s v="KAPE-MB-227266-09-06-2021"/>
        <s v="KAPE-MB-227394-09-06-2021"/>
        <s v="KAPE-MB-228620-10-06-2021"/>
        <s v="KAPE-IB-66769-08-11-2019"/>
        <s v="KAPE-IB-66727-08-11-2019"/>
        <s v="KAPE-IB-66746-08-11-2019"/>
        <s v="KAPE-IB-75900-22-11-2019"/>
        <s v="KPAF-IB-36423-20-01-2020"/>
        <s v="KPAF-IB-37047-22-01-2020"/>
        <s v="KAPE-IB-126077-11-02-2020"/>
        <s v="KAPW-IB-118562-20-04-2020"/>
        <s v="KAPE-IB-174963-11-05-2020"/>
        <s v="KPAF-IB-55271-03-06-2020"/>
        <s v="KAPE-IB-186360-04-06-2020"/>
        <s v="KPAF-IB-56238-10-06-2020"/>
        <s v="KAPE-IB-190862-12-06-2020"/>
        <s v="KAPE-IB-198991-29-06-2020"/>
        <s v="PQIB-IB-226-04-07-2020"/>
        <s v="PQIB-IB-2406-11-08-2020"/>
        <s v="KAPW-IB-19763-13-08-2020"/>
        <s v="PQIB-IB-3057-24-08-2020"/>
        <s v="KAPW-IB-29340-03-09-2020"/>
        <s v="KPAF-IB-13677-28-09-2020"/>
        <s v="KAPW-IB-62743-05-11-2020"/>
        <s v="KPFI-IB-18528-20-11-2020"/>
        <s v="KAPE-IB-115370-29-12-2020"/>
        <s v="KAPE-IB-118078-01-01-2021"/>
        <s v="KAPW-IB-95509-01-01-2021"/>
        <s v="KAPW-IB-99995-08-01-2021"/>
        <s v="KAPW-IB-101390-11-01-2021"/>
        <s v="KAPW-IB-103720-14-01-2021"/>
        <s v="KAPW-IB-104398-15-01-2021"/>
        <s v="KAPE-IB-135439-25-01-2021"/>
        <s v="KAPE-IB-135431-25-01-2021"/>
        <s v="KAPW-IB-110623-27-01-2021"/>
        <s v="KAPW-IB-110628-27-01-2021"/>
        <s v="KAPE-IB-137723-27-01-2021"/>
        <s v="KAPW-IB-111125-28-01-2021"/>
        <s v="KAPE-IB-140227-01-02-2021"/>
        <s v="KAPE-IB-140293-01-02-2021"/>
        <s v="KAPE-IB-145700-09-02-2021"/>
        <s v="KAPW-IB-119465-15-02-2021"/>
        <s v="KAPE-IB-149518-15-02-2021"/>
        <s v="KAPE-IB-155031-23-02-2021"/>
        <s v="KAPE-IB-156689-25-02-2021"/>
        <s v="KPPI-IB-65622-26-02-2021"/>
        <s v="KAPE-IB-160101-02-03-2021"/>
        <s v="KAPE-IB-170657-16-03-2021"/>
        <s v="KAPE-IB-170650-16-03-2021"/>
        <s v="KAPE-IB-174237-20-03-2021"/>
        <s v="KPAF-IB-46150-25-03-2021"/>
        <s v="KAPE-IB-177669-26-03-2021"/>
        <s v="KAPE-IB-178558-29-03-2021"/>
        <s v="KAPW-IB-143645-30-03-2021"/>
        <s v="KAPW-IB-143635-30-03-2021"/>
        <s v="KAPE-IB-180346-31-03-2021"/>
        <s v="KAPE-IB-180339-31-03-2021"/>
        <s v="KAPW-IB-151007-12-04-2021"/>
        <s v="KAPW-IB-159579-28-04-2021"/>
        <s v="KAPW-IB-160992-30-04-2021"/>
        <s v="KAPE-IB-199413-30-04-2021"/>
        <s v="KAPW-IB-161000-30-04-2021"/>
        <s v="KAPE-IB-202859-05-05-2021"/>
        <s v="KAPE-IB-202929-05-05-2021"/>
        <s v="KAPW-IB-165977-10-05-2021"/>
        <s v="KAPE-IB-206931-11-05-2021"/>
        <s v="KAPW-IB-167110-17-05-2021"/>
        <s v="KAPE-IB-212309-20-05-2021"/>
        <s v="KAPE-IB-214158-21-05-2021"/>
        <s v="KAPE-IB-215171-24-05-2021"/>
        <s v="KAPW-IB-172242-24-05-2021"/>
        <s v="KAPW-IB-172685-25-05-2021"/>
        <s v="KAPE-IB-216515-25-05-2021"/>
        <s v="KAPE-IB-220173-31-05-2021"/>
        <s v="KPAF-IB-60011-09-06-2021"/>
        <s v="KAPE-IB-228125-10-06-2021"/>
        <s v="KAPE-IB-230508-12-06-2021"/>
        <s v="KAPE-IB-230502-12-06-2021"/>
        <s v="KAPW-IB-182848-12-06-2021"/>
        <s v="KAPW-IB-182851-12-06-2021"/>
        <s v="KAPW-IB-184796-15-06-2021"/>
        <s v="KAPE-IB-2327-03-07-2021"/>
        <s v="KAPW-IB-1552-03-07-2021"/>
        <s v="KAPE-IB-2322-03-07-2021"/>
        <s v="KAPE-IB-2320-03-07-2021"/>
        <s v="KAPE-IB-4418-06-07-2021"/>
        <s v="KAPW-IB-3760-07-07-2021"/>
        <s v="KAPE-IB-5173-07-07-2021"/>
        <s v="KAPE-IB-6601-08-07-2021"/>
        <s v="KAPW-IB-4810-08-07-2021"/>
        <s v="KAPE-IB-10807-14-07-2021"/>
        <s v="KAPE-IB-10781-14-07-2021"/>
        <s v="KAPE-IB-10804-14-07-2021"/>
        <s v="KAPE-IB-10794-14-07-2021"/>
        <s v="KAPE-IB-13459-19-07-2021"/>
        <s v="KAPE-IB-13513-19-07-2021"/>
        <s v="KAPE-IB-13458-19-07-2021"/>
        <s v="KAPE-IB-16022-26-07-2021"/>
        <s v="KAPE-IB-17393-28-07-2021"/>
        <s v="KAPW-IB-13707-28-07-2021"/>
        <s v="KAPE-IB-17385-28-07-2021"/>
        <s v="KAPW-IB-15072-29-07-2021"/>
        <s v="KAPE-IB-22661-03-08-2021"/>
        <s v="KAPE-IB-25662-06-08-2021"/>
        <s v="KPAF-IB-6908-09-08-2021"/>
        <s v="KAPW-IB-20108-10-08-2021"/>
        <s v="KAPE-IB-31434-16-08-2021"/>
        <s v="KAPE-IB-31451-16-08-2021"/>
        <s v="KAPE-IB-32245-17-08-2021"/>
        <s v="KAPE-IB-31705-17-08-2021"/>
        <s v="KPAF-IB-8499-17-08-2021"/>
        <s v="KAPE-IB-32254-17-08-2021"/>
        <s v="KAPW-IB-25071-20-08-2021"/>
        <s v="KAPW-IB-25345-20-08-2021"/>
        <s v="KAPW-IB-25811-20-08-2021"/>
        <s v="KAPE-IB-34373-23-08-2021"/>
        <s v="KAPE-IB-34438-23-08-2021"/>
        <s v="KAPE-IB-34508-23-08-2021"/>
        <s v="KAPE-IB-34491-23-08-2021"/>
        <s v="KAPE-IB-36684-25-08-2021"/>
        <s v="KAPE-IB-37413-26-08-2021"/>
        <s v="KAPE-IB-36738-26-08-2021"/>
        <s v="KAPE-IB-38477-30-08-2021"/>
        <s v="KAPE-IB-39973-31-08-2021"/>
        <s v="KAPE-IB-40050-31-08-2021"/>
        <s v="KAPE-IB-40890-01-09-2021"/>
        <s v="KAPE-IB-40838-01-09-2021"/>
        <s v="KAPE-IB-40853-01-09-2021"/>
        <s v="KAPE-IB-40849-01-09-2021"/>
        <s v="KAPW-IB-33080-02-09-2021"/>
        <s v="KAPE-IB-42713-03-09-2021"/>
        <s v="KAPE-IB-45428-07-09-2021"/>
        <s v="KAPE-IB-45075-07-09-2021"/>
        <s v="KAPW-IB-35959-07-09-2021"/>
        <s v="KAPE-IB-45056-07-09-2021"/>
        <s v="KAPE-IB-46022-08-09-2021"/>
        <s v="KAPE-IB-47607-10-09-2021"/>
        <s v="KAPW-IB-38720-10-09-2021"/>
        <s v="KAPW-IB-38705-10-09-2021"/>
        <s v="KAPE-IB-49040-13-09-2021"/>
        <s v="KAPE-IB-49033-13-09-2021"/>
        <s v="KAPE-IB-50788-16-09-2021"/>
        <s v="KAPE-IB-50825-16-09-2021"/>
        <s v="KAPE-IB-51468-17-09-2021"/>
        <s v="KAPE-IB-51455-17-09-2021"/>
        <s v="KAPE-IB-51765-17-09-2021"/>
        <s v="KAPE-IB-54907-22-09-2021"/>
        <s v="KAPW-IB-46867-28-09-2021"/>
        <s v="KAPE-IB-59396-28-09-2021"/>
        <s v="KAPW-IB-46876-28-09-2021"/>
        <s v="KAPW-IB-46926-29-09-2021"/>
        <s v="KAPE-IB-59437-29-09-2021"/>
        <s v="KAPE-IB-59497-29-09-2021"/>
        <s v="KAPW-IB-48085-30-09-2021"/>
        <s v="KAPE-IB-61368-02-10-2021"/>
        <s v="KAPW-IB-50950-05-10-2021"/>
        <s v="KAPE-IB-62523-05-10-2021"/>
        <s v="KAPE-IB-62762-06-10-2021"/>
        <s v="KAPW-IB-51492-06-10-2021"/>
        <s v="KAPW-IB-53792-11-10-2021"/>
        <s v="KAPE-IB-65347-11-10-2021"/>
        <s v="KAPE-IB-65341-11-10-2021"/>
        <s v="KAPE-IB-65345-11-10-2021"/>
        <s v="KAPE-IB-66723-12-10-2021"/>
        <s v="KAPE-IB-66716-12-10-2021"/>
        <s v="KAPE-IB-66730-12-10-2021"/>
        <s v="KAPW-IB-54903-12-10-2021"/>
        <s v="KAPW-IB-55540-13-10-2021"/>
        <s v="KAPE-IB-67667-13-10-2021"/>
        <s v="KAPE-IB-67666-13-10-2021"/>
        <s v="KAPW-IB-56155-14-10-2021"/>
        <s v="KAPW-IB-57410-15-10-2021"/>
        <s v="KAPW-IB-57553-16-10-2021"/>
        <s v="KAPE-IB-71477-20-10-2021"/>
        <s v="KAPE-IB-73834-25-10-2021"/>
        <s v="KAPE-IB-73827-25-10-2021"/>
        <s v="KAPW-IB-63108-29-10-2021"/>
        <s v="KAPW-IB-63381-30-10-2021"/>
        <s v="KAPW-IB-65024-04-11-2021"/>
        <s v="KAPE-IB-81636-06-11-2021"/>
        <s v="KAPE-IB-83341-08-11-2021"/>
        <s v="KAPE-IB-83971-09-11-2021"/>
        <s v="KAPE-IB-84000-09-11-2021"/>
        <s v="KAPW-IB-67471-10-11-2021"/>
        <s v="KAPE-IB-86333-11-11-2021"/>
        <s v="KAPE-IB-86329-11-11-2021"/>
        <s v="KAPW-IB-70911-15-11-2021"/>
        <s v="KAPE-IB-89256-15-11-2021"/>
        <s v="KAPE-IB-89518-16-11-2021"/>
        <s v="KAPE-IB-89565-16-11-2021"/>
        <s v="KAPE-IB-91732-18-11-2021"/>
        <s v="KAPE-IB-94325-23-11-2021"/>
        <s v="KAPE-IB-94334-23-11-2021"/>
        <s v="KAPE-IB-95153-24-11-2021"/>
        <s v="KAPW-IB-77483-26-11-2021"/>
        <s v="KAPW-IB-79954-30-11-2021"/>
        <s v="KAPE-IB-99339-30-11-2021"/>
        <s v="KAPE-IB-99346-30-11-2021"/>
        <s v="KAPE-IB-99360-30-11-2021"/>
        <s v="KAPE-IB-99354-30-11-2021"/>
        <s v="KAPW-IB-80150-01-12-2021"/>
        <s v="KAPW-IB-81108-02-12-2021"/>
        <s v="KAPW-IB-81771-03-12-2021"/>
        <s v="KAPE-IB-101874-03-12-2021"/>
        <s v="KAPW-IB-83496-06-12-2021"/>
        <s v="KAPE-IB-103482-06-12-2021"/>
        <s v="KAPE-IB-103549-06-12-2021"/>
        <s v="KPAF-IB-30892-13-12-2021"/>
        <s v="KAPE-IB-108499-14-12-2021"/>
        <s v="KAPW-IB-88577-14-12-2021"/>
        <s v="KPPI-IB-42167-15-12-2021"/>
        <s v="KPPI-IB-42182-16-12-2021"/>
        <s v="KAPE-IB-111446-16-12-2021"/>
        <s v="KAPE-IB-111629-17-12-2021"/>
        <s v="KAPE-IB-112508-18-12-2021"/>
        <s v="KAPE-IB-112505-18-12-2021"/>
        <s v="KAPE-IB-115712-23-12-2021"/>
        <s v="KAPE-IB-116715-24-12-2021"/>
        <s v="KAPE-IB-116727-24-12-2021"/>
        <s v="KAPW-IB-96455-28-12-2021"/>
        <s v="KPAF-IB-33775-28-12-2021"/>
        <s v="KAPW-IB-97856-30-12-2021"/>
        <s v="KAPE-IB-120641-31-12-2021"/>
        <s v="KAPE-IB-120597-31-12-2021"/>
        <s v="KAPE-IB-120523-31-12-2021"/>
        <s v="KPAF-IB-34697-31-12-2021"/>
        <s v="KAPE-IB-121219-03-01-2022"/>
        <s v="KAPE-IB-121234-03-01-2022"/>
        <s v="KAPE-IB-121250-03-01-2022"/>
        <s v="KAPE-IB-121223-03-01-2022"/>
        <s v="KAPE-IB-121585-04-01-2022"/>
        <s v="KAPE-IB-123067-05-01-2022"/>
        <s v="KAPE-IB-123078-05-01-2022"/>
        <s v="KAPW-IB-104471-11-01-2022"/>
        <s v="KAPE-IB-126926-11-01-2022"/>
        <s v="KAPW-IB-105006-11-01-2022"/>
        <s v="KAPE-IB-127747-12-01-2022"/>
        <s v="KAPE-IB-127793-12-01-2022"/>
        <s v="KAPW-IB-106492-13-01-2022"/>
        <s v="KAPE-IB-128667-13-01-2022"/>
        <s v="KAPE-IB-128635-13-01-2022"/>
        <s v="KAPE-IB-128644-13-01-2022"/>
        <s v="KAPE-IB-130078-14-01-2022"/>
        <s v="KAPW-IB-106716-14-01-2022"/>
        <s v="KAPW-IB-106693-14-01-2022"/>
        <s v="KAPE-IB-129594-14-01-2022"/>
        <s v="KAPE-IB-129589-14-01-2022"/>
        <s v="KAPE-IB-129656-14-01-2022"/>
        <s v="KAPE-IB-129603-14-01-2022"/>
        <s v="KAPW-IB-108998-18-01-2022"/>
        <s v="KAPW-IB-109021-18-01-2022"/>
        <s v="KAPE-IB-132411-19-01-2022"/>
        <s v="KAPE-IB-133444-20-01-2022"/>
        <s v="KAPE-IB-135162-25-01-2022"/>
        <s v="KAPE-IB-135157-25-01-2022"/>
        <s v="KAPE-IB-135164-25-01-2022"/>
        <s v="KAPE-IB-136944-27-01-2022"/>
        <s v="KAPE-IB-137929-28-01-2022"/>
        <s v="KAPW-IB-113511-28-01-2022"/>
        <s v="KAPW-IB-114076-31-01-2022"/>
        <s v="KAPW-IB-114600-31-01-2022"/>
        <s v="KAPE-IB-141471-02-02-2022"/>
        <s v="KAPW-IB-115923-02-02-2022"/>
        <s v="KAPE-IB-142689-03-02-2022"/>
        <s v="KAPW-IB-118811-07-02-2022"/>
        <s v="KAPE-IB-145470-07-02-2022"/>
        <s v="KAPW-IB-119605-08-02-2022"/>
        <s v="KAPW-IB-122139-11-02-2022"/>
        <s v="KAPW-IB-122238-11-02-2022"/>
        <s v="KAPE-IB-148901-12-02-2022"/>
        <s v="KAPE-IB-151471-16-02-2022"/>
        <s v="KAPE-IB-151452-16-02-2022"/>
        <s v="KAPW-IB-125939-17-02-2022"/>
        <s v="KAPE-IB-152435-17-02-2022"/>
        <s v="KAPE-IB-152427-17-02-2022"/>
        <s v="KAPW-IB-127797-21-02-2022"/>
        <s v="KPAF-IB-43364-21-02-2022"/>
        <s v="KAPE-IB-152440-17-02-2022"/>
        <s v="KAPE-IB-156182-22-02-2022"/>
        <s v="KPAF-IB-44114-24-02-2022"/>
        <s v="KAPE-IB-158262-24-02-2022"/>
        <s v="KAPW-IB-130911-25-02-2022"/>
        <s v="KAPE-IB-159014-25-02-2022"/>
        <s v="KPAF-IB-45390-03-03-2022"/>
        <s v="KAPW-IB-132406-01-03-2022"/>
        <s v="KAPE-IB-162555-02-03-2022"/>
        <s v="KAPW-IB-132268-01-03-2022"/>
        <s v="KAPW-IB-132362-01-03-2022"/>
        <s v="KAPW-IB-133587-03-03-2022"/>
        <s v="KAPE-IB-164920-07-03-2022"/>
        <s v="KAPE-IB-168611-14-03-2022"/>
        <s v="KAPE-IB-168698-14-03-2022"/>
        <s v="KPAF-IB-44674-28-02-2022"/>
        <s v="KAPW-IB-136039-09-03-2022"/>
        <s v="KAPW-IB-137115-11-03-2022"/>
        <s v="KAPE-IB-168621-14-03-2022"/>
        <s v="KAPE-IB-170365-15-03-2022"/>
        <s v="KAPE-IB-170407-15-03-2022"/>
        <s v="KAPE-IB-172975-19-03-2022"/>
        <s v="KAPE-IB-173183-21-03-2022"/>
        <s v="KAPW-IB-139123-15-03-2022"/>
        <s v="KAPW-IB-141429-19-03-2022"/>
        <s v="KAPE-IB-175040-24-03-2022"/>
        <s v="KAPE-IB-175214-24-03-2022"/>
        <s v="KAPE-IB-172195-18-03-2022"/>
        <s v="KAPE-IB-175199-24-03-2022"/>
        <s v="KAPE-IB-175809-25-03-2022"/>
        <s v="KAPW-IB-143787-25-03-2022"/>
        <s v="KPAF-IB-50262-29-03-2022"/>
        <s v="KAPE-IB-178010-29-03-2022"/>
        <s v="KAPE-IB-177711-29-03-2022"/>
        <s v="KAPE-IB-177816-29-03-2022"/>
        <s v="KAPE-IB-178580-30-03-2022"/>
        <s v="KAPW-IB-147499-31-03-2022"/>
        <s v="KAPE-IB-176878-28-03-2022"/>
        <s v="KAPE-IB-181191-04-04-2022"/>
        <s v="KAPE-IB-182040-05-04-2022"/>
        <s v="KAPE-IB-182264-06-04-2022"/>
        <s v="KPAF-IB-52645-11-04-2022"/>
        <s v="KAPE-IB-187220-15-04-2022"/>
        <s v="KAPE-IB-188953-18-04-2022"/>
        <s v="KAPE-IB-188943-18-04-2022"/>
        <s v="KAPW-IB-154711-18-04-2022"/>
        <s v="KAPW-IB-157282-21-04-2022"/>
        <s v="KAPE-IB-193166-25-04-2022"/>
        <s v="KAPW-IB-156911-21-04-2022"/>
        <s v="KAPW-IB-157408-22-04-2022"/>
        <s v="KAPE-IB-193652-26-04-2022"/>
        <s v="KAPE-IB-191342-21-04-2022"/>
        <s v="KAPE-IB-193852-26-04-2022"/>
        <s v="KAPE-IB-196703-29-04-2022"/>
        <s v="KAPE-IB-196874-29-04-2022"/>
        <s v="KPAF-IB-56483-06-05-2022"/>
        <s v="KAPE-IB-199558-09-05-2022"/>
        <s v="KAPE-IB-199160-09-05-2022"/>
        <s v="KAPW-IB-164566-10-05-2022"/>
        <s v="KAPE-IB-203232-12-05-2022"/>
        <s v="KAPE-IB-202132-11-05-2022"/>
        <s v="KAPE-IB-195567-28-04-2022"/>
        <s v="KAPW-IB-165948-11-05-2022"/>
        <s v="KAPW-IB-165902-11-05-2022"/>
        <s v="KAPW-IB-170426-18-05-2022"/>
        <s v="KAPE-IB-207742-18-05-2022"/>
        <s v="KAPE-IB-209585-23-05-2022"/>
        <s v="KAPE-IB-209572-23-05-2022"/>
        <s v="KAPE-IB-212426-26-05-2022"/>
        <s v="KAPW-IB-174152-26-05-2022"/>
        <s v="KAPE-IB-213507-30-05-2022"/>
        <s v="KAPW-IB-176924-02-06-2022"/>
        <s v="KAPE-IB-219641-07-06-2022"/>
        <s v="KAPE-IB-219669-07-06-2022"/>
        <s v="KAPE-IB-219687-07-06-2022"/>
        <s v="KAPW-IB-178347-06-06-2022"/>
        <s v="KAPE-IB-218987-07-06-2022"/>
        <s v="KAPW-IB-182158-13-06-2022"/>
        <s v="KAPW-IB-182586-14-06-2022"/>
        <s v="KAPE-IB-226952-21-06-2022"/>
        <s v="KAPE-IB-228399-22-06-2022"/>
        <s v="KAPW-IB-182881-14-06-2022"/>
        <s v="KAPE-IB-226928-21-06-2022"/>
        <s v="KAPW-IB-187599-27-06-2022"/>
        <s v="KAPW-IB-188078-27-06-2022"/>
        <s v="KAPW-IB-190015-30-06-2022"/>
        <s v="KAPE-IB-2006-04-07-2022"/>
        <s v="KAPE-IB-1995-04-07-2022"/>
        <s v="KAPE-IB-3802-06-07-2022"/>
        <s v="KAPE-IB-3878-06-07-2022"/>
        <s v="KAPE-IB-4498-07-07-2022"/>
        <s v="KPAF-IB-1330-13-07-2022"/>
        <s v="KAPE-IB-2011-04-07-2022"/>
        <s v="KAPW-IB-4709-14-07-2022"/>
        <s v="KAPE-IB-6713-15-07-2022"/>
        <s v="KAPE-IB-8569-19-07-2022"/>
        <s v="KPFI-IB-1486-15-07-2022"/>
        <s v="KPFI-IB-1754-18-07-2022"/>
        <s v="KPFI-IB-1749-18-07-2022"/>
        <s v="KAPE-IB-9650-20-07-2022"/>
        <s v="KAPW-IB-8287-20-07-2022"/>
        <s v="KAPE-IB-12583-26-07-2022"/>
        <s v="KAPE-IB-10867-21-07-2022"/>
        <s v="KAPE-IB-12604-26-07-2022"/>
        <s v="KAPE-IB-15088-29-07-2022"/>
        <s v="KAPE-IB-17173-02-08-2022"/>
        <s v="KAPE-IB-17136-02-08-2022"/>
        <s v="KAPW-IB-10863-26-07-2022"/>
        <s v="KAPW-IB-14373-02-08-2022"/>
        <s v="KAPW-IB-14182-02-08-2022"/>
        <s v="KAPE-IB-18161-03-08-2022"/>
        <s v="KAPW-IB-14172-02-08-2022"/>
        <s v="KAPE-IB-20059-06-08-2022"/>
        <s v="KAPE-IB-20052-06-08-2022"/>
        <s v="KAPW-IB-17639-11-08-2022"/>
        <s v="KAPE-IB-20806-10-08-2022"/>
        <s v="KAPE-IB-22786-12-08-2022"/>
        <s v="KAPE-IB-20079-06-08-2022"/>
        <s v="KAPE-IB-24256-16-08-2022"/>
        <s v="KAPW-IB-25951-25-08-2022"/>
        <s v="KAPW-IB-24417-23-08-2022"/>
        <s v="KAPW-IB-27141-27-08-2022"/>
        <s v="KAPE-IB-35021-01-09-2022"/>
        <s v="KAPE-IB-40552-12-09-2022"/>
        <s v="KAPW-IB-34999-14-09-2022"/>
        <s v="KAPE-IB-44112-19-09-2022"/>
        <s v="KAPW-IB-36748-19-09-2022"/>
        <s v="KAPE-IB-45663-21-09-2022"/>
        <s v="KAPW-IB-36765-19-09-2022"/>
        <s v="KAPW-IB-40776-28-09-2022"/>
        <s v="KAPE-IB-44820-20-09-2022"/>
        <s v="KAPW-IB-40583-27-09-2022"/>
        <s v="KAPW-IB-40528-27-09-2022"/>
        <s v="KAPW-IB-40843-28-09-2022"/>
        <s v="KAPE-IB-52786-05-10-2022"/>
        <s v="KAPE-IB-54863-10-10-2022"/>
        <s v="KAPE-IB-56267-12-10-2022"/>
        <s v="KAPE-IB-55926-11-10-2022"/>
        <s v="KAPE-IB-58949-17-10-2022"/>
        <s v="KAPE-IB-58962-17-10-2022"/>
        <s v="KAPE-IB-53385-06-10-2022"/>
        <s v="KPPI-IB-20546-17-10-2022"/>
        <s v="KPPI-IB-20535-17-10-2022"/>
        <s v="KAPE-IB-63343-24-10-2022"/>
        <s v="KAPE-IB-65524-27-10-2022"/>
        <s v="KAPW-IB-53419-26-10-2022"/>
        <s v="KAPE-IB-65375-27-10-2022"/>
        <s v="KAPE-IB-65330-27-10-2022"/>
        <s v="KAPW-IB-54840-28-10-2022"/>
        <s v="KAPE-IB-68152-02-11-2022"/>
        <s v="KAPE-IB-69395-04-11-2022"/>
        <s v="KAPE-IB-70589-07-11-2022"/>
        <s v="KAPE-IB-70582-07-11-2022"/>
        <s v="KAPE-IB-68147-02-11-2022"/>
        <s v="KAPE-IB-69401-04-11-2022"/>
        <s v="KAPW-IB-57245-04-11-2022"/>
        <s v="KAPE-IB-71811-10-11-2022"/>
        <s v="KPPI-IB-24375-07-11-2022"/>
        <s v="KPAF-IB-19849-14-11-2022"/>
        <s v="KAPE-IB-73625-14-11-2022"/>
        <s v="KPPI-IB-25585-14-11-2022"/>
        <s v="KAPW-IB-65578-22-11-2022"/>
        <s v="KPPI-IB-27083-21-11-2022"/>
        <s v="KPPI-IB-27637-23-11-2022"/>
        <s v="KAPW-IB-67755-26-11-2022"/>
        <s v="KAPW-IB-67708-26-11-2022"/>
        <s v="KAPW-IB-73558-08-12-2022"/>
        <s v="KAPE-IB-82182-28-11-2022"/>
        <s v="KAPE-IB-81883-28-11-2022"/>
        <s v="KPAF-IB-22405-30-11-2022"/>
        <s v="KAPW-IB-75086-12-12-2022"/>
        <s v="KAPE-IB-93423-15-12-2022"/>
        <s v="KAPE-IB-90728-12-12-2022"/>
        <s v="KAPE-IB-90928-12-12-2022"/>
        <s v="KAPW-IB-78434-19-12-2022"/>
        <s v="KAPW-IB-79770-21-12-2022"/>
        <s v="KAPE-IB-103699-03-01-2023"/>
        <s v="KAPE-IB-108364-11-01-2023"/>
        <s v="PQIB-IB-9547-06-12-2022"/>
        <s v="KAPE-IB-107391-09-01-2023"/>
        <s v="KPAF-IB-29515-16-01-2023"/>
        <s v="KAPE-IB-113131-20-01-2023"/>
        <s v="KAPW-IB-90120-16-01-2023"/>
        <s v="KPAF-IB-30221-20-01-2023"/>
        <s v="KAPE-IB-113930-21-01-2023"/>
        <s v="KPPI-IB-38567-19-01-2023"/>
        <s v="KAPW-IB-93598-24-01-2023"/>
        <s v="KAPE-IB-116635-26-01-2023"/>
        <s v="KAPE-IB-116620-26-01-2023"/>
        <s v="KAPE-IB-120077-30-01-2023"/>
        <s v="KAPE-IB-120271-30-01-2023"/>
        <s v="KPFI-IB-25327-02-02-2023"/>
        <s v="KAPE-IB-124652-06-02-2023"/>
        <s v="KAPW-IB-100096-06-02-2023"/>
        <s v="KAPW-IB-101716-08-02-2023"/>
        <s v="KAPE-IB-127848-09-02-2023"/>
        <s v="KAPW-IB-102354-09-02-2023"/>
        <s v="KAPE-IB-132648-21-02-2023"/>
        <s v="KAPW-IB-108664-24-02-2023"/>
        <s v="KAPW-IB-108660-24-02-2023"/>
        <s v="KAPW-IB-108654-24-02-2023"/>
        <s v="KAPE-IB-133908-27-02-2023"/>
        <s v="KAPE-IB-134719-02-03-2023"/>
        <s v="KAPW-IB-111548-03-03-2023"/>
        <s v="KAPS-IB-4531-02-03-2023"/>
        <s v="KPAF-IB-34893-28-02-2023"/>
        <s v="KAPS-IB-6074-08-03-2023"/>
        <s v="KAPS-IB-5460-06-03-2023"/>
        <s v="KAPS-IB-6595-10-03-2023"/>
        <s v="KAPS-IB-9008-20-03-2023"/>
        <s v="KAPE-IB-136853-15-03-2023"/>
        <s v="KAPS-IB-3675-28-02-2023"/>
        <s v="KPAF-IB-37027-15-03-2023"/>
        <s v="KPAF-IB-38071-22-03-2023"/>
        <s v="KAPE-IB-138483-25-03-2023"/>
        <s v="KAPE-IB-138782-27-03-2023"/>
        <s v="KPPI-IB-50645-30-03-2023"/>
        <s v="KAPS-IB-11803-03-04-2023"/>
        <s v="KAPW-IB-119999-31-03-2023"/>
        <s v="KAPW-IB-119882-31-03-2023"/>
        <s v="KAPW-IB-120896-04-04-2023"/>
        <s v="KAPS-IB-14376-12-04-2023"/>
        <s v="KAPS-IB-11991-03-04-2023"/>
        <s v="KAPW-IB-123024-10-04-2023"/>
        <s v="KAPW-IB-123040-10-04-2023"/>
        <s v="KAPS-IB-15484-16-04-2023"/>
        <s v="PQIB-IB-16708-28-03-2023"/>
        <s v="KAPE-IB-143556-26-04-2023"/>
        <s v="KAPS-IB-17617-27-04-2023"/>
        <s v="KAPS-IB-17584-27-04-2023"/>
        <s v="KAPW-IB-128480-28-04-2023"/>
        <s v="KPPI-IB-54759-27-04-2023"/>
        <s v="KAPW-IB-130351-03-05-2023"/>
        <s v="KAPW-IB-128979-28-04-2023"/>
        <s v="KPFI-IB-34367-03-05-2023"/>
        <s v="KAPW-IB-129446-02-05-2023"/>
        <s v="KAPW-IB-132481-08-05-2023"/>
        <s v="KAPE-IB-145570-05-05-2023"/>
        <s v="KAPW-IB-132473-08-05-2023"/>
        <s v="KAPW-IB-131668-05-05-2023"/>
        <s v="KPFI-IB-35047-08-05-2023"/>
        <s v="KAPS-IB-22072-11-05-2023"/>
        <s v="KAPS-IB-21933-10-05-2023"/>
        <s v="KAPW-IB-133211-09-05-2023"/>
        <s v="KPAF-IB-45892-16-05-2023"/>
        <s v="KAPW-IB-135626-15-05-2023"/>
        <s v="KAPW-IB-136592-17-05-2023"/>
        <s v="KAPS-IB-25629-22-05-2023"/>
        <s v="KAPE-IB-149372-22-05-2023"/>
        <s v="KAPS-IB-26207-24-05-2023"/>
        <s v="KAPS-IB-26200-24-05-2023"/>
        <s v="KAPW-IB-140973-29-05-2023"/>
        <s v="KAPS-IB-27445-26-05-2023"/>
        <s v="KAPW-IB-142009-31-05-2023"/>
        <s v="KAPS-IB-29015-01-06-2023"/>
        <s v="KAPE-IB-153269-07-06-2023"/>
        <s v="KAPW-IB-143970-06-06-2023"/>
        <s v="KAPW-IB-146777-12-06-2023"/>
        <s v="KAPE-IB-155829-20-06-2023"/>
        <s v="KPPI-IB-63606-19-06-2023"/>
        <s v="KPPI-IB-63605-19-06-2023"/>
        <s v="KPPI-IB-63603-19-06-2023"/>
        <s v="KPPI-IB-63604-19-06-2023"/>
        <s v="KAPW-IB-149837-21-06-2023"/>
        <s v="KAPS-IB-36381-26-06-2023"/>
        <s v="KAPE-IB-156608-23-06-2023"/>
        <s v="KAPS-IB-34263-20-06-2023"/>
        <s v="KAPW-IB-143982-06-06-2023"/>
        <s v="KPAF-IB-650-05-07-2023"/>
        <s v="KAPS-IB-37294-27-06-2023"/>
        <s v="KAPE-IB-159-04-07-2023"/>
        <s v="KPAF-IB-670-05-07-2023"/>
        <s v="KAPE-IB-167-04-07-2023"/>
        <s v="KPAF-IB-115-03-07-2023"/>
        <s v="KAPW-IB-152829-27-06-2023"/>
        <s v="KAPS-IB-36447-26-06-2023"/>
        <s v="KPPI-IB-298-04-07-2023"/>
        <s v="KPPI-IB-321-04-07-2023"/>
        <s v="KAPW-IB-648-04-07-2023"/>
        <s v="KAPW-IB-191-03-07-2023"/>
        <s v="KAPS-IB-1409-06-07-2023"/>
        <s v="KAPE-FS-1496-08-07-2023"/>
        <s v="KAPW-FS-4230-10-07-2023"/>
        <s v="KAPE-FS-1994-11-07-2023"/>
        <s v="KPPI-FS-2370-12-07-2023"/>
        <s v="KPPI-FS-2374-12-07-2023"/>
        <s v="KAPS-FS-5256-12-07-2023"/>
        <s v="KAPW-FS-7620-15-07-2023"/>
        <s v="KPAF-FS-2302-15-07-2023"/>
        <s v="KAPW-IB-2468-06-07-2023"/>
        <s v="KAPW-IB-2040-06-07-2023"/>
        <s v="KPPI-FS-2379-12-07-2023"/>
        <s v="KAPW-FS-6474-13-07-2023"/>
        <s v="KAPS-FS-6492-14-07-2023"/>
        <s v="KAPW-FS-7622-15-07-2023"/>
        <s v="KAPW-FS-7623-15-07-2023"/>
        <s v="KAPW-FS-10367-20-07-2023"/>
        <s v="KAPW-FS-10366-20-07-2023"/>
        <s v="KAPW-FS-10509-20-07-2023"/>
        <s v="KAPW-FS-11807-22-07-2023"/>
        <s v="KAPS-FS-9486-22-07-2023"/>
        <s v="KAPW-FS-11808-22-07-2023"/>
        <s v="KAPE-FS-5500-22-07-2023"/>
        <s v="KAPW-FS-11805-22-07-2023"/>
        <s v="KAPW-FS-12038-24-07-2023"/>
        <s v="KAPW-FS-12037-24-07-2023"/>
        <s v="KAPW-FS-12729-25-07-2023"/>
        <s v="KAPW-FS-13483-26-07-2023"/>
        <s v="KAPS-FS-10920-26-07-2023"/>
        <s v="KAPS-FS-13465-02-08-2023"/>
        <s v="KAPS-FS-14443-04-08-2023"/>
        <s v="KAPS-FS-14441-04-08-2023"/>
        <s v="KAPE-FS-9023-07-08-2023"/>
        <s v="KAPS-FS-15439-07-08-2023"/>
        <s v="KAPS-FS-15113-07-08-2023"/>
        <s v="KAPE-FS-9119-08-08-2023"/>
        <s v="KAPW-FS-20224-10-08-2023"/>
        <s v="KAPE-FS-9741-10-08-2023"/>
        <s v="KPPI-FS-8359-10-08-2023"/>
        <s v="KPPI-FS-8357-10-08-2023"/>
        <s v="KAPS-FS-17123-11-08-2023"/>
        <s v="KAPW-FS-23513-17-08-2023"/>
        <s v="KPPI-FS-10403-22-08-2023"/>
        <s v="KAPE-FS-12872-22-08-2023"/>
        <s v="KAPS-FS-22034-24-08-2023"/>
        <s v="KPPI-FS-11015-24-08-2023"/>
        <s v="KAPE-FS-13569-24-08-2023"/>
        <s v="KPPI-FS-11649-28-08-2023"/>
        <s v="KPPI-FS-11650-28-08-2023"/>
        <s v="KAPS-FS-23283-28-08-2023"/>
        <s v="KAPS-FS-23743-29-08-2023"/>
        <s v="KAPW-FS-29391-29-08-2023"/>
        <s v="KAPE-FS-15673-01-09-2023"/>
        <s v="KPPI-FS-12579-01-09-2023"/>
        <s v="KAPW-FS-31229-01-09-2023"/>
        <s v="KPPI-FS-12580-01-09-2023"/>
        <s v="KAPS-FS-24917-01-09-2023"/>
        <s v="KPPI-FS-13437-05-09-2023"/>
        <s v="KPPI-FS-13434-05-09-2023"/>
        <s v="KAPE-FS-16848-06-09-2023"/>
        <s v="KAPS-FS-26675-06-09-2023"/>
        <s v="KAPW-FS-35299-08-09-2023"/>
        <s v="KAPW-FS-35066-08-09-2023"/>
        <s v="KAPW-FS-35064-08-09-2023"/>
        <s v="KAPW-FS-35531-08-09-2023"/>
        <s v="KPPI-FS-13968-08-09-2023"/>
        <s v="KAPW-FS-36581-12-09-2023"/>
        <s v="KPPI-FS-13969-08-09-2023"/>
        <s v="KAPW-FS-37553-13-09-2023"/>
        <s v="KAPE-FS-17348-08-09-2023"/>
        <s v="KAPE-FS-19649-18-09-2023"/>
        <s v="KAPW-FS-37554-13-09-2023"/>
        <s v="KAPS-FS-31014-19-09-2023"/>
        <s v="KAPW-FS-39892-18-09-2023"/>
        <s v="KAPW-FS-39893-18-09-2023"/>
        <s v="KPPI-FS-15582-16-09-2023"/>
        <s v="KAPW-FS-40378-19-09-2023"/>
        <s v="KAPS-FS-32026-22-09-2023"/>
        <s v="KAPW-FS-43777-26-09-2023"/>
        <s v="KAPS-FS-34666-02-10-2023"/>
        <s v="KAPW-FS-46787-03-10-2023"/>
        <s v="KPPI-FS-19300-05-10-2023"/>
        <s v="KAPW-FS-49134-06-10-2023"/>
        <s v="KAPW-FS-49133-06-10-2023"/>
        <s v="KAPS-FS-36818-06-10-2023"/>
        <s v="KAPE-FS-26063-13-10-2023"/>
        <s v="KPAF-FS-18179-17-10-2023"/>
        <s v="KAPW-FS-55507-18-10-2023"/>
        <s v="KAPS-FS-41324-18-10-2023"/>
        <s v="KAPW-FS-57519-20-10-2023"/>
        <s v="KAPE-FS-27472-18-10-2023"/>
        <s v="KAPE-FS-28369-20-10-2023"/>
        <s v="KAPS-FS-44579-26-10-2023"/>
        <s v="KAPE-FS-30144-27-10-2023"/>
        <s v="KPPI-FS-23796-28-10-2023"/>
        <s v="KAPS-FS-47366-01-11-2023"/>
        <s v="KAPE-FS-31916-03-11-2023"/>
        <s v="KAPW-FS-65055-03-11-2023"/>
        <s v="KAPS-FS-47364-01-11-2023"/>
        <s v="KAPE-FS-32181-04-11-2023"/>
        <s v="KAPS-FS-48907-06-11-2023"/>
        <s v="KAPS-FS-50062-10-11-2023"/>
        <s v="KAPS-FS-51186-14-11-2023"/>
        <s v="KAPW-FS-68911-13-11-2023"/>
        <s v="KAPS-FS-52107-16-11-2023"/>
        <s v="KAPS-FS-51016-14-11-2023"/>
        <s v="KAPS-FS-51188-14-11-2023"/>
        <s v="KAPW-FS-75828-24-11-2023"/>
        <s v="KAPS-FS-55283-23-11-2023"/>
        <s v="KAPS-FS-57526-28-11-2023"/>
        <s v="KAPS-FS-57525-28-11-2023"/>
        <s v="KAPW-FS-80230-30-11-2023"/>
        <s v="KAPW-FS-81819-04-12-2023"/>
        <s v="KAPW-FS-80233-30-11-2023"/>
        <s v="KAPW-FS-80231-30-11-2023"/>
        <s v="KAPW-FS-82713-05-12-2023"/>
        <s v="KAPW-FS-84073-07-12-2023"/>
        <s v="KAPS-FS-62965-12-12-2023"/>
        <s v="KAPE-FS-41875-13-12-2023"/>
        <s v="KPAF-FS-28587-15-12-2023"/>
        <s v="KAPE-FS-43019-18-12-2023"/>
        <s v="KAPS-FS-64757-16-12-2023"/>
        <s v="KAPS-FS-65794-19-12-2023"/>
        <s v="KAPS-FS-67466-21-12-2023"/>
        <s v="KAPS-FS-67818-22-12-2023"/>
        <s v="KAPS-FS-68864-26-12-2023"/>
        <s v="KAPS-FS-69884-28-12-2023"/>
        <s v="KAPS-FS-72689-04-01-2024"/>
        <s v="KAPE-FS-46606-04-01-2024"/>
        <s v="KPAF-FS-31625-02-01-2024"/>
        <s v="KAPS-FS-72691-04-01-2024"/>
        <s v="KAPE-FS-45579-01-01-2024"/>
        <s v="KAPS-FS-75024-10-01-2024"/>
        <s v="KAPW-FS-100035-05-01-2024"/>
        <s v="KAPS-FS-76288-12-01-2024"/>
        <s v="KAPS-FS-76290-12-01-2024"/>
        <s v="KAPW-FS-104585-12-01-2024"/>
        <s v="KAPS-FS-77946-16-01-2024"/>
        <s v="KAPW-FS-104588-12-01-2024"/>
        <s v="KAPW-FS-104587-12-01-2024"/>
        <s v="KAPW-FS-107833-18-01-2024"/>
        <s v="KAPW-FS-107064-16-01-2024"/>
        <s v="KPPI-FS-40049-16-01-2024"/>
        <s v="KAPS-FS-78557-18-01-2024"/>
        <s v="KAPW-FS-107801-18-01-2024"/>
        <s v="KAPW-FS-110804-23-01-2024"/>
        <s v="KAPS-FS-80327-23-01-2024"/>
        <s v="KAPS-FS-78581-18-01-2024"/>
        <s v="KAPS-FS-78582-18-01-2024"/>
        <s v="KAPS-FS-80270-23-01-2024"/>
        <s v="KAPW-FS-110799-23-01-2024"/>
        <s v="KAPW-FS-112745-25-01-2024"/>
        <s v="KAPS-FS-84174-31-01-2024"/>
        <s v="KAPW-FS-116119-31-01-2024"/>
        <s v="KAPW-FS-116120-31-01-2024"/>
        <s v="KAPS-FS-84173-31-01-2024"/>
        <s v="KAPW-FS-117024-01-02-2024"/>
        <s v="KPAF-FS-36895-02-02-2024"/>
        <s v="KAPW-FS-118330-02-02-2024"/>
        <s v="KAPW-FS-118328-02-02-2024"/>
        <s v="KAPS-FS-86837-06-02-2024"/>
        <s v="KAPW-FS-119331-06-02-2024"/>
        <s v="KAPW-FS-119521-06-02-2024"/>
        <s v="KPFI-FS-26918-07-02-2024"/>
        <s v="KPFI-FS-26919-07-02-2024"/>
        <s v="KPFI-FS-26920-07-02-2024"/>
        <s v="KAPW-FS-122316-10-02-2024"/>
        <s v="KAPS-FS-89059-12-02-2024"/>
        <s v="KAPW-FS-124277-14-02-2024"/>
        <s v="KAPW-FS-124476-14-02-2024"/>
        <s v="KAPW-FS-125038-15-02-2024"/>
        <s v="KAPS-FS-91865-16-02-2024"/>
        <s v="KPPI-FS-46101-21-02-2024"/>
        <s v="KAPS-FS-95844-23-02-2024"/>
        <s v="KAPW-FS-131726-27-02-2024"/>
        <s v="KAPW-FS-132705-28-02-2024"/>
        <s v="KAPW-FS-137643-07-03-2024"/>
        <s v="KAPW-FS-137770-07-03-2024"/>
        <s v="KAPW-FS-137771-07-03-2024"/>
        <s v="KAPW-FS-139283-09-03-2024"/>
        <s v="KAPS-FS-102925-09-03-2024"/>
        <s v="KPAF-FS-43681-11-03-2024"/>
        <s v="KAPS-FS-104215-12-03-2024"/>
        <s v="KAPS-FS-104803-13-03-2024"/>
        <s v="KAPE-FS-60621-13-03-2024"/>
        <s v="KAPW-FS-142293-15-03-2024"/>
        <s v="KAPW-FS-142294-15-03-2024"/>
        <s v="KPAF-FS-44664-15-03-2024"/>
        <s v="KAPS-FS-106915-18-03-2024"/>
        <s v="KAPS-FS-106914-18-03-2024"/>
        <s v="KAPS-FS-106916-18-03-2024"/>
        <s v="KAPS-FS-106917-18-03-2024"/>
        <s v="KAPS-FS-106918-18-03-2024"/>
        <s v="KAPS-FS-107200-19-03-2024"/>
        <s v="KAPS-FS-108088-21-03-2024"/>
        <s v="KAPW-FS-148199-27-03-2024"/>
        <s v="KAPW-FS-150133-30-03-2024"/>
        <s v="KAPW-FS-150846-01-04-2024"/>
        <s v="KAPS-FS-110169-27-03-2024"/>
        <s v="KAPW-FS-150842-01-04-2024"/>
        <s v="KAPW-FS-150848-01-04-2024"/>
        <s v="KAPE-FS-64665-03-04-2024"/>
        <s v="KAPS-FS-114599-05-04-2024"/>
        <s v="KAPE-FS-65450-08-04-2024"/>
        <s v="KPAF-FS-50053-15-04-2024"/>
        <s v="KAPS-FS-119046-18-04-2024"/>
        <s v="KAPW-FS-158790-18-04-2024"/>
        <s v="KAPW-FS-158798-18-04-2024"/>
        <s v="KAPW-FS-158859-18-04-2024"/>
        <s v="KAPW-FS-158867-18-04-2024"/>
        <s v="KAPW-FS-158784-18-04-2024"/>
        <s v="KAPS-FS-119025-18-04-2024"/>
        <s v="KAPS-FS-119014-18-04-2024"/>
        <s v="KAPS-FS-120629-22-04-2024"/>
        <s v="KAPW-FS-161911-24-04-2024"/>
        <s v="KAPS-FS-122706-25-04-2024"/>
        <s v="KPPI-FS-59812-25-04-2024"/>
        <s v="KAPW-FS-163540-25-04-2024"/>
        <s v="KAPS-FS-122708-25-04-2024"/>
        <s v="KAPW-FS-164826-27-04-2024"/>
        <s v="KAPS-FS-123714-27-04-2024"/>
        <s v="KAPS-FS-125753-02-05-2024"/>
        <s v="KPPI-FS-61552-04-05-2024"/>
        <s v="KAPS-FS-127354-06-05-2024"/>
        <s v="KAPS-FS-127356-06-05-2024"/>
        <s v="KPAF-FS-55270-07-05-2024"/>
        <s v="KAPW-FS-171598-09-05-2024"/>
        <s v="KAPS-FS-130888-11-05-2024"/>
        <s v="KAPS-FS-131674-14-05-2024"/>
        <s v="KAPS-FS-131938-14-05-2024"/>
        <s v="KAPW-FS-174553-15-05-2024"/>
        <s v="KAPW-FS-174554-15-05-2024"/>
        <s v="KAPS-FS-133478-17-05-2024"/>
        <s v="KPFI-FS-35857-18-05-2024"/>
        <s v="KPPI-FS-65099-21-05-2024"/>
        <s v="KAPS-FS-136023-22-05-2024"/>
        <s v="KAPW-FS-179692-23-05-2024"/>
        <s v="KAPS-FS-136823-23-05-2024"/>
        <s v="KAPS-FS-136827-23-05-2024"/>
        <s v="KAPW-FS-184827-01-06-2024"/>
        <s v="KAPS-FS-140861-03-06-2024"/>
        <s v="KAPS-FS-141691-04-06-2024"/>
        <s v="KAPS-FS-144067-08-06-2024"/>
        <s v="KAPW-FS-190514-08-06-2024"/>
        <s v="KAPW-FS-192860-11-06-2024"/>
        <s v="KAPW-FS-192862-11-06-2024"/>
        <s v="KAPW-FS-192859-11-06-2024"/>
        <s v="KAPW-FS-192762-11-06-2024"/>
        <s v="KAPS-FS-146211-12-06-2024"/>
        <s v="KAPS-FS-146216-12-06-2024"/>
        <s v="KAPS-FS-146212-12-06-2024"/>
        <s v="KAPW-FS-192984-12-06-2024"/>
        <s v="KAPE-FS-79606-13-06-2024"/>
        <s v="KAPS-FS-147645-17-06-2024"/>
        <s v="KAPW-FS-195627-20-06-2024"/>
        <s v="KAPW-FS-199126-26-06-2024"/>
        <s v="KAPW-FS-199895-27-06-2024"/>
        <s v="KAPS-FS-153945-29-06-2024"/>
        <s v="KPFI-FS-49-01-07-2024"/>
        <s v="KPAF-FS-119-01-07-2024"/>
        <s v="KAPS-FS-1283-03-07-2024"/>
        <s v="KAPS-FS-2067-04-07-2024"/>
        <s v="KAPW-FS-2055-04-07-2024"/>
        <s v="KAPS-FS-1801-04-07-2024"/>
        <s v="KAPS-FS-2075-04-07-2024"/>
        <s v="KAPS-FS-2068-04-07-2024"/>
        <s v="KAPW-FS-2045-04-07-2024"/>
        <s v="KAPS-FS-3081-05-07-2024"/>
        <s v="KAPW-FS-3540-06-07-2024"/>
        <s v="KPAF-FS-1624-08-07-2024"/>
        <s v="KPAF-FS-1625-08-07-2024"/>
        <s v="KAPW-FS-5672-10-07-2024"/>
        <s v="KAPE-FS-1698-10-07-2024"/>
        <s v="KAPW-FS-5673-10-07-2024"/>
        <s v="KPPI-FS-2177-10-07-2024"/>
        <s v="KAPS-FS-5048-10-07-2024"/>
        <s v="KPAF-FS-2405-11-07-2024"/>
        <s v="KPAF-FS-2766-12-07-2024"/>
        <s v="KPAF-FS-2629-12-07-2024"/>
        <s v="KAPS-FS-6940-13-07-2024"/>
        <s v="KPAF-FS-3174-15-07-2024"/>
        <s v="KPPI-FS-2930-15-07-2024"/>
        <s v="KPPI-FS-2931-15-07-2024"/>
        <s v="KPAF-FS-3882-20-07-2024"/>
        <s v="KPAF-FS-4060-22-07-2024"/>
        <s v="PQZI-EI-2074-23-07-2024"/>
        <s v="PQZI-EI-2075-23-07-2024"/>
        <s v="PQZI-EI-2076-23-07-2024"/>
        <s v="KAPS-FS-11539-23-07-2024"/>
        <s v="KAPW-FS-11659-23-07-2024"/>
        <s v="KAPS-FS-11538-23-07-2024"/>
        <s v="PQZI-EI-2207-24-07-2024"/>
        <s v="PQZI-EI-2208-24-07-2024"/>
        <s v="KPAF-FS-4893-24-07-2024"/>
        <s v="KPAF-FS-4618-23-07-2024"/>
        <s v="KAPS-FS-11548-23-07-2024"/>
        <s v="KPPI-FS-4684-24-07-2024"/>
        <s v="PQZI-EI-2225-24-07-2024"/>
        <s v="KAPW-FS-12332-24-07-2024"/>
        <s v="KAPE-FS-4281-25-07-2024"/>
        <s v="KAPW-FS-14136-26-07-2024"/>
        <s v="KPAF-FS-6380-30-07-2024"/>
        <s v="PQZI-EI-3010-30-07-2024"/>
        <m/>
        <s v="PCSE-PF-12-25-07-2023"/>
        <s v="PCSE-PF-15-25-07-2023"/>
        <s v="PCSE-PF-10-25-07-2023"/>
        <s v="PCSE-PF-14-25-07-2023"/>
        <s v="PCSE-PF-11-25-07-2023"/>
        <s v="PCSE-PF-13-25-07-2023"/>
        <s v="PCSE-PF-9-25-07-2023"/>
        <s v="PCSE-PF-16-04-08-2023"/>
        <s v="PCSE-PF-22-04-08-2023"/>
        <s v="PCSE-PF-19-04-08-2023"/>
        <s v="PCSE-PF-21-04-08-2023"/>
        <s v="PCSE-PF-17-04-08-2023"/>
        <s v="PCSE-PF-18-04-08-2023"/>
        <s v="PCSE-PF-20-04-08-2023"/>
        <s v="PCSE-PF-23-04-08-2023"/>
        <s v="PCSE-PF-34-16-08-2023"/>
        <s v="PCSE-PF-35-16-08-2023"/>
        <s v="PCSE-PF-92-12-09-2023"/>
        <s v="PCSE-PF-93-12-09-2023"/>
        <s v="GWDE-PF-11-18-08-2023"/>
        <s v="PCSE-PF-113-02-10-2023"/>
        <s v="PCSE-PF-114-02-10-2023"/>
        <s v="PCSE-PF-115-02-10-2023"/>
        <s v="PCSE-PF-116-02-10-2023"/>
        <s v="PCSE-PF-117-02-10-2023"/>
        <s v="PCSE-PF-119-02-10-2023"/>
        <s v="PCSE-PF-121-02-10-2023"/>
        <s v="PCSE-PF-123-02-10-2023"/>
        <s v="PCSE-PF-125-02-10-2023"/>
        <s v="PCSE-PF-145-12-10-2023"/>
        <s v="PCSE-PF-146-12-10-2023"/>
        <s v="PCSE-PF-147-12-10-2023"/>
        <s v="PCSE-PF-148-12-10-2023"/>
        <s v="PCSE-PF-152-17-10-2023"/>
        <s v="PCSE-PF-153-17-10-2023"/>
        <s v="PCSE-PF-154-17-10-2023"/>
        <s v="KPEX-PF-66592-21-10-2023"/>
        <s v="KPEX-PF-66597-21-10-2023"/>
        <s v="PCSE-PF-172-21-10-2023"/>
        <s v="PCSE-PF-173-21-10-2023"/>
        <s v="PCSE-PF-174-23-10-2023"/>
        <s v="PCSE-PF-177-25-10-2023"/>
        <s v="LPEX-PF-721-16-10-2023"/>
        <s v="PCSE-PF-182-30-10-2023"/>
        <s v="PCSE-PF-184-01-11-2023"/>
        <s v="PCSE-PF-185-01-11-2023"/>
        <s v="PCSE-PF-195-03-11-2023"/>
        <s v="KPEX-PF-61133-13-10-2023"/>
        <s v="PCSE-PF-205-07-11-2023"/>
        <s v="KPEX-PF-76735-07-11-2023"/>
        <s v="PCSE-PF-211-13-11-2023"/>
        <s v="PCSE-PF-210-13-11-2023"/>
        <s v="PCSE-PF-209-13-11-2023"/>
        <s v="PCSE-PF-208-13-11-2023"/>
        <s v="PCSE-PF-227-23-11-2023"/>
        <s v="PCSE-PF-228-23-11-2023"/>
        <s v="KPEX-PF-87079-24-11-2023"/>
        <s v="KPPE-PF-113533-30-11-2023"/>
        <s v="PCSE-PF-241-04-12-2023"/>
        <s v="PCSE-PF-242-05-12-2023"/>
        <s v="PCSE-PF-240-04-12-2023"/>
        <s v="PCSE-PF-243-05-12-2023"/>
        <s v="PCSE-PF-247-07-12-2023"/>
        <s v="PCSE-PF-248-07-12-2023"/>
        <s v="PCSE-PF-249-07-12-2023"/>
        <s v="KPEX-PF-95472-07-12-2023"/>
        <s v="LPEX-PF-2286-23-11-2023"/>
        <s v="LPEX-PF-2815-04-12-2023"/>
        <s v="PCSE-PF-265-14-12-2023"/>
        <s v="LPEX-PF-3489-14-12-2023"/>
        <s v="PCSE-PF-267-18-12-2023"/>
        <s v="PCSE-PF-268-18-12-2023"/>
        <s v="PCSE-PF-269-18-12-2023"/>
        <s v="PCSE-PF-270-18-12-2023"/>
        <s v="LPEX-PF-3200-08-12-2023"/>
        <s v="KPPE-PF-92855-04-11-2023"/>
        <s v="KPEX-PF-109996-28-12-2023"/>
        <s v="PCSE-PF-292-30-12-2023"/>
        <s v="PCSE-PF-293-30-12-2023"/>
        <s v="PCSE-PF-294-30-12-2023"/>
        <s v="PCSE-PF-295-30-12-2023"/>
        <s v="KPPE-PF-138364-30-12-2023"/>
        <s v="PCSE-PF-302-03-01-2024"/>
        <s v="LPEX-PF-4732-03-01-2024"/>
        <s v="LPEX-PF-2828-04-12-2023"/>
        <s v="KPPE-PF-147335-10-01-2024"/>
        <s v="PCSE-PF-320-12-01-2024"/>
        <s v="KPEX-PF-119701-12-01-2024"/>
        <s v="FPEX-PF-2106-13-01-2024"/>
        <s v="FPEX-PF-2105-13-01-2024"/>
        <s v="FPEX-PF-2104-13-01-2024"/>
        <s v="PCSE-PF-331-16-01-2024"/>
        <s v="PCSE-PF-330-16-01-2024"/>
        <s v="PCSE-PF-329-16-01-2024"/>
        <s v="LPEX-PF-5727-16-01-2024"/>
        <s v="LPEX-PF-5733-16-01-2024"/>
        <s v="LPEX-PF-5740-16-01-2024"/>
        <s v="LPEX-PF-5659-16-01-2024"/>
        <s v="LPEX-PF-5661-16-01-2024"/>
        <s v="KPEX-PF-127903-24-01-2024"/>
        <s v="PCSE-PF-378-23-01-2024"/>
        <s v="PCSE-PF-379-25-01-2024"/>
        <s v="KPEX-PF-128435-24-01-2024"/>
        <s v="KPEX-PF-128446-24-01-2024"/>
        <s v="KPPE-PF-164011-30-01-2024"/>
        <s v="KPPE-PF-164013-30-01-2024"/>
        <s v="LPEX-PF-7269-02-02-2024"/>
        <s v="PCSE-PF-424-09-02-2024"/>
        <s v="KPEX-PF-139851-09-02-2024"/>
        <s v="KPEX-PF-139864-09-02-2024"/>
        <s v="LPEX-PF-7853-13-02-2024"/>
        <s v="LPEX-PF-7864-13-02-2024"/>
        <s v="LPEX-PF-7865-13-02-2024"/>
        <s v="LPEX-PF-7866-13-02-2024"/>
        <s v="LPEX-PF-7867-13-02-2024"/>
        <s v="LPEX-PF-7995-14-02-2024"/>
        <s v="LPEX-PF-6657-26-01-2024"/>
        <s v="GWDE-PF-143-14-02-2024"/>
        <s v="GWDE-PF-142-14-02-2024"/>
        <s v="GWDE-PF-141-14-02-2024"/>
        <s v="PCSE-PF-439-15-02-2024"/>
        <s v="GWDE-PF-145-15-02-2024"/>
        <s v="PCSE-PF-452-16-02-2024"/>
        <s v="PCSE-PF-458-19-02-2024"/>
        <s v="KPPE-PF-180676-20-02-2024"/>
        <s v="KPEX-PF-147892-21-02-2024"/>
        <s v="PCSE-PF-469-22-02-2024"/>
        <s v="PCSE-PF-470-22-02-2024"/>
        <s v="KPEX-PF-151682-26-02-2024"/>
        <s v="KPEX-PF-151687-26-02-2024"/>
        <s v="PQEB-PF-466-22-02-2024"/>
        <s v="PQEB-PF-476-28-02-2024"/>
        <s v="PQEB-PF-477-28-02-2024"/>
        <s v="PCSE-PF-508-04-03-2024"/>
        <s v="LPEX-PF-9440-01-03-2024"/>
        <s v="KPEX-PF-156873-05-03-2024"/>
        <s v="KPEX-PF-152493-27-02-2024"/>
        <s v="PCSE-PF-512-11-03-2024"/>
        <s v="KPEX-PF-161676-12-03-2024"/>
        <s v="KPEX-PF-165497-18-03-2024"/>
        <s v="KPEX-PF-165506-18-03-2024"/>
        <s v="LPEX-PF-11369-19-03-2024"/>
        <s v="LPEX-PF-11402-20-03-2024"/>
        <s v="PCSE-PF-529-21-03-2024"/>
        <s v="KPPE-PF-202915-20-03-2024"/>
        <s v="PQEB-PF-553-20-03-2024"/>
        <s v="PQEB-PF-554-20-03-2024"/>
        <s v="PQEB-PF-555-20-03-2024"/>
        <s v="KPEX-PF-167450-21-03-2024"/>
        <s v="LPEX-PF-10311-08-03-2024"/>
        <s v="LPEX-PF-11267-19-03-2024"/>
        <s v="LPEX-PF-11080-15-03-2024"/>
        <s v="LPEX-PF-11081-15-03-2024"/>
        <s v="LPEX-PF-11084-15-03-2024"/>
        <s v="LPEX-PF-11091-15-03-2024"/>
        <s v="MCSE-PF-2911-18-03-2024"/>
        <s v="KPEX-PF-170454-26-03-2024"/>
        <s v="LPEX-PF-11426-20-03-2024"/>
        <s v="KPPE-PF-209601-28-03-2024"/>
        <s v="KPPE-PF-209612-28-03-2024"/>
        <s v="PCSE-PF-563-03-04-2024"/>
        <s v="LPEX-PF-12823-03-04-2024"/>
        <s v="LPEX-PF-12827-03-04-2024"/>
        <s v="LPEX-PF-12829-03-04-2024"/>
        <s v="LPEX-PF-12204-28-03-2024"/>
        <s v="LPEX-PF-11487-20-03-2024"/>
        <s v="PCSE-PF-575-04-04-2024"/>
        <s v="PQEB-PF-634-05-04-2024"/>
        <s v="KPEX-PF-178431-06-04-2024"/>
        <s v="KPEX-PF-180715-15-04-2024"/>
        <s v="KPEX-PF-180718-15-04-2024"/>
        <s v="KPEX-PF-180742-15-04-2024"/>
        <s v="KPEX-PF-181007-16-04-2024"/>
        <s v="KPEX-PF-181236-16-04-2024"/>
        <s v="KPEX-PF-181243-16-04-2024"/>
        <s v="KPEX-PF-181238-16-04-2024"/>
        <s v="KPPE-PF-222368-16-04-2024"/>
        <s v="PCSE-PF-597-18-04-2024"/>
        <s v="KPEX-PF-182817-18-04-2024"/>
        <s v="LPEX-PF-13736-19-04-2024"/>
        <s v="PCSE-PF-601-22-04-2024"/>
        <s v="FPEX-PF-3657-23-04-2024"/>
        <s v="LPEX-PF-13687-18-04-2024"/>
        <s v="KPPE-PF-214884-03-04-2024"/>
        <s v="PCSE-PF-615-29-04-2024"/>
        <s v="PCSE-PF-617-29-04-2024"/>
        <s v="KPPE-PF-232315-27-04-2024"/>
        <s v="KPPE-PF-236962-03-05-2024"/>
        <s v="KPPE-PF-237059-03-05-2024"/>
        <s v="LPEX-PF-15035-02-05-2024"/>
        <s v="KPEX-PF-192418-03-05-2024"/>
        <s v="KPEX-PF-192429-03-05-2024"/>
        <s v="KPEX-PF-193818-06-05-2024"/>
        <s v="KPEX-PF-193820-06-05-2024"/>
        <s v="KPPE-PF-239595-07-05-2024"/>
        <s v="PCSE-PF-628-08-05-2024"/>
        <s v="PCSE-PF-643-14-05-2024"/>
        <s v="KPEX-PF-198947-14-05-2024"/>
        <s v="LPEX-PF-16461-14-05-2024"/>
        <s v="KPPE-PF-249139-17-05-2024"/>
        <s v="KPPE-PF-249168-17-05-2024"/>
        <s v="LPEX-PF-17174-18-05-2024"/>
        <s v="LPEX-PF-17178-18-05-2024"/>
        <s v="KPEX-PF-203176-20-05-2024"/>
        <s v="KPEX-PF-197897-13-05-2024"/>
        <s v="KPEX-PF-197895-13-05-2024"/>
        <s v="KPEX-PF-203809-21-05-2024"/>
        <s v="KPEX-PF-205236-23-05-2024"/>
        <s v="KPEX-PF-206700-25-05-2024"/>
        <s v="KPEX-PF-206724-25-05-2024"/>
        <s v="KPEX-PF-206725-25-05-2024"/>
        <s v="KPPE-PF-259491-29-05-2024"/>
        <s v="HCSE-PF-2369-29-05-2024"/>
        <s v="HCSE-PF-2370-29-05-2024"/>
        <s v="FPEX-PF-4287-16-05-2024"/>
        <s v="HCSE-PF-2471-03-06-2024"/>
        <s v="LPEX-PF-19066-03-06-2024"/>
        <s v="KPEX-PF-213367-04-06-2024"/>
        <s v="KPEX-PF-213370-04-06-2024"/>
        <s v="KPEX-PF-213372-04-06-2024"/>
        <s v="PCSE-PF-710-06-06-2024"/>
        <s v="KPEX-PF-214738-06-06-2024"/>
        <s v="KPEX-PF-217704-11-06-2024"/>
        <s v="KPEX-PF-217707-11-06-2024"/>
        <s v="KPPE-PF-272567-11-06-2024"/>
        <s v="KPPE-PF-272620-11-06-2024"/>
        <s v="KPPE-PF-273411-12-06-2024"/>
        <s v="PQEB-PF-835-11-06-2024"/>
        <s v="KPEX-PF-219975-13-06-2024"/>
        <s v="KPPE-PF-276187-14-06-2024"/>
        <s v="PQEB-PF-855-20-06-2024"/>
        <s v="GWDE-PF-170-20-06-2024"/>
        <s v="GWDE-PF-171-20-06-2024"/>
        <s v="PQEB-PF-859-20-06-2024"/>
        <s v="LPEX-PF-17738-22-05-2024"/>
        <s v="LPEX-PF-17745-22-05-2024"/>
        <s v="LPEX-PF-15809-09-05-2024"/>
        <s v="LPEX-PF-19922-11-06-2024"/>
        <s v="LPEX-PF-19923-11-06-2024"/>
        <s v="KPEX-PF-218629-12-06-2024"/>
        <s v="HCSE-PF-2661-12-06-2024"/>
        <s v="HCSE-PF-2660-12-06-2024"/>
        <s v="KPPE-PF-282531-26-06-2024"/>
        <s v="KPPE-PF-282570-26-06-2024"/>
        <s v="LPEX-PF-21049-25-06-2024"/>
        <s v="LPEX-PF-21051-25-06-2024"/>
        <s v="KPPE-PF-284294-28-06-2024"/>
        <s v="KPEX-PF-227108-28-06-2024"/>
        <s v="KPEX-PF-227079-28-06-2024"/>
        <s v="LPEX-PF-21646-29-06-2024"/>
        <s v="HCSE-PF-2865-26-06-2024"/>
        <s v="HCSE-PF-2866-26-06-2024"/>
        <s v="HCSE-PF-2773-24-06-2024"/>
        <s v="KPEX-PF-224799-25-06-2024"/>
        <s v="KPEX-PF-224811-25-06-2024"/>
        <s v="KPEX-PF-228386-29-06-2024"/>
        <s v="KPEX-PF-5405-09-07-2024"/>
        <s v="KPEX-PF-5373-09-07-2024"/>
        <s v="KPEX-PF-4596-08-07-2024"/>
        <s v="MCSE-PF-116-03-07-2024"/>
        <s v="LPEX-PF-756-08-07-2024"/>
        <s v="LPEX-PF-758-08-07-2024"/>
        <s v="LPEX-PF-762-08-07-2024"/>
        <s v="LPEX-PF-767-08-07-2024"/>
        <s v="LPEX-PF-771-08-07-2024"/>
        <s v="KPEX-PF-7177-11-07-2024"/>
        <s v="KPEX-PF-7210-11-07-2024"/>
        <s v="KPEX-PF-7211-11-07-2024"/>
        <s v="KPEX-PF-6260-10-07-2024"/>
        <s v="KPEX-PF-6272-10-07-2024"/>
        <s v="LPEX-PF-1389-11-07-2024"/>
        <s v="LPEX-PF-1392-11-07-2024"/>
        <s v="LPEX-PF-20009-11-06-2024"/>
        <s v="LPEX-PF-924-09-07-2024"/>
        <s v="KPEX-PF-9832-15-07-2024"/>
        <s v="KPEX-PF-9840-15-07-2024"/>
        <s v="LPEX-PF-1628-15-07-2024"/>
        <s v="LPEX-PF-1446-12-07-2024"/>
        <s v="LPEX-PF-1506-12-07-2024"/>
        <s v="LPEX-PF-1507-12-07-2024"/>
        <s v="KPEX-PF-10162-15-07-2024"/>
        <s v="LPEX-PF-1643-15-07-2024"/>
        <s v="KPPE-PF-16017-20-07-2024"/>
        <s v="FPEX-PF-5104-21-06-2024"/>
        <s v="LPEX-PF-16333-13-05-2024"/>
        <s v="LPEX-PF-16336-13-05-2024"/>
        <s v="LPEX-PF-16350-13-05-2024"/>
        <s v="LPEX-PF-17864-23-05-2024"/>
        <s v="LPEX-PF-17866-23-05-2024"/>
        <s v="LPEX-PF-17868-23-05-2024"/>
        <s v="LPEX-PF-18515-30-05-2024"/>
        <s v="LPEX-PF-18518-30-05-2024"/>
        <s v="HCSE-PF-74-09-07-2024"/>
        <s v="HCSE-PF-150-13-07-2024"/>
        <s v="HCSE-PF-151-13-07-2024"/>
        <s v="KAPE-EB-60624-13-03-2024"/>
        <s v="KAPW-EB-148150-26-03-2024"/>
        <s v="KAPE-EB-75231-27-05-2024"/>
        <s v="KAPW-EB-194894-14-06-2024"/>
        <s v="KAPE-EB-6087-02-08-2024"/>
        <s v="KAPE-EB-6086-02-08-2024"/>
        <s v="09082023-A-004755"/>
        <s v="15082023-A-004760"/>
        <s v="15082023-A-004762"/>
        <s v="15082023-A-004766"/>
        <s v="15082023-A-005318"/>
        <s v="15082023-A-005332"/>
        <s v="15082023-A-005336"/>
        <s v="15082023-A-005339"/>
        <s v="15082023-A-005340"/>
        <s v="15082023-A-005342"/>
        <s v="16082023-A-005553"/>
        <s v="16082023-A-005560"/>
        <s v="16082023-A-005562"/>
        <s v="16082023-A-005565"/>
        <s v="16082023-A-005570"/>
        <s v="16082023-A-005575"/>
        <s v="16082023-A-005579"/>
        <s v="16082023-A-005582"/>
        <s v="16082023-A-005609"/>
        <s v="16082023-A-005616"/>
        <s v="16082023-A-005623"/>
        <s v="17082023-A-005930"/>
        <s v="17082023-A-005934"/>
        <s v="17082023-A-005942"/>
        <s v="17082023-A-005943"/>
        <s v="17082023-A-005944"/>
        <s v="17082023-A-005945"/>
        <s v="17082023-A-005946"/>
        <s v="24082023-A-006501"/>
        <s v="24082023-A-006503"/>
        <s v="24082023-A-006504"/>
        <s v="24082023-A-006505"/>
        <s v="24082023-A-006506"/>
        <s v="30082023-A-007762"/>
        <s v="30082023-A-007764"/>
        <s v="30082023-A-007767"/>
        <s v="30082023-A-007772"/>
        <s v="30082023-A-007773"/>
        <s v="30082023-A-007775"/>
        <s v="30082023-A-007776"/>
        <s v="30082023-A-007777"/>
        <s v="30082023-A-007779"/>
        <s v="30082023-A-007780"/>
        <s v="05092023-A-009011"/>
        <s v="05092023-A-009015"/>
        <s v="05092023-A-009017"/>
        <s v="05092023-A-009019"/>
        <s v="11092023-A-010002"/>
        <s v="11092023-A-010003"/>
        <s v="11092023-A-010005"/>
        <s v="11092023-A-010007"/>
        <s v="11092023-A-010013"/>
        <s v="11092023-A-010036"/>
        <s v="11092023-A-010040"/>
        <s v="11092023-A-010048"/>
        <s v="13092023-A-010742"/>
        <s v="13092023-A-010744"/>
        <s v="13092023-A-010746"/>
        <s v="13092023-A-010750"/>
        <s v="13092023-A-010753"/>
        <s v="13092023-A-010755"/>
        <s v="13092023-A-010756"/>
        <s v="18092023-A-011662"/>
        <s v="18092023-A-011664"/>
        <s v="18092023-A-011668"/>
        <s v="18092023-A-011670"/>
        <s v="18092023-A-011674"/>
        <s v="18092023-A-011675"/>
        <s v="19092023-A-011695"/>
        <s v="19092023-A-011697"/>
        <s v="19092023-A-011703"/>
        <s v="19092023-A-011706"/>
        <s v="19092023-A-011707"/>
        <s v="19092023-A-011710"/>
        <s v="19092023-A-011713"/>
        <s v="02102023-A-014157"/>
        <s v="02102023-A-014163"/>
        <s v="02102023-A-014165"/>
        <s v="16102023-A-017219"/>
        <s v="16102023-A-017223"/>
        <s v="16102023-A-017228"/>
        <s v="16102023-A-017233"/>
        <s v="16102023-A-017236"/>
        <s v="16102023-A-017239"/>
        <s v="16102023-A-017243"/>
        <s v="16102023-A-017246"/>
        <s v="16102023-A-017250"/>
        <s v="16102023-A-017254"/>
        <s v="18102023-A-018016"/>
        <s v="18102023-A-018020"/>
        <s v="18102023-A-018022"/>
        <s v="24102023-A-019228"/>
        <s v="24102023-A-019233"/>
        <s v="26102023-A-019917"/>
        <s v="26102023-A-019921"/>
        <s v="26102023-A-019923"/>
        <s v="26102023-A-019927"/>
        <s v="26102023-A-019930"/>
        <s v="30102023-A-020733"/>
        <s v="30102023-A-020740"/>
        <s v="30102023-A-020742"/>
        <s v="30102023-A-020745"/>
        <s v="30102023-A-020748"/>
        <s v="30102023-A-020760"/>
        <s v="30102023-A-020762"/>
        <s v="30102023-A-020769"/>
        <s v="30102023-A-020770"/>
        <s v="30102023-A-020773"/>
        <s v="17112023-A-026220"/>
        <s v="17112023-A-026235"/>
        <s v="17112023-A-026240"/>
        <s v="17112023-A-026245"/>
        <s v="17112023-A-026250"/>
        <s v="17112023-A-026264"/>
        <s v="17112023-A-026268"/>
        <s v="17112023-A-026276"/>
        <s v="17112023-A-026280"/>
        <s v="17112023-A-026284"/>
        <s v="17112023-A-026287"/>
        <s v="17112023-A-026301"/>
        <s v="17112023-A-026305"/>
        <s v="17112023-A-026313"/>
        <s v="17112023-A-026316"/>
        <s v="17112023-A-026321"/>
        <s v="17112023-A-026326"/>
        <s v="17112023-A-026330"/>
        <s v="17112023-A-026335"/>
        <s v="17112023-A-026440"/>
        <s v="17112023-A-026456"/>
        <s v="17112023-A-026464"/>
        <s v="17112023-A-026471"/>
        <s v="17112023-A-026474"/>
        <s v="17112023-A-026484"/>
        <s v="17112023-A-026488"/>
        <s v="17112023-A-026491"/>
        <s v="17112023-A-026498"/>
        <s v="17112023-A-026507"/>
        <s v="17112023-A-026513"/>
        <s v="17112023-A-026529"/>
        <s v="17112023-A-026518"/>
        <s v="17112023-A-026523"/>
        <s v="18112023-A-026769"/>
        <s v="18112023-A-026772"/>
        <s v="18112023-A-026779"/>
        <s v="20112023-A-026954"/>
        <s v="20112023-A-026961"/>
        <s v="20112023-A-026973"/>
        <s v="20112023-A-026978"/>
        <s v="20112023-A-026984"/>
        <s v="20112023-A-026994"/>
        <s v="20112023-A-026999"/>
        <s v="20112023-A-027007"/>
        <s v="20112023-A-027037"/>
        <s v="20112023-A-027050"/>
        <s v="20112023-A-027059"/>
        <s v="20112023-A-027064"/>
        <s v="17112023-A-026533"/>
        <s v="17112023-A-026448"/>
        <s v="17112023-A-026461"/>
        <s v="17112023-A-026537"/>
        <s v="17112023-A-026542"/>
        <s v="27112023-A-030664"/>
        <s v="27112023-A-030670"/>
        <s v="27112023-A-030675"/>
        <s v="27112023-A-030683"/>
        <s v="27112023-A-030688"/>
        <s v="27112023-A-030698"/>
        <s v="04122023-A-034274"/>
        <s v="04122023-A-034304"/>
        <s v="04122023-A-034309"/>
        <s v="04122023-A-034314"/>
        <s v="04122023-A-034318"/>
        <s v="04122023-A-034323"/>
        <s v="04122023-A-034350"/>
        <s v="04122023-A-034357"/>
        <s v="04122023-A-034374"/>
        <s v="04122023-A-034385"/>
        <s v="04122023-A-034403"/>
        <s v="04122023-A-034409"/>
        <s v="04122023-A-034417"/>
        <s v="04122023-A-034423"/>
        <s v="04122023-A-034429"/>
        <s v="07122023-A-035810"/>
        <s v="14122023-A-038556"/>
        <s v="21122023-A-041859"/>
        <s v="23122023-A-042856"/>
        <s v="26122023-A-043738"/>
        <s v="26122023-A-043742"/>
        <s v="26122023-A-043755"/>
        <s v="26122023-A-043760"/>
        <s v="26122023-A-043781"/>
        <s v="26122023-A-043804"/>
        <s v="26122023-A-043812"/>
        <s v="26122023-A-043819"/>
        <s v="26122023-A-043963"/>
        <s v="26122023-A-043965"/>
        <s v="26122023-A-043973"/>
        <s v="26122023-A-043999"/>
        <s v="26122023-A-044008"/>
        <s v="26122023-A-044021"/>
        <s v="26122023-A-044027"/>
        <s v="26122023-A-044101"/>
        <s v="26122023-A-044107"/>
        <s v="26122023-A-044113"/>
        <s v="26122023-A-044120"/>
        <s v="26122023-A-044124"/>
        <s v="26122023-A-044127"/>
        <s v="26122023-A-044133"/>
        <s v="26122023-A-044140"/>
        <s v="26122023-A-044147"/>
        <s v="26122023-A-044152"/>
        <s v="26122023-A-044206"/>
        <s v="26122023-A-044210"/>
        <s v="26122023-A-044216"/>
        <s v="26122023-A-044222"/>
        <s v="26122023-A-044226"/>
        <s v="26122023-A-044234"/>
        <s v="26122023-A-044237"/>
        <s v="26122023-A-044247"/>
        <s v="26122023-A-044278"/>
        <s v="26122023-A-044286"/>
        <s v="26122023-A-044292"/>
        <s v="26122023-A-044300"/>
        <s v="27122023-A-044558"/>
        <s v="27122023-A-044561"/>
        <s v="27122023-A-044566"/>
        <s v="27122023-A-044568"/>
        <s v="27122023-A-044575"/>
        <s v="27122023-A-044577"/>
        <s v="27122023-A-044581"/>
        <s v="27122023-A-044586"/>
        <s v="27122023-A-044589"/>
        <s v="27122023-A-044604"/>
        <s v="27122023-A-044606"/>
        <s v="27122023-A-044607"/>
        <s v="27122023-A-044610"/>
        <s v="27122023-A-044612"/>
        <s v="27122023-A-044618"/>
        <s v="27122023-A-044625"/>
        <s v="27122023-A-044626"/>
        <s v="27122023-A-044634"/>
        <s v="27122023-A-044639"/>
        <s v="27122023-A-044645"/>
        <s v="27122023-A-044647"/>
        <s v="27122023-A-044650"/>
        <s v="27122023-A-044657"/>
        <s v="27122023-A-044663"/>
        <s v="27122023-A-044668"/>
        <s v="27122023-A-044673"/>
        <s v="27122023-A-044676"/>
        <s v="27122023-A-044680"/>
        <s v="27122023-A-044687"/>
        <s v="27122023-A-044691"/>
        <s v="27122023-A-044707"/>
        <s v="27122023-A-044711"/>
        <s v="27122023-A-044715"/>
        <s v="27122023-A-044717"/>
        <s v="27122023-A-044722"/>
        <s v="27122023-A-044737"/>
        <s v="27122023-A-044747"/>
        <s v="27122023-A-044749"/>
        <s v="27122023-A-044753"/>
        <s v="02012024-A-047155"/>
        <s v="02012024-A-047159"/>
        <s v="02012024-A-047163"/>
        <s v="02012024-A-047167"/>
        <s v="02012024-A-047177"/>
        <s v="02012024-A-047184"/>
        <s v="02012024-A-047189"/>
        <s v="02012024-A-047195"/>
        <s v="02012024-A-047200"/>
        <s v="02012024-A-047210"/>
        <s v="02012024-A-047215"/>
        <s v="02012024-A-047222"/>
        <s v="02012024-A-047229"/>
        <s v="02012024-A-047233"/>
        <s v="02012024-A-047234"/>
        <s v="02012024-A-047246"/>
        <s v="02012024-A-047249"/>
        <s v="02012024-A-047254"/>
        <s v="02012024-A-047258"/>
        <s v="02012024-A-047267"/>
        <s v="02012024-A-047270"/>
        <s v="02012024-A-047281"/>
        <s v="02012024-A-047287"/>
        <s v="02012024-A-047308"/>
        <s v="02012024-A-047312"/>
        <s v="02012024-A-047316"/>
        <s v="02012024-A-047319"/>
        <s v="02012024-A-047320"/>
        <s v="02012024-A-047324"/>
        <s v="02012024-A-047326"/>
        <s v="02012024-A-047329"/>
        <s v="03012024-A-047436"/>
        <s v="03012024-A-047464"/>
        <s v="03012024-A-047470"/>
        <s v="03012024-A-047474"/>
        <s v="03012024-A-047480"/>
        <s v="03012024-A-047490"/>
        <s v="03012024-A-047502"/>
        <s v="03012024-A-047507"/>
        <s v="03012024-A-047528"/>
        <s v="03012024-A-047532"/>
        <s v="03012024-A-047536"/>
        <s v="03012024-A-047556"/>
        <s v="03012024-A-047567"/>
        <s v="03012024-A-047570"/>
        <s v="03012024-A-047578"/>
        <s v="03012024-A-047586"/>
        <s v="03012024-A-047589"/>
        <s v="03012024-A-047594"/>
        <s v="03012024-A-047599"/>
        <s v="03012024-A-047644"/>
        <s v="03012024-A-047645"/>
        <s v="03012024-A-047646"/>
        <s v="03012024-A-047647"/>
        <s v="03012024-A-047648"/>
        <s v="03012024-A-047649"/>
        <s v="03012024-A-047652"/>
        <s v="03012024-A-047653"/>
        <s v="03012024-A-047662"/>
        <s v="03012024-A-047672"/>
        <s v="03012024-A-047684"/>
        <s v="03012024-A-047690"/>
        <s v="03012024-A-047716"/>
        <s v="03012024-A-047722"/>
        <s v="03012024-A-047725"/>
        <s v="03012024-A-047727"/>
        <s v="03012024-A-047728"/>
        <s v="03012024-A-047741"/>
        <s v="03012024-A-047747"/>
        <s v="03012024-A-047754"/>
        <s v="03012024-A-047759"/>
        <s v="03012024-A-047762"/>
        <s v="03012024-A-047774"/>
        <s v="03012024-A-047784"/>
        <s v="03012024-A-047788"/>
        <s v="03012024-A-047791"/>
        <s v="03012024-A-047797"/>
        <s v="03012024-A-047801"/>
        <s v="03012024-A-047806"/>
        <s v="03012024-A-047812"/>
        <s v="03012024-A-047820"/>
        <s v="03012024-A-047830"/>
        <s v="03012024-A-047860"/>
        <s v="03012024-A-047872"/>
        <s v="03012024-A-047882"/>
        <s v="03012024-A-047892"/>
        <s v="03012024-A-047895"/>
        <s v="03012024-A-047897"/>
        <s v="03012024-A-047901"/>
        <s v="03012024-A-047905"/>
        <s v="03012024-A-047910"/>
        <s v="03012024-A-047912"/>
        <s v="03012024-A-047916"/>
        <s v="03012024-A-047917"/>
        <s v="03012024-A-047919"/>
        <s v="03012024-A-047920"/>
        <s v="03012024-A-047921"/>
        <s v="03012024-A-047922"/>
        <s v="16012024-A-052582"/>
        <s v="16012024-A-052606"/>
        <s v="16012024-A-052616"/>
        <s v="16012024-A-052621"/>
        <s v="16012024-A-052629"/>
        <s v="16012024-A-052669"/>
        <s v="16012024-A-052681"/>
        <s v="16012024-A-052687"/>
        <s v="16012024-A-052690"/>
        <s v="16012024-A-052693"/>
        <s v="16012024-A-052695"/>
        <s v="16012024-A-052697"/>
        <s v="17012024-A-052765"/>
        <s v="17012024-A-052779"/>
        <s v="17012024-A-052787"/>
        <s v="17012024-A-052798"/>
        <s v="17012024-A-052805"/>
        <s v="18012024-A-053414"/>
        <s v="18012024-A-053419"/>
        <s v="18012024-A-053430"/>
        <s v="18012024-A-053438"/>
        <s v="18012024-A-053445"/>
        <s v="18012024-A-053455"/>
        <s v="18012024-A-053463"/>
        <s v="18012024-A-053467"/>
        <s v="18012024-A-053472"/>
        <s v="18012024-A-053481"/>
        <s v="18012024-A-053487"/>
        <s v="18012024-A-053494"/>
        <s v="18012024-A-053499"/>
        <s v="18012024-A-053506"/>
        <s v="18012024-A-053512"/>
        <s v="18012024-A-053526"/>
        <s v="18012024-A-053531"/>
        <s v="18012024-A-053535"/>
        <s v="18012024-A-053540"/>
        <s v="18012024-A-053547"/>
        <s v="18012024-A-053553"/>
        <s v="18012024-A-053558"/>
        <s v="18012024-A-053561"/>
        <s v="18012024-A-053565"/>
        <s v="18012024-A-053574"/>
        <s v="18012024-A-053584"/>
        <s v="23012024-A-055051"/>
        <s v="23012024-A-055058"/>
        <s v="23012024-A-055063"/>
        <s v="23012024-A-055067"/>
        <s v="23012024-A-055071"/>
        <s v="23012024-A-055073"/>
        <s v="23012024-A-055078"/>
        <s v="23012024-A-055083"/>
        <s v="23012024-A-055087"/>
        <s v="23012024-A-055089"/>
        <s v="23012024-A-055094"/>
        <s v="23012024-A-055098"/>
        <s v="23012024-A-055101"/>
        <s v="23012024-A-055107"/>
        <s v="23012024-A-055109"/>
        <s v="23012024-A-055112"/>
        <s v="23012024-A-055115"/>
        <s v="23012024-A-055118"/>
        <s v="23012024-A-055121"/>
        <s v="23012024-A-055125"/>
        <s v="23012024-A-055132"/>
        <s v="23012024-A-055134"/>
        <s v="23012024-A-055138"/>
        <s v="23012024-A-055143"/>
        <s v="23012024-A-055145"/>
        <s v="23012024-A-055147"/>
        <s v="23012024-A-055149"/>
        <s v="23012024-A-055150"/>
        <s v="23012024-A-055152"/>
        <s v="23012024-A-055154"/>
        <s v="23012024-A-055167"/>
        <s v="23012024-A-055169"/>
        <s v="23012024-A-055170"/>
        <s v="23012024-A-055171"/>
        <s v="23012024-A-055173"/>
        <s v="23012024-A-055177"/>
        <s v="23012024-A-055178"/>
        <s v="23012024-A-055188"/>
        <s v="23012024-A-055193"/>
        <s v="23012024-A-055194"/>
        <s v="23012024-A-055197"/>
        <s v="23012024-A-055199"/>
        <s v="23012024-A-055203"/>
        <s v="23012024-A-055204"/>
        <s v="23012024-A-055209"/>
        <s v="23012024-A-055212"/>
        <s v="23012024-A-055217"/>
        <s v="23012024-A-055222"/>
        <s v="23012024-A-055227"/>
        <s v="23012024-A-055231"/>
        <s v="31012024-A-058217"/>
        <s v="31012024-A-058228"/>
        <s v="31012024-A-058261"/>
        <s v="31012024-A-058276"/>
        <s v="31012024-A-058280"/>
        <s v="31012024-A-058297"/>
        <s v="31012024-A-058430"/>
        <s v="31012024-A-058440"/>
        <s v="31012024-A-058443"/>
        <s v="31012024-A-058448"/>
        <s v="31012024-A-058454"/>
        <s v="31012024-A-058466"/>
        <s v="31012024-A-058474"/>
        <s v="31012024-A-058482"/>
        <s v="31012024-A-058490"/>
        <s v="31012024-A-058494"/>
        <s v="31012024-A-058499"/>
        <s v="31012024-A-058504"/>
        <s v="31012024-A-058508"/>
        <s v="31012024-A-058516"/>
        <s v="31012024-A-058519"/>
        <s v="31012024-A-058522"/>
        <s v="31012024-A-058527"/>
        <s v="31012024-A-058532"/>
        <s v="31012024-A-058535"/>
        <s v="31012024-A-058538"/>
        <s v="31012024-A-058554"/>
        <s v="31012024-A-058555"/>
        <s v="31012024-A-058556"/>
        <s v="31012024-A-058557"/>
        <s v="31012024-A-058558"/>
        <s v="31012024-A-058559"/>
        <s v="31012024-A-058560"/>
        <s v="31012024-A-058561"/>
        <s v="20022024-A-063898"/>
        <s v="20022024-A-063927"/>
        <s v="20022024-A-063934"/>
        <s v="20022024-A-063940"/>
        <s v="20022024-A-063948"/>
        <s v="20022024-A-063955"/>
        <s v="20022024-A-063958"/>
        <s v="20022024-A-063959"/>
        <s v="20022024-A-063961"/>
        <s v="20022024-A-063971"/>
        <s v="20022024-A-063977"/>
        <s v="20022024-A-063982"/>
        <s v="20022024-A-063987"/>
        <s v="20022024-A-063992"/>
        <s v="20022024-A-063996"/>
        <s v="20022024-A-064002"/>
        <s v="20022024-A-064011"/>
        <s v="20022024-A-064016"/>
        <s v="20022024-A-064021"/>
        <s v="26022024-A-065247"/>
        <s v="26022024-A-065263"/>
        <s v="26022024-A-065269"/>
        <s v="26022024-A-065308"/>
        <s v="26022024-A-065311"/>
        <s v="26022024-A-065315"/>
        <s v="26022024-A-065321"/>
        <s v="26022024-A-065323"/>
        <s v="26022024-A-065330"/>
        <s v="26022024-A-065440"/>
        <s v="26022024-A-065447"/>
        <s v="26022024-A-065453"/>
        <s v="26022024-A-065488"/>
        <s v="26022024-A-065493"/>
        <s v="26022024-A-065500"/>
        <s v="26022024-A-065503"/>
        <s v="26022024-A-065504"/>
        <s v="26022024-A-065509"/>
        <s v="26022024-A-065514"/>
        <s v="26022024-A-065520"/>
        <s v="27022024-A-065952"/>
        <s v="27022024-A-065967"/>
        <s v="27022024-A-065976"/>
        <s v="27022024-A-065985"/>
        <s v="27022024-A-065993"/>
        <s v="27022024-A-066000"/>
        <s v="27022024-A-066011"/>
        <s v="27022024-A-066016"/>
        <s v="27022024-A-066025"/>
        <s v="27022024-A-066033"/>
        <s v="27022024-A-066039"/>
        <s v="27022024-A-066064"/>
        <s v="27022024-A-066079"/>
        <s v="27022024-A-066094"/>
        <s v="27022024-A-066109"/>
        <s v="27022024-A-066116"/>
        <s v="27022024-A-066222"/>
        <s v="27022024-A-066141"/>
        <s v="27022024-A-066145"/>
        <s v="27022024-A-066156"/>
        <s v="27022024-A-066163"/>
        <s v="27022024-A-066169"/>
        <s v="27022024-A-066220"/>
        <s v="27022024-A-066227"/>
        <s v="27022024-A-066228"/>
        <s v="28022024-A-066299"/>
        <s v="28022024-A-066302"/>
        <s v="28022024-A-066313"/>
        <s v="28022024-A-066318"/>
        <s v="04032024-A-068165"/>
        <s v="04032024-A-068168"/>
        <s v="08032024-A-070139"/>
        <s v="08032024-A-070148"/>
        <s v="08032024-A-070152"/>
        <s v="08032024-A-070159"/>
        <s v="08032024-A-070166"/>
        <s v="08032024-A-070172"/>
        <s v="08032024-A-070178"/>
        <s v="08032024-A-070186"/>
        <s v="08032024-A-070192"/>
        <s v="08032024-A-070198"/>
        <s v="08032024-A-070202"/>
        <s v="08032024-A-070214"/>
        <s v="08032024-A-070219"/>
        <s v="08032024-A-070223"/>
        <s v="08032024-A-070227"/>
        <s v="08032024-A-070232"/>
        <s v="13032024-A-072273"/>
        <s v="13032024-A-072296"/>
        <s v="13032024-A-072314"/>
        <s v="13032024-A-072326"/>
        <s v="11032024-A-071139"/>
        <s v="11032024-A-071149"/>
        <s v="11032024-A-071156"/>
        <s v="11032024-A-071164"/>
        <s v="11032024-A-071172"/>
        <s v="11032024-A-071177"/>
        <s v="11032024-A-071192"/>
        <s v="11032024-A-071205"/>
        <s v="11032024-A-071215"/>
        <s v="11032024-A-071224"/>
        <s v="13032024-A-072205"/>
        <s v="13032024-A-072225"/>
        <s v="13032024-A-072233"/>
        <s v="13032024-A-072241"/>
        <s v="13032024-A-072247"/>
        <s v="13032024-A-072261"/>
        <s v="16032024-A-073979"/>
        <s v="16032024-A-073985"/>
        <s v="16032024-A-073990"/>
        <s v="16032024-A-073993"/>
        <s v="16032024-A-073995"/>
        <s v="16032024-A-073997"/>
        <s v="16032024-A-074002"/>
        <s v="16032024-A-074005"/>
        <s v="16032024-A-074009"/>
        <s v="16032024-A-074012"/>
        <s v="16032024-A-074015"/>
        <s v="16032024-A-074017"/>
        <s v="16032024-A-074019"/>
        <s v="16032024-A-074022"/>
        <s v="16032024-A-074024"/>
        <s v="16032024-A-074026"/>
        <s v="16032024-A-074029"/>
        <s v="16032024-A-074031"/>
        <s v="16032024-A-074032"/>
        <s v="16032024-A-074033"/>
        <s v="29032024-A-078648"/>
        <s v="29032024-A-078661"/>
        <s v="29032024-A-078662"/>
        <s v="29032024-A-078667"/>
        <s v="29032024-A-078677"/>
        <s v="29032024-A-078686"/>
        <s v="29032024-A-078696"/>
        <s v="29032024-A-078700"/>
        <s v="29032024-A-078704"/>
        <s v="29032024-A-078713"/>
        <s v="29032024-A-078722"/>
        <s v="29032024-A-078730"/>
        <s v="29032024-A-078735"/>
        <s v="29032024-A-078740"/>
        <s v="29032024-A-078744"/>
        <s v="29032024-A-078748"/>
        <s v="29032024-A-078759"/>
        <s v="29032024-A-078773"/>
        <s v="29032024-A-078783"/>
        <s v="29032024-A-078796"/>
        <s v="29032024-A-078800"/>
        <s v="29032024-A-078803"/>
        <s v="29032024-A-078807"/>
        <s v="29032024-A-078809"/>
        <s v="29032024-A-078810"/>
        <s v="29032024-A-078812"/>
        <s v="29032024-A-078813"/>
        <s v="29032024-A-078814"/>
        <s v="29032024-A-078815"/>
        <s v="29032024-A-078816"/>
        <s v="29032024-A-078817"/>
        <s v="29032024-A-078818"/>
        <s v="29032024-A-078819"/>
        <s v="29032024-A-078820"/>
        <s v="29032024-A-078821"/>
        <s v="29032024-A-078822"/>
        <s v="16042024-A-083595"/>
        <s v="16042024-A-083609"/>
        <s v="16042024-A-083611"/>
        <s v="16042024-A-083622"/>
        <s v="16042024-A-083625"/>
        <s v="16042024-A-083635"/>
        <s v="16042024-A-083639"/>
        <s v="16042024-A-083643"/>
        <s v="16042024-A-083647"/>
        <s v="16042024-A-083648"/>
        <s v="16042024-A-083651"/>
        <s v="16042024-A-083653"/>
        <s v="16042024-A-083655"/>
        <s v="16042024-A-083657"/>
        <s v="16042024-A-083663"/>
        <s v="16042024-A-083667"/>
        <s v="16042024-A-083669"/>
        <s v="16042024-A-083671"/>
        <s v="17042024-A-083905"/>
        <s v="17042024-A-083917"/>
        <s v="17042024-A-083920"/>
        <s v="17042024-A-083930"/>
        <s v="17042024-A-083938"/>
        <s v="17042024-A-083953"/>
        <s v="17042024-A-083966"/>
        <s v="17042024-A-083977"/>
        <s v="17042024-A-083984"/>
        <s v="17042024-A-083991"/>
        <s v="17042024-A-084000"/>
        <s v="17042024-A-084004"/>
        <s v="17042024-A-084006"/>
        <s v="17042024-A-084030"/>
        <s v="17042024-A-084033"/>
        <s v="17042024-A-084037"/>
        <s v="17042024-A-084058"/>
        <s v="17042024-A-084067"/>
        <s v="17042024-A-084073"/>
        <s v="17042024-A-084078"/>
        <s v="17042024-A-084083"/>
        <s v="17042024-A-084088"/>
        <s v="17042024-A-084091"/>
        <s v="24052024-A-103211" u="1"/>
        <s v="03052024-A-093212" u="1"/>
        <s v="24052024-A-103325" u="1"/>
        <s v="24052024-A-103525" u="1"/>
        <s v="25042024-A-089053" u="1"/>
        <s v="07052024-A-095015" u="1"/>
        <s v="17042024-A-084202" u="1"/>
        <s v="25042024-A-088911" u="1"/>
        <s v="24052024-A-103235" u="1"/>
        <s v="07052024-A-094898" u="1"/>
        <s v="17042024-A-084100" u="1"/>
        <s v="25042024-A-088923" u="1"/>
        <s v="03052024-A-093248" u="1"/>
        <s v="24052024-A-103447" u="1"/>
        <s v="30052024-A-106404" u="1"/>
        <s v="17042024-A-084212" u="1"/>
        <s v="17042024-A-084226" u="1"/>
        <s v="22042024-A-087196" u="1"/>
        <s v="03052024-A-093232" u="1"/>
        <s v="24052024-A-103531" u="1"/>
        <s v="03052024-A-093246" u="1"/>
        <s v="17042024-A-084110" u="1"/>
        <s v="24052024-A-103243" u="1"/>
        <s v="03052024-A-093244" u="1"/>
        <s v="25042024-A-089085" u="1"/>
        <s v="25042024-A-089099" u="1"/>
        <s v="24052024-A-103255" u="1"/>
        <s v="24052024-A-103269" u="1"/>
        <s v="07052024-A-095047" u="1"/>
        <s v="27042024-A-089895" u="1"/>
        <s v="17042024-A-084120" u="1"/>
        <s v="17042024-A-084220" u="1"/>
        <s v="22042024-A-087190" u="1"/>
        <s v="17042024-A-084248" u="1"/>
        <s v="25042024-A-088957" u="1"/>
        <s v="03052024-A-093240" u="1"/>
        <s v="07052024-A-094605" u="1"/>
        <s v="03052024-A-093254" u="1"/>
        <s v="07052024-A-094719" u="1"/>
        <s v="30052024-A-106238" u="1"/>
        <s v="17042024-A-084132" u="1"/>
        <s v="25042024-A-088969" u="1"/>
        <s v="03052024-A-093252" u="1"/>
        <s v="24052024-A-103279" u="1"/>
        <s v="24052024-A-103465" u="1"/>
        <s v="25042024-A-089093" u="1"/>
        <s v="03052024-A-093250" u="1"/>
        <s v="26042024-A-089508" u="1"/>
        <s v="17042024-A-084242" u="1"/>
        <s v="24052024-A-103261" u="1"/>
        <s v="24052024-A-103475" u="1"/>
        <s v="07052024-A-094913" u="1"/>
        <s v="07052024-A-094927" u="1"/>
        <s v="23042024-A-087325" u="1"/>
        <s v="27042024-A-089928" u="1"/>
        <s v="24052024-A-103197" u="1"/>
        <s v="04052024-A-093296" u="1"/>
        <s v="24052024-A-103597" u="1"/>
        <s v="25042024-A-088985" u="1"/>
        <s v="04052024-A-093294" u="1"/>
        <s v="27042024-A-089938" u="1"/>
        <s v="24052024-A-103193" u="1"/>
        <s v="07052024-A-094631" u="1"/>
        <s v="07052024-A-094659" u="1"/>
        <s v="27042024-A-089922" u="1"/>
        <s v="24052024-A-103491" u="1"/>
        <s v="24052024-A-103591" u="1"/>
        <s v="17042024-A-084170" u="1"/>
        <s v="24052024-A-103608" u="1"/>
        <s v="25042024-A-089022" u="1"/>
        <s v="25042024-A-088993" u="1"/>
        <s v="03052024-A-093090" u="1"/>
        <s v="17042024-A-084096" u="1"/>
        <s v="04052024-A-093303" u="1"/>
        <s v="23042024-A-087351" u="1"/>
        <s v="03052024-A-093103" u="1"/>
        <s v="30052024-A-106398" u="1"/>
        <s v="25042024-A-089030" u="1"/>
        <s v="24052024-A-103500" u="1"/>
        <s v="24052024-A-103228" u="1"/>
        <s v="24052024-A-103600" u="1"/>
        <s v="03052024-A-093229" u="1"/>
        <s v="07052024-A-095004" u="1"/>
        <s v="02052024-A-091930" u="1"/>
        <s v="25042024-A-089040" u="1"/>
        <s v="25042024-A-089068" u="1"/>
        <s v="03052024-A-093225" u="1"/>
        <s v="27042024-A-089950" u="1"/>
        <s v="17042024-A-084103" u="1"/>
        <s v="30052024-A-106409" u="1"/>
        <s v="17042024-A-084217" u="1"/>
        <s v="24052024-A-103248" u="1"/>
        <s v="27042024-A-089960" u="1"/>
        <s v="07052024-A-094983" u="1"/>
        <s v="03052024-A-093249" u="1"/>
        <s v="24052024-A-103146" u="1"/>
        <s v="03052024-A-093247" u="1"/>
        <s v="22042024-A-087195" u="1"/>
        <s v="17042024-A-084139" u="1"/>
        <s v="24052024-A-103130" u="1"/>
        <s v="03052024-A-093231" u="1"/>
        <s v="07052024-A-094693" u="1"/>
        <s v="24052024-A-103444" u="1"/>
        <s v="24052024-A-103544" u="1"/>
        <s v="22042024-A-087193" u="1"/>
        <s v="24052024-A-103156" u="1"/>
        <s v="03052024-A-093243" u="1"/>
        <s v="03052024-A-093241" u="1"/>
        <s v="07052024-A-095032" u="1"/>
        <s v="24052024-A-103454" u="1"/>
        <s v="03052024-A-093253" u="1"/>
        <s v="07052024-A-094704" u="1"/>
        <s v="17042024-A-084145" u="1"/>
        <s v="25042024-A-089080" u="1"/>
        <s v="03052024-A-093251" u="1"/>
        <s v="17042024-A-084157" u="1"/>
        <s v="24052024-A-103276" u="1"/>
        <s v="25042024-A-089007" u="1"/>
        <s v="25042024-A-088964" u="1"/>
        <s v="25042024-A-088978" u="1"/>
        <s v="29052024-A-105977" u="1"/>
        <s v="04052024-A-093299" u="1"/>
        <s v="17042024-A-084151" u="1"/>
        <s v="17042024-A-084165" u="1"/>
        <s v="23042024-A-087336" u="1"/>
        <s v="24052024-A-103170" u="1"/>
        <s v="24052024-A-103482" u="1"/>
        <s v="24052024-A-103594" u="1"/>
        <s v="29052024-A-105997" u="1"/>
        <s v="23042024-A-087358" u="1"/>
        <s v="24052024-A-103409" u="1"/>
        <s v="24052024-A-103609" u="1"/>
        <s v="29052024-A-105995" u="1"/>
        <s v="24052024-A-103590" u="1"/>
        <s v="07052024-A-094942" u="1"/>
        <s v="04052024-A-093306" u="1"/>
        <s v="27042024-A-089947" u="1"/>
        <s v="07052024-A-094668" u="1"/>
        <s v="07052024-A-094854" u="1"/>
        <s v="24052024-A-103219" u="1"/>
        <s v="07052024-A-094954" u="1"/>
        <s v="24052024-A-103605" u="1"/>
        <s v="27042024-A-089945" u="1"/>
        <s v="30052024-A-106387" u="1"/>
        <s v="07052024-A-094968" u="1"/>
        <s v="03052024-A-093118" u="1"/>
        <s v="04052024-A-093302" u="1"/>
        <s v="30052024-A-106371" u="1"/>
        <s v="24052024-A-103317" u="1"/>
        <s v="03052024-A-093218" u="1"/>
        <s v="25042024-A-089059" u="1"/>
        <s v="03052024-A-093202" u="1"/>
        <s v="07052024-A-094678" u="1"/>
        <s v="27042024-A-089955" u="1"/>
        <s v="25042024-A-088917" u="1"/>
      </sharedItems>
    </cacheField>
    <cacheField name="Date" numFmtId="0">
      <sharedItems containsNonDate="0" containsDate="1" containsString="0" containsBlank="1" minDate="2019-11-08T00:00:00" maxDate="2024-12-27T00:00:00"/>
    </cacheField>
    <cacheField name="Item" numFmtId="0">
      <sharedItems containsBlank="1" count="3">
        <s v="Raw Material"/>
        <s v="Packing Material"/>
        <m/>
      </sharedItems>
    </cacheField>
    <cacheField name="Status" numFmtId="0">
      <sharedItems containsBlank="1" count="4">
        <s v="Closed"/>
        <s v="-"/>
        <s v="Running"/>
        <m/>
      </sharedItems>
    </cacheField>
    <cacheField name="Qty Recd (Kg)" numFmtId="0">
      <sharedItems containsString="0" containsBlank="1" containsNumber="1" minValue="1" maxValue="8250000"/>
    </cacheField>
    <cacheField name="Type" numFmtId="0">
      <sharedItems containsBlank="1" count="5">
        <s v="EOU"/>
        <s v="EFS"/>
        <m/>
        <s v="IND"/>
        <s v="L"/>
      </sharedItems>
    </cacheField>
    <cacheField name="Unt" numFmtId="0">
      <sharedItems containsNonDate="0" containsString="0" containsBlank="1" count="1">
        <m/>
      </sharedItems>
    </cacheField>
    <cacheField name="HS.Code" numFmtId="165">
      <sharedItems containsBlank="1" containsMixedTypes="1" containsNumber="1" minValue="1108.1199999999999" maxValue="9607.2000000000007"/>
    </cacheField>
    <cacheField name="RATE" numFmtId="0">
      <sharedItems containsBlank="1" containsMixedTypes="1" containsNumber="1" minValue="0.03" maxValue="878.44"/>
    </cacheField>
    <cacheField name="Bal. Actual" numFmtId="0">
      <sharedItems containsString="0" containsBlank="1" containsNumber="1" minValue="0" maxValue="596305.5"/>
    </cacheField>
    <cacheField name="Balance" numFmtId="0">
      <sharedItems containsString="0" containsBlank="1" containsNumber="1" minValue="0" maxValue="596305.5"/>
    </cacheField>
    <cacheField name="Product" numFmtId="0">
      <sharedItems containsBlank="1" count="21">
        <s v="Raw Cotton"/>
        <s v="Polyester Staple Fiber"/>
        <s v="Blended Fabric"/>
        <s v="Blended Yarn"/>
        <s v="Sequin Fabric"/>
        <s v="Textile Dyes"/>
        <s v="Polyester Yarn"/>
        <s v="Polyester Spun Yarn"/>
        <s v="Textile Coal"/>
        <s v="Packing Material"/>
        <s v="Cotton Yarn"/>
        <s v="Polyester Fabric"/>
        <s v="Textile Chemical"/>
        <s v="Polyester Filament Yarn"/>
        <s v="Cotton Fabric"/>
        <s v="Elastolefin Yarn"/>
        <s v="Woven / Nylon Fabric"/>
        <s v="Sewing Thread"/>
        <m/>
        <s v="Denim Fabric"/>
        <s v="Comber Noil"/>
      </sharedItems>
    </cacheField>
    <cacheField name="Item Description" numFmtId="0">
      <sharedItems containsBlank="1"/>
    </cacheField>
    <cacheField name="Import Value (Rs.)" numFmtId="43">
      <sharedItems containsString="0" containsBlank="1" containsNumber="1" minValue="0" maxValue="361602403"/>
    </cacheField>
    <cacheField name="Rate of Duty" numFmtId="0">
      <sharedItems containsNonDate="0" containsString="0" containsBlank="1" count="1">
        <m/>
      </sharedItems>
    </cacheField>
    <cacheField name="Total duties.taxes" numFmtId="43">
      <sharedItems containsString="0" containsBlank="1" containsNumber="1" minValue="0" maxValue="78616892"/>
    </cacheField>
    <cacheField name="Country of origion" numFmtId="0">
      <sharedItems containsNonDate="0" containsString="0" containsBlank="1" count="1">
        <m/>
      </sharedItems>
    </cacheField>
    <cacheField name="Chq #" numFmtId="0">
      <sharedItems containsString="0" containsBlank="1" containsNumber="1" containsInteger="1" minValue="15716662" maxValue="152721318"/>
    </cacheField>
    <cacheField name="Chq Date" numFmtId="14">
      <sharedItems containsNonDate="0" containsDate="1" containsString="0" containsBlank="1" minDate="2015-01-13T00:00:00" maxDate="2025-07-06T00:00:00"/>
    </cacheField>
    <cacheField name="Amount" numFmtId="0">
      <sharedItems containsNonDate="0" containsString="0" containsBlank="1" count="1">
        <m/>
      </sharedItems>
    </cacheField>
    <cacheField name="Full Consumed" numFmtId="0">
      <sharedItems containsNonDate="0" containsString="0" containsBlank="1" count="1">
        <m/>
      </sharedItems>
    </cacheField>
    <cacheField name="IB&amp;Ch.recd" numFmtId="0">
      <sharedItems containsNonDate="0" containsString="0" containsBlank="1" count="1">
        <m/>
      </sharedItems>
    </cacheField>
    <cacheField name="noc.recd" numFmtId="0">
      <sharedItems containsNonDate="0" containsDate="1" containsString="0" containsBlank="1" minDate="2024-04-01T00:00:00" maxDate="2024-07-11T00:00:00" count="7">
        <m/>
        <d v="2024-04-01T00:00:00"/>
        <d v="2024-06-11T00:00:00"/>
        <d v="2024-04-25T00:00:00"/>
        <d v="2024-04-15T00:00:00"/>
        <d v="2024-07-10T00:00:00"/>
        <d v="2024-06-07T00:00:00"/>
      </sharedItems>
    </cacheField>
    <cacheField name="Recon. _x000a_Submit dt." numFmtId="0">
      <sharedItems containsNonDate="0" containsString="0" containsBlank="1" count="1">
        <m/>
      </sharedItems>
    </cacheField>
    <cacheField name="Remarks" numFmtId="0">
      <sharedItems containsNonDate="0" containsString="0" containsBlank="1" count="1">
        <m/>
      </sharedItems>
    </cacheField>
    <cacheField name="Exp.Check" numFmtId="14">
      <sharedItems containsNonDate="0" containsDate="1" containsString="0" containsBlank="1" minDate="2014-11-14T00:00:00" maxDate="2025-05-07T00:00:00"/>
    </cacheField>
    <cacheField name="WH.DT" numFmtId="0">
      <sharedItems containsNonDate="0" containsString="0" containsBlank="1" count="1">
        <m/>
      </sharedItems>
    </cacheField>
    <cacheField name="Analysis" numFmtId="0">
      <sharedItems containsBlank="1" count="3">
        <m/>
        <s v="OK"/>
        <s v="NA"/>
      </sharedItems>
    </cacheField>
    <cacheField name="Col." numFmtId="0">
      <sharedItems containsNonDate="0" containsString="0" containsBlank="1" count="1">
        <m/>
      </sharedItems>
    </cacheField>
    <cacheField name="Type2" numFmtId="0">
      <sharedItems containsNonDate="0" containsString="0" containsBlank="1" count="1">
        <m/>
      </sharedItems>
    </cacheField>
    <cacheField name="Consumed" numFmtId="0">
      <sharedItems containsNonDate="0" containsString="0" containsBlank="1" count="1">
        <m/>
      </sharedItems>
    </cacheField>
    <cacheField name="Prod" numFmtId="0">
      <sharedItems containsBlank="1" count="9">
        <s v="Raw Cotton"/>
        <s v="Polyester Staple Fiber"/>
        <s v="FABRIC"/>
        <s v="YARN"/>
        <s v="DYES"/>
        <s v="Chemical"/>
        <s v="Packing Material"/>
        <m/>
        <s v="Comber Noil"/>
      </sharedItems>
    </cacheField>
    <cacheField name="Rate.PKR" numFmtId="0">
      <sharedItems containsMixedTypes="1" containsNumber="1" minValue="0" maxValue="270640.44444444444"/>
    </cacheField>
    <cacheField name="Rate.Duty" numFmtId="43">
      <sharedItems containsMixedTypes="1" containsNumber="1" minValue="0" maxValue="124494.66666666667"/>
    </cacheField>
    <cacheField name="Remaining PDC" numFmtId="0">
      <sharedItems containsMixedTypes="1" containsNumber="1" minValue="0" maxValue="66272594"/>
    </cacheField>
    <cacheField name="StartDt" numFmtId="14">
      <sharedItems containsDate="1" containsMixedTypes="1" minDate="2022-03-03T00:00:00" maxDate="2024-09-04T00:00:00"/>
    </cacheField>
    <cacheField name="check" numFmtId="0">
      <sharedItems count="1"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38.515047222223" createdVersion="8" refreshedVersion="8" minRefreshableVersion="3" recordCount="170" xr:uid="{B00BEBF5-9050-4B08-8DB6-587638838716}">
  <cacheSource type="worksheet">
    <worksheetSource ref="A2:H5000" sheet="MC+SP Data"/>
  </cacheSource>
  <cacheFields count="8">
    <cacheField name="SRO" numFmtId="0">
      <sharedItems containsString="0" containsBlank="1" containsNumber="1" containsInteger="1" minValue="1" maxValue="169"/>
    </cacheField>
    <cacheField name="Prod" numFmtId="0">
      <sharedItems containsBlank="1" count="3">
        <s v="Machinery"/>
        <s v="Spare Parts"/>
        <m/>
      </sharedItems>
    </cacheField>
    <cacheField name="GD No" numFmtId="0">
      <sharedItems containsBlank="1"/>
    </cacheField>
    <cacheField name="Qty" numFmtId="0">
      <sharedItems containsString="0" containsBlank="1" containsNumber="1" minValue="1" maxValue="609858"/>
    </cacheField>
    <cacheField name="Value" numFmtId="164">
      <sharedItems containsString="0" containsBlank="1" containsNumber="1" containsInteger="1" minValue="58450" maxValue="589092449"/>
    </cacheField>
    <cacheField name="Duty" numFmtId="164">
      <sharedItems containsString="0" containsBlank="1" containsNumber="1" minValue="29225" maxValue="176727735"/>
    </cacheField>
    <cacheField name="HS Code" numFmtId="0">
      <sharedItems containsBlank="1"/>
    </cacheField>
    <cacheField name="Status" numFmtId="0">
      <sharedItems containsDate="1" containsBlank="1" containsMixedTypes="1" minDate="2023-07-10T00:00:00" maxDate="2024-08-23T00:00:00" count="112">
        <s v="-"/>
        <m/>
        <d v="2023-10-13T00:00:00" u="1"/>
        <d v="2024-01-18T00:00:00" u="1"/>
        <d v="2024-08-22T00:00:00" u="1"/>
        <d v="2023-07-10T00:00:00" u="1"/>
        <d v="2023-09-01T00:00:00" u="1"/>
        <d v="2024-02-23T00:00:00" u="1"/>
        <d v="2024-06-05T00:00:00" u="1"/>
        <d v="2023-10-06T00:00:00" u="1"/>
        <d v="2024-07-10T00:00:00" u="1"/>
        <d v="2023-11-11T00:00:00" u="1"/>
        <d v="2024-01-11T00:00:00" u="1"/>
        <d v="2023-08-08T00:00:00" u="1"/>
        <d v="2024-07-03T00:00:00" u="1"/>
        <d v="2024-01-23T00:00:00" u="1"/>
        <d v="2024-03-14T00:00:00" u="1"/>
        <d v="2023-07-15T00:00:00" u="1"/>
        <d v="2023-12-28T00:00:00" u="1"/>
        <d v="2024-08-01T00:00:00" u="1"/>
        <d v="2023-09-25T00:00:00" u="1"/>
        <d v="2024-06-29T00:00:00" u="1"/>
        <d v="2023-12-21T00:00:00" u="1"/>
        <d v="2024-02-21T00:00:00" u="1"/>
        <d v="2024-06-03T00:00:00" u="1"/>
        <d v="2024-06-22T00:00:00" u="1"/>
        <d v="2024-08-13T00:00:00" u="1"/>
        <d v="2024-02-14T00:00:00" u="1"/>
        <d v="2023-11-28T00:00:00" u="1"/>
        <d v="2024-04-24T00:00:00" u="1"/>
        <d v="2024-08-06T00:00:00" u="1"/>
        <d v="2023-12-07T00:00:00" u="1"/>
        <d v="2024-02-07T00:00:00" u="1"/>
        <d v="2023-11-21T00:00:00" u="1"/>
        <d v="2024-03-12T00:00:00" u="1"/>
        <d v="2023-09-04T00:00:00" u="1"/>
        <d v="2023-12-26T00:00:00" u="1"/>
        <d v="2024-06-08T00:00:00" u="1"/>
        <d v="2024-07-13T00:00:00" u="1"/>
        <d v="2024-03-05T00:00:00" u="1"/>
        <d v="2024-06-27T00:00:00" u="1"/>
        <d v="2023-10-28T00:00:00" u="1"/>
        <d v="2023-12-19T00:00:00" u="1"/>
        <d v="2024-06-01T00:00:00" u="1"/>
        <d v="2024-07-06T00:00:00" u="1"/>
        <d v="2024-04-29T00:00:00" u="1"/>
        <d v="2024-02-12T00:00:00" u="1"/>
        <d v="2023-08-04T00:00:00" u="1"/>
        <d v="2024-01-26T00:00:00" u="1"/>
        <d v="2024-04-22T00:00:00" u="1"/>
        <d v="2023-08-16T00:00:00" u="1"/>
        <d v="2024-03-29T00:00:00" u="1"/>
        <d v="2024-05-20T00:00:00" u="1"/>
        <d v="2023-09-21T00:00:00" u="1"/>
        <d v="2024-01-12T00:00:00" u="1"/>
        <d v="2024-06-25T00:00:00" u="1"/>
        <d v="2024-08-16T00:00:00" u="1"/>
        <d v="2024-04-08T00:00:00" u="1"/>
        <d v="2024-07-30T00:00:00" u="1"/>
        <d v="2024-01-31T00:00:00" u="1"/>
        <d v="2024-03-22T00:00:00" u="1"/>
        <d v="2024-07-04T00:00:00" u="1"/>
        <d v="2023-09-14T00:00:00" u="1"/>
        <d v="2023-08-02T00:00:00" u="1"/>
        <d v="2023-11-24T00:00:00" u="1"/>
        <d v="2024-03-15T00:00:00" u="1"/>
        <d v="2024-05-06T00:00:00" u="1"/>
        <d v="2024-02-29T00:00:00" u="1"/>
        <d v="2024-06-11T00:00:00" u="1"/>
        <d v="2023-10-12T00:00:00" u="1"/>
        <d v="2024-01-17T00:00:00" u="1"/>
        <d v="2024-02-22T00:00:00" u="1"/>
        <d v="2024-07-09T00:00:00" u="1"/>
        <d v="2024-01-10T00:00:00" u="1"/>
        <d v="2024-03-01T00:00:00" u="1"/>
        <d v="2023-10-24T00:00:00" u="1"/>
        <d v="2023-08-07T00:00:00" u="1"/>
        <d v="2023-11-29T00:00:00" u="1"/>
        <d v="2024-01-29T00:00:00" u="1"/>
        <d v="2023-09-12T00:00:00" u="1"/>
        <d v="2024-04-25T00:00:00" u="1"/>
        <d v="2024-08-07T00:00:00" u="1"/>
        <d v="2023-10-17T00:00:00" u="1"/>
        <d v="2023-12-08T00:00:00" u="1"/>
        <d v="2024-02-27T00:00:00" u="1"/>
        <d v="2024-04-18T00:00:00" u="1"/>
        <d v="2023-10-10T00:00:00" u="1"/>
        <d v="2023-11-15T00:00:00" u="1"/>
        <d v="2024-03-06T00:00:00" u="1"/>
        <d v="2023-12-20T00:00:00" u="1"/>
        <d v="2024-05-16T00:00:00" u="1"/>
        <d v="2023-11-08T00:00:00" u="1"/>
        <d v="2024-08-12T00:00:00" u="1"/>
        <d v="2023-12-13T00:00:00" u="1"/>
        <d v="2024-02-13T00:00:00" u="1"/>
        <d v="2024-05-09T00:00:00" u="1"/>
        <d v="2023-12-06T00:00:00" u="1"/>
        <d v="2024-07-19T00:00:00" u="1"/>
        <d v="2024-05-02T00:00:00" u="1"/>
        <d v="2023-07-12T00:00:00" u="1"/>
        <d v="2023-08-17T00:00:00" u="1"/>
        <d v="2024-03-30T00:00:00" u="1"/>
        <d v="2024-05-21T00:00:00" u="1"/>
        <d v="2023-09-22T00:00:00" u="1"/>
        <d v="2023-12-18T00:00:00" u="1"/>
        <d v="2024-07-05T00:00:00" u="1"/>
        <d v="2023-07-24T00:00:00" u="1"/>
        <d v="2023-09-15T00:00:00" u="1"/>
        <d v="2023-10-20T00:00:00" u="1"/>
        <d v="2024-07-24T00:00:00" u="1"/>
        <d v="2023-08-03T00:00:00" u="1"/>
        <d v="2024-05-07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54.586627314813" createdVersion="8" refreshedVersion="8" minRefreshableVersion="3" recordCount="2469" xr:uid="{F4AB3F3A-8A48-4533-8FF2-9C5A14FC222F}">
  <cacheSource type="worksheet">
    <worksheetSource ref="A3:AM5000" sheet="GD.List" r:id="rId2"/>
  </cacheSource>
  <cacheFields count="39">
    <cacheField name="Inv#" numFmtId="0">
      <sharedItems containsBlank="1" containsMixedTypes="1" containsNumber="1" containsInteger="1" minValue="1" maxValue="1061"/>
    </cacheField>
    <cacheField name="Recd.Dt" numFmtId="0">
      <sharedItems containsNonDate="0" containsDate="1" containsString="0" containsBlank="1" minDate="2022-02-01T00:00:00" maxDate="2024-09-01T00:00:00"/>
    </cacheField>
    <cacheField name="Document Reference No" numFmtId="0">
      <sharedItems containsBlank="1"/>
    </cacheField>
    <cacheField name="Date" numFmtId="0">
      <sharedItems containsNonDate="0" containsDate="1" containsString="0" containsBlank="1" minDate="2019-11-08T00:00:00" maxDate="6202-06-27T00:00:00"/>
    </cacheField>
    <cacheField name="Item" numFmtId="0">
      <sharedItems containsBlank="1" count="3">
        <s v="Raw Material"/>
        <s v="Packing Material"/>
        <m/>
      </sharedItems>
    </cacheField>
    <cacheField name="Status" numFmtId="0">
      <sharedItems containsBlank="1" count="4">
        <s v="Closed"/>
        <s v="-"/>
        <s v="Running"/>
        <m/>
      </sharedItems>
    </cacheField>
    <cacheField name="Qty Recd (Kg)" numFmtId="0">
      <sharedItems containsString="0" containsBlank="1" containsNumber="1" minValue="1" maxValue="8250000"/>
    </cacheField>
    <cacheField name="Type" numFmtId="0">
      <sharedItems containsBlank="1" count="5">
        <s v="EOU"/>
        <s v="EFS"/>
        <m/>
        <s v="IND"/>
        <s v="L"/>
      </sharedItems>
    </cacheField>
    <cacheField name="Unt" numFmtId="0">
      <sharedItems containsNonDate="0" containsString="0" containsBlank="1" count="1">
        <m/>
      </sharedItems>
    </cacheField>
    <cacheField name="HS.Code" numFmtId="0">
      <sharedItems containsBlank="1" containsMixedTypes="1" containsNumber="1" minValue="1108.1199999999999" maxValue="9607.2000000000007"/>
    </cacheField>
    <cacheField name="RATE" numFmtId="0">
      <sharedItems containsBlank="1" containsMixedTypes="1" containsNumber="1" minValue="0.03" maxValue="878.44"/>
    </cacheField>
    <cacheField name="Bal. Actual" numFmtId="0">
      <sharedItems containsString="0" containsBlank="1" containsNumber="1" minValue="-2" maxValue="596305.5"/>
    </cacheField>
    <cacheField name="Balance" numFmtId="0">
      <sharedItems containsString="0" containsBlank="1" containsNumber="1" minValue="0" maxValue="596305.5"/>
    </cacheField>
    <cacheField name="Product" numFmtId="0">
      <sharedItems containsBlank="1" count="21">
        <s v="Raw Cotton"/>
        <s v="Polyester Staple Fiber"/>
        <s v="Blended Fabric"/>
        <s v="Blended Yarn"/>
        <s v="Sequin Fabric"/>
        <s v="Textile Dyes"/>
        <s v="Polyester Yarn"/>
        <s v="Polyester Spun Yarn"/>
        <s v="Textile Coal"/>
        <s v="Packing Material"/>
        <s v="Cotton Yarn"/>
        <s v="Polyester Fabric"/>
        <s v="Textile Chemical"/>
        <s v="Polyester Filament Yarn"/>
        <s v="Cotton Fabric"/>
        <s v="Elastolefin Yarn"/>
        <s v="Woven / Nylon Fabric"/>
        <s v="Sewing Thread"/>
        <m/>
        <s v="Denim Fabric"/>
        <s v="Comber Noil"/>
      </sharedItems>
    </cacheField>
    <cacheField name="Item Description" numFmtId="0">
      <sharedItems containsBlank="1"/>
    </cacheField>
    <cacheField name="Import Value (Rs.)" numFmtId="43">
      <sharedItems containsString="0" containsBlank="1" containsNumber="1" minValue="0" maxValue="361602403"/>
    </cacheField>
    <cacheField name="Rate of Duty" numFmtId="0">
      <sharedItems containsNonDate="0" containsString="0" containsBlank="1" count="1">
        <m/>
      </sharedItems>
    </cacheField>
    <cacheField name="Total duties.taxes" numFmtId="43">
      <sharedItems containsString="0" containsBlank="1" containsNumber="1" minValue="0" maxValue="80051948"/>
    </cacheField>
    <cacheField name="Country of origion" numFmtId="0">
      <sharedItems containsNonDate="0" containsString="0" containsBlank="1" count="1">
        <m/>
      </sharedItems>
    </cacheField>
    <cacheField name="Chq #" numFmtId="0">
      <sharedItems containsString="0" containsBlank="1" containsNumber="1" containsInteger="1" minValue="15716662" maxValue="152721318"/>
    </cacheField>
    <cacheField name="Chq Date" numFmtId="14">
      <sharedItems containsNonDate="0" containsDate="1" containsString="0" containsBlank="1" minDate="2015-01-13T00:00:00" maxDate="2025-07-06T00:00:00"/>
    </cacheField>
    <cacheField name="Amount" numFmtId="0">
      <sharedItems containsNonDate="0" containsString="0" containsBlank="1" count="1">
        <m/>
      </sharedItems>
    </cacheField>
    <cacheField name="Full Consumed" numFmtId="0">
      <sharedItems containsNonDate="0" containsString="0" containsBlank="1" count="1">
        <m/>
      </sharedItems>
    </cacheField>
    <cacheField name="IB&amp;Ch.recd" numFmtId="0">
      <sharedItems containsNonDate="0" containsString="0" containsBlank="1" count="1">
        <m/>
      </sharedItems>
    </cacheField>
    <cacheField name="noc.recd" numFmtId="0">
      <sharedItems containsNonDate="0" containsDate="1" containsString="0" containsBlank="1" minDate="2024-04-01T00:00:00" maxDate="2024-07-11T00:00:00" count="7">
        <m/>
        <d v="2024-04-01T00:00:00"/>
        <d v="2024-06-11T00:00:00"/>
        <d v="2024-04-25T00:00:00"/>
        <d v="2024-04-15T00:00:00"/>
        <d v="2024-07-10T00:00:00"/>
        <d v="2024-06-07T00:00:00"/>
      </sharedItems>
    </cacheField>
    <cacheField name="Recon. _x000a_Submit dt." numFmtId="0">
      <sharedItems containsNonDate="0" containsString="0" containsBlank="1" count="1">
        <m/>
      </sharedItems>
    </cacheField>
    <cacheField name="Remarks" numFmtId="0">
      <sharedItems containsNonDate="0" containsString="0" containsBlank="1" count="1">
        <m/>
      </sharedItems>
    </cacheField>
    <cacheField name="Exp.Check" numFmtId="0">
      <sharedItems containsNonDate="0" containsDate="1" containsString="0" containsBlank="1" minDate="2014-11-14T00:00:00" maxDate="2025-05-07T00:00:00"/>
    </cacheField>
    <cacheField name="WH.DT" numFmtId="0">
      <sharedItems containsNonDate="0" containsString="0" containsBlank="1" count="1">
        <m/>
      </sharedItems>
    </cacheField>
    <cacheField name="Analysis" numFmtId="0">
      <sharedItems containsBlank="1" count="3">
        <m/>
        <s v="OK"/>
        <s v="NA"/>
      </sharedItems>
    </cacheField>
    <cacheField name="Col." numFmtId="0">
      <sharedItems containsNonDate="0" containsString="0" containsBlank="1" count="1">
        <m/>
      </sharedItems>
    </cacheField>
    <cacheField name="Type2" numFmtId="0">
      <sharedItems containsNonDate="0" containsString="0" containsBlank="1" count="1">
        <m/>
      </sharedItems>
    </cacheField>
    <cacheField name="Consumed" numFmtId="0">
      <sharedItems containsNonDate="0" containsString="0" containsBlank="1" count="1">
        <m/>
      </sharedItems>
    </cacheField>
    <cacheField name="Prod" numFmtId="0">
      <sharedItems containsBlank="1" count="10">
        <s v="Raw Cotton"/>
        <s v="Polyester Staple Fiber"/>
        <s v="FABRIC"/>
        <s v="YARN"/>
        <s v="DYES"/>
        <s v="Chemical"/>
        <s v="Packing Material"/>
        <s v="Polyester Fabric"/>
        <m/>
        <s v="Comber Noil"/>
      </sharedItems>
    </cacheField>
    <cacheField name="Rate.PKR" numFmtId="0">
      <sharedItems containsBlank="1" containsMixedTypes="1" containsNumber="1" minValue="0" maxValue="270640.44444444444"/>
    </cacheField>
    <cacheField name="Rate.Duty" numFmtId="0">
      <sharedItems containsBlank="1" containsMixedTypes="1" containsNumber="1" minValue="0" maxValue="124494.66666666667"/>
    </cacheField>
    <cacheField name="Remaining PDC" numFmtId="0">
      <sharedItems containsBlank="1" containsMixedTypes="1" containsNumber="1" minValue="-28.26" maxValue="80051948"/>
    </cacheField>
    <cacheField name="StartDt" numFmtId="14">
      <sharedItems containsDate="1" containsBlank="1" containsMixedTypes="1" minDate="2022-03-03T00:00:00" maxDate="2024-10-01T00:00:00"/>
    </cacheField>
    <cacheField name="check" numFmtId="0">
      <sharedItems containsBlank="1" count="2"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">
  <r>
    <x v="0"/>
    <x v="0"/>
    <x v="0"/>
    <n v="2"/>
    <n v="4403977"/>
    <n v="1321193"/>
    <s v="8479.8920  "/>
    <x v="0"/>
  </r>
  <r>
    <x v="1"/>
    <x v="0"/>
    <x v="1"/>
    <n v="24"/>
    <n v="84048736"/>
    <n v="25214622"/>
    <s v="8452.2100  / 8452.9090  "/>
    <x v="0"/>
  </r>
  <r>
    <x v="2"/>
    <x v="0"/>
    <x v="2"/>
    <n v="8"/>
    <n v="43374690"/>
    <n v="13012408"/>
    <s v="8452.2100  / 8452.9090  "/>
    <x v="0"/>
  </r>
  <r>
    <x v="3"/>
    <x v="0"/>
    <x v="3"/>
    <n v="2"/>
    <n v="18886947"/>
    <n v="5666084"/>
    <s v="8452.2900  "/>
    <x v="0"/>
  </r>
  <r>
    <x v="4"/>
    <x v="0"/>
    <x v="4"/>
    <n v="118"/>
    <n v="21143246"/>
    <n v="6342974"/>
    <s v="8452.2900  "/>
    <x v="0"/>
  </r>
  <r>
    <x v="5"/>
    <x v="0"/>
    <x v="5"/>
    <n v="2"/>
    <n v="2692068"/>
    <n v="807620"/>
    <s v="8452.2100  "/>
    <x v="0"/>
  </r>
  <r>
    <x v="6"/>
    <x v="0"/>
    <x v="6"/>
    <n v="12"/>
    <n v="4000692"/>
    <n v="1200207"/>
    <s v="8452.2900  "/>
    <x v="0"/>
  </r>
  <r>
    <x v="7"/>
    <x v="0"/>
    <x v="7"/>
    <n v="20"/>
    <n v="26173620"/>
    <n v="7852085"/>
    <s v="8452.2900  "/>
    <x v="0"/>
  </r>
  <r>
    <x v="8"/>
    <x v="0"/>
    <x v="8"/>
    <n v="1"/>
    <n v="1181811"/>
    <n v="354543"/>
    <s v="8452.2900  "/>
    <x v="0"/>
  </r>
  <r>
    <x v="9"/>
    <x v="0"/>
    <x v="9"/>
    <n v="2"/>
    <n v="998702"/>
    <n v="299610"/>
    <s v="8452.2900  "/>
    <x v="0"/>
  </r>
  <r>
    <x v="10"/>
    <x v="0"/>
    <x v="10"/>
    <n v="1"/>
    <n v="91370561"/>
    <n v="27411168"/>
    <s v="8451.4030  "/>
    <x v="0"/>
  </r>
  <r>
    <x v="11"/>
    <x v="0"/>
    <x v="11"/>
    <n v="6"/>
    <n v="2235109"/>
    <n v="670533"/>
    <s v="8452.2900  "/>
    <x v="0"/>
  </r>
  <r>
    <x v="12"/>
    <x v="0"/>
    <x v="12"/>
    <n v="1"/>
    <n v="8741074"/>
    <n v="2622322"/>
    <s v="8452.2900  "/>
    <x v="0"/>
  </r>
  <r>
    <x v="13"/>
    <x v="0"/>
    <x v="13"/>
    <n v="2"/>
    <n v="416749"/>
    <n v="125025"/>
    <s v="8445.4090  "/>
    <x v="0"/>
  </r>
  <r>
    <x v="14"/>
    <x v="0"/>
    <x v="14"/>
    <n v="1"/>
    <n v="1149653"/>
    <n v="344896"/>
    <s v="9024.8000  "/>
    <x v="0"/>
  </r>
  <r>
    <x v="15"/>
    <x v="0"/>
    <x v="15"/>
    <n v="6"/>
    <n v="589092449"/>
    <n v="176727735"/>
    <s v="8445.2000  "/>
    <x v="0"/>
  </r>
  <r>
    <x v="16"/>
    <x v="0"/>
    <x v="16"/>
    <n v="8"/>
    <n v="3034994"/>
    <n v="910498"/>
    <s v="8452.2900  "/>
    <x v="0"/>
  </r>
  <r>
    <x v="17"/>
    <x v="0"/>
    <x v="17"/>
    <n v="1"/>
    <n v="35618058"/>
    <n v="10685417"/>
    <s v="8486.2000  "/>
    <x v="0"/>
  </r>
  <r>
    <x v="18"/>
    <x v="0"/>
    <x v="18"/>
    <n v="6"/>
    <n v="20321922"/>
    <n v="6096575"/>
    <s v="8452.2900  "/>
    <x v="0"/>
  </r>
  <r>
    <x v="19"/>
    <x v="0"/>
    <x v="19"/>
    <n v="1"/>
    <n v="17788789"/>
    <n v="5336637"/>
    <s v="8451.5000  "/>
    <x v="0"/>
  </r>
  <r>
    <x v="20"/>
    <x v="0"/>
    <x v="20"/>
    <n v="2"/>
    <n v="6155349"/>
    <n v="1846605"/>
    <s v="8452.2900  "/>
    <x v="0"/>
  </r>
  <r>
    <x v="21"/>
    <x v="0"/>
    <x v="21"/>
    <n v="23"/>
    <n v="472627185"/>
    <n v="141788158"/>
    <s v="8445.1100  / 8445.1200  / 8445.1300  / 8445.1910  "/>
    <x v="0"/>
  </r>
  <r>
    <x v="22"/>
    <x v="0"/>
    <x v="22"/>
    <n v="1"/>
    <n v="25163317"/>
    <n v="7548995"/>
    <s v="8447.9010  "/>
    <x v="0"/>
  </r>
  <r>
    <x v="23"/>
    <x v="0"/>
    <x v="23"/>
    <n v="4"/>
    <n v="6389906"/>
    <n v="1916972"/>
    <s v="8452.2900  "/>
    <x v="0"/>
  </r>
  <r>
    <x v="24"/>
    <x v="0"/>
    <x v="24"/>
    <n v="2"/>
    <n v="6092477"/>
    <n v="1827743"/>
    <s v="9031.8000  "/>
    <x v="0"/>
  </r>
  <r>
    <x v="25"/>
    <x v="0"/>
    <x v="25"/>
    <n v="1"/>
    <n v="8115120"/>
    <n v="2434541.8417320736"/>
    <s v="8445.409 "/>
    <x v="0"/>
  </r>
  <r>
    <x v="26"/>
    <x v="1"/>
    <x v="26"/>
    <n v="91340"/>
    <n v="187977016"/>
    <n v="93988500"/>
    <s v="8544.1900  "/>
    <x v="0"/>
  </r>
  <r>
    <x v="27"/>
    <x v="1"/>
    <x v="27"/>
    <n v="36"/>
    <n v="479353"/>
    <n v="209486"/>
    <s v="7318.1590  / 7318.2300  / 7326.9090  / 8448.4990  / 8501.5290  / 8523.5290  / 8538.9090  / 8544.2000  / 9032.8990  "/>
    <x v="0"/>
  </r>
  <r>
    <x v="28"/>
    <x v="1"/>
    <x v="28"/>
    <n v="4"/>
    <n v="700981"/>
    <n v="252991"/>
    <s v="8504.4090  / 8543.7090  "/>
    <x v="0"/>
  </r>
  <r>
    <x v="29"/>
    <x v="1"/>
    <x v="29"/>
    <n v="11"/>
    <n v="1466447"/>
    <n v="676260"/>
    <s v="3403.9990  / 4016.9990  / 8504.4090  "/>
    <x v="0"/>
  </r>
  <r>
    <x v="30"/>
    <x v="1"/>
    <x v="30"/>
    <n v="252"/>
    <n v="268358440"/>
    <n v="122997620"/>
    <s v="8504.4090  / 9032.8990  "/>
    <x v="0"/>
  </r>
  <r>
    <x v="31"/>
    <x v="1"/>
    <x v="31"/>
    <n v="1"/>
    <n v="1543294"/>
    <n v="509287"/>
    <s v="8422.4000  "/>
    <x v="0"/>
  </r>
  <r>
    <x v="32"/>
    <x v="1"/>
    <x v="32"/>
    <n v="1"/>
    <n v="1350134"/>
    <n v="405040"/>
    <s v="8452.2100  "/>
    <x v="0"/>
  </r>
  <r>
    <x v="33"/>
    <x v="1"/>
    <x v="33"/>
    <n v="144"/>
    <n v="4675297"/>
    <n v="1631159"/>
    <s v="7326.9090  / 8451.9000  "/>
    <x v="0"/>
  </r>
  <r>
    <x v="34"/>
    <x v="1"/>
    <x v="34"/>
    <n v="1"/>
    <n v="177148"/>
    <n v="72631"/>
    <s v="8538.9090  "/>
    <x v="0"/>
  </r>
  <r>
    <x v="35"/>
    <x v="1"/>
    <x v="35"/>
    <n v="39"/>
    <n v="5999010"/>
    <n v="2586195"/>
    <s v="4016.9320  / 4016.9990  / 7318.1590  / 8421.3990  / 8481.8090  / 8511.1000  "/>
    <x v="0"/>
  </r>
  <r>
    <x v="36"/>
    <x v="1"/>
    <x v="36"/>
    <n v="100"/>
    <n v="1574633"/>
    <n v="472390"/>
    <s v="9026.8000  "/>
    <x v="0"/>
  </r>
  <r>
    <x v="37"/>
    <x v="1"/>
    <x v="37"/>
    <n v="2"/>
    <n v="198708"/>
    <n v="89556"/>
    <s v="8504.4090  / 8538.9090  "/>
    <x v="0"/>
  </r>
  <r>
    <x v="38"/>
    <x v="1"/>
    <x v="38"/>
    <n v="31"/>
    <n v="3172127"/>
    <n v="1066596"/>
    <s v="3917.3990  / 8479.8990  / 8481.8090  / 8538.9090  / 9031.8000  / 9032.8990  "/>
    <x v="0"/>
  </r>
  <r>
    <x v="39"/>
    <x v="1"/>
    <x v="39"/>
    <n v="17"/>
    <n v="1245724"/>
    <n v="573964"/>
    <s v="7318.1590  / 7319.9090  / 8448.4990  / 8483.4090  / 8501.5290  "/>
    <x v="0"/>
  </r>
  <r>
    <x v="40"/>
    <x v="1"/>
    <x v="40"/>
    <n v="2"/>
    <n v="1302258"/>
    <n v="651129"/>
    <s v="8537.1090  "/>
    <x v="0"/>
  </r>
  <r>
    <x v="41"/>
    <x v="1"/>
    <x v="41"/>
    <n v="68"/>
    <n v="356255"/>
    <n v="177159"/>
    <s v="8448.4990  / 8483.3090  "/>
    <x v="0"/>
  </r>
  <r>
    <x v="42"/>
    <x v="1"/>
    <x v="42"/>
    <n v="21"/>
    <n v="2591468"/>
    <n v="1257037"/>
    <s v="8483.4090  / 8501.5290  / 8504.4090  / 8537.1090  / 8538.9090  / 9031.8000  "/>
    <x v="0"/>
  </r>
  <r>
    <x v="43"/>
    <x v="1"/>
    <x v="43"/>
    <n v="4393"/>
    <n v="2689011"/>
    <n v="806703"/>
    <s v="8451.9000  "/>
    <x v="0"/>
  </r>
  <r>
    <x v="44"/>
    <x v="1"/>
    <x v="44"/>
    <n v="609858"/>
    <n v="345369008"/>
    <n v="158659861"/>
    <s v="7318.1590  / 7320.9090  / 8448.4990  / 8481.8090  / 8501.5290  / 8504.4090  / 8537.1090  / 8538.9090  / 9031.8000  "/>
    <x v="0"/>
  </r>
  <r>
    <x v="45"/>
    <x v="1"/>
    <x v="45"/>
    <n v="1"/>
    <n v="758359"/>
    <n v="379180"/>
    <s v="8421.3990  "/>
    <x v="0"/>
  </r>
  <r>
    <x v="46"/>
    <x v="1"/>
    <x v="46"/>
    <n v="120"/>
    <n v="758034"/>
    <n v="331136"/>
    <s v="8448.4990  / 8482.2000  / 8483.4090  "/>
    <x v="0"/>
  </r>
  <r>
    <x v="47"/>
    <x v="1"/>
    <x v="47"/>
    <n v="6"/>
    <n v="1005916"/>
    <n v="301775"/>
    <s v="9031.8000  "/>
    <x v="0"/>
  </r>
  <r>
    <x v="48"/>
    <x v="1"/>
    <x v="48"/>
    <n v="1188"/>
    <n v="6012453"/>
    <n v="3006227"/>
    <s v="4010.3990  "/>
    <x v="0"/>
  </r>
  <r>
    <x v="49"/>
    <x v="1"/>
    <x v="49"/>
    <n v="1188"/>
    <n v="6012489"/>
    <n v="3006245"/>
    <s v="4010.3990  "/>
    <x v="0"/>
  </r>
  <r>
    <x v="50"/>
    <x v="1"/>
    <x v="50"/>
    <n v="27"/>
    <n v="2266088"/>
    <n v="1030027"/>
    <s v="8448.4990  / 8481.8090  / 8501.5290  "/>
    <x v="0"/>
  </r>
  <r>
    <x v="51"/>
    <x v="1"/>
    <x v="51"/>
    <n v="2"/>
    <n v="1692940"/>
    <n v="507881"/>
    <s v="8448.3900  "/>
    <x v="0"/>
  </r>
  <r>
    <x v="52"/>
    <x v="1"/>
    <x v="52"/>
    <n v="2"/>
    <n v="2616783"/>
    <n v="1218945"/>
    <s v="8414.9090  / 8421.3990  "/>
    <x v="0"/>
  </r>
  <r>
    <x v="53"/>
    <x v="1"/>
    <x v="53"/>
    <n v="97920"/>
    <n v="408255068"/>
    <n v="166544461"/>
    <s v="4016.9320  / 8448.3900  / 8483.4090  "/>
    <x v="0"/>
  </r>
  <r>
    <x v="54"/>
    <x v="1"/>
    <x v="54"/>
    <n v="1"/>
    <n v="130851"/>
    <n v="60191"/>
    <s v="8504.4090  "/>
    <x v="0"/>
  </r>
  <r>
    <x v="55"/>
    <x v="1"/>
    <x v="55"/>
    <n v="6"/>
    <n v="1689139"/>
    <n v="506742"/>
    <s v="9024.8000  "/>
    <x v="0"/>
  </r>
  <r>
    <x v="56"/>
    <x v="1"/>
    <x v="56"/>
    <n v="2"/>
    <n v="1083052"/>
    <n v="477760"/>
    <s v="8448.4990  / 8483.4090  "/>
    <x v="0"/>
  </r>
  <r>
    <x v="57"/>
    <x v="1"/>
    <x v="57"/>
    <n v="2"/>
    <n v="557581"/>
    <n v="228608"/>
    <s v="8538.9090  "/>
    <x v="0"/>
  </r>
  <r>
    <x v="58"/>
    <x v="1"/>
    <x v="58"/>
    <n v="1"/>
    <n v="416868"/>
    <n v="137566"/>
    <s v="8479.8990  "/>
    <x v="0"/>
  </r>
  <r>
    <x v="59"/>
    <x v="1"/>
    <x v="59"/>
    <n v="216"/>
    <n v="511804"/>
    <n v="235429"/>
    <s v="4016.9990  "/>
    <x v="0"/>
  </r>
  <r>
    <x v="60"/>
    <x v="1"/>
    <x v="60"/>
    <n v="2"/>
    <n v="130450"/>
    <n v="39135"/>
    <s v="8451.9000  "/>
    <x v="0"/>
  </r>
  <r>
    <x v="61"/>
    <x v="1"/>
    <x v="61"/>
    <n v="1"/>
    <n v="205601"/>
    <n v="61680"/>
    <s v="8445.4090  "/>
    <x v="0"/>
  </r>
  <r>
    <x v="62"/>
    <x v="1"/>
    <x v="62"/>
    <n v="1010"/>
    <n v="44859406"/>
    <n v="14122371"/>
    <s v="4016.9320  / 4016.9990  / 7318.1590  / 7326.9090  / 8421.3990  / 8451.9000  / 9026.8000  "/>
    <x v="0"/>
  </r>
  <r>
    <x v="63"/>
    <x v="1"/>
    <x v="63"/>
    <n v="31"/>
    <n v="9672379"/>
    <n v="4333989"/>
    <s v="3917.3990  / 4016.9320  / 7318.1590  / 7319.9090  / 7320.9090  / 8481.8090  / 8483.4090  / 8536.9090  / 9026.8000  / 9031.8000  "/>
    <x v="0"/>
  </r>
  <r>
    <x v="64"/>
    <x v="1"/>
    <x v="64"/>
    <n v="15"/>
    <n v="11028022"/>
    <n v="5370597"/>
    <s v="3403.9990  / 3926.9099  / 4016.9320  / 7616.1000  / 8421.3990  / 8484.9000  "/>
    <x v="0"/>
  </r>
  <r>
    <x v="65"/>
    <x v="1"/>
    <x v="65"/>
    <n v="1"/>
    <n v="13406873"/>
    <n v="5496818"/>
    <s v="8538.9090  "/>
    <x v="0"/>
  </r>
  <r>
    <x v="66"/>
    <x v="1"/>
    <x v="66"/>
    <n v="8100"/>
    <n v="2014665"/>
    <n v="783200"/>
    <s v="4010.3990  / 8448.3900  "/>
    <x v="0"/>
  </r>
  <r>
    <x v="67"/>
    <x v="1"/>
    <x v="67"/>
    <n v="24480"/>
    <n v="161418978"/>
    <n v="48425690"/>
    <s v="8448.3900  "/>
    <x v="0"/>
  </r>
  <r>
    <x v="68"/>
    <x v="1"/>
    <x v="68"/>
    <n v="14"/>
    <n v="734242"/>
    <n v="353864"/>
    <s v="8452.9090  / 8501.5290  / 8537.1090  "/>
    <x v="0"/>
  </r>
  <r>
    <x v="69"/>
    <x v="1"/>
    <x v="69"/>
    <n v="95"/>
    <n v="4825190"/>
    <n v="1978328"/>
    <s v="8448.4990  "/>
    <x v="0"/>
  </r>
  <r>
    <x v="70"/>
    <x v="1"/>
    <x v="70"/>
    <n v="48"/>
    <n v="121902"/>
    <n v="60950"/>
    <s v="8483.4090  "/>
    <x v="0"/>
  </r>
  <r>
    <x v="71"/>
    <x v="1"/>
    <x v="71"/>
    <n v="2"/>
    <n v="3133717"/>
    <n v="940115"/>
    <s v="8451.9000  "/>
    <x v="0"/>
  </r>
  <r>
    <x v="72"/>
    <x v="1"/>
    <x v="72"/>
    <n v="122"/>
    <n v="3462229"/>
    <n v="1459170"/>
    <s v="8208.9090  / 8452.9090  / 8481.8090  / 8501.5290  / 9031.8000  "/>
    <x v="0"/>
  </r>
  <r>
    <x v="73"/>
    <x v="1"/>
    <x v="73"/>
    <n v="17"/>
    <n v="87666"/>
    <n v="35943"/>
    <s v="8448.4990  "/>
    <x v="0"/>
  </r>
  <r>
    <x v="74"/>
    <x v="1"/>
    <x v="74"/>
    <n v="1003"/>
    <n v="166151"/>
    <n v="59131"/>
    <s v="7318.1590  / 9026.9000  "/>
    <x v="0"/>
  </r>
  <r>
    <x v="75"/>
    <x v="1"/>
    <x v="75"/>
    <n v="1"/>
    <n v="1185886"/>
    <n v="545507"/>
    <s v="8481.8090  "/>
    <x v="0"/>
  </r>
  <r>
    <x v="76"/>
    <x v="1"/>
    <x v="76"/>
    <n v="42000"/>
    <n v="942836"/>
    <n v="282850"/>
    <s v="8452.3000  "/>
    <x v="0"/>
  </r>
  <r>
    <x v="77"/>
    <x v="1"/>
    <x v="77"/>
    <n v="2"/>
    <n v="1264503"/>
    <n v="581671"/>
    <s v="8504.4090  "/>
    <x v="0"/>
  </r>
  <r>
    <x v="78"/>
    <x v="1"/>
    <x v="78"/>
    <n v="22"/>
    <n v="1478035"/>
    <n v="718750"/>
    <s v="8538.9090  / 8544.2000  "/>
    <x v="0"/>
  </r>
  <r>
    <x v="79"/>
    <x v="1"/>
    <x v="79"/>
    <n v="1"/>
    <n v="534005"/>
    <n v="160202"/>
    <s v="9025.9000  "/>
    <x v="0"/>
  </r>
  <r>
    <x v="80"/>
    <x v="1"/>
    <x v="80"/>
    <n v="258"/>
    <n v="6413724"/>
    <n v="3190701"/>
    <s v="4016.9320  / 7307.9900  "/>
    <x v="0"/>
  </r>
  <r>
    <x v="81"/>
    <x v="1"/>
    <x v="81"/>
    <n v="12240"/>
    <n v="65014630"/>
    <n v="19504389"/>
    <s v="8448.3900  "/>
    <x v="0"/>
  </r>
  <r>
    <x v="82"/>
    <x v="1"/>
    <x v="82"/>
    <n v="300"/>
    <n v="5257282"/>
    <n v="2155486"/>
    <s v="7508.9010  "/>
    <x v="0"/>
  </r>
  <r>
    <x v="83"/>
    <x v="1"/>
    <x v="83"/>
    <n v="2"/>
    <n v="1381068"/>
    <n v="575230"/>
    <s v="8504.4090  / 8538.9090  "/>
    <x v="0"/>
  </r>
  <r>
    <x v="84"/>
    <x v="1"/>
    <x v="84"/>
    <n v="1"/>
    <n v="764946"/>
    <n v="313628"/>
    <s v="8538.9090  "/>
    <x v="0"/>
  </r>
  <r>
    <x v="85"/>
    <x v="1"/>
    <x v="85"/>
    <n v="2"/>
    <n v="369238"/>
    <n v="121849"/>
    <s v="8443.9990  "/>
    <x v="0"/>
  </r>
  <r>
    <x v="86"/>
    <x v="1"/>
    <x v="86"/>
    <n v="20"/>
    <n v="1454686"/>
    <n v="596420"/>
    <s v="8511.1000  "/>
    <x v="0"/>
  </r>
  <r>
    <x v="87"/>
    <x v="1"/>
    <x v="87"/>
    <n v="2"/>
    <n v="118177"/>
    <n v="59088"/>
    <s v="8537.1090  "/>
    <x v="0"/>
  </r>
  <r>
    <x v="88"/>
    <x v="1"/>
    <x v="88"/>
    <n v="1"/>
    <n v="659211"/>
    <n v="197763"/>
    <s v="9032.8990  "/>
    <x v="0"/>
  </r>
  <r>
    <x v="89"/>
    <x v="1"/>
    <x v="89"/>
    <n v="24"/>
    <n v="458437"/>
    <n v="137531"/>
    <s v="8452.9090  "/>
    <x v="0"/>
  </r>
  <r>
    <x v="90"/>
    <x v="1"/>
    <x v="90"/>
    <n v="1194"/>
    <n v="4038127"/>
    <n v="1332582"/>
    <s v="7604.2910  "/>
    <x v="0"/>
  </r>
  <r>
    <x v="91"/>
    <x v="1"/>
    <x v="91"/>
    <n v="1"/>
    <n v="1538108"/>
    <n v="461432"/>
    <s v="8448.1900  "/>
    <x v="0"/>
  </r>
  <r>
    <x v="92"/>
    <x v="1"/>
    <x v="92"/>
    <n v="5"/>
    <n v="574498"/>
    <n v="172349"/>
    <s v="9026.8000  "/>
    <x v="0"/>
  </r>
  <r>
    <x v="93"/>
    <x v="1"/>
    <x v="93"/>
    <n v="50"/>
    <n v="287879"/>
    <n v="143939"/>
    <s v="8536.9090  "/>
    <x v="0"/>
  </r>
  <r>
    <x v="94"/>
    <x v="1"/>
    <x v="94"/>
    <n v="123.8"/>
    <n v="1983325"/>
    <n v="594998"/>
    <s v="5911.1000  "/>
    <x v="0"/>
  </r>
  <r>
    <x v="95"/>
    <x v="1"/>
    <x v="95"/>
    <n v="1"/>
    <n v="190253"/>
    <n v="95127"/>
    <s v="8501.5290  "/>
    <x v="0"/>
  </r>
  <r>
    <x v="96"/>
    <x v="1"/>
    <x v="96"/>
    <n v="96"/>
    <n v="6179520"/>
    <n v="2866179"/>
    <s v="8504.4090  / 8536.2090  / 8538.9090  "/>
    <x v="0"/>
  </r>
  <r>
    <x v="97"/>
    <x v="1"/>
    <x v="97"/>
    <n v="1133"/>
    <n v="26338387"/>
    <n v="11725202"/>
    <s v="4016.9320  / 7318.1590  / 8409.9999  / 8421.3990  / 8481.8090  / 8484.9000  / 8511.1000  "/>
    <x v="0"/>
  </r>
  <r>
    <x v="98"/>
    <x v="1"/>
    <x v="98"/>
    <n v="199000"/>
    <n v="19435137"/>
    <n v="5962694"/>
    <s v="8208.9090  / 8448.3900  "/>
    <x v="0"/>
  </r>
  <r>
    <x v="99"/>
    <x v="1"/>
    <x v="99"/>
    <n v="42"/>
    <n v="4170260"/>
    <n v="1709806"/>
    <s v="8448.4990  "/>
    <x v="0"/>
  </r>
  <r>
    <x v="100"/>
    <x v="1"/>
    <x v="100"/>
    <n v="3"/>
    <n v="6228324"/>
    <n v="2865027"/>
    <s v="8504.4090  "/>
    <x v="0"/>
  </r>
  <r>
    <x v="101"/>
    <x v="1"/>
    <x v="101"/>
    <n v="1"/>
    <n v="1525467"/>
    <n v="625441"/>
    <s v="8538.9090  "/>
    <x v="0"/>
  </r>
  <r>
    <x v="102"/>
    <x v="1"/>
    <x v="102"/>
    <n v="34"/>
    <n v="53965820"/>
    <n v="24824267"/>
    <s v="8504.4090  "/>
    <x v="0"/>
  </r>
  <r>
    <x v="103"/>
    <x v="1"/>
    <x v="103"/>
    <n v="20"/>
    <n v="2491569"/>
    <n v="1245784"/>
    <s v="8421.3990  "/>
    <x v="0"/>
  </r>
  <r>
    <x v="104"/>
    <x v="1"/>
    <x v="104"/>
    <n v="1400"/>
    <n v="32056290"/>
    <n v="16028145"/>
    <s v="3926.9099  "/>
    <x v="0"/>
  </r>
  <r>
    <x v="105"/>
    <x v="1"/>
    <x v="105"/>
    <n v="68"/>
    <n v="60010280"/>
    <n v="27495204"/>
    <s v="8504.4090  / 9032.8990  "/>
    <x v="0"/>
  </r>
  <r>
    <x v="106"/>
    <x v="1"/>
    <x v="106"/>
    <n v="135"/>
    <n v="880217"/>
    <n v="373426"/>
    <s v="8536.9090  / 8538.9090  "/>
    <x v="0"/>
  </r>
  <r>
    <x v="107"/>
    <x v="1"/>
    <x v="107"/>
    <n v="4"/>
    <n v="7527114"/>
    <n v="2423154"/>
    <s v="8443.9990  / 8451.9000  "/>
    <x v="0"/>
  </r>
  <r>
    <x v="108"/>
    <x v="1"/>
    <x v="108"/>
    <n v="1"/>
    <n v="2955229"/>
    <n v="886568"/>
    <s v="9026.8000  "/>
    <x v="0"/>
  </r>
  <r>
    <x v="109"/>
    <x v="1"/>
    <x v="109"/>
    <n v="4"/>
    <n v="58450"/>
    <n v="29225"/>
    <s v="4010.3990  / 8421.3990  / 8501.5290  "/>
    <x v="0"/>
  </r>
  <r>
    <x v="110"/>
    <x v="1"/>
    <x v="110"/>
    <n v="600"/>
    <n v="111196"/>
    <n v="45591"/>
    <s v="8409.9999  "/>
    <x v="0"/>
  </r>
  <r>
    <x v="111"/>
    <x v="1"/>
    <x v="111"/>
    <n v="3"/>
    <n v="1448399"/>
    <n v="434520"/>
    <s v="9026.8000  "/>
    <x v="0"/>
  </r>
  <r>
    <x v="112"/>
    <x v="1"/>
    <x v="112"/>
    <n v="8"/>
    <n v="714436"/>
    <n v="334384"/>
    <s v="3809.9190  / 8421.3990  "/>
    <x v="0"/>
  </r>
  <r>
    <x v="113"/>
    <x v="1"/>
    <x v="113"/>
    <n v="16578"/>
    <n v="1912446"/>
    <n v="838959"/>
    <s v="4016.9320  / 7326.9090  / 8448.4990  "/>
    <x v="0"/>
  </r>
  <r>
    <x v="114"/>
    <x v="1"/>
    <x v="114"/>
    <n v="1"/>
    <n v="727699"/>
    <n v="298357"/>
    <s v="8448.4990  "/>
    <x v="0"/>
  </r>
  <r>
    <x v="115"/>
    <x v="1"/>
    <x v="115"/>
    <n v="2"/>
    <n v="631251"/>
    <n v="315625"/>
    <s v="8501.5290  "/>
    <x v="0"/>
  </r>
  <r>
    <x v="116"/>
    <x v="1"/>
    <x v="116"/>
    <n v="3000"/>
    <n v="4452630"/>
    <n v="1335789"/>
    <s v="8428.3990  "/>
    <x v="0"/>
  </r>
  <r>
    <x v="117"/>
    <x v="1"/>
    <x v="117"/>
    <n v="354"/>
    <n v="30696678"/>
    <n v="9821534"/>
    <s v="4010.3990  / 7318.1590  / 7326.9090  / 8451.9000  / 8481.8090  / 8482.2000  / 8483.4090  / 8484.9000  / 8504.4090  / 8536.5099  / 8544.2000  / 9026.8000  / 9032.8990  "/>
    <x v="0"/>
  </r>
  <r>
    <x v="118"/>
    <x v="1"/>
    <x v="118"/>
    <n v="156"/>
    <n v="3351952"/>
    <n v="1415720"/>
    <s v="7320.9090  / 8448.4990  / 8483.4090  "/>
    <x v="0"/>
  </r>
  <r>
    <x v="119"/>
    <x v="1"/>
    <x v="119"/>
    <n v="156600"/>
    <n v="5930885"/>
    <n v="2700565"/>
    <s v="8448.4210  / 8448.4990  "/>
    <x v="0"/>
  </r>
  <r>
    <x v="120"/>
    <x v="1"/>
    <x v="120"/>
    <n v="12"/>
    <n v="7297032"/>
    <n v="2189110"/>
    <s v="8452.9090  "/>
    <x v="0"/>
  </r>
  <r>
    <x v="121"/>
    <x v="1"/>
    <x v="121"/>
    <n v="12"/>
    <n v="170612"/>
    <n v="56301"/>
    <s v="8424.2020  "/>
    <x v="0"/>
  </r>
  <r>
    <x v="122"/>
    <x v="1"/>
    <x v="122"/>
    <n v="2160"/>
    <n v="1708513"/>
    <n v="854257"/>
    <s v="7318.1590  "/>
    <x v="0"/>
  </r>
  <r>
    <x v="123"/>
    <x v="1"/>
    <x v="123"/>
    <n v="4320"/>
    <n v="37734202"/>
    <n v="15037837"/>
    <s v="8448.3900  / 8501.5290  "/>
    <x v="0"/>
  </r>
  <r>
    <x v="124"/>
    <x v="1"/>
    <x v="124"/>
    <n v="9720"/>
    <n v="21813229"/>
    <n v="8293730"/>
    <s v="8448.3900  / 8504.4090  "/>
    <x v="0"/>
  </r>
  <r>
    <x v="125"/>
    <x v="1"/>
    <x v="125"/>
    <n v="1"/>
    <n v="1250459"/>
    <n v="375138"/>
    <s v="8452.2100  "/>
    <x v="0"/>
  </r>
  <r>
    <x v="126"/>
    <x v="1"/>
    <x v="126"/>
    <n v="540"/>
    <n v="27523409"/>
    <n v="8257023"/>
    <s v="8451.9000  "/>
    <x v="0"/>
  </r>
  <r>
    <x v="127"/>
    <x v="1"/>
    <x v="127"/>
    <n v="844"/>
    <n v="7578320"/>
    <n v="3380008"/>
    <s v="4016.9990  / 8501.5290  / 8504.4090  / 9031.8000  "/>
    <x v="0"/>
  </r>
  <r>
    <x v="128"/>
    <x v="1"/>
    <x v="128"/>
    <n v="377"/>
    <n v="11417378"/>
    <n v="5291114"/>
    <s v="8448.499 / 8482.2 / 8483.409 "/>
    <x v="0"/>
  </r>
  <r>
    <x v="129"/>
    <x v="1"/>
    <x v="129"/>
    <n v="144"/>
    <n v="10103477"/>
    <n v="3031043"/>
    <s v="8448.39 "/>
    <x v="0"/>
  </r>
  <r>
    <x v="130"/>
    <x v="1"/>
    <x v="130"/>
    <n v="16"/>
    <n v="1316302"/>
    <n v="1924880"/>
    <s v="2710.1999 / 3403.199 / 7326.909 / 8421.399 / 8481.809 "/>
    <x v="0"/>
  </r>
  <r>
    <x v="131"/>
    <x v="1"/>
    <x v="131"/>
    <n v="238.87"/>
    <n v="7453002"/>
    <n v="2235900"/>
    <s v="4016.991 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34">
  <r>
    <x v="0"/>
    <m/>
    <x v="0"/>
    <d v="2019-12-13T00:00:00"/>
    <x v="0"/>
    <x v="0"/>
    <n v="212690"/>
    <x v="0"/>
    <x v="0"/>
    <n v="5201.009"/>
    <n v="1.6698999999999999"/>
    <n v="0"/>
    <n v="0"/>
    <x v="0"/>
    <s v="Raw Cotton"/>
    <n v="0"/>
    <x v="0"/>
    <n v="0"/>
    <x v="0"/>
    <m/>
    <d v="2021-12-12T00:00:00"/>
    <x v="0"/>
    <x v="0"/>
    <x v="0"/>
    <x v="0"/>
    <x v="0"/>
    <x v="0"/>
    <d v="2021-10-13T00:00:00"/>
    <x v="0"/>
    <x v="0"/>
    <x v="0"/>
    <x v="0"/>
    <x v="0"/>
    <x v="0"/>
    <n v="0"/>
    <n v="0"/>
    <n v="0"/>
    <s v=""/>
    <x v="0"/>
  </r>
  <r>
    <x v="1"/>
    <m/>
    <x v="1"/>
    <d v="2020-02-11T00:00:00"/>
    <x v="0"/>
    <x v="0"/>
    <n v="323035.7"/>
    <x v="0"/>
    <x v="0"/>
    <n v="5503.201"/>
    <n v="0.88649999999999995"/>
    <n v="0"/>
    <n v="0"/>
    <x v="1"/>
    <s v="Polyester Staple Fiber"/>
    <n v="44840966"/>
    <x v="0"/>
    <n v="11295440"/>
    <x v="0"/>
    <m/>
    <d v="2022-02-10T00:00:00"/>
    <x v="0"/>
    <x v="0"/>
    <x v="0"/>
    <x v="0"/>
    <x v="0"/>
    <x v="0"/>
    <d v="2021-12-12T00:00:00"/>
    <x v="0"/>
    <x v="0"/>
    <x v="0"/>
    <x v="0"/>
    <x v="0"/>
    <x v="1"/>
    <n v="138.81117783576241"/>
    <n v="34.966537754186298"/>
    <n v="0"/>
    <s v=""/>
    <x v="0"/>
  </r>
  <r>
    <x v="2"/>
    <m/>
    <x v="2"/>
    <d v="2020-03-17T00:00:00"/>
    <x v="0"/>
    <x v="0"/>
    <n v="255538.8"/>
    <x v="0"/>
    <x v="0"/>
    <n v="5503.201"/>
    <n v="0.92"/>
    <n v="0"/>
    <n v="0"/>
    <x v="1"/>
    <s v="Polyester Staple Fiber"/>
    <n v="37429186"/>
    <x v="0"/>
    <n v="9428412"/>
    <x v="0"/>
    <m/>
    <d v="2022-03-17T00:00:00"/>
    <x v="0"/>
    <x v="0"/>
    <x v="0"/>
    <x v="0"/>
    <x v="0"/>
    <x v="0"/>
    <d v="2022-01-16T00:00:00"/>
    <x v="0"/>
    <x v="0"/>
    <x v="0"/>
    <x v="0"/>
    <x v="0"/>
    <x v="1"/>
    <n v="146.47163561854404"/>
    <n v="36.896205194671026"/>
    <n v="0"/>
    <s v=""/>
    <x v="0"/>
  </r>
  <r>
    <x v="3"/>
    <m/>
    <x v="3"/>
    <d v="2020-09-04T00:00:00"/>
    <x v="0"/>
    <x v="0"/>
    <n v="314640"/>
    <x v="0"/>
    <x v="0"/>
    <n v="5503.201"/>
    <n v="0.72"/>
    <n v="0"/>
    <n v="0"/>
    <x v="1"/>
    <s v="Polyester Staple Fiber"/>
    <n v="38037760"/>
    <x v="0"/>
    <n v="13184611"/>
    <x v="0"/>
    <m/>
    <d v="2022-09-04T00:00:00"/>
    <x v="0"/>
    <x v="0"/>
    <x v="0"/>
    <x v="0"/>
    <x v="0"/>
    <x v="0"/>
    <d v="2022-07-06T00:00:00"/>
    <x v="0"/>
    <x v="0"/>
    <x v="0"/>
    <x v="0"/>
    <x v="0"/>
    <x v="1"/>
    <n v="120.8929570302568"/>
    <n v="41.903797991355198"/>
    <n v="0"/>
    <s v=""/>
    <x v="0"/>
  </r>
  <r>
    <x v="4"/>
    <m/>
    <x v="4"/>
    <d v="2021-03-02T00:00:00"/>
    <x v="0"/>
    <x v="0"/>
    <n v="262200"/>
    <x v="0"/>
    <x v="0"/>
    <n v="5503.201"/>
    <n v="0.97499999999999998"/>
    <n v="0"/>
    <n v="0"/>
    <x v="1"/>
    <s v="Polyester Staple Fiber"/>
    <n v="4098515"/>
    <x v="0"/>
    <n v="14207745"/>
    <x v="0"/>
    <m/>
    <d v="2023-03-02T00:00:00"/>
    <x v="0"/>
    <x v="0"/>
    <x v="0"/>
    <x v="0"/>
    <x v="0"/>
    <x v="0"/>
    <d v="2023-01-01T00:00:00"/>
    <x v="0"/>
    <x v="0"/>
    <x v="0"/>
    <x v="0"/>
    <x v="0"/>
    <x v="1"/>
    <n v="15.631254767353166"/>
    <n v="54.186670480549196"/>
    <n v="0"/>
    <s v=""/>
    <x v="0"/>
  </r>
  <r>
    <x v="5"/>
    <m/>
    <x v="5"/>
    <d v="2021-03-17T00:00:00"/>
    <x v="0"/>
    <x v="0"/>
    <n v="262200"/>
    <x v="0"/>
    <x v="0"/>
    <n v="5503.201"/>
    <n v="0.94499999999999995"/>
    <n v="0"/>
    <n v="0"/>
    <x v="1"/>
    <s v="Polyester Staple Fiber (Wastage 5274.64 Kgs)"/>
    <n v="39427937"/>
    <x v="0"/>
    <n v="10425496"/>
    <x v="0"/>
    <m/>
    <d v="2023-03-17T00:00:00"/>
    <x v="0"/>
    <x v="0"/>
    <x v="0"/>
    <x v="0"/>
    <x v="0"/>
    <x v="0"/>
    <d v="2023-01-16T00:00:00"/>
    <x v="0"/>
    <x v="0"/>
    <x v="0"/>
    <x v="0"/>
    <x v="0"/>
    <x v="1"/>
    <n v="150.37352021357742"/>
    <n v="39.761617086193745"/>
    <n v="0"/>
    <s v=""/>
    <x v="0"/>
  </r>
  <r>
    <x v="6"/>
    <m/>
    <x v="6"/>
    <d v="2021-03-18T00:00:00"/>
    <x v="0"/>
    <x v="0"/>
    <n v="262200"/>
    <x v="0"/>
    <x v="0"/>
    <n v="5503.201"/>
    <n v="0.94499999999999995"/>
    <n v="0"/>
    <n v="0"/>
    <x v="1"/>
    <s v="Polyester Staple Fiber (Wastage 5270.17 Kgs)"/>
    <n v="39377996"/>
    <x v="0"/>
    <n v="10412291"/>
    <x v="0"/>
    <m/>
    <d v="2023-03-18T00:00:00"/>
    <x v="0"/>
    <x v="0"/>
    <x v="0"/>
    <x v="0"/>
    <x v="0"/>
    <x v="0"/>
    <d v="2023-01-17T00:00:00"/>
    <x v="0"/>
    <x v="1"/>
    <x v="0"/>
    <x v="0"/>
    <x v="0"/>
    <x v="1"/>
    <n v="150.18305110602594"/>
    <n v="39.711254767353168"/>
    <n v="0"/>
    <s v=""/>
    <x v="0"/>
  </r>
  <r>
    <x v="7"/>
    <m/>
    <x v="7"/>
    <d v="2021-03-22T00:00:00"/>
    <x v="0"/>
    <x v="0"/>
    <n v="262200"/>
    <x v="0"/>
    <x v="0"/>
    <n v="5503.201"/>
    <n v="0.97499999999999998"/>
    <n v="0"/>
    <n v="0"/>
    <x v="1"/>
    <s v="Polyester Staple Fiber (Wastage: 5,266.66)"/>
    <n v="40317871"/>
    <x v="0"/>
    <n v="10660811"/>
    <x v="0"/>
    <m/>
    <d v="2023-03-22T00:00:00"/>
    <x v="0"/>
    <x v="0"/>
    <x v="0"/>
    <x v="0"/>
    <x v="0"/>
    <x v="0"/>
    <d v="2023-01-21T00:00:00"/>
    <x v="0"/>
    <x v="1"/>
    <x v="0"/>
    <x v="0"/>
    <x v="0"/>
    <x v="1"/>
    <n v="153.76762395118232"/>
    <n v="40.659080854309686"/>
    <n v="0"/>
    <s v=""/>
    <x v="0"/>
  </r>
  <r>
    <x v="8"/>
    <m/>
    <x v="8"/>
    <d v="2021-05-29T00:00:00"/>
    <x v="0"/>
    <x v="0"/>
    <n v="262200"/>
    <x v="0"/>
    <x v="0"/>
    <n v="5503.201"/>
    <n v="1.2"/>
    <n v="0"/>
    <n v="0"/>
    <x v="1"/>
    <s v="Polyester Staple Fiber (Wastage: 5,256.54)"/>
    <n v="49414247"/>
    <x v="0"/>
    <n v="13066065"/>
    <x v="0"/>
    <m/>
    <d v="2023-05-29T00:00:00"/>
    <x v="0"/>
    <x v="0"/>
    <x v="0"/>
    <x v="0"/>
    <x v="0"/>
    <x v="0"/>
    <d v="2023-03-30T00:00:00"/>
    <x v="0"/>
    <x v="1"/>
    <x v="0"/>
    <x v="0"/>
    <x v="0"/>
    <x v="1"/>
    <n v="188.46013348588863"/>
    <n v="49.832437070938212"/>
    <n v="0"/>
    <s v=""/>
    <x v="0"/>
  </r>
  <r>
    <x v="9"/>
    <m/>
    <x v="9"/>
    <d v="2021-06-09T00:00:00"/>
    <x v="0"/>
    <x v="0"/>
    <n v="157320"/>
    <x v="0"/>
    <x v="0"/>
    <n v="5503.201"/>
    <n v="1.2"/>
    <n v="0"/>
    <n v="0"/>
    <x v="1"/>
    <s v="Polyester Staple Fiber (Wastage: 3,156.04)"/>
    <n v="29734525"/>
    <x v="0"/>
    <n v="7862374"/>
    <x v="0"/>
    <m/>
    <d v="2023-06-09T00:00:00"/>
    <x v="0"/>
    <x v="0"/>
    <x v="0"/>
    <x v="0"/>
    <x v="0"/>
    <x v="0"/>
    <d v="2023-04-10T00:00:00"/>
    <x v="0"/>
    <x v="1"/>
    <x v="0"/>
    <x v="0"/>
    <x v="0"/>
    <x v="1"/>
    <n v="189.00664251207729"/>
    <n v="49.976951436562423"/>
    <n v="0"/>
    <s v=""/>
    <x v="0"/>
  </r>
  <r>
    <x v="10"/>
    <m/>
    <x v="10"/>
    <d v="2021-06-09T00:00:00"/>
    <x v="0"/>
    <x v="0"/>
    <n v="262200"/>
    <x v="0"/>
    <x v="0"/>
    <n v="5503.201"/>
    <n v="1.2"/>
    <n v="0"/>
    <n v="0"/>
    <x v="1"/>
    <s v="Polyester Staple Fiber (Wastage: 5,256.43)"/>
    <n v="49557384"/>
    <x v="0"/>
    <n v="13103914"/>
    <x v="0"/>
    <m/>
    <d v="2023-06-09T00:00:00"/>
    <x v="0"/>
    <x v="0"/>
    <x v="0"/>
    <x v="0"/>
    <x v="0"/>
    <x v="0"/>
    <d v="2023-04-10T00:00:00"/>
    <x v="0"/>
    <x v="1"/>
    <x v="0"/>
    <x v="0"/>
    <x v="0"/>
    <x v="1"/>
    <n v="189.00604118993135"/>
    <n v="49.976788710907705"/>
    <n v="0"/>
    <s v=""/>
    <x v="0"/>
  </r>
  <r>
    <x v="11"/>
    <m/>
    <x v="11"/>
    <d v="2021-06-10T00:00:00"/>
    <x v="0"/>
    <x v="0"/>
    <n v="262200"/>
    <x v="0"/>
    <x v="0"/>
    <n v="5503.201"/>
    <n v="1.2"/>
    <n v="0"/>
    <n v="0"/>
    <x v="1"/>
    <s v="Polyester Staple Fiber (Wastage: 5,252.87)"/>
    <n v="49700680"/>
    <x v="0"/>
    <n v="13141805"/>
    <x v="0"/>
    <m/>
    <d v="2023-06-10T00:00:00"/>
    <x v="0"/>
    <x v="0"/>
    <x v="0"/>
    <x v="0"/>
    <x v="0"/>
    <x v="0"/>
    <d v="2023-04-11T00:00:00"/>
    <x v="0"/>
    <x v="1"/>
    <x v="0"/>
    <x v="0"/>
    <x v="0"/>
    <x v="1"/>
    <n v="189.55255530129671"/>
    <n v="50.121300533943554"/>
    <n v="0"/>
    <s v=""/>
    <x v="0"/>
  </r>
  <r>
    <x v="12"/>
    <m/>
    <x v="12"/>
    <d v="2019-11-08T00:00:00"/>
    <x v="0"/>
    <x v="0"/>
    <n v="24640"/>
    <x v="0"/>
    <x v="0"/>
    <n v="5210.49"/>
    <s v="2.38 "/>
    <n v="0"/>
    <n v="0"/>
    <x v="2"/>
    <s v="50.5% COTTON 37% POLYESTER 12.5% R DENIM FABRIC WIDTH:66&quot;"/>
    <n v="9327123"/>
    <x v="0"/>
    <n v="3786067"/>
    <x v="0"/>
    <n v="118902154"/>
    <d v="2021-11-07T00:00:00"/>
    <x v="0"/>
    <x v="0"/>
    <x v="0"/>
    <x v="0"/>
    <x v="0"/>
    <x v="0"/>
    <d v="2021-09-08T00:00:00"/>
    <x v="0"/>
    <x v="0"/>
    <x v="0"/>
    <x v="0"/>
    <x v="0"/>
    <x v="2"/>
    <n v="378.53583603896107"/>
    <n v="153.65531655844157"/>
    <n v="0"/>
    <s v=""/>
    <x v="0"/>
  </r>
  <r>
    <x v="13"/>
    <m/>
    <x v="13"/>
    <d v="2019-11-08T00:00:00"/>
    <x v="0"/>
    <x v="0"/>
    <n v="26010"/>
    <x v="0"/>
    <x v="0"/>
    <n v="5210.49"/>
    <m/>
    <n v="0"/>
    <n v="0"/>
    <x v="2"/>
    <s v="50.5% COTTON 37% POLYESTER 12.5% R DENIM FABRIC WIDTH:66&quot; (46562.16/MTRS)"/>
    <n v="9854824"/>
    <x v="0"/>
    <n v="4000270"/>
    <x v="0"/>
    <n v="118902157"/>
    <d v="2021-11-07T00:00:00"/>
    <x v="0"/>
    <x v="0"/>
    <x v="0"/>
    <x v="0"/>
    <x v="0"/>
    <x v="0"/>
    <d v="2021-09-08T00:00:00"/>
    <x v="0"/>
    <x v="0"/>
    <x v="0"/>
    <x v="0"/>
    <x v="0"/>
    <x v="2"/>
    <n v="378.88596693579393"/>
    <n v="153.79738562091504"/>
    <n v="0"/>
    <s v=""/>
    <x v="0"/>
  </r>
  <r>
    <x v="14"/>
    <m/>
    <x v="14"/>
    <d v="2019-11-08T00:00:00"/>
    <x v="0"/>
    <x v="0"/>
    <n v="25840"/>
    <x v="0"/>
    <x v="0"/>
    <n v="5210.49"/>
    <s v="2.38 "/>
    <n v="0"/>
    <n v="0"/>
    <x v="2"/>
    <s v="50.5% 37%  12.5 fabric "/>
    <n v="9780544"/>
    <x v="0"/>
    <n v="3970118"/>
    <x v="0"/>
    <n v="118902156"/>
    <d v="2021-11-07T00:00:00"/>
    <x v="0"/>
    <x v="0"/>
    <x v="0"/>
    <x v="0"/>
    <x v="0"/>
    <x v="0"/>
    <d v="2021-09-08T00:00:00"/>
    <x v="0"/>
    <x v="0"/>
    <x v="0"/>
    <x v="0"/>
    <x v="0"/>
    <x v="2"/>
    <n v="378.50402476780187"/>
    <n v="153.64233746130031"/>
    <n v="0"/>
    <s v=""/>
    <x v="0"/>
  </r>
  <r>
    <x v="15"/>
    <m/>
    <x v="15"/>
    <d v="2019-11-22T00:00:00"/>
    <x v="0"/>
    <x v="0"/>
    <n v="14260"/>
    <x v="0"/>
    <x v="0"/>
    <n v="5210.49"/>
    <s v="2.35 "/>
    <n v="0"/>
    <n v="0"/>
    <x v="2"/>
    <s v="50.5% COTTON 37% POLYESTER 12.5% R DENIM FABRIC WIDTH:66&quot;"/>
    <n v="5333662"/>
    <x v="0"/>
    <n v="2165040"/>
    <x v="0"/>
    <n v="118904855"/>
    <d v="2021-11-21T00:00:00"/>
    <x v="0"/>
    <x v="0"/>
    <x v="0"/>
    <x v="0"/>
    <x v="0"/>
    <x v="0"/>
    <d v="2021-09-22T00:00:00"/>
    <x v="0"/>
    <x v="0"/>
    <x v="0"/>
    <x v="0"/>
    <x v="0"/>
    <x v="2"/>
    <n v="374.02959326788221"/>
    <n v="151.82608695652175"/>
    <n v="0"/>
    <s v=""/>
    <x v="0"/>
  </r>
  <r>
    <x v="16"/>
    <m/>
    <x v="16"/>
    <d v="2020-01-20T00:00:00"/>
    <x v="0"/>
    <x v="0"/>
    <n v="2296.52"/>
    <x v="0"/>
    <x v="0"/>
    <n v="5509.21"/>
    <n v="3.92"/>
    <n v="0"/>
    <n v="0"/>
    <x v="3"/>
    <s v="50% RECYCLED PET POLYESTER 30% POSTCONSUMER CO 20% PRECONSUMER CO PO BLENDED YARN WEAVING COUNT NE 14/"/>
    <n v="1425226"/>
    <x v="0"/>
    <n v="444224"/>
    <x v="0"/>
    <n v="118909097"/>
    <d v="2022-01-19T00:00:00"/>
    <x v="0"/>
    <x v="0"/>
    <x v="0"/>
    <x v="0"/>
    <x v="0"/>
    <x v="0"/>
    <d v="2021-11-20T00:00:00"/>
    <x v="0"/>
    <x v="0"/>
    <x v="0"/>
    <x v="0"/>
    <x v="0"/>
    <x v="3"/>
    <n v="620.60247679097074"/>
    <n v="193.43354292581819"/>
    <n v="0"/>
    <s v=""/>
    <x v="0"/>
  </r>
  <r>
    <x v="17"/>
    <m/>
    <x v="17"/>
    <d v="2020-01-22T00:00:00"/>
    <x v="0"/>
    <x v="0"/>
    <n v="3988.39"/>
    <x v="0"/>
    <x v="0"/>
    <n v="5509.21"/>
    <n v="3.95"/>
    <n v="0"/>
    <n v="0"/>
    <x v="3"/>
    <s v="50% RECYCLED PET POLYESTER 30% POSTCONSUMER CO 20% PRECONSUMER CO PO BLENDED YARN WEAVING COUNT NE 14/1 (PART SHIPMENT)"/>
    <n v="2490246"/>
    <x v="0"/>
    <n v="776177"/>
    <x v="0"/>
    <n v="118909108"/>
    <d v="2022-01-21T00:00:00"/>
    <x v="0"/>
    <x v="0"/>
    <x v="0"/>
    <x v="0"/>
    <x v="0"/>
    <x v="0"/>
    <d v="2021-11-22T00:00:00"/>
    <x v="0"/>
    <x v="0"/>
    <x v="0"/>
    <x v="0"/>
    <x v="0"/>
    <x v="3"/>
    <n v="624.37374479426535"/>
    <n v="194.60910292122887"/>
    <n v="0"/>
    <s v=""/>
    <x v="0"/>
  </r>
  <r>
    <x v="18"/>
    <m/>
    <x v="18"/>
    <d v="2020-02-11T00:00:00"/>
    <x v="0"/>
    <x v="0"/>
    <n v="185"/>
    <x v="0"/>
    <x v="0"/>
    <n v="6006.32"/>
    <s v="17.19 "/>
    <n v="0"/>
    <n v="0"/>
    <x v="4"/>
    <s v="SEQUIN FABRIC SIZE:125-130CM ( 528/YARDS (THE GOODS ARE"/>
    <n v="502647"/>
    <x v="0"/>
    <n v="204035"/>
    <x v="0"/>
    <n v="118909164"/>
    <d v="2022-02-10T00:00:00"/>
    <x v="0"/>
    <x v="0"/>
    <x v="0"/>
    <x v="0"/>
    <x v="0"/>
    <x v="0"/>
    <d v="2021-12-12T00:00:00"/>
    <x v="0"/>
    <x v="0"/>
    <x v="0"/>
    <x v="0"/>
    <x v="0"/>
    <x v="2"/>
    <n v="2717.0108108108107"/>
    <n v="1102.8918918918919"/>
    <n v="0"/>
    <s v=""/>
    <x v="0"/>
  </r>
  <r>
    <x v="19"/>
    <m/>
    <x v="19"/>
    <d v="2020-04-20T00:00:00"/>
    <x v="0"/>
    <x v="0"/>
    <n v="2500"/>
    <x v="0"/>
    <x v="0"/>
    <s v="EXPORT "/>
    <s v="EXPORT"/>
    <n v="0"/>
    <n v="0"/>
    <x v="5"/>
    <s v="WILL BE SUBMITED THROUGH MANUAL "/>
    <n v="9785921"/>
    <x v="0"/>
    <n v="3972301"/>
    <x v="0"/>
    <n v="118911799"/>
    <d v="2022-04-20T00:00:00"/>
    <x v="0"/>
    <x v="0"/>
    <x v="0"/>
    <x v="0"/>
    <x v="0"/>
    <x v="0"/>
    <d v="2022-02-19T00:00:00"/>
    <x v="0"/>
    <x v="0"/>
    <x v="0"/>
    <x v="0"/>
    <x v="0"/>
    <x v="4"/>
    <n v="3914.3683999999998"/>
    <n v="1588.9204"/>
    <n v="0"/>
    <s v=""/>
    <x v="0"/>
  </r>
  <r>
    <x v="20"/>
    <m/>
    <x v="20"/>
    <d v="2020-05-11T00:00:00"/>
    <x v="0"/>
    <x v="0"/>
    <n v="9583.83"/>
    <x v="0"/>
    <x v="0"/>
    <n v="5509.21"/>
    <s v="1.95 "/>
    <n v="0"/>
    <n v="0"/>
    <x v="3"/>
    <s v="50% RECYCLED PET POLYESTER /30% POSTCONSUMER CO / 20% PRECONSUMER CO WEAVING BLENDED YARN COUNT NE 14/1 "/>
    <n v="3059789"/>
    <x v="0"/>
    <n v="953696"/>
    <x v="0"/>
    <n v="128460928"/>
    <d v="2022-05-11T00:00:00"/>
    <x v="0"/>
    <x v="0"/>
    <x v="0"/>
    <x v="0"/>
    <x v="0"/>
    <x v="0"/>
    <d v="2022-03-12T00:00:00"/>
    <x v="0"/>
    <x v="0"/>
    <x v="0"/>
    <x v="0"/>
    <x v="0"/>
    <x v="3"/>
    <n v="319.2657841384916"/>
    <n v="99.51094708482934"/>
    <n v="0"/>
    <s v=""/>
    <x v="0"/>
  </r>
  <r>
    <x v="21"/>
    <m/>
    <x v="21"/>
    <d v="2020-06-03T00:00:00"/>
    <x v="0"/>
    <x v="0"/>
    <n v="500"/>
    <x v="0"/>
    <x v="0"/>
    <n v="3204.11"/>
    <s v="EXPORT"/>
    <n v="0"/>
    <n v="0"/>
    <x v="5"/>
    <s v="WILL BE SUBMITED THROUGH MANUAL "/>
    <n v="3672444"/>
    <x v="0"/>
    <n v="1490718"/>
    <x v="0"/>
    <n v="128460952"/>
    <d v="2022-06-03T00:00:00"/>
    <x v="0"/>
    <x v="0"/>
    <x v="0"/>
    <x v="0"/>
    <x v="0"/>
    <x v="0"/>
    <d v="2022-04-04T00:00:00"/>
    <x v="0"/>
    <x v="0"/>
    <x v="0"/>
    <x v="0"/>
    <x v="0"/>
    <x v="4"/>
    <n v="7344.8879999999999"/>
    <n v="2981.4360000000001"/>
    <n v="0"/>
    <s v=""/>
    <x v="0"/>
  </r>
  <r>
    <x v="22"/>
    <m/>
    <x v="22"/>
    <d v="2020-06-04T00:00:00"/>
    <x v="0"/>
    <x v="0"/>
    <n v="5025.59"/>
    <x v="0"/>
    <x v="0"/>
    <n v="5509.21"/>
    <s v="EXPORT"/>
    <n v="0"/>
    <n v="0"/>
    <x v="3"/>
    <s v="WILL BE SUBMITED THROUGH MANUAL "/>
    <n v="1661878"/>
    <x v="0"/>
    <n v="517986"/>
    <x v="0"/>
    <n v="128460961"/>
    <d v="2022-06-04T00:00:00"/>
    <x v="0"/>
    <x v="0"/>
    <x v="0"/>
    <x v="0"/>
    <x v="0"/>
    <x v="0"/>
    <d v="2022-04-05T00:00:00"/>
    <x v="0"/>
    <x v="0"/>
    <x v="0"/>
    <x v="0"/>
    <x v="0"/>
    <x v="3"/>
    <n v="330.68316356885458"/>
    <n v="103.06968933000901"/>
    <n v="0"/>
    <s v=""/>
    <x v="0"/>
  </r>
  <r>
    <x v="23"/>
    <m/>
    <x v="23"/>
    <d v="2020-06-10T00:00:00"/>
    <x v="0"/>
    <x v="0"/>
    <n v="1272"/>
    <x v="0"/>
    <x v="0"/>
    <n v="5407.52"/>
    <s v="16.45680_x000a_13.76170_x000a_13.76770_x000a_"/>
    <n v="0"/>
    <n v="0"/>
    <x v="2"/>
    <s v="78% POLYESTER 17% VISCOSE 5% SPANDE  FABRIC "/>
    <n v="2466055"/>
    <x v="0"/>
    <n v="1001021"/>
    <x v="0"/>
    <n v="128460963"/>
    <d v="2022-06-10T00:00:00"/>
    <x v="0"/>
    <x v="0"/>
    <x v="0"/>
    <x v="0"/>
    <x v="0"/>
    <x v="0"/>
    <d v="2022-04-11T00:00:00"/>
    <x v="0"/>
    <x v="0"/>
    <x v="0"/>
    <x v="0"/>
    <x v="0"/>
    <x v="2"/>
    <n v="1938.7224842767296"/>
    <n v="786.96619496855351"/>
    <n v="0"/>
    <s v=""/>
    <x v="0"/>
  </r>
  <r>
    <x v="24"/>
    <m/>
    <x v="24"/>
    <d v="2020-06-12T00:00:00"/>
    <x v="0"/>
    <x v="0"/>
    <n v="18018"/>
    <x v="0"/>
    <x v="0"/>
    <n v="5401.2089999999998"/>
    <m/>
    <n v="0"/>
    <n v="0"/>
    <x v="6"/>
    <s v="100% SPUN POLYESTER SEWING THREAD "/>
    <n v="14109495"/>
    <x v="0"/>
    <n v="3063892"/>
    <x v="0"/>
    <n v="128460965"/>
    <d v="2022-06-12T00:00:00"/>
    <x v="0"/>
    <x v="0"/>
    <x v="0"/>
    <x v="0"/>
    <x v="0"/>
    <x v="0"/>
    <d v="2022-04-13T00:00:00"/>
    <x v="0"/>
    <x v="0"/>
    <x v="0"/>
    <x v="0"/>
    <x v="0"/>
    <x v="3"/>
    <n v="783.07775557775562"/>
    <n v="170.04617604617604"/>
    <n v="0"/>
    <s v=""/>
    <x v="0"/>
  </r>
  <r>
    <x v="25"/>
    <m/>
    <x v="25"/>
    <d v="2020-06-29T00:00:00"/>
    <x v="0"/>
    <x v="0"/>
    <n v="26000"/>
    <x v="0"/>
    <x v="0"/>
    <n v="5509.22"/>
    <s v="2.51 "/>
    <n v="0"/>
    <n v="0"/>
    <x v="7"/>
    <s v="100% SPUN POLYESTER YARN RAW WHITE BRIGHT 50S/3"/>
    <n v="11175612"/>
    <x v="0"/>
    <n v="3483293"/>
    <x v="0"/>
    <n v="128461007"/>
    <d v="2022-06-29T00:00:00"/>
    <x v="0"/>
    <x v="0"/>
    <x v="0"/>
    <x v="0"/>
    <x v="0"/>
    <x v="0"/>
    <d v="2022-04-30T00:00:00"/>
    <x v="0"/>
    <x v="0"/>
    <x v="0"/>
    <x v="0"/>
    <x v="0"/>
    <x v="3"/>
    <n v="429.83123076923079"/>
    <n v="133.9728076923077"/>
    <n v="0"/>
    <s v=""/>
    <x v="0"/>
  </r>
  <r>
    <x v="26"/>
    <m/>
    <x v="26"/>
    <d v="2020-07-04T00:00:00"/>
    <x v="0"/>
    <x v="0"/>
    <n v="1800000"/>
    <x v="0"/>
    <x v="0"/>
    <n v="2701.12"/>
    <n v="5.6599999999999998E-2"/>
    <n v="0"/>
    <n v="0"/>
    <x v="8"/>
    <s v="COAL"/>
    <n v="17229839"/>
    <x v="0"/>
    <n v="4360355"/>
    <x v="0"/>
    <n v="128461011"/>
    <d v="2022-07-04T00:00:00"/>
    <x v="0"/>
    <x v="0"/>
    <x v="0"/>
    <x v="0"/>
    <x v="0"/>
    <x v="0"/>
    <d v="2022-05-05T00:00:00"/>
    <x v="0"/>
    <x v="0"/>
    <x v="0"/>
    <x v="0"/>
    <x v="0"/>
    <x v="5"/>
    <n v="9.572132777777778"/>
    <n v="2.4224194444444445"/>
    <n v="0"/>
    <s v=""/>
    <x v="0"/>
  </r>
  <r>
    <x v="27"/>
    <m/>
    <x v="27"/>
    <d v="2022-09-26T00:00:00"/>
    <x v="0"/>
    <x v="0"/>
    <n v="3300000"/>
    <x v="0"/>
    <x v="0"/>
    <n v="2701.12"/>
    <s v="0.0605 / 0.0671"/>
    <n v="0"/>
    <n v="0"/>
    <x v="8"/>
    <s v="BITUMINOUS COAL (IN BULK)"/>
    <n v="30261000"/>
    <x v="0"/>
    <n v="7655999.9999999991"/>
    <x v="0"/>
    <m/>
    <d v="2024-09-25T00:00:00"/>
    <x v="0"/>
    <x v="0"/>
    <x v="0"/>
    <x v="0"/>
    <x v="0"/>
    <x v="0"/>
    <d v="2024-07-27T00:00:00"/>
    <x v="0"/>
    <x v="1"/>
    <x v="0"/>
    <x v="0"/>
    <x v="0"/>
    <x v="5"/>
    <n v="9.17"/>
    <n v="2.3199999999999998"/>
    <n v="0"/>
    <s v=""/>
    <x v="0"/>
  </r>
  <r>
    <x v="28"/>
    <m/>
    <x v="28"/>
    <d v="2020-08-13T00:00:00"/>
    <x v="0"/>
    <x v="0"/>
    <n v="5004"/>
    <x v="0"/>
    <x v="0"/>
    <n v="5210.49"/>
    <n v="7.9417999999999997"/>
    <n v="0"/>
    <n v="0"/>
    <x v="2"/>
    <s v="78%PES 17%VISCOSE 5%SPANDEX FABRIC 190GSM COLOR:NAVY BLUE,LIGHT BLUE,NIMBUS GREY, BLACK WIDTH:150CM"/>
    <n v="6834969"/>
    <x v="0"/>
    <n v="2534215"/>
    <x v="0"/>
    <n v="128461095"/>
    <d v="2022-08-13T00:00:00"/>
    <x v="0"/>
    <x v="0"/>
    <x v="0"/>
    <x v="0"/>
    <x v="0"/>
    <x v="0"/>
    <d v="2022-06-14T00:00:00"/>
    <x v="0"/>
    <x v="0"/>
    <x v="0"/>
    <x v="0"/>
    <x v="0"/>
    <x v="2"/>
    <n v="1365.9010791366907"/>
    <n v="506.43784972022382"/>
    <n v="0"/>
    <s v=""/>
    <x v="0"/>
  </r>
  <r>
    <x v="29"/>
    <m/>
    <x v="29"/>
    <d v="2022-09-26T00:00:00"/>
    <x v="0"/>
    <x v="0"/>
    <n v="8250000"/>
    <x v="0"/>
    <x v="0"/>
    <n v="2701.12"/>
    <s v="0.0617 / 0.0638"/>
    <n v="0"/>
    <n v="0"/>
    <x v="8"/>
    <s v="BITUMINOUS COAL"/>
    <n v="86790000"/>
    <x v="0"/>
    <n v="21945000"/>
    <x v="0"/>
    <m/>
    <d v="2024-09-25T00:00:00"/>
    <x v="0"/>
    <x v="0"/>
    <x v="0"/>
    <x v="0"/>
    <x v="0"/>
    <x v="0"/>
    <d v="2024-07-27T00:00:00"/>
    <x v="0"/>
    <x v="1"/>
    <x v="0"/>
    <x v="0"/>
    <x v="0"/>
    <x v="5"/>
    <n v="10.52"/>
    <n v="2.66"/>
    <n v="0"/>
    <s v=""/>
    <x v="0"/>
  </r>
  <r>
    <x v="30"/>
    <m/>
    <x v="30"/>
    <d v="2020-09-03T00:00:00"/>
    <x v="1"/>
    <x v="0"/>
    <n v="7531"/>
    <x v="0"/>
    <x v="0"/>
    <n v="5807.1019999999999"/>
    <s v="3.39 "/>
    <n v="0"/>
    <n v="0"/>
    <x v="9"/>
    <s v="RIBBONS"/>
    <n v="4325298"/>
    <x v="0"/>
    <n v="2245696"/>
    <x v="0"/>
    <n v="128461137"/>
    <d v="2022-09-03T00:00:00"/>
    <x v="0"/>
    <x v="0"/>
    <x v="0"/>
    <x v="0"/>
    <x v="0"/>
    <x v="0"/>
    <d v="2022-07-05T00:00:00"/>
    <x v="0"/>
    <x v="0"/>
    <x v="0"/>
    <x v="0"/>
    <x v="0"/>
    <x v="6"/>
    <n v="574.33249236489178"/>
    <n v="298.19359978754483"/>
    <n v="0"/>
    <s v=""/>
    <x v="0"/>
  </r>
  <r>
    <x v="31"/>
    <m/>
    <x v="31"/>
    <d v="2020-09-28T00:00:00"/>
    <x v="0"/>
    <x v="0"/>
    <n v="472.7"/>
    <x v="0"/>
    <x v="0"/>
    <n v="5210.1099999999997"/>
    <s v="17.06 "/>
    <n v="0"/>
    <n v="0"/>
    <x v="2"/>
    <s v="TESSUTO/FABRIC STANDARD CO50% PES 49.5% CF 0.5%"/>
    <n v="1580662"/>
    <x v="0"/>
    <n v="586066"/>
    <x v="0"/>
    <n v="128466243"/>
    <d v="2022-09-28T00:00:00"/>
    <x v="0"/>
    <x v="0"/>
    <x v="0"/>
    <x v="0"/>
    <x v="0"/>
    <x v="0"/>
    <d v="2022-07-30T00:00:00"/>
    <x v="0"/>
    <x v="0"/>
    <x v="0"/>
    <x v="0"/>
    <x v="0"/>
    <x v="2"/>
    <n v="3343.9009942881321"/>
    <n v="1239.8265284535646"/>
    <n v="0"/>
    <s v=""/>
    <x v="0"/>
  </r>
  <r>
    <x v="32"/>
    <m/>
    <x v="32"/>
    <d v="2020-11-05T00:00:00"/>
    <x v="0"/>
    <x v="0"/>
    <n v="3070"/>
    <x v="0"/>
    <x v="0"/>
    <n v="5401.2089999999998"/>
    <s v="7.39 "/>
    <n v="0"/>
    <n v="0"/>
    <x v="6"/>
    <s v="100% SPUN POLYESTER SEWING THREAD POLY POLY B/ WHITE"/>
    <n v="3712640"/>
    <x v="0"/>
    <n v="806203"/>
    <x v="0"/>
    <n v="128467715"/>
    <d v="2022-11-05T00:00:00"/>
    <x v="0"/>
    <x v="0"/>
    <x v="0"/>
    <x v="0"/>
    <x v="0"/>
    <x v="0"/>
    <d v="2022-09-06T00:00:00"/>
    <x v="0"/>
    <x v="0"/>
    <x v="0"/>
    <x v="0"/>
    <x v="0"/>
    <x v="3"/>
    <n v="1209.328990228013"/>
    <n v="262.60684039087948"/>
    <n v="0"/>
    <s v=""/>
    <x v="0"/>
  </r>
  <r>
    <x v="33"/>
    <m/>
    <x v="33"/>
    <d v="2020-11-20T00:00:00"/>
    <x v="0"/>
    <x v="0"/>
    <n v="27.95"/>
    <x v="0"/>
    <x v="0"/>
    <n v="5211.49"/>
    <s v="19.35 "/>
    <n v="0"/>
    <n v="0"/>
    <x v="2"/>
    <s v="TESSUTO/FABRIC STANDARD CO 50% PES 49.5% CF 0.5%"/>
    <n v="104759"/>
    <x v="0"/>
    <n v="38841"/>
    <x v="0"/>
    <n v="128468800"/>
    <d v="2022-11-20T00:00:00"/>
    <x v="0"/>
    <x v="0"/>
    <x v="0"/>
    <x v="0"/>
    <x v="0"/>
    <x v="0"/>
    <d v="2022-09-21T00:00:00"/>
    <x v="0"/>
    <x v="0"/>
    <x v="0"/>
    <x v="0"/>
    <x v="0"/>
    <x v="2"/>
    <n v="3748.0858676207513"/>
    <n v="1389.6601073345259"/>
    <n v="0"/>
    <s v=""/>
    <x v="0"/>
  </r>
  <r>
    <x v="34"/>
    <m/>
    <x v="34"/>
    <d v="2020-12-29T00:00:00"/>
    <x v="0"/>
    <x v="0"/>
    <n v="113400"/>
    <x v="0"/>
    <x v="0"/>
    <n v="5402.33"/>
    <s v="1.32 "/>
    <n v="0"/>
    <n v="0"/>
    <x v="6"/>
    <s v="100% POLYESTER YARN DTY 110DTEX/48F (100D/48F)"/>
    <n v="24561269"/>
    <x v="0"/>
    <n v="10443133"/>
    <x v="0"/>
    <n v="128467784"/>
    <d v="2022-12-29T00:00:00"/>
    <x v="0"/>
    <x v="0"/>
    <x v="0"/>
    <x v="0"/>
    <x v="0"/>
    <x v="0"/>
    <d v="2022-10-30T00:00:00"/>
    <x v="0"/>
    <x v="0"/>
    <x v="0"/>
    <x v="0"/>
    <x v="0"/>
    <x v="3"/>
    <n v="216.58967372134038"/>
    <n v="92.091119929453257"/>
    <n v="0"/>
    <s v=""/>
    <x v="0"/>
  </r>
  <r>
    <x v="35"/>
    <m/>
    <x v="35"/>
    <d v="2021-01-01T00:00:00"/>
    <x v="0"/>
    <x v="0"/>
    <n v="17917.2"/>
    <x v="0"/>
    <x v="0"/>
    <n v="5205.2700000000004"/>
    <s v="3.61 "/>
    <n v="0"/>
    <n v="0"/>
    <x v="10"/>
    <s v="60/1 Cotton Yarn"/>
    <n v="10609774"/>
    <x v="0"/>
    <n v="2554675"/>
    <x v="0"/>
    <n v="128467768"/>
    <d v="2023-01-01T00:00:00"/>
    <x v="0"/>
    <x v="0"/>
    <x v="0"/>
    <x v="0"/>
    <x v="0"/>
    <x v="0"/>
    <d v="2022-11-02T00:00:00"/>
    <x v="0"/>
    <x v="0"/>
    <x v="0"/>
    <x v="0"/>
    <x v="0"/>
    <x v="3"/>
    <n v="592.1558055946241"/>
    <n v="142.58226731855424"/>
    <n v="0"/>
    <s v=""/>
    <x v="0"/>
  </r>
  <r>
    <x v="36"/>
    <m/>
    <x v="36"/>
    <d v="2021-01-01T00:00:00"/>
    <x v="0"/>
    <x v="0"/>
    <n v="24360"/>
    <x v="0"/>
    <x v="0"/>
    <n v="5402.33"/>
    <s v="1.26 "/>
    <n v="0"/>
    <n v="0"/>
    <x v="6"/>
    <s v="100% POLYESTER YARN DTY 100D/48F SD RW HIM AA GRADE"/>
    <n v="5034735"/>
    <x v="0"/>
    <n v="1923707"/>
    <x v="0"/>
    <n v="128467807"/>
    <d v="2023-01-01T00:00:00"/>
    <x v="0"/>
    <x v="0"/>
    <x v="0"/>
    <x v="0"/>
    <x v="0"/>
    <x v="0"/>
    <d v="2022-11-02T00:00:00"/>
    <x v="0"/>
    <x v="0"/>
    <x v="0"/>
    <x v="0"/>
    <x v="0"/>
    <x v="3"/>
    <n v="206.68041871921181"/>
    <n v="78.969909688013132"/>
    <n v="0"/>
    <s v=""/>
    <x v="0"/>
  </r>
  <r>
    <x v="37"/>
    <m/>
    <x v="37"/>
    <d v="2021-01-08T00:00:00"/>
    <x v="0"/>
    <x v="0"/>
    <n v="24360"/>
    <x v="0"/>
    <x v="0"/>
    <n v="5402.33"/>
    <s v="1.26 "/>
    <n v="0"/>
    <n v="0"/>
    <x v="6"/>
    <s v="100% POLYESTER YARN DTY 100D/48F SD RW HIM AA GRADE"/>
    <n v="5034735"/>
    <x v="0"/>
    <n v="1923707"/>
    <x v="0"/>
    <n v="128467817"/>
    <d v="2023-01-08T00:00:00"/>
    <x v="0"/>
    <x v="0"/>
    <x v="0"/>
    <x v="0"/>
    <x v="0"/>
    <x v="0"/>
    <d v="2022-11-09T00:00:00"/>
    <x v="0"/>
    <x v="0"/>
    <x v="0"/>
    <x v="0"/>
    <x v="0"/>
    <x v="3"/>
    <n v="206.68041871921181"/>
    <n v="78.969909688013132"/>
    <n v="0"/>
    <s v=""/>
    <x v="0"/>
  </r>
  <r>
    <x v="38"/>
    <m/>
    <x v="38"/>
    <d v="2021-01-11T00:00:00"/>
    <x v="0"/>
    <x v="0"/>
    <n v="19991"/>
    <x v="0"/>
    <x v="0"/>
    <n v="5407.74"/>
    <s v="5.35 "/>
    <n v="0"/>
    <n v="0"/>
    <x v="11"/>
    <s v="100% POLYESTER MICRO FIBER FABRIC PRINTED WIDTH 83"/>
    <n v="17511131"/>
    <x v="0"/>
    <n v="6492637"/>
    <x v="0"/>
    <n v="128467810"/>
    <d v="2023-01-11T00:00:00"/>
    <x v="0"/>
    <x v="0"/>
    <x v="0"/>
    <x v="0"/>
    <x v="0"/>
    <x v="0"/>
    <d v="2022-11-12T00:00:00"/>
    <x v="0"/>
    <x v="0"/>
    <x v="0"/>
    <x v="0"/>
    <x v="0"/>
    <x v="2"/>
    <n v="875.95072782752243"/>
    <n v="324.77800010004501"/>
    <n v="0"/>
    <s v=""/>
    <x v="0"/>
  </r>
  <r>
    <x v="39"/>
    <m/>
    <x v="39"/>
    <d v="2021-01-14T00:00:00"/>
    <x v="0"/>
    <x v="0"/>
    <n v="24360"/>
    <x v="0"/>
    <x v="0"/>
    <n v="5402.33"/>
    <n v="1.26"/>
    <n v="0"/>
    <n v="0"/>
    <x v="6"/>
    <s v="100% POLYESTER YARN DTY 100D/48F SD RW HIM AA GRADE"/>
    <n v="5036301"/>
    <x v="0"/>
    <n v="1924305"/>
    <x v="0"/>
    <n v="128467829"/>
    <d v="2023-01-14T00:00:00"/>
    <x v="0"/>
    <x v="0"/>
    <x v="0"/>
    <x v="0"/>
    <x v="0"/>
    <x v="0"/>
    <d v="2022-11-15T00:00:00"/>
    <x v="0"/>
    <x v="0"/>
    <x v="0"/>
    <x v="0"/>
    <x v="0"/>
    <x v="3"/>
    <n v="206.74470443349753"/>
    <n v="78.994458128078819"/>
    <n v="0"/>
    <s v=""/>
    <x v="0"/>
  </r>
  <r>
    <x v="40"/>
    <m/>
    <x v="40"/>
    <d v="2021-01-15T00:00:00"/>
    <x v="0"/>
    <x v="0"/>
    <n v="836"/>
    <x v="0"/>
    <x v="0"/>
    <n v="5407.51"/>
    <m/>
    <n v="0"/>
    <n v="0"/>
    <x v="11"/>
    <s v="100% POLYESTER FABRIC 190T TAFEETA, W/R + PU COATING WHITE COLOR, 70GSM 57/58&quot;"/>
    <n v="1032724"/>
    <x v="0"/>
    <n v="382905"/>
    <x v="0"/>
    <n v="128467830"/>
    <d v="2023-01-15T00:00:00"/>
    <x v="0"/>
    <x v="0"/>
    <x v="0"/>
    <x v="0"/>
    <x v="0"/>
    <x v="0"/>
    <d v="2022-11-16T00:00:00"/>
    <x v="0"/>
    <x v="0"/>
    <x v="0"/>
    <x v="0"/>
    <x v="0"/>
    <x v="2"/>
    <n v="1235.3157894736842"/>
    <n v="458.02033492822966"/>
    <n v="0"/>
    <s v=""/>
    <x v="0"/>
  </r>
  <r>
    <x v="41"/>
    <m/>
    <x v="41"/>
    <d v="2021-01-25T00:00:00"/>
    <x v="0"/>
    <x v="0"/>
    <n v="36288"/>
    <x v="0"/>
    <x v="0"/>
    <n v="5205.2700000000004"/>
    <m/>
    <n v="0"/>
    <n v="0"/>
    <x v="10"/>
    <s v="60/1 Cotton Yarn"/>
    <n v="22342308"/>
    <x v="0"/>
    <n v="5379692"/>
    <x v="0"/>
    <n v="128467841"/>
    <d v="2023-01-25T00:00:00"/>
    <x v="0"/>
    <x v="0"/>
    <x v="0"/>
    <x v="0"/>
    <x v="0"/>
    <x v="0"/>
    <d v="2022-11-26T00:00:00"/>
    <x v="0"/>
    <x v="0"/>
    <x v="0"/>
    <x v="0"/>
    <x v="0"/>
    <x v="3"/>
    <n v="615.69411375661377"/>
    <n v="148.24988977072312"/>
    <n v="0"/>
    <s v=""/>
    <x v="0"/>
  </r>
  <r>
    <x v="42"/>
    <m/>
    <x v="42"/>
    <d v="2021-01-25T00:00:00"/>
    <x v="0"/>
    <x v="0"/>
    <n v="96000"/>
    <x v="0"/>
    <x v="0"/>
    <n v="3505.1089999999999"/>
    <s v="0.47 "/>
    <n v="0"/>
    <n v="0"/>
    <x v="12"/>
    <s v="NISKOZ COTEKS-AT 75 (MODIFIED MAIZE STARCH)"/>
    <n v="7408031"/>
    <x v="0"/>
    <n v="3200862"/>
    <x v="0"/>
    <n v="128467834"/>
    <d v="2023-01-25T00:00:00"/>
    <x v="0"/>
    <x v="0"/>
    <x v="0"/>
    <x v="0"/>
    <x v="0"/>
    <x v="0"/>
    <d v="2022-11-26T00:00:00"/>
    <x v="0"/>
    <x v="0"/>
    <x v="0"/>
    <x v="0"/>
    <x v="0"/>
    <x v="5"/>
    <n v="77.166989583333333"/>
    <n v="33.342312499999998"/>
    <n v="0"/>
    <s v=""/>
    <x v="0"/>
  </r>
  <r>
    <x v="43"/>
    <m/>
    <x v="43"/>
    <d v="2021-01-27T00:00:00"/>
    <x v="0"/>
    <x v="0"/>
    <n v="1221"/>
    <x v="0"/>
    <x v="0"/>
    <n v="5407.52"/>
    <n v="7.83"/>
    <n v="0"/>
    <n v="0"/>
    <x v="2"/>
    <s v="78%  17%  5%  POLYESTER VISCOSE SPANDEX, 32S+40DSP 150D+40DSP, 119X76, 190GSM 78%PES+17%VISCOSE+5%SPANDEX WIDTH: 148CM GREY"/>
    <n v="1572204"/>
    <x v="0"/>
    <n v="582930"/>
    <x v="0"/>
    <n v="128467864"/>
    <d v="2023-01-27T00:00:00"/>
    <x v="0"/>
    <x v="0"/>
    <x v="0"/>
    <x v="0"/>
    <x v="0"/>
    <x v="0"/>
    <d v="2022-11-28T00:00:00"/>
    <x v="0"/>
    <x v="0"/>
    <x v="0"/>
    <x v="0"/>
    <x v="0"/>
    <x v="2"/>
    <n v="1287.6363636363637"/>
    <n v="477.42014742014743"/>
    <n v="0"/>
    <s v=""/>
    <x v="0"/>
  </r>
  <r>
    <x v="44"/>
    <m/>
    <x v="44"/>
    <d v="2021-01-27T00:00:00"/>
    <x v="0"/>
    <x v="0"/>
    <n v="1221"/>
    <x v="0"/>
    <x v="0"/>
    <n v="5407.52"/>
    <s v="7.83 "/>
    <n v="0"/>
    <n v="0"/>
    <x v="2"/>
    <s v="78%   17%  5%    POLYESTER VISCOSE SPANDEX, 32S+40DSP 150D+40DSP, 119X76, 190GSM 78%PES+17%VISCOSE+5%SPANDEX WIDTH: 148CM BLACK/ NAVY BLUE"/>
    <n v="1572204"/>
    <x v="0"/>
    <n v="582930"/>
    <x v="0"/>
    <n v="128467863"/>
    <d v="2023-01-27T00:00:00"/>
    <x v="0"/>
    <x v="0"/>
    <x v="0"/>
    <x v="0"/>
    <x v="0"/>
    <x v="0"/>
    <d v="2022-11-28T00:00:00"/>
    <x v="0"/>
    <x v="0"/>
    <x v="0"/>
    <x v="0"/>
    <x v="0"/>
    <x v="2"/>
    <n v="1287.6363636363637"/>
    <n v="477.42014742014743"/>
    <n v="0"/>
    <s v=""/>
    <x v="0"/>
  </r>
  <r>
    <x v="45"/>
    <m/>
    <x v="45"/>
    <d v="2021-01-27T00:00:00"/>
    <x v="0"/>
    <x v="0"/>
    <n v="24480"/>
    <x v="0"/>
    <x v="0"/>
    <n v="5402.33"/>
    <s v="1.16 "/>
    <n v="0"/>
    <n v="0"/>
    <x v="6"/>
    <s v="100% POLYESTER YARN (DTY 100D/48F) (THE GOODS ARE RELEASE UNDER EXPORT ORIENTED"/>
    <n v="4671022"/>
    <x v="0"/>
    <n v="1986058"/>
    <x v="0"/>
    <n v="128467851"/>
    <d v="2023-01-27T00:00:00"/>
    <x v="0"/>
    <x v="0"/>
    <x v="0"/>
    <x v="0"/>
    <x v="0"/>
    <x v="0"/>
    <d v="2022-11-28T00:00:00"/>
    <x v="0"/>
    <x v="0"/>
    <x v="0"/>
    <x v="0"/>
    <x v="0"/>
    <x v="3"/>
    <n v="190.80972222222223"/>
    <n v="81.129820261437914"/>
    <n v="0"/>
    <s v=""/>
    <x v="0"/>
  </r>
  <r>
    <x v="46"/>
    <m/>
    <x v="46"/>
    <d v="2021-01-28T00:00:00"/>
    <x v="0"/>
    <x v="0"/>
    <n v="24360"/>
    <x v="0"/>
    <x v="0"/>
    <n v="5402.33"/>
    <s v="1.26 "/>
    <n v="0"/>
    <n v="0"/>
    <x v="6"/>
    <s v="100% POLYESTER YARN DTY 100D/48F SD RW HIM AA GRADE"/>
    <n v="5039432"/>
    <x v="0"/>
    <n v="1925502"/>
    <x v="0"/>
    <n v="128467871"/>
    <d v="2023-01-28T00:00:00"/>
    <x v="0"/>
    <x v="0"/>
    <x v="0"/>
    <x v="0"/>
    <x v="0"/>
    <x v="0"/>
    <d v="2022-11-29T00:00:00"/>
    <x v="0"/>
    <x v="0"/>
    <x v="0"/>
    <x v="0"/>
    <x v="0"/>
    <x v="3"/>
    <n v="206.87323481116584"/>
    <n v="79.043596059113298"/>
    <n v="0"/>
    <s v=""/>
    <x v="0"/>
  </r>
  <r>
    <x v="47"/>
    <m/>
    <x v="47"/>
    <d v="2021-02-01T00:00:00"/>
    <x v="0"/>
    <x v="0"/>
    <n v="18144"/>
    <x v="0"/>
    <x v="0"/>
    <n v="5205.2700000000004"/>
    <s v="3.75 "/>
    <n v="0"/>
    <n v="0"/>
    <x v="10"/>
    <s v="60/1 Cotton Yarn"/>
    <n v="11160743"/>
    <x v="0"/>
    <n v="2687340"/>
    <x v="0"/>
    <n v="128467842"/>
    <d v="2023-02-01T00:00:00"/>
    <x v="0"/>
    <x v="0"/>
    <x v="0"/>
    <x v="0"/>
    <x v="0"/>
    <x v="0"/>
    <d v="2022-12-03T00:00:00"/>
    <x v="0"/>
    <x v="0"/>
    <x v="0"/>
    <x v="0"/>
    <x v="0"/>
    <x v="3"/>
    <n v="615.12031525573195"/>
    <n v="148.11177248677248"/>
    <n v="0"/>
    <s v=""/>
    <x v="0"/>
  </r>
  <r>
    <x v="48"/>
    <m/>
    <x v="48"/>
    <d v="2021-02-01T00:00:00"/>
    <x v="0"/>
    <x v="0"/>
    <n v="18144"/>
    <x v="0"/>
    <x v="0"/>
    <n v="5205.2700000000004"/>
    <s v="3.75 "/>
    <n v="0"/>
    <n v="0"/>
    <x v="10"/>
    <s v="60/1 Cotton Yarn"/>
    <n v="11160743"/>
    <x v="0"/>
    <n v="2687340"/>
    <x v="0"/>
    <n v="128467857"/>
    <d v="2023-02-01T00:00:00"/>
    <x v="0"/>
    <x v="0"/>
    <x v="0"/>
    <x v="0"/>
    <x v="0"/>
    <x v="0"/>
    <d v="2022-12-03T00:00:00"/>
    <x v="0"/>
    <x v="0"/>
    <x v="0"/>
    <x v="0"/>
    <x v="0"/>
    <x v="3"/>
    <n v="615.12031525573195"/>
    <n v="148.11177248677248"/>
    <n v="0"/>
    <s v=""/>
    <x v="0"/>
  </r>
  <r>
    <x v="49"/>
    <m/>
    <x v="49"/>
    <d v="2021-02-09T00:00:00"/>
    <x v="0"/>
    <x v="0"/>
    <n v="24480"/>
    <x v="0"/>
    <x v="0"/>
    <n v="5402.33"/>
    <s v="1.16 "/>
    <n v="0"/>
    <n v="0"/>
    <x v="6"/>
    <s v="100% POLYESTER YARN DTY (100D/48F)"/>
    <n v="4646399"/>
    <x v="0"/>
    <n v="1975589"/>
    <x v="0"/>
    <n v="128467885"/>
    <d v="2023-02-09T00:00:00"/>
    <x v="0"/>
    <x v="0"/>
    <x v="0"/>
    <x v="0"/>
    <x v="0"/>
    <x v="0"/>
    <d v="2022-12-11T00:00:00"/>
    <x v="0"/>
    <x v="0"/>
    <x v="0"/>
    <x v="0"/>
    <x v="0"/>
    <x v="3"/>
    <n v="189.80388071895425"/>
    <n v="80.702165032679744"/>
    <n v="0"/>
    <s v=""/>
    <x v="0"/>
  </r>
  <r>
    <x v="50"/>
    <m/>
    <x v="50"/>
    <d v="2021-02-15T00:00:00"/>
    <x v="0"/>
    <x v="0"/>
    <n v="24360"/>
    <x v="0"/>
    <x v="0"/>
    <n v="5402.33"/>
    <s v="1.26 "/>
    <n v="0"/>
    <n v="0"/>
    <x v="6"/>
    <s v="100% POLYESTER YARN (DTY 100D/48F SD RW HIM AA GRADE)"/>
    <n v="5000293"/>
    <x v="0"/>
    <n v="1910547"/>
    <x v="0"/>
    <n v="128467902"/>
    <d v="2023-02-15T00:00:00"/>
    <x v="0"/>
    <x v="0"/>
    <x v="0"/>
    <x v="0"/>
    <x v="0"/>
    <x v="0"/>
    <d v="2022-12-17T00:00:00"/>
    <x v="0"/>
    <x v="0"/>
    <x v="0"/>
    <x v="0"/>
    <x v="0"/>
    <x v="3"/>
    <n v="205.26654351395732"/>
    <n v="78.429679802955661"/>
    <n v="0"/>
    <s v=""/>
    <x v="0"/>
  </r>
  <r>
    <x v="51"/>
    <m/>
    <x v="51"/>
    <d v="2021-02-15T00:00:00"/>
    <x v="0"/>
    <x v="0"/>
    <n v="18144"/>
    <x v="0"/>
    <x v="0"/>
    <n v="5205.2700000000004"/>
    <n v="3.75"/>
    <n v="0"/>
    <n v="0"/>
    <x v="10"/>
    <s v="60/1 Cotton Yarn"/>
    <n v="11084394"/>
    <x v="0"/>
    <n v="2668956"/>
    <x v="0"/>
    <n v="128467888"/>
    <d v="2023-02-15T00:00:00"/>
    <x v="0"/>
    <x v="0"/>
    <x v="0"/>
    <x v="0"/>
    <x v="0"/>
    <x v="0"/>
    <d v="2022-12-17T00:00:00"/>
    <x v="0"/>
    <x v="0"/>
    <x v="0"/>
    <x v="0"/>
    <x v="0"/>
    <x v="3"/>
    <n v="610.91236772486775"/>
    <n v="147.09854497354496"/>
    <n v="0"/>
    <s v=""/>
    <x v="0"/>
  </r>
  <r>
    <x v="52"/>
    <m/>
    <x v="52"/>
    <d v="2021-02-23T00:00:00"/>
    <x v="0"/>
    <x v="0"/>
    <n v="19980.599999999999"/>
    <x v="0"/>
    <x v="0"/>
    <n v="5205.12"/>
    <n v="1.9"/>
    <n v="0"/>
    <n v="0"/>
    <x v="10"/>
    <s v="16/1 Cotton Yarn"/>
    <n v="6182638"/>
    <x v="0"/>
    <n v="1488687"/>
    <x v="0"/>
    <m/>
    <d v="2023-02-23T00:00:00"/>
    <x v="0"/>
    <x v="0"/>
    <x v="0"/>
    <x v="0"/>
    <x v="0"/>
    <x v="0"/>
    <d v="2022-12-25T00:00:00"/>
    <x v="0"/>
    <x v="1"/>
    <x v="0"/>
    <x v="0"/>
    <x v="0"/>
    <x v="3"/>
    <n v="309.43204908761498"/>
    <n v="74.5066214227801"/>
    <n v="0"/>
    <s v=""/>
    <x v="0"/>
  </r>
  <r>
    <x v="53"/>
    <m/>
    <x v="53"/>
    <d v="2021-02-25T00:00:00"/>
    <x v="0"/>
    <x v="0"/>
    <n v="24360"/>
    <x v="0"/>
    <x v="0"/>
    <n v="5402.33"/>
    <s v="1.26 "/>
    <n v="0"/>
    <n v="0"/>
    <x v="6"/>
    <s v="100% POLYESTER YARN (DTY 100D/48F SD RW HIM AA GRADE"/>
    <n v="4990900"/>
    <x v="0"/>
    <n v="1906958"/>
    <x v="0"/>
    <n v="128467922"/>
    <d v="2023-02-25T00:00:00"/>
    <x v="0"/>
    <x v="0"/>
    <x v="0"/>
    <x v="0"/>
    <x v="0"/>
    <x v="0"/>
    <d v="2022-12-27T00:00:00"/>
    <x v="0"/>
    <x v="0"/>
    <x v="0"/>
    <x v="0"/>
    <x v="0"/>
    <x v="3"/>
    <n v="204.88095238095238"/>
    <n v="78.28234811165845"/>
    <n v="0"/>
    <s v=""/>
    <x v="0"/>
  </r>
  <r>
    <x v="54"/>
    <m/>
    <x v="54"/>
    <d v="2021-02-26T00:00:00"/>
    <x v="1"/>
    <x v="0"/>
    <n v="6780"/>
    <x v="0"/>
    <x v="0"/>
    <n v="4809.8999999999996"/>
    <s v="2.35 "/>
    <n v="0"/>
    <n v="0"/>
    <x v="9"/>
    <s v="SUBLIMATION PAPER , "/>
    <n v="3160833"/>
    <x v="0"/>
    <n v="1521057"/>
    <x v="0"/>
    <n v="128473427"/>
    <d v="2023-02-26T00:00:00"/>
    <x v="0"/>
    <x v="0"/>
    <x v="0"/>
    <x v="0"/>
    <x v="0"/>
    <x v="0"/>
    <d v="2022-12-28T00:00:00"/>
    <x v="0"/>
    <x v="0"/>
    <x v="0"/>
    <x v="0"/>
    <x v="0"/>
    <x v="6"/>
    <n v="466.19955752212388"/>
    <n v="224.34469026548672"/>
    <n v="0"/>
    <s v=""/>
    <x v="0"/>
  </r>
  <r>
    <x v="55"/>
    <m/>
    <x v="55"/>
    <d v="2021-03-02T00:00:00"/>
    <x v="0"/>
    <x v="0"/>
    <n v="24360"/>
    <x v="0"/>
    <x v="0"/>
    <n v="5402.33"/>
    <n v="1.26"/>
    <n v="0"/>
    <n v="0"/>
    <x v="6"/>
    <s v="100% POLYESTER YARN (DTY 100D/48F SD"/>
    <n v="4965852"/>
    <x v="0"/>
    <n v="1897388"/>
    <x v="0"/>
    <n v="128473434"/>
    <d v="2023-03-02T00:00:00"/>
    <x v="0"/>
    <x v="0"/>
    <x v="0"/>
    <x v="0"/>
    <x v="0"/>
    <x v="0"/>
    <d v="2023-01-01T00:00:00"/>
    <x v="0"/>
    <x v="0"/>
    <x v="0"/>
    <x v="0"/>
    <x v="0"/>
    <x v="3"/>
    <n v="203.85270935960591"/>
    <n v="77.889490968801312"/>
    <n v="0"/>
    <s v=""/>
    <x v="0"/>
  </r>
  <r>
    <x v="56"/>
    <m/>
    <x v="56"/>
    <d v="2021-03-16T00:00:00"/>
    <x v="0"/>
    <x v="0"/>
    <n v="22320"/>
    <x v="0"/>
    <x v="0"/>
    <n v="5402.33"/>
    <n v="1.25"/>
    <n v="0"/>
    <n v="0"/>
    <x v="6"/>
    <s v="100% POLYESTER YARN (DTY 100D/48F)"/>
    <n v="4485421"/>
    <x v="0"/>
    <n v="1907142"/>
    <x v="0"/>
    <n v="128473433"/>
    <d v="2023-03-16T00:00:00"/>
    <x v="0"/>
    <x v="0"/>
    <x v="0"/>
    <x v="0"/>
    <x v="0"/>
    <x v="0"/>
    <d v="2023-01-15T00:00:00"/>
    <x v="0"/>
    <x v="0"/>
    <x v="0"/>
    <x v="0"/>
    <x v="0"/>
    <x v="3"/>
    <n v="200.95972222222221"/>
    <n v="85.445430107526889"/>
    <n v="0"/>
    <s v=""/>
    <x v="0"/>
  </r>
  <r>
    <x v="57"/>
    <m/>
    <x v="57"/>
    <d v="2021-03-16T00:00:00"/>
    <x v="0"/>
    <x v="0"/>
    <n v="24360"/>
    <x v="0"/>
    <x v="0"/>
    <n v="5402.33"/>
    <s v="1.26 "/>
    <n v="0"/>
    <n v="0"/>
    <x v="6"/>
    <s v="100% POLYESTER YARN (DTY 100D/48F SD RW HIM AA GRADE"/>
    <n v="4934541"/>
    <x v="0"/>
    <n v="1885425"/>
    <x v="0"/>
    <n v="128473447"/>
    <d v="2023-03-16T00:00:00"/>
    <x v="0"/>
    <x v="0"/>
    <x v="0"/>
    <x v="0"/>
    <x v="0"/>
    <x v="0"/>
    <d v="2023-01-15T00:00:00"/>
    <x v="0"/>
    <x v="0"/>
    <x v="0"/>
    <x v="0"/>
    <x v="0"/>
    <x v="3"/>
    <n v="202.5673645320197"/>
    <n v="77.39839901477832"/>
    <n v="0"/>
    <s v=""/>
    <x v="0"/>
  </r>
  <r>
    <x v="58"/>
    <m/>
    <x v="58"/>
    <d v="2021-03-20T00:00:00"/>
    <x v="0"/>
    <x v="0"/>
    <n v="24360"/>
    <x v="0"/>
    <x v="0"/>
    <n v="5402.33"/>
    <n v="1.26"/>
    <n v="0"/>
    <n v="0"/>
    <x v="6"/>
    <s v="100% POLYESTER YARN (DTY 100D/48"/>
    <n v="4884444"/>
    <x v="0"/>
    <n v="1866283"/>
    <x v="0"/>
    <n v="128473459"/>
    <d v="2023-03-20T00:00:00"/>
    <x v="0"/>
    <x v="0"/>
    <x v="0"/>
    <x v="0"/>
    <x v="0"/>
    <x v="0"/>
    <d v="2023-01-19T00:00:00"/>
    <x v="0"/>
    <x v="0"/>
    <x v="0"/>
    <x v="0"/>
    <x v="0"/>
    <x v="3"/>
    <n v="200.51083743842364"/>
    <n v="76.6126026272578"/>
    <n v="0"/>
    <s v=""/>
    <x v="0"/>
  </r>
  <r>
    <x v="59"/>
    <m/>
    <x v="59"/>
    <d v="2021-03-25T00:00:00"/>
    <x v="0"/>
    <x v="0"/>
    <n v="384"/>
    <x v="0"/>
    <x v="0"/>
    <n v="5402.33"/>
    <n v="7.98"/>
    <n v="0"/>
    <n v="0"/>
    <x v="13"/>
    <s v="POLYESTER FILAMENT YARN TSS DT 150D/72F"/>
    <n v="431398.2"/>
    <x v="0"/>
    <n v="183426.45"/>
    <x v="0"/>
    <m/>
    <d v="2023-03-25T00:00:00"/>
    <x v="0"/>
    <x v="0"/>
    <x v="0"/>
    <x v="0"/>
    <x v="0"/>
    <x v="0"/>
    <d v="2023-01-24T00:00:00"/>
    <x v="0"/>
    <x v="1"/>
    <x v="0"/>
    <x v="0"/>
    <x v="0"/>
    <x v="3"/>
    <n v="1123.4328125"/>
    <n v="477.67304687500001"/>
    <n v="0"/>
    <s v=""/>
    <x v="0"/>
  </r>
  <r>
    <x v="60"/>
    <m/>
    <x v="60"/>
    <d v="2021-03-26T00:00:00"/>
    <x v="0"/>
    <x v="0"/>
    <n v="13567.09"/>
    <x v="0"/>
    <x v="0"/>
    <s v="5402.3300 + 5210.1900"/>
    <m/>
    <n v="0"/>
    <n v="0"/>
    <x v="6"/>
    <s v="FINISHED WOVEN FABRIC FOR CUPRON MEDIC  (YARN +FABRIC ) BUT REANING YARN "/>
    <n v="7405578"/>
    <x v="0"/>
    <n v="2655979"/>
    <x v="0"/>
    <n v="128473484"/>
    <d v="2023-03-26T00:00:00"/>
    <x v="0"/>
    <x v="0"/>
    <x v="0"/>
    <x v="0"/>
    <x v="0"/>
    <x v="0"/>
    <d v="2023-01-25T00:00:00"/>
    <x v="0"/>
    <x v="0"/>
    <x v="0"/>
    <x v="0"/>
    <x v="0"/>
    <x v="3"/>
    <n v="545.84866762142804"/>
    <n v="195.76629918427608"/>
    <n v="0"/>
    <s v=""/>
    <x v="0"/>
  </r>
  <r>
    <x v="61"/>
    <m/>
    <x v="61"/>
    <d v="2021-03-29T00:00:00"/>
    <x v="0"/>
    <x v="0"/>
    <n v="36235"/>
    <x v="0"/>
    <x v="0"/>
    <n v="5205.2700000000004"/>
    <n v="5.15"/>
    <n v="0"/>
    <n v="0"/>
    <x v="10"/>
    <s v="60/1 Cotton Yarn"/>
    <n v="29601219"/>
    <x v="0"/>
    <n v="7127530"/>
    <x v="0"/>
    <n v="128473473"/>
    <d v="2023-03-29T00:00:00"/>
    <x v="0"/>
    <x v="0"/>
    <x v="0"/>
    <x v="0"/>
    <x v="0"/>
    <x v="0"/>
    <d v="2023-01-28T00:00:00"/>
    <x v="0"/>
    <x v="0"/>
    <x v="0"/>
    <x v="0"/>
    <x v="0"/>
    <x v="3"/>
    <n v="816.923388988547"/>
    <n v="196.70291154960674"/>
    <n v="0"/>
    <s v=""/>
    <x v="0"/>
  </r>
  <r>
    <x v="62"/>
    <m/>
    <x v="62"/>
    <d v="2021-03-30T00:00:00"/>
    <x v="0"/>
    <x v="0"/>
    <n v="19192.43"/>
    <x v="0"/>
    <x v="0"/>
    <n v="5208.1899999999996"/>
    <n v="2.0114000000000001"/>
    <n v="0"/>
    <n v="0"/>
    <x v="14"/>
    <s v="100% COTTON GREY CLOTH ,167 GR/M2 NE 20/1X NE 8/1 40X39 PER INCH WIDTH:305CM (37782.75/MTRS) "/>
    <n v="6107798.9232000001"/>
    <x v="0"/>
    <n v="2553360.8871999998"/>
    <x v="0"/>
    <m/>
    <d v="2023-03-30T00:00:00"/>
    <x v="0"/>
    <x v="0"/>
    <x v="0"/>
    <x v="0"/>
    <x v="0"/>
    <x v="0"/>
    <d v="2023-01-29T00:00:00"/>
    <x v="0"/>
    <x v="1"/>
    <x v="0"/>
    <x v="0"/>
    <x v="0"/>
    <x v="2"/>
    <n v="318.24"/>
    <n v="133.04"/>
    <n v="0"/>
    <s v=""/>
    <x v="0"/>
  </r>
  <r>
    <x v="63"/>
    <m/>
    <x v="63"/>
    <d v="2021-03-30T00:00:00"/>
    <x v="0"/>
    <x v="0"/>
    <n v="58097.33"/>
    <x v="0"/>
    <x v="0"/>
    <n v="5208.1899999999996"/>
    <n v="1.98"/>
    <n v="0"/>
    <n v="0"/>
    <x v="14"/>
    <s v="100% COTTON GREY CLOTH ,167 GR/M2,NE 20/1 XNE8/1, 40X39 PER INCH WIDTH:305CM (112432.82/MTRS)"/>
    <n v="3233116.4145"/>
    <x v="0"/>
    <n v="1351343.8958000001"/>
    <x v="0"/>
    <m/>
    <d v="2023-03-30T00:00:00"/>
    <x v="0"/>
    <x v="0"/>
    <x v="0"/>
    <x v="0"/>
    <x v="0"/>
    <x v="0"/>
    <d v="2023-01-29T00:00:00"/>
    <x v="0"/>
    <x v="1"/>
    <x v="0"/>
    <x v="0"/>
    <x v="0"/>
    <x v="2"/>
    <n v="55.65"/>
    <n v="23.26"/>
    <n v="0"/>
    <s v=""/>
    <x v="0"/>
  </r>
  <r>
    <x v="64"/>
    <m/>
    <x v="64"/>
    <d v="2021-03-31T00:00:00"/>
    <x v="0"/>
    <x v="0"/>
    <n v="24480"/>
    <x v="0"/>
    <x v="0"/>
    <n v="5402.33"/>
    <s v="1.25 "/>
    <n v="0"/>
    <n v="0"/>
    <x v="6"/>
    <s v="100% POLYESTER YARN (DTY 100D/48F"/>
    <n v="4841456"/>
    <x v="0"/>
    <n v="2058524"/>
    <x v="0"/>
    <n v="128473490"/>
    <d v="2023-03-31T00:00:00"/>
    <x v="0"/>
    <x v="0"/>
    <x v="0"/>
    <x v="0"/>
    <x v="0"/>
    <x v="0"/>
    <d v="2023-01-30T00:00:00"/>
    <x v="0"/>
    <x v="0"/>
    <x v="0"/>
    <x v="0"/>
    <x v="0"/>
    <x v="3"/>
    <n v="197.7718954248366"/>
    <n v="84.090032679738556"/>
    <n v="0"/>
    <s v=""/>
    <x v="0"/>
  </r>
  <r>
    <x v="65"/>
    <m/>
    <x v="65"/>
    <d v="2021-03-31T00:00:00"/>
    <x v="0"/>
    <x v="0"/>
    <n v="24360"/>
    <x v="0"/>
    <x v="0"/>
    <n v="5402.33"/>
    <n v="1.26"/>
    <n v="0"/>
    <n v="0"/>
    <x v="6"/>
    <s v="100% POLYESTER YARN (DTY 100D/48F"/>
    <n v="4856265"/>
    <x v="0"/>
    <n v="2064820"/>
    <x v="0"/>
    <n v="128473512"/>
    <d v="2023-03-31T00:00:00"/>
    <x v="0"/>
    <x v="0"/>
    <x v="0"/>
    <x v="0"/>
    <x v="0"/>
    <x v="0"/>
    <d v="2023-01-30T00:00:00"/>
    <x v="0"/>
    <x v="0"/>
    <x v="0"/>
    <x v="0"/>
    <x v="0"/>
    <x v="3"/>
    <n v="199.35406403940885"/>
    <n v="84.762725779967155"/>
    <n v="0"/>
    <s v=""/>
    <x v="0"/>
  </r>
  <r>
    <x v="66"/>
    <m/>
    <x v="66"/>
    <d v="2021-04-12T00:00:00"/>
    <x v="0"/>
    <x v="0"/>
    <n v="3072"/>
    <x v="0"/>
    <x v="0"/>
    <n v="5402.33"/>
    <n v="3.76"/>
    <n v="0"/>
    <n v="0"/>
    <x v="13"/>
    <s v="POLYESTER FILAMENT YARN TSS DT 150D/72F"/>
    <n v="1808855.04"/>
    <x v="0"/>
    <n v="769105.92000000004"/>
    <x v="0"/>
    <m/>
    <d v="2023-04-12T00:00:00"/>
    <x v="0"/>
    <x v="0"/>
    <x v="0"/>
    <x v="0"/>
    <x v="0"/>
    <x v="0"/>
    <d v="2023-02-11T00:00:00"/>
    <x v="0"/>
    <x v="1"/>
    <x v="0"/>
    <x v="0"/>
    <x v="0"/>
    <x v="3"/>
    <n v="588.82000000000005"/>
    <n v="250.36"/>
    <n v="0"/>
    <s v=""/>
    <x v="0"/>
  </r>
  <r>
    <x v="67"/>
    <m/>
    <x v="67"/>
    <d v="2021-04-28T00:00:00"/>
    <x v="0"/>
    <x v="0"/>
    <n v="24120"/>
    <x v="0"/>
    <x v="0"/>
    <n v="5402.33"/>
    <n v="1.56"/>
    <n v="0"/>
    <n v="0"/>
    <x v="6"/>
    <s v="100% VIRGIN POLYESTER YARN (DTY 150D/48F)"/>
    <n v="5936009"/>
    <x v="0"/>
    <n v="2523914"/>
    <x v="0"/>
    <n v="128473562"/>
    <d v="2023-04-28T00:00:00"/>
    <x v="0"/>
    <x v="0"/>
    <x v="0"/>
    <x v="0"/>
    <x v="0"/>
    <x v="0"/>
    <d v="2023-02-27T00:00:00"/>
    <x v="0"/>
    <x v="0"/>
    <x v="0"/>
    <x v="0"/>
    <x v="0"/>
    <x v="3"/>
    <n v="246.10319237147596"/>
    <n v="104.63988391376451"/>
    <n v="0"/>
    <s v=""/>
    <x v="0"/>
  </r>
  <r>
    <x v="68"/>
    <m/>
    <x v="68"/>
    <d v="2021-04-30T00:00:00"/>
    <x v="0"/>
    <x v="0"/>
    <n v="24120"/>
    <x v="0"/>
    <x v="0"/>
    <n v="5402.33"/>
    <n v="1.5"/>
    <n v="0"/>
    <n v="0"/>
    <x v="6"/>
    <s v="100% VIRGIN POLYESTER YARN (DTY 150D/48F"/>
    <n v="5694784"/>
    <x v="0"/>
    <n v="2421348"/>
    <x v="0"/>
    <n v="128473574"/>
    <d v="2023-04-30T00:00:00"/>
    <x v="0"/>
    <x v="0"/>
    <x v="0"/>
    <x v="0"/>
    <x v="0"/>
    <x v="0"/>
    <d v="2023-03-01T00:00:00"/>
    <x v="0"/>
    <x v="0"/>
    <x v="0"/>
    <x v="0"/>
    <x v="0"/>
    <x v="3"/>
    <n v="236.10215588723051"/>
    <n v="100.38756218905472"/>
    <n v="0"/>
    <s v=""/>
    <x v="0"/>
  </r>
  <r>
    <x v="69"/>
    <m/>
    <x v="69"/>
    <d v="2021-04-30T00:00:00"/>
    <x v="0"/>
    <x v="0"/>
    <n v="24480"/>
    <x v="0"/>
    <x v="0"/>
    <n v="5402.33"/>
    <n v="1.26"/>
    <n v="0"/>
    <n v="0"/>
    <x v="6"/>
    <s v="100% POLYESTER YARN (DTY 100D/48F)"/>
    <n v="4855016"/>
    <x v="0"/>
    <n v="2064290"/>
    <x v="0"/>
    <n v="128473565"/>
    <d v="2023-04-30T00:00:00"/>
    <x v="0"/>
    <x v="0"/>
    <x v="0"/>
    <x v="0"/>
    <x v="0"/>
    <x v="0"/>
    <d v="2023-03-01T00:00:00"/>
    <x v="0"/>
    <x v="0"/>
    <x v="0"/>
    <x v="0"/>
    <x v="0"/>
    <x v="3"/>
    <n v="198.32581699346406"/>
    <n v="84.325571895424844"/>
    <n v="0"/>
    <s v=""/>
    <x v="0"/>
  </r>
  <r>
    <x v="70"/>
    <m/>
    <x v="70"/>
    <d v="2021-04-30T00:00:00"/>
    <x v="0"/>
    <x v="0"/>
    <n v="24320"/>
    <x v="0"/>
    <x v="0"/>
    <n v="5402.33"/>
    <n v="1.5"/>
    <n v="0"/>
    <n v="0"/>
    <x v="6"/>
    <s v="100% VIRGIN POLYESTER YARN (DTY 150D/48F)"/>
    <n v="5742004"/>
    <x v="0"/>
    <n v="2441424"/>
    <x v="0"/>
    <n v="128473575"/>
    <d v="2023-04-30T00:00:00"/>
    <x v="0"/>
    <x v="0"/>
    <x v="0"/>
    <x v="0"/>
    <x v="0"/>
    <x v="0"/>
    <d v="2023-03-01T00:00:00"/>
    <x v="0"/>
    <x v="0"/>
    <x v="0"/>
    <x v="0"/>
    <x v="0"/>
    <x v="3"/>
    <n v="236.10213815789473"/>
    <n v="100.3875"/>
    <n v="0"/>
    <s v=""/>
    <x v="0"/>
  </r>
  <r>
    <x v="71"/>
    <m/>
    <x v="71"/>
    <d v="2021-05-05T00:00:00"/>
    <x v="0"/>
    <x v="0"/>
    <n v="24320"/>
    <x v="0"/>
    <x v="0"/>
    <n v="5402.33"/>
    <n v="1.56"/>
    <n v="0"/>
    <n v="0"/>
    <x v="6"/>
    <s v="100% VIRGIN POLYESTER YARN (DTY 150D/48F)"/>
    <n v="5956204"/>
    <x v="0"/>
    <n v="2532500"/>
    <x v="0"/>
    <n v="128473576"/>
    <d v="2023-05-05T00:00:00"/>
    <x v="0"/>
    <x v="0"/>
    <x v="0"/>
    <x v="0"/>
    <x v="0"/>
    <x v="0"/>
    <d v="2023-03-06T00:00:00"/>
    <x v="0"/>
    <x v="0"/>
    <x v="0"/>
    <x v="0"/>
    <x v="0"/>
    <x v="3"/>
    <n v="244.90970394736843"/>
    <n v="104.13240131578948"/>
    <n v="0"/>
    <s v=""/>
    <x v="0"/>
  </r>
  <r>
    <x v="72"/>
    <m/>
    <x v="72"/>
    <d v="2021-05-05T00:00:00"/>
    <x v="0"/>
    <x v="0"/>
    <n v="24480"/>
    <x v="0"/>
    <x v="0"/>
    <n v="5402.33"/>
    <n v="1.26"/>
    <n v="0"/>
    <n v="0"/>
    <x v="6"/>
    <s v="100% POLYESTER YARN (DTY 100D/48F)"/>
    <n v="4842430"/>
    <x v="0"/>
    <n v="2058938"/>
    <x v="0"/>
    <n v="128473579"/>
    <d v="2023-05-05T00:00:00"/>
    <x v="0"/>
    <x v="0"/>
    <x v="0"/>
    <x v="0"/>
    <x v="0"/>
    <x v="0"/>
    <d v="2023-03-06T00:00:00"/>
    <x v="0"/>
    <x v="0"/>
    <x v="0"/>
    <x v="0"/>
    <x v="0"/>
    <x v="3"/>
    <n v="197.81168300653596"/>
    <n v="84.106944444444451"/>
    <n v="0"/>
    <s v=""/>
    <x v="0"/>
  </r>
  <r>
    <x v="73"/>
    <m/>
    <x v="73"/>
    <d v="2021-05-10T00:00:00"/>
    <x v="0"/>
    <x v="0"/>
    <n v="48300"/>
    <x v="0"/>
    <x v="0"/>
    <n v="5402.33"/>
    <n v="1.63"/>
    <n v="0"/>
    <n v="0"/>
    <x v="6"/>
    <s v="100% VIRGIN POLYESTER YARN (DTY 100D/48F) "/>
    <n v="12295683"/>
    <x v="0"/>
    <n v="5227964"/>
    <x v="0"/>
    <n v="128473600"/>
    <d v="2023-05-10T00:00:00"/>
    <x v="0"/>
    <x v="0"/>
    <x v="0"/>
    <x v="0"/>
    <x v="0"/>
    <x v="0"/>
    <d v="2023-03-11T00:00:00"/>
    <x v="0"/>
    <x v="0"/>
    <x v="0"/>
    <x v="0"/>
    <x v="0"/>
    <x v="3"/>
    <n v="254.56900621118012"/>
    <n v="108.23942028985508"/>
    <n v="0"/>
    <s v=""/>
    <x v="0"/>
  </r>
  <r>
    <x v="74"/>
    <m/>
    <x v="74"/>
    <d v="2021-05-11T00:00:00"/>
    <x v="0"/>
    <x v="0"/>
    <n v="24480"/>
    <x v="0"/>
    <x v="0"/>
    <n v="5402.33"/>
    <n v="1.26"/>
    <n v="0"/>
    <n v="0"/>
    <x v="6"/>
    <s v="100% POLYESTER YARN (DTY 100D/48F) "/>
    <n v="4817174.4000000004"/>
    <x v="0"/>
    <n v="2048241.6"/>
    <x v="0"/>
    <m/>
    <d v="2023-05-11T00:00:00"/>
    <x v="0"/>
    <x v="0"/>
    <x v="0"/>
    <x v="0"/>
    <x v="0"/>
    <x v="0"/>
    <d v="2023-03-12T00:00:00"/>
    <x v="0"/>
    <x v="0"/>
    <x v="0"/>
    <x v="0"/>
    <x v="0"/>
    <x v="3"/>
    <n v="196.78"/>
    <n v="83.67"/>
    <n v="0"/>
    <s v=""/>
    <x v="0"/>
  </r>
  <r>
    <x v="75"/>
    <m/>
    <x v="75"/>
    <d v="2021-05-17T00:00:00"/>
    <x v="0"/>
    <x v="0"/>
    <n v="96000"/>
    <x v="0"/>
    <x v="0"/>
    <n v="2847"/>
    <n v="0.46"/>
    <n v="0"/>
    <n v="0"/>
    <x v="12"/>
    <s v="HYDROGEN PER OXIDE 50%"/>
    <n v="6896790"/>
    <x v="0"/>
    <n v="2149640"/>
    <x v="0"/>
    <n v="128473596"/>
    <d v="2023-05-17T00:00:00"/>
    <x v="0"/>
    <x v="0"/>
    <x v="0"/>
    <x v="0"/>
    <x v="0"/>
    <x v="0"/>
    <d v="2023-03-18T00:00:00"/>
    <x v="0"/>
    <x v="0"/>
    <x v="0"/>
    <x v="0"/>
    <x v="0"/>
    <x v="5"/>
    <n v="71.841562499999995"/>
    <n v="22.392083333333332"/>
    <n v="0"/>
    <s v=""/>
    <x v="0"/>
  </r>
  <r>
    <x v="76"/>
    <m/>
    <x v="76"/>
    <d v="2021-05-20T00:00:00"/>
    <x v="0"/>
    <x v="0"/>
    <n v="24120"/>
    <x v="0"/>
    <x v="0"/>
    <n v="5402.33"/>
    <n v="1.5"/>
    <n v="0"/>
    <n v="0"/>
    <x v="6"/>
    <s v="100% VIRGIN POLYESTER YARN (DTY 150D/48F"/>
    <n v="5659758"/>
    <x v="0"/>
    <n v="2406452.4"/>
    <x v="0"/>
    <m/>
    <d v="2023-05-20T00:00:00"/>
    <x v="0"/>
    <x v="0"/>
    <x v="0"/>
    <x v="0"/>
    <x v="0"/>
    <x v="0"/>
    <d v="2023-03-21T00:00:00"/>
    <x v="0"/>
    <x v="0"/>
    <x v="0"/>
    <x v="0"/>
    <x v="0"/>
    <x v="3"/>
    <n v="234.65"/>
    <n v="99.77"/>
    <n v="0"/>
    <s v=""/>
    <x v="0"/>
  </r>
  <r>
    <x v="77"/>
    <m/>
    <x v="77"/>
    <d v="2021-05-21T00:00:00"/>
    <x v="0"/>
    <x v="0"/>
    <n v="857"/>
    <x v="0"/>
    <x v="0"/>
    <n v="5407.52"/>
    <n v="8.4700000000000006"/>
    <n v="0"/>
    <n v="0"/>
    <x v="11"/>
    <s v="100% POLYESTER 190T TAFFETA FABRIC W/R + PU COATING, "/>
    <n v="1138673"/>
    <x v="0"/>
    <n v="422188"/>
    <x v="0"/>
    <n v="128473618"/>
    <d v="2023-05-21T00:00:00"/>
    <x v="0"/>
    <x v="0"/>
    <x v="0"/>
    <x v="0"/>
    <x v="0"/>
    <x v="0"/>
    <d v="2023-03-22T00:00:00"/>
    <x v="0"/>
    <x v="0"/>
    <x v="0"/>
    <x v="0"/>
    <x v="0"/>
    <x v="2"/>
    <n v="1328.6732788798133"/>
    <n v="492.63477246207702"/>
    <n v="0"/>
    <s v=""/>
    <x v="0"/>
  </r>
  <r>
    <x v="78"/>
    <m/>
    <x v="78"/>
    <d v="2021-05-24T00:00:00"/>
    <x v="0"/>
    <x v="0"/>
    <n v="11000"/>
    <x v="0"/>
    <x v="0"/>
    <n v="5407.52"/>
    <n v="5.38"/>
    <n v="0"/>
    <n v="0"/>
    <x v="11"/>
    <s v=" 100% POLYESTER MICROFIBER FABRIC 90,82GSM"/>
    <n v="9296997"/>
    <x v="0"/>
    <n v="3447067"/>
    <x v="0"/>
    <n v="128473607"/>
    <d v="2023-05-24T00:00:00"/>
    <x v="0"/>
    <x v="0"/>
    <x v="0"/>
    <x v="0"/>
    <x v="0"/>
    <x v="0"/>
    <d v="2023-03-25T00:00:00"/>
    <x v="0"/>
    <x v="0"/>
    <x v="0"/>
    <x v="0"/>
    <x v="0"/>
    <x v="2"/>
    <n v="845.18154545454547"/>
    <n v="313.36972727272729"/>
    <n v="0"/>
    <s v=""/>
    <x v="0"/>
  </r>
  <r>
    <x v="79"/>
    <m/>
    <x v="79"/>
    <d v="2021-05-24T00:00:00"/>
    <x v="1"/>
    <x v="0"/>
    <n v="36778.980000000003"/>
    <x v="0"/>
    <x v="0"/>
    <n v="4810.29"/>
    <n v="0.92"/>
    <n v="0"/>
    <n v="0"/>
    <x v="9"/>
    <s v="2/S COATED ART BOARD "/>
    <n v="5313857"/>
    <x v="0"/>
    <n v="2296011"/>
    <x v="0"/>
    <n v="128473620"/>
    <d v="2023-05-24T00:00:00"/>
    <x v="0"/>
    <x v="0"/>
    <x v="0"/>
    <x v="0"/>
    <x v="0"/>
    <x v="0"/>
    <d v="2023-03-25T00:00:00"/>
    <x v="0"/>
    <x v="0"/>
    <x v="0"/>
    <x v="0"/>
    <x v="0"/>
    <x v="6"/>
    <n v="144.48081485674697"/>
    <n v="62.427261441181884"/>
    <n v="0"/>
    <s v=""/>
    <x v="0"/>
  </r>
  <r>
    <x v="80"/>
    <m/>
    <x v="80"/>
    <d v="2021-05-25T00:00:00"/>
    <x v="1"/>
    <x v="0"/>
    <n v="3766"/>
    <x v="0"/>
    <x v="0"/>
    <n v="5807.1019999999999"/>
    <n v="3.58"/>
    <n v="0"/>
    <n v="0"/>
    <x v="9"/>
    <s v="RIBBONS WD206, WOVEN EDGE "/>
    <n v="2117102"/>
    <x v="0"/>
    <n v="885033"/>
    <x v="0"/>
    <n v="128473624"/>
    <d v="2023-05-25T00:00:00"/>
    <x v="0"/>
    <x v="0"/>
    <x v="0"/>
    <x v="0"/>
    <x v="0"/>
    <x v="0"/>
    <d v="2023-03-26T00:00:00"/>
    <x v="0"/>
    <x v="0"/>
    <x v="0"/>
    <x v="0"/>
    <x v="0"/>
    <x v="6"/>
    <n v="562.16197557089754"/>
    <n v="235.006107275624"/>
    <n v="0"/>
    <s v=""/>
    <x v="0"/>
  </r>
  <r>
    <x v="81"/>
    <m/>
    <x v="81"/>
    <d v="2021-05-25T00:00:00"/>
    <x v="0"/>
    <x v="0"/>
    <n v="48440"/>
    <x v="0"/>
    <x v="0"/>
    <n v="5402.33"/>
    <n v="1.5"/>
    <n v="0"/>
    <n v="0"/>
    <x v="6"/>
    <s v="100% VIRGIN POLYESTER YARN (DTY 150D/48F"/>
    <n v="11407135.6"/>
    <x v="0"/>
    <n v="4850297.2"/>
    <x v="0"/>
    <m/>
    <d v="2023-05-25T00:00:00"/>
    <x v="0"/>
    <x v="0"/>
    <x v="0"/>
    <x v="0"/>
    <x v="0"/>
    <x v="0"/>
    <d v="2023-03-26T00:00:00"/>
    <x v="0"/>
    <x v="0"/>
    <x v="0"/>
    <x v="0"/>
    <x v="0"/>
    <x v="3"/>
    <n v="235.48999999999998"/>
    <n v="100.13000000000001"/>
    <n v="0"/>
    <s v=""/>
    <x v="0"/>
  </r>
  <r>
    <x v="82"/>
    <m/>
    <x v="82"/>
    <d v="2021-05-31T00:00:00"/>
    <x v="0"/>
    <x v="0"/>
    <n v="21536"/>
    <x v="0"/>
    <x v="0"/>
    <n v="5402.33"/>
    <n v="1.47"/>
    <n v="0"/>
    <n v="0"/>
    <x v="6"/>
    <s v="100% VIRGIN POLYESTER YARN (DTY 150D/48F"/>
    <n v="5016811.2"/>
    <x v="0"/>
    <n v="2133140.7999999998"/>
    <x v="0"/>
    <m/>
    <d v="2023-05-31T00:00:00"/>
    <x v="0"/>
    <x v="0"/>
    <x v="0"/>
    <x v="0"/>
    <x v="0"/>
    <x v="0"/>
    <d v="2023-04-01T00:00:00"/>
    <x v="0"/>
    <x v="0"/>
    <x v="0"/>
    <x v="0"/>
    <x v="0"/>
    <x v="3"/>
    <n v="232.95000000000002"/>
    <n v="99.05"/>
    <n v="0"/>
    <s v=""/>
    <x v="0"/>
  </r>
  <r>
    <x v="83"/>
    <m/>
    <x v="83"/>
    <d v="2021-06-09T00:00:00"/>
    <x v="0"/>
    <x v="0"/>
    <n v="115.2"/>
    <x v="0"/>
    <x v="0"/>
    <n v="5402.33"/>
    <n v="33.28"/>
    <n v="0"/>
    <n v="0"/>
    <x v="15"/>
    <s v="POLYESTER ELASTOLEFIN YARN"/>
    <n v="609367.67999999993"/>
    <x v="0"/>
    <n v="189932.54399999999"/>
    <x v="0"/>
    <m/>
    <d v="2023-06-09T00:00:00"/>
    <x v="0"/>
    <x v="0"/>
    <x v="0"/>
    <x v="0"/>
    <x v="0"/>
    <x v="0"/>
    <d v="2023-04-10T00:00:00"/>
    <x v="0"/>
    <x v="1"/>
    <x v="0"/>
    <x v="0"/>
    <x v="0"/>
    <x v="3"/>
    <n v="5289.65"/>
    <n v="1648.7199999999998"/>
    <n v="0"/>
    <s v=""/>
    <x v="0"/>
  </r>
  <r>
    <x v="84"/>
    <m/>
    <x v="84"/>
    <d v="2021-06-10T00:00:00"/>
    <x v="0"/>
    <x v="0"/>
    <n v="97950"/>
    <x v="0"/>
    <x v="0"/>
    <n v="1108.19"/>
    <n v="0.42499999999999999"/>
    <n v="0"/>
    <n v="0"/>
    <x v="12"/>
    <s v="EMSIZE E30 (STARCH) "/>
    <n v="8082376"/>
    <x v="0"/>
    <n v="3106413"/>
    <x v="0"/>
    <n v="128473625"/>
    <d v="2023-06-10T00:00:00"/>
    <x v="0"/>
    <x v="0"/>
    <x v="0"/>
    <x v="0"/>
    <x v="0"/>
    <x v="0"/>
    <d v="2023-04-11T00:00:00"/>
    <x v="0"/>
    <x v="0"/>
    <x v="0"/>
    <x v="0"/>
    <x v="0"/>
    <x v="5"/>
    <n v="82.515324144971927"/>
    <n v="31.714272588055131"/>
    <n v="0"/>
    <s v=""/>
    <x v="0"/>
  </r>
  <r>
    <x v="85"/>
    <m/>
    <x v="85"/>
    <d v="2021-06-12T00:00:00"/>
    <x v="0"/>
    <x v="0"/>
    <n v="46710"/>
    <x v="0"/>
    <x v="0"/>
    <n v="5402.33"/>
    <s v="1.56 / 1.63"/>
    <n v="0"/>
    <n v="0"/>
    <x v="6"/>
    <s v="100% VIRGIN POLYESTER YARN"/>
    <n v="11885826.6"/>
    <x v="0"/>
    <n v="5053554.8999999994"/>
    <x v="0"/>
    <m/>
    <d v="2023-06-12T00:00:00"/>
    <x v="0"/>
    <x v="0"/>
    <x v="0"/>
    <x v="0"/>
    <x v="0"/>
    <x v="0"/>
    <d v="2023-04-13T00:00:00"/>
    <x v="0"/>
    <x v="1"/>
    <x v="0"/>
    <x v="0"/>
    <x v="0"/>
    <x v="3"/>
    <n v="254.45999999999998"/>
    <n v="108.18999999999998"/>
    <n v="0"/>
    <s v=""/>
    <x v="0"/>
  </r>
  <r>
    <x v="86"/>
    <m/>
    <x v="86"/>
    <d v="2021-06-12T00:00:00"/>
    <x v="0"/>
    <x v="0"/>
    <n v="23220"/>
    <x v="0"/>
    <x v="0"/>
    <n v="5402.33"/>
    <n v="1.5"/>
    <n v="0"/>
    <n v="0"/>
    <x v="6"/>
    <s v="100% VIRGIN POLYESTER YARN"/>
    <n v="5557010.3999999994"/>
    <x v="0"/>
    <n v="2362635"/>
    <x v="0"/>
    <m/>
    <d v="2023-06-12T00:00:00"/>
    <x v="0"/>
    <x v="0"/>
    <x v="0"/>
    <x v="0"/>
    <x v="0"/>
    <x v="0"/>
    <d v="2023-04-13T00:00:00"/>
    <x v="0"/>
    <x v="1"/>
    <x v="0"/>
    <x v="0"/>
    <x v="0"/>
    <x v="3"/>
    <n v="239.31999999999996"/>
    <n v="101.75"/>
    <n v="0"/>
    <s v=""/>
    <x v="0"/>
  </r>
  <r>
    <x v="87"/>
    <m/>
    <x v="87"/>
    <d v="2021-06-12T00:00:00"/>
    <x v="0"/>
    <x v="0"/>
    <n v="23100"/>
    <x v="0"/>
    <x v="0"/>
    <n v="5402.33"/>
    <n v="1.47"/>
    <n v="0"/>
    <n v="0"/>
    <x v="6"/>
    <s v="100% POLYESTER TEXTURED YARN"/>
    <n v="5417643"/>
    <x v="0"/>
    <n v="2069991"/>
    <x v="0"/>
    <m/>
    <d v="2023-06-12T00:00:00"/>
    <x v="0"/>
    <x v="0"/>
    <x v="0"/>
    <x v="0"/>
    <x v="0"/>
    <x v="0"/>
    <d v="2023-04-13T00:00:00"/>
    <x v="0"/>
    <x v="1"/>
    <x v="0"/>
    <x v="0"/>
    <x v="0"/>
    <x v="3"/>
    <n v="234.53"/>
    <n v="89.61"/>
    <n v="0"/>
    <s v=""/>
    <x v="0"/>
  </r>
  <r>
    <x v="88"/>
    <m/>
    <x v="88"/>
    <d v="2021-06-12T00:00:00"/>
    <x v="0"/>
    <x v="0"/>
    <n v="23100"/>
    <x v="0"/>
    <x v="0"/>
    <n v="5402.33"/>
    <n v="1.47"/>
    <n v="0"/>
    <n v="0"/>
    <x v="6"/>
    <s v="100% POLYESTER TEXTURED YARN"/>
    <n v="5417643"/>
    <x v="0"/>
    <n v="2069991"/>
    <x v="0"/>
    <m/>
    <d v="2023-06-12T00:00:00"/>
    <x v="0"/>
    <x v="0"/>
    <x v="0"/>
    <x v="0"/>
    <x v="0"/>
    <x v="0"/>
    <d v="2023-04-13T00:00:00"/>
    <x v="0"/>
    <x v="0"/>
    <x v="0"/>
    <x v="0"/>
    <x v="0"/>
    <x v="3"/>
    <n v="234.53"/>
    <n v="89.61"/>
    <n v="0"/>
    <s v=""/>
    <x v="0"/>
  </r>
  <r>
    <x v="89"/>
    <m/>
    <x v="89"/>
    <d v="2021-06-15T00:00:00"/>
    <x v="0"/>
    <x v="0"/>
    <n v="600"/>
    <x v="0"/>
    <x v="0"/>
    <n v="3402.1190000000001"/>
    <s v="2.32440_x000a_3.7199"/>
    <n v="0"/>
    <n v="0"/>
    <x v="12"/>
    <s v="PRECURSOR TANASPERSE OLG-N (THIS USE IN"/>
    <n v="301819"/>
    <x v="0"/>
    <n v="145243"/>
    <x v="0"/>
    <n v="128473662"/>
    <d v="2023-06-15T00:00:00"/>
    <x v="0"/>
    <x v="0"/>
    <x v="0"/>
    <x v="0"/>
    <x v="0"/>
    <x v="0"/>
    <d v="2023-04-16T00:00:00"/>
    <x v="0"/>
    <x v="0"/>
    <x v="0"/>
    <x v="0"/>
    <x v="0"/>
    <x v="5"/>
    <n v="503.03166666666669"/>
    <n v="242.07166666666666"/>
    <n v="0"/>
    <s v=""/>
    <x v="0"/>
  </r>
  <r>
    <x v="90"/>
    <m/>
    <x v="90"/>
    <d v="2021-07-03T00:00:00"/>
    <x v="0"/>
    <x v="0"/>
    <n v="71668.800000000003"/>
    <x v="0"/>
    <x v="0"/>
    <n v="5205.24"/>
    <n v="4.45"/>
    <n v="0"/>
    <n v="0"/>
    <x v="10"/>
    <s v="40/1 Cotton Yarn"/>
    <n v="51435713"/>
    <x v="0"/>
    <n v="12384949"/>
    <x v="0"/>
    <n v="128478981"/>
    <d v="2023-07-03T00:00:00"/>
    <x v="0"/>
    <x v="0"/>
    <x v="0"/>
    <x v="0"/>
    <x v="0"/>
    <x v="0"/>
    <d v="2023-05-04T00:00:00"/>
    <x v="0"/>
    <x v="0"/>
    <x v="0"/>
    <x v="0"/>
    <x v="0"/>
    <x v="3"/>
    <n v="717.68625957180802"/>
    <n v="172.80809780546068"/>
    <n v="0"/>
    <s v=""/>
    <x v="0"/>
  </r>
  <r>
    <x v="91"/>
    <m/>
    <x v="91"/>
    <d v="2021-07-03T00:00:00"/>
    <x v="0"/>
    <x v="0"/>
    <n v="89586"/>
    <x v="0"/>
    <x v="0"/>
    <n v="5205.24"/>
    <n v="4.45"/>
    <n v="0"/>
    <n v="0"/>
    <x v="10"/>
    <s v="40/1 Cotton Yarn"/>
    <n v="64294641"/>
    <x v="0"/>
    <n v="15481185"/>
    <x v="0"/>
    <n v="128478982"/>
    <d v="2023-07-03T00:00:00"/>
    <x v="0"/>
    <x v="0"/>
    <x v="0"/>
    <x v="0"/>
    <x v="0"/>
    <x v="0"/>
    <d v="2023-05-04T00:00:00"/>
    <x v="0"/>
    <x v="0"/>
    <x v="0"/>
    <x v="0"/>
    <x v="0"/>
    <x v="3"/>
    <n v="717.68625678119349"/>
    <n v="172.80808385238765"/>
    <n v="0"/>
    <s v=""/>
    <x v="0"/>
  </r>
  <r>
    <x v="92"/>
    <m/>
    <x v="92"/>
    <d v="2021-07-03T00:00:00"/>
    <x v="0"/>
    <x v="0"/>
    <n v="18144"/>
    <x v="0"/>
    <x v="0"/>
    <n v="5205.2700000000004"/>
    <n v="5.7"/>
    <n v="0"/>
    <n v="0"/>
    <x v="10"/>
    <s v="60/1 Cotton Yarn"/>
    <n v="16679480"/>
    <x v="0"/>
    <n v="4016168"/>
    <x v="0"/>
    <n v="128478980"/>
    <d v="2023-07-03T00:00:00"/>
    <x v="0"/>
    <x v="0"/>
    <x v="0"/>
    <x v="0"/>
    <x v="0"/>
    <x v="0"/>
    <d v="2023-05-04T00:00:00"/>
    <x v="0"/>
    <x v="0"/>
    <x v="0"/>
    <x v="0"/>
    <x v="0"/>
    <x v="3"/>
    <n v="919.28350970017641"/>
    <n v="221.34964726631392"/>
    <n v="0"/>
    <s v=""/>
    <x v="0"/>
  </r>
  <r>
    <x v="93"/>
    <m/>
    <x v="93"/>
    <d v="2021-07-03T00:00:00"/>
    <x v="0"/>
    <x v="0"/>
    <n v="18144"/>
    <x v="0"/>
    <x v="0"/>
    <n v="5205.2700000000004"/>
    <n v="5.7"/>
    <n v="0"/>
    <n v="0"/>
    <x v="10"/>
    <s v="60/1 Cotton Yarn"/>
    <n v="16679416.32"/>
    <x v="0"/>
    <n v="4016174.4"/>
    <x v="0"/>
    <m/>
    <d v="2023-07-03T00:00:00"/>
    <x v="0"/>
    <x v="0"/>
    <x v="0"/>
    <x v="0"/>
    <x v="0"/>
    <x v="0"/>
    <d v="2023-05-04T00:00:00"/>
    <x v="0"/>
    <x v="0"/>
    <x v="0"/>
    <x v="0"/>
    <x v="0"/>
    <x v="3"/>
    <n v="919.28"/>
    <n v="221.35"/>
    <n v="0"/>
    <s v=""/>
    <x v="0"/>
  </r>
  <r>
    <x v="94"/>
    <m/>
    <x v="94"/>
    <d v="2021-07-06T00:00:00"/>
    <x v="0"/>
    <x v="0"/>
    <n v="11050"/>
    <x v="0"/>
    <x v="0"/>
    <n v="5407.52"/>
    <n v="5.38"/>
    <n v="0"/>
    <n v="0"/>
    <x v="11"/>
    <s v="100% POLY MICROFIBER FABRIC "/>
    <n v="9595652"/>
    <x v="0"/>
    <n v="3557799"/>
    <x v="0"/>
    <n v="128478973"/>
    <d v="2023-07-06T00:00:00"/>
    <x v="0"/>
    <x v="0"/>
    <x v="0"/>
    <x v="0"/>
    <x v="0"/>
    <x v="0"/>
    <d v="2023-05-07T00:00:00"/>
    <x v="0"/>
    <x v="0"/>
    <x v="0"/>
    <x v="0"/>
    <x v="0"/>
    <x v="2"/>
    <n v="868.38479638009051"/>
    <n v="321.97276018099546"/>
    <n v="0"/>
    <s v=""/>
    <x v="0"/>
  </r>
  <r>
    <x v="95"/>
    <m/>
    <x v="95"/>
    <d v="2021-07-07T00:00:00"/>
    <x v="0"/>
    <x v="0"/>
    <n v="18144"/>
    <x v="0"/>
    <x v="0"/>
    <n v="5205.2700000000004"/>
    <n v="5.7"/>
    <n v="0"/>
    <n v="0"/>
    <x v="10"/>
    <s v="60/1 Cotton Yarn"/>
    <n v="16732230"/>
    <x v="0"/>
    <n v="4028870"/>
    <x v="0"/>
    <n v="128478996"/>
    <d v="2023-07-07T00:00:00"/>
    <x v="0"/>
    <x v="0"/>
    <x v="0"/>
    <x v="0"/>
    <x v="0"/>
    <x v="0"/>
    <d v="2023-05-08T00:00:00"/>
    <x v="0"/>
    <x v="0"/>
    <x v="0"/>
    <x v="0"/>
    <x v="0"/>
    <x v="3"/>
    <n v="922.19080687830683"/>
    <n v="222.04971340388008"/>
    <n v="0"/>
    <s v=""/>
    <x v="0"/>
  </r>
  <r>
    <x v="96"/>
    <m/>
    <x v="96"/>
    <d v="2021-07-07T00:00:00"/>
    <x v="0"/>
    <x v="0"/>
    <n v="18144"/>
    <x v="0"/>
    <x v="0"/>
    <n v="5205.2700000000004"/>
    <n v="5.7"/>
    <n v="0"/>
    <n v="0"/>
    <x v="10"/>
    <s v="60/1 Cotton Yarn"/>
    <n v="16732230"/>
    <x v="0"/>
    <n v="4028870"/>
    <x v="0"/>
    <n v="128478992"/>
    <d v="2023-07-07T00:00:00"/>
    <x v="0"/>
    <x v="0"/>
    <x v="0"/>
    <x v="0"/>
    <x v="0"/>
    <x v="0"/>
    <d v="2023-05-08T00:00:00"/>
    <x v="0"/>
    <x v="0"/>
    <x v="0"/>
    <x v="0"/>
    <x v="0"/>
    <x v="3"/>
    <n v="922.19080687830683"/>
    <n v="222.04971340388008"/>
    <n v="0"/>
    <s v=""/>
    <x v="0"/>
  </r>
  <r>
    <x v="97"/>
    <m/>
    <x v="97"/>
    <d v="2021-07-08T00:00:00"/>
    <x v="0"/>
    <x v="0"/>
    <n v="17998"/>
    <x v="0"/>
    <x v="0"/>
    <n v="5401.2089999999998"/>
    <s v="4.06 _x000a_7.37"/>
    <n v="0"/>
    <n v="0"/>
    <x v="6"/>
    <s v="100% SPUN POLYESTER SEWING THREAD "/>
    <n v="14059096"/>
    <x v="0"/>
    <n v="2554538"/>
    <x v="0"/>
    <n v="128478995"/>
    <d v="2023-07-08T00:00:00"/>
    <x v="0"/>
    <x v="0"/>
    <x v="0"/>
    <x v="0"/>
    <x v="0"/>
    <x v="0"/>
    <d v="2023-05-09T00:00:00"/>
    <x v="0"/>
    <x v="0"/>
    <x v="0"/>
    <x v="0"/>
    <x v="0"/>
    <x v="3"/>
    <n v="781.14768307589736"/>
    <n v="141.93454828314256"/>
    <n v="0"/>
    <s v=""/>
    <x v="0"/>
  </r>
  <r>
    <x v="98"/>
    <m/>
    <x v="98"/>
    <d v="2021-07-08T00:00:00"/>
    <x v="0"/>
    <x v="0"/>
    <n v="3295"/>
    <x v="0"/>
    <x v="0"/>
    <n v="5401.2089999999998"/>
    <n v="7.49"/>
    <n v="0"/>
    <n v="0"/>
    <x v="6"/>
    <s v="100% SPUN POLYESTER SEWING  THREAD "/>
    <n v="3998718"/>
    <x v="0"/>
    <n v="726567"/>
    <x v="0"/>
    <n v="128478994"/>
    <d v="2023-07-08T00:00:00"/>
    <x v="0"/>
    <x v="0"/>
    <x v="0"/>
    <x v="0"/>
    <x v="0"/>
    <x v="0"/>
    <d v="2023-05-09T00:00:00"/>
    <x v="0"/>
    <x v="0"/>
    <x v="0"/>
    <x v="0"/>
    <x v="0"/>
    <x v="3"/>
    <n v="1213.5714719271623"/>
    <n v="220.50591805766314"/>
    <n v="0"/>
    <s v=""/>
    <x v="0"/>
  </r>
  <r>
    <x v="99"/>
    <m/>
    <x v="99"/>
    <d v="2021-07-14T00:00:00"/>
    <x v="0"/>
    <x v="0"/>
    <n v="36288"/>
    <x v="0"/>
    <x v="0"/>
    <n v="5205.24"/>
    <n v="4.5"/>
    <n v="0"/>
    <n v="0"/>
    <x v="10"/>
    <s v="40/1 Cotton Yarn"/>
    <n v="26627533"/>
    <x v="0"/>
    <n v="6411511"/>
    <x v="0"/>
    <n v="128479002"/>
    <d v="2023-07-14T00:00:00"/>
    <x v="0"/>
    <x v="0"/>
    <x v="0"/>
    <x v="0"/>
    <x v="0"/>
    <x v="0"/>
    <d v="2023-05-15T00:00:00"/>
    <x v="0"/>
    <x v="0"/>
    <x v="0"/>
    <x v="0"/>
    <x v="0"/>
    <x v="3"/>
    <n v="733.78342702821874"/>
    <n v="176.68405533509701"/>
    <n v="0"/>
    <s v=""/>
    <x v="0"/>
  </r>
  <r>
    <x v="100"/>
    <m/>
    <x v="100"/>
    <d v="2021-07-14T00:00:00"/>
    <x v="0"/>
    <x v="0"/>
    <n v="53751.6"/>
    <x v="0"/>
    <x v="0"/>
    <n v="5205.24"/>
    <n v="4.45"/>
    <n v="0"/>
    <n v="0"/>
    <x v="10"/>
    <s v="40/1 Cotton Yarn"/>
    <n v="39003789"/>
    <x v="0"/>
    <n v="9391527"/>
    <x v="0"/>
    <n v="128479004"/>
    <d v="2023-07-14T00:00:00"/>
    <x v="0"/>
    <x v="0"/>
    <x v="0"/>
    <x v="0"/>
    <x v="0"/>
    <x v="0"/>
    <d v="2023-05-15T00:00:00"/>
    <x v="0"/>
    <x v="0"/>
    <x v="0"/>
    <x v="0"/>
    <x v="0"/>
    <x v="3"/>
    <n v="725.6302882146764"/>
    <n v="174.72088272721186"/>
    <n v="0"/>
    <s v=""/>
    <x v="0"/>
  </r>
  <r>
    <x v="101"/>
    <m/>
    <x v="101"/>
    <d v="2021-07-14T00:00:00"/>
    <x v="0"/>
    <x v="0"/>
    <n v="36288"/>
    <x v="0"/>
    <x v="0"/>
    <n v="5205.24"/>
    <n v="4.5"/>
    <n v="0"/>
    <n v="0"/>
    <x v="10"/>
    <s v="40/1 Cotton Yarn"/>
    <n v="26627533"/>
    <x v="0"/>
    <n v="6411511"/>
    <x v="0"/>
    <n v="128479001"/>
    <d v="2023-07-14T00:00:00"/>
    <x v="0"/>
    <x v="0"/>
    <x v="0"/>
    <x v="0"/>
    <x v="0"/>
    <x v="0"/>
    <d v="2023-05-15T00:00:00"/>
    <x v="0"/>
    <x v="0"/>
    <x v="0"/>
    <x v="0"/>
    <x v="0"/>
    <x v="3"/>
    <n v="733.78342702821874"/>
    <n v="176.68405533509701"/>
    <n v="0"/>
    <s v=""/>
    <x v="0"/>
  </r>
  <r>
    <x v="102"/>
    <m/>
    <x v="102"/>
    <d v="2021-07-14T00:00:00"/>
    <x v="0"/>
    <x v="0"/>
    <n v="36288"/>
    <x v="0"/>
    <x v="0"/>
    <n v="5205.24"/>
    <n v="4.5"/>
    <n v="0"/>
    <n v="0"/>
    <x v="10"/>
    <s v="40/1 Cotton Yarn"/>
    <n v="26627533"/>
    <x v="0"/>
    <n v="6411511"/>
    <x v="0"/>
    <n v="128479003"/>
    <d v="2023-07-14T00:00:00"/>
    <x v="0"/>
    <x v="0"/>
    <x v="0"/>
    <x v="0"/>
    <x v="0"/>
    <x v="0"/>
    <d v="2023-05-15T00:00:00"/>
    <x v="0"/>
    <x v="0"/>
    <x v="0"/>
    <x v="0"/>
    <x v="0"/>
    <x v="3"/>
    <n v="733.78342702821874"/>
    <n v="176.68405533509701"/>
    <n v="0"/>
    <s v=""/>
    <x v="0"/>
  </r>
  <r>
    <x v="103"/>
    <m/>
    <x v="103"/>
    <d v="2021-07-19T00:00:00"/>
    <x v="0"/>
    <x v="0"/>
    <n v="54432"/>
    <x v="0"/>
    <x v="0"/>
    <n v="5205.24"/>
    <n v="4.5"/>
    <n v="0"/>
    <n v="0"/>
    <x v="10"/>
    <s v="40/1 Cotton Yarn"/>
    <n v="39928806"/>
    <x v="0"/>
    <n v="9614257"/>
    <x v="0"/>
    <n v="128479018"/>
    <d v="2023-07-19T00:00:00"/>
    <x v="0"/>
    <x v="0"/>
    <x v="0"/>
    <x v="0"/>
    <x v="0"/>
    <x v="0"/>
    <d v="2023-05-20T00:00:00"/>
    <x v="0"/>
    <x v="0"/>
    <x v="0"/>
    <x v="0"/>
    <x v="0"/>
    <x v="3"/>
    <n v="733.55390211640213"/>
    <n v="176.62876616696062"/>
    <n v="0"/>
    <s v=""/>
    <x v="0"/>
  </r>
  <r>
    <x v="104"/>
    <m/>
    <x v="104"/>
    <d v="2021-07-19T00:00:00"/>
    <x v="0"/>
    <x v="0"/>
    <n v="18266.900000000001"/>
    <x v="0"/>
    <x v="0"/>
    <n v="5205.12"/>
    <n v="2.0499999999999998"/>
    <n v="0"/>
    <n v="0"/>
    <x v="10"/>
    <s v="22/1 Cotton Yarn"/>
    <n v="6104333"/>
    <x v="0"/>
    <n v="1469833"/>
    <x v="0"/>
    <n v="128478997"/>
    <d v="2023-07-19T00:00:00"/>
    <x v="0"/>
    <x v="0"/>
    <x v="0"/>
    <x v="0"/>
    <x v="0"/>
    <x v="0"/>
    <d v="2023-05-20T00:00:00"/>
    <x v="0"/>
    <x v="0"/>
    <x v="0"/>
    <x v="0"/>
    <x v="0"/>
    <x v="3"/>
    <n v="334.17454521566327"/>
    <n v="80.464282390553393"/>
    <n v="0"/>
    <s v=""/>
    <x v="0"/>
  </r>
  <r>
    <x v="105"/>
    <m/>
    <x v="105"/>
    <d v="2021-07-19T00:00:00"/>
    <x v="0"/>
    <x v="0"/>
    <n v="36288"/>
    <x v="0"/>
    <x v="0"/>
    <n v="5205.24"/>
    <n v="4.5"/>
    <n v="0"/>
    <n v="0"/>
    <x v="10"/>
    <s v="40/1 Cotton Yarn"/>
    <n v="26619204"/>
    <x v="0"/>
    <n v="6409505"/>
    <x v="0"/>
    <n v="128479017"/>
    <d v="2023-07-19T00:00:00"/>
    <x v="0"/>
    <x v="0"/>
    <x v="0"/>
    <x v="0"/>
    <x v="0"/>
    <x v="0"/>
    <d v="2023-05-20T00:00:00"/>
    <x v="0"/>
    <x v="0"/>
    <x v="0"/>
    <x v="0"/>
    <x v="0"/>
    <x v="3"/>
    <n v="733.55390211640213"/>
    <n v="176.6287753527337"/>
    <n v="0"/>
    <s v=""/>
    <x v="0"/>
  </r>
  <r>
    <x v="106"/>
    <m/>
    <x v="106"/>
    <d v="2021-07-26T00:00:00"/>
    <x v="0"/>
    <x v="0"/>
    <n v="18144"/>
    <x v="0"/>
    <x v="0"/>
    <n v="5205.2700000000004"/>
    <n v="5.7"/>
    <n v="0"/>
    <n v="0"/>
    <x v="10"/>
    <s v="60/1 Cotton Yarn"/>
    <n v="17085660.48"/>
    <x v="0"/>
    <n v="4113970.56"/>
    <x v="0"/>
    <m/>
    <d v="2023-07-26T00:00:00"/>
    <x v="0"/>
    <x v="0"/>
    <x v="0"/>
    <x v="0"/>
    <x v="0"/>
    <x v="0"/>
    <d v="2023-05-27T00:00:00"/>
    <x v="0"/>
    <x v="0"/>
    <x v="0"/>
    <x v="0"/>
    <x v="0"/>
    <x v="3"/>
    <n v="941.67000000000007"/>
    <n v="226.74"/>
    <n v="0"/>
    <s v=""/>
    <x v="0"/>
  </r>
  <r>
    <x v="107"/>
    <m/>
    <x v="107"/>
    <d v="2021-07-28T00:00:00"/>
    <x v="0"/>
    <x v="0"/>
    <n v="18144"/>
    <x v="0"/>
    <x v="0"/>
    <n v="5205.2700000000004"/>
    <n v="5.7"/>
    <n v="0"/>
    <n v="0"/>
    <x v="10"/>
    <s v="60/1 Cotton Yarn"/>
    <n v="16985505.599999998"/>
    <x v="0"/>
    <n v="4089839.04"/>
    <x v="0"/>
    <m/>
    <d v="2023-07-28T00:00:00"/>
    <x v="0"/>
    <x v="0"/>
    <x v="0"/>
    <x v="0"/>
    <x v="0"/>
    <x v="0"/>
    <d v="2023-05-29T00:00:00"/>
    <x v="0"/>
    <x v="0"/>
    <x v="0"/>
    <x v="0"/>
    <x v="0"/>
    <x v="3"/>
    <n v="936.14999999999986"/>
    <n v="225.41"/>
    <n v="0"/>
    <s v=""/>
    <x v="0"/>
  </r>
  <r>
    <x v="108"/>
    <m/>
    <x v="108"/>
    <d v="2021-07-28T00:00:00"/>
    <x v="0"/>
    <x v="0"/>
    <n v="51200"/>
    <x v="0"/>
    <x v="0"/>
    <n v="3402.13"/>
    <n v="1.9"/>
    <n v="0"/>
    <n v="0"/>
    <x v="12"/>
    <s v="TEXTILE CHEMICAL (SILICONE HT-40)"/>
    <n v="15976888"/>
    <x v="0"/>
    <n v="6678979"/>
    <x v="0"/>
    <n v="128479068"/>
    <d v="2023-07-28T00:00:00"/>
    <x v="0"/>
    <x v="0"/>
    <x v="0"/>
    <x v="0"/>
    <x v="0"/>
    <x v="0"/>
    <d v="2023-05-29T00:00:00"/>
    <x v="0"/>
    <x v="0"/>
    <x v="0"/>
    <x v="0"/>
    <x v="0"/>
    <x v="5"/>
    <n v="312.04859375000001"/>
    <n v="130.44880859374999"/>
    <n v="0"/>
    <s v=""/>
    <x v="0"/>
  </r>
  <r>
    <x v="109"/>
    <m/>
    <x v="109"/>
    <d v="2021-07-28T00:00:00"/>
    <x v="0"/>
    <x v="0"/>
    <n v="18144"/>
    <x v="0"/>
    <x v="0"/>
    <n v="5205.24"/>
    <n v="4.5"/>
    <n v="0"/>
    <n v="0"/>
    <x v="10"/>
    <s v="40/1 Cotton Yarn"/>
    <n v="13409549"/>
    <x v="0"/>
    <n v="3228817"/>
    <x v="0"/>
    <n v="128479030"/>
    <d v="2023-07-28T00:00:00"/>
    <x v="0"/>
    <x v="0"/>
    <x v="0"/>
    <x v="0"/>
    <x v="0"/>
    <x v="0"/>
    <d v="2023-05-29T00:00:00"/>
    <x v="0"/>
    <x v="0"/>
    <x v="0"/>
    <x v="0"/>
    <x v="0"/>
    <x v="3"/>
    <n v="739.06244488536151"/>
    <n v="177.95508156966491"/>
    <n v="0"/>
    <s v=""/>
    <x v="0"/>
  </r>
  <r>
    <x v="110"/>
    <m/>
    <x v="110"/>
    <d v="2021-07-29T00:00:00"/>
    <x v="0"/>
    <x v="0"/>
    <n v="7720"/>
    <x v="0"/>
    <x v="0"/>
    <n v="5407.52"/>
    <n v="5.5"/>
    <n v="0"/>
    <n v="0"/>
    <x v="11"/>
    <s v="100% POLY MICRO FIBER FABRIC"/>
    <n v="7009645"/>
    <x v="0"/>
    <n v="12689980"/>
    <x v="0"/>
    <n v="128479039"/>
    <d v="2023-07-29T00:00:00"/>
    <x v="0"/>
    <x v="0"/>
    <x v="0"/>
    <x v="0"/>
    <x v="0"/>
    <x v="0"/>
    <d v="2023-05-30T00:00:00"/>
    <x v="0"/>
    <x v="0"/>
    <x v="0"/>
    <x v="0"/>
    <x v="0"/>
    <x v="2"/>
    <n v="907.98510362694299"/>
    <n v="1643.779792746114"/>
    <n v="0"/>
    <s v=""/>
    <x v="0"/>
  </r>
  <r>
    <x v="111"/>
    <m/>
    <x v="111"/>
    <d v="2021-08-03T00:00:00"/>
    <x v="0"/>
    <x v="0"/>
    <n v="54432"/>
    <x v="0"/>
    <x v="0"/>
    <n v="5205.24"/>
    <n v="4.5999999999999996"/>
    <n v="0"/>
    <n v="0"/>
    <x v="10"/>
    <s v="40/1 Cotton Yarn"/>
    <n v="14936140.799999999"/>
    <x v="0"/>
    <n v="3596322.2399999998"/>
    <x v="0"/>
    <m/>
    <d v="2023-08-03T00:00:00"/>
    <x v="0"/>
    <x v="0"/>
    <x v="0"/>
    <x v="0"/>
    <x v="0"/>
    <x v="0"/>
    <d v="2023-06-04T00:00:00"/>
    <x v="0"/>
    <x v="1"/>
    <x v="0"/>
    <x v="0"/>
    <x v="0"/>
    <x v="3"/>
    <n v="274.39999999999998"/>
    <n v="66.069999999999993"/>
    <n v="0"/>
    <s v=""/>
    <x v="0"/>
  </r>
  <r>
    <x v="112"/>
    <m/>
    <x v="112"/>
    <d v="2021-08-06T00:00:00"/>
    <x v="0"/>
    <x v="0"/>
    <n v="54414.99"/>
    <x v="0"/>
    <x v="0"/>
    <n v="5205.24"/>
    <n v="4.5"/>
    <n v="0"/>
    <n v="0"/>
    <x v="10"/>
    <s v="40/1 Cotton Yarn"/>
    <n v="40965444"/>
    <x v="0"/>
    <n v="9863864"/>
    <x v="0"/>
    <n v="128479066"/>
    <d v="2023-08-06T00:00:00"/>
    <x v="0"/>
    <x v="0"/>
    <x v="0"/>
    <x v="0"/>
    <x v="0"/>
    <x v="0"/>
    <d v="2023-06-07T00:00:00"/>
    <x v="0"/>
    <x v="0"/>
    <x v="0"/>
    <x v="0"/>
    <x v="0"/>
    <x v="3"/>
    <n v="752.83380553777556"/>
    <n v="181.27107989912338"/>
    <n v="0"/>
    <s v=""/>
    <x v="0"/>
  </r>
  <r>
    <x v="113"/>
    <m/>
    <x v="113"/>
    <d v="2021-08-09T00:00:00"/>
    <x v="0"/>
    <x v="0"/>
    <n v="480"/>
    <x v="0"/>
    <x v="0"/>
    <n v="5402.33"/>
    <n v="11.8"/>
    <n v="0"/>
    <n v="0"/>
    <x v="13"/>
    <s v="POLYESTER FILAMENT YARN TSS DT 150D/72F"/>
    <n v="946123.2"/>
    <x v="0"/>
    <n v="402278.40000000002"/>
    <x v="0"/>
    <m/>
    <d v="2023-08-09T00:00:00"/>
    <x v="0"/>
    <x v="0"/>
    <x v="0"/>
    <x v="0"/>
    <x v="0"/>
    <x v="0"/>
    <d v="2023-06-10T00:00:00"/>
    <x v="0"/>
    <x v="1"/>
    <x v="0"/>
    <x v="0"/>
    <x v="0"/>
    <x v="3"/>
    <n v="1971.09"/>
    <n v="838.08"/>
    <n v="0"/>
    <s v=""/>
    <x v="0"/>
  </r>
  <r>
    <x v="114"/>
    <m/>
    <x v="114"/>
    <d v="2021-08-10T00:00:00"/>
    <x v="0"/>
    <x v="0"/>
    <n v="19950.8"/>
    <x v="0"/>
    <x v="0"/>
    <n v="5205.13"/>
    <n v="2.77"/>
    <n v="0"/>
    <n v="0"/>
    <x v="10"/>
    <s v="30/1 Cotton Yarn"/>
    <n v="9242602"/>
    <x v="0"/>
    <n v="2225479"/>
    <x v="0"/>
    <n v="128479063"/>
    <d v="2023-08-10T00:00:00"/>
    <x v="0"/>
    <x v="0"/>
    <x v="0"/>
    <x v="0"/>
    <x v="0"/>
    <x v="0"/>
    <d v="2023-06-11T00:00:00"/>
    <x v="0"/>
    <x v="0"/>
    <x v="0"/>
    <x v="0"/>
    <x v="0"/>
    <x v="3"/>
    <n v="463.26974356918021"/>
    <n v="111.54835896304911"/>
    <n v="0"/>
    <s v=""/>
    <x v="0"/>
  </r>
  <r>
    <x v="115"/>
    <m/>
    <x v="115"/>
    <d v="2021-08-16T00:00:00"/>
    <x v="0"/>
    <x v="0"/>
    <n v="16000"/>
    <x v="0"/>
    <x v="0"/>
    <n v="3906.9090000000001"/>
    <n v="2.15"/>
    <n v="0"/>
    <n v="0"/>
    <x v="12"/>
    <s v="TEXTILE CHEMICAL (NEOPAT BINDER PM/S 45%)"/>
    <n v="5770787"/>
    <x v="0"/>
    <n v="1798680"/>
    <x v="0"/>
    <n v="128479078"/>
    <d v="2023-08-16T00:00:00"/>
    <x v="0"/>
    <x v="0"/>
    <x v="0"/>
    <x v="0"/>
    <x v="0"/>
    <x v="0"/>
    <d v="2023-06-17T00:00:00"/>
    <x v="0"/>
    <x v="0"/>
    <x v="0"/>
    <x v="0"/>
    <x v="0"/>
    <x v="5"/>
    <n v="360.67418750000002"/>
    <n v="112.4175"/>
    <n v="0"/>
    <s v=""/>
    <x v="0"/>
  </r>
  <r>
    <x v="116"/>
    <m/>
    <x v="116"/>
    <d v="2021-08-16T00:00:00"/>
    <x v="0"/>
    <x v="0"/>
    <n v="36288"/>
    <x v="0"/>
    <x v="0"/>
    <n v="5205.24"/>
    <n v="4.5999999999999996"/>
    <n v="0"/>
    <n v="0"/>
    <x v="10"/>
    <s v="40/1 Cotton Yarn"/>
    <n v="28002544"/>
    <x v="0"/>
    <n v="6742592"/>
    <x v="0"/>
    <n v="128479084"/>
    <d v="2023-08-16T00:00:00"/>
    <x v="0"/>
    <x v="0"/>
    <x v="0"/>
    <x v="0"/>
    <x v="0"/>
    <x v="0"/>
    <d v="2023-06-17T00:00:00"/>
    <x v="0"/>
    <x v="0"/>
    <x v="0"/>
    <x v="0"/>
    <x v="0"/>
    <x v="3"/>
    <n v="771.67504409171079"/>
    <n v="185.80776014109347"/>
    <n v="0"/>
    <s v=""/>
    <x v="0"/>
  </r>
  <r>
    <x v="117"/>
    <m/>
    <x v="117"/>
    <d v="2021-08-17T00:00:00"/>
    <x v="0"/>
    <x v="0"/>
    <n v="1368"/>
    <x v="0"/>
    <x v="0"/>
    <n v="5210.1099999999997"/>
    <n v="17.07"/>
    <n v="0"/>
    <n v="0"/>
    <x v="2"/>
    <s v="73%  25%  2%    BLENDED FABRIC FOR READYMADE GARMENTS INDUSTRY, 73%CTN / 25%POLY / 2%SP , "/>
    <n v="3570288.48"/>
    <x v="0"/>
    <n v="1112813.28"/>
    <x v="0"/>
    <m/>
    <d v="2023-08-17T00:00:00"/>
    <x v="0"/>
    <x v="0"/>
    <x v="0"/>
    <x v="0"/>
    <x v="0"/>
    <x v="0"/>
    <d v="2023-06-18T00:00:00"/>
    <x v="0"/>
    <x v="1"/>
    <x v="0"/>
    <x v="0"/>
    <x v="0"/>
    <x v="2"/>
    <n v="2609.86"/>
    <n v="813.46"/>
    <n v="0"/>
    <s v=""/>
    <x v="0"/>
  </r>
  <r>
    <x v="118"/>
    <m/>
    <x v="118"/>
    <d v="2021-08-17T00:00:00"/>
    <x v="0"/>
    <x v="0"/>
    <n v="18144"/>
    <x v="0"/>
    <x v="0"/>
    <n v="5206.24"/>
    <m/>
    <n v="0"/>
    <n v="0"/>
    <x v="3"/>
    <s v="60:40 - YARN "/>
    <n v="15523149"/>
    <x v="0"/>
    <n v="3737741"/>
    <x v="0"/>
    <n v="128479082"/>
    <d v="2023-08-17T00:00:00"/>
    <x v="0"/>
    <x v="0"/>
    <x v="0"/>
    <x v="0"/>
    <x v="0"/>
    <x v="0"/>
    <d v="2023-06-18T00:00:00"/>
    <x v="0"/>
    <x v="0"/>
    <x v="0"/>
    <x v="0"/>
    <x v="0"/>
    <x v="3"/>
    <n v="855.55274470899474"/>
    <n v="206.00424382716051"/>
    <n v="0"/>
    <s v=""/>
    <x v="0"/>
  </r>
  <r>
    <x v="119"/>
    <m/>
    <x v="119"/>
    <d v="2021-08-17T00:00:00"/>
    <x v="0"/>
    <x v="0"/>
    <n v="6975.48"/>
    <x v="0"/>
    <x v="0"/>
    <n v="5402.33"/>
    <n v="5.13"/>
    <n v="0"/>
    <n v="0"/>
    <x v="6"/>
    <s v="100% POLYESTER TEXTURE SINGLE YARN CUPRON POLYESTER"/>
    <n v="6006167.2991999993"/>
    <x v="0"/>
    <n v="1872009.5676"/>
    <x v="0"/>
    <m/>
    <d v="2023-08-17T00:00:00"/>
    <x v="0"/>
    <x v="0"/>
    <x v="0"/>
    <x v="0"/>
    <x v="0"/>
    <x v="0"/>
    <d v="2023-06-18T00:00:00"/>
    <x v="0"/>
    <x v="1"/>
    <x v="0"/>
    <x v="0"/>
    <x v="0"/>
    <x v="3"/>
    <n v="861.04"/>
    <n v="268.37"/>
    <n v="0"/>
    <s v=""/>
    <x v="0"/>
  </r>
  <r>
    <x v="120"/>
    <m/>
    <x v="120"/>
    <d v="2021-08-17T00:00:00"/>
    <x v="0"/>
    <x v="0"/>
    <n v="97920"/>
    <x v="0"/>
    <x v="0"/>
    <n v="5402.33"/>
    <n v="1.4"/>
    <n v="0"/>
    <n v="0"/>
    <x v="6"/>
    <s v="100% POLYESTER YARN (DTY 300D/96F"/>
    <n v="22997491.200000003"/>
    <x v="0"/>
    <n v="8787340.7999999989"/>
    <x v="0"/>
    <m/>
    <d v="2023-08-17T00:00:00"/>
    <x v="0"/>
    <x v="0"/>
    <x v="0"/>
    <x v="0"/>
    <x v="0"/>
    <x v="0"/>
    <d v="2023-06-18T00:00:00"/>
    <x v="0"/>
    <x v="1"/>
    <x v="0"/>
    <x v="0"/>
    <x v="0"/>
    <x v="3"/>
    <n v="234.86000000000004"/>
    <n v="89.74"/>
    <n v="0"/>
    <s v=""/>
    <x v="0"/>
  </r>
  <r>
    <x v="121"/>
    <m/>
    <x v="121"/>
    <d v="2021-08-20T00:00:00"/>
    <x v="0"/>
    <x v="0"/>
    <n v="1714"/>
    <x v="0"/>
    <x v="0"/>
    <n v="5407.52"/>
    <n v="8.41"/>
    <n v="0"/>
    <n v="0"/>
    <x v="11"/>
    <s v="100% POLYESTER FABRIC 190T TAFFETA W/R + PU COATING WHITE COLOR, 70GSM, 57/58&quot; (16000/MTRS"/>
    <n v="2421050"/>
    <x v="0"/>
    <n v="897657"/>
    <x v="0"/>
    <n v="128479081"/>
    <d v="2023-08-20T00:00:00"/>
    <x v="0"/>
    <x v="0"/>
    <x v="0"/>
    <x v="0"/>
    <x v="0"/>
    <x v="0"/>
    <d v="2023-06-21T00:00:00"/>
    <x v="0"/>
    <x v="0"/>
    <x v="0"/>
    <x v="0"/>
    <x v="0"/>
    <x v="2"/>
    <n v="1412.514585764294"/>
    <n v="523.72053675612597"/>
    <n v="0"/>
    <s v=""/>
    <x v="0"/>
  </r>
  <r>
    <x v="122"/>
    <m/>
    <x v="122"/>
    <d v="2021-08-20T00:00:00"/>
    <x v="0"/>
    <x v="0"/>
    <n v="3671"/>
    <x v="0"/>
    <x v="0"/>
    <n v="5407.52"/>
    <n v="5.38"/>
    <n v="0"/>
    <n v="0"/>
    <x v="11"/>
    <s v="100% POLYESTER MICROFIBER FABRIC,"/>
    <n v="3316415"/>
    <x v="0"/>
    <n v="1229633"/>
    <x v="0"/>
    <n v="128479091"/>
    <d v="2023-08-20T00:00:00"/>
    <x v="0"/>
    <x v="0"/>
    <x v="0"/>
    <x v="0"/>
    <x v="0"/>
    <x v="0"/>
    <d v="2023-06-21T00:00:00"/>
    <x v="0"/>
    <x v="0"/>
    <x v="0"/>
    <x v="0"/>
    <x v="0"/>
    <x v="2"/>
    <n v="903.40915281939522"/>
    <n v="334.95859438845002"/>
    <n v="0"/>
    <s v=""/>
    <x v="0"/>
  </r>
  <r>
    <x v="123"/>
    <m/>
    <x v="123"/>
    <d v="2021-08-20T00:00:00"/>
    <x v="0"/>
    <x v="0"/>
    <n v="23100"/>
    <x v="0"/>
    <x v="0"/>
    <n v="5402.33"/>
    <n v="1.45"/>
    <n v="0"/>
    <n v="0"/>
    <x v="6"/>
    <s v="100% POLYESTER TEXTURED YARN (DTY 300D/96F"/>
    <n v="5608218"/>
    <x v="0"/>
    <n v="2142756"/>
    <x v="0"/>
    <m/>
    <d v="2023-08-20T00:00:00"/>
    <x v="0"/>
    <x v="0"/>
    <x v="0"/>
    <x v="0"/>
    <x v="0"/>
    <x v="0"/>
    <d v="2023-06-21T00:00:00"/>
    <x v="0"/>
    <x v="1"/>
    <x v="0"/>
    <x v="0"/>
    <x v="0"/>
    <x v="3"/>
    <n v="242.78"/>
    <n v="92.76"/>
    <n v="0"/>
    <s v=""/>
    <x v="0"/>
  </r>
  <r>
    <x v="124"/>
    <m/>
    <x v="124"/>
    <d v="2021-08-23T00:00:00"/>
    <x v="0"/>
    <x v="0"/>
    <n v="53519.72"/>
    <x v="0"/>
    <x v="0"/>
    <n v="5205.13"/>
    <n v="4.9000000000000004"/>
    <n v="0"/>
    <n v="0"/>
    <x v="10"/>
    <s v="30/1 Cotton Yarn"/>
    <n v="44046803"/>
    <x v="0"/>
    <n v="10605809"/>
    <x v="0"/>
    <n v="128479107"/>
    <d v="2023-08-23T00:00:00"/>
    <x v="0"/>
    <x v="0"/>
    <x v="0"/>
    <x v="0"/>
    <x v="0"/>
    <x v="0"/>
    <d v="2023-06-24T00:00:00"/>
    <x v="0"/>
    <x v="0"/>
    <x v="0"/>
    <x v="0"/>
    <x v="0"/>
    <x v="3"/>
    <n v="823.00137220448835"/>
    <n v="198.16637680466189"/>
    <n v="0"/>
    <s v=""/>
    <x v="0"/>
  </r>
  <r>
    <x v="125"/>
    <m/>
    <x v="125"/>
    <d v="2021-08-23T00:00:00"/>
    <x v="0"/>
    <x v="0"/>
    <n v="18144"/>
    <x v="0"/>
    <x v="0"/>
    <n v="5205.24"/>
    <n v="4.5999999999999996"/>
    <n v="0"/>
    <n v="0"/>
    <x v="10"/>
    <s v="40/1 Cotton Yarn"/>
    <n v="14018300"/>
    <x v="0"/>
    <n v="3375397"/>
    <x v="0"/>
    <n v="128479102"/>
    <d v="2023-08-23T00:00:00"/>
    <x v="0"/>
    <x v="0"/>
    <x v="0"/>
    <x v="0"/>
    <x v="0"/>
    <x v="0"/>
    <d v="2023-06-24T00:00:00"/>
    <x v="0"/>
    <x v="0"/>
    <x v="0"/>
    <x v="0"/>
    <x v="0"/>
    <x v="3"/>
    <n v="772.61353615520284"/>
    <n v="186.03378527336861"/>
    <n v="0"/>
    <s v=""/>
    <x v="0"/>
  </r>
  <r>
    <x v="126"/>
    <m/>
    <x v="126"/>
    <d v="2021-08-23T00:00:00"/>
    <x v="0"/>
    <x v="0"/>
    <n v="21741.7"/>
    <x v="0"/>
    <x v="0"/>
    <n v="5206.24"/>
    <n v="3.35"/>
    <n v="0"/>
    <n v="0"/>
    <x v="3"/>
    <s v="50:50 - 50% POLYESTER 50% COTTON BLENDED RING SPUN YARN COUNT NE 40/1"/>
    <n v="12233276"/>
    <x v="0"/>
    <n v="2945590"/>
    <x v="0"/>
    <n v="128479106"/>
    <d v="2023-08-23T00:00:00"/>
    <x v="0"/>
    <x v="0"/>
    <x v="0"/>
    <x v="0"/>
    <x v="0"/>
    <x v="0"/>
    <d v="2023-06-24T00:00:00"/>
    <x v="0"/>
    <x v="0"/>
    <x v="0"/>
    <x v="0"/>
    <x v="0"/>
    <x v="3"/>
    <n v="562.66418909284926"/>
    <n v="135.48112613089131"/>
    <n v="0"/>
    <s v=""/>
    <x v="0"/>
  </r>
  <r>
    <x v="127"/>
    <m/>
    <x v="127"/>
    <d v="2021-08-23T00:00:00"/>
    <x v="0"/>
    <x v="0"/>
    <n v="18144"/>
    <x v="0"/>
    <x v="0"/>
    <n v="5206.24"/>
    <n v="5.0999999999999996"/>
    <n v="0"/>
    <n v="0"/>
    <x v="3"/>
    <s v="60:40 - YARN "/>
    <n v="15542028"/>
    <x v="0"/>
    <n v="3742287"/>
    <x v="0"/>
    <n v="128479111"/>
    <d v="2023-08-23T00:00:00"/>
    <x v="0"/>
    <x v="0"/>
    <x v="0"/>
    <x v="0"/>
    <x v="0"/>
    <x v="0"/>
    <d v="2023-06-24T00:00:00"/>
    <x v="0"/>
    <x v="0"/>
    <x v="0"/>
    <x v="0"/>
    <x v="0"/>
    <x v="3"/>
    <n v="856.59325396825398"/>
    <n v="206.25479497354496"/>
    <n v="0"/>
    <s v=""/>
    <x v="0"/>
  </r>
  <r>
    <x v="128"/>
    <m/>
    <x v="128"/>
    <d v="2021-08-25T00:00:00"/>
    <x v="0"/>
    <x v="0"/>
    <n v="40148.699999999997"/>
    <x v="0"/>
    <x v="0"/>
    <n v="5205.13"/>
    <n v="2.77"/>
    <n v="0"/>
    <n v="0"/>
    <x v="10"/>
    <s v="30/1 Cotton Yarn"/>
    <n v="18713125"/>
    <x v="0"/>
    <n v="4505840"/>
    <x v="0"/>
    <n v="128479096"/>
    <d v="2023-08-25T00:00:00"/>
    <x v="0"/>
    <x v="0"/>
    <x v="0"/>
    <x v="0"/>
    <x v="0"/>
    <x v="0"/>
    <d v="2023-06-26T00:00:00"/>
    <x v="0"/>
    <x v="0"/>
    <x v="0"/>
    <x v="0"/>
    <x v="0"/>
    <x v="3"/>
    <n v="466.09541529364589"/>
    <n v="112.22878947512622"/>
    <n v="0"/>
    <s v=""/>
    <x v="0"/>
  </r>
  <r>
    <x v="129"/>
    <m/>
    <x v="129"/>
    <d v="2021-08-26T00:00:00"/>
    <x v="0"/>
    <x v="0"/>
    <n v="25200"/>
    <x v="0"/>
    <x v="0"/>
    <n v="5402.33"/>
    <n v="1.45"/>
    <n v="0"/>
    <n v="0"/>
    <x v="6"/>
    <s v="100% VIRGIN POLYESTER YARN (DTY 300D/96F"/>
    <n v="6176268"/>
    <x v="0"/>
    <n v="2626092"/>
    <x v="0"/>
    <m/>
    <d v="2023-08-26T00:00:00"/>
    <x v="0"/>
    <x v="0"/>
    <x v="0"/>
    <x v="0"/>
    <x v="0"/>
    <x v="0"/>
    <d v="2023-06-27T00:00:00"/>
    <x v="0"/>
    <x v="1"/>
    <x v="0"/>
    <x v="0"/>
    <x v="0"/>
    <x v="3"/>
    <n v="245.09"/>
    <n v="104.21"/>
    <n v="0"/>
    <s v=""/>
    <x v="0"/>
  </r>
  <r>
    <x v="130"/>
    <m/>
    <x v="130"/>
    <d v="2021-08-26T00:00:00"/>
    <x v="0"/>
    <x v="0"/>
    <n v="9160.59"/>
    <x v="0"/>
    <x v="0"/>
    <n v="5402.33"/>
    <n v="2.25"/>
    <n v="0"/>
    <n v="0"/>
    <x v="6"/>
    <s v="100% POLYESTER YARN (DTY 50/36 SD RW HIM AA 80 PCT + 20 PCT"/>
    <n v="3483955.5888"/>
    <x v="0"/>
    <n v="1481359.0089"/>
    <x v="0"/>
    <m/>
    <d v="2023-08-26T00:00:00"/>
    <x v="0"/>
    <x v="0"/>
    <x v="0"/>
    <x v="0"/>
    <x v="0"/>
    <x v="0"/>
    <d v="2023-06-27T00:00:00"/>
    <x v="0"/>
    <x v="1"/>
    <x v="0"/>
    <x v="0"/>
    <x v="0"/>
    <x v="3"/>
    <n v="380.32"/>
    <n v="161.71"/>
    <n v="0"/>
    <s v=""/>
    <x v="0"/>
  </r>
  <r>
    <x v="131"/>
    <m/>
    <x v="131"/>
    <d v="2021-08-30T00:00:00"/>
    <x v="0"/>
    <x v="0"/>
    <n v="98000"/>
    <x v="0"/>
    <x v="0"/>
    <n v="1108.19"/>
    <n v="0.43"/>
    <n v="0"/>
    <n v="0"/>
    <x v="12"/>
    <s v="EMSIZE E30"/>
    <n v="8321247"/>
    <x v="0"/>
    <n v="3198222"/>
    <x v="0"/>
    <n v="128479114"/>
    <d v="2023-08-30T00:00:00"/>
    <x v="0"/>
    <x v="0"/>
    <x v="0"/>
    <x v="0"/>
    <x v="0"/>
    <x v="0"/>
    <d v="2023-07-01T00:00:00"/>
    <x v="0"/>
    <x v="0"/>
    <x v="0"/>
    <x v="0"/>
    <x v="0"/>
    <x v="5"/>
    <n v="84.910683673469393"/>
    <n v="32.634918367346941"/>
    <n v="0"/>
    <s v=""/>
    <x v="0"/>
  </r>
  <r>
    <x v="132"/>
    <m/>
    <x v="132"/>
    <d v="2021-08-31T00:00:00"/>
    <x v="0"/>
    <x v="0"/>
    <n v="54432"/>
    <x v="0"/>
    <x v="0"/>
    <n v="5205.24"/>
    <n v="4.5999999999999996"/>
    <n v="0"/>
    <n v="0"/>
    <x v="10"/>
    <s v="40/1 Cotton Yarn"/>
    <n v="3390569.28"/>
    <x v="0"/>
    <n v="816480"/>
    <x v="0"/>
    <m/>
    <d v="2023-08-31T00:00:00"/>
    <x v="0"/>
    <x v="0"/>
    <x v="0"/>
    <x v="0"/>
    <x v="0"/>
    <x v="0"/>
    <d v="2023-07-02T00:00:00"/>
    <x v="0"/>
    <x v="0"/>
    <x v="0"/>
    <x v="0"/>
    <x v="0"/>
    <x v="3"/>
    <n v="62.29"/>
    <n v="15"/>
    <n v="0"/>
    <s v=""/>
    <x v="0"/>
  </r>
  <r>
    <x v="133"/>
    <m/>
    <x v="133"/>
    <d v="2021-08-31T00:00:00"/>
    <x v="0"/>
    <x v="0"/>
    <n v="40503"/>
    <x v="0"/>
    <x v="0"/>
    <n v="5205.13"/>
    <n v="3.22"/>
    <n v="0"/>
    <n v="0"/>
    <x v="10"/>
    <s v="30/1 Cotton Yarn"/>
    <n v="22098126"/>
    <x v="0"/>
    <n v="5320896"/>
    <x v="0"/>
    <n v="128479126"/>
    <d v="2023-08-31T00:00:00"/>
    <x v="0"/>
    <x v="0"/>
    <x v="0"/>
    <x v="0"/>
    <x v="0"/>
    <x v="0"/>
    <d v="2023-07-02T00:00:00"/>
    <x v="0"/>
    <x v="0"/>
    <x v="0"/>
    <x v="0"/>
    <x v="0"/>
    <x v="3"/>
    <n v="545.59232649433375"/>
    <n v="131.3704170061477"/>
    <n v="0"/>
    <s v=""/>
    <x v="0"/>
  </r>
  <r>
    <x v="134"/>
    <m/>
    <x v="134"/>
    <d v="2021-09-01T00:00:00"/>
    <x v="0"/>
    <x v="0"/>
    <n v="25200"/>
    <x v="0"/>
    <x v="0"/>
    <n v="5402.33"/>
    <n v="1.45"/>
    <n v="0"/>
    <n v="0"/>
    <x v="6"/>
    <s v="100% VIRGIN POLYESTER YARN (DTY 300D/96F"/>
    <n v="6204240"/>
    <x v="0"/>
    <n v="2637936"/>
    <x v="0"/>
    <m/>
    <d v="2023-09-01T00:00:00"/>
    <x v="0"/>
    <x v="0"/>
    <x v="0"/>
    <x v="0"/>
    <x v="0"/>
    <x v="0"/>
    <d v="2023-07-03T00:00:00"/>
    <x v="0"/>
    <x v="1"/>
    <x v="0"/>
    <x v="0"/>
    <x v="0"/>
    <x v="3"/>
    <n v="246.2"/>
    <n v="104.68"/>
    <n v="0"/>
    <s v=""/>
    <x v="0"/>
  </r>
  <r>
    <x v="135"/>
    <m/>
    <x v="135"/>
    <d v="2021-09-01T00:00:00"/>
    <x v="0"/>
    <x v="0"/>
    <n v="18144"/>
    <x v="0"/>
    <x v="0"/>
    <n v="5205.24"/>
    <n v="4.5999999999999996"/>
    <n v="0"/>
    <n v="0"/>
    <x v="10"/>
    <s v="40/1 Cotton Yarn"/>
    <n v="14171552"/>
    <x v="0"/>
    <n v="3412298"/>
    <x v="0"/>
    <n v="128479118"/>
    <d v="2023-09-01T00:00:00"/>
    <x v="0"/>
    <x v="0"/>
    <x v="0"/>
    <x v="0"/>
    <x v="0"/>
    <x v="0"/>
    <d v="2023-07-03T00:00:00"/>
    <x v="0"/>
    <x v="0"/>
    <x v="0"/>
    <x v="0"/>
    <x v="0"/>
    <x v="3"/>
    <n v="781.05996472663139"/>
    <n v="188.06757054673722"/>
    <n v="0"/>
    <s v=""/>
    <x v="0"/>
  </r>
  <r>
    <x v="136"/>
    <m/>
    <x v="136"/>
    <d v="2021-09-01T00:00:00"/>
    <x v="0"/>
    <x v="0"/>
    <n v="36288"/>
    <x v="0"/>
    <x v="0"/>
    <n v="5206.24"/>
    <n v="5.0999999999999996"/>
    <n v="0"/>
    <n v="0"/>
    <x v="3"/>
    <s v="60:40 - 60% COTTON AND 40% 0.8D POLYESTER COMPACT"/>
    <n v="31423876"/>
    <x v="0"/>
    <n v="7566398"/>
    <x v="0"/>
    <n v="128479117"/>
    <d v="2023-09-01T00:00:00"/>
    <x v="0"/>
    <x v="0"/>
    <x v="0"/>
    <x v="0"/>
    <x v="0"/>
    <x v="0"/>
    <d v="2023-07-03T00:00:00"/>
    <x v="0"/>
    <x v="0"/>
    <x v="0"/>
    <x v="0"/>
    <x v="0"/>
    <x v="3"/>
    <n v="865.95778218694886"/>
    <n v="208.50964506172841"/>
    <n v="0"/>
    <s v=""/>
    <x v="0"/>
  </r>
  <r>
    <x v="137"/>
    <m/>
    <x v="137"/>
    <d v="2021-09-01T00:00:00"/>
    <x v="0"/>
    <x v="0"/>
    <n v="18144"/>
    <x v="0"/>
    <x v="0"/>
    <n v="5206.25"/>
    <n v="5.0999999999999996"/>
    <n v="0"/>
    <n v="0"/>
    <x v="3"/>
    <s v="60:40 - 60% COTTON AND 40% 0.8D POLYESTER"/>
    <n v="15711938"/>
    <x v="0"/>
    <n v="3783199"/>
    <x v="0"/>
    <n v="128479121"/>
    <d v="2023-09-01T00:00:00"/>
    <x v="0"/>
    <x v="0"/>
    <x v="0"/>
    <x v="0"/>
    <x v="0"/>
    <x v="0"/>
    <d v="2023-07-03T00:00:00"/>
    <x v="0"/>
    <x v="0"/>
    <x v="0"/>
    <x v="0"/>
    <x v="0"/>
    <x v="3"/>
    <n v="865.95778218694886"/>
    <n v="208.50964506172841"/>
    <n v="0"/>
    <s v=""/>
    <x v="0"/>
  </r>
  <r>
    <x v="138"/>
    <m/>
    <x v="138"/>
    <d v="2021-09-02T00:00:00"/>
    <x v="0"/>
    <x v="0"/>
    <n v="1760"/>
    <x v="0"/>
    <x v="0"/>
    <n v="5407.52"/>
    <n v="5.46"/>
    <n v="0"/>
    <n v="0"/>
    <x v="11"/>
    <s v="100% POLYESTER GRS MICROFIBER DRY GREIGE FINISHED FABRIC "/>
    <n v="1634791"/>
    <x v="0"/>
    <n v="606135"/>
    <x v="0"/>
    <n v="128479135"/>
    <d v="2023-09-02T00:00:00"/>
    <x v="0"/>
    <x v="0"/>
    <x v="0"/>
    <x v="0"/>
    <x v="0"/>
    <x v="0"/>
    <d v="2023-07-04T00:00:00"/>
    <x v="0"/>
    <x v="0"/>
    <x v="0"/>
    <x v="0"/>
    <x v="0"/>
    <x v="2"/>
    <n v="928.85852272727277"/>
    <n v="344.39488636363637"/>
    <n v="0"/>
    <s v=""/>
    <x v="0"/>
  </r>
  <r>
    <x v="139"/>
    <m/>
    <x v="139"/>
    <d v="2021-09-03T00:00:00"/>
    <x v="0"/>
    <x v="0"/>
    <n v="23100"/>
    <x v="0"/>
    <x v="0"/>
    <n v="5402.33"/>
    <n v="1.45"/>
    <n v="0"/>
    <n v="0"/>
    <x v="6"/>
    <s v="100% POLYESTER TEXTURED YARN (DTY 300D/96F"/>
    <n v="5698308"/>
    <x v="0"/>
    <n v="2177175"/>
    <x v="0"/>
    <m/>
    <d v="2023-09-03T00:00:00"/>
    <x v="0"/>
    <x v="0"/>
    <x v="0"/>
    <x v="0"/>
    <x v="0"/>
    <x v="0"/>
    <d v="2023-07-05T00:00:00"/>
    <x v="0"/>
    <x v="1"/>
    <x v="0"/>
    <x v="0"/>
    <x v="0"/>
    <x v="3"/>
    <n v="246.68"/>
    <n v="94.25"/>
    <n v="0"/>
    <s v=""/>
    <x v="0"/>
  </r>
  <r>
    <x v="140"/>
    <m/>
    <x v="140"/>
    <d v="2021-09-07T00:00:00"/>
    <x v="0"/>
    <x v="0"/>
    <n v="80640.399999999994"/>
    <x v="0"/>
    <x v="0"/>
    <n v="5205.13"/>
    <n v="3.22"/>
    <n v="0"/>
    <n v="0"/>
    <x v="10"/>
    <s v="30/1 Cotton Yarn"/>
    <n v="44354373"/>
    <x v="0"/>
    <n v="10679868"/>
    <x v="0"/>
    <n v="128479154"/>
    <d v="2023-09-07T00:00:00"/>
    <x v="0"/>
    <x v="0"/>
    <x v="0"/>
    <x v="0"/>
    <x v="0"/>
    <x v="0"/>
    <d v="2023-07-09T00:00:00"/>
    <x v="0"/>
    <x v="0"/>
    <x v="0"/>
    <x v="0"/>
    <x v="0"/>
    <x v="3"/>
    <n v="550.0266987762958"/>
    <n v="132.43818235028598"/>
    <n v="0"/>
    <s v=""/>
    <x v="0"/>
  </r>
  <r>
    <x v="141"/>
    <m/>
    <x v="141"/>
    <d v="2021-09-07T00:00:00"/>
    <x v="0"/>
    <x v="0"/>
    <n v="20625.2"/>
    <x v="0"/>
    <x v="0"/>
    <n v="5205.13"/>
    <n v="2.77"/>
    <n v="0"/>
    <n v="0"/>
    <x v="10"/>
    <s v="30/1 Cotton Yarn"/>
    <n v="9759012"/>
    <x v="0"/>
    <n v="2349824"/>
    <x v="0"/>
    <n v="128479150"/>
    <d v="2023-09-07T00:00:00"/>
    <x v="0"/>
    <x v="0"/>
    <x v="0"/>
    <x v="0"/>
    <x v="0"/>
    <x v="0"/>
    <d v="2023-07-09T00:00:00"/>
    <x v="0"/>
    <x v="0"/>
    <x v="0"/>
    <x v="0"/>
    <x v="0"/>
    <x v="3"/>
    <n v="473.15962996722453"/>
    <n v="113.92975583267071"/>
    <n v="0"/>
    <s v=""/>
    <x v="0"/>
  </r>
  <r>
    <x v="142"/>
    <m/>
    <x v="142"/>
    <d v="2021-09-07T00:00:00"/>
    <x v="0"/>
    <x v="0"/>
    <n v="14750"/>
    <x v="0"/>
    <x v="0"/>
    <n v="3809.9189999999999"/>
    <n v="2.0499999999999998"/>
    <n v="0"/>
    <n v="0"/>
    <x v="12"/>
    <s v="TEXTILE CHEMICAL (DYMAFIX DM -2558)"/>
    <n v="5165041"/>
    <x v="0"/>
    <n v="1915053"/>
    <x v="0"/>
    <n v="128479153"/>
    <d v="2023-09-07T00:00:00"/>
    <x v="0"/>
    <x v="0"/>
    <x v="0"/>
    <x v="0"/>
    <x v="0"/>
    <x v="0"/>
    <d v="2023-07-09T00:00:00"/>
    <x v="0"/>
    <x v="0"/>
    <x v="0"/>
    <x v="0"/>
    <x v="0"/>
    <x v="5"/>
    <n v="350.1722711864407"/>
    <n v="129.83410169491526"/>
    <n v="0"/>
    <s v=""/>
    <x v="0"/>
  </r>
  <r>
    <x v="143"/>
    <m/>
    <x v="143"/>
    <d v="2021-09-07T00:00:00"/>
    <x v="0"/>
    <x v="0"/>
    <n v="19729.599999999999"/>
    <x v="0"/>
    <x v="0"/>
    <n v="5205.13"/>
    <n v="3.22"/>
    <n v="0"/>
    <n v="0"/>
    <x v="10"/>
    <s v="30/1 Cotton Yarn"/>
    <n v="10851807"/>
    <x v="0"/>
    <n v="2612951"/>
    <x v="0"/>
    <n v="128479149"/>
    <d v="2023-09-07T00:00:00"/>
    <x v="0"/>
    <x v="0"/>
    <x v="0"/>
    <x v="0"/>
    <x v="0"/>
    <x v="0"/>
    <d v="2023-07-09T00:00:00"/>
    <x v="0"/>
    <x v="0"/>
    <x v="0"/>
    <x v="0"/>
    <x v="0"/>
    <x v="3"/>
    <n v="550.02671113453903"/>
    <n v="132.43811329170384"/>
    <n v="0"/>
    <s v=""/>
    <x v="0"/>
  </r>
  <r>
    <x v="144"/>
    <m/>
    <x v="144"/>
    <d v="2021-09-08T00:00:00"/>
    <x v="0"/>
    <x v="0"/>
    <n v="12000"/>
    <x v="0"/>
    <x v="0"/>
    <n v="3204.16"/>
    <m/>
    <n v="0"/>
    <n v="0"/>
    <x v="5"/>
    <s v="TEXTILE DYES (LIYUANSOL)"/>
    <n v="7150758"/>
    <x v="0"/>
    <n v="2651301"/>
    <x v="0"/>
    <n v="128479156"/>
    <d v="2023-09-08T00:00:00"/>
    <x v="0"/>
    <x v="0"/>
    <x v="0"/>
    <x v="0"/>
    <x v="0"/>
    <x v="0"/>
    <d v="2023-07-10T00:00:00"/>
    <x v="0"/>
    <x v="0"/>
    <x v="0"/>
    <x v="0"/>
    <x v="0"/>
    <x v="4"/>
    <n v="595.89649999999995"/>
    <n v="220.94175000000001"/>
    <n v="0"/>
    <s v=""/>
    <x v="0"/>
  </r>
  <r>
    <x v="145"/>
    <m/>
    <x v="145"/>
    <d v="2021-09-10T00:00:00"/>
    <x v="0"/>
    <x v="0"/>
    <n v="25200"/>
    <x v="0"/>
    <x v="0"/>
    <n v="5402.33"/>
    <n v="1.45"/>
    <n v="0"/>
    <n v="0"/>
    <x v="6"/>
    <s v="100% VIRGIN POLYESTER YARN (DTY 300D/96F)"/>
    <n v="6250860"/>
    <x v="0"/>
    <n v="2657844"/>
    <x v="0"/>
    <m/>
    <d v="2023-09-10T00:00:00"/>
    <x v="0"/>
    <x v="0"/>
    <x v="0"/>
    <x v="0"/>
    <x v="0"/>
    <x v="0"/>
    <d v="2023-07-12T00:00:00"/>
    <x v="0"/>
    <x v="1"/>
    <x v="0"/>
    <x v="0"/>
    <x v="0"/>
    <x v="3"/>
    <n v="248.05"/>
    <n v="105.47"/>
    <n v="0"/>
    <s v=""/>
    <x v="0"/>
  </r>
  <r>
    <x v="146"/>
    <m/>
    <x v="146"/>
    <d v="2021-09-10T00:00:00"/>
    <x v="0"/>
    <x v="0"/>
    <n v="1720"/>
    <x v="0"/>
    <x v="0"/>
    <n v="5402.33"/>
    <n v="5.55"/>
    <n v="0"/>
    <n v="0"/>
    <x v="13"/>
    <s v="POLYESTER FILAMENT YARN TSS DT 150D/72F"/>
    <n v="1275345.6000000001"/>
    <x v="0"/>
    <n v="542264.4"/>
    <x v="0"/>
    <m/>
    <d v="2023-09-10T00:00:00"/>
    <x v="0"/>
    <x v="0"/>
    <x v="0"/>
    <x v="0"/>
    <x v="0"/>
    <x v="0"/>
    <d v="2023-07-12T00:00:00"/>
    <x v="0"/>
    <x v="1"/>
    <x v="0"/>
    <x v="0"/>
    <x v="0"/>
    <x v="3"/>
    <n v="741.48"/>
    <n v="315.27000000000004"/>
    <n v="0"/>
    <s v=""/>
    <x v="0"/>
  </r>
  <r>
    <x v="147"/>
    <m/>
    <x v="147"/>
    <d v="2021-09-10T00:00:00"/>
    <x v="0"/>
    <x v="0"/>
    <n v="43778"/>
    <x v="0"/>
    <x v="0"/>
    <n v="5407.52"/>
    <n v="5.4"/>
    <n v="0"/>
    <n v="0"/>
    <x v="11"/>
    <s v="100% POLYESTER MICRO FIBER FABRIC ,82GSM"/>
    <n v="1070809.8800000001"/>
    <x v="0"/>
    <n v="397066.46"/>
    <x v="0"/>
    <m/>
    <d v="2023-09-10T00:00:00"/>
    <x v="0"/>
    <x v="0"/>
    <x v="0"/>
    <x v="0"/>
    <x v="0"/>
    <x v="0"/>
    <d v="2023-07-12T00:00:00"/>
    <x v="0"/>
    <x v="1"/>
    <x v="0"/>
    <x v="0"/>
    <x v="0"/>
    <x v="2"/>
    <n v="24.460000000000004"/>
    <n v="9.07"/>
    <n v="0"/>
    <s v=""/>
    <x v="0"/>
  </r>
  <r>
    <x v="148"/>
    <m/>
    <x v="148"/>
    <d v="2021-09-13T00:00:00"/>
    <x v="0"/>
    <x v="0"/>
    <n v="40497.699999999997"/>
    <x v="0"/>
    <x v="0"/>
    <n v="5205.13"/>
    <n v="3.22"/>
    <n v="0"/>
    <n v="0"/>
    <x v="10"/>
    <s v="30/1 Cotton Yarn"/>
    <n v="22361282"/>
    <x v="0"/>
    <n v="5384261"/>
    <x v="0"/>
    <n v="128479151"/>
    <d v="2023-09-13T00:00:00"/>
    <x v="0"/>
    <x v="0"/>
    <x v="0"/>
    <x v="0"/>
    <x v="0"/>
    <x v="0"/>
    <d v="2023-07-15T00:00:00"/>
    <x v="0"/>
    <x v="0"/>
    <x v="0"/>
    <x v="0"/>
    <x v="0"/>
    <x v="3"/>
    <n v="552.16177708857549"/>
    <n v="132.95226642500685"/>
    <n v="0"/>
    <s v=""/>
    <x v="0"/>
  </r>
  <r>
    <x v="149"/>
    <m/>
    <x v="149"/>
    <d v="2021-09-13T00:00:00"/>
    <x v="0"/>
    <x v="0"/>
    <n v="20363.8"/>
    <x v="0"/>
    <x v="0"/>
    <n v="5205.13"/>
    <n v="3.22"/>
    <n v="0"/>
    <n v="0"/>
    <x v="10"/>
    <s v="30/1 Cotton Yarn"/>
    <n v="11244112"/>
    <x v="0"/>
    <n v="2707414"/>
    <x v="0"/>
    <n v="128479155"/>
    <d v="2023-09-13T00:00:00"/>
    <x v="0"/>
    <x v="0"/>
    <x v="0"/>
    <x v="0"/>
    <x v="0"/>
    <x v="0"/>
    <d v="2023-07-15T00:00:00"/>
    <x v="0"/>
    <x v="0"/>
    <x v="0"/>
    <x v="0"/>
    <x v="0"/>
    <x v="3"/>
    <n v="552.1617772714327"/>
    <n v="132.95229770475058"/>
    <n v="0"/>
    <s v=""/>
    <x v="0"/>
  </r>
  <r>
    <x v="150"/>
    <m/>
    <x v="150"/>
    <d v="2021-09-16T00:00:00"/>
    <x v="0"/>
    <x v="0"/>
    <n v="36288"/>
    <x v="0"/>
    <x v="0"/>
    <n v="5206.25"/>
    <n v="5.2"/>
    <n v="0"/>
    <n v="0"/>
    <x v="3"/>
    <s v="60:40 - 60% COTTON AND 40% 0.8D POLYESTER COMPACT"/>
    <n v="32607877"/>
    <x v="0"/>
    <n v="7851488"/>
    <x v="0"/>
    <n v="139571795"/>
    <d v="2023-09-16T00:00:00"/>
    <x v="0"/>
    <x v="0"/>
    <x v="0"/>
    <x v="0"/>
    <x v="0"/>
    <x v="0"/>
    <d v="2023-07-18T00:00:00"/>
    <x v="0"/>
    <x v="0"/>
    <x v="0"/>
    <x v="0"/>
    <x v="0"/>
    <x v="3"/>
    <n v="898.58567570546734"/>
    <n v="216.36596119929453"/>
    <n v="0"/>
    <s v=""/>
    <x v="0"/>
  </r>
  <r>
    <x v="151"/>
    <m/>
    <x v="151"/>
    <d v="2021-09-16T00:00:00"/>
    <x v="1"/>
    <x v="0"/>
    <n v="48808.9"/>
    <x v="0"/>
    <x v="0"/>
    <n v="4810.29"/>
    <n v="1.23"/>
    <n v="0"/>
    <n v="0"/>
    <x v="9"/>
    <s v="2/S COATED ART BOARD "/>
    <n v="54665.968000000008"/>
    <x v="0"/>
    <n v="23428.272000000001"/>
    <x v="0"/>
    <m/>
    <d v="2023-09-16T00:00:00"/>
    <x v="0"/>
    <x v="0"/>
    <x v="0"/>
    <x v="0"/>
    <x v="0"/>
    <x v="0"/>
    <d v="2023-07-18T00:00:00"/>
    <x v="0"/>
    <x v="0"/>
    <x v="0"/>
    <x v="0"/>
    <x v="0"/>
    <x v="6"/>
    <n v="1.1200000000000001"/>
    <n v="0.48"/>
    <n v="0"/>
    <s v=""/>
    <x v="0"/>
  </r>
  <r>
    <x v="152"/>
    <m/>
    <x v="152"/>
    <d v="2021-09-17T00:00:00"/>
    <x v="0"/>
    <x v="0"/>
    <n v="36288"/>
    <x v="0"/>
    <x v="0"/>
    <n v="5206.24"/>
    <n v="5.2"/>
    <n v="0"/>
    <n v="0"/>
    <x v="3"/>
    <s v="60:40 - 60% COTTON AND 40% 0.8D POLYESTER"/>
    <n v="32636751"/>
    <x v="0"/>
    <n v="7858440"/>
    <x v="0"/>
    <n v="139571793"/>
    <d v="2023-09-17T00:00:00"/>
    <x v="0"/>
    <x v="0"/>
    <x v="0"/>
    <x v="0"/>
    <x v="0"/>
    <x v="0"/>
    <d v="2023-07-19T00:00:00"/>
    <x v="0"/>
    <x v="0"/>
    <x v="0"/>
    <x v="0"/>
    <x v="0"/>
    <x v="3"/>
    <n v="899.38136574074076"/>
    <n v="216.55753968253967"/>
    <n v="0"/>
    <s v=""/>
    <x v="0"/>
  </r>
  <r>
    <x v="153"/>
    <m/>
    <x v="153"/>
    <d v="2021-09-17T00:00:00"/>
    <x v="0"/>
    <x v="0"/>
    <n v="36288"/>
    <x v="0"/>
    <x v="0"/>
    <n v="5206.24"/>
    <n v="5.2"/>
    <n v="0"/>
    <n v="0"/>
    <x v="3"/>
    <s v="60:40 - 60% COTTON AND 40% 0.8D POLYESTER COMPACT   60/1 "/>
    <n v="32636751"/>
    <x v="0"/>
    <n v="7858440"/>
    <x v="0"/>
    <n v="139571794"/>
    <d v="2023-09-17T00:00:00"/>
    <x v="0"/>
    <x v="0"/>
    <x v="0"/>
    <x v="0"/>
    <x v="0"/>
    <x v="0"/>
    <d v="2023-07-19T00:00:00"/>
    <x v="0"/>
    <x v="0"/>
    <x v="0"/>
    <x v="0"/>
    <x v="0"/>
    <x v="3"/>
    <n v="899.38136574074076"/>
    <n v="216.55753968253967"/>
    <n v="0"/>
    <s v=""/>
    <x v="0"/>
  </r>
  <r>
    <x v="154"/>
    <m/>
    <x v="154"/>
    <d v="2021-09-17T00:00:00"/>
    <x v="0"/>
    <x v="0"/>
    <n v="35851.1"/>
    <x v="0"/>
    <x v="0"/>
    <n v="5205.13"/>
    <n v="4.9000000000000004"/>
    <n v="0"/>
    <n v="0"/>
    <x v="10"/>
    <s v="30/1 Cotton Yarn"/>
    <n v="30383591"/>
    <x v="0"/>
    <n v="7315913"/>
    <x v="0"/>
    <n v="139571799"/>
    <d v="2023-09-17T00:00:00"/>
    <x v="0"/>
    <x v="0"/>
    <x v="0"/>
    <x v="0"/>
    <x v="0"/>
    <x v="0"/>
    <d v="2023-07-19T00:00:00"/>
    <x v="0"/>
    <x v="0"/>
    <x v="0"/>
    <x v="0"/>
    <x v="0"/>
    <x v="3"/>
    <n v="847.49396810697579"/>
    <n v="204.06383625607026"/>
    <n v="0"/>
    <s v=""/>
    <x v="0"/>
  </r>
  <r>
    <x v="155"/>
    <m/>
    <x v="155"/>
    <d v="2021-09-22T00:00:00"/>
    <x v="0"/>
    <x v="0"/>
    <n v="20675"/>
    <x v="0"/>
    <x v="0"/>
    <n v="5205.13"/>
    <n v="3.35"/>
    <n v="0"/>
    <n v="0"/>
    <x v="10"/>
    <s v="30/1 Cotton Yarn"/>
    <n v="11954555"/>
    <x v="0"/>
    <n v="2878478"/>
    <x v="0"/>
    <n v="139571785"/>
    <d v="2023-09-22T00:00:00"/>
    <x v="0"/>
    <x v="0"/>
    <x v="0"/>
    <x v="0"/>
    <x v="0"/>
    <x v="0"/>
    <d v="2023-07-24T00:00:00"/>
    <x v="0"/>
    <x v="0"/>
    <x v="0"/>
    <x v="0"/>
    <x v="0"/>
    <x v="3"/>
    <n v="578.21305925030231"/>
    <n v="139.22505441354292"/>
    <n v="0"/>
    <s v=""/>
    <x v="0"/>
  </r>
  <r>
    <x v="156"/>
    <m/>
    <x v="156"/>
    <d v="2021-09-28T00:00:00"/>
    <x v="0"/>
    <x v="0"/>
    <n v="19040"/>
    <x v="0"/>
    <x v="0"/>
    <n v="2915.11"/>
    <n v="0.67"/>
    <n v="0"/>
    <n v="0"/>
    <x v="12"/>
    <s v="FORMIC ACID 85% (THE GO"/>
    <n v="2205739"/>
    <x v="0"/>
    <n v="817826"/>
    <x v="0"/>
    <n v="139571801"/>
    <d v="2023-09-28T00:00:00"/>
    <x v="0"/>
    <x v="0"/>
    <x v="0"/>
    <x v="0"/>
    <x v="0"/>
    <x v="0"/>
    <d v="2023-07-30T00:00:00"/>
    <x v="0"/>
    <x v="0"/>
    <x v="0"/>
    <x v="0"/>
    <x v="0"/>
    <x v="5"/>
    <n v="115.84763655462184"/>
    <n v="42.953046218487394"/>
    <n v="0"/>
    <s v=""/>
    <x v="0"/>
  </r>
  <r>
    <x v="157"/>
    <m/>
    <x v="157"/>
    <d v="2021-09-28T00:00:00"/>
    <x v="0"/>
    <x v="0"/>
    <n v="18000"/>
    <x v="0"/>
    <x v="0"/>
    <n v="2832.1089999999999"/>
    <n v="1.65"/>
    <n v="0"/>
    <n v="0"/>
    <x v="12"/>
    <s v="HYDROBLUE 90 E (THE GOOD"/>
    <n v="5135336"/>
    <x v="0"/>
    <n v="933090"/>
    <x v="0"/>
    <n v="139571813"/>
    <d v="2023-09-28T00:00:00"/>
    <x v="0"/>
    <x v="0"/>
    <x v="0"/>
    <x v="0"/>
    <x v="0"/>
    <x v="0"/>
    <d v="2023-07-30T00:00:00"/>
    <x v="0"/>
    <x v="0"/>
    <x v="0"/>
    <x v="0"/>
    <x v="0"/>
    <x v="5"/>
    <n v="285.29644444444443"/>
    <n v="51.838333333333331"/>
    <n v="0"/>
    <s v=""/>
    <x v="0"/>
  </r>
  <r>
    <x v="158"/>
    <m/>
    <x v="158"/>
    <d v="2021-09-28T00:00:00"/>
    <x v="0"/>
    <x v="0"/>
    <n v="18200"/>
    <x v="0"/>
    <x v="0"/>
    <n v="3906.9029999999998"/>
    <n v="2.0499999999999998"/>
    <n v="0"/>
    <n v="0"/>
    <x v="12"/>
    <s v="FLOPRINT TA 160 AF PIGMENT "/>
    <n v="6451158"/>
    <x v="0"/>
    <n v="1400876"/>
    <x v="0"/>
    <n v="139571815"/>
    <d v="2023-09-28T00:00:00"/>
    <x v="0"/>
    <x v="0"/>
    <x v="0"/>
    <x v="0"/>
    <x v="0"/>
    <x v="0"/>
    <d v="2023-07-30T00:00:00"/>
    <x v="0"/>
    <x v="0"/>
    <x v="0"/>
    <x v="0"/>
    <x v="0"/>
    <x v="5"/>
    <n v="354.45923076923077"/>
    <n v="76.971208791208795"/>
    <n v="0"/>
    <s v=""/>
    <x v="0"/>
  </r>
  <r>
    <x v="159"/>
    <m/>
    <x v="159"/>
    <d v="2021-09-29T00:00:00"/>
    <x v="0"/>
    <x v="0"/>
    <n v="3161"/>
    <x v="0"/>
    <x v="0"/>
    <n v="5210.49"/>
    <n v="9.3526000000000007"/>
    <n v="0"/>
    <n v="0"/>
    <x v="2"/>
    <s v=" 78% POLYESTER 17% VISCOSE 05% SPANDE"/>
    <n v="5126524"/>
    <x v="0"/>
    <n v="1597871"/>
    <x v="0"/>
    <n v="139571792"/>
    <d v="2023-09-29T00:00:00"/>
    <x v="0"/>
    <x v="0"/>
    <x v="0"/>
    <x v="0"/>
    <x v="0"/>
    <x v="0"/>
    <d v="2023-07-31T00:00:00"/>
    <x v="0"/>
    <x v="0"/>
    <x v="0"/>
    <x v="0"/>
    <x v="0"/>
    <x v="2"/>
    <n v="1621.8044922492882"/>
    <n v="505.49541284403671"/>
    <n v="0"/>
    <s v=""/>
    <x v="0"/>
  </r>
  <r>
    <x v="160"/>
    <m/>
    <x v="160"/>
    <d v="2021-09-29T00:00:00"/>
    <x v="0"/>
    <x v="0"/>
    <n v="12000"/>
    <x v="0"/>
    <x v="0"/>
    <n v="3910"/>
    <n v="2.65"/>
    <n v="0"/>
    <n v="0"/>
    <x v="12"/>
    <s v="TEXTILE CHEMICAL (MICROS 50 HS MICROEMULSION) (SILICON)"/>
    <n v="6458887"/>
    <x v="0"/>
    <n v="1173580"/>
    <x v="0"/>
    <n v="139571805"/>
    <d v="2023-09-29T00:00:00"/>
    <x v="0"/>
    <x v="0"/>
    <x v="0"/>
    <x v="0"/>
    <x v="0"/>
    <x v="0"/>
    <d v="2023-07-31T00:00:00"/>
    <x v="0"/>
    <x v="0"/>
    <x v="0"/>
    <x v="0"/>
    <x v="0"/>
    <x v="5"/>
    <n v="538.24058333333335"/>
    <n v="97.798333333333332"/>
    <n v="0"/>
    <s v=""/>
    <x v="0"/>
  </r>
  <r>
    <x v="161"/>
    <m/>
    <x v="161"/>
    <d v="2021-09-29T00:00:00"/>
    <x v="0"/>
    <x v="0"/>
    <n v="36000"/>
    <x v="0"/>
    <x v="0"/>
    <n v="3905.3"/>
    <n v="2.75"/>
    <n v="0"/>
    <n v="0"/>
    <x v="12"/>
    <s v="POLYVINYL ALCOHOL PVA GRADE:BP-17A             for polly"/>
    <n v="17167273"/>
    <x v="0"/>
    <n v="3119293"/>
    <x v="0"/>
    <n v="139571814"/>
    <d v="2023-09-29T00:00:00"/>
    <x v="0"/>
    <x v="0"/>
    <x v="0"/>
    <x v="0"/>
    <x v="0"/>
    <x v="0"/>
    <d v="2023-07-31T00:00:00"/>
    <x v="0"/>
    <x v="0"/>
    <x v="0"/>
    <x v="0"/>
    <x v="0"/>
    <x v="5"/>
    <n v="476.86869444444443"/>
    <n v="86.64702777777778"/>
    <n v="0"/>
    <s v=""/>
    <x v="0"/>
  </r>
  <r>
    <x v="162"/>
    <m/>
    <x v="162"/>
    <d v="2021-09-30T00:00:00"/>
    <x v="0"/>
    <x v="0"/>
    <n v="46200"/>
    <x v="0"/>
    <x v="0"/>
    <n v="5402.33"/>
    <n v="1.52"/>
    <n v="0"/>
    <n v="0"/>
    <x v="6"/>
    <s v="100% POLYESTER YARN (DTY150D/48F SD R"/>
    <n v="12166307.999999998"/>
    <x v="0"/>
    <n v="4648644"/>
    <x v="0"/>
    <m/>
    <d v="2023-09-30T00:00:00"/>
    <x v="0"/>
    <x v="0"/>
    <x v="0"/>
    <x v="0"/>
    <x v="0"/>
    <x v="0"/>
    <d v="2023-08-01T00:00:00"/>
    <x v="0"/>
    <x v="1"/>
    <x v="0"/>
    <x v="0"/>
    <x v="0"/>
    <x v="3"/>
    <n v="263.33999999999997"/>
    <n v="100.62"/>
    <n v="0"/>
    <s v=""/>
    <x v="0"/>
  </r>
  <r>
    <x v="163"/>
    <m/>
    <x v="163"/>
    <d v="2021-10-02T00:00:00"/>
    <x v="0"/>
    <x v="0"/>
    <n v="24480"/>
    <x v="0"/>
    <x v="0"/>
    <n v="5402.33"/>
    <n v="1.62"/>
    <n v="0"/>
    <n v="0"/>
    <x v="6"/>
    <s v="100% POLYESTER TEXTURED YARN (DTY 100D/48F"/>
    <n v="6921720"/>
    <x v="0"/>
    <n v="2942985.6"/>
    <x v="0"/>
    <m/>
    <d v="2023-10-02T00:00:00"/>
    <x v="0"/>
    <x v="0"/>
    <x v="0"/>
    <x v="0"/>
    <x v="0"/>
    <x v="0"/>
    <d v="2023-08-03T00:00:00"/>
    <x v="0"/>
    <x v="1"/>
    <x v="0"/>
    <x v="0"/>
    <x v="0"/>
    <x v="3"/>
    <n v="282.75"/>
    <n v="120.22"/>
    <n v="0"/>
    <s v=""/>
    <x v="0"/>
  </r>
  <r>
    <x v="164"/>
    <m/>
    <x v="164"/>
    <d v="2021-10-05T00:00:00"/>
    <x v="0"/>
    <x v="0"/>
    <n v="48960"/>
    <x v="0"/>
    <x v="0"/>
    <n v="5402.33"/>
    <n v="1.62"/>
    <n v="0"/>
    <n v="0"/>
    <x v="6"/>
    <s v="100% POLYESTER TEXTURED YARN (DTY 100D/48F"/>
    <n v="13831689.6"/>
    <x v="0"/>
    <n v="5881075.2000000002"/>
    <x v="0"/>
    <m/>
    <d v="2023-10-05T00:00:00"/>
    <x v="0"/>
    <x v="0"/>
    <x v="0"/>
    <x v="0"/>
    <x v="0"/>
    <x v="0"/>
    <d v="2023-08-06T00:00:00"/>
    <x v="0"/>
    <x v="1"/>
    <x v="0"/>
    <x v="0"/>
    <x v="0"/>
    <x v="3"/>
    <n v="282.51"/>
    <n v="120.12"/>
    <n v="0"/>
    <s v=""/>
    <x v="0"/>
  </r>
  <r>
    <x v="165"/>
    <m/>
    <x v="165"/>
    <d v="2021-10-05T00:00:00"/>
    <x v="0"/>
    <x v="0"/>
    <n v="60807"/>
    <x v="0"/>
    <x v="0"/>
    <n v="5205.13"/>
    <n v="4.7699999999999996"/>
    <n v="0"/>
    <n v="0"/>
    <x v="10"/>
    <s v="30/1 Cotton Yarn"/>
    <n v="50580580"/>
    <x v="0"/>
    <n v="12179045"/>
    <x v="0"/>
    <n v="139571842"/>
    <d v="2023-10-05T00:00:00"/>
    <x v="0"/>
    <x v="0"/>
    <x v="0"/>
    <x v="0"/>
    <x v="0"/>
    <x v="0"/>
    <d v="2023-08-06T00:00:00"/>
    <x v="0"/>
    <x v="0"/>
    <x v="0"/>
    <x v="0"/>
    <x v="0"/>
    <x v="3"/>
    <n v="831.82166526880133"/>
    <n v="200.29018040686105"/>
    <n v="0"/>
    <s v=""/>
    <x v="0"/>
  </r>
  <r>
    <x v="166"/>
    <m/>
    <x v="166"/>
    <d v="2021-10-06T00:00:00"/>
    <x v="0"/>
    <x v="0"/>
    <n v="20027.2"/>
    <x v="0"/>
    <x v="0"/>
    <n v="5205.13"/>
    <n v="3.22"/>
    <n v="0"/>
    <n v="0"/>
    <x v="10"/>
    <s v="30/1 Cotton Yarn"/>
    <n v="11268762"/>
    <x v="0"/>
    <n v="2713349"/>
    <x v="0"/>
    <n v="139571843"/>
    <d v="2023-10-06T00:00:00"/>
    <x v="0"/>
    <x v="0"/>
    <x v="0"/>
    <x v="0"/>
    <x v="0"/>
    <x v="0"/>
    <d v="2023-08-07T00:00:00"/>
    <x v="0"/>
    <x v="0"/>
    <x v="0"/>
    <x v="0"/>
    <x v="0"/>
    <x v="3"/>
    <n v="562.6728649037309"/>
    <n v="135.4831928577135"/>
    <n v="0"/>
    <s v=""/>
    <x v="0"/>
  </r>
  <r>
    <x v="167"/>
    <m/>
    <x v="167"/>
    <d v="2021-10-06T00:00:00"/>
    <x v="0"/>
    <x v="0"/>
    <n v="200"/>
    <x v="0"/>
    <x v="0"/>
    <n v="3402.39"/>
    <s v="6.72 / 4.48"/>
    <n v="0"/>
    <n v="0"/>
    <x v="12"/>
    <s v="CHEMICAL (LIQUID COLOR NNW/PC FOR FABRIC TREATMENT) NEED A CARD  INORDER TO USE FABRIC (Old 3402.1190)"/>
    <n v="195712"/>
    <x v="0"/>
    <n v="94180"/>
    <x v="0"/>
    <m/>
    <d v="2023-10-06T00:00:00"/>
    <x v="0"/>
    <x v="0"/>
    <x v="0"/>
    <x v="0"/>
    <x v="0"/>
    <x v="0"/>
    <d v="2023-08-07T00:00:00"/>
    <x v="0"/>
    <x v="1"/>
    <x v="0"/>
    <x v="0"/>
    <x v="0"/>
    <x v="5"/>
    <n v="978.56"/>
    <n v="470.9"/>
    <n v="0"/>
    <s v=""/>
    <x v="0"/>
  </r>
  <r>
    <x v="168"/>
    <m/>
    <x v="168"/>
    <d v="2021-10-11T00:00:00"/>
    <x v="0"/>
    <x v="0"/>
    <n v="23400"/>
    <x v="0"/>
    <x v="0"/>
    <n v="5402.33"/>
    <n v="1.51"/>
    <n v="0"/>
    <n v="0"/>
    <x v="6"/>
    <s v="100% VIRGIN POLYESTER YARN (DTY 150D"/>
    <n v="6176196"/>
    <x v="0"/>
    <n v="2625948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63.94"/>
    <n v="112.22"/>
    <n v="0"/>
    <s v=""/>
    <x v="0"/>
  </r>
  <r>
    <x v="169"/>
    <m/>
    <x v="169"/>
    <d v="2021-10-11T00:00:00"/>
    <x v="0"/>
    <x v="0"/>
    <n v="48960"/>
    <x v="0"/>
    <x v="0"/>
    <n v="5402.33"/>
    <n v="1.63"/>
    <n v="0"/>
    <n v="0"/>
    <x v="6"/>
    <s v="100% POLYESTER TEXTURED YARN (DTY 100D/1"/>
    <n v="13949193.600000001"/>
    <x v="0"/>
    <n v="5931014.4000000004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84.91000000000003"/>
    <n v="121.14"/>
    <n v="0"/>
    <s v=""/>
    <x v="0"/>
  </r>
  <r>
    <x v="170"/>
    <m/>
    <x v="170"/>
    <d v="2021-10-11T00:00:00"/>
    <x v="0"/>
    <x v="0"/>
    <n v="18144"/>
    <x v="0"/>
    <x v="0"/>
    <n v="5206.24"/>
    <n v="5.2"/>
    <n v="0"/>
    <n v="0"/>
    <x v="3"/>
    <s v="60:40 - 60% COTTON AND 40% 0.8D POLYESTER COMPACT"/>
    <n v="423843.83999999997"/>
    <x v="0"/>
    <n v="102150.72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3.36"/>
    <n v="5.63"/>
    <n v="0"/>
    <s v=""/>
    <x v="0"/>
  </r>
  <r>
    <x v="171"/>
    <m/>
    <x v="171"/>
    <d v="2021-10-11T00:00:00"/>
    <x v="0"/>
    <x v="0"/>
    <n v="25200"/>
    <x v="0"/>
    <x v="0"/>
    <n v="5402.33"/>
    <n v="1.45"/>
    <n v="0"/>
    <n v="0"/>
    <x v="6"/>
    <s v="100% POLYESTER YARN (DTY 300D/96F)"/>
    <n v="6386940"/>
    <x v="0"/>
    <n v="2715552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53.45"/>
    <n v="107.76"/>
    <n v="0"/>
    <s v=""/>
    <x v="0"/>
  </r>
  <r>
    <x v="172"/>
    <m/>
    <x v="172"/>
    <d v="2021-10-12T00:00:00"/>
    <x v="0"/>
    <x v="0"/>
    <n v="20227.900000000001"/>
    <x v="0"/>
    <x v="0"/>
    <n v="5205.13"/>
    <n v="3.22"/>
    <n v="0"/>
    <n v="0"/>
    <x v="10"/>
    <s v="30/1 Cotton Yarn"/>
    <n v="11358436"/>
    <x v="0"/>
    <n v="2734941"/>
    <x v="0"/>
    <n v="139571868"/>
    <d v="2023-10-12T00:00:00"/>
    <x v="0"/>
    <x v="0"/>
    <x v="0"/>
    <x v="0"/>
    <x v="0"/>
    <x v="0"/>
    <d v="2023-08-13T00:00:00"/>
    <x v="0"/>
    <x v="0"/>
    <x v="0"/>
    <x v="0"/>
    <x v="0"/>
    <x v="3"/>
    <n v="561.52324265000323"/>
    <n v="135.20637337538744"/>
    <n v="0"/>
    <s v=""/>
    <x v="0"/>
  </r>
  <r>
    <x v="173"/>
    <m/>
    <x v="173"/>
    <d v="2021-10-12T00:00:00"/>
    <x v="0"/>
    <x v="0"/>
    <n v="19880.099999999999"/>
    <x v="0"/>
    <x v="0"/>
    <n v="5205.13"/>
    <n v="3.22"/>
    <n v="0"/>
    <n v="0"/>
    <x v="10"/>
    <s v="30/1 Cotton Yarn"/>
    <n v="1163138"/>
    <x v="0"/>
    <n v="2687916"/>
    <x v="0"/>
    <n v="139571867"/>
    <d v="2023-10-12T00:00:00"/>
    <x v="0"/>
    <x v="0"/>
    <x v="0"/>
    <x v="0"/>
    <x v="0"/>
    <x v="0"/>
    <d v="2023-08-13T00:00:00"/>
    <x v="0"/>
    <x v="0"/>
    <x v="0"/>
    <x v="0"/>
    <x v="0"/>
    <x v="3"/>
    <n v="58.507653382025246"/>
    <n v="135.20636214103553"/>
    <n v="0"/>
    <s v=""/>
    <x v="0"/>
  </r>
  <r>
    <x v="174"/>
    <m/>
    <x v="174"/>
    <d v="2021-10-12T00:00:00"/>
    <x v="0"/>
    <x v="0"/>
    <n v="39756.800000000003"/>
    <x v="0"/>
    <x v="0"/>
    <n v="5205.13"/>
    <n v="4.7699999999999996"/>
    <n v="0"/>
    <n v="0"/>
    <x v="10"/>
    <s v="30/1 Cotton Yarn"/>
    <n v="33070568"/>
    <x v="0"/>
    <n v="7962896"/>
    <x v="0"/>
    <n v="139571869"/>
    <d v="2023-10-12T00:00:00"/>
    <x v="0"/>
    <x v="0"/>
    <x v="0"/>
    <x v="0"/>
    <x v="0"/>
    <x v="0"/>
    <d v="2023-08-13T00:00:00"/>
    <x v="0"/>
    <x v="0"/>
    <x v="0"/>
    <x v="0"/>
    <x v="0"/>
    <x v="3"/>
    <n v="831.8216757887958"/>
    <n v="200.29016419832581"/>
    <n v="0"/>
    <s v=""/>
    <x v="0"/>
  </r>
  <r>
    <x v="175"/>
    <m/>
    <x v="175"/>
    <d v="2021-10-12T00:00:00"/>
    <x v="0"/>
    <x v="0"/>
    <n v="69300"/>
    <x v="0"/>
    <x v="0"/>
    <n v="5402.33"/>
    <n v="1.5149999999999999"/>
    <n v="0"/>
    <n v="0"/>
    <x v="6"/>
    <s v="100% POLYESTER YARN (DTY150D/48F"/>
    <n v="18307674"/>
    <x v="0"/>
    <n v="6995835"/>
    <x v="0"/>
    <m/>
    <d v="2023-10-12T00:00:00"/>
    <x v="0"/>
    <x v="0"/>
    <x v="0"/>
    <x v="0"/>
    <x v="0"/>
    <x v="0"/>
    <d v="2023-08-13T00:00:00"/>
    <x v="0"/>
    <x v="1"/>
    <x v="0"/>
    <x v="0"/>
    <x v="0"/>
    <x v="3"/>
    <n v="264.18"/>
    <n v="100.95"/>
    <n v="0"/>
    <s v=""/>
    <x v="0"/>
  </r>
  <r>
    <x v="176"/>
    <m/>
    <x v="176"/>
    <d v="2021-10-13T00:00:00"/>
    <x v="0"/>
    <x v="0"/>
    <n v="23100"/>
    <x v="0"/>
    <x v="0"/>
    <n v="5402.33"/>
    <n v="1.63"/>
    <n v="0"/>
    <n v="0"/>
    <x v="6"/>
    <s v="100% POLYESTER TEXTURED YARN"/>
    <n v="6575877"/>
    <x v="0"/>
    <n v="2512587"/>
    <x v="0"/>
    <m/>
    <d v="2023-10-13T00:00:00"/>
    <x v="0"/>
    <x v="0"/>
    <x v="0"/>
    <x v="0"/>
    <x v="0"/>
    <x v="0"/>
    <d v="2023-08-14T00:00:00"/>
    <x v="0"/>
    <x v="1"/>
    <x v="0"/>
    <x v="0"/>
    <x v="0"/>
    <x v="3"/>
    <n v="284.67"/>
    <n v="108.77"/>
    <n v="0"/>
    <s v=""/>
    <x v="0"/>
  </r>
  <r>
    <x v="177"/>
    <m/>
    <x v="177"/>
    <d v="2021-10-13T00:00:00"/>
    <x v="0"/>
    <x v="0"/>
    <n v="20750"/>
    <x v="0"/>
    <x v="0"/>
    <n v="5205.13"/>
    <n v="3.35"/>
    <n v="0"/>
    <n v="0"/>
    <x v="10"/>
    <s v="30/1 Cotton Yarn"/>
    <n v="12139741"/>
    <x v="0"/>
    <n v="2923068"/>
    <x v="0"/>
    <n v="139571861"/>
    <d v="2023-10-13T00:00:00"/>
    <x v="0"/>
    <x v="0"/>
    <x v="0"/>
    <x v="0"/>
    <x v="0"/>
    <x v="0"/>
    <d v="2023-08-14T00:00:00"/>
    <x v="0"/>
    <x v="0"/>
    <x v="0"/>
    <x v="0"/>
    <x v="0"/>
    <x v="3"/>
    <n v="585.04775903614461"/>
    <n v="140.8707469879518"/>
    <n v="0"/>
    <s v=""/>
    <x v="0"/>
  </r>
  <r>
    <x v="178"/>
    <m/>
    <x v="178"/>
    <d v="2021-10-13T00:00:00"/>
    <x v="0"/>
    <x v="0"/>
    <n v="81956.100000000006"/>
    <x v="0"/>
    <x v="0"/>
    <n v="5205.13"/>
    <n v="3.22"/>
    <n v="0"/>
    <n v="0"/>
    <x v="10"/>
    <s v="30/1 Cotton Yarn"/>
    <n v="46087554"/>
    <x v="0"/>
    <n v="11097192"/>
    <x v="0"/>
    <n v="139571872"/>
    <d v="2023-10-13T00:00:00"/>
    <x v="0"/>
    <x v="0"/>
    <x v="0"/>
    <x v="0"/>
    <x v="0"/>
    <x v="0"/>
    <d v="2023-08-14T00:00:00"/>
    <x v="0"/>
    <x v="0"/>
    <x v="0"/>
    <x v="0"/>
    <x v="0"/>
    <x v="3"/>
    <n v="562.3444014539491"/>
    <n v="135.40410048794413"/>
    <n v="0"/>
    <s v=""/>
    <x v="0"/>
  </r>
  <r>
    <x v="179"/>
    <m/>
    <x v="179"/>
    <d v="2021-10-14T00:00:00"/>
    <x v="0"/>
    <x v="0"/>
    <n v="23100"/>
    <x v="0"/>
    <x v="0"/>
    <n v="5402.33"/>
    <n v="1.63"/>
    <n v="0"/>
    <n v="0"/>
    <x v="6"/>
    <s v="100% POLYESTER TEXTURED YARN"/>
    <n v="6587196.0000000009"/>
    <x v="0"/>
    <n v="2516976"/>
    <x v="0"/>
    <m/>
    <d v="2023-10-14T00:00:00"/>
    <x v="0"/>
    <x v="0"/>
    <x v="0"/>
    <x v="0"/>
    <x v="0"/>
    <x v="0"/>
    <d v="2023-08-15T00:00:00"/>
    <x v="0"/>
    <x v="1"/>
    <x v="0"/>
    <x v="0"/>
    <x v="0"/>
    <x v="3"/>
    <n v="285.16000000000003"/>
    <n v="108.96"/>
    <n v="0"/>
    <s v=""/>
    <x v="0"/>
  </r>
  <r>
    <x v="180"/>
    <m/>
    <x v="180"/>
    <d v="2021-10-15T00:00:00"/>
    <x v="0"/>
    <x v="0"/>
    <n v="23100"/>
    <x v="0"/>
    <x v="0"/>
    <n v="5402.33"/>
    <n v="1.63"/>
    <n v="0"/>
    <n v="0"/>
    <x v="6"/>
    <s v="100% POLYESTER YARN (DTY 100D/48F"/>
    <n v="6591123"/>
    <x v="0"/>
    <n v="2518362"/>
    <x v="0"/>
    <m/>
    <d v="2023-10-15T00:00:00"/>
    <x v="0"/>
    <x v="0"/>
    <x v="0"/>
    <x v="0"/>
    <x v="0"/>
    <x v="0"/>
    <d v="2023-08-16T00:00:00"/>
    <x v="0"/>
    <x v="1"/>
    <x v="0"/>
    <x v="0"/>
    <x v="0"/>
    <x v="3"/>
    <n v="285.33"/>
    <n v="109.02"/>
    <n v="0"/>
    <s v=""/>
    <x v="0"/>
  </r>
  <r>
    <x v="181"/>
    <m/>
    <x v="181"/>
    <d v="2021-10-16T00:00:00"/>
    <x v="0"/>
    <x v="0"/>
    <n v="4610"/>
    <x v="0"/>
    <x v="0"/>
    <n v="3204.1590000000001"/>
    <n v="5.2"/>
    <n v="0"/>
    <n v="0"/>
    <x v="5"/>
    <s v="TEXTILE DYES"/>
    <n v="5055902"/>
    <x v="0"/>
    <n v="1874588"/>
    <x v="0"/>
    <n v="139571883"/>
    <d v="2023-10-16T00:00:00"/>
    <x v="0"/>
    <x v="0"/>
    <x v="0"/>
    <x v="0"/>
    <x v="0"/>
    <x v="0"/>
    <d v="2023-08-17T00:00:00"/>
    <x v="0"/>
    <x v="0"/>
    <x v="0"/>
    <x v="0"/>
    <x v="0"/>
    <x v="4"/>
    <n v="1096.724945770065"/>
    <n v="406.63514099783077"/>
    <n v="0"/>
    <s v=""/>
    <x v="0"/>
  </r>
  <r>
    <x v="182"/>
    <m/>
    <x v="182"/>
    <d v="2021-10-20T00:00:00"/>
    <x v="0"/>
    <x v="0"/>
    <n v="59588.9"/>
    <x v="0"/>
    <x v="0"/>
    <n v="5205.13"/>
    <n v="4.7699999999999996"/>
    <n v="0"/>
    <n v="0"/>
    <x v="10"/>
    <s v="30/1 Cotton Yarn"/>
    <n v="49784803"/>
    <x v="0"/>
    <n v="11987433"/>
    <x v="0"/>
    <n v="139571884"/>
    <d v="2023-10-20T00:00:00"/>
    <x v="0"/>
    <x v="0"/>
    <x v="0"/>
    <x v="0"/>
    <x v="0"/>
    <x v="0"/>
    <d v="2023-08-21T00:00:00"/>
    <x v="0"/>
    <x v="0"/>
    <x v="0"/>
    <x v="0"/>
    <x v="0"/>
    <x v="3"/>
    <n v="835.47108605797382"/>
    <n v="201.1688921930091"/>
    <n v="0"/>
    <s v=""/>
    <x v="0"/>
  </r>
  <r>
    <x v="183"/>
    <m/>
    <x v="183"/>
    <d v="2021-10-25T00:00:00"/>
    <x v="0"/>
    <x v="0"/>
    <n v="23100"/>
    <x v="0"/>
    <x v="0"/>
    <n v="5402.33"/>
    <n v="1.63"/>
    <n v="0"/>
    <n v="0"/>
    <x v="6"/>
    <s v="100% POLYESTER TEXTURED YARN (DTY 100D"/>
    <n v="6698769"/>
    <x v="0"/>
    <n v="2559480"/>
    <x v="0"/>
    <m/>
    <d v="2023-10-25T00:00:00"/>
    <x v="0"/>
    <x v="0"/>
    <x v="0"/>
    <x v="0"/>
    <x v="0"/>
    <x v="0"/>
    <d v="2023-08-26T00:00:00"/>
    <x v="0"/>
    <x v="1"/>
    <x v="0"/>
    <x v="0"/>
    <x v="0"/>
    <x v="3"/>
    <n v="289.99"/>
    <n v="110.8"/>
    <n v="0"/>
    <s v=""/>
    <x v="0"/>
  </r>
  <r>
    <x v="184"/>
    <m/>
    <x v="184"/>
    <d v="2021-10-25T00:00:00"/>
    <x v="0"/>
    <x v="0"/>
    <n v="23100"/>
    <x v="0"/>
    <x v="0"/>
    <n v="5402.33"/>
    <n v="1.63"/>
    <n v="0"/>
    <n v="0"/>
    <x v="6"/>
    <s v="100% POLYESTER TEXTURED YARN (DTY 100D"/>
    <n v="6698769"/>
    <x v="0"/>
    <n v="2559480"/>
    <x v="0"/>
    <m/>
    <d v="2023-10-25T00:00:00"/>
    <x v="0"/>
    <x v="0"/>
    <x v="0"/>
    <x v="0"/>
    <x v="0"/>
    <x v="0"/>
    <d v="2023-08-26T00:00:00"/>
    <x v="0"/>
    <x v="1"/>
    <x v="0"/>
    <x v="0"/>
    <x v="0"/>
    <x v="3"/>
    <n v="289.99"/>
    <n v="110.8"/>
    <n v="0"/>
    <s v=""/>
    <x v="0"/>
  </r>
  <r>
    <x v="185"/>
    <m/>
    <x v="185"/>
    <d v="2021-10-29T00:00:00"/>
    <x v="0"/>
    <x v="0"/>
    <n v="1075"/>
    <x v="0"/>
    <x v="0"/>
    <n v="3507.9"/>
    <n v="1.1140000000000001"/>
    <n v="0"/>
    <n v="0"/>
    <x v="12"/>
    <s v="K-LINE BLEACH THE +BIO LOGIC  AA CARD "/>
    <n v="573818"/>
    <x v="0"/>
    <n v="211878"/>
    <x v="0"/>
    <n v="139571909"/>
    <d v="2023-10-29T00:00:00"/>
    <x v="0"/>
    <x v="0"/>
    <x v="0"/>
    <x v="0"/>
    <x v="0"/>
    <x v="0"/>
    <d v="2023-08-30T00:00:00"/>
    <x v="0"/>
    <x v="0"/>
    <x v="0"/>
    <x v="0"/>
    <x v="0"/>
    <x v="5"/>
    <n v="533.78418604651165"/>
    <n v="197.09581395348837"/>
    <n v="0"/>
    <s v=""/>
    <x v="0"/>
  </r>
  <r>
    <x v="186"/>
    <m/>
    <x v="186"/>
    <d v="2021-10-30T00:00:00"/>
    <x v="0"/>
    <x v="0"/>
    <n v="50075"/>
    <x v="0"/>
    <x v="0"/>
    <n v="1108.19"/>
    <s v="0.44 / 0.425"/>
    <n v="0"/>
    <n v="0"/>
    <x v="12"/>
    <s v="EMSIZE V (STARCH)"/>
    <n v="4541301.75"/>
    <x v="0"/>
    <n v="1745614.5"/>
    <x v="0"/>
    <m/>
    <d v="2023-10-30T00:00:00"/>
    <x v="0"/>
    <x v="0"/>
    <x v="0"/>
    <x v="0"/>
    <x v="0"/>
    <x v="0"/>
    <d v="2023-08-31T00:00:00"/>
    <x v="0"/>
    <x v="1"/>
    <x v="0"/>
    <x v="0"/>
    <x v="0"/>
    <x v="5"/>
    <n v="90.69"/>
    <n v="34.86"/>
    <n v="0"/>
    <s v=""/>
    <x v="0"/>
  </r>
  <r>
    <x v="187"/>
    <m/>
    <x v="187"/>
    <d v="2021-11-04T00:00:00"/>
    <x v="0"/>
    <x v="0"/>
    <n v="18200"/>
    <x v="0"/>
    <x v="0"/>
    <n v="3906.9029999999998"/>
    <n v="2.75"/>
    <n v="0"/>
    <n v="0"/>
    <x v="12"/>
    <s v="FLOWPRINT "/>
    <n v="8730577"/>
    <x v="0"/>
    <n v="1895853"/>
    <x v="0"/>
    <n v="139571922"/>
    <d v="2023-11-04T00:00:00"/>
    <x v="0"/>
    <x v="0"/>
    <x v="0"/>
    <x v="0"/>
    <x v="0"/>
    <x v="0"/>
    <d v="2023-09-05T00:00:00"/>
    <x v="0"/>
    <x v="0"/>
    <x v="0"/>
    <x v="0"/>
    <x v="0"/>
    <x v="5"/>
    <n v="479.70203296703295"/>
    <n v="104.16774725274725"/>
    <n v="0"/>
    <s v=""/>
    <x v="0"/>
  </r>
  <r>
    <x v="188"/>
    <m/>
    <x v="188"/>
    <d v="2021-11-06T00:00:00"/>
    <x v="0"/>
    <x v="0"/>
    <n v="21000"/>
    <x v="0"/>
    <x v="0"/>
    <n v="3204.16"/>
    <s v="3.30+3.30"/>
    <n v="0"/>
    <n v="0"/>
    <x v="5"/>
    <s v="TEXTILE DYES"/>
    <n v="11948788"/>
    <x v="0"/>
    <n v="4430276"/>
    <x v="0"/>
    <n v="139571926"/>
    <d v="2023-11-06T00:00:00"/>
    <x v="0"/>
    <x v="0"/>
    <x v="0"/>
    <x v="0"/>
    <x v="0"/>
    <x v="0"/>
    <d v="2023-09-07T00:00:00"/>
    <x v="0"/>
    <x v="0"/>
    <x v="0"/>
    <x v="0"/>
    <x v="0"/>
    <x v="4"/>
    <n v="568.98990476190477"/>
    <n v="210.9655238095238"/>
    <n v="0"/>
    <s v=""/>
    <x v="0"/>
  </r>
  <r>
    <x v="189"/>
    <m/>
    <x v="189"/>
    <d v="2021-11-08T00:00:00"/>
    <x v="0"/>
    <x v="0"/>
    <n v="16000"/>
    <x v="0"/>
    <x v="0"/>
    <n v="3906.9090000000001"/>
    <n v="2.5499999999999998"/>
    <n v="0"/>
    <n v="0"/>
    <x v="12"/>
    <s v="NEOPAT BINDER PM/S 45"/>
    <n v="7096224"/>
    <x v="0"/>
    <n v="2211802"/>
    <x v="0"/>
    <n v="139571939"/>
    <d v="2023-11-08T00:00:00"/>
    <x v="0"/>
    <x v="0"/>
    <x v="0"/>
    <x v="0"/>
    <x v="0"/>
    <x v="0"/>
    <d v="2023-09-09T00:00:00"/>
    <x v="0"/>
    <x v="0"/>
    <x v="0"/>
    <x v="0"/>
    <x v="0"/>
    <x v="5"/>
    <n v="443.51400000000001"/>
    <n v="138.23762500000001"/>
    <n v="0"/>
    <s v=""/>
    <x v="0"/>
  </r>
  <r>
    <x v="190"/>
    <m/>
    <x v="190"/>
    <d v="2021-11-09T00:00:00"/>
    <x v="0"/>
    <x v="0"/>
    <n v="24120"/>
    <x v="0"/>
    <x v="0"/>
    <n v="5402.33"/>
    <n v="1.51"/>
    <n v="0"/>
    <n v="0"/>
    <x v="6"/>
    <s v="100% VIRGIN POLYESTER YARN"/>
    <n v="6334635.5999999996"/>
    <x v="0"/>
    <n v="2693480.4"/>
    <x v="0"/>
    <m/>
    <d v="2023-11-09T00:00:00"/>
    <x v="0"/>
    <x v="0"/>
    <x v="0"/>
    <x v="0"/>
    <x v="0"/>
    <x v="0"/>
    <d v="2023-09-10T00:00:00"/>
    <x v="0"/>
    <x v="1"/>
    <x v="0"/>
    <x v="0"/>
    <x v="0"/>
    <x v="3"/>
    <n v="262.63"/>
    <n v="111.67"/>
    <n v="0"/>
    <s v=""/>
    <x v="0"/>
  </r>
  <r>
    <x v="191"/>
    <m/>
    <x v="191"/>
    <d v="2021-11-09T00:00:00"/>
    <x v="0"/>
    <x v="0"/>
    <n v="20160"/>
    <x v="0"/>
    <x v="0"/>
    <n v="2915.11"/>
    <n v="0.72499999999999998"/>
    <n v="0"/>
    <n v="0"/>
    <x v="12"/>
    <s v="FORMIC ACID 85%"/>
    <n v="2542118"/>
    <x v="0"/>
    <n v="942547"/>
    <x v="0"/>
    <n v="139571938"/>
    <d v="2023-11-09T00:00:00"/>
    <x v="0"/>
    <x v="0"/>
    <x v="0"/>
    <x v="0"/>
    <x v="0"/>
    <x v="0"/>
    <d v="2023-09-10T00:00:00"/>
    <x v="0"/>
    <x v="0"/>
    <x v="0"/>
    <x v="0"/>
    <x v="0"/>
    <x v="5"/>
    <n v="126.09712301587301"/>
    <n v="46.753323412698414"/>
    <n v="0"/>
    <s v=""/>
    <x v="0"/>
  </r>
  <r>
    <x v="192"/>
    <m/>
    <x v="192"/>
    <d v="2021-11-10T00:00:00"/>
    <x v="0"/>
    <x v="0"/>
    <n v="1760"/>
    <x v="0"/>
    <x v="0"/>
    <n v="5407.51"/>
    <n v="4.0625"/>
    <n v="0"/>
    <n v="0"/>
    <x v="11"/>
    <s v="100% GRS MICROFIBER DRY GREIGE FINISHED FABRIC"/>
    <n v="1247224"/>
    <x v="0"/>
    <n v="388748.79999999999"/>
    <x v="0"/>
    <m/>
    <d v="2023-11-10T00:00:00"/>
    <x v="0"/>
    <x v="0"/>
    <x v="0"/>
    <x v="0"/>
    <x v="0"/>
    <x v="0"/>
    <d v="2023-09-11T00:00:00"/>
    <x v="0"/>
    <x v="1"/>
    <x v="0"/>
    <x v="0"/>
    <x v="0"/>
    <x v="2"/>
    <n v="708.65"/>
    <n v="220.88"/>
    <n v="0"/>
    <s v=""/>
    <x v="0"/>
  </r>
  <r>
    <x v="193"/>
    <m/>
    <x v="193"/>
    <d v="2021-11-11T00:00:00"/>
    <x v="0"/>
    <x v="0"/>
    <n v="16000"/>
    <x v="0"/>
    <x v="0"/>
    <n v="3402.13"/>
    <n v="1.85"/>
    <n v="0"/>
    <n v="0"/>
    <x v="12"/>
    <s v="NEOPAT COMPOUND 96"/>
    <n v="5196553"/>
    <x v="0"/>
    <n v="1926736"/>
    <x v="0"/>
    <n v="139571947"/>
    <d v="2023-11-11T00:00:00"/>
    <x v="0"/>
    <x v="0"/>
    <x v="0"/>
    <x v="0"/>
    <x v="0"/>
    <x v="0"/>
    <d v="2023-09-12T00:00:00"/>
    <x v="0"/>
    <x v="0"/>
    <x v="0"/>
    <x v="0"/>
    <x v="0"/>
    <x v="5"/>
    <n v="324.78456249999999"/>
    <n v="120.42100000000001"/>
    <n v="0"/>
    <s v=""/>
    <x v="0"/>
  </r>
  <r>
    <x v="194"/>
    <m/>
    <x v="194"/>
    <d v="2021-11-11T00:00:00"/>
    <x v="0"/>
    <x v="0"/>
    <n v="7500"/>
    <x v="0"/>
    <x v="0"/>
    <n v="3204.16"/>
    <s v="18.87+13.91+9.43+9.17+12.37+9.74"/>
    <n v="0"/>
    <n v="0"/>
    <x v="5"/>
    <s v="TEXTILE DYES"/>
    <n v="14259822"/>
    <x v="0"/>
    <n v="5287142"/>
    <x v="0"/>
    <n v="139571946"/>
    <d v="2023-11-11T00:00:00"/>
    <x v="0"/>
    <x v="0"/>
    <x v="0"/>
    <x v="0"/>
    <x v="0"/>
    <x v="0"/>
    <d v="2023-09-12T00:00:00"/>
    <x v="0"/>
    <x v="0"/>
    <x v="0"/>
    <x v="0"/>
    <x v="0"/>
    <x v="4"/>
    <n v="1901.3096"/>
    <n v="704.95226666666667"/>
    <n v="0"/>
    <s v=""/>
    <x v="0"/>
  </r>
  <r>
    <x v="195"/>
    <m/>
    <x v="195"/>
    <d v="2021-11-15T00:00:00"/>
    <x v="0"/>
    <x v="0"/>
    <n v="18200"/>
    <x v="0"/>
    <x v="0"/>
    <n v="3906.9029999999998"/>
    <n v="2.0499999999999998"/>
    <n v="0"/>
    <n v="0"/>
    <x v="12"/>
    <s v="FLOPRINT TA 160 AF"/>
    <n v="6647167"/>
    <x v="0"/>
    <n v="1443439"/>
    <x v="0"/>
    <n v="139571970"/>
    <d v="2023-11-15T00:00:00"/>
    <x v="0"/>
    <x v="0"/>
    <x v="0"/>
    <x v="0"/>
    <x v="0"/>
    <x v="0"/>
    <d v="2023-09-16T00:00:00"/>
    <x v="0"/>
    <x v="0"/>
    <x v="0"/>
    <x v="0"/>
    <x v="0"/>
    <x v="5"/>
    <n v="365.22895604395603"/>
    <n v="79.309835164835164"/>
    <n v="0"/>
    <s v=""/>
    <x v="0"/>
  </r>
  <r>
    <x v="196"/>
    <m/>
    <x v="196"/>
    <d v="2021-11-15T00:00:00"/>
    <x v="0"/>
    <x v="0"/>
    <n v="40822.9"/>
    <x v="0"/>
    <x v="0"/>
    <n v="5205.13"/>
    <n v="4.7699999999999996"/>
    <n v="0"/>
    <n v="0"/>
    <x v="10"/>
    <s v="30/1 Cotton Yarn"/>
    <n v="34692338"/>
    <x v="0"/>
    <n v="8353394"/>
    <x v="0"/>
    <n v="139571953"/>
    <d v="2023-11-15T00:00:00"/>
    <x v="0"/>
    <x v="0"/>
    <x v="0"/>
    <x v="0"/>
    <x v="0"/>
    <x v="0"/>
    <d v="2023-09-16T00:00:00"/>
    <x v="0"/>
    <x v="0"/>
    <x v="0"/>
    <x v="0"/>
    <x v="0"/>
    <x v="3"/>
    <n v="849.82541661665391"/>
    <n v="204.62519811184407"/>
    <n v="0"/>
    <s v=""/>
    <x v="0"/>
  </r>
  <r>
    <x v="197"/>
    <m/>
    <x v="197"/>
    <d v="2021-11-16T00:00:00"/>
    <x v="0"/>
    <x v="0"/>
    <n v="39976.400000000001"/>
    <x v="0"/>
    <x v="0"/>
    <n v="5205.13"/>
    <n v="4.7699999999999996"/>
    <n v="0"/>
    <n v="0"/>
    <x v="10"/>
    <s v="30/1 Cotton Yarn"/>
    <n v="34274467"/>
    <x v="0"/>
    <n v="8252777"/>
    <x v="0"/>
    <n v="139571952"/>
    <d v="2023-11-16T00:00:00"/>
    <x v="0"/>
    <x v="0"/>
    <x v="0"/>
    <x v="0"/>
    <x v="0"/>
    <x v="0"/>
    <d v="2023-09-17T00:00:00"/>
    <x v="0"/>
    <x v="0"/>
    <x v="0"/>
    <x v="0"/>
    <x v="0"/>
    <x v="3"/>
    <n v="857.36752183788428"/>
    <n v="206.44122532294054"/>
    <n v="0"/>
    <s v=""/>
    <x v="0"/>
  </r>
  <r>
    <x v="198"/>
    <m/>
    <x v="198"/>
    <d v="2021-11-16T00:00:00"/>
    <x v="0"/>
    <x v="0"/>
    <n v="61257"/>
    <x v="0"/>
    <x v="0"/>
    <n v="5205.13"/>
    <n v="3.22"/>
    <n v="0"/>
    <n v="0"/>
    <x v="10"/>
    <s v="30/1 Cotton Yarn"/>
    <n v="35453592"/>
    <x v="0"/>
    <n v="8536693"/>
    <x v="0"/>
    <n v="139571954"/>
    <d v="2023-11-16T00:00:00"/>
    <x v="0"/>
    <x v="0"/>
    <x v="0"/>
    <x v="0"/>
    <x v="0"/>
    <x v="0"/>
    <d v="2023-09-17T00:00:00"/>
    <x v="0"/>
    <x v="0"/>
    <x v="0"/>
    <x v="0"/>
    <x v="0"/>
    <x v="3"/>
    <n v="578.76801018659091"/>
    <n v="139.35865288864946"/>
    <n v="0"/>
    <s v=""/>
    <x v="0"/>
  </r>
  <r>
    <x v="199"/>
    <m/>
    <x v="199"/>
    <d v="2021-11-18T00:00:00"/>
    <x v="0"/>
    <x v="0"/>
    <n v="1275"/>
    <x v="0"/>
    <x v="0"/>
    <n v="5210.1099999999997"/>
    <n v="17.515000000000001"/>
    <n v="0"/>
    <n v="0"/>
    <x v="2"/>
    <s v="BLENDED FABRIC  73%CTN / 25%POLY / 2%SP ,"/>
    <n v="3995748"/>
    <x v="0"/>
    <n v="1245420"/>
    <x v="0"/>
    <m/>
    <d v="2023-11-18T00:00:00"/>
    <x v="0"/>
    <x v="0"/>
    <x v="0"/>
    <x v="0"/>
    <x v="0"/>
    <x v="0"/>
    <d v="2023-09-19T00:00:00"/>
    <x v="0"/>
    <x v="1"/>
    <x v="0"/>
    <x v="0"/>
    <x v="0"/>
    <x v="2"/>
    <n v="3133.92"/>
    <n v="976.8"/>
    <n v="0"/>
    <s v=""/>
    <x v="0"/>
  </r>
  <r>
    <x v="200"/>
    <m/>
    <x v="200"/>
    <d v="2021-11-23T00:00:00"/>
    <x v="0"/>
    <x v="0"/>
    <n v="16000"/>
    <x v="0"/>
    <x v="0"/>
    <n v="3906.9090000000001"/>
    <n v="2.5499999999999998"/>
    <n v="0"/>
    <n v="0"/>
    <x v="12"/>
    <s v="NEOPAT BINDER PM/S 45%)"/>
    <n v="6565440"/>
    <x v="0"/>
    <n v="2046400"/>
    <x v="0"/>
    <m/>
    <d v="2023-11-23T00:00:00"/>
    <x v="0"/>
    <x v="0"/>
    <x v="0"/>
    <x v="0"/>
    <x v="0"/>
    <x v="0"/>
    <d v="2023-09-24T00:00:00"/>
    <x v="0"/>
    <x v="1"/>
    <x v="0"/>
    <x v="0"/>
    <x v="0"/>
    <x v="5"/>
    <n v="410.34"/>
    <n v="127.9"/>
    <n v="0"/>
    <s v=""/>
    <x v="0"/>
  </r>
  <r>
    <x v="201"/>
    <m/>
    <x v="201"/>
    <d v="2021-11-23T00:00:00"/>
    <x v="0"/>
    <x v="0"/>
    <n v="16000"/>
    <x v="0"/>
    <x v="0"/>
    <n v="3906.9090000000001"/>
    <n v="2.5499999999999998"/>
    <n v="0"/>
    <n v="0"/>
    <x v="12"/>
    <s v="NEOPAT BINDER PM/S 45"/>
    <n v="7312640"/>
    <x v="0"/>
    <n v="2279200"/>
    <x v="0"/>
    <m/>
    <d v="2023-11-23T00:00:00"/>
    <x v="0"/>
    <x v="0"/>
    <x v="0"/>
    <x v="0"/>
    <x v="0"/>
    <x v="0"/>
    <d v="2023-09-24T00:00:00"/>
    <x v="0"/>
    <x v="1"/>
    <x v="0"/>
    <x v="0"/>
    <x v="0"/>
    <x v="5"/>
    <n v="457.04"/>
    <n v="142.44999999999999"/>
    <n v="0"/>
    <s v=""/>
    <x v="0"/>
  </r>
  <r>
    <x v="202"/>
    <m/>
    <x v="202"/>
    <d v="2021-11-24T00:00:00"/>
    <x v="0"/>
    <x v="0"/>
    <n v="24480"/>
    <x v="0"/>
    <x v="0"/>
    <n v="5402.33"/>
    <n v="1.64"/>
    <n v="0"/>
    <n v="0"/>
    <x v="6"/>
    <s v="100% POLYESTER YARN (DTY 100D/48F "/>
    <n v="7177291.2000000002"/>
    <x v="0"/>
    <n v="3051676.8"/>
    <x v="0"/>
    <m/>
    <d v="2023-11-24T00:00:00"/>
    <x v="0"/>
    <x v="0"/>
    <x v="0"/>
    <x v="0"/>
    <x v="0"/>
    <x v="0"/>
    <d v="2023-09-25T00:00:00"/>
    <x v="0"/>
    <x v="1"/>
    <x v="0"/>
    <x v="0"/>
    <x v="0"/>
    <x v="3"/>
    <n v="293.19"/>
    <n v="124.66"/>
    <n v="0"/>
    <s v=""/>
    <x v="0"/>
  </r>
  <r>
    <x v="203"/>
    <m/>
    <x v="203"/>
    <d v="2021-11-26T00:00:00"/>
    <x v="0"/>
    <x v="0"/>
    <n v="5280"/>
    <x v="0"/>
    <x v="0"/>
    <n v="3402.13"/>
    <n v="3.8"/>
    <n v="0"/>
    <n v="0"/>
    <x v="12"/>
    <s v="KOLLASOL CDA"/>
    <n v="4036348.8000000003"/>
    <x v="0"/>
    <n v="1496563.2"/>
    <x v="0"/>
    <m/>
    <d v="2023-11-26T00:00:00"/>
    <x v="0"/>
    <x v="0"/>
    <x v="0"/>
    <x v="0"/>
    <x v="0"/>
    <x v="0"/>
    <d v="2023-09-27T00:00:00"/>
    <x v="0"/>
    <x v="1"/>
    <x v="0"/>
    <x v="0"/>
    <x v="0"/>
    <x v="5"/>
    <n v="764.46"/>
    <n v="283.44"/>
    <n v="0"/>
    <s v=""/>
    <x v="0"/>
  </r>
  <r>
    <x v="204"/>
    <m/>
    <x v="204"/>
    <d v="2021-11-30T00:00:00"/>
    <x v="0"/>
    <x v="0"/>
    <n v="5000"/>
    <x v="0"/>
    <x v="0"/>
    <n v="3204.16"/>
    <n v="4.0039999999999996"/>
    <n v="0"/>
    <n v="0"/>
    <x v="5"/>
    <s v="DYES (FASFA BLACK C-ECO"/>
    <n v="3592301"/>
    <x v="0"/>
    <n v="1331925"/>
    <x v="0"/>
    <n v="139572012"/>
    <d v="2023-11-30T00:00:00"/>
    <x v="0"/>
    <x v="0"/>
    <x v="0"/>
    <x v="0"/>
    <x v="0"/>
    <x v="0"/>
    <d v="2023-10-01T00:00:00"/>
    <x v="0"/>
    <x v="0"/>
    <x v="0"/>
    <x v="0"/>
    <x v="0"/>
    <x v="4"/>
    <n v="718.46019999999999"/>
    <n v="266.38499999999999"/>
    <n v="0"/>
    <s v=""/>
    <x v="0"/>
  </r>
  <r>
    <x v="205"/>
    <m/>
    <x v="205"/>
    <d v="2021-11-30T00:00:00"/>
    <x v="0"/>
    <x v="0"/>
    <n v="60509.9"/>
    <x v="0"/>
    <x v="0"/>
    <n v="5205.13"/>
    <n v="3.3"/>
    <n v="0"/>
    <n v="0"/>
    <x v="10"/>
    <s v="30/1 Cotton Yarn"/>
    <n v="1210803.0990000002"/>
    <x v="0"/>
    <n v="291657.71800000005"/>
    <x v="0"/>
    <m/>
    <d v="2023-11-30T00:00:00"/>
    <x v="0"/>
    <x v="0"/>
    <x v="0"/>
    <x v="0"/>
    <x v="0"/>
    <x v="0"/>
    <d v="2023-10-01T00:00:00"/>
    <x v="0"/>
    <x v="0"/>
    <x v="0"/>
    <x v="0"/>
    <x v="0"/>
    <x v="3"/>
    <n v="20.010000000000002"/>
    <n v="4.8200000000000012"/>
    <n v="0"/>
    <s v=""/>
    <x v="0"/>
  </r>
  <r>
    <x v="206"/>
    <m/>
    <x v="206"/>
    <d v="2021-11-30T00:00:00"/>
    <x v="0"/>
    <x v="0"/>
    <n v="39741"/>
    <x v="0"/>
    <x v="0"/>
    <n v="5205.13"/>
    <n v="4.7699999999999996"/>
    <n v="0"/>
    <n v="0"/>
    <x v="10"/>
    <s v="30/1 Cotton Yarn"/>
    <n v="34014630"/>
    <x v="0"/>
    <n v="8190214"/>
    <x v="0"/>
    <n v="139572006"/>
    <d v="2023-11-30T00:00:00"/>
    <x v="0"/>
    <x v="0"/>
    <x v="0"/>
    <x v="0"/>
    <x v="0"/>
    <x v="0"/>
    <d v="2023-10-01T00:00:00"/>
    <x v="0"/>
    <x v="0"/>
    <x v="0"/>
    <x v="0"/>
    <x v="0"/>
    <x v="3"/>
    <n v="855.90775269872427"/>
    <n v="206.08978133413854"/>
    <n v="0"/>
    <s v=""/>
    <x v="0"/>
  </r>
  <r>
    <x v="207"/>
    <m/>
    <x v="207"/>
    <d v="2021-11-30T00:00:00"/>
    <x v="0"/>
    <x v="0"/>
    <n v="40518.400000000001"/>
    <x v="0"/>
    <x v="0"/>
    <n v="5205.13"/>
    <n v="3.3"/>
    <n v="0"/>
    <n v="0"/>
    <x v="10"/>
    <s v="30/1 Cotton Yarn"/>
    <n v="23992462"/>
    <x v="0"/>
    <n v="5777024"/>
    <x v="0"/>
    <n v="139572007"/>
    <d v="2023-11-30T00:00:00"/>
    <x v="0"/>
    <x v="0"/>
    <x v="0"/>
    <x v="0"/>
    <x v="0"/>
    <x v="0"/>
    <d v="2023-10-01T00:00:00"/>
    <x v="0"/>
    <x v="0"/>
    <x v="0"/>
    <x v="0"/>
    <x v="0"/>
    <x v="3"/>
    <n v="592.13744866529771"/>
    <n v="142.57779181803821"/>
    <n v="0"/>
    <s v=""/>
    <x v="0"/>
  </r>
  <r>
    <x v="208"/>
    <m/>
    <x v="208"/>
    <d v="2021-11-30T00:00:00"/>
    <x v="0"/>
    <x v="0"/>
    <n v="40085.1"/>
    <x v="0"/>
    <x v="0"/>
    <n v="5205.13"/>
    <n v="3.3"/>
    <n v="0"/>
    <n v="0"/>
    <x v="10"/>
    <s v="30/1 Cotton Yarn"/>
    <n v="23735889"/>
    <x v="0"/>
    <n v="5715245"/>
    <x v="0"/>
    <n v="139572004"/>
    <d v="2023-11-30T00:00:00"/>
    <x v="0"/>
    <x v="0"/>
    <x v="0"/>
    <x v="0"/>
    <x v="0"/>
    <x v="0"/>
    <d v="2023-10-01T00:00:00"/>
    <x v="0"/>
    <x v="0"/>
    <x v="0"/>
    <x v="0"/>
    <x v="0"/>
    <x v="3"/>
    <n v="592.13745256965808"/>
    <n v="142.57779075017899"/>
    <n v="0"/>
    <s v=""/>
    <x v="0"/>
  </r>
  <r>
    <x v="209"/>
    <m/>
    <x v="209"/>
    <d v="2021-12-01T00:00:00"/>
    <x v="0"/>
    <x v="0"/>
    <n v="5000"/>
    <x v="0"/>
    <x v="0"/>
    <n v="3204.2"/>
    <n v="7.6719999999999997"/>
    <n v="0"/>
    <n v="0"/>
    <x v="5"/>
    <s v="TEXTILE DYES (VEEBRIGH EHT)"/>
    <n v="6912500"/>
    <x v="0"/>
    <n v="2889700.0000000005"/>
    <x v="0"/>
    <m/>
    <d v="2023-12-01T00:00:00"/>
    <x v="0"/>
    <x v="0"/>
    <x v="0"/>
    <x v="0"/>
    <x v="0"/>
    <x v="0"/>
    <d v="2023-10-02T00:00:00"/>
    <x v="0"/>
    <x v="1"/>
    <x v="0"/>
    <x v="0"/>
    <x v="0"/>
    <x v="4"/>
    <n v="1382.5"/>
    <n v="577.94000000000005"/>
    <n v="0"/>
    <s v=""/>
    <x v="0"/>
  </r>
  <r>
    <x v="210"/>
    <m/>
    <x v="210"/>
    <d v="2021-12-02T00:00:00"/>
    <x v="0"/>
    <x v="0"/>
    <n v="18200"/>
    <x v="0"/>
    <x v="0"/>
    <n v="3906.9029999999998"/>
    <n v="2.0499999999999998"/>
    <n v="0"/>
    <n v="0"/>
    <x v="12"/>
    <s v="FLOPRINT TA "/>
    <n v="6704334"/>
    <x v="0"/>
    <n v="1455818"/>
    <x v="0"/>
    <m/>
    <d v="2023-12-02T00:00:00"/>
    <x v="0"/>
    <x v="0"/>
    <x v="0"/>
    <x v="0"/>
    <x v="0"/>
    <x v="0"/>
    <d v="2023-10-03T00:00:00"/>
    <x v="0"/>
    <x v="0"/>
    <x v="0"/>
    <x v="0"/>
    <x v="0"/>
    <x v="5"/>
    <n v="368.37"/>
    <n v="79.989999999999995"/>
    <n v="0"/>
    <s v=""/>
    <x v="0"/>
  </r>
  <r>
    <x v="211"/>
    <m/>
    <x v="211"/>
    <d v="2021-12-03T00:00:00"/>
    <x v="0"/>
    <x v="0"/>
    <n v="1500"/>
    <x v="0"/>
    <x v="0"/>
    <n v="3204.16"/>
    <n v="9.4742999999999995"/>
    <n v="0"/>
    <n v="0"/>
    <x v="5"/>
    <s v="TEXTILE DYES (BEMACRON SMART ORANGE EE"/>
    <n v="2550040"/>
    <x v="0"/>
    <n v="945483"/>
    <x v="0"/>
    <n v="139572015"/>
    <d v="2023-12-03T00:00:00"/>
    <x v="0"/>
    <x v="0"/>
    <x v="0"/>
    <x v="0"/>
    <x v="0"/>
    <x v="0"/>
    <d v="2023-10-04T00:00:00"/>
    <x v="0"/>
    <x v="0"/>
    <x v="0"/>
    <x v="0"/>
    <x v="0"/>
    <x v="4"/>
    <n v="1700.0266666666666"/>
    <n v="630.322"/>
    <n v="0"/>
    <s v=""/>
    <x v="0"/>
  </r>
  <r>
    <x v="212"/>
    <m/>
    <x v="212"/>
    <d v="2021-12-03T00:00:00"/>
    <x v="0"/>
    <x v="0"/>
    <n v="24480"/>
    <x v="0"/>
    <x v="0"/>
    <n v="5402.33"/>
    <n v="1.64"/>
    <n v="0"/>
    <n v="0"/>
    <x v="6"/>
    <s v="100% POLYESTER YARN (DTY 100D/48F"/>
    <n v="7203729.5999999996"/>
    <x v="0"/>
    <n v="3062937.6000000001"/>
    <x v="0"/>
    <m/>
    <d v="2023-12-03T00:00:00"/>
    <x v="0"/>
    <x v="0"/>
    <x v="0"/>
    <x v="0"/>
    <x v="0"/>
    <x v="0"/>
    <d v="2023-10-04T00:00:00"/>
    <x v="0"/>
    <x v="1"/>
    <x v="0"/>
    <x v="0"/>
    <x v="0"/>
    <x v="3"/>
    <n v="294.27"/>
    <n v="125.12"/>
    <n v="0"/>
    <s v=""/>
    <x v="0"/>
  </r>
  <r>
    <x v="213"/>
    <m/>
    <x v="213"/>
    <d v="2021-12-06T00:00:00"/>
    <x v="0"/>
    <x v="0"/>
    <n v="12145"/>
    <x v="0"/>
    <x v="0"/>
    <n v="5407.52"/>
    <n v="5.8258000000000001"/>
    <n v="0"/>
    <n v="0"/>
    <x v="11"/>
    <s v="100% POLY MICROFIBER FABRIC"/>
    <n v="12768038.5"/>
    <x v="0"/>
    <n v="4733999.55"/>
    <x v="0"/>
    <m/>
    <d v="2023-12-06T00:00:00"/>
    <x v="0"/>
    <x v="0"/>
    <x v="0"/>
    <x v="0"/>
    <x v="0"/>
    <x v="0"/>
    <d v="2023-10-07T00:00:00"/>
    <x v="0"/>
    <x v="1"/>
    <x v="0"/>
    <x v="0"/>
    <x v="0"/>
    <x v="2"/>
    <n v="1051.3"/>
    <n v="389.78999999999996"/>
    <n v="0"/>
    <s v=""/>
    <x v="0"/>
  </r>
  <r>
    <x v="214"/>
    <m/>
    <x v="214"/>
    <d v="2021-12-06T00:00:00"/>
    <x v="0"/>
    <x v="0"/>
    <n v="19874.400000000001"/>
    <x v="0"/>
    <x v="0"/>
    <n v="5205.13"/>
    <n v="3.3"/>
    <n v="0"/>
    <n v="0"/>
    <x v="10"/>
    <s v="30/1 Cotton Yarn"/>
    <n v="11835280"/>
    <x v="0"/>
    <n v="2849757"/>
    <x v="0"/>
    <n v="139572024"/>
    <d v="2023-12-06T00:00:00"/>
    <x v="0"/>
    <x v="0"/>
    <x v="0"/>
    <x v="0"/>
    <x v="0"/>
    <x v="0"/>
    <d v="2023-10-07T00:00:00"/>
    <x v="0"/>
    <x v="0"/>
    <x v="0"/>
    <x v="0"/>
    <x v="0"/>
    <x v="3"/>
    <n v="595.50376363563169"/>
    <n v="143.38832870426276"/>
    <n v="0"/>
    <s v=""/>
    <x v="0"/>
  </r>
  <r>
    <x v="215"/>
    <m/>
    <x v="215"/>
    <d v="2021-12-06T00:00:00"/>
    <x v="0"/>
    <x v="0"/>
    <n v="19847.7"/>
    <x v="0"/>
    <x v="0"/>
    <n v="5205.13"/>
    <n v="3.3"/>
    <n v="0"/>
    <n v="0"/>
    <x v="10"/>
    <s v="30/1 Cotton Yarn"/>
    <n v="11819380"/>
    <x v="0"/>
    <n v="2845929"/>
    <x v="0"/>
    <n v="139572023"/>
    <d v="2023-12-06T00:00:00"/>
    <x v="0"/>
    <x v="0"/>
    <x v="0"/>
    <x v="0"/>
    <x v="0"/>
    <x v="0"/>
    <d v="2023-10-07T00:00:00"/>
    <x v="0"/>
    <x v="0"/>
    <x v="0"/>
    <x v="0"/>
    <x v="0"/>
    <x v="3"/>
    <n v="595.5037611410894"/>
    <n v="143.38835230278571"/>
    <n v="0"/>
    <s v=""/>
    <x v="0"/>
  </r>
  <r>
    <x v="216"/>
    <m/>
    <x v="216"/>
    <d v="2021-12-13T00:00:00"/>
    <x v="0"/>
    <x v="0"/>
    <n v="2002.9"/>
    <x v="0"/>
    <x v="0"/>
    <n v="5210.49"/>
    <n v="10.8268"/>
    <n v="0"/>
    <n v="0"/>
    <x v="2"/>
    <s v="BLENDED POLYESTER MESH FABRIC 88% POLYESTER 12%"/>
    <n v="3939724.3290000004"/>
    <x v="0"/>
    <n v="1227957.9610000001"/>
    <x v="0"/>
    <m/>
    <d v="2023-12-13T00:00:00"/>
    <x v="0"/>
    <x v="0"/>
    <x v="0"/>
    <x v="0"/>
    <x v="0"/>
    <x v="0"/>
    <d v="2023-10-14T00:00:00"/>
    <x v="0"/>
    <x v="1"/>
    <x v="0"/>
    <x v="0"/>
    <x v="0"/>
    <x v="2"/>
    <n v="1967.01"/>
    <n v="613.09"/>
    <n v="0"/>
    <s v=""/>
    <x v="0"/>
  </r>
  <r>
    <x v="217"/>
    <m/>
    <x v="217"/>
    <d v="2021-12-14T00:00:00"/>
    <x v="0"/>
    <x v="0"/>
    <n v="24480"/>
    <x v="0"/>
    <x v="0"/>
    <n v="5402.33"/>
    <n v="1.64"/>
    <n v="0"/>
    <n v="0"/>
    <x v="6"/>
    <s v="100% POLYESTER YARN (DTY 100D/48F)"/>
    <n v="7296019.2000000002"/>
    <x v="0"/>
    <n v="3102105.6000000001"/>
    <x v="0"/>
    <m/>
    <d v="2023-12-14T00:00:00"/>
    <x v="0"/>
    <x v="0"/>
    <x v="0"/>
    <x v="0"/>
    <x v="0"/>
    <x v="0"/>
    <d v="2023-10-15T00:00:00"/>
    <x v="0"/>
    <x v="1"/>
    <x v="0"/>
    <x v="0"/>
    <x v="0"/>
    <x v="3"/>
    <n v="298.04000000000002"/>
    <n v="126.72"/>
    <n v="0"/>
    <s v=""/>
    <x v="0"/>
  </r>
  <r>
    <x v="218"/>
    <m/>
    <x v="218"/>
    <d v="2021-12-14T00:00:00"/>
    <x v="1"/>
    <x v="0"/>
    <n v="7532"/>
    <x v="0"/>
    <x v="0"/>
    <n v="5807.1019999999999"/>
    <n v="3.6644999999999999"/>
    <n v="0"/>
    <n v="0"/>
    <x v="9"/>
    <s v="WOVEN EDGE SATIN RIBBONS "/>
    <n v="5015935.4000000004"/>
    <x v="0"/>
    <n v="2032736.16"/>
    <x v="0"/>
    <m/>
    <d v="2023-12-14T00:00:00"/>
    <x v="0"/>
    <x v="0"/>
    <x v="0"/>
    <x v="0"/>
    <x v="0"/>
    <x v="0"/>
    <d v="2023-10-15T00:00:00"/>
    <x v="0"/>
    <x v="1"/>
    <x v="0"/>
    <x v="0"/>
    <x v="0"/>
    <x v="6"/>
    <n v="665.95"/>
    <n v="269.88"/>
    <n v="0"/>
    <s v=""/>
    <x v="0"/>
  </r>
  <r>
    <x v="219"/>
    <m/>
    <x v="219"/>
    <d v="2021-12-15T00:00:00"/>
    <x v="0"/>
    <x v="0"/>
    <n v="36000"/>
    <x v="0"/>
    <x v="0"/>
    <n v="3809.9189999999999"/>
    <n v="2.5"/>
    <n v="0"/>
    <n v="0"/>
    <x v="12"/>
    <s v="SUPER SIZE SIZING PRODUCTS FOR"/>
    <n v="16374135"/>
    <x v="0"/>
    <n v="6071071"/>
    <x v="0"/>
    <n v="139567796"/>
    <d v="2023-12-15T00:00:00"/>
    <x v="0"/>
    <x v="0"/>
    <x v="0"/>
    <x v="0"/>
    <x v="0"/>
    <x v="0"/>
    <d v="2023-10-16T00:00:00"/>
    <x v="0"/>
    <x v="0"/>
    <x v="0"/>
    <x v="0"/>
    <x v="0"/>
    <x v="5"/>
    <n v="454.83708333333334"/>
    <n v="168.64086111111112"/>
    <n v="0"/>
    <s v=""/>
    <x v="0"/>
  </r>
  <r>
    <x v="220"/>
    <m/>
    <x v="220"/>
    <d v="2021-12-16T00:00:00"/>
    <x v="0"/>
    <x v="0"/>
    <n v="18000"/>
    <x v="0"/>
    <x v="0"/>
    <n v="3809.9189999999999"/>
    <n v="2.5"/>
    <n v="0"/>
    <n v="0"/>
    <x v="12"/>
    <s v="SUPER SIZE -SIZING PRODUCTS "/>
    <n v="8187120"/>
    <x v="0"/>
    <n v="3035519.9999999995"/>
    <x v="0"/>
    <m/>
    <d v="2023-12-16T00:00:00"/>
    <x v="0"/>
    <x v="0"/>
    <x v="0"/>
    <x v="0"/>
    <x v="0"/>
    <x v="0"/>
    <d v="2023-10-17T00:00:00"/>
    <x v="0"/>
    <x v="0"/>
    <x v="0"/>
    <x v="0"/>
    <x v="0"/>
    <x v="5"/>
    <n v="454.84"/>
    <n v="168.64"/>
    <n v="0"/>
    <s v=""/>
    <x v="0"/>
  </r>
  <r>
    <x v="221"/>
    <m/>
    <x v="221"/>
    <d v="2021-12-16T00:00:00"/>
    <x v="0"/>
    <x v="0"/>
    <n v="19600"/>
    <x v="0"/>
    <x v="0"/>
    <n v="3402.13"/>
    <s v="1.85000_x000a_4.05000_x000a_3.95000"/>
    <n v="0"/>
    <n v="0"/>
    <x v="12"/>
    <s v="NEOPAT COMPOUND 96_x000a_ANTISCHIUMA NEOPAT N_x000a_TILASOL"/>
    <n v="8005228"/>
    <x v="0"/>
    <n v="2968028"/>
    <x v="0"/>
    <m/>
    <d v="2023-12-16T00:00:00"/>
    <x v="0"/>
    <x v="0"/>
    <x v="0"/>
    <x v="0"/>
    <x v="0"/>
    <x v="0"/>
    <d v="2023-10-17T00:00:00"/>
    <x v="0"/>
    <x v="1"/>
    <x v="0"/>
    <x v="0"/>
    <x v="0"/>
    <x v="5"/>
    <n v="408.43"/>
    <n v="151.43"/>
    <n v="0"/>
    <s v=""/>
    <x v="0"/>
  </r>
  <r>
    <x v="222"/>
    <m/>
    <x v="222"/>
    <d v="2021-12-17T00:00:00"/>
    <x v="0"/>
    <x v="0"/>
    <n v="24480"/>
    <x v="0"/>
    <x v="0"/>
    <n v="5402.33"/>
    <n v="1.64"/>
    <n v="0"/>
    <n v="0"/>
    <x v="6"/>
    <s v="100% POLYESTER YARN (DTY 100D/48F"/>
    <n v="7308259.2000000002"/>
    <x v="0"/>
    <n v="3107491.1999999997"/>
    <x v="0"/>
    <m/>
    <d v="2023-12-17T00:00:00"/>
    <x v="0"/>
    <x v="0"/>
    <x v="0"/>
    <x v="0"/>
    <x v="0"/>
    <x v="0"/>
    <d v="2023-10-18T00:00:00"/>
    <x v="0"/>
    <x v="1"/>
    <x v="0"/>
    <x v="0"/>
    <x v="0"/>
    <x v="3"/>
    <n v="298.54000000000002"/>
    <n v="126.93999999999998"/>
    <n v="0"/>
    <s v=""/>
    <x v="0"/>
  </r>
  <r>
    <x v="223"/>
    <m/>
    <x v="223"/>
    <d v="2021-12-18T00:00:00"/>
    <x v="0"/>
    <x v="0"/>
    <n v="18144"/>
    <x v="0"/>
    <x v="0"/>
    <n v="5205.2700000000004"/>
    <n v="6.52"/>
    <n v="0"/>
    <n v="0"/>
    <x v="10"/>
    <s v="60/1 cotton yarn "/>
    <n v="21534750.720000003"/>
    <x v="0"/>
    <n v="5185192.3199999994"/>
    <x v="0"/>
    <m/>
    <d v="2023-12-18T00:00:00"/>
    <x v="0"/>
    <x v="0"/>
    <x v="0"/>
    <x v="0"/>
    <x v="0"/>
    <x v="0"/>
    <d v="2023-10-19T00:00:00"/>
    <x v="0"/>
    <x v="0"/>
    <x v="0"/>
    <x v="0"/>
    <x v="0"/>
    <x v="3"/>
    <n v="1186.8800000000001"/>
    <n v="285.77999999999997"/>
    <n v="0"/>
    <s v=""/>
    <x v="0"/>
  </r>
  <r>
    <x v="224"/>
    <m/>
    <x v="224"/>
    <d v="2021-12-18T00:00:00"/>
    <x v="0"/>
    <x v="0"/>
    <n v="18144"/>
    <x v="0"/>
    <x v="0"/>
    <n v="5205.2700000000004"/>
    <n v="6.52"/>
    <n v="0"/>
    <n v="0"/>
    <x v="10"/>
    <s v="60/1 Cotton Yarn"/>
    <n v="21534750.720000003"/>
    <x v="0"/>
    <n v="5186280.96"/>
    <x v="0"/>
    <m/>
    <d v="2023-12-18T00:00:00"/>
    <x v="0"/>
    <x v="0"/>
    <x v="0"/>
    <x v="0"/>
    <x v="0"/>
    <x v="0"/>
    <d v="2023-10-19T00:00:00"/>
    <x v="0"/>
    <x v="0"/>
    <x v="0"/>
    <x v="0"/>
    <x v="0"/>
    <x v="3"/>
    <n v="1186.8800000000001"/>
    <n v="285.83999999999997"/>
    <n v="0"/>
    <s v=""/>
    <x v="0"/>
  </r>
  <r>
    <x v="225"/>
    <m/>
    <x v="225"/>
    <d v="2021-12-23T00:00:00"/>
    <x v="0"/>
    <x v="0"/>
    <n v="24480"/>
    <x v="0"/>
    <x v="0"/>
    <n v="5402.33"/>
    <n v="1.85"/>
    <n v="0"/>
    <n v="0"/>
    <x v="6"/>
    <s v="100% POLYESTER TEXTURED YARN"/>
    <n v="8246332.8000000007"/>
    <x v="0"/>
    <n v="3506270.4"/>
    <x v="0"/>
    <m/>
    <d v="2023-12-23T00:00:00"/>
    <x v="0"/>
    <x v="0"/>
    <x v="0"/>
    <x v="0"/>
    <x v="0"/>
    <x v="0"/>
    <d v="2023-10-24T00:00:00"/>
    <x v="0"/>
    <x v="1"/>
    <x v="0"/>
    <x v="0"/>
    <x v="0"/>
    <x v="3"/>
    <n v="336.86"/>
    <n v="143.22999999999999"/>
    <n v="0"/>
    <s v=""/>
    <x v="0"/>
  </r>
  <r>
    <x v="226"/>
    <m/>
    <x v="226"/>
    <d v="2021-12-24T00:00:00"/>
    <x v="0"/>
    <x v="0"/>
    <n v="6300"/>
    <x v="0"/>
    <x v="0"/>
    <n v="3204.16"/>
    <n v="7.4508000000000001"/>
    <n v="0"/>
    <n v="0"/>
    <x v="5"/>
    <s v=" TEXTILE DYES"/>
    <n v="8551999"/>
    <x v="0"/>
    <n v="3170842"/>
    <x v="0"/>
    <n v="139567810"/>
    <d v="2023-12-24T00:00:00"/>
    <x v="0"/>
    <x v="0"/>
    <x v="0"/>
    <x v="0"/>
    <x v="0"/>
    <x v="0"/>
    <d v="2023-10-25T00:00:00"/>
    <x v="0"/>
    <x v="0"/>
    <x v="0"/>
    <x v="0"/>
    <x v="0"/>
    <x v="4"/>
    <n v="1357.4601587301588"/>
    <n v="503.30825396825395"/>
    <n v="0"/>
    <s v=""/>
    <x v="0"/>
  </r>
  <r>
    <x v="227"/>
    <m/>
    <x v="227"/>
    <d v="2021-12-24T00:00:00"/>
    <x v="0"/>
    <x v="0"/>
    <n v="8000"/>
    <x v="0"/>
    <x v="0"/>
    <n v="3204.16"/>
    <n v="5.9569999999999999"/>
    <n v="0"/>
    <n v="0"/>
    <x v="5"/>
    <s v="TEXTILE DYES (REMAZOL BLUE"/>
    <n v="7989062"/>
    <x v="0"/>
    <n v="2962121"/>
    <x v="0"/>
    <n v="139567809"/>
    <d v="2023-12-24T00:00:00"/>
    <x v="0"/>
    <x v="0"/>
    <x v="0"/>
    <x v="0"/>
    <x v="0"/>
    <x v="0"/>
    <d v="2023-10-25T00:00:00"/>
    <x v="0"/>
    <x v="0"/>
    <x v="0"/>
    <x v="0"/>
    <x v="0"/>
    <x v="4"/>
    <n v="998.63274999999999"/>
    <n v="370.26512500000001"/>
    <n v="0"/>
    <s v=""/>
    <x v="0"/>
  </r>
  <r>
    <x v="228"/>
    <m/>
    <x v="228"/>
    <d v="2021-12-28T00:00:00"/>
    <x v="0"/>
    <x v="0"/>
    <n v="12960"/>
    <x v="0"/>
    <x v="0"/>
    <s v="3402.1300_x000a_3402.1990_x000a_3809.9190"/>
    <s v="2.18_x000a_2.65_x000a_4.2"/>
    <n v="0"/>
    <n v="0"/>
    <x v="12"/>
    <s v="WETMATIC WTL / DYMAFIX_x000a_(total remaing 1317.96 Kgs)"/>
    <n v="6014476.7999999998"/>
    <x v="0"/>
    <n v="2406931.2000000002"/>
    <x v="0"/>
    <m/>
    <d v="2023-12-28T00:00:00"/>
    <x v="0"/>
    <x v="0"/>
    <x v="0"/>
    <x v="0"/>
    <x v="0"/>
    <x v="0"/>
    <d v="2023-10-29T00:00:00"/>
    <x v="0"/>
    <x v="1"/>
    <x v="0"/>
    <x v="0"/>
    <x v="0"/>
    <x v="5"/>
    <n v="464.08"/>
    <n v="185.72000000000003"/>
    <n v="0"/>
    <s v=""/>
    <x v="0"/>
  </r>
  <r>
    <x v="229"/>
    <m/>
    <x v="229"/>
    <d v="2021-12-28T00:00:00"/>
    <x v="0"/>
    <x v="0"/>
    <n v="230.4"/>
    <x v="0"/>
    <x v="0"/>
    <n v="5402.33"/>
    <n v="30.83"/>
    <n v="0"/>
    <n v="0"/>
    <x v="15"/>
    <s v="POLYESTER ELASTOLEFIN YARN"/>
    <n v="1294154.496"/>
    <x v="0"/>
    <n v="403370.49599999998"/>
    <x v="0"/>
    <m/>
    <d v="2023-12-28T00:00:00"/>
    <x v="0"/>
    <x v="0"/>
    <x v="0"/>
    <x v="0"/>
    <x v="0"/>
    <x v="0"/>
    <d v="2023-10-29T00:00:00"/>
    <x v="0"/>
    <x v="1"/>
    <x v="0"/>
    <x v="0"/>
    <x v="0"/>
    <x v="3"/>
    <n v="5616.99"/>
    <n v="1750.7399999999998"/>
    <n v="0"/>
    <s v=""/>
    <x v="0"/>
  </r>
  <r>
    <x v="230"/>
    <m/>
    <x v="230"/>
    <d v="2021-12-30T00:00:00"/>
    <x v="0"/>
    <x v="0"/>
    <n v="3000"/>
    <x v="0"/>
    <x v="0"/>
    <n v="3204.16"/>
    <s v="16.40_x000a_19.24_x000a_8"/>
    <n v="0"/>
    <n v="0"/>
    <x v="5"/>
    <s v="TEXTILE DYES (NOVACRON BLUE "/>
    <n v="8459620"/>
    <x v="0"/>
    <n v="3136590"/>
    <x v="0"/>
    <n v="139567832"/>
    <d v="2023-12-30T00:00:00"/>
    <x v="0"/>
    <x v="0"/>
    <x v="0"/>
    <x v="0"/>
    <x v="0"/>
    <x v="0"/>
    <d v="2023-10-31T00:00:00"/>
    <x v="0"/>
    <x v="0"/>
    <x v="0"/>
    <x v="0"/>
    <x v="0"/>
    <x v="4"/>
    <n v="2819.8733333333334"/>
    <n v="1045.53"/>
    <n v="0"/>
    <s v=""/>
    <x v="0"/>
  </r>
  <r>
    <x v="231"/>
    <m/>
    <x v="231"/>
    <d v="2021-12-31T00:00:00"/>
    <x v="0"/>
    <x v="0"/>
    <n v="20173.400000000001"/>
    <x v="0"/>
    <x v="0"/>
    <n v="5205.13"/>
    <n v="4.7699999999999996"/>
    <n v="0"/>
    <n v="0"/>
    <x v="10"/>
    <s v="30/1 Cotton Yarn"/>
    <n v="17541376.502"/>
    <x v="0"/>
    <n v="4223704.7580000004"/>
    <x v="0"/>
    <m/>
    <d v="2023-12-31T00:00:00"/>
    <x v="0"/>
    <x v="0"/>
    <x v="0"/>
    <x v="0"/>
    <x v="0"/>
    <x v="0"/>
    <d v="2023-11-01T00:00:00"/>
    <x v="0"/>
    <x v="0"/>
    <x v="0"/>
    <x v="0"/>
    <x v="0"/>
    <x v="3"/>
    <n v="869.53"/>
    <n v="209.37"/>
    <n v="0"/>
    <s v=""/>
    <x v="0"/>
  </r>
  <r>
    <x v="232"/>
    <m/>
    <x v="232"/>
    <d v="2021-12-31T00:00:00"/>
    <x v="0"/>
    <x v="0"/>
    <n v="59805.1"/>
    <x v="0"/>
    <x v="0"/>
    <n v="5205.13"/>
    <n v="4.7699999999999996"/>
    <n v="0"/>
    <n v="0"/>
    <x v="10"/>
    <s v="30/1 Cotton Yarn"/>
    <n v="52002461"/>
    <x v="0"/>
    <n v="12521412"/>
    <x v="0"/>
    <n v="139567834"/>
    <d v="2023-12-31T00:00:00"/>
    <x v="0"/>
    <x v="0"/>
    <x v="0"/>
    <x v="0"/>
    <x v="0"/>
    <x v="0"/>
    <d v="2023-11-01T00:00:00"/>
    <x v="0"/>
    <x v="0"/>
    <x v="0"/>
    <x v="0"/>
    <x v="0"/>
    <x v="3"/>
    <n v="869.53221380785249"/>
    <n v="209.37030453924498"/>
    <n v="0"/>
    <s v=""/>
    <x v="0"/>
  </r>
  <r>
    <x v="233"/>
    <m/>
    <x v="233"/>
    <d v="2021-12-31T00:00:00"/>
    <x v="0"/>
    <x v="0"/>
    <n v="19836.400000000001"/>
    <x v="0"/>
    <x v="0"/>
    <n v="5205.13"/>
    <n v="3.3"/>
    <n v="0"/>
    <n v="0"/>
    <x v="10"/>
    <s v="30/1 Cotton Yarn"/>
    <n v="11932784.784"/>
    <x v="0"/>
    <n v="2873302.54"/>
    <x v="0"/>
    <m/>
    <d v="2023-12-31T00:00:00"/>
    <x v="0"/>
    <x v="0"/>
    <x v="0"/>
    <x v="0"/>
    <x v="0"/>
    <x v="0"/>
    <d v="2023-11-01T00:00:00"/>
    <x v="0"/>
    <x v="0"/>
    <x v="0"/>
    <x v="0"/>
    <x v="0"/>
    <x v="3"/>
    <n v="601.55999999999995"/>
    <n v="144.85"/>
    <n v="0"/>
    <s v=""/>
    <x v="0"/>
  </r>
  <r>
    <x v="234"/>
    <m/>
    <x v="234"/>
    <d v="2021-12-31T00:00:00"/>
    <x v="0"/>
    <x v="0"/>
    <n v="300"/>
    <x v="0"/>
    <x v="0"/>
    <n v="5407.52"/>
    <n v="7.0339999999999998"/>
    <n v="0"/>
    <n v="0"/>
    <x v="2"/>
    <s v="88% POLYESTER 12%SPANDE MICRO FIBER FABRIC 254CM 90GSM DYED 1361/MTRS"/>
    <n v="384678"/>
    <x v="0"/>
    <n v="142626"/>
    <x v="0"/>
    <m/>
    <d v="2023-12-31T00:00:00"/>
    <x v="0"/>
    <x v="0"/>
    <x v="0"/>
    <x v="0"/>
    <x v="0"/>
    <x v="0"/>
    <d v="2023-11-01T00:00:00"/>
    <x v="0"/>
    <x v="1"/>
    <x v="0"/>
    <x v="0"/>
    <x v="0"/>
    <x v="2"/>
    <n v="1282.26"/>
    <n v="475.42"/>
    <n v="0"/>
    <s v=""/>
    <x v="0"/>
  </r>
  <r>
    <x v="235"/>
    <m/>
    <x v="235"/>
    <d v="2022-01-03T00:00:00"/>
    <x v="0"/>
    <x v="0"/>
    <n v="54432"/>
    <x v="0"/>
    <x v="0"/>
    <n v="5206.24"/>
    <n v="5.48"/>
    <n v="0"/>
    <n v="0"/>
    <x v="3"/>
    <s v="60:40 YARN (60% COTTON 40% POLYESTER)"/>
    <n v="54147320.640000001"/>
    <x v="0"/>
    <n v="13037552.640000001"/>
    <x v="0"/>
    <m/>
    <d v="2024-01-03T00:00:00"/>
    <x v="0"/>
    <x v="0"/>
    <x v="0"/>
    <x v="0"/>
    <x v="0"/>
    <x v="0"/>
    <d v="2023-11-04T00:00:00"/>
    <x v="0"/>
    <x v="1"/>
    <x v="0"/>
    <x v="0"/>
    <x v="0"/>
    <x v="3"/>
    <n v="994.77"/>
    <n v="239.52"/>
    <n v="0"/>
    <s v=""/>
    <x v="0"/>
  </r>
  <r>
    <x v="236"/>
    <m/>
    <x v="236"/>
    <d v="2022-01-03T00:00:00"/>
    <x v="0"/>
    <x v="0"/>
    <n v="24480"/>
    <x v="0"/>
    <x v="0"/>
    <n v="5402.33"/>
    <n v="1.85"/>
    <n v="0"/>
    <n v="0"/>
    <x v="6"/>
    <s v="100% POLYESTER TEXTURED YARN"/>
    <n v="8220873.5999999996"/>
    <x v="0"/>
    <n v="3495499.1999999997"/>
    <x v="0"/>
    <m/>
    <d v="2024-01-03T00:00:00"/>
    <x v="0"/>
    <x v="0"/>
    <x v="0"/>
    <x v="0"/>
    <x v="0"/>
    <x v="0"/>
    <d v="2023-11-04T00:00:00"/>
    <x v="0"/>
    <x v="1"/>
    <x v="0"/>
    <x v="0"/>
    <x v="0"/>
    <x v="3"/>
    <n v="335.82"/>
    <n v="142.79"/>
    <n v="0"/>
    <s v=""/>
    <x v="0"/>
  </r>
  <r>
    <x v="237"/>
    <m/>
    <x v="237"/>
    <d v="2022-01-03T00:00:00"/>
    <x v="0"/>
    <x v="0"/>
    <n v="36288"/>
    <x v="0"/>
    <x v="0"/>
    <n v="5205.2700000000004"/>
    <n v="6.3"/>
    <n v="0"/>
    <n v="0"/>
    <x v="10"/>
    <s v="60/1 cotton yarn"/>
    <n v="41499682.559999995"/>
    <x v="0"/>
    <n v="9992626.5600000005"/>
    <x v="0"/>
    <m/>
    <d v="2024-01-03T00:00:00"/>
    <x v="0"/>
    <x v="0"/>
    <x v="0"/>
    <x v="0"/>
    <x v="0"/>
    <x v="0"/>
    <d v="2023-11-04T00:00:00"/>
    <x v="0"/>
    <x v="0"/>
    <x v="0"/>
    <x v="0"/>
    <x v="0"/>
    <x v="3"/>
    <n v="1143.6199999999999"/>
    <n v="275.37"/>
    <n v="0"/>
    <s v=""/>
    <x v="0"/>
  </r>
  <r>
    <x v="238"/>
    <m/>
    <x v="238"/>
    <d v="2022-01-03T00:00:00"/>
    <x v="0"/>
    <x v="0"/>
    <n v="24120"/>
    <x v="0"/>
    <x v="0"/>
    <n v="5402.33"/>
    <n v="1.79"/>
    <n v="0"/>
    <n v="0"/>
    <x v="6"/>
    <s v="100% VIRGIN POLYESTER YARN (DTY 100D"/>
    <n v="7837311.6000000006"/>
    <x v="0"/>
    <n v="3332419.1999999997"/>
    <x v="0"/>
    <m/>
    <d v="2024-01-03T00:00:00"/>
    <x v="0"/>
    <x v="0"/>
    <x v="0"/>
    <x v="0"/>
    <x v="0"/>
    <x v="0"/>
    <d v="2023-11-04T00:00:00"/>
    <x v="0"/>
    <x v="1"/>
    <x v="0"/>
    <x v="0"/>
    <x v="0"/>
    <x v="3"/>
    <n v="324.93"/>
    <n v="138.16"/>
    <n v="0"/>
    <s v=""/>
    <x v="0"/>
  </r>
  <r>
    <x v="239"/>
    <m/>
    <x v="239"/>
    <d v="2022-01-04T00:00:00"/>
    <x v="0"/>
    <x v="0"/>
    <n v="24480"/>
    <x v="0"/>
    <x v="0"/>
    <n v="5402.33"/>
    <n v="1.85"/>
    <n v="0"/>
    <n v="0"/>
    <x v="6"/>
    <s v="100% POLYESTER TEXTURED YARN (DTY 100D"/>
    <n v="8220873.5999999996"/>
    <x v="0"/>
    <n v="3495499.1999999997"/>
    <x v="0"/>
    <m/>
    <d v="2024-01-04T00:00:00"/>
    <x v="0"/>
    <x v="0"/>
    <x v="0"/>
    <x v="0"/>
    <x v="0"/>
    <x v="0"/>
    <d v="2023-11-05T00:00:00"/>
    <x v="0"/>
    <x v="1"/>
    <x v="0"/>
    <x v="0"/>
    <x v="0"/>
    <x v="3"/>
    <n v="335.82"/>
    <n v="142.79"/>
    <n v="0"/>
    <s v=""/>
    <x v="0"/>
  </r>
  <r>
    <x v="240"/>
    <m/>
    <x v="240"/>
    <d v="2022-01-05T00:00:00"/>
    <x v="0"/>
    <x v="0"/>
    <n v="90720"/>
    <x v="0"/>
    <x v="0"/>
    <n v="5205.2700000000004"/>
    <n v="6.52"/>
    <n v="0"/>
    <n v="0"/>
    <x v="10"/>
    <s v="60/1 cotton yarn "/>
    <n v="106738430.39999999"/>
    <x v="0"/>
    <n v="25708233.599999998"/>
    <x v="0"/>
    <m/>
    <d v="2024-01-05T00:00:00"/>
    <x v="0"/>
    <x v="0"/>
    <x v="0"/>
    <x v="0"/>
    <x v="0"/>
    <x v="0"/>
    <d v="2023-11-06T00:00:00"/>
    <x v="0"/>
    <x v="1"/>
    <x v="0"/>
    <x v="0"/>
    <x v="0"/>
    <x v="3"/>
    <n v="1176.57"/>
    <n v="283.38"/>
    <n v="0"/>
    <s v=""/>
    <x v="0"/>
  </r>
  <r>
    <x v="241"/>
    <m/>
    <x v="241"/>
    <d v="2022-01-05T00:00:00"/>
    <x v="0"/>
    <x v="0"/>
    <n v="18144"/>
    <x v="0"/>
    <x v="0"/>
    <n v="5205.2700000000004"/>
    <n v="6.52"/>
    <n v="0"/>
    <n v="0"/>
    <x v="10"/>
    <s v="60/1 cotton yarn "/>
    <n v="21353673.600000001"/>
    <x v="0"/>
    <n v="5141646.72"/>
    <x v="0"/>
    <m/>
    <d v="2024-01-05T00:00:00"/>
    <x v="0"/>
    <x v="0"/>
    <x v="0"/>
    <x v="0"/>
    <x v="0"/>
    <x v="0"/>
    <d v="2023-11-06T00:00:00"/>
    <x v="0"/>
    <x v="1"/>
    <x v="0"/>
    <x v="0"/>
    <x v="0"/>
    <x v="3"/>
    <n v="1176.9000000000001"/>
    <n v="283.38"/>
    <n v="0"/>
    <s v=""/>
    <x v="0"/>
  </r>
  <r>
    <x v="242"/>
    <m/>
    <x v="242"/>
    <d v="2022-01-11T00:00:00"/>
    <x v="0"/>
    <x v="0"/>
    <n v="24480"/>
    <x v="0"/>
    <x v="0"/>
    <n v="5402.33"/>
    <n v="1.85"/>
    <n v="0"/>
    <n v="0"/>
    <x v="6"/>
    <s v="100% POLYESTER YARN (DTY 100D/"/>
    <n v="8183908.7999999998"/>
    <x v="0"/>
    <n v="3479832"/>
    <x v="0"/>
    <m/>
    <d v="2024-01-11T00:00:00"/>
    <x v="0"/>
    <x v="0"/>
    <x v="0"/>
    <x v="0"/>
    <x v="0"/>
    <x v="0"/>
    <d v="2023-11-12T00:00:00"/>
    <x v="0"/>
    <x v="1"/>
    <x v="0"/>
    <x v="0"/>
    <x v="0"/>
    <x v="3"/>
    <n v="334.31"/>
    <n v="142.15"/>
    <n v="0"/>
    <s v=""/>
    <x v="0"/>
  </r>
  <r>
    <x v="243"/>
    <m/>
    <x v="243"/>
    <d v="2022-01-11T00:00:00"/>
    <x v="0"/>
    <x v="0"/>
    <n v="36288"/>
    <x v="0"/>
    <x v="0"/>
    <n v="5205.2700000000004"/>
    <n v="6.52"/>
    <n v="0"/>
    <n v="0"/>
    <x v="10"/>
    <s v="60/1 cotton yarn "/>
    <n v="42755610.240000002"/>
    <x v="0"/>
    <n v="10294905.6"/>
    <x v="0"/>
    <m/>
    <d v="2024-01-11T00:00:00"/>
    <x v="0"/>
    <x v="0"/>
    <x v="0"/>
    <x v="0"/>
    <x v="0"/>
    <x v="0"/>
    <d v="2023-11-12T00:00:00"/>
    <x v="0"/>
    <x v="1"/>
    <x v="0"/>
    <x v="0"/>
    <x v="0"/>
    <x v="3"/>
    <n v="1178.23"/>
    <n v="283.7"/>
    <n v="0"/>
    <s v=""/>
    <x v="0"/>
  </r>
  <r>
    <x v="244"/>
    <m/>
    <x v="244"/>
    <d v="2022-01-11T00:00:00"/>
    <x v="0"/>
    <x v="0"/>
    <n v="2000"/>
    <x v="0"/>
    <x v="0"/>
    <n v="3204.16"/>
    <n v="7.9"/>
    <n v="0"/>
    <n v="0"/>
    <x v="5"/>
    <s v="ARGAZOL TURQUOISE GN"/>
    <n v="2855220"/>
    <x v="0"/>
    <n v="1058640"/>
    <x v="0"/>
    <m/>
    <d v="2024-01-11T00:00:00"/>
    <x v="0"/>
    <x v="0"/>
    <x v="0"/>
    <x v="0"/>
    <x v="0"/>
    <x v="0"/>
    <d v="2023-11-12T00:00:00"/>
    <x v="0"/>
    <x v="1"/>
    <x v="0"/>
    <x v="0"/>
    <x v="0"/>
    <x v="4"/>
    <n v="1427.61"/>
    <n v="529.32000000000005"/>
    <n v="0"/>
    <s v=""/>
    <x v="0"/>
  </r>
  <r>
    <x v="245"/>
    <m/>
    <x v="245"/>
    <d v="2022-01-12T00:00:00"/>
    <x v="0"/>
    <x v="0"/>
    <n v="19452.599999999999"/>
    <x v="0"/>
    <x v="0"/>
    <n v="5205.13"/>
    <n v="4.7699999999999996"/>
    <n v="0"/>
    <n v="0"/>
    <x v="10"/>
    <s v="30/1 cotton yarn "/>
    <n v="16767949"/>
    <x v="0"/>
    <n v="4037470"/>
    <x v="0"/>
    <n v="139567858"/>
    <d v="2024-01-11T00:00:00"/>
    <x v="0"/>
    <x v="0"/>
    <x v="0"/>
    <x v="0"/>
    <x v="0"/>
    <x v="0"/>
    <d v="2023-11-12T00:00:00"/>
    <x v="0"/>
    <x v="1"/>
    <x v="0"/>
    <x v="0"/>
    <x v="0"/>
    <x v="3"/>
    <n v="861.990119572705"/>
    <n v="207.55426009890709"/>
    <n v="0"/>
    <s v=""/>
    <x v="0"/>
  </r>
  <r>
    <x v="246"/>
    <m/>
    <x v="246"/>
    <d v="2022-01-12T00:00:00"/>
    <x v="0"/>
    <x v="0"/>
    <n v="6625"/>
    <x v="0"/>
    <x v="0"/>
    <n v="3204.16"/>
    <s v="9.64 / 10.88 / 12.44 / 9.22 / 6.73 / 17.31"/>
    <n v="0"/>
    <n v="0"/>
    <x v="5"/>
    <s v="TEXTILE DYES"/>
    <n v="11983366.25"/>
    <x v="0"/>
    <n v="4443122.5"/>
    <x v="0"/>
    <m/>
    <d v="2024-01-12T00:00:00"/>
    <x v="0"/>
    <x v="0"/>
    <x v="0"/>
    <x v="0"/>
    <x v="0"/>
    <x v="0"/>
    <d v="2023-11-13T00:00:00"/>
    <x v="0"/>
    <x v="1"/>
    <x v="0"/>
    <x v="0"/>
    <x v="0"/>
    <x v="4"/>
    <n v="1808.81"/>
    <n v="670.66"/>
    <n v="0"/>
    <s v=""/>
    <x v="0"/>
  </r>
  <r>
    <x v="247"/>
    <m/>
    <x v="247"/>
    <d v="2022-01-13T00:00:00"/>
    <x v="0"/>
    <x v="0"/>
    <n v="8456"/>
    <x v="0"/>
    <x v="0"/>
    <n v="5407.52"/>
    <n v="5.5808"/>
    <n v="0"/>
    <n v="0"/>
    <x v="11"/>
    <s v="100% POLYESTER MICROFIBER FABRIC"/>
    <n v="8525592.8800000008"/>
    <x v="0"/>
    <n v="3161021.92"/>
    <x v="0"/>
    <m/>
    <d v="2024-01-13T00:00:00"/>
    <x v="0"/>
    <x v="0"/>
    <x v="0"/>
    <x v="0"/>
    <x v="0"/>
    <x v="0"/>
    <d v="2023-11-14T00:00:00"/>
    <x v="0"/>
    <x v="1"/>
    <x v="0"/>
    <x v="0"/>
    <x v="0"/>
    <x v="2"/>
    <n v="1008.2300000000001"/>
    <n v="373.82"/>
    <n v="0"/>
    <s v=""/>
    <x v="0"/>
  </r>
  <r>
    <x v="248"/>
    <m/>
    <x v="248"/>
    <d v="2022-01-13T00:00:00"/>
    <x v="0"/>
    <x v="0"/>
    <n v="77526.7"/>
    <x v="0"/>
    <x v="0"/>
    <n v="5205.13"/>
    <n v="5.4"/>
    <n v="0"/>
    <n v="0"/>
    <x v="10"/>
    <s v="30/1 Cotton Yarn"/>
    <n v="75631947.451999992"/>
    <x v="0"/>
    <n v="18211021.829999998"/>
    <x v="0"/>
    <m/>
    <d v="2024-01-13T00:00:00"/>
    <x v="0"/>
    <x v="0"/>
    <x v="0"/>
    <x v="0"/>
    <x v="0"/>
    <x v="0"/>
    <d v="2023-11-14T00:00:00"/>
    <x v="0"/>
    <x v="0"/>
    <x v="0"/>
    <x v="0"/>
    <x v="0"/>
    <x v="3"/>
    <n v="975.56"/>
    <n v="234.89999999999998"/>
    <n v="0"/>
    <s v=""/>
    <x v="0"/>
  </r>
  <r>
    <x v="249"/>
    <m/>
    <x v="249"/>
    <d v="2022-01-13T00:00:00"/>
    <x v="0"/>
    <x v="0"/>
    <n v="18703.8"/>
    <x v="0"/>
    <x v="0"/>
    <n v="5205.13"/>
    <n v="4.7699999999999996"/>
    <n v="0"/>
    <n v="0"/>
    <x v="10"/>
    <s v="30/1 Cotton Yarn"/>
    <n v="16117999.649999999"/>
    <x v="0"/>
    <n v="3881038.5"/>
    <x v="0"/>
    <m/>
    <d v="2024-01-13T00:00:00"/>
    <x v="0"/>
    <x v="0"/>
    <x v="0"/>
    <x v="0"/>
    <x v="0"/>
    <x v="0"/>
    <d v="2023-11-14T00:00:00"/>
    <x v="0"/>
    <x v="0"/>
    <x v="0"/>
    <x v="0"/>
    <x v="0"/>
    <x v="3"/>
    <n v="861.75"/>
    <n v="207.5"/>
    <n v="0"/>
    <s v=""/>
    <x v="0"/>
  </r>
  <r>
    <x v="250"/>
    <m/>
    <x v="250"/>
    <d v="2022-01-13T00:00:00"/>
    <x v="0"/>
    <x v="0"/>
    <n v="20160"/>
    <x v="0"/>
    <x v="0"/>
    <n v="2915.11"/>
    <n v="1.65"/>
    <n v="0"/>
    <n v="0"/>
    <x v="12"/>
    <s v="FORMIC ACID"/>
    <n v="6009494.3999999994"/>
    <x v="0"/>
    <n v="2228083.1999999997"/>
    <x v="0"/>
    <m/>
    <d v="2024-01-13T00:00:00"/>
    <x v="0"/>
    <x v="0"/>
    <x v="0"/>
    <x v="0"/>
    <x v="0"/>
    <x v="0"/>
    <d v="2023-11-14T00:00:00"/>
    <x v="0"/>
    <x v="0"/>
    <x v="0"/>
    <x v="0"/>
    <x v="0"/>
    <x v="5"/>
    <n v="298.08999999999997"/>
    <n v="110.51999999999998"/>
    <n v="0"/>
    <s v=""/>
    <x v="0"/>
  </r>
  <r>
    <x v="251"/>
    <m/>
    <x v="251"/>
    <d v="2022-01-14T00:00:00"/>
    <x v="0"/>
    <x v="0"/>
    <n v="3000"/>
    <x v="0"/>
    <x v="0"/>
    <n v="3204.16"/>
    <s v="12.1263 / 8.9937 / 6.5684 / 16.8758 / 9.5495"/>
    <n v="0"/>
    <n v="0"/>
    <x v="5"/>
    <s v="BEZAKTIV _x000a_BEMACRON "/>
    <n v="5469030"/>
    <x v="0"/>
    <n v="2027759.9999999998"/>
    <x v="0"/>
    <m/>
    <d v="2024-01-14T00:00:00"/>
    <x v="0"/>
    <x v="0"/>
    <x v="0"/>
    <x v="0"/>
    <x v="0"/>
    <x v="0"/>
    <d v="2023-11-15T00:00:00"/>
    <x v="0"/>
    <x v="1"/>
    <x v="0"/>
    <x v="0"/>
    <x v="0"/>
    <x v="4"/>
    <n v="1823.01"/>
    <n v="675.92"/>
    <n v="0"/>
    <s v=""/>
    <x v="0"/>
  </r>
  <r>
    <x v="252"/>
    <m/>
    <x v="252"/>
    <d v="2022-01-14T00:00:00"/>
    <x v="0"/>
    <x v="0"/>
    <n v="23100"/>
    <x v="0"/>
    <x v="0"/>
    <n v="5402.33"/>
    <n v="1.78"/>
    <n v="0"/>
    <n v="0"/>
    <x v="6"/>
    <s v="100% POLYESTER TEXTURED YARN (DTY 100D/48F HIM SD RW AA GRADE)"/>
    <n v="7411635.0000000009"/>
    <x v="0"/>
    <n v="2831829"/>
    <x v="0"/>
    <m/>
    <d v="2024-01-14T00:00:00"/>
    <x v="0"/>
    <x v="0"/>
    <x v="0"/>
    <x v="0"/>
    <x v="0"/>
    <x v="0"/>
    <d v="2023-11-15T00:00:00"/>
    <x v="0"/>
    <x v="1"/>
    <x v="0"/>
    <x v="0"/>
    <x v="0"/>
    <x v="3"/>
    <n v="320.85000000000002"/>
    <n v="122.59"/>
    <n v="0"/>
    <s v=""/>
    <x v="0"/>
  </r>
  <r>
    <x v="253"/>
    <m/>
    <x v="253"/>
    <d v="2022-01-14T00:00:00"/>
    <x v="0"/>
    <x v="0"/>
    <n v="23100"/>
    <x v="0"/>
    <x v="0"/>
    <n v="5402.33"/>
    <n v="1.78"/>
    <n v="0"/>
    <n v="0"/>
    <x v="6"/>
    <s v="100% POLYESTER TEXTURED YARN (DTY 100D/48F HIM SD RW AA GRADE)"/>
    <n v="7411635.0000000009"/>
    <x v="0"/>
    <n v="2831829"/>
    <x v="0"/>
    <m/>
    <d v="2024-01-14T00:00:00"/>
    <x v="0"/>
    <x v="0"/>
    <x v="0"/>
    <x v="0"/>
    <x v="0"/>
    <x v="0"/>
    <d v="2023-11-15T00:00:00"/>
    <x v="0"/>
    <x v="1"/>
    <x v="0"/>
    <x v="0"/>
    <x v="0"/>
    <x v="3"/>
    <n v="320.85000000000002"/>
    <n v="122.59"/>
    <n v="0"/>
    <s v=""/>
    <x v="0"/>
  </r>
  <r>
    <x v="254"/>
    <m/>
    <x v="254"/>
    <d v="2022-01-14T00:00:00"/>
    <x v="0"/>
    <x v="0"/>
    <n v="13000"/>
    <x v="0"/>
    <x v="0"/>
    <n v="3809.9189999999999"/>
    <n v="2.65"/>
    <n v="0"/>
    <n v="0"/>
    <x v="12"/>
    <s v="PERIPRINT MIP CONC"/>
    <n v="7119450"/>
    <x v="0"/>
    <n v="2639650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547.65"/>
    <n v="203.05"/>
    <n v="0"/>
    <s v=""/>
    <x v="0"/>
  </r>
  <r>
    <x v="255"/>
    <m/>
    <x v="255"/>
    <d v="2022-01-14T00:00:00"/>
    <x v="0"/>
    <x v="0"/>
    <n v="18000"/>
    <x v="0"/>
    <x v="0"/>
    <n v="2832.1089999999999"/>
    <n v="1.65"/>
    <n v="0"/>
    <n v="0"/>
    <x v="12"/>
    <s v="HYDROBLUE 90"/>
    <n v="5353560"/>
    <x v="0"/>
    <n v="972720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297.42"/>
    <n v="54.04"/>
    <n v="0"/>
    <s v=""/>
    <x v="0"/>
  </r>
  <r>
    <x v="256"/>
    <m/>
    <x v="256"/>
    <d v="2022-01-14T00:00:00"/>
    <x v="0"/>
    <x v="0"/>
    <n v="20260"/>
    <x v="0"/>
    <x v="0"/>
    <n v="3809.9189999999999"/>
    <s v="3.12.65 / 3.3"/>
    <n v="0"/>
    <n v="0"/>
    <x v="12"/>
    <s v="POLYSOFT_x000a_POLYNOL_x000a_ENZYME "/>
    <n v="10858549.600000001"/>
    <x v="0"/>
    <n v="4026067.2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535.96"/>
    <n v="198.72"/>
    <n v="0"/>
    <s v=""/>
    <x v="0"/>
  </r>
  <r>
    <x v="257"/>
    <m/>
    <x v="257"/>
    <d v="2022-01-14T00:00:00"/>
    <x v="0"/>
    <x v="0"/>
    <n v="48000"/>
    <x v="0"/>
    <x v="0"/>
    <n v="1108.19"/>
    <n v="1.75"/>
    <n v="0"/>
    <n v="0"/>
    <x v="12"/>
    <s v="EMSIZE E14 (STARCH"/>
    <n v="1735679.9999999998"/>
    <x v="0"/>
    <n v="6672000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36.159999999999997"/>
    <n v="139"/>
    <n v="0"/>
    <s v=""/>
    <x v="0"/>
  </r>
  <r>
    <x v="258"/>
    <m/>
    <x v="258"/>
    <d v="2022-01-18T00:00:00"/>
    <x v="0"/>
    <x v="0"/>
    <n v="5040"/>
    <x v="0"/>
    <x v="0"/>
    <n v="3906.9029999999998"/>
    <n v="1.96"/>
    <n v="0"/>
    <n v="0"/>
    <x v="12"/>
    <s v="TEXTILE CHEMICAL (J INSOFT ECO TWM)"/>
    <n v="1778565.5999999999"/>
    <x v="0"/>
    <n v="386215.19999999995"/>
    <x v="0"/>
    <m/>
    <d v="2024-01-18T00:00:00"/>
    <x v="0"/>
    <x v="0"/>
    <x v="0"/>
    <x v="0"/>
    <x v="0"/>
    <x v="0"/>
    <d v="2023-11-19T00:00:00"/>
    <x v="0"/>
    <x v="1"/>
    <x v="0"/>
    <x v="0"/>
    <x v="0"/>
    <x v="5"/>
    <n v="352.89"/>
    <n v="76.63"/>
    <n v="0"/>
    <s v=""/>
    <x v="0"/>
  </r>
  <r>
    <x v="259"/>
    <m/>
    <x v="259"/>
    <d v="2022-01-18T00:00:00"/>
    <x v="0"/>
    <x v="0"/>
    <n v="12000"/>
    <x v="0"/>
    <x v="0"/>
    <n v="3204.16"/>
    <s v="4.6 / 4.5 / 6 / 6.75 / 7.95"/>
    <n v="0"/>
    <n v="0"/>
    <x v="5"/>
    <s v="LIYUANSOL "/>
    <n v="11965080"/>
    <x v="0"/>
    <n v="4436280"/>
    <x v="0"/>
    <m/>
    <d v="2024-01-18T00:00:00"/>
    <x v="0"/>
    <x v="0"/>
    <x v="0"/>
    <x v="0"/>
    <x v="0"/>
    <x v="0"/>
    <d v="2023-11-19T00:00:00"/>
    <x v="0"/>
    <x v="1"/>
    <x v="0"/>
    <x v="0"/>
    <x v="0"/>
    <x v="4"/>
    <n v="997.09"/>
    <n v="369.69"/>
    <n v="0"/>
    <s v=""/>
    <x v="0"/>
  </r>
  <r>
    <x v="260"/>
    <m/>
    <x v="260"/>
    <d v="2022-01-19T00:00:00"/>
    <x v="0"/>
    <x v="0"/>
    <n v="24120"/>
    <x v="0"/>
    <x v="0"/>
    <n v="5402.33"/>
    <n v="1.79"/>
    <n v="0"/>
    <n v="0"/>
    <x v="6"/>
    <s v="100% POLYESTER YARN (DTY 100D/48F SD RW HIM AA GRADE"/>
    <n v="7769052.0000000009"/>
    <x v="0"/>
    <n v="3303233.9999999995"/>
    <x v="0"/>
    <m/>
    <d v="2024-01-19T00:00:00"/>
    <x v="0"/>
    <x v="0"/>
    <x v="0"/>
    <x v="0"/>
    <x v="0"/>
    <x v="0"/>
    <d v="2023-11-20T00:00:00"/>
    <x v="0"/>
    <x v="1"/>
    <x v="0"/>
    <x v="0"/>
    <x v="0"/>
    <x v="3"/>
    <n v="322.10000000000002"/>
    <n v="136.94999999999999"/>
    <n v="0"/>
    <s v=""/>
    <x v="0"/>
  </r>
  <r>
    <x v="261"/>
    <m/>
    <x v="261"/>
    <d v="2022-01-20T00:00:00"/>
    <x v="0"/>
    <x v="0"/>
    <n v="23000"/>
    <x v="0"/>
    <x v="0"/>
    <n v="5407.52"/>
    <n v="5.5109000000000004"/>
    <n v="0"/>
    <n v="0"/>
    <x v="11"/>
    <s v="100% POLY MICROFIBER FABRIC 90,82GSM WIDTH:95'' , 100&quot; , 103&quot; , 106&quot; , 112'' (91271/MTRS) "/>
    <n v="22840610"/>
    <x v="0"/>
    <n v="8468600"/>
    <x v="0"/>
    <m/>
    <d v="2024-01-20T00:00:00"/>
    <x v="0"/>
    <x v="0"/>
    <x v="0"/>
    <x v="0"/>
    <x v="0"/>
    <x v="0"/>
    <d v="2023-11-21T00:00:00"/>
    <x v="0"/>
    <x v="1"/>
    <x v="0"/>
    <x v="0"/>
    <x v="0"/>
    <x v="2"/>
    <n v="993.07"/>
    <n v="368.2"/>
    <n v="0"/>
    <s v=""/>
    <x v="0"/>
  </r>
  <r>
    <x v="262"/>
    <m/>
    <x v="262"/>
    <d v="2022-01-25T00:00:00"/>
    <x v="0"/>
    <x v="0"/>
    <n v="1525"/>
    <x v="0"/>
    <x v="0"/>
    <n v="3204.16"/>
    <s v="65.8 / 54.8 / 47.1 / 47.2"/>
    <n v="0"/>
    <n v="0"/>
    <x v="5"/>
    <s v="DYES FARBANTHREN "/>
    <n v="13734272"/>
    <x v="0"/>
    <n v="5092280"/>
    <x v="0"/>
    <m/>
    <d v="2024-01-25T00:00:00"/>
    <x v="0"/>
    <x v="0"/>
    <x v="0"/>
    <x v="0"/>
    <x v="0"/>
    <x v="0"/>
    <d v="2023-11-26T00:00:00"/>
    <x v="0"/>
    <x v="1"/>
    <x v="0"/>
    <x v="0"/>
    <x v="0"/>
    <x v="4"/>
    <n v="9006.08"/>
    <n v="3339.2"/>
    <n v="0"/>
    <s v=""/>
    <x v="0"/>
  </r>
  <r>
    <x v="263"/>
    <m/>
    <x v="263"/>
    <d v="2022-01-25T00:00:00"/>
    <x v="0"/>
    <x v="0"/>
    <n v="36000"/>
    <x v="0"/>
    <x v="0"/>
    <n v="3402.13"/>
    <s v="2.18 / 2.65"/>
    <n v="0"/>
    <n v="0"/>
    <x v="12"/>
    <s v="CHEMICAL WETMATIC + DYMAFIX "/>
    <n v="14654520"/>
    <x v="0"/>
    <n v="5433480"/>
    <x v="0"/>
    <m/>
    <d v="2024-01-25T00:00:00"/>
    <x v="0"/>
    <x v="0"/>
    <x v="0"/>
    <x v="0"/>
    <x v="0"/>
    <x v="0"/>
    <d v="2023-11-26T00:00:00"/>
    <x v="0"/>
    <x v="1"/>
    <x v="0"/>
    <x v="0"/>
    <x v="0"/>
    <x v="5"/>
    <n v="407.07"/>
    <n v="150.93"/>
    <n v="0"/>
    <s v=""/>
    <x v="0"/>
  </r>
  <r>
    <x v="264"/>
    <m/>
    <x v="264"/>
    <d v="2022-01-25T00:00:00"/>
    <x v="0"/>
    <x v="0"/>
    <n v="24120"/>
    <x v="0"/>
    <x v="0"/>
    <n v="5402.33"/>
    <n v="1.7"/>
    <n v="0"/>
    <n v="0"/>
    <x v="6"/>
    <s v="100% POLYESTER YARN (DTY 100D/48F SD RW HIM AA GRADE S TWIST)"/>
    <n v="7782317.9999999991"/>
    <x v="0"/>
    <n v="3309022.8"/>
    <x v="0"/>
    <m/>
    <d v="2024-01-25T00:00:00"/>
    <x v="0"/>
    <x v="0"/>
    <x v="0"/>
    <x v="0"/>
    <x v="0"/>
    <x v="0"/>
    <d v="2023-11-26T00:00:00"/>
    <x v="0"/>
    <x v="1"/>
    <x v="0"/>
    <x v="0"/>
    <x v="0"/>
    <x v="3"/>
    <n v="322.64999999999998"/>
    <n v="137.19"/>
    <n v="0"/>
    <s v=""/>
    <x v="0"/>
  </r>
  <r>
    <x v="265"/>
    <d v="2022-02-01T00:00:00"/>
    <x v="265"/>
    <d v="2022-01-27T00:00:00"/>
    <x v="0"/>
    <x v="0"/>
    <n v="7035"/>
    <x v="0"/>
    <x v="0"/>
    <m/>
    <s v="6.9619 / 8.9832 / 4.4916 / 8.4217"/>
    <n v="0"/>
    <n v="0"/>
    <x v="5"/>
    <s v="DYES IMPERON"/>
    <n v="6771718"/>
    <x v="0"/>
    <n v="2510764"/>
    <x v="0"/>
    <n v="139567898"/>
    <d v="2024-01-27T00:00:00"/>
    <x v="0"/>
    <x v="0"/>
    <x v="0"/>
    <x v="0"/>
    <x v="0"/>
    <x v="0"/>
    <d v="2023-11-28T00:00:00"/>
    <x v="0"/>
    <x v="1"/>
    <x v="0"/>
    <x v="0"/>
    <x v="0"/>
    <x v="4"/>
    <n v="962.5754086709311"/>
    <n v="356.89609097370294"/>
    <n v="0"/>
    <d v="2022-03-03T00:00:00"/>
    <x v="0"/>
  </r>
  <r>
    <x v="266"/>
    <d v="2022-02-01T00:00:00"/>
    <x v="266"/>
    <d v="2022-01-28T00:00:00"/>
    <x v="0"/>
    <x v="0"/>
    <n v="23100"/>
    <x v="0"/>
    <x v="0"/>
    <n v="5402.33"/>
    <n v="1.78"/>
    <n v="0"/>
    <n v="0"/>
    <x v="6"/>
    <s v="100% POLYSTER TEXTURED YARN DTY100D/48F HIM SD RW AA GRADE"/>
    <n v="7443047"/>
    <x v="0"/>
    <n v="2843892"/>
    <x v="0"/>
    <n v="139567899"/>
    <d v="2024-01-28T00:00:00"/>
    <x v="0"/>
    <x v="0"/>
    <x v="0"/>
    <x v="0"/>
    <x v="0"/>
    <x v="0"/>
    <d v="2023-11-29T00:00:00"/>
    <x v="0"/>
    <x v="1"/>
    <x v="0"/>
    <x v="0"/>
    <x v="0"/>
    <x v="3"/>
    <n v="322.20982683982686"/>
    <n v="123.1122077922078"/>
    <n v="0"/>
    <d v="2022-03-03T00:00:00"/>
    <x v="0"/>
  </r>
  <r>
    <x v="267"/>
    <d v="2022-02-01T00:00:00"/>
    <x v="267"/>
    <d v="2022-01-28T00:00:00"/>
    <x v="0"/>
    <x v="0"/>
    <n v="23100"/>
    <x v="0"/>
    <x v="0"/>
    <n v="5402.33"/>
    <n v="1.78"/>
    <n v="0"/>
    <n v="0"/>
    <x v="6"/>
    <s v="100% POLYESTER TEXTURED YARN (DTY 100D/48F HIM SD RW AA GRADE)"/>
    <n v="7443047"/>
    <x v="0"/>
    <n v="2843892"/>
    <x v="0"/>
    <n v="139567894"/>
    <d v="2024-01-28T00:00:00"/>
    <x v="0"/>
    <x v="0"/>
    <x v="0"/>
    <x v="0"/>
    <x v="0"/>
    <x v="0"/>
    <d v="2023-11-29T00:00:00"/>
    <x v="0"/>
    <x v="1"/>
    <x v="0"/>
    <x v="0"/>
    <x v="0"/>
    <x v="3"/>
    <n v="322.20982683982686"/>
    <n v="123.1122077922078"/>
    <n v="0"/>
    <d v="2022-03-03T00:00:00"/>
    <x v="0"/>
  </r>
  <r>
    <x v="268"/>
    <d v="2022-02-01T00:00:00"/>
    <x v="268"/>
    <d v="2022-01-31T00:00:00"/>
    <x v="0"/>
    <x v="0"/>
    <n v="24480"/>
    <x v="0"/>
    <x v="0"/>
    <n v="5402.33"/>
    <n v="1.71"/>
    <n v="0"/>
    <n v="0"/>
    <x v="6"/>
    <s v="100% POLYESTER YARN (DTY 100D/48F) HIM RW SD GRADE:AA"/>
    <n v="7577506"/>
    <x v="0"/>
    <n v="2878596"/>
    <x v="0"/>
    <n v="139567901"/>
    <d v="2024-01-31T00:00:00"/>
    <x v="0"/>
    <x v="0"/>
    <x v="0"/>
    <x v="0"/>
    <x v="0"/>
    <x v="0"/>
    <d v="2023-12-02T00:00:00"/>
    <x v="0"/>
    <x v="1"/>
    <x v="0"/>
    <x v="0"/>
    <x v="0"/>
    <x v="3"/>
    <n v="309.53864379084968"/>
    <n v="117.58970588235294"/>
    <n v="0"/>
    <d v="2022-03-03T00:00:00"/>
    <x v="0"/>
  </r>
  <r>
    <x v="269"/>
    <d v="2022-02-01T00:00:00"/>
    <x v="269"/>
    <d v="2022-01-31T00:00:00"/>
    <x v="0"/>
    <x v="0"/>
    <n v="18200"/>
    <x v="0"/>
    <x v="0"/>
    <n v="3906.9029999999998"/>
    <n v="2.95"/>
    <n v="0"/>
    <n v="0"/>
    <x v="12"/>
    <s v="CHEMICAL FLOPRINT"/>
    <n v="9718789"/>
    <x v="0"/>
    <n v="2110445"/>
    <x v="0"/>
    <n v="139567910"/>
    <d v="2024-01-31T00:00:00"/>
    <x v="0"/>
    <x v="0"/>
    <x v="0"/>
    <x v="0"/>
    <x v="0"/>
    <x v="0"/>
    <d v="2023-12-02T00:00:00"/>
    <x v="0"/>
    <x v="1"/>
    <x v="0"/>
    <x v="0"/>
    <x v="0"/>
    <x v="5"/>
    <n v="533.99939560439566"/>
    <n v="115.95851648351649"/>
    <n v="0"/>
    <d v="2022-03-03T00:00:00"/>
    <x v="0"/>
  </r>
  <r>
    <x v="270"/>
    <d v="2022-02-01T00:00:00"/>
    <x v="270"/>
    <d v="2022-02-02T00:00:00"/>
    <x v="0"/>
    <x v="0"/>
    <n v="57132.800000000003"/>
    <x v="0"/>
    <x v="0"/>
    <n v="5205.13"/>
    <n v="5.4"/>
    <n v="0"/>
    <n v="0"/>
    <x v="10"/>
    <s v="30/1 cotton yarn "/>
    <n v="55768085"/>
    <x v="0"/>
    <n v="13428118"/>
    <x v="0"/>
    <n v="139567895"/>
    <d v="2024-02-02T00:00:00"/>
    <x v="0"/>
    <x v="0"/>
    <x v="0"/>
    <x v="0"/>
    <x v="0"/>
    <x v="0"/>
    <d v="2023-12-04T00:00:00"/>
    <x v="0"/>
    <x v="1"/>
    <x v="0"/>
    <x v="0"/>
    <x v="0"/>
    <x v="3"/>
    <n v="976.113283437885"/>
    <n v="235.03343088383554"/>
    <n v="0"/>
    <d v="2022-03-03T00:00:00"/>
    <x v="0"/>
  </r>
  <r>
    <x v="271"/>
    <d v="2022-02-01T00:00:00"/>
    <x v="271"/>
    <d v="2022-02-02T00:00:00"/>
    <x v="0"/>
    <x v="0"/>
    <n v="3058"/>
    <x v="0"/>
    <x v="0"/>
    <n v="5210.49"/>
    <n v="9.4930000000000003"/>
    <n v="0"/>
    <n v="0"/>
    <x v="2"/>
    <s v="78% POLYESTER 17% VISCOSE 05% SPANDEX FABRIC,190GSM WIDTH:148CM, (10518/MTRS)"/>
    <n v="5435436"/>
    <x v="0"/>
    <n v="1694155"/>
    <x v="0"/>
    <n v="139567906"/>
    <d v="2024-02-02T00:00:00"/>
    <x v="0"/>
    <x v="0"/>
    <x v="0"/>
    <x v="0"/>
    <x v="0"/>
    <x v="0"/>
    <d v="2023-12-04T00:00:00"/>
    <x v="0"/>
    <x v="1"/>
    <x v="0"/>
    <x v="0"/>
    <x v="0"/>
    <x v="2"/>
    <n v="1777.4480052321778"/>
    <n v="554.00752125572274"/>
    <n v="0"/>
    <d v="2022-03-03T00:00:00"/>
    <x v="0"/>
  </r>
  <r>
    <x v="272"/>
    <d v="2022-02-01T00:00:00"/>
    <x v="272"/>
    <d v="2022-02-03T00:00:00"/>
    <x v="0"/>
    <x v="0"/>
    <n v="18000"/>
    <x v="0"/>
    <x v="0"/>
    <n v="2832.1089999999999"/>
    <n v="2.0099999999999998"/>
    <n v="0"/>
    <n v="0"/>
    <x v="12"/>
    <s v="HYDROBLUE 90 E (SODIUM HYDROSULPHITE)"/>
    <n v="6528887"/>
    <x v="0"/>
    <n v="1186299"/>
    <x v="0"/>
    <n v="139567919"/>
    <d v="2024-02-03T00:00:00"/>
    <x v="0"/>
    <x v="0"/>
    <x v="0"/>
    <x v="0"/>
    <x v="0"/>
    <x v="0"/>
    <d v="2023-12-05T00:00:00"/>
    <x v="0"/>
    <x v="1"/>
    <x v="0"/>
    <x v="0"/>
    <x v="0"/>
    <x v="5"/>
    <n v="362.71594444444446"/>
    <n v="65.905500000000004"/>
    <n v="0"/>
    <d v="2022-03-03T00:00:00"/>
    <x v="0"/>
  </r>
  <r>
    <x v="273"/>
    <d v="2022-02-01T00:00:00"/>
    <x v="273"/>
    <d v="2022-02-07T00:00:00"/>
    <x v="0"/>
    <x v="0"/>
    <n v="24480"/>
    <x v="0"/>
    <x v="0"/>
    <n v="5402.33"/>
    <n v="1.71"/>
    <n v="0"/>
    <n v="0"/>
    <x v="6"/>
    <s v="100% POLYESTER TEXTURED YARN (DTY 100D/48F HIM SD RW AA GRADE)"/>
    <n v="7513452"/>
    <x v="0"/>
    <n v="2854262"/>
    <x v="0"/>
    <n v="139567917"/>
    <d v="2024-02-07T00:00:00"/>
    <x v="0"/>
    <x v="0"/>
    <x v="0"/>
    <x v="0"/>
    <x v="0"/>
    <x v="0"/>
    <d v="2023-12-09T00:00:00"/>
    <x v="0"/>
    <x v="1"/>
    <x v="0"/>
    <x v="0"/>
    <x v="0"/>
    <x v="3"/>
    <n v="306.92205882352943"/>
    <n v="116.59566993464053"/>
    <n v="0"/>
    <d v="2022-03-03T00:00:00"/>
    <x v="0"/>
  </r>
  <r>
    <x v="274"/>
    <d v="2022-02-01T00:00:00"/>
    <x v="274"/>
    <d v="2022-02-07T00:00:00"/>
    <x v="0"/>
    <x v="0"/>
    <n v="5020"/>
    <x v="0"/>
    <x v="0"/>
    <s v="3204.1600 / 3204.1590"/>
    <s v="16.8115 / 13.5901  / 18.4222 / 60.8838"/>
    <n v="0"/>
    <n v="0"/>
    <x v="5"/>
    <s v="DYES BEZAKTIVE / BEZATHREN"/>
    <n v="14727554"/>
    <x v="0"/>
    <n v="5460565"/>
    <x v="0"/>
    <n v="139567903"/>
    <d v="2024-02-07T00:00:00"/>
    <x v="0"/>
    <x v="0"/>
    <x v="0"/>
    <x v="0"/>
    <x v="0"/>
    <x v="0"/>
    <d v="2023-12-09T00:00:00"/>
    <x v="0"/>
    <x v="1"/>
    <x v="0"/>
    <x v="0"/>
    <x v="0"/>
    <x v="4"/>
    <n v="2933.7756972111556"/>
    <n v="1087.761952191235"/>
    <n v="0"/>
    <d v="2022-03-03T00:00:00"/>
    <x v="0"/>
  </r>
  <r>
    <x v="275"/>
    <d v="2022-02-01T00:00:00"/>
    <x v="275"/>
    <d v="2022-02-08T00:00:00"/>
    <x v="0"/>
    <x v="0"/>
    <n v="18200"/>
    <x v="0"/>
    <x v="0"/>
    <n v="3906.9029999999998"/>
    <n v="2.0499999999999998"/>
    <n v="0"/>
    <n v="0"/>
    <x v="12"/>
    <s v="CHEMICAL FLOPRINT"/>
    <n v="6658585"/>
    <x v="0"/>
    <n v="1445919"/>
    <x v="0"/>
    <n v="139567925"/>
    <d v="2024-02-07T00:00:00"/>
    <x v="0"/>
    <x v="0"/>
    <x v="0"/>
    <x v="0"/>
    <x v="0"/>
    <x v="0"/>
    <d v="2023-12-09T00:00:00"/>
    <x v="0"/>
    <x v="1"/>
    <x v="0"/>
    <x v="0"/>
    <x v="0"/>
    <x v="5"/>
    <n v="365.85631868131867"/>
    <n v="79.446098901098907"/>
    <n v="0"/>
    <d v="2022-03-03T00:00:00"/>
    <x v="0"/>
  </r>
  <r>
    <x v="276"/>
    <d v="2022-02-01T00:00:00"/>
    <x v="276"/>
    <d v="2022-02-11T00:00:00"/>
    <x v="0"/>
    <x v="0"/>
    <n v="24120"/>
    <x v="0"/>
    <x v="0"/>
    <n v="5402.33"/>
    <n v="1.79"/>
    <n v="0"/>
    <n v="0"/>
    <x v="6"/>
    <s v="100% VIRGIN POLYESTER YARN (DTY 100D/48F SD RW HIM AA GRADE S TWIST)"/>
    <n v="7722872"/>
    <x v="0"/>
    <n v="2933819"/>
    <x v="0"/>
    <n v="139567928"/>
    <d v="2024-02-10T00:00:00"/>
    <x v="0"/>
    <x v="0"/>
    <x v="0"/>
    <x v="0"/>
    <x v="0"/>
    <x v="0"/>
    <d v="2023-12-12T00:00:00"/>
    <x v="0"/>
    <x v="1"/>
    <x v="0"/>
    <x v="0"/>
    <x v="0"/>
    <x v="3"/>
    <n v="320.18540630182423"/>
    <n v="121.63428689883914"/>
    <n v="0"/>
    <d v="2022-03-03T00:00:00"/>
    <x v="0"/>
  </r>
  <r>
    <x v="277"/>
    <d v="2022-02-01T00:00:00"/>
    <x v="277"/>
    <d v="2022-02-11T00:00:00"/>
    <x v="0"/>
    <x v="0"/>
    <n v="24120"/>
    <x v="0"/>
    <x v="0"/>
    <n v="5402.33"/>
    <n v="1.79"/>
    <n v="0"/>
    <n v="0"/>
    <x v="6"/>
    <s v="100% VIRGIN POLYESTER YARN (DTY 100D/48F SD RW HIM AA GRADE S TWIST)"/>
    <n v="7722872"/>
    <x v="0"/>
    <n v="2933819"/>
    <x v="0"/>
    <n v="139567939"/>
    <d v="2024-02-10T00:00:00"/>
    <x v="0"/>
    <x v="0"/>
    <x v="0"/>
    <x v="0"/>
    <x v="0"/>
    <x v="0"/>
    <d v="2023-12-12T00:00:00"/>
    <x v="0"/>
    <x v="1"/>
    <x v="0"/>
    <x v="0"/>
    <x v="0"/>
    <x v="3"/>
    <n v="320.18540630182423"/>
    <n v="121.63428689883914"/>
    <n v="0"/>
    <d v="2022-03-03T00:00:00"/>
    <x v="0"/>
  </r>
  <r>
    <x v="278"/>
    <d v="2022-02-01T00:00:00"/>
    <x v="278"/>
    <d v="2022-02-12T00:00:00"/>
    <x v="0"/>
    <x v="0"/>
    <n v="12000"/>
    <x v="0"/>
    <x v="0"/>
    <n v="3809.9189999999999"/>
    <n v="3.75"/>
    <n v="0"/>
    <n v="0"/>
    <x v="12"/>
    <s v="CHEMICAL (IDROSOL FIE)"/>
    <n v="9188245"/>
    <x v="0"/>
    <n v="3406744"/>
    <x v="0"/>
    <n v="139567932"/>
    <d v="2024-02-11T00:00:00"/>
    <x v="0"/>
    <x v="0"/>
    <x v="0"/>
    <x v="0"/>
    <x v="0"/>
    <x v="0"/>
    <d v="2023-12-13T00:00:00"/>
    <x v="0"/>
    <x v="1"/>
    <x v="0"/>
    <x v="0"/>
    <x v="0"/>
    <x v="5"/>
    <n v="765.68708333333336"/>
    <n v="283.89533333333333"/>
    <n v="0"/>
    <d v="2022-03-03T00:00:00"/>
    <x v="0"/>
  </r>
  <r>
    <x v="279"/>
    <d v="2022-02-01T00:00:00"/>
    <x v="279"/>
    <d v="2022-02-16T00:00:00"/>
    <x v="0"/>
    <x v="0"/>
    <n v="19470.099999999999"/>
    <x v="0"/>
    <x v="0"/>
    <n v="5205.13"/>
    <n v="5.4"/>
    <n v="0"/>
    <n v="0"/>
    <x v="10"/>
    <s v="30/1 cotton yarn "/>
    <n v="18870959"/>
    <x v="0"/>
    <n v="4543844"/>
    <x v="0"/>
    <n v="139567944"/>
    <d v="2024-02-15T00:00:00"/>
    <x v="0"/>
    <x v="0"/>
    <x v="0"/>
    <x v="0"/>
    <x v="0"/>
    <x v="0"/>
    <d v="2023-12-17T00:00:00"/>
    <x v="0"/>
    <x v="1"/>
    <x v="0"/>
    <x v="0"/>
    <x v="0"/>
    <x v="3"/>
    <n v="969.22763622169384"/>
    <n v="233.37548343357253"/>
    <n v="0"/>
    <d v="2022-03-03T00:00:00"/>
    <x v="0"/>
  </r>
  <r>
    <x v="280"/>
    <d v="2022-02-01T00:00:00"/>
    <x v="280"/>
    <d v="2022-02-16T00:00:00"/>
    <x v="0"/>
    <x v="0"/>
    <n v="38166.300000000003"/>
    <x v="0"/>
    <x v="0"/>
    <n v="5205.13"/>
    <n v="5.4"/>
    <n v="0"/>
    <n v="0"/>
    <x v="10"/>
    <s v="30/1 cotton yarn "/>
    <n v="36991832"/>
    <x v="0"/>
    <n v="8907079"/>
    <x v="0"/>
    <n v="139567948"/>
    <d v="2024-02-15T00:00:00"/>
    <x v="0"/>
    <x v="0"/>
    <x v="0"/>
    <x v="0"/>
    <x v="0"/>
    <x v="0"/>
    <d v="2023-12-17T00:00:00"/>
    <x v="0"/>
    <x v="1"/>
    <x v="0"/>
    <x v="0"/>
    <x v="0"/>
    <x v="3"/>
    <n v="969.22761703387539"/>
    <n v="233.3754909435811"/>
    <n v="0"/>
    <d v="2022-03-03T00:00:00"/>
    <x v="0"/>
  </r>
  <r>
    <x v="281"/>
    <d v="2022-02-01T00:00:00"/>
    <x v="281"/>
    <d v="2022-02-17T00:00:00"/>
    <x v="0"/>
    <x v="0"/>
    <n v="7000"/>
    <x v="0"/>
    <x v="0"/>
    <n v="5407.52"/>
    <n v="5.9856999999999996"/>
    <n v="0"/>
    <n v="0"/>
    <x v="11"/>
    <s v="100% POLY MICROFIBER FABRIC 82GSM, WIDTH:95&quot;,106&quot; (33810/MTRS)"/>
    <n v="7533293"/>
    <x v="0"/>
    <n v="2793134"/>
    <x v="0"/>
    <n v="139567946"/>
    <d v="2024-02-16T00:00:00"/>
    <x v="0"/>
    <x v="0"/>
    <x v="0"/>
    <x v="0"/>
    <x v="0"/>
    <x v="0"/>
    <d v="2023-12-18T00:00:00"/>
    <x v="0"/>
    <x v="1"/>
    <x v="0"/>
    <x v="0"/>
    <x v="0"/>
    <x v="2"/>
    <n v="1076.1847142857143"/>
    <n v="399.01914285714287"/>
    <n v="0"/>
    <d v="2022-03-03T00:00:00"/>
    <x v="0"/>
  </r>
  <r>
    <x v="282"/>
    <d v="2022-02-01T00:00:00"/>
    <x v="282"/>
    <d v="2022-02-17T00:00:00"/>
    <x v="0"/>
    <x v="0"/>
    <n v="18957"/>
    <x v="0"/>
    <x v="0"/>
    <n v="5205.13"/>
    <n v="5.3"/>
    <n v="0"/>
    <n v="0"/>
    <x v="10"/>
    <s v="30/1 cotton yarn "/>
    <n v="18064143"/>
    <x v="0"/>
    <n v="4349575"/>
    <x v="0"/>
    <n v="139567952"/>
    <d v="2024-02-16T00:00:00"/>
    <x v="0"/>
    <x v="0"/>
    <x v="0"/>
    <x v="0"/>
    <x v="0"/>
    <x v="0"/>
    <d v="2023-12-18T00:00:00"/>
    <x v="0"/>
    <x v="1"/>
    <x v="0"/>
    <x v="0"/>
    <x v="0"/>
    <x v="3"/>
    <n v="952.90093369203987"/>
    <n v="229.4442686079021"/>
    <n v="0"/>
    <d v="2022-03-03T00:00:00"/>
    <x v="0"/>
  </r>
  <r>
    <x v="283"/>
    <d v="2022-02-01T00:00:00"/>
    <x v="283"/>
    <d v="2022-02-17T00:00:00"/>
    <x v="0"/>
    <x v="0"/>
    <n v="20374.2"/>
    <x v="0"/>
    <x v="0"/>
    <n v="5205.13"/>
    <n v="5.3"/>
    <n v="0"/>
    <n v="0"/>
    <x v="10"/>
    <s v="30/1 cotton yarn "/>
    <n v="19414594"/>
    <x v="0"/>
    <n v="4674743"/>
    <x v="0"/>
    <n v="139567951"/>
    <d v="2024-02-16T00:00:00"/>
    <x v="0"/>
    <x v="0"/>
    <x v="0"/>
    <x v="0"/>
    <x v="0"/>
    <x v="0"/>
    <d v="2023-12-18T00:00:00"/>
    <x v="0"/>
    <x v="1"/>
    <x v="0"/>
    <x v="0"/>
    <x v="0"/>
    <x v="3"/>
    <n v="952.90092371725018"/>
    <n v="229.44424811771751"/>
    <n v="0"/>
    <d v="2022-03-03T00:00:00"/>
    <x v="0"/>
  </r>
  <r>
    <x v="284"/>
    <d v="2022-02-01T00:00:00"/>
    <x v="284"/>
    <d v="2022-02-21T00:00:00"/>
    <x v="0"/>
    <x v="0"/>
    <n v="24480"/>
    <x v="0"/>
    <x v="0"/>
    <n v="5402.33"/>
    <n v="1.71"/>
    <n v="0"/>
    <n v="0"/>
    <x v="6"/>
    <s v="100% POLYESTER TEXTURED YARN (DTY 100D/48F HIM RW SD GRADE-AA"/>
    <n v="7509182"/>
    <x v="0"/>
    <n v="2852641"/>
    <x v="0"/>
    <n v="139567955"/>
    <d v="2024-02-20T00:00:00"/>
    <x v="0"/>
    <x v="0"/>
    <x v="0"/>
    <x v="0"/>
    <x v="0"/>
    <x v="0"/>
    <d v="2023-12-22T00:00:00"/>
    <x v="0"/>
    <x v="1"/>
    <x v="0"/>
    <x v="0"/>
    <x v="0"/>
    <x v="3"/>
    <n v="306.74763071895427"/>
    <n v="116.52945261437908"/>
    <n v="0"/>
    <d v="2022-03-03T00:00:00"/>
    <x v="0"/>
  </r>
  <r>
    <x v="285"/>
    <d v="2022-02-01T00:00:00"/>
    <x v="285"/>
    <d v="2022-02-21T00:00:00"/>
    <x v="0"/>
    <x v="0"/>
    <n v="3921"/>
    <x v="0"/>
    <x v="0"/>
    <n v="5402.33"/>
    <n v="3.7793000000000001"/>
    <n v="0"/>
    <n v="0"/>
    <x v="6"/>
    <s v="CUPRON POLYESTER 6/1 SPUN NATURAL 2.6% WAXED LOW TWIST"/>
    <n v="2658235"/>
    <x v="0"/>
    <n v="828538"/>
    <x v="0"/>
    <n v="139567961"/>
    <d v="2024-02-20T00:00:00"/>
    <x v="0"/>
    <x v="0"/>
    <x v="0"/>
    <x v="0"/>
    <x v="0"/>
    <x v="0"/>
    <d v="2023-12-22T00:00:00"/>
    <x v="0"/>
    <x v="1"/>
    <x v="0"/>
    <x v="0"/>
    <x v="0"/>
    <x v="3"/>
    <n v="677.94822749298646"/>
    <n v="211.30782963529711"/>
    <n v="0"/>
    <d v="2022-03-03T00:00:00"/>
    <x v="0"/>
  </r>
  <r>
    <x v="286"/>
    <d v="2022-02-01T00:00:00"/>
    <x v="286"/>
    <d v="2022-02-17T00:00:00"/>
    <x v="0"/>
    <x v="0"/>
    <n v="19505.2"/>
    <x v="0"/>
    <x v="0"/>
    <n v="5205.13"/>
    <n v="5.3"/>
    <n v="0"/>
    <n v="0"/>
    <x v="10"/>
    <s v="30/1 cotton yarn "/>
    <n v="18586523"/>
    <x v="0"/>
    <n v="4475355"/>
    <x v="0"/>
    <n v="139567943"/>
    <d v="2024-02-16T00:00:00"/>
    <x v="0"/>
    <x v="0"/>
    <x v="0"/>
    <x v="0"/>
    <x v="0"/>
    <x v="0"/>
    <d v="2023-12-18T00:00:00"/>
    <x v="0"/>
    <x v="1"/>
    <x v="0"/>
    <x v="0"/>
    <x v="0"/>
    <x v="3"/>
    <n v="952.90091872936443"/>
    <n v="229.44419949551914"/>
    <n v="0"/>
    <d v="2022-03-03T00:00:00"/>
    <x v="0"/>
  </r>
  <r>
    <x v="287"/>
    <d v="2022-03-01T00:00:00"/>
    <x v="287"/>
    <d v="2022-02-22T00:00:00"/>
    <x v="0"/>
    <x v="0"/>
    <n v="300"/>
    <x v="0"/>
    <x v="0"/>
    <n v="3204.16"/>
    <n v="130.11420000000001"/>
    <n v="0"/>
    <n v="0"/>
    <x v="5"/>
    <s v="BEZATHREN "/>
    <n v="7022054"/>
    <x v="0"/>
    <n v="2603581"/>
    <x v="0"/>
    <n v="139567949"/>
    <d v="2024-02-16T00:00:00"/>
    <x v="0"/>
    <x v="0"/>
    <x v="0"/>
    <x v="0"/>
    <x v="0"/>
    <x v="0"/>
    <d v="2023-12-18T00:00:00"/>
    <x v="0"/>
    <x v="1"/>
    <x v="0"/>
    <x v="0"/>
    <x v="0"/>
    <x v="4"/>
    <n v="23406.846666666668"/>
    <n v="8678.6033333333326"/>
    <n v="0"/>
    <d v="2022-03-31T00:00:00"/>
    <x v="0"/>
  </r>
  <r>
    <x v="288"/>
    <d v="2022-03-01T00:00:00"/>
    <x v="288"/>
    <d v="2022-02-24T00:00:00"/>
    <x v="0"/>
    <x v="0"/>
    <n v="1537"/>
    <x v="0"/>
    <x v="0"/>
    <n v="5402.33"/>
    <n v="3.7345999999999999"/>
    <n v="0"/>
    <n v="0"/>
    <x v="6"/>
    <s v="CUPRON POLYESTER 6/1 SPUN NATURAL 2.6% WAXED LOW TWIST"/>
    <n v="1034659"/>
    <x v="0"/>
    <n v="322489"/>
    <x v="0"/>
    <n v="139567978"/>
    <d v="2024-02-23T00:00:00"/>
    <x v="0"/>
    <x v="0"/>
    <x v="0"/>
    <x v="0"/>
    <x v="0"/>
    <x v="0"/>
    <d v="2023-12-25T00:00:00"/>
    <x v="0"/>
    <x v="1"/>
    <x v="0"/>
    <x v="0"/>
    <x v="0"/>
    <x v="3"/>
    <n v="673.16785946649316"/>
    <n v="209.81717631750163"/>
    <n v="0"/>
    <d v="2022-03-31T00:00:00"/>
    <x v="0"/>
  </r>
  <r>
    <x v="289"/>
    <d v="2022-03-01T00:00:00"/>
    <x v="289"/>
    <d v="2022-02-24T00:00:00"/>
    <x v="0"/>
    <x v="0"/>
    <n v="950"/>
    <x v="0"/>
    <x v="0"/>
    <n v="5210.49"/>
    <n v="3.7345999999999999"/>
    <n v="0"/>
    <n v="0"/>
    <x v="2"/>
    <s v="73% CTN25%POLY 2% SP FABRIC WEIGHT :110+/-5 GSM 40S*75D+40D/133*72 48/50&quot; (6766.5/MTRS)"/>
    <n v="2909027"/>
    <x v="0"/>
    <n v="906706"/>
    <x v="0"/>
    <n v="139567962"/>
    <d v="2024-02-21T00:00:00"/>
    <x v="0"/>
    <x v="0"/>
    <x v="0"/>
    <x v="0"/>
    <x v="0"/>
    <x v="0"/>
    <d v="2023-12-23T00:00:00"/>
    <x v="0"/>
    <x v="1"/>
    <x v="0"/>
    <x v="0"/>
    <x v="0"/>
    <x v="2"/>
    <n v="3062.1336842105261"/>
    <n v="954.42736842105262"/>
    <n v="0"/>
    <d v="2022-03-31T00:00:00"/>
    <x v="0"/>
  </r>
  <r>
    <x v="290"/>
    <d v="2022-03-01T00:00:00"/>
    <x v="290"/>
    <d v="2022-02-25T00:00:00"/>
    <x v="1"/>
    <x v="0"/>
    <n v="5280.7"/>
    <x v="0"/>
    <x v="0"/>
    <n v="5807.1019999999999"/>
    <n v="3.4921000000000002"/>
    <n v="0"/>
    <n v="0"/>
    <x v="9"/>
    <s v="RIBBONS (4008/ROLLS) "/>
    <n v="3323032"/>
    <x v="0"/>
    <n v="1035746"/>
    <x v="0"/>
    <n v="139567974"/>
    <d v="2024-02-24T00:00:00"/>
    <x v="0"/>
    <x v="0"/>
    <x v="0"/>
    <x v="0"/>
    <x v="0"/>
    <x v="0"/>
    <d v="2023-12-26T00:00:00"/>
    <x v="0"/>
    <x v="1"/>
    <x v="0"/>
    <x v="0"/>
    <x v="0"/>
    <x v="6"/>
    <n v="629.278694112523"/>
    <n v="196.13801200598405"/>
    <n v="0"/>
    <d v="2022-03-06T00:00:00"/>
    <x v="0"/>
  </r>
  <r>
    <x v="291"/>
    <d v="2022-03-01T00:00:00"/>
    <x v="291"/>
    <d v="2022-02-25T00:00:00"/>
    <x v="0"/>
    <x v="0"/>
    <n v="39619.199999999997"/>
    <x v="0"/>
    <x v="0"/>
    <n v="5205.13"/>
    <n v="3.4921000000000002"/>
    <n v="0"/>
    <n v="0"/>
    <x v="10"/>
    <s v="30/1 cotton yarn "/>
    <n v="37838853"/>
    <x v="0"/>
    <n v="9111028"/>
    <x v="0"/>
    <n v="139567975"/>
    <d v="2024-02-24T00:00:00"/>
    <x v="0"/>
    <x v="0"/>
    <x v="0"/>
    <x v="0"/>
    <x v="0"/>
    <x v="0"/>
    <d v="2023-12-26T00:00:00"/>
    <x v="0"/>
    <x v="1"/>
    <x v="0"/>
    <x v="0"/>
    <x v="0"/>
    <x v="3"/>
    <n v="955.06352980373163"/>
    <n v="229.96496648089817"/>
    <n v="0"/>
    <d v="2022-03-31T00:00:00"/>
    <x v="0"/>
  </r>
  <r>
    <x v="292"/>
    <d v="2022-03-01T00:00:00"/>
    <x v="292"/>
    <d v="2022-03-03T00:00:00"/>
    <x v="0"/>
    <x v="0"/>
    <n v="490"/>
    <x v="0"/>
    <x v="0"/>
    <n v="5210.49"/>
    <n v="14.490399999999999"/>
    <n v="0"/>
    <n v="0"/>
    <x v="2"/>
    <s v="70% POLYESTER 30% COTTON PLAIN 76X58/35X150D RECYCLED 30% REPREVE 40% POLYESTER FABRIC "/>
    <n v="1288532"/>
    <x v="0"/>
    <n v="401619"/>
    <x v="0"/>
    <n v="139567986"/>
    <d v="2024-03-02T00:00:00"/>
    <x v="0"/>
    <x v="0"/>
    <x v="0"/>
    <x v="0"/>
    <x v="0"/>
    <x v="0"/>
    <d v="2024-01-02T00:00:00"/>
    <x v="0"/>
    <x v="1"/>
    <x v="0"/>
    <x v="0"/>
    <x v="0"/>
    <x v="2"/>
    <n v="2629.6571428571428"/>
    <n v="819.63061224489797"/>
    <n v="0"/>
    <d v="2022-03-31T00:00:00"/>
    <x v="0"/>
  </r>
  <r>
    <x v="293"/>
    <d v="2022-03-01T00:00:00"/>
    <x v="293"/>
    <d v="2022-03-01T00:00:00"/>
    <x v="0"/>
    <x v="0"/>
    <n v="2400"/>
    <x v="0"/>
    <x v="0"/>
    <n v="3204.16"/>
    <s v="11.80 / 14.80 / 15.25 / 6.80"/>
    <n v="0"/>
    <n v="0"/>
    <x v="5"/>
    <s v="DYES (SYNOLON / SYNOZOL)"/>
    <n v="5683295"/>
    <x v="0"/>
    <n v="2107206"/>
    <x v="0"/>
    <n v="139567973"/>
    <d v="2024-02-28T00:00:00"/>
    <x v="0"/>
    <x v="0"/>
    <x v="0"/>
    <x v="0"/>
    <x v="0"/>
    <x v="0"/>
    <d v="2023-12-30T00:00:00"/>
    <x v="0"/>
    <x v="1"/>
    <x v="0"/>
    <x v="0"/>
    <x v="0"/>
    <x v="4"/>
    <n v="2368.0395833333332"/>
    <n v="878.00250000000005"/>
    <n v="0"/>
    <d v="2022-03-31T00:00:00"/>
    <x v="0"/>
  </r>
  <r>
    <x v="294"/>
    <d v="2022-03-01T00:00:00"/>
    <x v="294"/>
    <d v="2022-03-02T00:00:00"/>
    <x v="0"/>
    <x v="0"/>
    <n v="11070"/>
    <x v="0"/>
    <x v="0"/>
    <n v="3215.1990000000001"/>
    <s v="10.50 / 9.00"/>
    <n v="0"/>
    <n v="0"/>
    <x v="5"/>
    <s v="REACTIVE DYE / TEXTILE PRINTING INK"/>
    <n v="23646642"/>
    <x v="0"/>
    <n v="11379236"/>
    <x v="0"/>
    <n v="139567976"/>
    <d v="2024-03-01T00:00:00"/>
    <x v="0"/>
    <x v="0"/>
    <x v="0"/>
    <x v="0"/>
    <x v="0"/>
    <x v="0"/>
    <d v="2024-01-01T00:00:00"/>
    <x v="0"/>
    <x v="1"/>
    <x v="0"/>
    <x v="0"/>
    <x v="0"/>
    <x v="4"/>
    <n v="2136.1013550135503"/>
    <n v="1027.9345980126468"/>
    <n v="0"/>
    <d v="2022-03-31T00:00:00"/>
    <x v="0"/>
  </r>
  <r>
    <x v="295"/>
    <d v="2022-03-01T00:00:00"/>
    <x v="295"/>
    <d v="2022-03-01T00:00:00"/>
    <x v="0"/>
    <x v="0"/>
    <n v="1818"/>
    <x v="0"/>
    <x v="0"/>
    <n v="5407.52"/>
    <n v="5.2"/>
    <n v="0"/>
    <n v="0"/>
    <x v="11"/>
    <s v="100% GRS MICRO FIBER FABRIC 75D/72* 150D/144F,DRY GREIGE FINISHED WEIGHT 80GSM 86&quot; RAW WHITE WIDTH:220CM (10000/MTRS)"/>
    <n v="1712706"/>
    <x v="0"/>
    <n v="635024"/>
    <x v="0"/>
    <n v="139567969"/>
    <d v="2024-02-23T00:00:00"/>
    <x v="0"/>
    <x v="0"/>
    <x v="0"/>
    <x v="0"/>
    <x v="0"/>
    <x v="0"/>
    <d v="2023-12-25T00:00:00"/>
    <x v="0"/>
    <x v="1"/>
    <x v="0"/>
    <x v="0"/>
    <x v="0"/>
    <x v="2"/>
    <n v="942.08250825082507"/>
    <n v="349.2981298129813"/>
    <n v="0"/>
    <d v="2022-03-31T00:00:00"/>
    <x v="0"/>
  </r>
  <r>
    <x v="296"/>
    <d v="2022-03-01T00:00:00"/>
    <x v="296"/>
    <d v="2022-03-01T00:00:00"/>
    <x v="0"/>
    <x v="0"/>
    <n v="1633"/>
    <x v="0"/>
    <x v="0"/>
    <n v="5407.52"/>
    <n v="8.9041999999999994"/>
    <n v="0"/>
    <n v="0"/>
    <x v="11"/>
    <s v="100 PERCEMT POLYESTER 190T TAFFETA, W/R + PU COATING, WHITE COLOR, 70 GSM, 57/58&quot; (14577/MTRS)"/>
    <n v="2634310"/>
    <x v="0"/>
    <n v="976729"/>
    <x v="0"/>
    <n v="139567971"/>
    <d v="2024-02-28T00:00:00"/>
    <x v="0"/>
    <x v="0"/>
    <x v="0"/>
    <x v="0"/>
    <x v="0"/>
    <x v="0"/>
    <d v="2023-12-30T00:00:00"/>
    <x v="0"/>
    <x v="1"/>
    <x v="0"/>
    <x v="0"/>
    <x v="0"/>
    <x v="2"/>
    <n v="1613.1720759338641"/>
    <n v="598.11941212492343"/>
    <n v="0"/>
    <d v="2022-03-31T00:00:00"/>
    <x v="0"/>
  </r>
  <r>
    <x v="297"/>
    <d v="2022-03-01T00:00:00"/>
    <x v="297"/>
    <d v="2022-03-03T00:00:00"/>
    <x v="0"/>
    <x v="0"/>
    <n v="5000"/>
    <x v="0"/>
    <x v="0"/>
    <n v="3809.9189999999999"/>
    <s v="3.1237 / 1.7634"/>
    <n v="0"/>
    <n v="0"/>
    <x v="12"/>
    <s v="COMPLEX DSP / K-LINE BLEACH"/>
    <n v="2607484"/>
    <x v="0"/>
    <n v="966782"/>
    <x v="0"/>
    <n v="139567970"/>
    <d v="2024-02-23T00:00:00"/>
    <x v="0"/>
    <x v="0"/>
    <x v="0"/>
    <x v="0"/>
    <x v="0"/>
    <x v="0"/>
    <d v="2023-12-25T00:00:00"/>
    <x v="0"/>
    <x v="1"/>
    <x v="0"/>
    <x v="0"/>
    <x v="0"/>
    <x v="5"/>
    <n v="521.49680000000001"/>
    <n v="193.35640000000001"/>
    <n v="0"/>
    <d v="2022-03-31T00:00:00"/>
    <x v="0"/>
  </r>
  <r>
    <x v="298"/>
    <d v="2022-03-01T00:00:00"/>
    <x v="298"/>
    <d v="2022-03-07T00:00:00"/>
    <x v="0"/>
    <x v="0"/>
    <n v="19980"/>
    <x v="0"/>
    <x v="0"/>
    <n v="5205.12"/>
    <n v="3.23"/>
    <n v="0"/>
    <n v="0"/>
    <x v="10"/>
    <s v="20/1 cotton yarn "/>
    <n v="11737946"/>
    <x v="0"/>
    <n v="2826321"/>
    <x v="0"/>
    <n v="139567985"/>
    <d v="2024-03-04T00:00:00"/>
    <x v="0"/>
    <x v="0"/>
    <x v="0"/>
    <x v="0"/>
    <x v="0"/>
    <x v="0"/>
    <d v="2024-01-04T00:00:00"/>
    <x v="0"/>
    <x v="1"/>
    <x v="0"/>
    <x v="0"/>
    <x v="0"/>
    <x v="3"/>
    <n v="587.48478478478478"/>
    <n v="141.4575075075075"/>
    <n v="0"/>
    <d v="2022-03-31T00:00:00"/>
    <x v="0"/>
  </r>
  <r>
    <x v="299"/>
    <d v="2022-03-01T00:00:00"/>
    <x v="299"/>
    <d v="2022-03-14T00:00:00"/>
    <x v="0"/>
    <x v="0"/>
    <n v="18000"/>
    <x v="0"/>
    <x v="0"/>
    <n v="2832.1089999999999"/>
    <n v="1.95"/>
    <n v="0"/>
    <n v="0"/>
    <x v="12"/>
    <s v="HYDRO BLUE 90 E"/>
    <n v="6412767"/>
    <x v="0"/>
    <n v="1165199"/>
    <x v="0"/>
    <n v="139567992"/>
    <d v="2024-03-12T00:00:00"/>
    <x v="0"/>
    <x v="0"/>
    <x v="0"/>
    <x v="0"/>
    <x v="0"/>
    <x v="0"/>
    <d v="2024-01-12T00:00:00"/>
    <x v="0"/>
    <x v="1"/>
    <x v="0"/>
    <x v="0"/>
    <x v="0"/>
    <x v="5"/>
    <n v="356.26483333333334"/>
    <n v="64.733277777777772"/>
    <n v="0"/>
    <d v="2022-03-31T00:00:00"/>
    <x v="0"/>
  </r>
  <r>
    <x v="300"/>
    <d v="2022-03-01T00:00:00"/>
    <x v="300"/>
    <d v="2022-03-14T00:00:00"/>
    <x v="0"/>
    <x v="0"/>
    <n v="49000"/>
    <x v="0"/>
    <x v="0"/>
    <n v="1108.19"/>
    <n v="0.71"/>
    <n v="0"/>
    <n v="0"/>
    <x v="12"/>
    <s v="EMSIZE E35 (STARCH)"/>
    <n v="6356130"/>
    <x v="0"/>
    <n v="2442941"/>
    <x v="0"/>
    <n v="139568001"/>
    <d v="2024-03-10T00:00:00"/>
    <x v="0"/>
    <x v="0"/>
    <x v="0"/>
    <x v="0"/>
    <x v="0"/>
    <x v="0"/>
    <d v="2024-01-10T00:00:00"/>
    <x v="0"/>
    <x v="1"/>
    <x v="0"/>
    <x v="0"/>
    <x v="0"/>
    <x v="5"/>
    <n v="129.71693877551022"/>
    <n v="49.855938775510204"/>
    <n v="0"/>
    <d v="2022-03-31T00:00:00"/>
    <x v="0"/>
  </r>
  <r>
    <x v="301"/>
    <d v="2022-03-01T00:00:00"/>
    <x v="301"/>
    <d v="2022-02-28T00:00:00"/>
    <x v="0"/>
    <x v="0"/>
    <n v="108.86199999999999"/>
    <x v="0"/>
    <x v="0"/>
    <n v="5402.33"/>
    <n v="2.2046000000000001"/>
    <n v="0"/>
    <n v="0"/>
    <x v="6"/>
    <s v="CUPRON POLYESTER 20/1 SPUN NATURAL 3% WAXED"/>
    <n v="137897"/>
    <x v="0"/>
    <n v="42981"/>
    <x v="0"/>
    <n v="139567979"/>
    <d v="2024-02-27T00:00:00"/>
    <x v="0"/>
    <x v="0"/>
    <x v="0"/>
    <x v="0"/>
    <x v="0"/>
    <x v="0"/>
    <d v="2023-12-29T00:00:00"/>
    <x v="0"/>
    <x v="1"/>
    <x v="0"/>
    <x v="0"/>
    <x v="0"/>
    <x v="3"/>
    <n v="1266.7138211680845"/>
    <n v="394.82096599364337"/>
    <n v="0"/>
    <d v="2022-03-31T00:00:00"/>
    <x v="0"/>
  </r>
  <r>
    <x v="302"/>
    <d v="2022-03-01T00:00:00"/>
    <x v="302"/>
    <d v="2022-03-09T00:00:00"/>
    <x v="0"/>
    <x v="0"/>
    <n v="24480"/>
    <x v="0"/>
    <x v="0"/>
    <n v="5402.33"/>
    <n v="1.71"/>
    <n v="0"/>
    <n v="0"/>
    <x v="6"/>
    <s v="100% POLYESTER TEXTURED YARN (DTY 100D/48F HIM RW SD GRADE-AA) "/>
    <n v="7626613"/>
    <x v="0"/>
    <n v="2897251"/>
    <x v="0"/>
    <n v="139567993"/>
    <d v="2024-03-08T00:00:00"/>
    <x v="0"/>
    <x v="0"/>
    <x v="0"/>
    <x v="0"/>
    <x v="0"/>
    <x v="0"/>
    <d v="2024-01-08T00:00:00"/>
    <x v="0"/>
    <x v="1"/>
    <x v="0"/>
    <x v="0"/>
    <x v="0"/>
    <x v="3"/>
    <n v="311.54464869281048"/>
    <n v="118.35175653594771"/>
    <n v="0"/>
    <d v="2022-03-31T00:00:00"/>
    <x v="0"/>
  </r>
  <r>
    <x v="303"/>
    <d v="2022-03-01T00:00:00"/>
    <x v="303"/>
    <d v="2022-03-11T00:00:00"/>
    <x v="0"/>
    <x v="0"/>
    <n v="40200"/>
    <x v="0"/>
    <x v="0"/>
    <n v="5205.12"/>
    <n v="3.2"/>
    <n v="0"/>
    <n v="0"/>
    <x v="10"/>
    <s v="20/1 cotton yarn "/>
    <n v="23502516"/>
    <x v="0"/>
    <n v="5659053"/>
    <x v="0"/>
    <n v="139568000"/>
    <d v="2024-03-08T00:00:00"/>
    <x v="0"/>
    <x v="0"/>
    <x v="0"/>
    <x v="0"/>
    <x v="0"/>
    <x v="0"/>
    <d v="2024-01-08T00:00:00"/>
    <x v="0"/>
    <x v="1"/>
    <x v="0"/>
    <x v="0"/>
    <x v="0"/>
    <x v="3"/>
    <n v="584.63970149253737"/>
    <n v="140.77246268656717"/>
    <n v="0"/>
    <d v="2022-03-31T00:00:00"/>
    <x v="0"/>
  </r>
  <r>
    <x v="304"/>
    <d v="2022-03-01T00:00:00"/>
    <x v="304"/>
    <d v="2022-03-14T00:00:00"/>
    <x v="0"/>
    <x v="0"/>
    <n v="23600"/>
    <x v="0"/>
    <x v="0"/>
    <s v="3906.9090 / 3402.1300 / 3809.9190"/>
    <s v="2.9 / 1.9 / 4.3 / 4.05"/>
    <n v="0"/>
    <n v="0"/>
    <x v="12"/>
    <s v="NEOPAT BINDER / NEOPAT COMPOUND / TILASOL / ANTISCHIUMA NEOPAT NT"/>
    <n v="12063675"/>
    <x v="0"/>
    <n v="4065908"/>
    <x v="0"/>
    <n v="139568013"/>
    <d v="2024-03-13T00:00:00"/>
    <x v="0"/>
    <x v="0"/>
    <x v="0"/>
    <x v="0"/>
    <x v="0"/>
    <x v="0"/>
    <d v="2024-01-13T00:00:00"/>
    <x v="0"/>
    <x v="1"/>
    <x v="0"/>
    <x v="0"/>
    <x v="0"/>
    <x v="5"/>
    <n v="511.17266949152543"/>
    <n v="172.28423728813559"/>
    <n v="0"/>
    <d v="2022-03-31T00:00:00"/>
    <x v="0"/>
  </r>
  <r>
    <x v="305"/>
    <d v="2022-03-01T00:00:00"/>
    <x v="305"/>
    <d v="2022-03-15T00:00:00"/>
    <x v="0"/>
    <x v="0"/>
    <n v="12000"/>
    <x v="0"/>
    <x v="0"/>
    <n v="3910"/>
    <n v="2.9"/>
    <n v="0"/>
    <n v="0"/>
    <x v="12"/>
    <s v="MICROS 50 HS MICROEMULSION - SILICONE"/>
    <n v="6940858"/>
    <x v="0"/>
    <n v="1261154"/>
    <x v="0"/>
    <n v="139568017"/>
    <d v="2024-03-14T00:00:00"/>
    <x v="0"/>
    <x v="0"/>
    <x v="0"/>
    <x v="0"/>
    <x v="0"/>
    <x v="0"/>
    <d v="2024-01-14T00:00:00"/>
    <x v="0"/>
    <x v="1"/>
    <x v="0"/>
    <x v="0"/>
    <x v="0"/>
    <x v="5"/>
    <n v="578.40483333333339"/>
    <n v="105.09616666666666"/>
    <n v="0"/>
    <d v="2022-03-31T00:00:00"/>
    <x v="0"/>
  </r>
  <r>
    <x v="306"/>
    <d v="2022-03-01T00:00:00"/>
    <x v="306"/>
    <d v="2022-03-15T00:00:00"/>
    <x v="0"/>
    <x v="0"/>
    <n v="11025"/>
    <x v="0"/>
    <x v="0"/>
    <n v="3204.16"/>
    <s v="8.6053 / 4.3027"/>
    <n v="0"/>
    <n v="0"/>
    <x v="5"/>
    <s v="DYES (IMPERON BRILLIANT PINK / IMPERON BLUE)"/>
    <n v="9731633"/>
    <x v="0"/>
    <n v="3608217"/>
    <x v="0"/>
    <n v="139568018"/>
    <d v="2024-03-11T00:00:00"/>
    <x v="0"/>
    <x v="0"/>
    <x v="0"/>
    <x v="0"/>
    <x v="0"/>
    <x v="0"/>
    <d v="2024-01-11T00:00:00"/>
    <x v="0"/>
    <x v="1"/>
    <x v="0"/>
    <x v="0"/>
    <x v="0"/>
    <x v="4"/>
    <n v="882.68780045351468"/>
    <n v="327.27591836734695"/>
    <n v="0"/>
    <d v="2022-03-31T00:00:00"/>
    <x v="0"/>
  </r>
  <r>
    <x v="307"/>
    <d v="2022-03-01T00:00:00"/>
    <x v="307"/>
    <d v="2022-03-19T00:00:00"/>
    <x v="0"/>
    <x v="0"/>
    <n v="19800"/>
    <x v="0"/>
    <x v="0"/>
    <n v="5205.12"/>
    <n v="3.23"/>
    <n v="0"/>
    <n v="0"/>
    <x v="10"/>
    <s v="20/1 cotton yarn "/>
    <n v="11778987"/>
    <x v="0"/>
    <n v="2836203"/>
    <x v="0"/>
    <n v="139568015"/>
    <d v="2024-03-18T00:00:00"/>
    <x v="0"/>
    <x v="0"/>
    <x v="0"/>
    <x v="0"/>
    <x v="0"/>
    <x v="0"/>
    <d v="2024-01-18T00:00:00"/>
    <x v="0"/>
    <x v="1"/>
    <x v="0"/>
    <x v="0"/>
    <x v="0"/>
    <x v="3"/>
    <n v="594.89833333333331"/>
    <n v="143.24257575757576"/>
    <n v="0"/>
    <d v="2022-03-31T00:00:00"/>
    <x v="0"/>
  </r>
  <r>
    <x v="308"/>
    <d v="2022-03-01T00:00:00"/>
    <x v="308"/>
    <d v="2022-03-21T00:00:00"/>
    <x v="0"/>
    <x v="0"/>
    <n v="19800"/>
    <x v="0"/>
    <x v="0"/>
    <n v="5205.12"/>
    <n v="3.13"/>
    <n v="0"/>
    <n v="0"/>
    <x v="10"/>
    <s v="16/1 cotton yarn "/>
    <n v="11414313"/>
    <x v="0"/>
    <n v="2748396"/>
    <x v="0"/>
    <n v="139568014"/>
    <d v="2024-03-20T00:00:00"/>
    <x v="0"/>
    <x v="0"/>
    <x v="0"/>
    <x v="0"/>
    <x v="0"/>
    <x v="0"/>
    <d v="2024-01-20T00:00:00"/>
    <x v="0"/>
    <x v="1"/>
    <x v="0"/>
    <x v="0"/>
    <x v="0"/>
    <x v="3"/>
    <n v="576.48045454545456"/>
    <n v="138.80787878787879"/>
    <n v="0"/>
    <d v="2022-03-31T00:00:00"/>
    <x v="0"/>
  </r>
  <r>
    <x v="309"/>
    <d v="2022-03-01T00:00:00"/>
    <x v="309"/>
    <d v="2022-03-15T00:00:00"/>
    <x v="0"/>
    <x v="0"/>
    <n v="325"/>
    <x v="0"/>
    <x v="0"/>
    <n v="3204.16"/>
    <s v="130.1955 / 58.0872"/>
    <n v="0"/>
    <n v="0"/>
    <x v="5"/>
    <s v="DYES BEZATHREN"/>
    <n v="6078812"/>
    <x v="0"/>
    <n v="2253854"/>
    <x v="0"/>
    <n v="139568016"/>
    <d v="2024-03-13T00:00:00"/>
    <x v="0"/>
    <x v="0"/>
    <x v="0"/>
    <x v="0"/>
    <x v="0"/>
    <x v="0"/>
    <d v="2024-01-13T00:00:00"/>
    <x v="0"/>
    <x v="1"/>
    <x v="0"/>
    <x v="0"/>
    <x v="0"/>
    <x v="4"/>
    <n v="18704.036923076925"/>
    <n v="6934.9353846153845"/>
    <n v="0"/>
    <d v="2022-03-31T00:00:00"/>
    <x v="0"/>
  </r>
  <r>
    <x v="310"/>
    <d v="2022-03-01T00:00:00"/>
    <x v="310"/>
    <d v="2022-03-19T00:00:00"/>
    <x v="0"/>
    <x v="0"/>
    <n v="1250"/>
    <x v="0"/>
    <x v="0"/>
    <n v="3204.16"/>
    <s v="10.5791 / 9.5212"/>
    <n v="0"/>
    <n v="0"/>
    <x v="5"/>
    <s v="DYES BEMACRON"/>
    <n v="2240718"/>
    <x v="0"/>
    <n v="830796"/>
    <x v="0"/>
    <n v="139568024"/>
    <d v="2024-03-15T00:00:00"/>
    <x v="0"/>
    <x v="0"/>
    <x v="0"/>
    <x v="0"/>
    <x v="0"/>
    <x v="0"/>
    <d v="2024-01-15T00:00:00"/>
    <x v="0"/>
    <x v="1"/>
    <x v="0"/>
    <x v="0"/>
    <x v="0"/>
    <x v="4"/>
    <n v="1792.5744"/>
    <n v="664.63679999999999"/>
    <n v="0"/>
    <d v="2022-03-31T00:00:00"/>
    <x v="0"/>
  </r>
  <r>
    <x v="311"/>
    <d v="2022-03-01T00:00:00"/>
    <x v="311"/>
    <d v="2022-03-24T00:00:00"/>
    <x v="0"/>
    <x v="0"/>
    <n v="24000"/>
    <x v="0"/>
    <x v="0"/>
    <n v="3809.9110000000001"/>
    <n v="1.1000000000000001"/>
    <n v="0"/>
    <n v="0"/>
    <x v="12"/>
    <s v="EMSIZE CMS 60 "/>
    <n v="5388013"/>
    <x v="0"/>
    <n v="979002"/>
    <x v="0"/>
    <n v="139568099"/>
    <d v="2024-03-20T00:00:00"/>
    <x v="0"/>
    <x v="0"/>
    <x v="0"/>
    <x v="0"/>
    <x v="0"/>
    <x v="0"/>
    <d v="2024-01-20T00:00:00"/>
    <x v="0"/>
    <x v="1"/>
    <x v="0"/>
    <x v="0"/>
    <x v="0"/>
    <x v="5"/>
    <n v="224.50054166666666"/>
    <n v="40.79175"/>
    <n v="0"/>
    <d v="2022-03-31T00:00:00"/>
    <x v="0"/>
  </r>
  <r>
    <x v="312"/>
    <d v="2022-03-01T00:00:00"/>
    <x v="312"/>
    <d v="2022-03-24T00:00:00"/>
    <x v="0"/>
    <x v="0"/>
    <n v="5000"/>
    <x v="0"/>
    <x v="0"/>
    <n v="3906.9090000000001"/>
    <n v="12.6"/>
    <n v="0"/>
    <n v="0"/>
    <x v="12"/>
    <s v="NUVA N1811 LIQ"/>
    <n v="11664333"/>
    <x v="0"/>
    <n v="3635622"/>
    <x v="0"/>
    <n v="139568098"/>
    <d v="2024-03-20T00:00:00"/>
    <x v="0"/>
    <x v="0"/>
    <x v="0"/>
    <x v="0"/>
    <x v="0"/>
    <x v="0"/>
    <d v="2024-01-20T00:00:00"/>
    <x v="0"/>
    <x v="1"/>
    <x v="0"/>
    <x v="0"/>
    <x v="0"/>
    <x v="5"/>
    <n v="2332.8665999999998"/>
    <n v="727.12440000000004"/>
    <n v="0"/>
    <d v="2022-03-31T00:00:00"/>
    <x v="0"/>
  </r>
  <r>
    <x v="313"/>
    <d v="2022-03-01T00:00:00"/>
    <x v="313"/>
    <d v="2022-03-18T00:00:00"/>
    <x v="0"/>
    <x v="0"/>
    <n v="25600"/>
    <x v="0"/>
    <x v="0"/>
    <n v="3910"/>
    <n v="2"/>
    <n v="0"/>
    <n v="0"/>
    <x v="12"/>
    <s v="SILICONE HT-40"/>
    <n v="9396019"/>
    <x v="0"/>
    <n v="1707256"/>
    <x v="0"/>
    <n v="139568025"/>
    <d v="2024-03-16T00:00:00"/>
    <x v="0"/>
    <x v="0"/>
    <x v="0"/>
    <x v="0"/>
    <x v="0"/>
    <x v="0"/>
    <d v="2024-01-16T00:00:00"/>
    <x v="0"/>
    <x v="1"/>
    <x v="0"/>
    <x v="0"/>
    <x v="0"/>
    <x v="5"/>
    <n v="367.03199218750001"/>
    <n v="66.689687500000005"/>
    <n v="0"/>
    <d v="2022-03-31T00:00:00"/>
    <x v="0"/>
  </r>
  <r>
    <x v="314"/>
    <d v="2022-03-01T00:00:00"/>
    <x v="314"/>
    <d v="2022-03-24T00:00:00"/>
    <x v="0"/>
    <x v="0"/>
    <n v="48960"/>
    <x v="0"/>
    <x v="0"/>
    <n v="5402.33"/>
    <n v="1.71"/>
    <n v="0"/>
    <n v="0"/>
    <x v="6"/>
    <s v="100% POLYESTER TEXTURED YARN (DTY 100D/48F) HIM RW SD GRADE -AA"/>
    <n v="15500899"/>
    <x v="0"/>
    <n v="5888590"/>
    <x v="0"/>
    <n v="139568122"/>
    <d v="2024-03-22T00:00:00"/>
    <x v="0"/>
    <x v="0"/>
    <x v="0"/>
    <x v="0"/>
    <x v="0"/>
    <x v="0"/>
    <d v="2024-01-22T00:00:00"/>
    <x v="0"/>
    <x v="1"/>
    <x v="0"/>
    <x v="0"/>
    <x v="0"/>
    <x v="3"/>
    <n v="316.60332924836604"/>
    <n v="120.2734885620915"/>
    <n v="0"/>
    <d v="2022-03-31T00:00:00"/>
    <x v="0"/>
  </r>
  <r>
    <x v="315"/>
    <d v="2022-03-01T00:00:00"/>
    <x v="315"/>
    <d v="2022-03-25T00:00:00"/>
    <x v="0"/>
    <x v="0"/>
    <n v="40020"/>
    <x v="0"/>
    <x v="0"/>
    <n v="5205.12"/>
    <n v="3.12"/>
    <n v="0"/>
    <n v="0"/>
    <x v="10"/>
    <s v="16/1 cotton yarn "/>
    <n v="23207203"/>
    <x v="0"/>
    <n v="5587946"/>
    <x v="0"/>
    <n v="139568030"/>
    <d v="2024-03-24T00:00:00"/>
    <x v="0"/>
    <x v="0"/>
    <x v="0"/>
    <x v="0"/>
    <x v="0"/>
    <x v="0"/>
    <d v="2024-01-24T00:00:00"/>
    <x v="0"/>
    <x v="1"/>
    <x v="0"/>
    <x v="0"/>
    <x v="0"/>
    <x v="3"/>
    <n v="579.89012993503252"/>
    <n v="139.62883558220889"/>
    <n v="0"/>
    <d v="2022-03-31T00:00:00"/>
    <x v="0"/>
  </r>
  <r>
    <x v="316"/>
    <d v="2022-03-01T00:00:00"/>
    <x v="316"/>
    <d v="2022-03-25T00:00:00"/>
    <x v="0"/>
    <x v="0"/>
    <n v="13000"/>
    <x v="0"/>
    <x v="0"/>
    <n v="3809.9189999999999"/>
    <n v="2.65"/>
    <n v="0"/>
    <n v="0"/>
    <x v="12"/>
    <s v="PERIPRINT MIP CONC"/>
    <n v="7047114"/>
    <x v="0"/>
    <n v="2612872"/>
    <x v="0"/>
    <n v="139568102"/>
    <d v="2024-03-21T00:00:00"/>
    <x v="0"/>
    <x v="0"/>
    <x v="0"/>
    <x v="0"/>
    <x v="0"/>
    <x v="0"/>
    <d v="2024-01-21T00:00:00"/>
    <x v="0"/>
    <x v="1"/>
    <x v="0"/>
    <x v="0"/>
    <x v="0"/>
    <x v="5"/>
    <n v="542.08569230769228"/>
    <n v="200.99015384615385"/>
    <n v="0"/>
    <d v="2022-03-31T00:00:00"/>
    <x v="0"/>
  </r>
  <r>
    <x v="317"/>
    <d v="2022-03-01T00:00:00"/>
    <x v="317"/>
    <d v="2022-03-29T00:00:00"/>
    <x v="0"/>
    <x v="0"/>
    <n v="400"/>
    <x v="0"/>
    <x v="0"/>
    <n v="3808.94"/>
    <n v="31.887499999999999"/>
    <n v="0"/>
    <n v="0"/>
    <x v="12"/>
    <s v="SILVERCLEAR DG-300"/>
    <n v="2373275"/>
    <x v="0"/>
    <n v="631291"/>
    <x v="0"/>
    <n v="139568114"/>
    <d v="2024-03-28T00:00:00"/>
    <x v="0"/>
    <x v="0"/>
    <x v="0"/>
    <x v="0"/>
    <x v="0"/>
    <x v="0"/>
    <d v="2024-01-28T00:00:00"/>
    <x v="0"/>
    <x v="1"/>
    <x v="0"/>
    <x v="0"/>
    <x v="0"/>
    <x v="5"/>
    <n v="5933.1875"/>
    <n v="1578.2275"/>
    <n v="0"/>
    <d v="2022-03-31T00:00:00"/>
    <x v="0"/>
  </r>
  <r>
    <x v="318"/>
    <d v="2022-04-01T00:00:00"/>
    <x v="318"/>
    <d v="2022-03-29T00:00:00"/>
    <x v="0"/>
    <x v="0"/>
    <n v="10155"/>
    <x v="0"/>
    <x v="0"/>
    <n v="5407.52"/>
    <n v="5.5890000000000004"/>
    <n v="0"/>
    <n v="0"/>
    <x v="11"/>
    <s v="100% POLY MICROFIBER FABRIC, 82GSM WIDTH:95'' ,106&quot; (49400/MTRS)"/>
    <n v="10560430"/>
    <x v="0"/>
    <n v="3915512"/>
    <x v="0"/>
    <n v="139568132"/>
    <d v="2024-03-28T00:00:00"/>
    <x v="0"/>
    <x v="0"/>
    <x v="0"/>
    <x v="0"/>
    <x v="0"/>
    <x v="0"/>
    <d v="2024-01-28T00:00:00"/>
    <x v="0"/>
    <x v="1"/>
    <x v="0"/>
    <x v="0"/>
    <x v="0"/>
    <x v="2"/>
    <n v="1039.9241752831117"/>
    <n v="385.57479074347611"/>
    <n v="0"/>
    <d v="2022-05-01T00:00:00"/>
    <x v="0"/>
  </r>
  <r>
    <x v="319"/>
    <d v="2022-04-01T00:00:00"/>
    <x v="319"/>
    <d v="2022-03-29T00:00:00"/>
    <x v="0"/>
    <x v="0"/>
    <n v="12000"/>
    <x v="0"/>
    <x v="0"/>
    <n v="3909.5"/>
    <n v="3.98"/>
    <n v="0"/>
    <n v="0"/>
    <x v="12"/>
    <s v="CHEMICAL LAMFINISH FIX"/>
    <n v="8886524"/>
    <x v="0"/>
    <n v="1614681"/>
    <x v="0"/>
    <n v="139568131"/>
    <d v="2024-03-28T00:00:00"/>
    <x v="0"/>
    <x v="0"/>
    <x v="0"/>
    <x v="0"/>
    <x v="0"/>
    <x v="0"/>
    <d v="2024-01-28T00:00:00"/>
    <x v="0"/>
    <x v="1"/>
    <x v="0"/>
    <x v="0"/>
    <x v="0"/>
    <x v="5"/>
    <n v="740.5436666666667"/>
    <n v="134.55674999999999"/>
    <n v="0"/>
    <d v="2022-05-01T00:00:00"/>
    <x v="0"/>
  </r>
  <r>
    <x v="320"/>
    <d v="2022-04-01T00:00:00"/>
    <x v="320"/>
    <d v="2022-03-29T00:00:00"/>
    <x v="0"/>
    <x v="0"/>
    <n v="24480"/>
    <x v="0"/>
    <x v="0"/>
    <n v="5402.33"/>
    <n v="1.71"/>
    <n v="0"/>
    <n v="0"/>
    <x v="6"/>
    <s v="100% POLYESTER TEXTURED DTY 100/48F HIM RW SD GRADE-AA"/>
    <n v="7788882"/>
    <x v="0"/>
    <n v="2958895"/>
    <x v="0"/>
    <n v="139568125"/>
    <d v="2024-03-28T00:00:00"/>
    <x v="0"/>
    <x v="0"/>
    <x v="0"/>
    <x v="0"/>
    <x v="0"/>
    <x v="0"/>
    <d v="2024-01-28T00:00:00"/>
    <x v="0"/>
    <x v="1"/>
    <x v="0"/>
    <x v="0"/>
    <x v="0"/>
    <x v="3"/>
    <n v="318.1732843137255"/>
    <n v="120.86989379084967"/>
    <n v="0"/>
    <d v="2022-05-01T00:00:00"/>
    <x v="0"/>
  </r>
  <r>
    <x v="321"/>
    <d v="2022-04-01T00:00:00"/>
    <x v="321"/>
    <d v="2022-03-30T00:00:00"/>
    <x v="0"/>
    <x v="0"/>
    <n v="24480"/>
    <x v="0"/>
    <x v="0"/>
    <n v="5402.33"/>
    <n v="1.71"/>
    <n v="0"/>
    <n v="0"/>
    <x v="6"/>
    <s v="100% POLYESTER TEXTURED YARN (DTY 100D/48F) HIM RW SD GRADE -AA"/>
    <n v="7799557"/>
    <x v="0"/>
    <n v="2962950"/>
    <x v="0"/>
    <n v="139568115"/>
    <d v="2024-03-28T00:00:00"/>
    <x v="0"/>
    <x v="0"/>
    <x v="0"/>
    <x v="0"/>
    <x v="0"/>
    <x v="0"/>
    <d v="2024-01-28T00:00:00"/>
    <x v="0"/>
    <x v="1"/>
    <x v="0"/>
    <x v="0"/>
    <x v="0"/>
    <x v="3"/>
    <n v="318.60935457516342"/>
    <n v="121.03553921568627"/>
    <n v="0"/>
    <d v="2022-05-01T00:00:00"/>
    <x v="0"/>
  </r>
  <r>
    <x v="322"/>
    <d v="2022-04-01T00:00:00"/>
    <x v="322"/>
    <d v="2022-03-31T00:00:00"/>
    <x v="0"/>
    <x v="0"/>
    <n v="64864.800000000003"/>
    <x v="0"/>
    <x v="0"/>
    <n v="5205.12"/>
    <n v="3.35"/>
    <n v="0"/>
    <n v="0"/>
    <x v="10"/>
    <s v="22/1 cotton yarn "/>
    <n v="40808481"/>
    <x v="0"/>
    <n v="9826070"/>
    <x v="0"/>
    <n v="139568117"/>
    <d v="2024-03-29T00:00:00"/>
    <x v="0"/>
    <x v="0"/>
    <x v="0"/>
    <x v="0"/>
    <x v="0"/>
    <x v="0"/>
    <d v="2024-01-29T00:00:00"/>
    <x v="0"/>
    <x v="1"/>
    <x v="0"/>
    <x v="0"/>
    <x v="0"/>
    <x v="3"/>
    <n v="629.13137788137783"/>
    <n v="151.48539731873063"/>
    <n v="0"/>
    <d v="2022-05-01T00:00:00"/>
    <x v="0"/>
  </r>
  <r>
    <x v="323"/>
    <d v="2022-04-01T00:00:00"/>
    <x v="323"/>
    <d v="2022-03-28T00:00:00"/>
    <x v="0"/>
    <x v="0"/>
    <n v="24000"/>
    <x v="0"/>
    <x v="0"/>
    <n v="3402.13"/>
    <n v="2.1800000000000002"/>
    <n v="0"/>
    <n v="0"/>
    <x v="12"/>
    <s v="DYMATIC (WETMATIC WTL)"/>
    <n v="9724311"/>
    <x v="0"/>
    <n v="3605502"/>
    <x v="0"/>
    <n v="139568103"/>
    <d v="2024-03-24T00:00:00"/>
    <x v="0"/>
    <x v="0"/>
    <x v="0"/>
    <x v="0"/>
    <x v="0"/>
    <x v="0"/>
    <d v="2024-01-24T00:00:00"/>
    <x v="0"/>
    <x v="1"/>
    <x v="0"/>
    <x v="0"/>
    <x v="0"/>
    <x v="5"/>
    <n v="405.17962499999999"/>
    <n v="150.22925000000001"/>
    <n v="0"/>
    <d v="2022-05-01T00:00:00"/>
    <x v="0"/>
  </r>
  <r>
    <x v="324"/>
    <d v="2022-04-01T00:00:00"/>
    <x v="324"/>
    <d v="2022-04-04T00:00:00"/>
    <x v="0"/>
    <x v="0"/>
    <n v="20010"/>
    <x v="0"/>
    <x v="0"/>
    <n v="5205.12"/>
    <n v="3.25"/>
    <n v="0"/>
    <n v="0"/>
    <x v="10"/>
    <s v="20/1 cotton yarn "/>
    <n v="12203179"/>
    <x v="0"/>
    <n v="2938342"/>
    <x v="0"/>
    <n v="139568140"/>
    <d v="2024-04-04T00:00:00"/>
    <x v="0"/>
    <x v="0"/>
    <x v="0"/>
    <x v="0"/>
    <x v="0"/>
    <x v="0"/>
    <d v="2024-02-04T00:00:00"/>
    <x v="0"/>
    <x v="1"/>
    <x v="0"/>
    <x v="0"/>
    <x v="0"/>
    <x v="3"/>
    <n v="609.85402298850579"/>
    <n v="146.84367816091955"/>
    <n v="0"/>
    <d v="2022-05-01T00:00:00"/>
    <x v="0"/>
  </r>
  <r>
    <x v="325"/>
    <d v="2022-04-01T00:00:00"/>
    <x v="325"/>
    <d v="2022-04-05T00:00:00"/>
    <x v="0"/>
    <x v="0"/>
    <n v="12000"/>
    <x v="0"/>
    <x v="0"/>
    <n v="3910"/>
    <n v="2.9"/>
    <n v="0"/>
    <n v="0"/>
    <x v="12"/>
    <s v="CHEMICAL (MICROS 50 HS MICROEMULSION)"/>
    <n v="7238699"/>
    <x v="0"/>
    <n v="1315272"/>
    <x v="0"/>
    <n v="139568141"/>
    <d v="2024-04-04T00:00:00"/>
    <x v="0"/>
    <x v="0"/>
    <x v="0"/>
    <x v="0"/>
    <x v="0"/>
    <x v="0"/>
    <d v="2024-02-04T00:00:00"/>
    <x v="0"/>
    <x v="1"/>
    <x v="0"/>
    <x v="0"/>
    <x v="0"/>
    <x v="5"/>
    <n v="603.22491666666667"/>
    <n v="109.60599999999999"/>
    <n v="0"/>
    <d v="2022-05-01T00:00:00"/>
    <x v="0"/>
  </r>
  <r>
    <x v="326"/>
    <d v="2022-04-01T00:00:00"/>
    <x v="326"/>
    <d v="2022-04-06T00:00:00"/>
    <x v="0"/>
    <x v="0"/>
    <n v="3450"/>
    <x v="0"/>
    <x v="0"/>
    <n v="5407.52"/>
    <n v="5.5579999999999998"/>
    <n v="0"/>
    <n v="0"/>
    <x v="11"/>
    <s v="100% POLY MICROFIBER FABRIC, 82GSM WIDTH:95'' (17389/MTRS) "/>
    <n v="3614784"/>
    <x v="0"/>
    <n v="1340260"/>
    <x v="0"/>
    <n v="139568148"/>
    <d v="2024-04-04T00:00:00"/>
    <x v="0"/>
    <x v="0"/>
    <x v="0"/>
    <x v="0"/>
    <x v="0"/>
    <x v="0"/>
    <d v="2024-02-04T00:00:00"/>
    <x v="0"/>
    <x v="1"/>
    <x v="0"/>
    <x v="0"/>
    <x v="0"/>
    <x v="2"/>
    <n v="1047.7634782608695"/>
    <n v="388.48115942028983"/>
    <n v="0"/>
    <d v="2022-05-01T00:00:00"/>
    <x v="0"/>
  </r>
  <r>
    <x v="327"/>
    <d v="2022-04-01T00:00:00"/>
    <x v="327"/>
    <d v="2022-04-11T00:00:00"/>
    <x v="0"/>
    <x v="0"/>
    <n v="450"/>
    <x v="0"/>
    <x v="0"/>
    <n v="5407.52"/>
    <n v="11.027799999999999"/>
    <n v="0"/>
    <n v="0"/>
    <x v="2"/>
    <s v="88% POLYESTER 12%SPANDEX BLENDED MESH FABRIC 150CM 190GSM BLACK 1565/MTRS"/>
    <n v="954995"/>
    <x v="0"/>
    <n v="354085"/>
    <x v="0"/>
    <n v="139568156"/>
    <d v="2024-04-10T00:00:00"/>
    <x v="0"/>
    <x v="0"/>
    <x v="0"/>
    <x v="0"/>
    <x v="0"/>
    <x v="0"/>
    <d v="2024-02-10T00:00:00"/>
    <x v="0"/>
    <x v="1"/>
    <x v="0"/>
    <x v="0"/>
    <x v="0"/>
    <x v="2"/>
    <n v="2122.2111111111112"/>
    <n v="786.85555555555561"/>
    <n v="0"/>
    <d v="2022-05-01T00:00:00"/>
    <x v="0"/>
  </r>
  <r>
    <x v="328"/>
    <d v="2022-04-01T00:00:00"/>
    <x v="328"/>
    <d v="2022-04-15T00:00:00"/>
    <x v="0"/>
    <x v="0"/>
    <n v="91846"/>
    <x v="0"/>
    <x v="0"/>
    <n v="5208.1899999999996"/>
    <n v="3.0215999999999998"/>
    <n v="0"/>
    <n v="0"/>
    <x v="14"/>
    <s v="100% COTTON GREY CLOTH 167 GR/M2, NE 20/1XNE8/1 40X39 PER INCH WIDTH 263,281,305CM (555054.63/MTRS)"/>
    <n v="51594987"/>
    <x v="0"/>
    <n v="16081487"/>
    <x v="0"/>
    <n v="139568155"/>
    <d v="2024-04-10T00:00:00"/>
    <x v="0"/>
    <x v="0"/>
    <x v="0"/>
    <x v="0"/>
    <x v="0"/>
    <x v="0"/>
    <d v="2024-02-10T00:00:00"/>
    <x v="0"/>
    <x v="1"/>
    <x v="0"/>
    <x v="0"/>
    <x v="0"/>
    <x v="2"/>
    <n v="561.75540578794937"/>
    <n v="175.09186028787317"/>
    <n v="0"/>
    <d v="2022-05-01T00:00:00"/>
    <x v="0"/>
  </r>
  <r>
    <x v="329"/>
    <d v="2022-04-01T00:00:00"/>
    <x v="329"/>
    <d v="2022-04-18T00:00:00"/>
    <x v="0"/>
    <x v="0"/>
    <n v="17977.8"/>
    <x v="0"/>
    <x v="0"/>
    <n v="5205.12"/>
    <n v="3.6"/>
    <n v="0"/>
    <n v="0"/>
    <x v="10"/>
    <s v="22/1 cotton yarn "/>
    <n v="12015814"/>
    <x v="0"/>
    <n v="2893228"/>
    <x v="0"/>
    <n v="139568160"/>
    <d v="2024-04-15T00:00:00"/>
    <x v="0"/>
    <x v="0"/>
    <x v="0"/>
    <x v="0"/>
    <x v="0"/>
    <x v="0"/>
    <d v="2024-02-15T00:00:00"/>
    <x v="0"/>
    <x v="1"/>
    <x v="0"/>
    <x v="0"/>
    <x v="0"/>
    <x v="3"/>
    <n v="668.36954466063708"/>
    <n v="160.93337338272758"/>
    <n v="0"/>
    <d v="2022-05-01T00:00:00"/>
    <x v="0"/>
  </r>
  <r>
    <x v="330"/>
    <d v="2022-04-01T00:00:00"/>
    <x v="330"/>
    <d v="2022-04-18T00:00:00"/>
    <x v="0"/>
    <x v="0"/>
    <n v="35731.300000000003"/>
    <x v="0"/>
    <x v="0"/>
    <n v="5205.12"/>
    <n v="3.6"/>
    <n v="0"/>
    <n v="0"/>
    <x v="10"/>
    <s v="22/1 cotton yarn "/>
    <n v="23881712"/>
    <x v="0"/>
    <n v="5750359"/>
    <x v="0"/>
    <n v="139568166"/>
    <d v="2024-04-14T00:00:00"/>
    <x v="0"/>
    <x v="0"/>
    <x v="0"/>
    <x v="0"/>
    <x v="0"/>
    <x v="0"/>
    <d v="2024-02-14T00:00:00"/>
    <x v="0"/>
    <x v="1"/>
    <x v="0"/>
    <x v="0"/>
    <x v="0"/>
    <x v="3"/>
    <n v="668.36952475840508"/>
    <n v="160.93338333617862"/>
    <n v="0"/>
    <d v="2022-05-01T00:00:00"/>
    <x v="0"/>
  </r>
  <r>
    <x v="331"/>
    <d v="2022-04-01T00:00:00"/>
    <x v="331"/>
    <d v="2022-04-18T00:00:00"/>
    <x v="0"/>
    <x v="0"/>
    <n v="40981.300000000003"/>
    <x v="0"/>
    <x v="0"/>
    <n v="5205.12"/>
    <n v="3.35"/>
    <n v="0"/>
    <n v="0"/>
    <x v="10"/>
    <s v="22/1 cotton yarn "/>
    <n v="25488523"/>
    <x v="0"/>
    <n v="6137254"/>
    <x v="0"/>
    <n v="139568116"/>
    <d v="2024-03-29T00:00:00"/>
    <x v="0"/>
    <x v="0"/>
    <x v="0"/>
    <x v="0"/>
    <x v="0"/>
    <x v="0"/>
    <d v="2024-01-29T00:00:00"/>
    <x v="0"/>
    <x v="1"/>
    <x v="0"/>
    <x v="0"/>
    <x v="0"/>
    <x v="3"/>
    <n v="621.95496482542035"/>
    <n v="149.75742594793235"/>
    <n v="0"/>
    <d v="2022-05-01T00:00:00"/>
    <x v="0"/>
  </r>
  <r>
    <x v="332"/>
    <d v="2022-04-01T00:00:00"/>
    <x v="332"/>
    <d v="2022-04-21T00:00:00"/>
    <x v="0"/>
    <x v="0"/>
    <n v="18000"/>
    <x v="0"/>
    <x v="0"/>
    <n v="3905.3"/>
    <n v="3.6"/>
    <n v="0"/>
    <n v="0"/>
    <x v="12"/>
    <s v="POLYVINYL ALCOHOL (PVA)"/>
    <n v="12225654"/>
    <x v="0"/>
    <n v="2221401"/>
    <x v="0"/>
    <n v="139568180"/>
    <d v="2024-04-18T00:00:00"/>
    <x v="0"/>
    <x v="0"/>
    <x v="0"/>
    <x v="0"/>
    <x v="0"/>
    <x v="0"/>
    <d v="2024-02-18T00:00:00"/>
    <x v="0"/>
    <x v="1"/>
    <x v="0"/>
    <x v="0"/>
    <x v="0"/>
    <x v="5"/>
    <n v="679.20299999999997"/>
    <n v="123.41116666666667"/>
    <n v="0"/>
    <d v="2022-05-01T00:00:00"/>
    <x v="0"/>
  </r>
  <r>
    <x v="333"/>
    <d v="2022-04-01T00:00:00"/>
    <x v="333"/>
    <d v="2022-04-25T00:00:00"/>
    <x v="0"/>
    <x v="0"/>
    <n v="18447.099999999999"/>
    <x v="0"/>
    <x v="0"/>
    <n v="5205.12"/>
    <n v="3.6"/>
    <n v="0"/>
    <n v="0"/>
    <x v="10"/>
    <s v="22/1 cotton yarn "/>
    <n v="12668201"/>
    <x v="0"/>
    <n v="3050313"/>
    <x v="0"/>
    <n v="139568161"/>
    <d v="2024-04-17T00:00:00"/>
    <x v="0"/>
    <x v="0"/>
    <x v="0"/>
    <x v="0"/>
    <x v="0"/>
    <x v="0"/>
    <d v="2024-02-17T00:00:00"/>
    <x v="0"/>
    <x v="1"/>
    <x v="0"/>
    <x v="0"/>
    <x v="0"/>
    <x v="3"/>
    <n v="686.7313019390582"/>
    <n v="165.354608583463"/>
    <n v="0"/>
    <d v="2022-05-01T00:00:00"/>
    <x v="0"/>
  </r>
  <r>
    <x v="334"/>
    <d v="2022-04-01T00:00:00"/>
    <x v="334"/>
    <d v="2022-04-21T00:00:00"/>
    <x v="0"/>
    <x v="0"/>
    <n v="12000"/>
    <x v="0"/>
    <x v="0"/>
    <n v="3204.16"/>
    <s v="4.1 / 4.05 / 5.75"/>
    <n v="0"/>
    <n v="0"/>
    <x v="5"/>
    <s v="DYES (LIYUANSOL)"/>
    <n v="10471045"/>
    <x v="0"/>
    <n v="3882370"/>
    <x v="0"/>
    <n v="139568191"/>
    <d v="2024-04-20T00:00:00"/>
    <x v="0"/>
    <x v="0"/>
    <x v="0"/>
    <x v="0"/>
    <x v="0"/>
    <x v="0"/>
    <d v="2024-02-20T00:00:00"/>
    <x v="0"/>
    <x v="1"/>
    <x v="0"/>
    <x v="0"/>
    <x v="0"/>
    <x v="4"/>
    <n v="872.58708333333334"/>
    <n v="323.53083333333331"/>
    <n v="0"/>
    <d v="2022-05-01T00:00:00"/>
    <x v="0"/>
  </r>
  <r>
    <x v="335"/>
    <d v="2022-04-01T00:00:00"/>
    <x v="335"/>
    <d v="2022-04-22T00:00:00"/>
    <x v="0"/>
    <x v="0"/>
    <n v="154"/>
    <x v="0"/>
    <x v="0"/>
    <n v="5407.52"/>
    <n v="9.4451000000000001"/>
    <n v="0"/>
    <n v="0"/>
    <x v="11"/>
    <s v="100% POLYESTER 190T TAFFETA W/R +PU COATING WHITE COLOR 70GSM WIDTH:57&quot;/58&quot; (1423/MTRS)"/>
    <n v="276577"/>
    <x v="0"/>
    <n v="102547"/>
    <x v="0"/>
    <n v="139568192"/>
    <d v="2024-04-18T00:00:00"/>
    <x v="0"/>
    <x v="0"/>
    <x v="0"/>
    <x v="0"/>
    <x v="0"/>
    <x v="0"/>
    <d v="2024-02-18T00:00:00"/>
    <x v="0"/>
    <x v="1"/>
    <x v="0"/>
    <x v="0"/>
    <x v="0"/>
    <x v="2"/>
    <n v="1795.9545454545455"/>
    <n v="665.88961038961043"/>
    <n v="0"/>
    <d v="2022-05-01T00:00:00"/>
    <x v="0"/>
  </r>
  <r>
    <x v="336"/>
    <d v="2022-04-01T00:00:00"/>
    <x v="336"/>
    <d v="2022-04-26T00:00:00"/>
    <x v="0"/>
    <x v="0"/>
    <n v="65250"/>
    <x v="0"/>
    <x v="0"/>
    <n v="5205.1099999999997"/>
    <n v="2.74"/>
    <n v="0"/>
    <n v="0"/>
    <x v="10"/>
    <s v="8/1 cotton yarn "/>
    <n v="34141270"/>
    <x v="0"/>
    <n v="8220707"/>
    <x v="0"/>
    <n v="139568182"/>
    <d v="2024-04-24T00:00:00"/>
    <x v="0"/>
    <x v="0"/>
    <x v="0"/>
    <x v="0"/>
    <x v="0"/>
    <x v="0"/>
    <d v="2024-02-24T00:00:00"/>
    <x v="0"/>
    <x v="1"/>
    <x v="0"/>
    <x v="0"/>
    <x v="0"/>
    <x v="3"/>
    <n v="523.23785440613028"/>
    <n v="125.98784674329502"/>
    <n v="0"/>
    <d v="2022-05-01T00:00:00"/>
    <x v="0"/>
  </r>
  <r>
    <x v="337"/>
    <d v="2022-04-01T00:00:00"/>
    <x v="337"/>
    <d v="2022-04-21T00:00:00"/>
    <x v="0"/>
    <x v="0"/>
    <n v="2750"/>
    <x v="0"/>
    <x v="0"/>
    <n v="3204.16"/>
    <s v="56 / 46"/>
    <n v="0"/>
    <n v="0"/>
    <x v="5"/>
    <s v="DYES (FARBANTHREN)"/>
    <n v="25281445"/>
    <x v="0"/>
    <n v="9373653"/>
    <x v="0"/>
    <n v="139568190"/>
    <d v="2024-04-18T00:00:00"/>
    <x v="0"/>
    <x v="0"/>
    <x v="0"/>
    <x v="0"/>
    <x v="0"/>
    <x v="0"/>
    <d v="2024-02-18T00:00:00"/>
    <x v="0"/>
    <x v="1"/>
    <x v="0"/>
    <x v="0"/>
    <x v="0"/>
    <x v="4"/>
    <n v="9193.2527272727275"/>
    <n v="3408.601090909091"/>
    <n v="0"/>
    <d v="2022-05-01T00:00:00"/>
    <x v="0"/>
  </r>
  <r>
    <x v="338"/>
    <d v="2022-04-01T00:00:00"/>
    <x v="338"/>
    <d v="2022-04-26T00:00:00"/>
    <x v="0"/>
    <x v="0"/>
    <n v="25600"/>
    <x v="0"/>
    <x v="0"/>
    <n v="3910"/>
    <n v="2"/>
    <n v="0"/>
    <n v="0"/>
    <x v="12"/>
    <s v="CHEMICAL (SILICONE HT-40)"/>
    <n v="9777291"/>
    <x v="0"/>
    <n v="1776533"/>
    <x v="0"/>
    <n v="139568199"/>
    <d v="2024-04-25T00:00:00"/>
    <x v="0"/>
    <x v="0"/>
    <x v="0"/>
    <x v="0"/>
    <x v="0"/>
    <x v="0"/>
    <d v="2024-02-25T00:00:00"/>
    <x v="0"/>
    <x v="1"/>
    <x v="0"/>
    <x v="0"/>
    <x v="0"/>
    <x v="5"/>
    <n v="381.92542968750001"/>
    <n v="69.395820312500007"/>
    <n v="0"/>
    <d v="2022-05-01T00:00:00"/>
    <x v="0"/>
  </r>
  <r>
    <x v="339"/>
    <d v="2022-04-01T00:00:00"/>
    <x v="339"/>
    <d v="2022-04-29T00:00:00"/>
    <x v="0"/>
    <x v="0"/>
    <n v="56000"/>
    <x v="0"/>
    <x v="0"/>
    <n v="2513.1"/>
    <n v="0.14899999999999999"/>
    <n v="0"/>
    <n v="0"/>
    <x v="12"/>
    <s v="PUMICE STONE"/>
    <n v="1582753"/>
    <x v="0"/>
    <n v="306104"/>
    <x v="0"/>
    <n v="139568188"/>
    <d v="2024-04-28T00:00:00"/>
    <x v="0"/>
    <x v="0"/>
    <x v="0"/>
    <x v="0"/>
    <x v="0"/>
    <x v="0"/>
    <d v="2024-02-28T00:00:00"/>
    <x v="0"/>
    <x v="1"/>
    <x v="0"/>
    <x v="0"/>
    <x v="0"/>
    <x v="5"/>
    <n v="28.263446428571427"/>
    <n v="5.4661428571428567"/>
    <n v="0"/>
    <d v="2022-05-01T00:00:00"/>
    <x v="0"/>
  </r>
  <r>
    <x v="340"/>
    <d v="2022-05-01T00:00:00"/>
    <x v="340"/>
    <d v="2022-04-29T00:00:00"/>
    <x v="0"/>
    <x v="0"/>
    <n v="36131.9"/>
    <x v="0"/>
    <x v="0"/>
    <n v="5205.12"/>
    <n v="3.6"/>
    <n v="0"/>
    <n v="0"/>
    <x v="10"/>
    <s v="22/1 cotton yarn "/>
    <n v="24673584"/>
    <x v="0"/>
    <n v="5941029"/>
    <x v="0"/>
    <n v="139568195"/>
    <d v="2024-04-28T00:00:00"/>
    <x v="0"/>
    <x v="0"/>
    <x v="0"/>
    <x v="0"/>
    <x v="0"/>
    <x v="0"/>
    <d v="2024-02-28T00:00:00"/>
    <x v="0"/>
    <x v="1"/>
    <x v="0"/>
    <x v="0"/>
    <x v="0"/>
    <x v="3"/>
    <n v="682.87535391164033"/>
    <n v="164.42614421051758"/>
    <n v="0"/>
    <d v="2022-05-31T00:00:00"/>
    <x v="0"/>
  </r>
  <r>
    <x v="341"/>
    <d v="2022-05-01T00:00:00"/>
    <x v="341"/>
    <d v="2022-05-06T00:00:00"/>
    <x v="0"/>
    <x v="0"/>
    <n v="1350"/>
    <x v="0"/>
    <x v="0"/>
    <n v="5407.52"/>
    <n v="20.1037"/>
    <n v="0"/>
    <n v="0"/>
    <x v="16"/>
    <s v="100% NYLON WOVEN FABRIC 4500/MTRS"/>
    <n v="5152273"/>
    <x v="0"/>
    <n v="1910319"/>
    <x v="0"/>
    <n v="139568219"/>
    <d v="2024-05-05T00:00:00"/>
    <x v="0"/>
    <x v="0"/>
    <x v="0"/>
    <x v="0"/>
    <x v="0"/>
    <x v="0"/>
    <d v="2024-03-06T00:00:00"/>
    <x v="0"/>
    <x v="1"/>
    <x v="0"/>
    <x v="0"/>
    <x v="0"/>
    <x v="2"/>
    <n v="3816.4985185185187"/>
    <n v="1415.0511111111111"/>
    <n v="0"/>
    <d v="2022-05-31T00:00:00"/>
    <x v="0"/>
  </r>
  <r>
    <x v="342"/>
    <d v="2022-05-01T00:00:00"/>
    <x v="342"/>
    <d v="2022-05-09T00:00:00"/>
    <x v="0"/>
    <x v="0"/>
    <n v="18566.400000000001"/>
    <x v="0"/>
    <x v="0"/>
    <n v="5205.12"/>
    <n v="3.6"/>
    <n v="0"/>
    <n v="0"/>
    <x v="10"/>
    <s v="22/1 cotton yarn "/>
    <n v="12681946"/>
    <x v="0"/>
    <n v="3053622"/>
    <x v="0"/>
    <n v="139568226"/>
    <d v="2024-05-09T00:00:00"/>
    <x v="0"/>
    <x v="0"/>
    <x v="0"/>
    <x v="0"/>
    <x v="0"/>
    <x v="0"/>
    <d v="2024-03-10T00:00:00"/>
    <x v="0"/>
    <x v="1"/>
    <x v="0"/>
    <x v="0"/>
    <x v="0"/>
    <x v="3"/>
    <n v="683.05896673560835"/>
    <n v="164.47033350568768"/>
    <n v="0"/>
    <d v="2022-05-31T00:00:00"/>
    <x v="0"/>
  </r>
  <r>
    <x v="343"/>
    <d v="2022-05-01T00:00:00"/>
    <x v="343"/>
    <d v="2022-05-09T00:00:00"/>
    <x v="0"/>
    <x v="0"/>
    <n v="43908.480000000003"/>
    <x v="0"/>
    <x v="0"/>
    <n v="5205.12"/>
    <n v="3.2"/>
    <n v="0"/>
    <n v="0"/>
    <x v="10"/>
    <s v="20/1 cotton yarn "/>
    <n v="26659627"/>
    <x v="0"/>
    <n v="6419238"/>
    <x v="0"/>
    <n v="139568228"/>
    <d v="2024-05-07T00:00:00"/>
    <x v="0"/>
    <x v="0"/>
    <x v="0"/>
    <x v="0"/>
    <x v="0"/>
    <x v="0"/>
    <d v="2024-03-08T00:00:00"/>
    <x v="0"/>
    <x v="1"/>
    <x v="0"/>
    <x v="0"/>
    <x v="0"/>
    <x v="3"/>
    <n v="607.16351374495309"/>
    <n v="146.19586011631466"/>
    <n v="0"/>
    <d v="2022-05-31T00:00:00"/>
    <x v="0"/>
  </r>
  <r>
    <x v="344"/>
    <d v="2022-05-01T00:00:00"/>
    <x v="344"/>
    <d v="2022-05-10T00:00:00"/>
    <x v="0"/>
    <x v="0"/>
    <n v="17808"/>
    <x v="0"/>
    <x v="0"/>
    <n v="5407.52"/>
    <n v="7.3487999999999998"/>
    <n v="0"/>
    <n v="0"/>
    <x v="11"/>
    <s v="100% POLY MICROFIBER FABRIC, 82,210GSM WIDTH:95'' ,106&quot;, 59&quot;(65602/MTRS) "/>
    <n v="24977451"/>
    <x v="0"/>
    <n v="9260939"/>
    <x v="0"/>
    <n v="139568225"/>
    <d v="2024-05-08T00:00:00"/>
    <x v="0"/>
    <x v="0"/>
    <x v="0"/>
    <x v="0"/>
    <x v="0"/>
    <x v="0"/>
    <d v="2024-03-09T00:00:00"/>
    <x v="0"/>
    <x v="1"/>
    <x v="0"/>
    <x v="0"/>
    <x v="0"/>
    <x v="2"/>
    <n v="1402.5972035040431"/>
    <n v="520.04374438454624"/>
    <n v="0"/>
    <d v="2022-05-31T00:00:00"/>
    <x v="0"/>
  </r>
  <r>
    <x v="345"/>
    <d v="2022-05-01T00:00:00"/>
    <x v="345"/>
    <d v="2022-05-12T00:00:00"/>
    <x v="0"/>
    <x v="0"/>
    <n v="21770"/>
    <x v="0"/>
    <x v="0"/>
    <n v="3809.9189999999999"/>
    <s v="3.1 / 2.65 / 3.3"/>
    <n v="0"/>
    <n v="0"/>
    <x v="12"/>
    <s v="CHEMICAL (POLYSOFT / ENZYME S )"/>
    <n v="12535507"/>
    <x v="0"/>
    <n v="4647816"/>
    <x v="0"/>
    <n v="139568196"/>
    <d v="2024-04-27T00:00:00"/>
    <x v="0"/>
    <x v="0"/>
    <x v="0"/>
    <x v="0"/>
    <x v="0"/>
    <x v="0"/>
    <d v="2024-02-27T00:00:00"/>
    <x v="0"/>
    <x v="1"/>
    <x v="0"/>
    <x v="0"/>
    <x v="0"/>
    <x v="5"/>
    <n v="575.81566375746445"/>
    <n v="213.49637115296278"/>
    <n v="0"/>
    <d v="2022-05-31T00:00:00"/>
    <x v="0"/>
  </r>
  <r>
    <x v="346"/>
    <d v="2022-05-01T00:00:00"/>
    <x v="346"/>
    <d v="2022-05-11T00:00:00"/>
    <x v="0"/>
    <x v="0"/>
    <n v="25600"/>
    <x v="0"/>
    <x v="0"/>
    <n v="3910"/>
    <n v="2"/>
    <n v="0"/>
    <n v="0"/>
    <x v="12"/>
    <s v="CHEMICAL SILICONE HT-40"/>
    <n v="9816463"/>
    <x v="0"/>
    <n v="1783652"/>
    <x v="0"/>
    <n v="139568240"/>
    <d v="2024-05-09T00:00:00"/>
    <x v="0"/>
    <x v="0"/>
    <x v="0"/>
    <x v="0"/>
    <x v="0"/>
    <x v="0"/>
    <d v="2024-03-10T00:00:00"/>
    <x v="0"/>
    <x v="1"/>
    <x v="0"/>
    <x v="0"/>
    <x v="0"/>
    <x v="5"/>
    <n v="383.45558593750002"/>
    <n v="69.673906250000002"/>
    <n v="0"/>
    <d v="2022-05-31T00:00:00"/>
    <x v="0"/>
  </r>
  <r>
    <x v="347"/>
    <d v="2022-05-01T00:00:00"/>
    <x v="347"/>
    <d v="2022-04-28T00:00:00"/>
    <x v="0"/>
    <x v="0"/>
    <n v="2310"/>
    <x v="0"/>
    <x v="0"/>
    <n v="3204.16"/>
    <s v="6.3672 / 4.3132"/>
    <n v="0"/>
    <n v="0"/>
    <x v="5"/>
    <s v="DYES (IMPERON)"/>
    <n v="2205371"/>
    <x v="0"/>
    <n v="817689"/>
    <x v="0"/>
    <n v="139568187"/>
    <d v="2024-04-23T00:00:00"/>
    <x v="0"/>
    <x v="0"/>
    <x v="0"/>
    <x v="0"/>
    <x v="0"/>
    <x v="0"/>
    <d v="2024-02-23T00:00:00"/>
    <x v="0"/>
    <x v="1"/>
    <x v="0"/>
    <x v="0"/>
    <x v="0"/>
    <x v="4"/>
    <n v="954.70606060606065"/>
    <n v="353.97792207792207"/>
    <n v="0"/>
    <d v="2022-05-31T00:00:00"/>
    <x v="0"/>
  </r>
  <r>
    <x v="348"/>
    <d v="2022-05-01T00:00:00"/>
    <x v="348"/>
    <d v="2022-05-11T00:00:00"/>
    <x v="0"/>
    <x v="0"/>
    <n v="18200"/>
    <x v="0"/>
    <x v="0"/>
    <n v="3906.9029999999998"/>
    <n v="2.75"/>
    <n v="0"/>
    <n v="0"/>
    <x v="12"/>
    <s v="CHEMICAL (FLOPRINT TA)"/>
    <n v="9595976"/>
    <x v="0"/>
    <n v="2083775"/>
    <x v="0"/>
    <n v="139567245"/>
    <d v="2024-05-11T00:00:00"/>
    <x v="0"/>
    <x v="0"/>
    <x v="0"/>
    <x v="0"/>
    <x v="0"/>
    <x v="0"/>
    <d v="2024-03-12T00:00:00"/>
    <x v="0"/>
    <x v="1"/>
    <x v="0"/>
    <x v="0"/>
    <x v="0"/>
    <x v="5"/>
    <n v="527.25142857142862"/>
    <n v="114.49313186813187"/>
    <n v="0"/>
    <d v="2022-05-31T00:00:00"/>
    <x v="0"/>
  </r>
  <r>
    <x v="349"/>
    <d v="2022-05-01T00:00:00"/>
    <x v="349"/>
    <d v="2022-05-11T00:00:00"/>
    <x v="0"/>
    <x v="0"/>
    <n v="62950"/>
    <x v="0"/>
    <x v="0"/>
    <n v="5205.1099999999997"/>
    <n v="2.74"/>
    <n v="0"/>
    <n v="0"/>
    <x v="10"/>
    <s v="8/1 cotton yarn "/>
    <n v="33069785"/>
    <x v="0"/>
    <n v="7962708"/>
    <x v="0"/>
    <n v="139568246"/>
    <d v="2024-05-10T00:00:00"/>
    <x v="0"/>
    <x v="0"/>
    <x v="0"/>
    <x v="0"/>
    <x v="0"/>
    <x v="0"/>
    <d v="2024-03-11T00:00:00"/>
    <x v="0"/>
    <x v="1"/>
    <x v="0"/>
    <x v="0"/>
    <x v="0"/>
    <x v="3"/>
    <n v="525.33415409054805"/>
    <n v="126.49258141382049"/>
    <n v="0"/>
    <d v="2022-05-31T00:00:00"/>
    <x v="0"/>
  </r>
  <r>
    <x v="350"/>
    <d v="2022-05-01T00:00:00"/>
    <x v="350"/>
    <d v="2022-05-18T00:00:00"/>
    <x v="0"/>
    <x v="0"/>
    <n v="360"/>
    <x v="0"/>
    <x v="0"/>
    <n v="3204.1509999999998"/>
    <n v="72.138900000000007"/>
    <n v="0"/>
    <n v="0"/>
    <x v="5"/>
    <s v="DYES (BEZATHREN)"/>
    <n v="5155343"/>
    <x v="0"/>
    <n v="1119488"/>
    <x v="0"/>
    <n v="139568268"/>
    <d v="2024-05-17T00:00:00"/>
    <x v="0"/>
    <x v="0"/>
    <x v="0"/>
    <x v="0"/>
    <x v="0"/>
    <x v="0"/>
    <d v="2024-03-18T00:00:00"/>
    <x v="0"/>
    <x v="1"/>
    <x v="0"/>
    <x v="0"/>
    <x v="0"/>
    <x v="4"/>
    <n v="14320.397222222222"/>
    <n v="3109.6888888888889"/>
    <n v="0"/>
    <d v="2022-05-31T00:00:00"/>
    <x v="0"/>
  </r>
  <r>
    <x v="351"/>
    <d v="2022-05-01T00:00:00"/>
    <x v="351"/>
    <d v="2022-05-18T00:00:00"/>
    <x v="0"/>
    <x v="0"/>
    <n v="125"/>
    <x v="0"/>
    <x v="0"/>
    <n v="3204.1509999999998"/>
    <n v="58.2"/>
    <n v="0"/>
    <n v="0"/>
    <x v="5"/>
    <s v="DYES (BEZATHREN)"/>
    <n v="1444171"/>
    <x v="0"/>
    <n v="313603"/>
    <x v="0"/>
    <n v="139568267"/>
    <d v="2024-05-17T00:00:00"/>
    <x v="0"/>
    <x v="0"/>
    <x v="0"/>
    <x v="0"/>
    <x v="0"/>
    <x v="0"/>
    <d v="2024-03-18T00:00:00"/>
    <x v="0"/>
    <x v="1"/>
    <x v="0"/>
    <x v="0"/>
    <x v="0"/>
    <x v="4"/>
    <n v="11553.368"/>
    <n v="2508.8240000000001"/>
    <n v="0"/>
    <d v="2022-05-31T00:00:00"/>
    <x v="0"/>
  </r>
  <r>
    <x v="352"/>
    <d v="2022-05-01T00:00:00"/>
    <x v="352"/>
    <d v="2022-05-23T00:00:00"/>
    <x v="0"/>
    <x v="0"/>
    <n v="18528"/>
    <x v="0"/>
    <x v="0"/>
    <n v="5205.12"/>
    <n v="3.6"/>
    <n v="0"/>
    <n v="0"/>
    <x v="10"/>
    <s v="22/1 cotton yarn "/>
    <n v="13638916"/>
    <x v="0"/>
    <n v="3284047"/>
    <x v="0"/>
    <n v="139575793"/>
    <d v="2024-05-21T00:00:00"/>
    <x v="0"/>
    <x v="0"/>
    <x v="0"/>
    <x v="0"/>
    <x v="0"/>
    <x v="0"/>
    <d v="2024-03-22T00:00:00"/>
    <x v="0"/>
    <x v="1"/>
    <x v="0"/>
    <x v="0"/>
    <x v="0"/>
    <x v="3"/>
    <n v="736.12456822107083"/>
    <n v="177.24778713298792"/>
    <n v="0"/>
    <d v="2022-05-31T00:00:00"/>
    <x v="0"/>
  </r>
  <r>
    <x v="353"/>
    <d v="2022-05-01T00:00:00"/>
    <x v="353"/>
    <d v="2022-05-23T00:00:00"/>
    <x v="0"/>
    <x v="0"/>
    <n v="18461.2"/>
    <x v="0"/>
    <x v="0"/>
    <n v="5205.12"/>
    <n v="3.6"/>
    <n v="0"/>
    <n v="0"/>
    <x v="10"/>
    <s v="22/1 cotton yarn "/>
    <n v="13589743"/>
    <x v="0"/>
    <n v="3272206"/>
    <x v="0"/>
    <n v="139575791"/>
    <d v="2024-05-21T00:00:00"/>
    <x v="0"/>
    <x v="0"/>
    <x v="0"/>
    <x v="0"/>
    <x v="0"/>
    <x v="0"/>
    <d v="2024-03-22T00:00:00"/>
    <x v="0"/>
    <x v="1"/>
    <x v="0"/>
    <x v="0"/>
    <x v="0"/>
    <x v="3"/>
    <n v="736.12457478387103"/>
    <n v="177.24774120858882"/>
    <n v="0"/>
    <d v="2022-05-31T00:00:00"/>
    <x v="0"/>
  </r>
  <r>
    <x v="354"/>
    <d v="2022-06-01T00:00:00"/>
    <x v="354"/>
    <d v="2022-05-26T00:00:00"/>
    <x v="0"/>
    <x v="0"/>
    <n v="12000"/>
    <x v="0"/>
    <x v="0"/>
    <n v="3204.16"/>
    <s v="5.75 / 4.95"/>
    <n v="0"/>
    <n v="0"/>
    <x v="5"/>
    <s v="DYES (REMAZOL)"/>
    <n v="13809389"/>
    <x v="0"/>
    <n v="5120135"/>
    <x v="0"/>
    <n v="139575798"/>
    <d v="2024-05-25T00:00:00"/>
    <x v="0"/>
    <x v="0"/>
    <x v="0"/>
    <x v="0"/>
    <x v="0"/>
    <x v="0"/>
    <d v="2024-03-26T00:00:00"/>
    <x v="0"/>
    <x v="1"/>
    <x v="0"/>
    <x v="0"/>
    <x v="0"/>
    <x v="4"/>
    <n v="1150.7824166666667"/>
    <n v="426.67791666666665"/>
    <n v="0"/>
    <d v="2022-07-01T00:00:00"/>
    <x v="0"/>
  </r>
  <r>
    <x v="355"/>
    <d v="2022-06-01T00:00:00"/>
    <x v="355"/>
    <d v="2022-06-26T00:00:00"/>
    <x v="0"/>
    <x v="0"/>
    <n v="39009.599999999999"/>
    <x v="0"/>
    <x v="0"/>
    <n v="5205.12"/>
    <n v="3.1"/>
    <n v="0"/>
    <n v="0"/>
    <x v="10"/>
    <s v="20/1 cotton yarn "/>
    <n v="24776946"/>
    <x v="0"/>
    <n v="5965917"/>
    <x v="0"/>
    <n v="139568279"/>
    <d v="2024-05-25T00:00:00"/>
    <x v="0"/>
    <x v="0"/>
    <x v="0"/>
    <x v="0"/>
    <x v="0"/>
    <x v="0"/>
    <d v="2024-03-26T00:00:00"/>
    <x v="0"/>
    <x v="1"/>
    <x v="0"/>
    <x v="0"/>
    <x v="0"/>
    <x v="3"/>
    <n v="635.14996308600962"/>
    <n v="152.93458533284115"/>
    <n v="0"/>
    <d v="2022-07-01T00:00:00"/>
    <x v="0"/>
  </r>
  <r>
    <x v="356"/>
    <d v="2022-06-01T00:00:00"/>
    <x v="356"/>
    <d v="2022-05-30T00:00:00"/>
    <x v="0"/>
    <x v="0"/>
    <n v="18462"/>
    <x v="0"/>
    <x v="0"/>
    <n v="5205.12"/>
    <n v="3.6"/>
    <n v="0"/>
    <n v="0"/>
    <x v="10"/>
    <s v="22/1 cotton yarn "/>
    <n v="13736100"/>
    <x v="0"/>
    <n v="3307447"/>
    <x v="0"/>
    <n v="139575800"/>
    <d v="2024-05-28T00:00:00"/>
    <x v="0"/>
    <x v="0"/>
    <x v="0"/>
    <x v="0"/>
    <x v="0"/>
    <x v="0"/>
    <d v="2024-03-29T00:00:00"/>
    <x v="0"/>
    <x v="1"/>
    <x v="0"/>
    <x v="0"/>
    <x v="0"/>
    <x v="3"/>
    <n v="744.02014949626255"/>
    <n v="179.14890044415557"/>
    <n v="0"/>
    <d v="2022-07-01T00:00:00"/>
    <x v="0"/>
  </r>
  <r>
    <x v="357"/>
    <d v="2022-06-01T00:00:00"/>
    <x v="357"/>
    <d v="2022-06-02T00:00:00"/>
    <x v="0"/>
    <x v="0"/>
    <n v="19380"/>
    <x v="0"/>
    <x v="0"/>
    <n v="3809.9189999999999"/>
    <s v="3.10 / 2.65 / 3.30"/>
    <n v="0"/>
    <n v="0"/>
    <x v="12"/>
    <s v="CHEMICAL (POLYSOFT / POLYNOL / ENZYME )"/>
    <n v="11688639"/>
    <x v="0"/>
    <n v="4333820"/>
    <x v="0"/>
    <n v="139575812"/>
    <d v="2024-06-01T00:00:00"/>
    <x v="0"/>
    <x v="0"/>
    <x v="0"/>
    <x v="0"/>
    <x v="0"/>
    <x v="0"/>
    <d v="2024-04-02T00:00:00"/>
    <x v="0"/>
    <x v="1"/>
    <x v="0"/>
    <x v="0"/>
    <x v="0"/>
    <x v="5"/>
    <n v="603.12894736842111"/>
    <n v="223.6233230134159"/>
    <n v="0"/>
    <d v="2022-07-01T00:00:00"/>
    <x v="0"/>
  </r>
  <r>
    <x v="358"/>
    <d v="2022-06-01T00:00:00"/>
    <x v="358"/>
    <d v="2022-06-07T00:00:00"/>
    <x v="0"/>
    <x v="0"/>
    <n v="61200"/>
    <x v="0"/>
    <x v="0"/>
    <n v="2847"/>
    <n v="0.46"/>
    <n v="0"/>
    <n v="0"/>
    <x v="12"/>
    <s v="HYDROGEN PEROXIDE 50%"/>
    <n v="5697622"/>
    <x v="0"/>
    <n v="2652168"/>
    <x v="0"/>
    <n v="139575825"/>
    <d v="2024-06-04T00:00:00"/>
    <x v="0"/>
    <x v="0"/>
    <x v="0"/>
    <x v="0"/>
    <x v="0"/>
    <x v="0"/>
    <d v="2024-04-05T00:00:00"/>
    <x v="0"/>
    <x v="1"/>
    <x v="0"/>
    <x v="0"/>
    <x v="0"/>
    <x v="5"/>
    <n v="93.098398692810463"/>
    <n v="43.336078431372549"/>
    <n v="0"/>
    <d v="2022-07-01T00:00:00"/>
    <x v="0"/>
  </r>
  <r>
    <x v="359"/>
    <d v="2022-06-01T00:00:00"/>
    <x v="359"/>
    <d v="2022-06-07T00:00:00"/>
    <x v="0"/>
    <x v="0"/>
    <n v="24000"/>
    <x v="0"/>
    <x v="0"/>
    <n v="3402.42"/>
    <s v="2.20 / 2.70"/>
    <n v="0"/>
    <n v="0"/>
    <x v="12"/>
    <s v="CHEMICAL (WETMATIC / DYMAFIX) (Old 3402.1300"/>
    <n v="11293241"/>
    <x v="0"/>
    <n v="4187217"/>
    <x v="0"/>
    <n v="139575821"/>
    <d v="2024-06-05T00:00:00"/>
    <x v="0"/>
    <x v="0"/>
    <x v="0"/>
    <x v="0"/>
    <x v="0"/>
    <x v="0"/>
    <d v="2024-04-06T00:00:00"/>
    <x v="0"/>
    <x v="1"/>
    <x v="0"/>
    <x v="0"/>
    <x v="0"/>
    <x v="5"/>
    <n v="470.55170833333335"/>
    <n v="174.467375"/>
    <n v="0"/>
    <d v="2022-07-01T00:00:00"/>
    <x v="0"/>
  </r>
  <r>
    <x v="360"/>
    <d v="2022-06-01T00:00:00"/>
    <x v="360"/>
    <d v="2022-06-07T00:00:00"/>
    <x v="0"/>
    <x v="0"/>
    <n v="14300"/>
    <x v="0"/>
    <x v="0"/>
    <n v="3906.9090000000001"/>
    <n v="1.85"/>
    <n v="0"/>
    <n v="0"/>
    <x v="12"/>
    <s v="CHEMICAL (MIGROSTOP CPA)"/>
    <n v="5754114"/>
    <x v="0"/>
    <n v="1793483"/>
    <x v="0"/>
    <n v="139575818"/>
    <d v="2024-06-05T00:00:00"/>
    <x v="0"/>
    <x v="0"/>
    <x v="0"/>
    <x v="0"/>
    <x v="0"/>
    <x v="0"/>
    <d v="2024-04-06T00:00:00"/>
    <x v="0"/>
    <x v="1"/>
    <x v="0"/>
    <x v="0"/>
    <x v="0"/>
    <x v="5"/>
    <n v="402.38559440559442"/>
    <n v="125.4183916083916"/>
    <n v="0"/>
    <d v="2022-07-01T00:00:00"/>
    <x v="0"/>
  </r>
  <r>
    <x v="361"/>
    <d v="2022-06-01T00:00:00"/>
    <x v="361"/>
    <d v="2022-06-06T00:00:00"/>
    <x v="0"/>
    <x v="0"/>
    <n v="36400"/>
    <x v="0"/>
    <x v="0"/>
    <n v="3906.9029999999998"/>
    <s v="2.75 / 3.68"/>
    <n v="0"/>
    <n v="0"/>
    <x v="12"/>
    <s v="CHEMICAL (FLOPRINT TA 160 + 250)"/>
    <n v="23630919"/>
    <x v="0"/>
    <n v="5131476"/>
    <x v="0"/>
    <n v="139575828"/>
    <d v="2024-06-05T00:00:00"/>
    <x v="0"/>
    <x v="0"/>
    <x v="0"/>
    <x v="0"/>
    <x v="0"/>
    <x v="0"/>
    <d v="2024-04-06T00:00:00"/>
    <x v="0"/>
    <x v="1"/>
    <x v="0"/>
    <x v="0"/>
    <x v="0"/>
    <x v="5"/>
    <n v="649.20107142857148"/>
    <n v="140.97461538461539"/>
    <n v="0"/>
    <d v="2022-07-01T00:00:00"/>
    <x v="0"/>
  </r>
  <r>
    <x v="362"/>
    <d v="2022-06-01T00:00:00"/>
    <x v="362"/>
    <d v="2022-06-07T00:00:00"/>
    <x v="0"/>
    <x v="0"/>
    <n v="485300"/>
    <x v="0"/>
    <x v="0"/>
    <n v="5201.009"/>
    <n v="3.6816"/>
    <n v="0"/>
    <n v="0"/>
    <x v="0"/>
    <s v="Raw Cotton"/>
    <n v="361602403"/>
    <x v="0"/>
    <n v="65703157"/>
    <x v="0"/>
    <n v="139575826"/>
    <d v="2024-06-06T00:00:00"/>
    <x v="0"/>
    <x v="0"/>
    <x v="0"/>
    <x v="0"/>
    <x v="0"/>
    <x v="0"/>
    <d v="2024-04-07T00:00:00"/>
    <x v="0"/>
    <x v="1"/>
    <x v="0"/>
    <x v="0"/>
    <x v="0"/>
    <x v="0"/>
    <n v="745.11107150216355"/>
    <n v="135.38668246445496"/>
    <n v="0"/>
    <d v="2022-07-01T00:00:00"/>
    <x v="0"/>
  </r>
  <r>
    <x v="363"/>
    <d v="2022-06-01T00:00:00"/>
    <x v="363"/>
    <d v="2022-06-03T00:00:00"/>
    <x v="0"/>
    <x v="0"/>
    <n v="3201"/>
    <x v="0"/>
    <x v="0"/>
    <n v="5407.52"/>
    <n v="14.966699999999999"/>
    <n v="0"/>
    <n v="0"/>
    <x v="11"/>
    <s v="100% NYLON WOVEN DYED FABRIC WIDTH: 58&quot;(10670/MTRS)"/>
    <n v="9835362"/>
    <x v="0"/>
    <n v="3646677"/>
    <x v="0"/>
    <n v="139575834"/>
    <d v="2024-06-13T00:00:00"/>
    <x v="0"/>
    <x v="0"/>
    <x v="0"/>
    <x v="0"/>
    <x v="0"/>
    <x v="0"/>
    <d v="2024-04-14T00:00:00"/>
    <x v="0"/>
    <x v="1"/>
    <x v="0"/>
    <x v="0"/>
    <x v="0"/>
    <x v="2"/>
    <n v="3072.5904404873477"/>
    <n v="1139.2305529522025"/>
    <n v="0"/>
    <d v="2022-07-01T00:00:00"/>
    <x v="0"/>
  </r>
  <r>
    <x v="364"/>
    <d v="2022-06-01T00:00:00"/>
    <x v="364"/>
    <d v="2022-06-14T00:00:00"/>
    <x v="0"/>
    <x v="0"/>
    <n v="897"/>
    <x v="0"/>
    <x v="0"/>
    <n v="5210.3900000000003"/>
    <n v="17.8642"/>
    <n v="0"/>
    <n v="0"/>
    <x v="2"/>
    <s v="WOVEN FABRIC 63%COTTON 34% POLYESTER 3% STR WIDTH:147.149 CM (4675/MTRS"/>
    <n v="3486006"/>
    <x v="0"/>
    <n v="1086543"/>
    <x v="0"/>
    <n v="139575852"/>
    <d v="2024-06-13T00:00:00"/>
    <x v="0"/>
    <x v="0"/>
    <x v="0"/>
    <x v="0"/>
    <x v="0"/>
    <x v="0"/>
    <d v="2024-04-14T00:00:00"/>
    <x v="0"/>
    <x v="1"/>
    <x v="0"/>
    <x v="0"/>
    <x v="0"/>
    <x v="2"/>
    <n v="3886.2943143812709"/>
    <n v="1211.3076923076924"/>
    <n v="0"/>
    <d v="2022-07-01T00:00:00"/>
    <x v="0"/>
  </r>
  <r>
    <x v="365"/>
    <d v="2022-06-01T00:00:00"/>
    <x v="365"/>
    <d v="2022-06-21T00:00:00"/>
    <x v="0"/>
    <x v="0"/>
    <n v="24000"/>
    <x v="0"/>
    <x v="0"/>
    <n v="3402.42"/>
    <s v="2.20 / 2.70"/>
    <n v="0"/>
    <n v="0"/>
    <x v="12"/>
    <s v="CHEMICAL ( WETMATIC WTL + DYMAFIX ) (Old 3402.1300)"/>
    <n v="11907995"/>
    <x v="0"/>
    <n v="4415153"/>
    <x v="0"/>
    <n v="139575861"/>
    <d v="2024-06-20T00:00:00"/>
    <x v="0"/>
    <x v="0"/>
    <x v="0"/>
    <x v="0"/>
    <x v="0"/>
    <x v="0"/>
    <d v="2024-04-21T00:00:00"/>
    <x v="0"/>
    <x v="1"/>
    <x v="0"/>
    <x v="0"/>
    <x v="0"/>
    <x v="5"/>
    <n v="496.16645833333331"/>
    <n v="183.96470833333333"/>
    <n v="0"/>
    <d v="2022-07-01T00:00:00"/>
    <x v="0"/>
  </r>
  <r>
    <x v="366"/>
    <d v="2022-06-01T00:00:00"/>
    <x v="366"/>
    <d v="2022-06-22T00:00:00"/>
    <x v="0"/>
    <x v="0"/>
    <n v="25600"/>
    <x v="0"/>
    <x v="0"/>
    <n v="3910"/>
    <n v="2"/>
    <n v="0"/>
    <n v="0"/>
    <x v="12"/>
    <s v="SILICONE HT-40 "/>
    <n v="10989007"/>
    <x v="0"/>
    <n v="1996702"/>
    <x v="0"/>
    <n v="139575854"/>
    <d v="2024-06-19T00:00:00"/>
    <x v="0"/>
    <x v="0"/>
    <x v="0"/>
    <x v="0"/>
    <x v="0"/>
    <x v="0"/>
    <d v="2024-04-20T00:00:00"/>
    <x v="0"/>
    <x v="1"/>
    <x v="0"/>
    <x v="0"/>
    <x v="0"/>
    <x v="5"/>
    <n v="429.25808593750003"/>
    <n v="77.996171875000002"/>
    <n v="0"/>
    <d v="2022-07-01T00:00:00"/>
    <x v="0"/>
  </r>
  <r>
    <x v="367"/>
    <d v="2022-06-01T00:00:00"/>
    <x v="367"/>
    <d v="2022-06-14T00:00:00"/>
    <x v="0"/>
    <x v="0"/>
    <n v="475"/>
    <x v="0"/>
    <x v="0"/>
    <n v="3402.39"/>
    <s v="6.5575 / 4.3717"/>
    <n v="0"/>
    <n v="0"/>
    <x v="12"/>
    <s v="CHEMICAL _LIQUID + POWDER COLOR NNW/PC FOR FABRIC TREATMENT (Old 3402.1190)"/>
    <n v="542771"/>
    <x v="0"/>
    <n v="261191"/>
    <x v="0"/>
    <n v="139575835"/>
    <d v="2024-06-13T00:00:00"/>
    <x v="0"/>
    <x v="0"/>
    <x v="0"/>
    <x v="0"/>
    <x v="0"/>
    <x v="0"/>
    <d v="2024-04-14T00:00:00"/>
    <x v="0"/>
    <x v="1"/>
    <x v="0"/>
    <x v="0"/>
    <x v="0"/>
    <x v="5"/>
    <n v="1142.6757894736843"/>
    <n v="549.87578947368422"/>
    <n v="0"/>
    <d v="2022-07-01T00:00:00"/>
    <x v="0"/>
  </r>
  <r>
    <x v="368"/>
    <d v="2022-06-01T00:00:00"/>
    <x v="368"/>
    <d v="2022-06-21T00:00:00"/>
    <x v="0"/>
    <x v="0"/>
    <n v="38288"/>
    <x v="0"/>
    <x v="0"/>
    <n v="5205.12"/>
    <n v="3.6"/>
    <n v="0"/>
    <n v="0"/>
    <x v="10"/>
    <s v="22/1 cotton yarn "/>
    <n v="29415051"/>
    <x v="0"/>
    <n v="7082704"/>
    <x v="0"/>
    <n v="139575862"/>
    <d v="2024-06-20T00:00:00"/>
    <x v="0"/>
    <x v="0"/>
    <x v="0"/>
    <x v="0"/>
    <x v="0"/>
    <x v="0"/>
    <d v="2024-04-21T00:00:00"/>
    <x v="0"/>
    <x v="1"/>
    <x v="0"/>
    <x v="0"/>
    <x v="0"/>
    <x v="3"/>
    <n v="768.25770476389471"/>
    <n v="184.98495612202257"/>
    <n v="0"/>
    <d v="2022-07-01T00:00:00"/>
    <x v="0"/>
  </r>
  <r>
    <x v="369"/>
    <d v="2022-07-01T00:00:00"/>
    <x v="369"/>
    <d v="2022-06-27T00:00:00"/>
    <x v="0"/>
    <x v="0"/>
    <n v="1805"/>
    <x v="0"/>
    <x v="0"/>
    <n v="5210.49"/>
    <n v="6.8032000000000004"/>
    <n v="0"/>
    <n v="0"/>
    <x v="2"/>
    <s v="65% POLYESTER 33% COTTON 2% ANTISTATIC BLENDED FABRIC 3/1 TWILL 20*16S,128*60 (5000/MTRS)"/>
    <n v="2604906"/>
    <x v="0"/>
    <n v="811916"/>
    <x v="0"/>
    <n v="139575867"/>
    <d v="2024-06-24T00:00:00"/>
    <x v="0"/>
    <x v="0"/>
    <x v="0"/>
    <x v="0"/>
    <x v="0"/>
    <x v="0"/>
    <d v="2024-04-25T00:00:00"/>
    <x v="0"/>
    <x v="1"/>
    <x v="0"/>
    <x v="0"/>
    <x v="0"/>
    <x v="2"/>
    <n v="1443.161218836565"/>
    <n v="449.81495844875349"/>
    <n v="0"/>
    <d v="2022-07-31T00:00:00"/>
    <x v="0"/>
  </r>
  <r>
    <x v="370"/>
    <d v="2022-07-01T00:00:00"/>
    <x v="370"/>
    <d v="2022-06-27T00:00:00"/>
    <x v="0"/>
    <x v="0"/>
    <n v="18200"/>
    <x v="0"/>
    <x v="0"/>
    <n v="3906.9029999999998"/>
    <n v="2.75"/>
    <n v="0"/>
    <n v="0"/>
    <x v="12"/>
    <s v="CHEMICAL (FLOPRINT TA 160)"/>
    <n v="10617096"/>
    <x v="0"/>
    <n v="2305514"/>
    <x v="0"/>
    <n v="139575875"/>
    <d v="2024-06-27T00:00:00"/>
    <x v="0"/>
    <x v="0"/>
    <x v="0"/>
    <x v="0"/>
    <x v="0"/>
    <x v="0"/>
    <d v="2024-04-28T00:00:00"/>
    <x v="0"/>
    <x v="1"/>
    <x v="0"/>
    <x v="0"/>
    <x v="0"/>
    <x v="5"/>
    <n v="583.35692307692307"/>
    <n v="126.67659340659341"/>
    <n v="0"/>
    <d v="2022-07-31T00:00:00"/>
    <x v="0"/>
  </r>
  <r>
    <x v="371"/>
    <d v="2022-07-01T00:00:00"/>
    <x v="371"/>
    <d v="2022-06-30T00:00:00"/>
    <x v="0"/>
    <x v="0"/>
    <n v="1500"/>
    <x v="0"/>
    <x v="0"/>
    <n v="3204.16"/>
    <n v="49"/>
    <n v="0"/>
    <n v="0"/>
    <x v="5"/>
    <s v="DYES (INDANTHREN VIOLET B COLLOISOL)"/>
    <n v="15546554"/>
    <x v="0"/>
    <n v="5764228"/>
    <x v="0"/>
    <n v="139575870"/>
    <d v="2024-06-27T00:00:00"/>
    <x v="0"/>
    <x v="0"/>
    <x v="0"/>
    <x v="0"/>
    <x v="0"/>
    <x v="0"/>
    <d v="2024-04-28T00:00:00"/>
    <x v="0"/>
    <x v="1"/>
    <x v="0"/>
    <x v="0"/>
    <x v="0"/>
    <x v="4"/>
    <n v="10364.369333333334"/>
    <n v="3842.8186666666666"/>
    <n v="0"/>
    <d v="2022-07-31T00:00:00"/>
    <x v="0"/>
  </r>
  <r>
    <x v="372"/>
    <d v="2022-07-01T00:00:00"/>
    <x v="372"/>
    <d v="2022-07-04T00:00:00"/>
    <x v="0"/>
    <x v="0"/>
    <n v="20137"/>
    <x v="0"/>
    <x v="0"/>
    <n v="5205.12"/>
    <n v="3.6"/>
    <n v="0"/>
    <n v="0"/>
    <x v="10"/>
    <s v="22/1 cotton yarn "/>
    <n v="15233765"/>
    <x v="0"/>
    <n v="3668062"/>
    <x v="0"/>
    <n v="139575890"/>
    <d v="2024-07-03T00:00:00"/>
    <x v="0"/>
    <x v="0"/>
    <x v="0"/>
    <x v="0"/>
    <x v="0"/>
    <x v="0"/>
    <d v="2024-05-04T00:00:00"/>
    <x v="0"/>
    <x v="1"/>
    <x v="0"/>
    <x v="0"/>
    <x v="0"/>
    <x v="3"/>
    <n v="756.50618264885532"/>
    <n v="182.15533594875106"/>
    <n v="0"/>
    <d v="2022-07-31T00:00:00"/>
    <x v="0"/>
  </r>
  <r>
    <x v="373"/>
    <d v="2022-07-01T00:00:00"/>
    <x v="373"/>
    <d v="2022-07-04T00:00:00"/>
    <x v="0"/>
    <x v="0"/>
    <n v="12000"/>
    <x v="0"/>
    <x v="0"/>
    <n v="3909.5"/>
    <n v="3.98"/>
    <n v="0"/>
    <n v="0"/>
    <x v="12"/>
    <s v="CHEMICAL (LAMFINISH FIX)"/>
    <n v="10036315"/>
    <x v="0"/>
    <n v="1823599"/>
    <x v="0"/>
    <n v="139575893"/>
    <d v="2024-07-03T00:00:00"/>
    <x v="0"/>
    <x v="0"/>
    <x v="0"/>
    <x v="0"/>
    <x v="0"/>
    <x v="0"/>
    <d v="2024-05-04T00:00:00"/>
    <x v="0"/>
    <x v="1"/>
    <x v="0"/>
    <x v="0"/>
    <x v="0"/>
    <x v="5"/>
    <n v="836.35958333333338"/>
    <n v="151.96658333333335"/>
    <n v="0"/>
    <d v="2022-07-31T00:00:00"/>
    <x v="0"/>
  </r>
  <r>
    <x v="374"/>
    <d v="2022-07-01T00:00:00"/>
    <x v="374"/>
    <d v="2022-07-06T00:00:00"/>
    <x v="0"/>
    <x v="0"/>
    <n v="24000"/>
    <x v="0"/>
    <x v="0"/>
    <s v="3906.9090 / 3402.9000"/>
    <s v="2.90 / 1.90"/>
    <n v="0"/>
    <n v="0"/>
    <x v="12"/>
    <s v="CHEMICAL (NEOPAT BINDER / COMPUND)"/>
    <n v="12463582"/>
    <x v="0"/>
    <n v="4307307"/>
    <x v="0"/>
    <n v="139575895"/>
    <d v="2024-07-04T00:00:00"/>
    <x v="0"/>
    <x v="0"/>
    <x v="0"/>
    <x v="0"/>
    <x v="0"/>
    <x v="0"/>
    <d v="2024-05-05T00:00:00"/>
    <x v="0"/>
    <x v="1"/>
    <x v="0"/>
    <x v="0"/>
    <x v="0"/>
    <x v="5"/>
    <n v="519.31591666666668"/>
    <n v="179.471125"/>
    <n v="0"/>
    <d v="2022-07-31T00:00:00"/>
    <x v="0"/>
  </r>
  <r>
    <x v="375"/>
    <d v="2022-07-01T00:00:00"/>
    <x v="375"/>
    <d v="2022-07-06T00:00:00"/>
    <x v="0"/>
    <x v="0"/>
    <n v="12000"/>
    <x v="0"/>
    <x v="0"/>
    <s v="3906.9090 / 3402.9000"/>
    <s v="2.90 / 1.90"/>
    <n v="0"/>
    <n v="0"/>
    <x v="12"/>
    <s v="CHEMICAL (NEOPAT BINDER / COMPUND)"/>
    <n v="6231791"/>
    <x v="0"/>
    <n v="2153655"/>
    <x v="0"/>
    <n v="139575894"/>
    <d v="2024-07-04T00:00:00"/>
    <x v="0"/>
    <x v="0"/>
    <x v="0"/>
    <x v="0"/>
    <x v="0"/>
    <x v="0"/>
    <d v="2024-05-05T00:00:00"/>
    <x v="0"/>
    <x v="1"/>
    <x v="0"/>
    <x v="0"/>
    <x v="0"/>
    <x v="5"/>
    <n v="519.31591666666668"/>
    <n v="179.47125"/>
    <n v="0"/>
    <d v="2022-07-31T00:00:00"/>
    <x v="0"/>
  </r>
  <r>
    <x v="376"/>
    <d v="2022-07-01T00:00:00"/>
    <x v="376"/>
    <d v="2022-07-07T00:00:00"/>
    <x v="0"/>
    <x v="0"/>
    <n v="40800"/>
    <x v="0"/>
    <x v="0"/>
    <n v="2847"/>
    <n v="0.46"/>
    <n v="0"/>
    <n v="0"/>
    <x v="12"/>
    <s v="HYDROGEN PEROXIDE 50%"/>
    <n v="3970722"/>
    <x v="0"/>
    <n v="1848319"/>
    <x v="0"/>
    <n v="139575907"/>
    <d v="2024-07-07T00:00:00"/>
    <x v="0"/>
    <x v="0"/>
    <x v="0"/>
    <x v="0"/>
    <x v="0"/>
    <x v="0"/>
    <d v="2024-05-08T00:00:00"/>
    <x v="0"/>
    <x v="1"/>
    <x v="0"/>
    <x v="0"/>
    <x v="0"/>
    <x v="5"/>
    <n v="97.321617647058829"/>
    <n v="45.301936274509806"/>
    <n v="0"/>
    <d v="2022-07-31T00:00:00"/>
    <x v="0"/>
  </r>
  <r>
    <x v="377"/>
    <d v="2022-07-01T00:00:00"/>
    <x v="377"/>
    <d v="2022-07-13T00:00:00"/>
    <x v="0"/>
    <x v="0"/>
    <n v="300"/>
    <x v="0"/>
    <x v="0"/>
    <n v="3204.16"/>
    <n v="30.69"/>
    <n v="0"/>
    <n v="0"/>
    <x v="5"/>
    <s v="CHEMICAL PIGMENT GREEN"/>
    <n v="1957775"/>
    <x v="0"/>
    <n v="725888"/>
    <x v="0"/>
    <n v="139575908"/>
    <d v="2024-07-12T00:00:00"/>
    <x v="0"/>
    <x v="0"/>
    <x v="0"/>
    <x v="0"/>
    <x v="0"/>
    <x v="0"/>
    <d v="2024-05-13T00:00:00"/>
    <x v="0"/>
    <x v="1"/>
    <x v="0"/>
    <x v="0"/>
    <x v="0"/>
    <x v="4"/>
    <n v="6525.916666666667"/>
    <n v="2419.6266666666666"/>
    <n v="0"/>
    <d v="2022-07-31T00:00:00"/>
    <x v="0"/>
  </r>
  <r>
    <x v="378"/>
    <d v="2022-07-01T00:00:00"/>
    <x v="378"/>
    <d v="2022-07-04T00:00:00"/>
    <x v="0"/>
    <x v="0"/>
    <n v="20470"/>
    <x v="0"/>
    <x v="0"/>
    <n v="5205.12"/>
    <n v="3.6"/>
    <n v="0"/>
    <n v="0"/>
    <x v="10"/>
    <s v="22/1 cotton yarn "/>
    <n v="15485681"/>
    <x v="0"/>
    <n v="3728720"/>
    <x v="0"/>
    <n v="139575891"/>
    <d v="2024-06-03T00:00:00"/>
    <x v="0"/>
    <x v="0"/>
    <x v="0"/>
    <x v="0"/>
    <x v="0"/>
    <x v="0"/>
    <d v="2024-04-04T00:00:00"/>
    <x v="0"/>
    <x v="1"/>
    <x v="0"/>
    <x v="0"/>
    <x v="0"/>
    <x v="3"/>
    <n v="756.5061553492917"/>
    <n v="182.1553492916463"/>
    <n v="0"/>
    <d v="2022-07-31T00:00:00"/>
    <x v="0"/>
  </r>
  <r>
    <x v="379"/>
    <d v="2022-07-01T00:00:00"/>
    <x v="379"/>
    <d v="2022-07-14T00:00:00"/>
    <x v="0"/>
    <x v="0"/>
    <n v="26000"/>
    <x v="0"/>
    <x v="0"/>
    <n v="5509.22"/>
    <n v="3.35"/>
    <n v="0"/>
    <n v="0"/>
    <x v="6"/>
    <s v="100% POLYESTER SPUN YARN N/M 50S/3 BRIGHT"/>
    <n v="18516488"/>
    <x v="0"/>
    <n v="5771349"/>
    <x v="0"/>
    <n v="139575924"/>
    <d v="2024-07-14T00:00:00"/>
    <x v="0"/>
    <x v="0"/>
    <x v="0"/>
    <x v="0"/>
    <x v="0"/>
    <x v="0"/>
    <d v="2024-05-15T00:00:00"/>
    <x v="0"/>
    <x v="1"/>
    <x v="0"/>
    <x v="0"/>
    <x v="0"/>
    <x v="3"/>
    <n v="712.17261538461537"/>
    <n v="221.97496153846154"/>
    <n v="0"/>
    <d v="2022-07-31T00:00:00"/>
    <x v="0"/>
  </r>
  <r>
    <x v="380"/>
    <d v="2022-07-01T00:00:00"/>
    <x v="380"/>
    <d v="2022-07-15T00:00:00"/>
    <x v="0"/>
    <x v="0"/>
    <n v="225"/>
    <x v="0"/>
    <x v="0"/>
    <n v="5210.3900000000003"/>
    <n v="23.947500000000002"/>
    <n v="0"/>
    <n v="0"/>
    <x v="2"/>
    <s v="BLENDEN FABRIC 73%CTN / 25% POLY / 2%SP 110+/- GSM (40S*75D+40D/133*72 48/50&quot;) (1590/M)"/>
    <n v="1157561"/>
    <x v="0"/>
    <n v="360797"/>
    <x v="0"/>
    <n v="139575917"/>
    <d v="2024-07-07T00:00:00"/>
    <x v="0"/>
    <x v="0"/>
    <x v="0"/>
    <x v="0"/>
    <x v="0"/>
    <x v="0"/>
    <d v="2024-05-08T00:00:00"/>
    <x v="0"/>
    <x v="1"/>
    <x v="0"/>
    <x v="0"/>
    <x v="0"/>
    <x v="2"/>
    <n v="5144.7155555555555"/>
    <n v="1603.5422222222223"/>
    <n v="0"/>
    <d v="2022-07-31T00:00:00"/>
    <x v="0"/>
  </r>
  <r>
    <x v="381"/>
    <d v="2022-07-01T00:00:00"/>
    <x v="381"/>
    <d v="2022-07-19T00:00:00"/>
    <x v="0"/>
    <x v="0"/>
    <n v="20148.8"/>
    <x v="0"/>
    <x v="0"/>
    <n v="5205.12"/>
    <n v="3.6"/>
    <n v="0"/>
    <n v="0"/>
    <x v="10"/>
    <s v="22/1 cotton yarn "/>
    <n v="15642257"/>
    <x v="0"/>
    <n v="3766421"/>
    <x v="0"/>
    <n v="139575930"/>
    <d v="2024-07-18T00:00:00"/>
    <x v="0"/>
    <x v="0"/>
    <x v="0"/>
    <x v="0"/>
    <x v="0"/>
    <x v="0"/>
    <d v="2024-05-19T00:00:00"/>
    <x v="0"/>
    <x v="1"/>
    <x v="0"/>
    <x v="0"/>
    <x v="0"/>
    <x v="3"/>
    <n v="776.33690343841818"/>
    <n v="186.93028865242596"/>
    <n v="0"/>
    <d v="2022-07-31T00:00:00"/>
    <x v="0"/>
  </r>
  <r>
    <x v="382"/>
    <d v="2022-07-01T00:00:00"/>
    <x v="382"/>
    <d v="2022-07-15T00:00:00"/>
    <x v="1"/>
    <x v="0"/>
    <n v="7.2"/>
    <x v="0"/>
    <x v="0"/>
    <n v="5807.9"/>
    <n v="115.1403"/>
    <n v="0"/>
    <n v="0"/>
    <x v="9"/>
    <s v="WOVEN LABEL QTY 24,000 Pcs"/>
    <n v="211461"/>
    <x v="0"/>
    <n v="85698"/>
    <x v="0"/>
    <n v="139575927"/>
    <d v="2024-07-14T00:00:00"/>
    <x v="0"/>
    <x v="0"/>
    <x v="0"/>
    <x v="0"/>
    <x v="0"/>
    <x v="0"/>
    <d v="2024-05-15T00:00:00"/>
    <x v="0"/>
    <x v="1"/>
    <x v="0"/>
    <x v="0"/>
    <x v="0"/>
    <x v="6"/>
    <n v="29369.583333333332"/>
    <n v="11902.5"/>
    <n v="0"/>
    <d v="2022-07-06T00:00:00"/>
    <x v="0"/>
  </r>
  <r>
    <x v="383"/>
    <d v="2022-07-01T00:00:00"/>
    <x v="382"/>
    <d v="2022-07-15T00:00:00"/>
    <x v="0"/>
    <x v="0"/>
    <n v="39.36"/>
    <x v="0"/>
    <x v="0"/>
    <n v="5401.2089999999998"/>
    <n v="11.1279"/>
    <n v="0"/>
    <n v="0"/>
    <x v="17"/>
    <s v="Sewing Thread 800,000 Mtr"/>
    <n v="111722"/>
    <x v="0"/>
    <n v="29719"/>
    <x v="0"/>
    <n v="139575927"/>
    <d v="2024-07-14T00:00:00"/>
    <x v="0"/>
    <x v="0"/>
    <x v="0"/>
    <x v="0"/>
    <x v="0"/>
    <x v="0"/>
    <d v="2024-05-15T00:00:00"/>
    <x v="0"/>
    <x v="1"/>
    <x v="0"/>
    <x v="0"/>
    <x v="0"/>
    <x v="3"/>
    <n v="2838.4654471544718"/>
    <n v="755.05589430894315"/>
    <n v="0"/>
    <d v="2022-07-31T00:00:00"/>
    <x v="0"/>
  </r>
  <r>
    <x v="384"/>
    <d v="2022-07-01T00:00:00"/>
    <x v="383"/>
    <d v="2022-07-18T00:00:00"/>
    <x v="0"/>
    <x v="0"/>
    <n v="40"/>
    <x v="0"/>
    <x v="0"/>
    <n v="5208.1899999999996"/>
    <n v="13.3781"/>
    <n v="0"/>
    <n v="0"/>
    <x v="14"/>
    <s v="Cotton Fabric"/>
    <n v="135804"/>
    <x v="0"/>
    <n v="42328"/>
    <x v="0"/>
    <n v="139575935"/>
    <d v="2024-07-17T00:00:00"/>
    <x v="0"/>
    <x v="0"/>
    <x v="0"/>
    <x v="0"/>
    <x v="0"/>
    <x v="0"/>
    <d v="2024-05-18T00:00:00"/>
    <x v="0"/>
    <x v="1"/>
    <x v="0"/>
    <x v="0"/>
    <x v="0"/>
    <x v="2"/>
    <n v="3395.1"/>
    <n v="1058.2"/>
    <n v="0"/>
    <d v="2022-07-31T00:00:00"/>
    <x v="0"/>
  </r>
  <r>
    <x v="385"/>
    <d v="2022-07-01T00:00:00"/>
    <x v="384"/>
    <d v="2022-07-18T00:00:00"/>
    <x v="0"/>
    <x v="0"/>
    <n v="75"/>
    <x v="0"/>
    <x v="0"/>
    <n v="5208.1899999999996"/>
    <n v="13.3781"/>
    <n v="0"/>
    <n v="0"/>
    <x v="14"/>
    <s v="Cotton Fabric"/>
    <n v="254633"/>
    <x v="0"/>
    <n v="79366"/>
    <x v="0"/>
    <n v="139575937"/>
    <d v="2024-07-17T00:00:00"/>
    <x v="0"/>
    <x v="0"/>
    <x v="0"/>
    <x v="0"/>
    <x v="0"/>
    <x v="0"/>
    <d v="2024-05-18T00:00:00"/>
    <x v="0"/>
    <x v="1"/>
    <x v="0"/>
    <x v="0"/>
    <x v="0"/>
    <x v="2"/>
    <n v="3395.1066666666666"/>
    <n v="1058.2133333333334"/>
    <n v="0"/>
    <d v="2022-07-31T00:00:00"/>
    <x v="0"/>
  </r>
  <r>
    <x v="386"/>
    <d v="2022-07-01T00:00:00"/>
    <x v="385"/>
    <d v="2022-07-20T00:00:00"/>
    <x v="0"/>
    <x v="0"/>
    <n v="12000"/>
    <x v="0"/>
    <x v="0"/>
    <n v="3204.16"/>
    <s v="4.1 / 4.05 / 5.75 / 7.25"/>
    <n v="0"/>
    <n v="0"/>
    <x v="5"/>
    <s v="DYES (LIYUANSOL)"/>
    <n v="11843300"/>
    <x v="0"/>
    <n v="4391164"/>
    <x v="0"/>
    <n v="139575942"/>
    <d v="2024-07-20T00:00:00"/>
    <x v="0"/>
    <x v="0"/>
    <x v="0"/>
    <x v="0"/>
    <x v="0"/>
    <x v="0"/>
    <d v="2024-05-21T00:00:00"/>
    <x v="0"/>
    <x v="1"/>
    <x v="0"/>
    <x v="0"/>
    <x v="0"/>
    <x v="4"/>
    <n v="986.94166666666672"/>
    <n v="365.93033333333335"/>
    <n v="0"/>
    <d v="2022-07-31T00:00:00"/>
    <x v="0"/>
  </r>
  <r>
    <x v="387"/>
    <d v="2022-08-01T00:00:00"/>
    <x v="386"/>
    <d v="2022-07-20T00:00:00"/>
    <x v="1"/>
    <x v="0"/>
    <n v="7532"/>
    <x v="0"/>
    <x v="0"/>
    <n v="5807.1019999999999"/>
    <n v="4.0298999999999996"/>
    <n v="0"/>
    <n v="0"/>
    <x v="9"/>
    <s v="RIBBONS (WHITE DOUBLE SIDE WOVEN EDGE 35MM)(1000800/MTRS)"/>
    <n v="6694267"/>
    <x v="0"/>
    <n v="2086515"/>
    <x v="0"/>
    <n v="139575945"/>
    <d v="2024-07-19T00:00:00"/>
    <x v="0"/>
    <x v="0"/>
    <x v="0"/>
    <x v="0"/>
    <x v="0"/>
    <x v="0"/>
    <d v="2024-05-20T00:00:00"/>
    <x v="0"/>
    <x v="1"/>
    <x v="0"/>
    <x v="0"/>
    <x v="0"/>
    <x v="6"/>
    <n v="888.77681890600104"/>
    <n v="277.02004779607012"/>
    <n v="0"/>
    <d v="2022-08-06T00:00:00"/>
    <x v="0"/>
  </r>
  <r>
    <x v="388"/>
    <d v="2022-08-01T00:00:00"/>
    <x v="387"/>
    <d v="2022-07-26T00:00:00"/>
    <x v="0"/>
    <x v="0"/>
    <n v="12000"/>
    <x v="0"/>
    <x v="0"/>
    <n v="3204.1109999999999"/>
    <s v="4.20 / 19.20"/>
    <n v="0"/>
    <n v="0"/>
    <x v="5"/>
    <s v="DYES (FASFA)"/>
    <n v="18769371"/>
    <x v="0"/>
    <n v="3410394"/>
    <x v="0"/>
    <n v="139575958"/>
    <d v="2024-07-26T00:00:00"/>
    <x v="0"/>
    <x v="0"/>
    <x v="0"/>
    <x v="0"/>
    <x v="0"/>
    <x v="0"/>
    <d v="2024-05-27T00:00:00"/>
    <x v="0"/>
    <x v="1"/>
    <x v="0"/>
    <x v="0"/>
    <x v="0"/>
    <x v="4"/>
    <n v="1564.1142500000001"/>
    <n v="284.1995"/>
    <n v="0"/>
    <d v="2022-08-31T00:00:00"/>
    <x v="0"/>
  </r>
  <r>
    <x v="389"/>
    <d v="2022-08-01T00:00:00"/>
    <x v="388"/>
    <d v="2022-07-21T00:00:00"/>
    <x v="0"/>
    <x v="0"/>
    <n v="20732.919999999998"/>
    <x v="0"/>
    <x v="0"/>
    <n v="5509.21"/>
    <n v="2.1187999999999998"/>
    <n v="0"/>
    <n v="0"/>
    <x v="3"/>
    <s v="50% RECYCLED PET POLYESTER / 25% POST CONSUMER CO / 25% PRE CONSUMER CO WEAVING BLENDED YARN COUNT NE 14/1 ("/>
    <n v="10055786"/>
    <x v="0"/>
    <n v="3134257"/>
    <x v="0"/>
    <n v="139575948"/>
    <d v="2024-07-22T00:00:00"/>
    <x v="0"/>
    <x v="0"/>
    <x v="0"/>
    <x v="0"/>
    <x v="0"/>
    <x v="0"/>
    <d v="2024-05-23T00:00:00"/>
    <x v="0"/>
    <x v="1"/>
    <x v="0"/>
    <x v="0"/>
    <x v="0"/>
    <x v="3"/>
    <n v="485.01542474480203"/>
    <n v="151.17296550606477"/>
    <n v="0"/>
    <d v="2022-08-31T00:00:00"/>
    <x v="0"/>
  </r>
  <r>
    <x v="390"/>
    <d v="2022-08-01T00:00:00"/>
    <x v="389"/>
    <d v="2022-07-26T00:00:00"/>
    <x v="0"/>
    <x v="0"/>
    <n v="14300"/>
    <x v="0"/>
    <x v="0"/>
    <n v="3906.9090000000001"/>
    <n v="1.85"/>
    <n v="0"/>
    <n v="0"/>
    <x v="12"/>
    <s v="CHEMICAL MIGROSTOP CPA)"/>
    <n v="6317057"/>
    <x v="0"/>
    <n v="1968945"/>
    <x v="0"/>
    <n v="139575947"/>
    <d v="2024-07-25T00:00:00"/>
    <x v="0"/>
    <x v="0"/>
    <x v="0"/>
    <x v="0"/>
    <x v="0"/>
    <x v="0"/>
    <d v="2024-05-26T00:00:00"/>
    <x v="0"/>
    <x v="1"/>
    <x v="0"/>
    <x v="0"/>
    <x v="0"/>
    <x v="5"/>
    <n v="441.75223776223777"/>
    <n v="137.68846153846152"/>
    <n v="0"/>
    <d v="2022-08-31T00:00:00"/>
    <x v="0"/>
  </r>
  <r>
    <x v="391"/>
    <d v="2022-08-01T00:00:00"/>
    <x v="390"/>
    <d v="2022-07-29T00:00:00"/>
    <x v="0"/>
    <x v="0"/>
    <n v="24000"/>
    <x v="0"/>
    <x v="0"/>
    <n v="3402.9"/>
    <n v="2.2000000000000002"/>
    <n v="0"/>
    <n v="0"/>
    <x v="12"/>
    <s v="CHEMICAL (WETMATIC WTL)"/>
    <n v="12735500"/>
    <x v="0"/>
    <n v="5323948"/>
    <x v="0"/>
    <n v="139575981"/>
    <d v="2024-07-29T00:00:00"/>
    <x v="0"/>
    <x v="0"/>
    <x v="0"/>
    <x v="0"/>
    <x v="0"/>
    <x v="0"/>
    <d v="2024-05-30T00:00:00"/>
    <x v="0"/>
    <x v="1"/>
    <x v="0"/>
    <x v="0"/>
    <x v="0"/>
    <x v="5"/>
    <n v="530.64583333333337"/>
    <n v="221.83116666666666"/>
    <n v="0"/>
    <d v="2022-08-31T00:00:00"/>
    <x v="0"/>
  </r>
  <r>
    <x v="392"/>
    <d v="2022-08-01T00:00:00"/>
    <x v="391"/>
    <d v="2022-08-02T00:00:00"/>
    <x v="0"/>
    <x v="0"/>
    <n v="10655"/>
    <x v="0"/>
    <x v="0"/>
    <n v="5407.52"/>
    <n v="8.8375000000000004"/>
    <n v="0"/>
    <n v="0"/>
    <x v="11"/>
    <s v="100% POLYESTER NYLON FABRIC 215GSM WIDTH:59'' 150CM (33040/MTRS) "/>
    <n v="23048697"/>
    <x v="0"/>
    <n v="8545812"/>
    <x v="0"/>
    <n v="139575967"/>
    <d v="2024-07-30T00:00:00"/>
    <x v="0"/>
    <x v="0"/>
    <x v="0"/>
    <x v="0"/>
    <x v="0"/>
    <x v="0"/>
    <d v="2024-05-31T00:00:00"/>
    <x v="0"/>
    <x v="1"/>
    <x v="0"/>
    <x v="0"/>
    <x v="0"/>
    <x v="2"/>
    <n v="2163.1813233223838"/>
    <n v="802.04711403097133"/>
    <n v="0"/>
    <d v="2022-08-31T00:00:00"/>
    <x v="0"/>
  </r>
  <r>
    <x v="393"/>
    <d v="2022-08-01T00:00:00"/>
    <x v="392"/>
    <d v="2022-08-02T00:00:00"/>
    <x v="0"/>
    <x v="0"/>
    <n v="20000"/>
    <x v="0"/>
    <x v="0"/>
    <n v="5407.52"/>
    <n v="5.4749999999999996"/>
    <n v="0"/>
    <n v="0"/>
    <x v="11"/>
    <s v="100% POLY MICROFIBER FABRIC 90,82GSM WIDTH:95'' ,100&quot; , 103&quot; , 106&quot; , 112'' (92574/MTRS)"/>
    <n v="26802643"/>
    <x v="0"/>
    <n v="9937669"/>
    <x v="0"/>
    <n v="139575962"/>
    <d v="2024-07-30T00:00:00"/>
    <x v="0"/>
    <x v="0"/>
    <x v="0"/>
    <x v="0"/>
    <x v="0"/>
    <x v="0"/>
    <d v="2024-05-31T00:00:00"/>
    <x v="0"/>
    <x v="1"/>
    <x v="0"/>
    <x v="0"/>
    <x v="0"/>
    <x v="2"/>
    <n v="1340.1321499999999"/>
    <n v="496.88344999999998"/>
    <n v="0"/>
    <d v="2022-08-31T00:00:00"/>
    <x v="0"/>
  </r>
  <r>
    <x v="394"/>
    <d v="2022-08-01T00:00:00"/>
    <x v="393"/>
    <d v="2022-07-26T00:00:00"/>
    <x v="0"/>
    <x v="0"/>
    <n v="4237.5"/>
    <x v="0"/>
    <x v="0"/>
    <n v="5407.52"/>
    <n v="15.033300000000001"/>
    <n v="0"/>
    <n v="0"/>
    <x v="16"/>
    <s v="100% NYLON WOVEN DYED FABRIC (14125/MTRS) "/>
    <n v="14871600"/>
    <x v="0"/>
    <n v="5513973"/>
    <x v="0"/>
    <n v="139575964"/>
    <d v="2024-07-26T00:00:00"/>
    <x v="0"/>
    <x v="0"/>
    <x v="0"/>
    <x v="0"/>
    <x v="0"/>
    <x v="0"/>
    <d v="2024-05-27T00:00:00"/>
    <x v="0"/>
    <x v="1"/>
    <x v="0"/>
    <x v="0"/>
    <x v="0"/>
    <x v="2"/>
    <n v="3509.5221238938052"/>
    <n v="1301.2325663716815"/>
    <n v="0"/>
    <d v="2022-08-31T00:00:00"/>
    <x v="0"/>
  </r>
  <r>
    <x v="395"/>
    <d v="2022-08-01T00:00:00"/>
    <x v="394"/>
    <d v="2022-08-02T00:00:00"/>
    <x v="0"/>
    <x v="0"/>
    <n v="18200"/>
    <x v="0"/>
    <x v="0"/>
    <n v="3906.9029999999998"/>
    <n v="2.95"/>
    <n v="0"/>
    <n v="0"/>
    <x v="12"/>
    <s v="CHEMICAL FLOPRINT TA 160 AF PIGMENT THICKENER"/>
    <n v="13141862"/>
    <x v="0"/>
    <n v="2853769"/>
    <x v="0"/>
    <n v="139575968"/>
    <d v="2024-07-30T00:00:00"/>
    <x v="0"/>
    <x v="0"/>
    <x v="0"/>
    <x v="0"/>
    <x v="0"/>
    <x v="0"/>
    <d v="2024-05-31T00:00:00"/>
    <x v="0"/>
    <x v="1"/>
    <x v="0"/>
    <x v="0"/>
    <x v="0"/>
    <x v="5"/>
    <n v="722.08032967032966"/>
    <n v="156.8004945054945"/>
    <n v="0"/>
    <d v="2022-08-31T00:00:00"/>
    <x v="0"/>
  </r>
  <r>
    <x v="396"/>
    <d v="2022-08-01T00:00:00"/>
    <x v="395"/>
    <d v="2022-08-02T00:00:00"/>
    <x v="0"/>
    <x v="0"/>
    <n v="38400"/>
    <x v="0"/>
    <x v="0"/>
    <n v="2847"/>
    <n v="0.65"/>
    <n v="0"/>
    <n v="0"/>
    <x v="12"/>
    <s v="HYDROGEN PEROXIDE 50%"/>
    <n v="6109534"/>
    <x v="0"/>
    <n v="1904263"/>
    <x v="0"/>
    <n v="139575969"/>
    <d v="2024-08-01T00:00:00"/>
    <x v="0"/>
    <x v="0"/>
    <x v="0"/>
    <x v="0"/>
    <x v="0"/>
    <x v="0"/>
    <d v="2024-06-02T00:00:00"/>
    <x v="0"/>
    <x v="1"/>
    <x v="0"/>
    <x v="0"/>
    <x v="0"/>
    <x v="5"/>
    <n v="159.10244791666668"/>
    <n v="49.590182291666665"/>
    <n v="0"/>
    <d v="2022-08-31T00:00:00"/>
    <x v="0"/>
  </r>
  <r>
    <x v="397"/>
    <d v="2022-08-01T00:00:00"/>
    <x v="396"/>
    <d v="2022-08-03T00:00:00"/>
    <x v="0"/>
    <x v="0"/>
    <n v="15000"/>
    <x v="0"/>
    <x v="0"/>
    <n v="3809.9189999999999"/>
    <n v="2.75"/>
    <n v="0"/>
    <n v="0"/>
    <x v="12"/>
    <s v="CHEMICAL (DROPCEL 300)"/>
    <n v="10350623"/>
    <x v="0"/>
    <n v="3837722"/>
    <x v="0"/>
    <n v="139575976"/>
    <d v="2024-08-02T00:00:00"/>
    <x v="0"/>
    <x v="0"/>
    <x v="0"/>
    <x v="0"/>
    <x v="0"/>
    <x v="0"/>
    <d v="2024-06-03T00:00:00"/>
    <x v="0"/>
    <x v="1"/>
    <x v="0"/>
    <x v="0"/>
    <x v="0"/>
    <x v="5"/>
    <n v="690.04153333333329"/>
    <n v="255.84813333333332"/>
    <n v="0"/>
    <d v="2022-08-31T00:00:00"/>
    <x v="0"/>
  </r>
  <r>
    <x v="398"/>
    <d v="2022-08-01T00:00:00"/>
    <x v="397"/>
    <d v="2022-08-02T00:00:00"/>
    <x v="0"/>
    <x v="0"/>
    <n v="57600"/>
    <x v="0"/>
    <x v="0"/>
    <n v="2847"/>
    <n v="0.65"/>
    <n v="0"/>
    <n v="0"/>
    <x v="12"/>
    <s v="HYDROGEN PEROXIDE 50%"/>
    <n v="9164301"/>
    <x v="0"/>
    <n v="2856394"/>
    <x v="0"/>
    <n v="139575971"/>
    <d v="2024-08-01T00:00:00"/>
    <x v="0"/>
    <x v="0"/>
    <x v="0"/>
    <x v="0"/>
    <x v="0"/>
    <x v="0"/>
    <d v="2024-06-02T00:00:00"/>
    <x v="0"/>
    <x v="1"/>
    <x v="0"/>
    <x v="0"/>
    <x v="0"/>
    <x v="5"/>
    <n v="159.10244791666668"/>
    <n v="49.590173611111112"/>
    <n v="0"/>
    <d v="2022-08-31T00:00:00"/>
    <x v="0"/>
  </r>
  <r>
    <x v="399"/>
    <d v="2022-08-01T00:00:00"/>
    <x v="398"/>
    <d v="2022-08-06T00:00:00"/>
    <x v="0"/>
    <x v="0"/>
    <n v="4515"/>
    <x v="0"/>
    <x v="0"/>
    <n v="5407.52"/>
    <n v="5.5987"/>
    <n v="0"/>
    <n v="0"/>
    <x v="11"/>
    <s v="100% POLYESTER MICROFIBER FABRIC 82GSM WIDTH:95&quot;,106&quot;(21690/MTRS) "/>
    <n v="5843158"/>
    <x v="0"/>
    <n v="2166479"/>
    <x v="0"/>
    <n v="139575991"/>
    <d v="2024-08-05T00:00:00"/>
    <x v="0"/>
    <x v="0"/>
    <x v="0"/>
    <x v="0"/>
    <x v="0"/>
    <x v="0"/>
    <d v="2024-06-06T00:00:00"/>
    <x v="0"/>
    <x v="1"/>
    <x v="0"/>
    <x v="0"/>
    <x v="0"/>
    <x v="2"/>
    <n v="1294.1656699889259"/>
    <n v="479.8403100775194"/>
    <n v="0"/>
    <d v="2022-08-31T00:00:00"/>
    <x v="0"/>
  </r>
  <r>
    <x v="400"/>
    <d v="2022-08-01T00:00:00"/>
    <x v="399"/>
    <d v="2022-08-06T00:00:00"/>
    <x v="0"/>
    <x v="0"/>
    <n v="3189"/>
    <x v="0"/>
    <x v="0"/>
    <n v="5407.52"/>
    <n v="9.4022000000000006"/>
    <n v="0"/>
    <n v="0"/>
    <x v="11"/>
    <s v="POLYESTER NYLON FABRIC 215GSM WIDTH:150CM,59&quot; (9889/MTRS) "/>
    <n v="6930853"/>
    <x v="0"/>
    <n v="2569766"/>
    <x v="0"/>
    <n v="139575990"/>
    <d v="2024-08-05T00:00:00"/>
    <x v="0"/>
    <x v="0"/>
    <x v="0"/>
    <x v="0"/>
    <x v="0"/>
    <x v="0"/>
    <d v="2024-06-06T00:00:00"/>
    <x v="0"/>
    <x v="1"/>
    <x v="0"/>
    <x v="0"/>
    <x v="0"/>
    <x v="2"/>
    <n v="2173.3624960802758"/>
    <n v="805.8218877391032"/>
    <n v="0"/>
    <d v="2022-08-31T00:00:00"/>
    <x v="0"/>
  </r>
  <r>
    <x v="401"/>
    <d v="2022-08-01T00:00:00"/>
    <x v="400"/>
    <d v="2022-08-11T00:00:00"/>
    <x v="0"/>
    <x v="0"/>
    <n v="18200"/>
    <x v="0"/>
    <x v="0"/>
    <n v="3906.9029999999998"/>
    <n v="2.95"/>
    <n v="0"/>
    <n v="0"/>
    <x v="12"/>
    <s v="CHEMICAL (FLOPRINT TA 160)"/>
    <n v="12292940"/>
    <x v="0"/>
    <n v="2669424"/>
    <x v="0"/>
    <n v="139575995"/>
    <d v="2024-07-30T00:00:00"/>
    <x v="0"/>
    <x v="0"/>
    <x v="0"/>
    <x v="0"/>
    <x v="0"/>
    <x v="0"/>
    <d v="2024-05-31T00:00:00"/>
    <x v="0"/>
    <x v="1"/>
    <x v="0"/>
    <x v="0"/>
    <x v="0"/>
    <x v="5"/>
    <n v="675.43626373626375"/>
    <n v="146.67164835164834"/>
    <n v="0"/>
    <d v="2022-08-31T00:00:00"/>
    <x v="0"/>
  </r>
  <r>
    <x v="402"/>
    <d v="2022-08-01T00:00:00"/>
    <x v="401"/>
    <d v="2022-08-10T00:00:00"/>
    <x v="0"/>
    <x v="0"/>
    <n v="12000"/>
    <x v="0"/>
    <x v="0"/>
    <n v="3909.5"/>
    <n v="3.98"/>
    <n v="0"/>
    <n v="0"/>
    <x v="12"/>
    <s v="CHEMICAL (LAMFINISH FIX)"/>
    <n v="11039947"/>
    <x v="0"/>
    <n v="2005958"/>
    <x v="0"/>
    <n v="139576004"/>
    <d v="2024-08-09T00:00:00"/>
    <x v="0"/>
    <x v="0"/>
    <x v="0"/>
    <x v="0"/>
    <x v="0"/>
    <x v="0"/>
    <d v="2024-06-10T00:00:00"/>
    <x v="0"/>
    <x v="1"/>
    <x v="0"/>
    <x v="0"/>
    <x v="0"/>
    <x v="5"/>
    <n v="919.99558333333334"/>
    <n v="167.16316666666665"/>
    <n v="0"/>
    <d v="2022-08-31T00:00:00"/>
    <x v="0"/>
  </r>
  <r>
    <x v="403"/>
    <d v="2022-08-01T00:00:00"/>
    <x v="402"/>
    <d v="2022-08-12T00:00:00"/>
    <x v="0"/>
    <x v="0"/>
    <n v="18506"/>
    <x v="0"/>
    <x v="0"/>
    <n v="5401.2089999999998"/>
    <s v="4.3099 / 7.708"/>
    <n v="0"/>
    <n v="0"/>
    <x v="17"/>
    <s v="100% SPUN POLYESTER SEWING "/>
    <n v="22887530"/>
    <x v="0"/>
    <n v="4158664"/>
    <x v="0"/>
    <n v="139576001"/>
    <d v="2024-08-11T00:00:00"/>
    <x v="0"/>
    <x v="0"/>
    <x v="0"/>
    <x v="0"/>
    <x v="0"/>
    <x v="0"/>
    <d v="2024-06-12T00:00:00"/>
    <x v="0"/>
    <x v="1"/>
    <x v="0"/>
    <x v="0"/>
    <x v="0"/>
    <x v="3"/>
    <n v="1236.7626715659785"/>
    <n v="224.71976656219604"/>
    <n v="0"/>
    <d v="2022-08-31T00:00:00"/>
    <x v="0"/>
  </r>
  <r>
    <x v="404"/>
    <d v="2022-08-01T00:00:00"/>
    <x v="403"/>
    <d v="2022-08-06T00:00:00"/>
    <x v="1"/>
    <x v="0"/>
    <n v="74141.55"/>
    <x v="0"/>
    <x v="0"/>
    <n v="4810.29"/>
    <n v="1.2430000000000001"/>
    <n v="0"/>
    <n v="0"/>
    <x v="9"/>
    <s v="2/S COATED ART BOARD "/>
    <n v="21302738"/>
    <x v="0"/>
    <n v="9204488"/>
    <x v="0"/>
    <n v="139575984"/>
    <d v="2024-08-05T00:00:00"/>
    <x v="0"/>
    <x v="0"/>
    <x v="0"/>
    <x v="0"/>
    <x v="0"/>
    <x v="0"/>
    <d v="2024-06-06T00:00:00"/>
    <x v="0"/>
    <x v="1"/>
    <x v="0"/>
    <x v="0"/>
    <x v="0"/>
    <x v="6"/>
    <n v="287.32523126371109"/>
    <n v="124.1474989395285"/>
    <n v="0"/>
    <d v="2022-08-06T00:00:00"/>
    <x v="0"/>
  </r>
  <r>
    <x v="405"/>
    <d v="2022-08-01T00:00:00"/>
    <x v="404"/>
    <d v="2022-08-16T00:00:00"/>
    <x v="0"/>
    <x v="0"/>
    <n v="24000"/>
    <x v="0"/>
    <x v="0"/>
    <s v="3906.9090 / 3402.9000"/>
    <s v="2.90 / 1.90"/>
    <n v="0"/>
    <n v="0"/>
    <x v="12"/>
    <s v="CHEMICAL (NEOPAT BINDER / COMPUND)"/>
    <n v="13129319"/>
    <x v="0"/>
    <n v="4537381"/>
    <x v="0"/>
    <n v="139576012"/>
    <d v="2024-08-16T00:00:00"/>
    <x v="0"/>
    <x v="0"/>
    <x v="0"/>
    <x v="0"/>
    <x v="0"/>
    <x v="0"/>
    <d v="2024-06-17T00:00:00"/>
    <x v="0"/>
    <x v="1"/>
    <x v="0"/>
    <x v="0"/>
    <x v="0"/>
    <x v="5"/>
    <n v="547.05495833333339"/>
    <n v="189.05754166666668"/>
    <n v="0"/>
    <d v="2022-08-31T00:00:00"/>
    <x v="0"/>
  </r>
  <r>
    <x v="406"/>
    <d v="2022-08-01T00:00:00"/>
    <x v="405"/>
    <d v="2022-08-25T00:00:00"/>
    <x v="0"/>
    <x v="0"/>
    <n v="650"/>
    <x v="0"/>
    <x v="0"/>
    <n v="3204.16"/>
    <n v="26.039899999999999"/>
    <n v="0"/>
    <n v="0"/>
    <x v="5"/>
    <s v="TEXTILE DYES (NEMOTOS)"/>
    <n v="3765747"/>
    <x v="0"/>
    <n v="1396234"/>
    <x v="0"/>
    <n v="139576028"/>
    <d v="2024-08-20T00:00:00"/>
    <x v="0"/>
    <x v="0"/>
    <x v="0"/>
    <x v="0"/>
    <x v="0"/>
    <x v="0"/>
    <d v="2024-06-21T00:00:00"/>
    <x v="0"/>
    <x v="1"/>
    <x v="0"/>
    <x v="0"/>
    <x v="0"/>
    <x v="4"/>
    <n v="5793.456923076923"/>
    <n v="2148.0523076923077"/>
    <n v="0"/>
    <d v="2022-08-31T00:00:00"/>
    <x v="0"/>
  </r>
  <r>
    <x v="407"/>
    <d v="2022-08-01T00:00:00"/>
    <x v="406"/>
    <d v="2022-05-23T00:00:00"/>
    <x v="0"/>
    <x v="0"/>
    <n v="1000"/>
    <x v="0"/>
    <x v="0"/>
    <n v="3204.16"/>
    <n v="18.739999999999998"/>
    <n v="0"/>
    <n v="0"/>
    <x v="5"/>
    <s v="DYES (TERASIL RED W-4BS"/>
    <n v="4112952"/>
    <x v="0"/>
    <n v="1524967"/>
    <x v="0"/>
    <n v="139576013"/>
    <d v="2024-08-15T00:00:00"/>
    <x v="0"/>
    <x v="0"/>
    <x v="0"/>
    <x v="0"/>
    <x v="0"/>
    <x v="0"/>
    <d v="2024-06-16T00:00:00"/>
    <x v="0"/>
    <x v="1"/>
    <x v="0"/>
    <x v="0"/>
    <x v="0"/>
    <x v="4"/>
    <n v="4112.9520000000002"/>
    <n v="1524.9670000000001"/>
    <n v="0"/>
    <d v="2022-08-31T00:00:00"/>
    <x v="0"/>
  </r>
  <r>
    <x v="408"/>
    <d v="2022-08-01T00:00:00"/>
    <x v="407"/>
    <d v="2022-08-27T00:00:00"/>
    <x v="0"/>
    <x v="0"/>
    <n v="26000"/>
    <x v="0"/>
    <x v="0"/>
    <n v="5509.22"/>
    <n v="3.35"/>
    <n v="0"/>
    <n v="0"/>
    <x v="6"/>
    <s v="100% POLYESTER SPUN YARN N/M 50S/3 BRIGHT"/>
    <n v="19542714"/>
    <x v="0"/>
    <n v="6091210"/>
    <x v="0"/>
    <n v="139576050"/>
    <d v="2024-08-27T00:00:00"/>
    <x v="0"/>
    <x v="0"/>
    <x v="0"/>
    <x v="0"/>
    <x v="0"/>
    <x v="0"/>
    <d v="2024-06-28T00:00:00"/>
    <x v="0"/>
    <x v="1"/>
    <x v="0"/>
    <x v="0"/>
    <x v="0"/>
    <x v="3"/>
    <n v="751.64284615384611"/>
    <n v="234.27730769230769"/>
    <n v="0"/>
    <d v="2022-08-31T00:00:00"/>
    <x v="0"/>
  </r>
  <r>
    <x v="409"/>
    <d v="2022-08-01T00:00:00"/>
    <x v="408"/>
    <d v="2022-09-01T00:00:00"/>
    <x v="0"/>
    <x v="0"/>
    <n v="5000"/>
    <x v="0"/>
    <x v="0"/>
    <n v="3204.16"/>
    <n v="8.4499999999999993"/>
    <n v="0"/>
    <n v="0"/>
    <x v="5"/>
    <s v="DYES (TERASIL NAVY GRL-C 200%)"/>
    <n v="9507689"/>
    <x v="0"/>
    <n v="3525184"/>
    <x v="0"/>
    <n v="139576056"/>
    <d v="2024-08-31T00:00:00"/>
    <x v="0"/>
    <x v="0"/>
    <x v="0"/>
    <x v="0"/>
    <x v="0"/>
    <x v="0"/>
    <d v="2024-07-02T00:00:00"/>
    <x v="0"/>
    <x v="1"/>
    <x v="0"/>
    <x v="0"/>
    <x v="0"/>
    <x v="4"/>
    <n v="1901.5378000000001"/>
    <n v="705.03679999999997"/>
    <n v="0"/>
    <d v="2022-08-31T00:00:00"/>
    <x v="0"/>
  </r>
  <r>
    <x v="410"/>
    <d v="2022-09-01T00:00:00"/>
    <x v="409"/>
    <d v="2022-09-12T00:00:00"/>
    <x v="0"/>
    <x v="0"/>
    <n v="11070"/>
    <x v="0"/>
    <x v="0"/>
    <n v="3215.1990000000001"/>
    <s v="10.50 / 9.00"/>
    <n v="0"/>
    <n v="0"/>
    <x v="5"/>
    <s v="REACTIVE DYE AQUA PREMIUM / CLEANING REGGIANI AQUA"/>
    <n v="26997994"/>
    <x v="0"/>
    <n v="12991975"/>
    <x v="0"/>
    <n v="139576065"/>
    <d v="2024-07-08T00:00:00"/>
    <x v="0"/>
    <x v="0"/>
    <x v="0"/>
    <x v="0"/>
    <x v="0"/>
    <x v="0"/>
    <d v="2024-05-09T00:00:00"/>
    <x v="0"/>
    <x v="1"/>
    <x v="0"/>
    <x v="0"/>
    <x v="0"/>
    <x v="4"/>
    <n v="2438.843179765131"/>
    <n v="1173.6201445347788"/>
    <n v="0"/>
    <d v="2022-10-01T00:00:00"/>
    <x v="0"/>
  </r>
  <r>
    <x v="411"/>
    <d v="2022-09-01T00:00:00"/>
    <x v="410"/>
    <d v="2022-09-14T00:00:00"/>
    <x v="0"/>
    <x v="0"/>
    <n v="3000"/>
    <x v="0"/>
    <x v="0"/>
    <n v="3204.16"/>
    <s v="12.1201 / 9.2416 / 8.9891"/>
    <n v="0"/>
    <n v="0"/>
    <x v="5"/>
    <s v="DYES (BEZAKTIV)"/>
    <n v="7468406"/>
    <x v="0"/>
    <n v="2769076"/>
    <x v="0"/>
    <n v="139576073"/>
    <d v="2024-09-08T00:00:00"/>
    <x v="0"/>
    <x v="0"/>
    <x v="0"/>
    <x v="0"/>
    <x v="0"/>
    <x v="0"/>
    <d v="2024-07-10T00:00:00"/>
    <x v="0"/>
    <x v="1"/>
    <x v="0"/>
    <x v="0"/>
    <x v="0"/>
    <x v="4"/>
    <n v="2489.4686666666666"/>
    <n v="923.02533333333338"/>
    <n v="0"/>
    <d v="2022-10-01T00:00:00"/>
    <x v="0"/>
  </r>
  <r>
    <x v="412"/>
    <d v="2022-09-01T00:00:00"/>
    <x v="411"/>
    <d v="2022-09-19T00:00:00"/>
    <x v="0"/>
    <x v="0"/>
    <n v="12000"/>
    <x v="0"/>
    <x v="0"/>
    <n v="3204.16"/>
    <n v="3.95"/>
    <n v="0"/>
    <n v="0"/>
    <x v="5"/>
    <s v="DYES (FASFA)"/>
    <n v="11433005"/>
    <x v="0"/>
    <n v="4239039"/>
    <x v="0"/>
    <n v="128479201"/>
    <d v="2024-09-18T00:00:00"/>
    <x v="0"/>
    <x v="0"/>
    <x v="0"/>
    <x v="0"/>
    <x v="0"/>
    <x v="0"/>
    <d v="2024-07-20T00:00:00"/>
    <x v="0"/>
    <x v="1"/>
    <x v="0"/>
    <x v="0"/>
    <x v="0"/>
    <x v="4"/>
    <n v="952.75041666666664"/>
    <n v="353.25324999999998"/>
    <n v="0"/>
    <d v="2022-10-01T00:00:00"/>
    <x v="0"/>
  </r>
  <r>
    <x v="413"/>
    <d v="2022-09-01T00:00:00"/>
    <x v="412"/>
    <d v="2022-09-19T00:00:00"/>
    <x v="0"/>
    <x v="0"/>
    <n v="96000"/>
    <x v="0"/>
    <x v="0"/>
    <n v="2847"/>
    <n v="0.65500000000000003"/>
    <n v="0"/>
    <n v="0"/>
    <x v="12"/>
    <s v="HYDROGEN PEROXIDE 50%"/>
    <n v="15166822"/>
    <x v="0"/>
    <n v="4727301"/>
    <x v="0"/>
    <n v="139576076"/>
    <d v="2024-09-17T00:00:00"/>
    <x v="0"/>
    <x v="0"/>
    <x v="0"/>
    <x v="0"/>
    <x v="0"/>
    <x v="0"/>
    <d v="2024-07-19T00:00:00"/>
    <x v="0"/>
    <x v="1"/>
    <x v="0"/>
    <x v="0"/>
    <x v="0"/>
    <x v="5"/>
    <n v="157.98772916666667"/>
    <n v="49.242718750000002"/>
    <n v="0"/>
    <d v="2022-10-01T00:00:00"/>
    <x v="0"/>
  </r>
  <r>
    <x v="414"/>
    <d v="2022-09-01T00:00:00"/>
    <x v="413"/>
    <d v="2022-09-21T00:00:00"/>
    <x v="1"/>
    <x v="0"/>
    <n v="72244"/>
    <x v="0"/>
    <x v="0"/>
    <n v="4810.29"/>
    <n v="1.0909"/>
    <n v="0"/>
    <n v="0"/>
    <x v="9"/>
    <s v="2/S COATED ART BOARD "/>
    <n v="19162167"/>
    <x v="0"/>
    <n v="8279589"/>
    <x v="0"/>
    <n v="128479368"/>
    <d v="2024-09-20T00:00:00"/>
    <x v="0"/>
    <x v="0"/>
    <x v="0"/>
    <x v="0"/>
    <x v="0"/>
    <x v="0"/>
    <d v="2024-07-22T00:00:00"/>
    <x v="0"/>
    <x v="1"/>
    <x v="0"/>
    <x v="0"/>
    <x v="0"/>
    <x v="6"/>
    <n v="265.24233154310394"/>
    <n v="114.60590498864957"/>
    <n v="0"/>
    <d v="2022-09-06T00:00:00"/>
    <x v="0"/>
  </r>
  <r>
    <x v="415"/>
    <d v="2022-10-01T00:00:00"/>
    <x v="414"/>
    <d v="2022-09-19T00:00:00"/>
    <x v="0"/>
    <x v="0"/>
    <n v="96000"/>
    <x v="0"/>
    <x v="0"/>
    <n v="2847"/>
    <n v="0.65500000000000003"/>
    <n v="0"/>
    <n v="0"/>
    <x v="12"/>
    <s v="HYDROGEN PEROXIDE 50%"/>
    <n v="15166822"/>
    <x v="0"/>
    <n v="4727301"/>
    <x v="0"/>
    <n v="139576077"/>
    <d v="2024-09-19T00:00:00"/>
    <x v="0"/>
    <x v="0"/>
    <x v="0"/>
    <x v="0"/>
    <x v="0"/>
    <x v="0"/>
    <d v="2024-07-21T00:00:00"/>
    <x v="0"/>
    <x v="1"/>
    <x v="0"/>
    <x v="0"/>
    <x v="0"/>
    <x v="5"/>
    <n v="157.98772916666667"/>
    <n v="49.242718750000002"/>
    <n v="0"/>
    <d v="2022-10-31T00:00:00"/>
    <x v="0"/>
  </r>
  <r>
    <x v="416"/>
    <d v="2022-10-01T00:00:00"/>
    <x v="415"/>
    <d v="2022-09-28T00:00:00"/>
    <x v="0"/>
    <x v="0"/>
    <n v="46200"/>
    <x v="0"/>
    <x v="0"/>
    <n v="5402.33"/>
    <n v="1.7"/>
    <n v="0"/>
    <n v="0"/>
    <x v="6"/>
    <s v="100% POLYESTER YARN (DTY 100D/48F HIM RW SD GRADE-AA)"/>
    <n v="18984115"/>
    <x v="0"/>
    <n v="6849223"/>
    <x v="0"/>
    <n v="152711185"/>
    <d v="2024-09-26T00:00:00"/>
    <x v="0"/>
    <x v="0"/>
    <x v="0"/>
    <x v="0"/>
    <x v="0"/>
    <x v="0"/>
    <d v="2024-07-28T00:00:00"/>
    <x v="0"/>
    <x v="1"/>
    <x v="0"/>
    <x v="0"/>
    <x v="0"/>
    <x v="3"/>
    <n v="410.9115800865801"/>
    <n v="148.25158008658008"/>
    <n v="0"/>
    <d v="2022-10-31T00:00:00"/>
    <x v="0"/>
  </r>
  <r>
    <x v="417"/>
    <d v="2022-10-01T00:00:00"/>
    <x v="416"/>
    <d v="2022-09-20T00:00:00"/>
    <x v="0"/>
    <x v="0"/>
    <n v="44000"/>
    <x v="0"/>
    <x v="0"/>
    <n v="2832.1089999999999"/>
    <n v="2.99"/>
    <n v="0"/>
    <n v="0"/>
    <x v="12"/>
    <s v="HYDROBLUE 90"/>
    <n v="31846694"/>
    <x v="0"/>
    <n v="5786544"/>
    <x v="0"/>
    <n v="128479200"/>
    <d v="2024-09-19T00:00:00"/>
    <x v="0"/>
    <x v="0"/>
    <x v="0"/>
    <x v="0"/>
    <x v="0"/>
    <x v="0"/>
    <d v="2024-07-21T00:00:00"/>
    <x v="0"/>
    <x v="1"/>
    <x v="0"/>
    <x v="0"/>
    <x v="0"/>
    <x v="5"/>
    <n v="723.7885"/>
    <n v="131.51236363636363"/>
    <n v="0"/>
    <d v="2022-10-31T00:00:00"/>
    <x v="0"/>
  </r>
  <r>
    <x v="418"/>
    <d v="2022-10-01T00:00:00"/>
    <x v="417"/>
    <d v="2022-09-27T00:00:00"/>
    <x v="0"/>
    <x v="0"/>
    <n v="2000"/>
    <x v="0"/>
    <x v="0"/>
    <n v="3204.16"/>
    <s v="10.60 / 5.50"/>
    <n v="0"/>
    <n v="0"/>
    <x v="5"/>
    <s v="DYES (SYNOLON / SYNOZOL)"/>
    <n v="4567871"/>
    <x v="0"/>
    <n v="1693640"/>
    <x v="0"/>
    <n v="139568035"/>
    <d v="2024-09-22T00:00:00"/>
    <x v="0"/>
    <x v="0"/>
    <x v="0"/>
    <x v="0"/>
    <x v="0"/>
    <x v="0"/>
    <d v="2024-07-24T00:00:00"/>
    <x v="0"/>
    <x v="1"/>
    <x v="0"/>
    <x v="0"/>
    <x v="0"/>
    <x v="4"/>
    <n v="2283.9355"/>
    <n v="846.82"/>
    <n v="0"/>
    <d v="2022-10-31T00:00:00"/>
    <x v="0"/>
  </r>
  <r>
    <x v="419"/>
    <d v="2022-10-01T00:00:00"/>
    <x v="418"/>
    <d v="2022-09-27T00:00:00"/>
    <x v="0"/>
    <x v="0"/>
    <n v="1000"/>
    <x v="0"/>
    <x v="0"/>
    <n v="3707.1"/>
    <n v="9.0656999999999996"/>
    <n v="0"/>
    <n v="0"/>
    <x v="12"/>
    <s v="CHEMICAL (EMULSION AQUASOL SHARP BHV)"/>
    <n v="2220426"/>
    <x v="0"/>
    <n v="403451"/>
    <x v="0"/>
    <n v="139568031"/>
    <d v="2024-09-22T00:00:00"/>
    <x v="0"/>
    <x v="0"/>
    <x v="0"/>
    <x v="0"/>
    <x v="0"/>
    <x v="0"/>
    <d v="2024-07-24T00:00:00"/>
    <x v="0"/>
    <x v="1"/>
    <x v="0"/>
    <x v="0"/>
    <x v="0"/>
    <x v="5"/>
    <n v="2220.4259999999999"/>
    <n v="403.45100000000002"/>
    <n v="0"/>
    <d v="2022-10-31T00:00:00"/>
    <x v="0"/>
  </r>
  <r>
    <x v="420"/>
    <d v="2022-10-01T00:00:00"/>
    <x v="419"/>
    <d v="2022-09-28T00:00:00"/>
    <x v="0"/>
    <x v="0"/>
    <n v="16000"/>
    <x v="0"/>
    <x v="0"/>
    <n v="3204.16"/>
    <n v="3.7"/>
    <n v="0"/>
    <n v="0"/>
    <x v="5"/>
    <s v="DYES (LIYUANSOL)"/>
    <n v="14309392"/>
    <x v="0"/>
    <n v="5305522"/>
    <x v="0"/>
    <n v="139568036"/>
    <d v="2024-09-26T00:00:00"/>
    <x v="0"/>
    <x v="0"/>
    <x v="0"/>
    <x v="0"/>
    <x v="0"/>
    <x v="0"/>
    <d v="2024-07-28T00:00:00"/>
    <x v="0"/>
    <x v="1"/>
    <x v="0"/>
    <x v="0"/>
    <x v="0"/>
    <x v="4"/>
    <n v="894.33699999999999"/>
    <n v="331.595125"/>
    <n v="0"/>
    <d v="2022-10-31T00:00:00"/>
    <x v="0"/>
  </r>
  <r>
    <x v="421"/>
    <d v="2022-10-01T00:00:00"/>
    <x v="420"/>
    <d v="2022-10-05T00:00:00"/>
    <x v="0"/>
    <x v="0"/>
    <n v="40320"/>
    <x v="0"/>
    <x v="0"/>
    <n v="2915.11"/>
    <n v="1.3"/>
    <n v="0"/>
    <n v="0"/>
    <x v="12"/>
    <s v="FORMIC ACID 85%"/>
    <n v="12175019"/>
    <x v="0"/>
    <n v="4514156"/>
    <x v="0"/>
    <n v="139568057"/>
    <d v="2024-10-05T00:00:00"/>
    <x v="0"/>
    <x v="0"/>
    <x v="0"/>
    <x v="0"/>
    <x v="0"/>
    <x v="0"/>
    <d v="2024-08-06T00:00:00"/>
    <x v="0"/>
    <x v="1"/>
    <x v="0"/>
    <x v="0"/>
    <x v="0"/>
    <x v="5"/>
    <n v="301.95979662698414"/>
    <n v="111.95823412698412"/>
    <n v="0"/>
    <d v="2022-10-31T00:00:00"/>
    <x v="0"/>
  </r>
  <r>
    <x v="422"/>
    <d v="2022-10-01T00:00:00"/>
    <x v="421"/>
    <d v="2022-10-10T00:00:00"/>
    <x v="0"/>
    <x v="0"/>
    <n v="24480"/>
    <x v="0"/>
    <x v="0"/>
    <n v="5402.33"/>
    <n v="1.7"/>
    <n v="0"/>
    <n v="0"/>
    <x v="6"/>
    <s v="100% POLYESTER YARN (DTY 100D/48F HIM RW SD GRADE-AA)"/>
    <n v="9432941"/>
    <x v="0"/>
    <n v="3583453"/>
    <x v="0"/>
    <n v="139568062"/>
    <d v="2024-10-08T00:00:00"/>
    <x v="0"/>
    <x v="0"/>
    <x v="0"/>
    <x v="0"/>
    <x v="0"/>
    <x v="0"/>
    <d v="2024-08-09T00:00:00"/>
    <x v="0"/>
    <x v="1"/>
    <x v="0"/>
    <x v="0"/>
    <x v="0"/>
    <x v="3"/>
    <n v="385.33255718954246"/>
    <n v="146.38288398692811"/>
    <n v="0"/>
    <d v="2022-10-31T00:00:00"/>
    <x v="0"/>
  </r>
  <r>
    <x v="423"/>
    <d v="2022-10-01T00:00:00"/>
    <x v="422"/>
    <d v="2022-10-12T00:00:00"/>
    <x v="0"/>
    <x v="0"/>
    <n v="24480"/>
    <x v="0"/>
    <x v="0"/>
    <n v="5402.33"/>
    <n v="1.7"/>
    <n v="0"/>
    <n v="0"/>
    <x v="6"/>
    <s v="100% POLYESTER YARN (DTY 100D/48F HIM RW SD GRADE-AA)"/>
    <n v="9265254"/>
    <x v="0"/>
    <n v="3519749"/>
    <x v="0"/>
    <n v="139568063"/>
    <d v="2024-10-11T00:00:00"/>
    <x v="0"/>
    <x v="0"/>
    <x v="0"/>
    <x v="0"/>
    <x v="0"/>
    <x v="0"/>
    <d v="2024-08-12T00:00:00"/>
    <x v="0"/>
    <x v="1"/>
    <x v="0"/>
    <x v="0"/>
    <x v="0"/>
    <x v="3"/>
    <n v="378.4825980392157"/>
    <n v="143.78059640522875"/>
    <n v="0"/>
    <d v="2022-10-31T00:00:00"/>
    <x v="0"/>
  </r>
  <r>
    <x v="424"/>
    <d v="2022-10-01T00:00:00"/>
    <x v="423"/>
    <d v="2022-10-11T00:00:00"/>
    <x v="0"/>
    <x v="0"/>
    <n v="13000"/>
    <x v="0"/>
    <x v="0"/>
    <n v="3906.9090000000001"/>
    <n v="2.7"/>
    <n v="0"/>
    <n v="0"/>
    <x v="12"/>
    <s v="CHEMICAL (PERIPRINT)"/>
    <n v="7694604"/>
    <x v="0"/>
    <n v="2398308"/>
    <x v="0"/>
    <n v="139568067"/>
    <d v="2024-10-11T00:00:00"/>
    <x v="0"/>
    <x v="0"/>
    <x v="0"/>
    <x v="0"/>
    <x v="0"/>
    <x v="0"/>
    <d v="2024-08-12T00:00:00"/>
    <x v="0"/>
    <x v="1"/>
    <x v="0"/>
    <x v="0"/>
    <x v="0"/>
    <x v="5"/>
    <n v="591.8926153846154"/>
    <n v="184.48523076923078"/>
    <n v="0"/>
    <d v="2022-10-31T00:00:00"/>
    <x v="0"/>
  </r>
  <r>
    <x v="425"/>
    <d v="2022-10-01T00:00:00"/>
    <x v="424"/>
    <d v="2022-10-17T00:00:00"/>
    <x v="0"/>
    <x v="0"/>
    <n v="18000"/>
    <x v="0"/>
    <x v="0"/>
    <n v="3809.9189999999999"/>
    <n v="2.35"/>
    <n v="0"/>
    <n v="0"/>
    <x v="12"/>
    <s v="CHEMICAL (DYMAFIX)"/>
    <n v="9443428"/>
    <x v="0"/>
    <n v="3501358"/>
    <x v="0"/>
    <n v="139568076"/>
    <d v="2024-10-14T00:00:00"/>
    <x v="0"/>
    <x v="0"/>
    <x v="0"/>
    <x v="0"/>
    <x v="0"/>
    <x v="0"/>
    <d v="2024-08-15T00:00:00"/>
    <x v="0"/>
    <x v="1"/>
    <x v="0"/>
    <x v="0"/>
    <x v="0"/>
    <x v="5"/>
    <n v="524.6348888888889"/>
    <n v="194.51988888888889"/>
    <n v="0"/>
    <d v="2022-10-31T00:00:00"/>
    <x v="0"/>
  </r>
  <r>
    <x v="426"/>
    <d v="2022-10-01T00:00:00"/>
    <x v="425"/>
    <d v="2022-10-17T00:00:00"/>
    <x v="0"/>
    <x v="0"/>
    <n v="24480"/>
    <x v="0"/>
    <x v="0"/>
    <n v="5402.33"/>
    <n v="1.7"/>
    <n v="0"/>
    <n v="0"/>
    <x v="6"/>
    <s v="100% POLYESTER YARN (DTY 100D/48F HIM RW SD GRADE-AA)"/>
    <n v="9290726"/>
    <x v="0"/>
    <n v="3529427"/>
    <x v="0"/>
    <n v="139568075"/>
    <d v="2024-10-11T00:00:00"/>
    <x v="0"/>
    <x v="0"/>
    <x v="0"/>
    <x v="0"/>
    <x v="0"/>
    <x v="0"/>
    <d v="2024-08-12T00:00:00"/>
    <x v="0"/>
    <x v="1"/>
    <x v="0"/>
    <x v="0"/>
    <x v="0"/>
    <x v="3"/>
    <n v="379.52312091503268"/>
    <n v="144.17593954248366"/>
    <n v="0"/>
    <d v="2022-10-31T00:00:00"/>
    <x v="0"/>
  </r>
  <r>
    <x v="427"/>
    <d v="2022-10-01T00:00:00"/>
    <x v="426"/>
    <d v="2022-10-06T00:00:00"/>
    <x v="0"/>
    <x v="0"/>
    <n v="500"/>
    <x v="0"/>
    <x v="0"/>
    <n v="3204.1590000000001"/>
    <n v="52.5"/>
    <n v="0"/>
    <n v="0"/>
    <x v="5"/>
    <s v="DYES (FARBANTHREN BRILLIANT)"/>
    <n v="6050404"/>
    <x v="0"/>
    <n v="2243321"/>
    <x v="0"/>
    <n v="139568064"/>
    <d v="2024-10-04T00:00:00"/>
    <x v="0"/>
    <x v="0"/>
    <x v="0"/>
    <x v="0"/>
    <x v="0"/>
    <x v="0"/>
    <d v="2024-08-05T00:00:00"/>
    <x v="0"/>
    <x v="1"/>
    <x v="0"/>
    <x v="0"/>
    <x v="0"/>
    <x v="4"/>
    <n v="12100.808000000001"/>
    <n v="4486.6419999999998"/>
    <n v="0"/>
    <d v="2022-10-31T00:00:00"/>
    <x v="0"/>
  </r>
  <r>
    <x v="428"/>
    <d v="2022-10-01T00:00:00"/>
    <x v="427"/>
    <d v="2022-10-17T00:00:00"/>
    <x v="0"/>
    <x v="0"/>
    <n v="22273"/>
    <x v="0"/>
    <x v="0"/>
    <n v="5201.009"/>
    <n v="2.6675"/>
    <n v="0"/>
    <n v="0"/>
    <x v="0"/>
    <s v="Raw Cotton"/>
    <n v="13263937"/>
    <x v="0"/>
    <n v="2410057"/>
    <x v="0"/>
    <n v="139576132"/>
    <d v="2024-10-16T00:00:00"/>
    <x v="0"/>
    <x v="0"/>
    <x v="0"/>
    <x v="0"/>
    <x v="0"/>
    <x v="0"/>
    <d v="2024-08-17T00:00:00"/>
    <x v="0"/>
    <x v="1"/>
    <x v="0"/>
    <x v="0"/>
    <x v="0"/>
    <x v="0"/>
    <n v="595.51641000314282"/>
    <n v="108.20531585327527"/>
    <n v="0"/>
    <d v="2022-10-31T00:00:00"/>
    <x v="0"/>
  </r>
  <r>
    <x v="429"/>
    <d v="2022-10-01T00:00:00"/>
    <x v="428"/>
    <d v="2022-10-17T00:00:00"/>
    <x v="0"/>
    <x v="0"/>
    <n v="158972"/>
    <x v="0"/>
    <x v="0"/>
    <n v="5201.009"/>
    <n v="2.6675"/>
    <n v="0"/>
    <n v="0"/>
    <x v="0"/>
    <s v="Raw Cotton"/>
    <n v="94670433"/>
    <x v="0"/>
    <n v="17201618"/>
    <x v="0"/>
    <n v="139568080"/>
    <d v="2024-10-16T00:00:00"/>
    <x v="0"/>
    <x v="0"/>
    <x v="0"/>
    <x v="0"/>
    <x v="0"/>
    <x v="0"/>
    <d v="2024-08-17T00:00:00"/>
    <x v="0"/>
    <x v="1"/>
    <x v="0"/>
    <x v="0"/>
    <x v="0"/>
    <x v="0"/>
    <n v="595.51639911430948"/>
    <n v="108.20533175653574"/>
    <n v="0"/>
    <d v="2022-10-31T00:00:00"/>
    <x v="0"/>
  </r>
  <r>
    <x v="430"/>
    <d v="2022-10-01T00:00:00"/>
    <x v="429"/>
    <d v="2022-10-24T00:00:00"/>
    <x v="0"/>
    <x v="0"/>
    <n v="4000"/>
    <x v="0"/>
    <x v="0"/>
    <n v="3906.9090000000001"/>
    <n v="12.6"/>
    <n v="0"/>
    <n v="0"/>
    <x v="12"/>
    <s v="CHEMICAL (NUVA N1811 LIQ)"/>
    <n v="11382847"/>
    <x v="0"/>
    <n v="3547885"/>
    <x v="0"/>
    <n v="139576141"/>
    <d v="2024-10-24T00:00:00"/>
    <x v="0"/>
    <x v="0"/>
    <x v="0"/>
    <x v="0"/>
    <x v="0"/>
    <x v="0"/>
    <d v="2024-08-25T00:00:00"/>
    <x v="0"/>
    <x v="1"/>
    <x v="0"/>
    <x v="0"/>
    <x v="0"/>
    <x v="5"/>
    <n v="2845.7117499999999"/>
    <n v="886.97125000000005"/>
    <n v="0"/>
    <d v="2022-10-31T00:00:00"/>
    <x v="0"/>
  </r>
  <r>
    <x v="431"/>
    <d v="2022-10-01T00:00:00"/>
    <x v="430"/>
    <d v="2022-10-27T00:00:00"/>
    <x v="0"/>
    <x v="0"/>
    <n v="58800"/>
    <x v="0"/>
    <x v="0"/>
    <n v="5205.13"/>
    <n v="2.85"/>
    <n v="0"/>
    <n v="0"/>
    <x v="10"/>
    <s v="30/1 Cotton Yarn"/>
    <n v="37659923"/>
    <x v="0"/>
    <n v="9067944"/>
    <x v="0"/>
    <n v="139576187"/>
    <d v="2024-10-26T00:00:00"/>
    <x v="0"/>
    <x v="0"/>
    <x v="0"/>
    <x v="0"/>
    <x v="0"/>
    <x v="0"/>
    <d v="2024-08-27T00:00:00"/>
    <x v="0"/>
    <x v="1"/>
    <x v="0"/>
    <x v="0"/>
    <x v="0"/>
    <x v="3"/>
    <n v="640.474880952381"/>
    <n v="154.21673469387756"/>
    <n v="0"/>
    <d v="2022-10-31T00:00:00"/>
    <x v="0"/>
  </r>
  <r>
    <x v="432"/>
    <d v="2022-11-01T00:00:00"/>
    <x v="431"/>
    <d v="2022-10-26T00:00:00"/>
    <x v="0"/>
    <x v="0"/>
    <n v="500"/>
    <x v="0"/>
    <x v="0"/>
    <n v="3204.16"/>
    <n v="25.85"/>
    <n v="0"/>
    <n v="0"/>
    <x v="5"/>
    <s v="DYES (SYNOLON)"/>
    <n v="2911202"/>
    <x v="0"/>
    <n v="1079392"/>
    <x v="0"/>
    <n v="139576181"/>
    <d v="2024-10-22T00:00:00"/>
    <x v="0"/>
    <x v="0"/>
    <x v="0"/>
    <x v="0"/>
    <x v="0"/>
    <x v="0"/>
    <d v="2024-08-23T00:00:00"/>
    <x v="0"/>
    <x v="1"/>
    <x v="0"/>
    <x v="0"/>
    <x v="0"/>
    <x v="4"/>
    <n v="5822.4040000000005"/>
    <n v="2158.7840000000001"/>
    <n v="0"/>
    <d v="2022-12-01T00:00:00"/>
    <x v="0"/>
  </r>
  <r>
    <x v="433"/>
    <d v="2022-11-01T00:00:00"/>
    <x v="432"/>
    <d v="2022-10-27T00:00:00"/>
    <x v="0"/>
    <x v="0"/>
    <n v="1906"/>
    <x v="0"/>
    <x v="0"/>
    <n v="5407.52"/>
    <n v="5.5410000000000004"/>
    <n v="0"/>
    <n v="0"/>
    <x v="11"/>
    <s v="100% POLYESTER MESH FABRIC 160GSM WIDTH:150CM"/>
    <n v="2373386"/>
    <x v="0"/>
    <n v="879986"/>
    <x v="0"/>
    <n v="139576186"/>
    <d v="2024-10-25T00:00:00"/>
    <x v="0"/>
    <x v="0"/>
    <x v="0"/>
    <x v="0"/>
    <x v="0"/>
    <x v="0"/>
    <d v="2024-08-26T00:00:00"/>
    <x v="0"/>
    <x v="1"/>
    <x v="0"/>
    <x v="0"/>
    <x v="0"/>
    <x v="2"/>
    <n v="1245.218258132214"/>
    <n v="461.69254984260232"/>
    <n v="0"/>
    <d v="2022-12-01T00:00:00"/>
    <x v="0"/>
  </r>
  <r>
    <x v="434"/>
    <d v="2022-11-01T00:00:00"/>
    <x v="433"/>
    <d v="2022-10-27T00:00:00"/>
    <x v="0"/>
    <x v="0"/>
    <n v="8756"/>
    <x v="0"/>
    <x v="0"/>
    <n v="5407.52"/>
    <n v="5.2742000000000004"/>
    <n v="0"/>
    <n v="0"/>
    <x v="11"/>
    <s v="100% POLYESTER MICROFIBER FABRIC 82GSM WIDTH:242,270CM (42077/MTRS)"/>
    <n v="10378142"/>
    <x v="0"/>
    <n v="3847925"/>
    <x v="0"/>
    <n v="139576185"/>
    <d v="2024-10-25T00:00:00"/>
    <x v="0"/>
    <x v="0"/>
    <x v="0"/>
    <x v="0"/>
    <x v="0"/>
    <x v="0"/>
    <d v="2024-08-26T00:00:00"/>
    <x v="0"/>
    <x v="1"/>
    <x v="0"/>
    <x v="0"/>
    <x v="0"/>
    <x v="2"/>
    <n v="1185.2606212882595"/>
    <n v="439.46151210598447"/>
    <n v="0"/>
    <d v="2022-12-01T00:00:00"/>
    <x v="0"/>
  </r>
  <r>
    <x v="435"/>
    <d v="2022-11-01T00:00:00"/>
    <x v="434"/>
    <d v="2022-10-28T00:00:00"/>
    <x v="0"/>
    <x v="0"/>
    <n v="2000"/>
    <x v="0"/>
    <x v="0"/>
    <n v="3204.1590000000001"/>
    <n v="21.241499999999998"/>
    <n v="0"/>
    <n v="0"/>
    <x v="5"/>
    <s v="DYES (BEZATHREN)"/>
    <n v="9581790"/>
    <x v="0"/>
    <n v="3552659"/>
    <x v="0"/>
    <n v="139576192"/>
    <d v="2024-10-26T00:00:00"/>
    <x v="0"/>
    <x v="0"/>
    <x v="0"/>
    <x v="0"/>
    <x v="0"/>
    <x v="0"/>
    <d v="2024-08-27T00:00:00"/>
    <x v="0"/>
    <x v="1"/>
    <x v="0"/>
    <x v="0"/>
    <x v="0"/>
    <x v="4"/>
    <n v="4790.8950000000004"/>
    <n v="1776.3295000000001"/>
    <n v="0"/>
    <d v="2022-12-01T00:00:00"/>
    <x v="0"/>
  </r>
  <r>
    <x v="436"/>
    <d v="2022-11-01T00:00:00"/>
    <x v="435"/>
    <d v="2022-11-02T00:00:00"/>
    <x v="0"/>
    <x v="0"/>
    <n v="24480"/>
    <x v="0"/>
    <x v="0"/>
    <n v="5402.33"/>
    <n v="1.7"/>
    <n v="0"/>
    <n v="0"/>
    <x v="6"/>
    <s v="100% POLYESTER YARN (DTY 100D/48F HIM RW SD GRADE-AA)"/>
    <n v="9396857"/>
    <x v="0"/>
    <n v="3569744"/>
    <x v="0"/>
    <n v="139576193"/>
    <d v="2024-10-30T00:00:00"/>
    <x v="0"/>
    <x v="0"/>
    <x v="0"/>
    <x v="0"/>
    <x v="0"/>
    <x v="0"/>
    <d v="2024-08-31T00:00:00"/>
    <x v="0"/>
    <x v="1"/>
    <x v="0"/>
    <x v="0"/>
    <x v="0"/>
    <x v="3"/>
    <n v="383.85853758169935"/>
    <n v="145.82287581699347"/>
    <n v="0"/>
    <d v="2022-12-01T00:00:00"/>
    <x v="0"/>
  </r>
  <r>
    <x v="437"/>
    <d v="2022-11-01T00:00:00"/>
    <x v="436"/>
    <d v="2022-11-04T00:00:00"/>
    <x v="0"/>
    <x v="0"/>
    <n v="24480"/>
    <x v="0"/>
    <x v="0"/>
    <n v="5402.33"/>
    <n v="1.7"/>
    <n v="0"/>
    <n v="0"/>
    <x v="6"/>
    <s v="100% POLYESTER YARN (DTY 100D/48F HIM RW SD GRADE-AA)"/>
    <n v="9418083"/>
    <x v="0"/>
    <n v="3577807"/>
    <x v="0"/>
    <n v="139576201"/>
    <d v="2024-11-01T00:00:00"/>
    <x v="0"/>
    <x v="0"/>
    <x v="0"/>
    <x v="0"/>
    <x v="0"/>
    <x v="0"/>
    <d v="2024-09-02T00:00:00"/>
    <x v="0"/>
    <x v="1"/>
    <x v="0"/>
    <x v="0"/>
    <x v="0"/>
    <x v="3"/>
    <n v="384.72561274509803"/>
    <n v="146.15224673202616"/>
    <n v="0"/>
    <d v="2022-12-01T00:00:00"/>
    <x v="0"/>
  </r>
  <r>
    <x v="438"/>
    <d v="2022-11-01T00:00:00"/>
    <x v="437"/>
    <d v="2022-11-07T00:00:00"/>
    <x v="0"/>
    <x v="0"/>
    <n v="150"/>
    <x v="0"/>
    <x v="0"/>
    <n v="3204.16"/>
    <n v="196"/>
    <n v="0"/>
    <n v="0"/>
    <x v="5"/>
    <s v="DYES (INDENTHREN BLUE)"/>
    <n v="6669985"/>
    <x v="0"/>
    <n v="2473044"/>
    <x v="0"/>
    <n v="139576207"/>
    <d v="2024-11-04T00:00:00"/>
    <x v="0"/>
    <x v="0"/>
    <x v="0"/>
    <x v="0"/>
    <x v="0"/>
    <x v="0"/>
    <d v="2024-09-05T00:00:00"/>
    <x v="0"/>
    <x v="1"/>
    <x v="0"/>
    <x v="0"/>
    <x v="0"/>
    <x v="4"/>
    <n v="44466.566666666666"/>
    <n v="16486.96"/>
    <n v="0"/>
    <d v="2022-12-01T00:00:00"/>
    <x v="0"/>
  </r>
  <r>
    <x v="439"/>
    <d v="2022-11-01T00:00:00"/>
    <x v="438"/>
    <d v="2022-11-07T00:00:00"/>
    <x v="0"/>
    <x v="0"/>
    <n v="24480"/>
    <x v="0"/>
    <x v="0"/>
    <n v="5402.33"/>
    <n v="1.7"/>
    <n v="0"/>
    <n v="0"/>
    <x v="6"/>
    <s v="100% POLYESTER TEXTURED YARN (DTY 100D/48F HIM RW SD GRADE-AA)"/>
    <n v="9441432"/>
    <x v="0"/>
    <n v="3586678"/>
    <x v="0"/>
    <n v="139576212"/>
    <d v="2024-11-06T00:00:00"/>
    <x v="0"/>
    <x v="0"/>
    <x v="0"/>
    <x v="0"/>
    <x v="0"/>
    <x v="0"/>
    <d v="2024-09-07T00:00:00"/>
    <x v="0"/>
    <x v="1"/>
    <x v="0"/>
    <x v="0"/>
    <x v="0"/>
    <x v="3"/>
    <n v="385.67941176470589"/>
    <n v="146.51462418300653"/>
    <n v="0"/>
    <d v="2022-12-01T00:00:00"/>
    <x v="0"/>
  </r>
  <r>
    <x v="440"/>
    <d v="2022-11-01T00:00:00"/>
    <x v="439"/>
    <d v="2022-11-02T00:00:00"/>
    <x v="0"/>
    <x v="0"/>
    <n v="24480"/>
    <x v="0"/>
    <x v="0"/>
    <n v="5402.33"/>
    <n v="1.7"/>
    <n v="0"/>
    <n v="0"/>
    <x v="6"/>
    <s v="100% POLYESTER YARN (DTY 100D/48F HIM RW SD GRADE-AA)"/>
    <n v="9396857"/>
    <x v="0"/>
    <n v="3569744"/>
    <x v="0"/>
    <n v="139576194"/>
    <d v="2024-10-30T00:00:00"/>
    <x v="0"/>
    <x v="0"/>
    <x v="0"/>
    <x v="0"/>
    <x v="0"/>
    <x v="0"/>
    <d v="2024-08-31T00:00:00"/>
    <x v="0"/>
    <x v="1"/>
    <x v="0"/>
    <x v="0"/>
    <x v="0"/>
    <x v="3"/>
    <n v="383.85853758169935"/>
    <n v="145.82287581699347"/>
    <n v="0"/>
    <d v="2022-12-01T00:00:00"/>
    <x v="0"/>
  </r>
  <r>
    <x v="441"/>
    <d v="2022-11-01T00:00:00"/>
    <x v="440"/>
    <d v="2022-11-04T00:00:00"/>
    <x v="0"/>
    <x v="0"/>
    <n v="24480"/>
    <x v="0"/>
    <x v="0"/>
    <n v="5402.33"/>
    <n v="1.7"/>
    <n v="0"/>
    <n v="0"/>
    <x v="6"/>
    <s v="100% POLYESTER TEXTURED YARN (DTY 100D/48F HIM RW SD GRADE-AA)"/>
    <n v="9418083"/>
    <x v="0"/>
    <n v="3577807"/>
    <x v="0"/>
    <n v="139576202"/>
    <d v="2024-11-01T00:00:00"/>
    <x v="0"/>
    <x v="0"/>
    <x v="0"/>
    <x v="0"/>
    <x v="0"/>
    <x v="0"/>
    <d v="2024-09-02T00:00:00"/>
    <x v="0"/>
    <x v="1"/>
    <x v="0"/>
    <x v="0"/>
    <x v="0"/>
    <x v="3"/>
    <n v="384.72561274509803"/>
    <n v="146.15224673202616"/>
    <n v="0"/>
    <d v="2022-12-01T00:00:00"/>
    <x v="0"/>
  </r>
  <r>
    <x v="442"/>
    <d v="2022-11-01T00:00:00"/>
    <x v="441"/>
    <d v="2022-11-04T00:00:00"/>
    <x v="1"/>
    <x v="0"/>
    <n v="6795"/>
    <x v="0"/>
    <x v="0"/>
    <n v="5807.1019999999999"/>
    <n v="4.1100000000000003"/>
    <n v="0"/>
    <n v="0"/>
    <x v="9"/>
    <s v="RIBBONS"/>
    <n v="6320238"/>
    <x v="0"/>
    <n v="1969936"/>
    <x v="0"/>
    <n v="139576199"/>
    <d v="2024-10-30T00:00:00"/>
    <x v="0"/>
    <x v="0"/>
    <x v="0"/>
    <x v="0"/>
    <x v="0"/>
    <x v="0"/>
    <d v="2024-08-31T00:00:00"/>
    <x v="0"/>
    <x v="1"/>
    <x v="0"/>
    <x v="0"/>
    <x v="0"/>
    <x v="6"/>
    <n v="930.13068432671082"/>
    <n v="289.90963944076526"/>
    <n v="0"/>
    <d v="2022-11-06T00:00:00"/>
    <x v="0"/>
  </r>
  <r>
    <x v="443"/>
    <d v="2022-11-01T00:00:00"/>
    <x v="442"/>
    <d v="2022-11-10T00:00:00"/>
    <x v="0"/>
    <x v="0"/>
    <n v="209760"/>
    <x v="0"/>
    <x v="0"/>
    <n v="5503.201"/>
    <n v="1.05"/>
    <n v="0"/>
    <n v="0"/>
    <x v="1"/>
    <s v="Polyester Staple Fiber"/>
    <n v="49866613"/>
    <x v="0"/>
    <n v="13185680"/>
    <x v="0"/>
    <n v="139576213"/>
    <d v="2024-11-07T00:00:00"/>
    <x v="0"/>
    <x v="0"/>
    <x v="0"/>
    <x v="0"/>
    <x v="0"/>
    <x v="0"/>
    <d v="2024-09-08T00:00:00"/>
    <x v="0"/>
    <x v="1"/>
    <x v="0"/>
    <x v="0"/>
    <x v="0"/>
    <x v="1"/>
    <n v="237.73175533943555"/>
    <n v="62.860793287566743"/>
    <n v="0"/>
    <d v="2022-12-01T00:00:00"/>
    <x v="0"/>
  </r>
  <r>
    <x v="444"/>
    <d v="2022-11-01T00:00:00"/>
    <x v="443"/>
    <d v="2022-11-07T00:00:00"/>
    <x v="0"/>
    <x v="0"/>
    <n v="100239"/>
    <x v="0"/>
    <x v="0"/>
    <n v="5201.009"/>
    <n v="2.9872000000000001"/>
    <n v="0"/>
    <n v="0"/>
    <x v="0"/>
    <s v="Raw Cotton"/>
    <n v="67932650"/>
    <x v="0"/>
    <n v="12343363"/>
    <x v="0"/>
    <n v="139576209"/>
    <d v="2024-11-05T00:00:00"/>
    <x v="0"/>
    <x v="0"/>
    <x v="0"/>
    <x v="0"/>
    <x v="0"/>
    <x v="0"/>
    <d v="2024-09-06T00:00:00"/>
    <x v="0"/>
    <x v="1"/>
    <x v="0"/>
    <x v="0"/>
    <x v="0"/>
    <x v="0"/>
    <n v="677.70678079390257"/>
    <n v="123.13932700844981"/>
    <n v="0"/>
    <d v="2022-12-01T00:00:00"/>
    <x v="0"/>
  </r>
  <r>
    <x v="445"/>
    <d v="2022-11-01T00:00:00"/>
    <x v="444"/>
    <d v="2022-11-14T00:00:00"/>
    <x v="0"/>
    <x v="0"/>
    <n v="230.4"/>
    <x v="0"/>
    <x v="0"/>
    <n v="5402.33"/>
    <n v="32.834200000000003"/>
    <n v="0"/>
    <n v="0"/>
    <x v="15"/>
    <s v="POLYESTER ELASTOLEFIN YARN 40 DENIER"/>
    <n v="1712029"/>
    <x v="0"/>
    <n v="533617"/>
    <x v="0"/>
    <n v="139576222"/>
    <d v="2024-11-15T00:00:00"/>
    <x v="0"/>
    <x v="0"/>
    <x v="0"/>
    <x v="0"/>
    <x v="0"/>
    <x v="0"/>
    <d v="2024-09-16T00:00:00"/>
    <x v="0"/>
    <x v="1"/>
    <x v="0"/>
    <x v="0"/>
    <x v="0"/>
    <x v="3"/>
    <n v="7430.6814236111113"/>
    <n v="2316.0460069444443"/>
    <n v="0"/>
    <d v="2022-12-01T00:00:00"/>
    <x v="0"/>
  </r>
  <r>
    <x v="446"/>
    <d v="2022-11-01T00:00:00"/>
    <x v="445"/>
    <d v="2022-11-14T00:00:00"/>
    <x v="0"/>
    <x v="0"/>
    <n v="111307"/>
    <x v="0"/>
    <x v="0"/>
    <n v="5201.009"/>
    <n v="2.6675"/>
    <n v="0"/>
    <n v="0"/>
    <x v="0"/>
    <s v="Raw Cotton"/>
    <n v="67193782"/>
    <x v="0"/>
    <n v="12209110"/>
    <x v="0"/>
    <n v="139576215"/>
    <d v="2024-11-13T00:00:00"/>
    <x v="0"/>
    <x v="0"/>
    <x v="0"/>
    <x v="0"/>
    <x v="0"/>
    <x v="0"/>
    <d v="2024-09-14T00:00:00"/>
    <x v="0"/>
    <x v="1"/>
    <x v="0"/>
    <x v="0"/>
    <x v="0"/>
    <x v="0"/>
    <n v="603.67975059969274"/>
    <n v="109.68860898236409"/>
    <n v="0"/>
    <d v="2022-12-01T00:00:00"/>
    <x v="0"/>
  </r>
  <r>
    <x v="447"/>
    <d v="2022-11-01T00:00:00"/>
    <x v="446"/>
    <d v="2022-11-14T00:00:00"/>
    <x v="0"/>
    <x v="0"/>
    <n v="220013"/>
    <x v="0"/>
    <x v="0"/>
    <n v="5201.009"/>
    <n v="2.6675"/>
    <n v="0"/>
    <n v="0"/>
    <x v="0"/>
    <s v="Raw Cotton"/>
    <n v="132817393"/>
    <x v="0"/>
    <n v="24132921"/>
    <x v="0"/>
    <n v="139576223"/>
    <d v="2024-11-13T00:00:00"/>
    <x v="0"/>
    <x v="0"/>
    <x v="0"/>
    <x v="0"/>
    <x v="0"/>
    <x v="0"/>
    <d v="2024-09-14T00:00:00"/>
    <x v="0"/>
    <x v="1"/>
    <x v="0"/>
    <x v="0"/>
    <x v="0"/>
    <x v="0"/>
    <n v="603.6797507420016"/>
    <n v="109.68861385463586"/>
    <n v="0"/>
    <d v="2022-12-01T00:00:00"/>
    <x v="0"/>
  </r>
  <r>
    <x v="448"/>
    <d v="2022-11-01T00:00:00"/>
    <x v="447"/>
    <d v="2022-11-22T00:00:00"/>
    <x v="0"/>
    <x v="0"/>
    <n v="400"/>
    <x v="0"/>
    <x v="0"/>
    <n v="3809.9189999999999"/>
    <n v="15.5"/>
    <n v="0"/>
    <n v="0"/>
    <x v="12"/>
    <s v="CHEMICAL (HEIQ ADAPTIVE AC -06)"/>
    <n v="1414185"/>
    <x v="0"/>
    <n v="524340"/>
    <x v="0"/>
    <n v="139576156"/>
    <d v="2024-11-21T00:00:00"/>
    <x v="0"/>
    <x v="0"/>
    <x v="0"/>
    <x v="0"/>
    <x v="0"/>
    <x v="0"/>
    <d v="2024-09-22T00:00:00"/>
    <x v="0"/>
    <x v="1"/>
    <x v="0"/>
    <x v="0"/>
    <x v="0"/>
    <x v="5"/>
    <n v="3535.4625000000001"/>
    <n v="1310.85"/>
    <n v="0"/>
    <d v="2022-12-01T00:00:00"/>
    <x v="0"/>
  </r>
  <r>
    <x v="449"/>
    <d v="2022-11-01T00:00:00"/>
    <x v="448"/>
    <d v="2022-11-21T00:00:00"/>
    <x v="0"/>
    <x v="0"/>
    <n v="304025"/>
    <x v="0"/>
    <x v="0"/>
    <n v="5201.009"/>
    <n v="2.4249999999999998"/>
    <n v="0"/>
    <n v="0"/>
    <x v="0"/>
    <s v="Raw Cotton"/>
    <n v="167788951"/>
    <x v="0"/>
    <n v="30487253"/>
    <x v="0"/>
    <n v="139576145"/>
    <d v="2024-11-19T00:00:00"/>
    <x v="0"/>
    <x v="0"/>
    <x v="0"/>
    <x v="0"/>
    <x v="0"/>
    <x v="0"/>
    <d v="2024-09-20T00:00:00"/>
    <x v="0"/>
    <x v="1"/>
    <x v="0"/>
    <x v="0"/>
    <x v="0"/>
    <x v="0"/>
    <n v="551.89195296439436"/>
    <n v="100.27876983800674"/>
    <n v="0"/>
    <d v="2022-12-01T00:00:00"/>
    <x v="0"/>
  </r>
  <r>
    <x v="450"/>
    <d v="2022-12-01T00:00:00"/>
    <x v="449"/>
    <d v="2022-11-23T00:00:00"/>
    <x v="0"/>
    <x v="0"/>
    <n v="155339"/>
    <x v="0"/>
    <x v="0"/>
    <n v="5201.009"/>
    <n v="2.7557"/>
    <n v="0"/>
    <n v="0"/>
    <x v="0"/>
    <s v="Raw Cotton"/>
    <n v="97858160"/>
    <x v="0"/>
    <n v="17780827"/>
    <x v="0"/>
    <n v="139576229"/>
    <d v="2024-11-22T00:00:00"/>
    <x v="0"/>
    <x v="0"/>
    <x v="0"/>
    <x v="0"/>
    <x v="0"/>
    <x v="0"/>
    <d v="2024-09-23T00:00:00"/>
    <x v="0"/>
    <x v="1"/>
    <x v="0"/>
    <x v="0"/>
    <x v="0"/>
    <x v="0"/>
    <n v="629.96517294433465"/>
    <n v="114.46466759796317"/>
    <n v="0"/>
    <d v="2022-12-31T00:00:00"/>
    <x v="0"/>
  </r>
  <r>
    <x v="451"/>
    <d v="2022-12-01T00:00:00"/>
    <x v="450"/>
    <d v="2022-11-26T00:00:00"/>
    <x v="0"/>
    <x v="0"/>
    <n v="209760"/>
    <x v="0"/>
    <x v="0"/>
    <n v="5503.201"/>
    <n v="1.05"/>
    <n v="0"/>
    <n v="0"/>
    <x v="1"/>
    <s v="Polyester Staple Fiber"/>
    <n v="50417067"/>
    <x v="0"/>
    <n v="13331231"/>
    <x v="0"/>
    <n v="139576155"/>
    <d v="2024-11-26T00:00:00"/>
    <x v="0"/>
    <x v="0"/>
    <x v="0"/>
    <x v="0"/>
    <x v="0"/>
    <x v="0"/>
    <d v="2024-09-27T00:00:00"/>
    <x v="0"/>
    <x v="1"/>
    <x v="0"/>
    <x v="0"/>
    <x v="0"/>
    <x v="1"/>
    <n v="240.35596395881007"/>
    <n v="63.554686308161706"/>
    <n v="0"/>
    <d v="2022-12-31T00:00:00"/>
    <x v="0"/>
  </r>
  <r>
    <x v="452"/>
    <d v="2022-12-01T00:00:00"/>
    <x v="451"/>
    <d v="2022-11-26T00:00:00"/>
    <x v="0"/>
    <x v="0"/>
    <n v="3262"/>
    <x v="0"/>
    <x v="0"/>
    <n v="5210.49"/>
    <n v="7.3673000000000002"/>
    <n v="0"/>
    <n v="0"/>
    <x v="2"/>
    <s v="70% POLYESTER 27% COTTON 3% ELASTAN BLENDED FABRIC WIDTH 150CM WEIGHT 190GSM (10510/MTRS)"/>
    <n v="5501206"/>
    <x v="0"/>
    <n v="1714655"/>
    <x v="0"/>
    <n v="139576171"/>
    <d v="2024-11-25T00:00:00"/>
    <x v="0"/>
    <x v="0"/>
    <x v="0"/>
    <x v="0"/>
    <x v="0"/>
    <x v="0"/>
    <d v="2024-09-26T00:00:00"/>
    <x v="0"/>
    <x v="1"/>
    <x v="0"/>
    <x v="0"/>
    <x v="0"/>
    <x v="2"/>
    <n v="1686.4518700183937"/>
    <n v="525.64530962599633"/>
    <n v="0"/>
    <d v="2022-12-31T00:00:00"/>
    <x v="0"/>
  </r>
  <r>
    <x v="453"/>
    <d v="2022-12-01T00:00:00"/>
    <x v="452"/>
    <d v="2022-12-08T00:00:00"/>
    <x v="0"/>
    <x v="0"/>
    <n v="7631.3"/>
    <x v="0"/>
    <x v="0"/>
    <n v="5208.1899999999996"/>
    <s v="15.3727 / 15.3608"/>
    <n v="0"/>
    <n v="0"/>
    <x v="14"/>
    <s v="100% COTTON LINEN FABRIC GEIGE"/>
    <n v="26866645"/>
    <x v="0"/>
    <n v="26866645"/>
    <x v="0"/>
    <n v="139576177"/>
    <d v="2024-12-07T00:00:00"/>
    <x v="0"/>
    <x v="0"/>
    <x v="0"/>
    <x v="0"/>
    <x v="0"/>
    <x v="0"/>
    <d v="2024-10-08T00:00:00"/>
    <x v="0"/>
    <x v="1"/>
    <x v="0"/>
    <x v="0"/>
    <x v="0"/>
    <x v="2"/>
    <n v="3520.5856145086682"/>
    <n v="3520.5856145086682"/>
    <n v="0"/>
    <d v="2022-12-31T00:00:00"/>
    <x v="0"/>
  </r>
  <r>
    <x v="454"/>
    <d v="2022-12-01T00:00:00"/>
    <x v="453"/>
    <d v="2022-11-28T00:00:00"/>
    <x v="0"/>
    <x v="0"/>
    <n v="6106"/>
    <x v="0"/>
    <x v="0"/>
    <n v="5407.52"/>
    <n v="5.4169999999999998"/>
    <n v="0"/>
    <n v="0"/>
    <x v="11"/>
    <s v="100% POLYESTER MICROFIBER FABRIC, 82GSM WIDTH:95&quot;,106&quot; , (29348/MTRS) "/>
    <n v="7571488"/>
    <x v="0"/>
    <n v="2807295"/>
    <x v="0"/>
    <n v="139576170"/>
    <d v="2024-11-24T00:00:00"/>
    <x v="0"/>
    <x v="0"/>
    <x v="0"/>
    <x v="0"/>
    <x v="0"/>
    <x v="0"/>
    <d v="2024-09-25T00:00:00"/>
    <x v="0"/>
    <x v="1"/>
    <x v="0"/>
    <x v="0"/>
    <x v="0"/>
    <x v="2"/>
    <n v="1240.0078611202096"/>
    <n v="459.76007206026861"/>
    <n v="0"/>
    <d v="2022-12-31T00:00:00"/>
    <x v="0"/>
  </r>
  <r>
    <x v="455"/>
    <d v="2022-12-01T00:00:00"/>
    <x v="454"/>
    <d v="2022-11-28T00:00:00"/>
    <x v="0"/>
    <x v="0"/>
    <n v="183540"/>
    <x v="0"/>
    <x v="0"/>
    <n v="5503.201"/>
    <n v="1.05"/>
    <n v="0"/>
    <n v="0"/>
    <x v="1"/>
    <s v="Polyester Staple Fiber"/>
    <n v="44114933"/>
    <x v="0"/>
    <n v="11664826"/>
    <x v="0"/>
    <n v="139576228"/>
    <d v="2024-11-27T00:00:00"/>
    <x v="0"/>
    <x v="0"/>
    <x v="0"/>
    <x v="0"/>
    <x v="0"/>
    <x v="0"/>
    <d v="2024-09-28T00:00:00"/>
    <x v="0"/>
    <x v="1"/>
    <x v="0"/>
    <x v="0"/>
    <x v="0"/>
    <x v="1"/>
    <n v="240.35596055355782"/>
    <n v="63.554680178707642"/>
    <n v="0"/>
    <d v="2022-12-31T00:00:00"/>
    <x v="0"/>
  </r>
  <r>
    <x v="456"/>
    <d v="2022-12-01T00:00:00"/>
    <x v="455"/>
    <d v="2022-11-30T00:00:00"/>
    <x v="0"/>
    <x v="0"/>
    <n v="300"/>
    <x v="0"/>
    <x v="0"/>
    <n v="3204.16"/>
    <n v="46"/>
    <n v="0"/>
    <n v="0"/>
    <x v="5"/>
    <s v="Dyes (BEZATHREN BLUE)"/>
    <n v="3158964"/>
    <x v="0"/>
    <n v="1171255"/>
    <x v="0"/>
    <n v="139576162"/>
    <d v="2024-11-26T00:00:00"/>
    <x v="0"/>
    <x v="0"/>
    <x v="0"/>
    <x v="0"/>
    <x v="0"/>
    <x v="0"/>
    <d v="2024-09-27T00:00:00"/>
    <x v="0"/>
    <x v="1"/>
    <x v="0"/>
    <x v="0"/>
    <x v="0"/>
    <x v="4"/>
    <n v="10529.88"/>
    <n v="3904.1833333333334"/>
    <n v="0"/>
    <d v="2022-12-31T00:00:00"/>
    <x v="0"/>
  </r>
  <r>
    <x v="457"/>
    <d v="2022-12-01T00:00:00"/>
    <x v="456"/>
    <d v="2022-12-12T00:00:00"/>
    <x v="0"/>
    <x v="0"/>
    <n v="4093.13"/>
    <x v="0"/>
    <x v="0"/>
    <n v="5509.99"/>
    <n v="1.95"/>
    <n v="0"/>
    <n v="0"/>
    <x v="3"/>
    <s v="WOVEN 50% POST CONS POLY-25% POST CONS REC COTTON -25%PRE CONS REC COTTON BLENDED YARN RAW WHITE 30/1"/>
    <n v="1830736"/>
    <x v="0"/>
    <n v="570617"/>
    <x v="0"/>
    <n v="139576238"/>
    <d v="2024-12-11T00:00:00"/>
    <x v="0"/>
    <x v="0"/>
    <x v="0"/>
    <x v="0"/>
    <x v="0"/>
    <x v="0"/>
    <d v="2024-10-12T00:00:00"/>
    <x v="0"/>
    <x v="1"/>
    <x v="0"/>
    <x v="0"/>
    <x v="0"/>
    <x v="3"/>
    <n v="447.27042629967775"/>
    <n v="139.40847224495678"/>
    <n v="0"/>
    <d v="2022-12-31T00:00:00"/>
    <x v="0"/>
  </r>
  <r>
    <x v="458"/>
    <d v="2022-12-01T00:00:00"/>
    <x v="457"/>
    <d v="2022-12-15T00:00:00"/>
    <x v="0"/>
    <x v="0"/>
    <n v="44000"/>
    <x v="0"/>
    <x v="0"/>
    <n v="2832.1089999999999"/>
    <n v="2.8"/>
    <n v="0"/>
    <n v="0"/>
    <x v="12"/>
    <s v="HYDROBLUE 90"/>
    <n v="28302307"/>
    <x v="0"/>
    <n v="5142529"/>
    <x v="0"/>
    <n v="139576240"/>
    <d v="2024-12-14T00:00:00"/>
    <x v="0"/>
    <x v="0"/>
    <x v="0"/>
    <x v="0"/>
    <x v="0"/>
    <x v="0"/>
    <d v="2024-10-15T00:00:00"/>
    <x v="0"/>
    <x v="1"/>
    <x v="0"/>
    <x v="0"/>
    <x v="0"/>
    <x v="5"/>
    <n v="643.23424999999997"/>
    <n v="116.8756590909091"/>
    <n v="0"/>
    <d v="2022-12-31T00:00:00"/>
    <x v="0"/>
  </r>
  <r>
    <x v="459"/>
    <d v="2022-12-01T00:00:00"/>
    <x v="458"/>
    <d v="2022-12-12T00:00:00"/>
    <x v="0"/>
    <x v="0"/>
    <n v="296153"/>
    <x v="0"/>
    <x v="0"/>
    <n v="5201.009"/>
    <n v="2.4140000000000001"/>
    <n v="0"/>
    <n v="0"/>
    <x v="0"/>
    <s v="Raw Cotton"/>
    <n v="163979305"/>
    <x v="0"/>
    <n v="29795040"/>
    <x v="0"/>
    <n v="139576237"/>
    <d v="2024-12-12T00:00:00"/>
    <x v="0"/>
    <x v="0"/>
    <x v="0"/>
    <x v="0"/>
    <x v="0"/>
    <x v="0"/>
    <d v="2024-10-13T00:00:00"/>
    <x v="0"/>
    <x v="1"/>
    <x v="0"/>
    <x v="0"/>
    <x v="0"/>
    <x v="0"/>
    <n v="553.6979365395589"/>
    <n v="100.60691601976005"/>
    <n v="0"/>
    <d v="2022-12-31T00:00:00"/>
    <x v="0"/>
  </r>
  <r>
    <x v="460"/>
    <d v="2022-12-01T00:00:00"/>
    <x v="459"/>
    <d v="2022-12-12T00:00:00"/>
    <x v="0"/>
    <x v="0"/>
    <n v="1715.3"/>
    <x v="0"/>
    <x v="0"/>
    <n v="5210.49"/>
    <n v="27.0672"/>
    <n v="0"/>
    <n v="0"/>
    <x v="2"/>
    <s v="EFFEN WEEFSEL 58% BIO KAT / 39%REC.PES / 3%STR BLENDED FABRIC (135X75-45X45+40D 142-145CM)(10257.60/MTRS)"/>
    <n v="11291474"/>
    <x v="0"/>
    <n v="3519405"/>
    <x v="0"/>
    <n v="139576239"/>
    <d v="2024-12-11T00:00:00"/>
    <x v="0"/>
    <x v="0"/>
    <x v="0"/>
    <x v="0"/>
    <x v="0"/>
    <x v="0"/>
    <d v="2024-10-12T00:00:00"/>
    <x v="0"/>
    <x v="1"/>
    <x v="0"/>
    <x v="0"/>
    <x v="0"/>
    <x v="2"/>
    <n v="6582.7983443129488"/>
    <n v="2051.772284731534"/>
    <n v="0"/>
    <d v="2022-12-31T00:00:00"/>
    <x v="0"/>
  </r>
  <r>
    <x v="461"/>
    <d v="2022-12-01T00:00:00"/>
    <x v="460"/>
    <d v="2022-12-19T00:00:00"/>
    <x v="0"/>
    <x v="0"/>
    <n v="102000"/>
    <x v="0"/>
    <x v="0"/>
    <n v="2847"/>
    <n v="0.54500000000000004"/>
    <n v="0"/>
    <n v="0"/>
    <x v="12"/>
    <s v="HYDROGEN PEROXIDE 50% TECHNICAL GRADE"/>
    <n v="12770497"/>
    <x v="0"/>
    <n v="6036448"/>
    <x v="0"/>
    <n v="139576246"/>
    <d v="2024-12-18T00:00:00"/>
    <x v="0"/>
    <x v="0"/>
    <x v="0"/>
    <x v="0"/>
    <x v="0"/>
    <x v="0"/>
    <d v="2024-10-19T00:00:00"/>
    <x v="0"/>
    <x v="1"/>
    <x v="0"/>
    <x v="0"/>
    <x v="0"/>
    <x v="5"/>
    <n v="125.20095098039215"/>
    <n v="59.18086274509804"/>
    <n v="0"/>
    <d v="2022-12-31T00:00:00"/>
    <x v="0"/>
  </r>
  <r>
    <x v="462"/>
    <d v="2022-12-01T00:00:00"/>
    <x v="461"/>
    <d v="2022-12-21T00:00:00"/>
    <x v="0"/>
    <x v="0"/>
    <n v="2475"/>
    <x v="0"/>
    <x v="0"/>
    <n v="5407.52"/>
    <n v="8.5534999999999997"/>
    <n v="0"/>
    <n v="0"/>
    <x v="11"/>
    <s v="100% POLYSTER VISCOSE SPANDEX FABRIC 78%PES+17%VISCOSE+5%SPANDEX NAVY (WIDTH 148CM ) (8500/MTRS )"/>
    <n v="4868689"/>
    <x v="0"/>
    <n v="1805173"/>
    <x v="0"/>
    <n v="139576245"/>
    <d v="2024-12-16T00:00:00"/>
    <x v="0"/>
    <x v="0"/>
    <x v="0"/>
    <x v="0"/>
    <x v="0"/>
    <x v="0"/>
    <d v="2024-10-17T00:00:00"/>
    <x v="0"/>
    <x v="1"/>
    <x v="0"/>
    <x v="0"/>
    <x v="0"/>
    <x v="2"/>
    <n v="1967.1470707070707"/>
    <n v="729.36282828282833"/>
    <n v="0"/>
    <d v="2022-12-31T00:00:00"/>
    <x v="0"/>
  </r>
  <r>
    <x v="463"/>
    <d v="2023-01-01T00:00:00"/>
    <x v="462"/>
    <d v="2023-01-03T00:00:00"/>
    <x v="0"/>
    <x v="0"/>
    <n v="24168"/>
    <x v="0"/>
    <x v="0"/>
    <n v="3404.9090000000001"/>
    <s v="2.80 / 4.3529"/>
    <n v="0"/>
    <n v="0"/>
    <x v="12"/>
    <s v="CHEMICAL ( J-SC WAX / J-CANDLES )"/>
    <n v="16884802"/>
    <x v="0"/>
    <n v="5262773"/>
    <x v="0"/>
    <n v="139576266"/>
    <d v="2025-01-02T00:00:00"/>
    <x v="0"/>
    <x v="0"/>
    <x v="0"/>
    <x v="0"/>
    <x v="0"/>
    <x v="0"/>
    <d v="2024-11-03T00:00:00"/>
    <x v="0"/>
    <x v="1"/>
    <x v="0"/>
    <x v="0"/>
    <x v="0"/>
    <x v="5"/>
    <n v="698.64291625289638"/>
    <n v="217.7579030122476"/>
    <n v="0"/>
    <d v="2023-01-31T00:00:00"/>
    <x v="0"/>
  </r>
  <r>
    <x v="464"/>
    <d v="2023-01-01T00:00:00"/>
    <x v="463"/>
    <d v="2023-01-11T00:00:00"/>
    <x v="0"/>
    <x v="0"/>
    <n v="24480"/>
    <x v="0"/>
    <x v="0"/>
    <n v="5402.33"/>
    <n v="1.63"/>
    <n v="0"/>
    <n v="0"/>
    <x v="6"/>
    <s v="100% POLYESTER YARN (DTY 100D/48F HIM RW SD GRADE-AA)"/>
    <n v="9274506"/>
    <x v="0"/>
    <n v="3523264"/>
    <x v="0"/>
    <n v="139576275"/>
    <d v="2025-01-10T00:00:00"/>
    <x v="0"/>
    <x v="0"/>
    <x v="0"/>
    <x v="0"/>
    <x v="0"/>
    <x v="0"/>
    <d v="2024-11-11T00:00:00"/>
    <x v="0"/>
    <x v="1"/>
    <x v="0"/>
    <x v="0"/>
    <x v="0"/>
    <x v="3"/>
    <n v="378.86053921568629"/>
    <n v="143.92418300653594"/>
    <n v="0"/>
    <d v="2023-01-31T00:00:00"/>
    <x v="0"/>
  </r>
  <r>
    <x v="465"/>
    <d v="2023-01-01T00:00:00"/>
    <x v="464"/>
    <d v="2022-12-06T00:00:00"/>
    <x v="0"/>
    <x v="0"/>
    <n v="5500000"/>
    <x v="0"/>
    <x v="0"/>
    <n v="2701.12"/>
    <s v="0.1947 / 0.1958"/>
    <n v="0"/>
    <n v="0"/>
    <x v="8"/>
    <s v="BITUMINOUS COAL"/>
    <n v="242718877"/>
    <x v="0"/>
    <n v="52706646"/>
    <x v="0"/>
    <n v="139576178"/>
    <d v="2024-12-06T00:00:00"/>
    <x v="0"/>
    <x v="0"/>
    <x v="0"/>
    <x v="0"/>
    <x v="0"/>
    <x v="0"/>
    <d v="2024-10-07T00:00:00"/>
    <x v="0"/>
    <x v="1"/>
    <x v="0"/>
    <x v="0"/>
    <x v="0"/>
    <x v="5"/>
    <n v="44.130704909090909"/>
    <n v="9.5830265454545458"/>
    <n v="0"/>
    <d v="2023-01-31T00:00:00"/>
    <x v="0"/>
  </r>
  <r>
    <x v="466"/>
    <d v="2023-01-01T00:00:00"/>
    <x v="465"/>
    <d v="2023-01-09T00:00:00"/>
    <x v="0"/>
    <x v="0"/>
    <n v="300370"/>
    <x v="0"/>
    <x v="0"/>
    <n v="5201.009"/>
    <n v="2.3037999999999998"/>
    <n v="0"/>
    <n v="0"/>
    <x v="0"/>
    <s v="Raw Cotton"/>
    <n v="160627876"/>
    <x v="0"/>
    <n v="29186085"/>
    <x v="0"/>
    <n v="139576272"/>
    <d v="2025-01-09T00:00:00"/>
    <x v="0"/>
    <x v="0"/>
    <x v="0"/>
    <x v="0"/>
    <x v="0"/>
    <x v="0"/>
    <d v="2024-11-10T00:00:00"/>
    <x v="0"/>
    <x v="1"/>
    <x v="0"/>
    <x v="0"/>
    <x v="0"/>
    <x v="0"/>
    <n v="534.76670772713658"/>
    <n v="97.167110563638175"/>
    <n v="0"/>
    <d v="2023-01-31T00:00:00"/>
    <x v="0"/>
  </r>
  <r>
    <x v="467"/>
    <d v="2023-01-01T00:00:00"/>
    <x v="466"/>
    <d v="2023-01-16T00:00:00"/>
    <x v="0"/>
    <x v="0"/>
    <n v="1977.5"/>
    <x v="0"/>
    <x v="0"/>
    <n v="5208.1899999999996"/>
    <n v="20.061"/>
    <n v="0"/>
    <n v="0"/>
    <x v="14"/>
    <s v="100%LINEN FABRIC 14*14/42*42 65&quot; QTY 8596.1/MTRS"/>
    <n v="9250986"/>
    <x v="0"/>
    <n v="2883412"/>
    <x v="0"/>
    <n v="152716536"/>
    <d v="2025-01-14T00:00:00"/>
    <x v="0"/>
    <x v="0"/>
    <x v="0"/>
    <x v="0"/>
    <x v="0"/>
    <x v="0"/>
    <d v="2024-11-15T00:00:00"/>
    <x v="0"/>
    <x v="1"/>
    <x v="0"/>
    <x v="0"/>
    <x v="0"/>
    <x v="2"/>
    <n v="4678.1218710493049"/>
    <n v="1458.1097345132744"/>
    <n v="0"/>
    <d v="2023-01-31T00:00:00"/>
    <x v="0"/>
  </r>
  <r>
    <x v="468"/>
    <d v="2023-01-01T00:00:00"/>
    <x v="467"/>
    <d v="2023-01-20T00:00:00"/>
    <x v="0"/>
    <x v="0"/>
    <n v="5127"/>
    <x v="0"/>
    <x v="0"/>
    <n v="5407.52"/>
    <n v="5.4242999999999997"/>
    <n v="0"/>
    <n v="0"/>
    <x v="11"/>
    <s v="100% POLYESTER MICROFIBER FABRIC 82GSM WIDTH :242,269CM (24651/MTRS)"/>
    <n v="6506516"/>
    <x v="0"/>
    <n v="2412434"/>
    <x v="0"/>
    <n v="152716551"/>
    <d v="2025-01-17T00:00:00"/>
    <x v="0"/>
    <x v="0"/>
    <x v="0"/>
    <x v="0"/>
    <x v="0"/>
    <x v="0"/>
    <d v="2024-11-18T00:00:00"/>
    <x v="0"/>
    <x v="1"/>
    <x v="0"/>
    <x v="0"/>
    <x v="0"/>
    <x v="2"/>
    <n v="1269.0688511800272"/>
    <n v="470.53520577335672"/>
    <n v="0"/>
    <d v="2023-01-31T00:00:00"/>
    <x v="0"/>
  </r>
  <r>
    <x v="469"/>
    <d v="2023-01-01T00:00:00"/>
    <x v="468"/>
    <d v="2023-01-16T00:00:00"/>
    <x v="0"/>
    <x v="0"/>
    <n v="700"/>
    <x v="0"/>
    <x v="0"/>
    <n v="3204.16"/>
    <n v="46.15"/>
    <n v="0"/>
    <n v="0"/>
    <x v="5"/>
    <s v="DYES (BEZATHREN)"/>
    <n v="7533360"/>
    <x v="0"/>
    <n v="2793160"/>
    <x v="0"/>
    <n v="152716537"/>
    <d v="2015-01-13T00:00:00"/>
    <x v="0"/>
    <x v="0"/>
    <x v="0"/>
    <x v="0"/>
    <x v="0"/>
    <x v="0"/>
    <d v="2014-11-14T00:00:00"/>
    <x v="0"/>
    <x v="1"/>
    <x v="0"/>
    <x v="0"/>
    <x v="0"/>
    <x v="4"/>
    <n v="10761.942857142858"/>
    <n v="3990.2285714285713"/>
    <n v="0"/>
    <d v="2023-01-31T00:00:00"/>
    <x v="0"/>
  </r>
  <r>
    <x v="470"/>
    <d v="2023-01-01T00:00:00"/>
    <x v="469"/>
    <d v="2023-01-20T00:00:00"/>
    <x v="0"/>
    <x v="0"/>
    <n v="924.8"/>
    <x v="0"/>
    <x v="0"/>
    <n v="5208.1899999999996"/>
    <n v="20.1951"/>
    <n v="0"/>
    <n v="0"/>
    <x v="14"/>
    <s v="100%LINEN FABRIC 14*14/42*42 65&quot; QTY 3975.7/MTRS"/>
    <n v="4369536"/>
    <x v="0"/>
    <n v="1361927"/>
    <x v="0"/>
    <n v="152716554"/>
    <d v="2025-01-19T00:00:00"/>
    <x v="0"/>
    <x v="0"/>
    <x v="0"/>
    <x v="0"/>
    <x v="0"/>
    <x v="0"/>
    <d v="2024-11-20T00:00:00"/>
    <x v="0"/>
    <x v="1"/>
    <x v="0"/>
    <x v="0"/>
    <x v="0"/>
    <x v="2"/>
    <n v="4724.8442906574401"/>
    <n v="1472.6719290657441"/>
    <n v="0"/>
    <d v="2023-01-31T00:00:00"/>
    <x v="0"/>
  </r>
  <r>
    <x v="471"/>
    <d v="2023-01-01T00:00:00"/>
    <x v="470"/>
    <d v="2023-01-02T00:00:00"/>
    <x v="0"/>
    <x v="0"/>
    <n v="24480"/>
    <x v="0"/>
    <x v="0"/>
    <n v="5402.33"/>
    <n v="1.63"/>
    <n v="0"/>
    <n v="0"/>
    <x v="6"/>
    <s v="100% POLYESTER YARN (DTY 100D/48F HIM RW SD GRADE-AA)"/>
    <n v="9345739"/>
    <x v="0"/>
    <n v="3550324"/>
    <x v="0"/>
    <n v="152716553"/>
    <d v="2025-01-19T00:00:00"/>
    <x v="0"/>
    <x v="0"/>
    <x v="0"/>
    <x v="0"/>
    <x v="0"/>
    <x v="0"/>
    <d v="2024-11-20T00:00:00"/>
    <x v="0"/>
    <x v="1"/>
    <x v="0"/>
    <x v="0"/>
    <x v="0"/>
    <x v="3"/>
    <n v="381.7703839869281"/>
    <n v="145.0295751633987"/>
    <n v="0"/>
    <d v="2023-01-31T00:00:00"/>
    <x v="0"/>
  </r>
  <r>
    <x v="472"/>
    <d v="2023-01-01T00:00:00"/>
    <x v="471"/>
    <d v="2023-01-19T00:00:00"/>
    <x v="0"/>
    <x v="0"/>
    <n v="38080"/>
    <x v="0"/>
    <x v="0"/>
    <n v="2915.11"/>
    <n v="0.75"/>
    <n v="0"/>
    <n v="0"/>
    <x v="12"/>
    <s v="FORMIC ACID 85%"/>
    <n v="6674612"/>
    <x v="0"/>
    <n v="2474760"/>
    <x v="0"/>
    <n v="152716549"/>
    <d v="2025-01-18T00:00:00"/>
    <x v="0"/>
    <x v="0"/>
    <x v="0"/>
    <x v="0"/>
    <x v="0"/>
    <x v="0"/>
    <d v="2024-11-19T00:00:00"/>
    <x v="0"/>
    <x v="1"/>
    <x v="0"/>
    <x v="0"/>
    <x v="0"/>
    <x v="5"/>
    <n v="175.27867647058824"/>
    <n v="64.988445378151255"/>
    <n v="0"/>
    <d v="2023-01-31T00:00:00"/>
    <x v="0"/>
  </r>
  <r>
    <x v="473"/>
    <d v="2023-01-01T00:00:00"/>
    <x v="472"/>
    <d v="2023-01-24T00:00:00"/>
    <x v="0"/>
    <x v="0"/>
    <n v="202291"/>
    <x v="0"/>
    <x v="0"/>
    <n v="5201.009"/>
    <n v="2.4542999999999999"/>
    <n v="0"/>
    <n v="0"/>
    <x v="0"/>
    <s v="Raw Cotton"/>
    <n v="116536930"/>
    <x v="0"/>
    <n v="21174760"/>
    <x v="0"/>
    <n v="152716563"/>
    <d v="2025-01-21T00:00:00"/>
    <x v="0"/>
    <x v="0"/>
    <x v="0"/>
    <x v="0"/>
    <x v="0"/>
    <x v="0"/>
    <d v="2024-11-22T00:00:00"/>
    <x v="0"/>
    <x v="1"/>
    <x v="0"/>
    <x v="0"/>
    <x v="0"/>
    <x v="0"/>
    <n v="576.08558957145897"/>
    <n v="104.67475073038345"/>
    <n v="0"/>
    <d v="2023-01-31T00:00:00"/>
    <x v="0"/>
  </r>
  <r>
    <x v="474"/>
    <d v="2023-02-01T00:00:00"/>
    <x v="473"/>
    <d v="2023-01-26T00:00:00"/>
    <x v="0"/>
    <x v="0"/>
    <n v="74540"/>
    <x v="0"/>
    <x v="0"/>
    <n v="5201.009"/>
    <n v="1.9824999999999999"/>
    <n v="0"/>
    <n v="0"/>
    <x v="0"/>
    <s v="Raw Cotton"/>
    <n v="34807214"/>
    <x v="0"/>
    <n v="6324470"/>
    <x v="0"/>
    <n v="152716565"/>
    <d v="2025-01-25T00:00:00"/>
    <x v="0"/>
    <x v="0"/>
    <x v="0"/>
    <x v="0"/>
    <x v="0"/>
    <x v="0"/>
    <d v="2024-11-26T00:00:00"/>
    <x v="0"/>
    <x v="1"/>
    <x v="0"/>
    <x v="0"/>
    <x v="0"/>
    <x v="0"/>
    <n v="466.9602092836061"/>
    <n v="84.846659511671589"/>
    <n v="0"/>
    <d v="2023-03-03T00:00:00"/>
    <x v="0"/>
  </r>
  <r>
    <x v="475"/>
    <d v="2023-02-01T00:00:00"/>
    <x v="474"/>
    <d v="2023-01-26T00:00:00"/>
    <x v="0"/>
    <x v="0"/>
    <n v="176247"/>
    <x v="0"/>
    <x v="0"/>
    <n v="5201.009"/>
    <n v="2.4249999999999998"/>
    <n v="0"/>
    <n v="0"/>
    <x v="0"/>
    <s v="Raw Cotton"/>
    <n v="100670020"/>
    <x v="0"/>
    <n v="18291742"/>
    <x v="0"/>
    <n v="152716566"/>
    <d v="2025-01-25T00:00:00"/>
    <x v="0"/>
    <x v="0"/>
    <x v="0"/>
    <x v="0"/>
    <x v="0"/>
    <x v="0"/>
    <d v="2024-11-26T00:00:00"/>
    <x v="0"/>
    <x v="1"/>
    <x v="0"/>
    <x v="0"/>
    <x v="0"/>
    <x v="0"/>
    <n v="571.1871407740274"/>
    <n v="103.78469988141642"/>
    <n v="0"/>
    <d v="2023-03-03T00:00:00"/>
    <x v="0"/>
  </r>
  <r>
    <x v="476"/>
    <d v="2023-02-01T00:00:00"/>
    <x v="475"/>
    <d v="2023-01-30T00:00:00"/>
    <x v="0"/>
    <x v="0"/>
    <n v="24480"/>
    <x v="0"/>
    <x v="0"/>
    <n v="5402.33"/>
    <n v="1.63"/>
    <n v="0"/>
    <n v="0"/>
    <x v="6"/>
    <s v="100% POLYESTER YARN (DTY 100D/48F )"/>
    <n v="10418301"/>
    <x v="0"/>
    <n v="3957776"/>
    <x v="0"/>
    <n v="152716986"/>
    <d v="2025-01-29T00:00:00"/>
    <x v="0"/>
    <x v="0"/>
    <x v="0"/>
    <x v="0"/>
    <x v="0"/>
    <x v="0"/>
    <d v="2024-11-30T00:00:00"/>
    <x v="0"/>
    <x v="1"/>
    <x v="0"/>
    <x v="0"/>
    <x v="0"/>
    <x v="3"/>
    <n v="425.5841911764706"/>
    <n v="161.67385620915033"/>
    <n v="0"/>
    <d v="2023-03-03T00:00:00"/>
    <x v="0"/>
  </r>
  <r>
    <x v="477"/>
    <d v="2023-02-01T00:00:00"/>
    <x v="476"/>
    <d v="2023-01-30T00:00:00"/>
    <x v="0"/>
    <x v="0"/>
    <n v="225188"/>
    <x v="0"/>
    <x v="0"/>
    <n v="5201.009"/>
    <n v="1.9825999999999999"/>
    <n v="0"/>
    <n v="0"/>
    <x v="0"/>
    <s v="Raw Cotton"/>
    <n v="116567700"/>
    <x v="0"/>
    <n v="21180351"/>
    <x v="0"/>
    <n v="152716572"/>
    <d v="2025-01-29T00:00:00"/>
    <x v="0"/>
    <x v="0"/>
    <x v="0"/>
    <x v="0"/>
    <x v="0"/>
    <x v="0"/>
    <d v="2024-11-30T00:00:00"/>
    <x v="0"/>
    <x v="1"/>
    <x v="0"/>
    <x v="0"/>
    <x v="0"/>
    <x v="0"/>
    <n v="517.64614455477204"/>
    <n v="94.056304065936018"/>
    <n v="0"/>
    <d v="2023-03-03T00:00:00"/>
    <x v="0"/>
  </r>
  <r>
    <x v="478"/>
    <d v="2023-02-01T00:00:00"/>
    <x v="477"/>
    <d v="2023-02-02T00:00:00"/>
    <x v="0"/>
    <x v="0"/>
    <n v="140"/>
    <x v="0"/>
    <x v="0"/>
    <n v="3204.16"/>
    <n v="5.5643000000000002"/>
    <n v="0"/>
    <n v="0"/>
    <x v="5"/>
    <s v="DYESTUFF SAMPLE"/>
    <n v="213247"/>
    <x v="0"/>
    <n v="81960"/>
    <x v="0"/>
    <n v="152716574"/>
    <d v="2025-01-30T00:00:00"/>
    <x v="0"/>
    <x v="0"/>
    <x v="0"/>
    <x v="0"/>
    <x v="0"/>
    <x v="0"/>
    <d v="2024-12-01T00:00:00"/>
    <x v="0"/>
    <x v="1"/>
    <x v="0"/>
    <x v="0"/>
    <x v="0"/>
    <x v="4"/>
    <n v="1523.1928571428571"/>
    <n v="585.42857142857144"/>
    <n v="0"/>
    <d v="2023-03-03T00:00:00"/>
    <x v="0"/>
  </r>
  <r>
    <x v="479"/>
    <d v="2023-02-01T00:00:00"/>
    <x v="478"/>
    <d v="2023-02-06T00:00:00"/>
    <x v="0"/>
    <x v="0"/>
    <n v="24480"/>
    <x v="0"/>
    <x v="0"/>
    <n v="5402.33"/>
    <n v="1.55"/>
    <n v="0"/>
    <n v="0"/>
    <x v="6"/>
    <s v="100% POLYESTER YARN (DTY 150D/48F )"/>
    <n v="10522409"/>
    <x v="0"/>
    <n v="3997327"/>
    <x v="0"/>
    <n v="152717454"/>
    <d v="2025-02-05T00:00:00"/>
    <x v="0"/>
    <x v="0"/>
    <x v="0"/>
    <x v="0"/>
    <x v="0"/>
    <x v="0"/>
    <d v="2024-12-07T00:00:00"/>
    <x v="0"/>
    <x v="1"/>
    <x v="0"/>
    <x v="0"/>
    <x v="0"/>
    <x v="3"/>
    <n v="429.83696895424839"/>
    <n v="163.28950163398693"/>
    <n v="0"/>
    <d v="2023-03-03T00:00:00"/>
    <x v="0"/>
  </r>
  <r>
    <x v="480"/>
    <d v="2023-02-01T00:00:00"/>
    <x v="479"/>
    <d v="2023-02-06T00:00:00"/>
    <x v="0"/>
    <x v="0"/>
    <n v="7200"/>
    <x v="0"/>
    <x v="0"/>
    <n v="5402.33"/>
    <n v="4.8"/>
    <n v="0"/>
    <n v="0"/>
    <x v="13"/>
    <s v="POLYESTER FILAMENT YARN (RTSS DT 150D/72F SD RW AA"/>
    <n v="9583978"/>
    <x v="0"/>
    <n v="3640829"/>
    <x v="0"/>
    <n v="152717445"/>
    <d v="2025-02-05T00:00:00"/>
    <x v="0"/>
    <x v="0"/>
    <x v="0"/>
    <x v="0"/>
    <x v="0"/>
    <x v="0"/>
    <d v="2024-12-07T00:00:00"/>
    <x v="0"/>
    <x v="1"/>
    <x v="0"/>
    <x v="0"/>
    <x v="0"/>
    <x v="3"/>
    <n v="1331.1080555555557"/>
    <n v="505.67069444444445"/>
    <n v="0"/>
    <d v="2023-03-03T00:00:00"/>
    <x v="0"/>
  </r>
  <r>
    <x v="481"/>
    <d v="2023-02-01T00:00:00"/>
    <x v="480"/>
    <d v="2023-02-08T00:00:00"/>
    <x v="0"/>
    <x v="0"/>
    <n v="5040"/>
    <x v="0"/>
    <x v="0"/>
    <n v="3906.9029999999998"/>
    <n v="1.9556"/>
    <n v="0"/>
    <n v="0"/>
    <x v="12"/>
    <s v="JINSOFECO TWN -2"/>
    <n v="2772483"/>
    <x v="0"/>
    <n v="602047"/>
    <x v="0"/>
    <n v="152717456"/>
    <d v="2025-02-04T00:00:00"/>
    <x v="0"/>
    <x v="0"/>
    <x v="0"/>
    <x v="0"/>
    <x v="0"/>
    <x v="0"/>
    <d v="2024-12-06T00:00:00"/>
    <x v="0"/>
    <x v="1"/>
    <x v="0"/>
    <x v="0"/>
    <x v="0"/>
    <x v="5"/>
    <n v="550.0958333333333"/>
    <n v="119.45376984126985"/>
    <n v="0"/>
    <d v="2023-03-03T00:00:00"/>
    <x v="0"/>
  </r>
  <r>
    <x v="482"/>
    <d v="2023-02-01T00:00:00"/>
    <x v="481"/>
    <d v="2023-02-09T00:00:00"/>
    <x v="0"/>
    <x v="0"/>
    <n v="203500"/>
    <x v="0"/>
    <x v="0"/>
    <n v="5201.009"/>
    <n v="2.6896"/>
    <n v="0"/>
    <n v="0"/>
    <x v="0"/>
    <s v="Raw Cotton"/>
    <n v="154491296"/>
    <x v="0"/>
    <n v="28071068"/>
    <x v="0"/>
    <n v="152717001"/>
    <d v="2025-02-09T00:00:00"/>
    <x v="0"/>
    <x v="0"/>
    <x v="0"/>
    <x v="0"/>
    <x v="0"/>
    <x v="0"/>
    <d v="2024-12-11T00:00:00"/>
    <x v="0"/>
    <x v="1"/>
    <x v="0"/>
    <x v="0"/>
    <x v="0"/>
    <x v="0"/>
    <n v="759.17098771498775"/>
    <n v="137.9413660933661"/>
    <n v="0"/>
    <d v="2023-03-03T00:00:00"/>
    <x v="0"/>
  </r>
  <r>
    <x v="483"/>
    <d v="2023-02-01T00:00:00"/>
    <x v="482"/>
    <d v="2023-02-09T00:00:00"/>
    <x v="0"/>
    <x v="0"/>
    <n v="758"/>
    <x v="0"/>
    <x v="0"/>
    <n v="5407.52"/>
    <n v="8.7202999999999999"/>
    <n v="0"/>
    <n v="0"/>
    <x v="11"/>
    <s v="100% POLYESTER MICROFIBER FABRIC 215GSM WIDTH:150CM (2200/MTRS) "/>
    <n v="1865746"/>
    <x v="0"/>
    <n v="691766"/>
    <x v="0"/>
    <n v="152717452"/>
    <d v="2025-02-05T00:00:00"/>
    <x v="0"/>
    <x v="0"/>
    <x v="0"/>
    <x v="0"/>
    <x v="0"/>
    <x v="0"/>
    <d v="2024-12-07T00:00:00"/>
    <x v="0"/>
    <x v="1"/>
    <x v="0"/>
    <x v="0"/>
    <x v="0"/>
    <x v="2"/>
    <n v="2461.4063324538261"/>
    <n v="912.62005277044852"/>
    <n v="0"/>
    <d v="2023-03-03T00:00:00"/>
    <x v="0"/>
  </r>
  <r>
    <x v="484"/>
    <d v="2023-02-01T00:00:00"/>
    <x v="483"/>
    <d v="2023-02-21T00:00:00"/>
    <x v="0"/>
    <x v="0"/>
    <n v="720"/>
    <x v="0"/>
    <x v="0"/>
    <n v="5210.3900000000003"/>
    <n v="24.785299999999999"/>
    <n v="0"/>
    <n v="0"/>
    <x v="2"/>
    <s v="FABRICS FOR READYMADE GARMENTS INDUSTRY 73%CTN/25%POLY/2%SP FABRIC WEIGHT : 110+/-5GSM 40S*75D+40D/133*72 48/50&quot;(5149/M"/>
    <n v="4793142"/>
    <x v="0"/>
    <n v="1547697"/>
    <x v="0"/>
    <n v="152717015"/>
    <d v="2025-02-17T00:00:00"/>
    <x v="0"/>
    <x v="0"/>
    <x v="0"/>
    <x v="0"/>
    <x v="0"/>
    <x v="0"/>
    <d v="2024-12-19T00:00:00"/>
    <x v="0"/>
    <x v="1"/>
    <x v="0"/>
    <x v="0"/>
    <x v="0"/>
    <x v="2"/>
    <n v="6657.1416666666664"/>
    <n v="2149.5791666666669"/>
    <n v="0"/>
    <d v="2023-03-03T00:00:00"/>
    <x v="0"/>
  </r>
  <r>
    <x v="485"/>
    <d v="2023-03-01T00:00:00"/>
    <x v="484"/>
    <d v="2023-02-21T00:00:00"/>
    <x v="0"/>
    <x v="0"/>
    <n v="1600"/>
    <x v="0"/>
    <x v="0"/>
    <n v="3204.1190000000001"/>
    <s v="18.12 / 8.45"/>
    <n v="0"/>
    <n v="0"/>
    <x v="5"/>
    <s v="DYES (TERASIL)"/>
    <n v="5171016"/>
    <x v="0"/>
    <n v="1669711"/>
    <x v="0"/>
    <n v="152717022"/>
    <d v="2025-02-23T00:00:00"/>
    <x v="0"/>
    <x v="0"/>
    <x v="0"/>
    <x v="0"/>
    <x v="0"/>
    <x v="0"/>
    <d v="2024-12-25T00:00:00"/>
    <x v="0"/>
    <x v="1"/>
    <x v="0"/>
    <x v="0"/>
    <x v="0"/>
    <x v="4"/>
    <n v="3231.8850000000002"/>
    <n v="1043.569375"/>
    <n v="0"/>
    <d v="2023-03-31T00:00:00"/>
    <x v="0"/>
  </r>
  <r>
    <x v="486"/>
    <d v="2023-03-01T00:00:00"/>
    <x v="485"/>
    <d v="2023-02-21T00:00:00"/>
    <x v="0"/>
    <x v="0"/>
    <n v="950"/>
    <x v="0"/>
    <x v="0"/>
    <n v="3204.1190000000001"/>
    <s v="11.80 / 34.25"/>
    <n v="0"/>
    <n v="0"/>
    <x v="5"/>
    <s v="DYES (SUNCRON)"/>
    <n v="3901277"/>
    <x v="0"/>
    <n v="1259715"/>
    <x v="0"/>
    <n v="152717016"/>
    <d v="2025-02-21T00:00:00"/>
    <x v="0"/>
    <x v="0"/>
    <x v="0"/>
    <x v="0"/>
    <x v="0"/>
    <x v="0"/>
    <d v="2024-12-23T00:00:00"/>
    <x v="0"/>
    <x v="1"/>
    <x v="0"/>
    <x v="0"/>
    <x v="0"/>
    <x v="4"/>
    <n v="4106.6073684210523"/>
    <n v="1326.0157894736842"/>
    <n v="0"/>
    <d v="2023-03-31T00:00:00"/>
    <x v="0"/>
  </r>
  <r>
    <x v="487"/>
    <d v="2023-03-01T00:00:00"/>
    <x v="486"/>
    <d v="2023-02-21T00:00:00"/>
    <x v="0"/>
    <x v="0"/>
    <n v="2000"/>
    <x v="0"/>
    <x v="0"/>
    <n v="3204.16"/>
    <n v="46.037500000000001"/>
    <n v="0"/>
    <n v="0"/>
    <x v="5"/>
    <s v="DYES (BEZATHREN)"/>
    <n v="24641409"/>
    <x v="0"/>
    <n v="9425043"/>
    <x v="0"/>
    <n v="152717017"/>
    <d v="2025-02-21T00:00:00"/>
    <x v="0"/>
    <x v="0"/>
    <x v="0"/>
    <x v="0"/>
    <x v="0"/>
    <x v="0"/>
    <d v="2024-12-23T00:00:00"/>
    <x v="0"/>
    <x v="1"/>
    <x v="0"/>
    <x v="0"/>
    <x v="0"/>
    <x v="4"/>
    <n v="12320.7045"/>
    <n v="4712.5214999999998"/>
    <n v="0"/>
    <d v="2023-03-31T00:00:00"/>
    <x v="0"/>
  </r>
  <r>
    <x v="488"/>
    <d v="2023-03-01T00:00:00"/>
    <x v="487"/>
    <d v="2023-02-27T00:00:00"/>
    <x v="0"/>
    <x v="0"/>
    <n v="8557.4"/>
    <x v="0"/>
    <x v="0"/>
    <n v="5402.33"/>
    <n v="1.62"/>
    <n v="0"/>
    <n v="0"/>
    <x v="6"/>
    <s v="100% POLYESTER YARN (ACY 300D/96F+70D)"/>
    <n v="3696623"/>
    <x v="0"/>
    <n v="1445742"/>
    <x v="0"/>
    <n v="152718060"/>
    <d v="2025-02-26T00:00:00"/>
    <x v="0"/>
    <x v="0"/>
    <x v="0"/>
    <x v="0"/>
    <x v="0"/>
    <x v="0"/>
    <d v="2024-12-28T00:00:00"/>
    <x v="0"/>
    <x v="1"/>
    <x v="0"/>
    <x v="0"/>
    <x v="0"/>
    <x v="3"/>
    <n v="431.97969009278523"/>
    <n v="168.9464089559913"/>
    <n v="0"/>
    <d v="2023-03-31T00:00:00"/>
    <x v="0"/>
  </r>
  <r>
    <x v="489"/>
    <d v="2023-03-01T00:00:00"/>
    <x v="488"/>
    <d v="2023-03-02T00:00:00"/>
    <x v="0"/>
    <x v="0"/>
    <n v="1000"/>
    <x v="0"/>
    <x v="0"/>
    <n v="3204.16"/>
    <n v="45"/>
    <n v="0"/>
    <n v="0"/>
    <x v="5"/>
    <s v="DYES (INDENTHREN)"/>
    <n v="12024684"/>
    <x v="0"/>
    <n v="4599297"/>
    <x v="0"/>
    <n v="152717028"/>
    <d v="2025-02-27T00:00:00"/>
    <x v="0"/>
    <x v="0"/>
    <x v="0"/>
    <x v="0"/>
    <x v="0"/>
    <x v="0"/>
    <d v="2024-12-29T00:00:00"/>
    <x v="0"/>
    <x v="1"/>
    <x v="0"/>
    <x v="0"/>
    <x v="0"/>
    <x v="4"/>
    <n v="12024.683999999999"/>
    <n v="4599.2969999999996"/>
    <n v="0"/>
    <d v="2023-03-31T00:00:00"/>
    <x v="0"/>
  </r>
  <r>
    <x v="490"/>
    <d v="2023-03-01T00:00:00"/>
    <x v="489"/>
    <d v="2023-03-03T00:00:00"/>
    <x v="0"/>
    <x v="0"/>
    <n v="1000"/>
    <x v="0"/>
    <x v="0"/>
    <n v="3204.16"/>
    <n v="49.4"/>
    <n v="0"/>
    <n v="0"/>
    <x v="5"/>
    <s v="DYES FARBANTHREN)"/>
    <n v="13434758"/>
    <x v="0"/>
    <n v="5138633"/>
    <x v="0"/>
    <n v="152716600"/>
    <d v="2025-02-28T00:00:00"/>
    <x v="0"/>
    <x v="0"/>
    <x v="0"/>
    <x v="0"/>
    <x v="0"/>
    <x v="0"/>
    <d v="2024-12-30T00:00:00"/>
    <x v="0"/>
    <x v="1"/>
    <x v="0"/>
    <x v="0"/>
    <x v="0"/>
    <x v="4"/>
    <n v="13434.758"/>
    <n v="5138.6329999999998"/>
    <n v="0"/>
    <d v="2023-03-31T00:00:00"/>
    <x v="0"/>
  </r>
  <r>
    <x v="491"/>
    <d v="2023-03-01T00:00:00"/>
    <x v="490"/>
    <d v="2023-03-02T00:00:00"/>
    <x v="0"/>
    <x v="0"/>
    <n v="10400"/>
    <x v="0"/>
    <x v="0"/>
    <n v="5407.52"/>
    <n v="5.3337000000000003"/>
    <n v="0"/>
    <n v="0"/>
    <x v="11"/>
    <s v="100% POLYESTER MICROFIBER FABRIC 82GSM WIDTH :242,269CM (48611/MTRS)"/>
    <n v="14822555"/>
    <x v="0"/>
    <n v="5669450"/>
    <x v="0"/>
    <n v="152716608"/>
    <d v="2025-03-01T00:00:00"/>
    <x v="0"/>
    <x v="0"/>
    <x v="0"/>
    <x v="0"/>
    <x v="0"/>
    <x v="0"/>
    <d v="2024-12-31T00:00:00"/>
    <x v="0"/>
    <x v="1"/>
    <x v="0"/>
    <x v="0"/>
    <x v="0"/>
    <x v="2"/>
    <n v="1425.2456730769231"/>
    <n v="545.13942307692309"/>
    <n v="0"/>
    <d v="2023-03-31T00:00:00"/>
    <x v="0"/>
  </r>
  <r>
    <x v="492"/>
    <d v="2023-03-01T00:00:00"/>
    <x v="491"/>
    <d v="2023-02-28T00:00:00"/>
    <x v="0"/>
    <x v="0"/>
    <n v="577"/>
    <x v="0"/>
    <x v="0"/>
    <n v="5210.41"/>
    <n v="22.795000000000002"/>
    <n v="0"/>
    <n v="0"/>
    <x v="3"/>
    <s v="60% COTTON 40% POLYESTER"/>
    <n v="3691711"/>
    <x v="0"/>
    <n v="1192046"/>
    <x v="0"/>
    <n v="152716595"/>
    <d v="2025-02-15T00:00:00"/>
    <x v="0"/>
    <x v="0"/>
    <x v="0"/>
    <x v="0"/>
    <x v="0"/>
    <x v="0"/>
    <d v="2024-12-17T00:00:00"/>
    <x v="0"/>
    <x v="1"/>
    <x v="0"/>
    <x v="0"/>
    <x v="0"/>
    <x v="3"/>
    <n v="6398.1126516464474"/>
    <n v="2065.9376083188909"/>
    <n v="0"/>
    <d v="2023-03-31T00:00:00"/>
    <x v="0"/>
  </r>
  <r>
    <x v="493"/>
    <d v="2023-03-01T00:00:00"/>
    <x v="492"/>
    <d v="2023-03-08T00:00:00"/>
    <x v="0"/>
    <x v="0"/>
    <n v="301510"/>
    <x v="0"/>
    <x v="0"/>
    <n v="5201.009"/>
    <n v="2.6896"/>
    <n v="0"/>
    <n v="0"/>
    <x v="0"/>
    <s v="Raw Cotton"/>
    <n v="230179868"/>
    <x v="0"/>
    <n v="44148498"/>
    <x v="0"/>
    <n v="152716602"/>
    <d v="2025-03-07T00:00:00"/>
    <x v="0"/>
    <x v="0"/>
    <x v="0"/>
    <x v="0"/>
    <x v="0"/>
    <x v="0"/>
    <d v="2025-01-06T00:00:00"/>
    <x v="0"/>
    <x v="1"/>
    <x v="0"/>
    <x v="0"/>
    <x v="0"/>
    <x v="0"/>
    <n v="763.42366090676921"/>
    <n v="146.42465589864349"/>
    <n v="0"/>
    <d v="2023-03-31T00:00:00"/>
    <x v="0"/>
  </r>
  <r>
    <x v="494"/>
    <d v="2023-03-01T00:00:00"/>
    <x v="493"/>
    <d v="2023-03-06T00:00:00"/>
    <x v="0"/>
    <x v="0"/>
    <n v="183540"/>
    <x v="0"/>
    <x v="0"/>
    <n v="5503.201"/>
    <n v="1"/>
    <n v="0"/>
    <n v="0"/>
    <x v="1"/>
    <s v="Polyester Staple Fiber"/>
    <n v="53472646"/>
    <x v="0"/>
    <n v="14717063"/>
    <x v="0"/>
    <n v="152716603"/>
    <d v="2025-03-06T00:00:00"/>
    <x v="0"/>
    <x v="0"/>
    <x v="0"/>
    <x v="0"/>
    <x v="0"/>
    <x v="0"/>
    <d v="2025-01-05T00:00:00"/>
    <x v="0"/>
    <x v="1"/>
    <x v="0"/>
    <x v="0"/>
    <x v="0"/>
    <x v="1"/>
    <n v="291.34055791653043"/>
    <n v="80.184499291707525"/>
    <n v="0"/>
    <d v="2023-03-31T00:00:00"/>
    <x v="0"/>
  </r>
  <r>
    <x v="495"/>
    <d v="2023-03-01T00:00:00"/>
    <x v="494"/>
    <d v="2023-03-10T00:00:00"/>
    <x v="0"/>
    <x v="0"/>
    <n v="40000"/>
    <x v="0"/>
    <x v="0"/>
    <n v="3402.4189999999999"/>
    <n v="1.8"/>
    <n v="0"/>
    <n v="0"/>
    <x v="12"/>
    <s v="WETMATIC WTL"/>
    <n v="20524820"/>
    <x v="0"/>
    <n v="10136798"/>
    <x v="0"/>
    <n v="152716610"/>
    <d v="2025-03-10T00:00:00"/>
    <x v="0"/>
    <x v="0"/>
    <x v="0"/>
    <x v="0"/>
    <x v="0"/>
    <x v="0"/>
    <d v="2025-01-09T00:00:00"/>
    <x v="0"/>
    <x v="1"/>
    <x v="0"/>
    <x v="0"/>
    <x v="0"/>
    <x v="5"/>
    <n v="513.12049999999999"/>
    <n v="253.41995"/>
    <n v="0"/>
    <d v="2023-03-31T00:00:00"/>
    <x v="0"/>
  </r>
  <r>
    <x v="496"/>
    <d v="2023-03-01T00:00:00"/>
    <x v="495"/>
    <d v="2023-03-20T00:00:00"/>
    <x v="0"/>
    <x v="0"/>
    <n v="3850"/>
    <x v="0"/>
    <x v="0"/>
    <s v="3204.1190 / 3204.1600"/>
    <s v="8.45 / 8.51"/>
    <n v="0"/>
    <n v="0"/>
    <x v="5"/>
    <s v="DYES (TERASIL +  NOVACRON)"/>
    <n v="9403151"/>
    <x v="0"/>
    <n v="3160653"/>
    <x v="0"/>
    <n v="152716624"/>
    <d v="2025-03-17T00:00:00"/>
    <x v="0"/>
    <x v="0"/>
    <x v="0"/>
    <x v="0"/>
    <x v="0"/>
    <x v="0"/>
    <d v="2025-01-16T00:00:00"/>
    <x v="0"/>
    <x v="1"/>
    <x v="0"/>
    <x v="0"/>
    <x v="0"/>
    <x v="4"/>
    <n v="2442.3768831168832"/>
    <n v="820.94883116883113"/>
    <n v="0"/>
    <d v="2023-03-31T00:00:00"/>
    <x v="0"/>
  </r>
  <r>
    <x v="497"/>
    <d v="2023-03-01T00:00:00"/>
    <x v="496"/>
    <d v="2023-03-15T00:00:00"/>
    <x v="0"/>
    <x v="0"/>
    <n v="209760"/>
    <x v="0"/>
    <x v="0"/>
    <n v="5503.201"/>
    <n v="1"/>
    <n v="0"/>
    <n v="0"/>
    <x v="1"/>
    <s v="Polyester Staple Fiber"/>
    <n v="60362679"/>
    <x v="0"/>
    <n v="16613379"/>
    <x v="0"/>
    <n v="152716615"/>
    <d v="2025-03-15T00:00:00"/>
    <x v="0"/>
    <x v="0"/>
    <x v="0"/>
    <x v="0"/>
    <x v="0"/>
    <x v="0"/>
    <d v="2025-01-14T00:00:00"/>
    <x v="0"/>
    <x v="1"/>
    <x v="0"/>
    <x v="0"/>
    <x v="0"/>
    <x v="1"/>
    <n v="287.77020881006865"/>
    <n v="79.201844965675051"/>
    <n v="0"/>
    <d v="2023-03-31T00:00:00"/>
    <x v="0"/>
  </r>
  <r>
    <x v="498"/>
    <d v="2023-03-01T00:00:00"/>
    <x v="497"/>
    <d v="2023-02-28T00:00:00"/>
    <x v="0"/>
    <x v="0"/>
    <n v="19300"/>
    <x v="0"/>
    <x v="0"/>
    <s v="3906.9090 / 3809.9190"/>
    <s v="3.20 / 1.55"/>
    <n v="0"/>
    <n v="0"/>
    <x v="12"/>
    <s v="CHEMICAL (PERIPRINT + PERIGEN)"/>
    <n v="14417154"/>
    <x v="0"/>
    <n v="4818597"/>
    <x v="0"/>
    <n v="152717025"/>
    <d v="2025-02-27T00:00:00"/>
    <x v="0"/>
    <x v="0"/>
    <x v="0"/>
    <x v="0"/>
    <x v="0"/>
    <x v="0"/>
    <d v="2024-12-29T00:00:00"/>
    <x v="0"/>
    <x v="1"/>
    <x v="0"/>
    <x v="0"/>
    <x v="0"/>
    <x v="5"/>
    <n v="747.00279792746119"/>
    <n v="249.6682383419689"/>
    <n v="0"/>
    <d v="2023-03-31T00:00:00"/>
    <x v="0"/>
  </r>
  <r>
    <x v="499"/>
    <d v="2023-03-01T00:00:00"/>
    <x v="498"/>
    <d v="2023-03-15T00:00:00"/>
    <x v="0"/>
    <x v="0"/>
    <n v="650"/>
    <x v="0"/>
    <x v="0"/>
    <n v="5407.52"/>
    <n v="6.7976999999999999"/>
    <n v="0"/>
    <n v="0"/>
    <x v="11"/>
    <s v="100% POLYESTER MICROFIBER FABRIC 170CM 82GSM 3900/MTRS"/>
    <n v="1271514"/>
    <x v="0"/>
    <n v="486338"/>
    <x v="0"/>
    <n v="152716617"/>
    <d v="2025-03-07T00:00:00"/>
    <x v="0"/>
    <x v="0"/>
    <x v="0"/>
    <x v="0"/>
    <x v="0"/>
    <x v="0"/>
    <d v="2025-01-06T00:00:00"/>
    <x v="0"/>
    <x v="1"/>
    <x v="0"/>
    <x v="0"/>
    <x v="0"/>
    <x v="2"/>
    <n v="1956.1753846153847"/>
    <n v="748.21230769230772"/>
    <n v="0"/>
    <d v="2023-03-31T00:00:00"/>
    <x v="0"/>
  </r>
  <r>
    <x v="500"/>
    <d v="2023-03-01T00:00:00"/>
    <x v="499"/>
    <d v="2023-03-22T00:00:00"/>
    <x v="0"/>
    <x v="0"/>
    <n v="414"/>
    <x v="0"/>
    <x v="0"/>
    <n v="5407.52"/>
    <n v="12.0305"/>
    <n v="0"/>
    <n v="0"/>
    <x v="2"/>
    <s v="100% BLENDED FABRIC 1486.9/MTRS"/>
    <n v="1445470"/>
    <x v="0"/>
    <n v="552875"/>
    <x v="0"/>
    <n v="152716625"/>
    <d v="2025-03-20T00:00:00"/>
    <x v="0"/>
    <x v="0"/>
    <x v="0"/>
    <x v="0"/>
    <x v="0"/>
    <x v="0"/>
    <d v="2025-01-19T00:00:00"/>
    <x v="0"/>
    <x v="1"/>
    <x v="0"/>
    <x v="0"/>
    <x v="0"/>
    <x v="2"/>
    <n v="3491.4734299516908"/>
    <n v="1335.4468599033817"/>
    <n v="0"/>
    <d v="2023-03-31T00:00:00"/>
    <x v="0"/>
  </r>
  <r>
    <x v="501"/>
    <d v="2023-04-01T00:00:00"/>
    <x v="500"/>
    <d v="2023-03-25T00:00:00"/>
    <x v="0"/>
    <x v="0"/>
    <n v="18000"/>
    <x v="0"/>
    <x v="0"/>
    <n v="3905.3"/>
    <n v="2.15"/>
    <n v="0"/>
    <n v="0"/>
    <x v="12"/>
    <s v="POLYVINYL ALCOHOL (PVA) "/>
    <n v="11225532"/>
    <x v="0"/>
    <n v="2153057"/>
    <x v="0"/>
    <n v="152716630"/>
    <d v="2025-03-24T00:00:00"/>
    <x v="0"/>
    <x v="0"/>
    <x v="0"/>
    <x v="0"/>
    <x v="0"/>
    <x v="0"/>
    <d v="2025-01-23T00:00:00"/>
    <x v="0"/>
    <x v="1"/>
    <x v="0"/>
    <x v="0"/>
    <x v="0"/>
    <x v="5"/>
    <n v="623.64066666666668"/>
    <n v="119.61427777777777"/>
    <n v="0"/>
    <d v="2023-05-01T00:00:00"/>
    <x v="0"/>
  </r>
  <r>
    <x v="502"/>
    <d v="2023-04-01T00:00:00"/>
    <x v="501"/>
    <d v="2023-03-27T00:00:00"/>
    <x v="0"/>
    <x v="0"/>
    <n v="209760"/>
    <x v="0"/>
    <x v="0"/>
    <n v="5503.201"/>
    <n v="1"/>
    <n v="0"/>
    <n v="0"/>
    <x v="1"/>
    <s v="Polyester Staple Fiber"/>
    <n v="60844126"/>
    <x v="0"/>
    <n v="16745886"/>
    <x v="0"/>
    <n v="152716629"/>
    <d v="2025-03-24T00:00:00"/>
    <x v="0"/>
    <x v="0"/>
    <x v="0"/>
    <x v="0"/>
    <x v="0"/>
    <x v="0"/>
    <d v="2025-01-23T00:00:00"/>
    <x v="0"/>
    <x v="1"/>
    <x v="0"/>
    <x v="0"/>
    <x v="0"/>
    <x v="1"/>
    <n v="290.06543668954998"/>
    <n v="79.833552631578954"/>
    <n v="0"/>
    <d v="2023-05-01T00:00:00"/>
    <x v="0"/>
  </r>
  <r>
    <x v="503"/>
    <d v="2023-04-01T00:00:00"/>
    <x v="502"/>
    <d v="2023-03-30T00:00:00"/>
    <x v="0"/>
    <x v="0"/>
    <n v="38080"/>
    <x v="0"/>
    <x v="0"/>
    <n v="2915.11"/>
    <n v="0.7"/>
    <n v="0"/>
    <n v="0"/>
    <x v="12"/>
    <s v="FORMIC ACID 85%"/>
    <n v="7721108"/>
    <x v="0"/>
    <n v="2953231"/>
    <x v="0"/>
    <n v="152716639"/>
    <d v="2025-03-29T00:00:00"/>
    <x v="0"/>
    <x v="0"/>
    <x v="0"/>
    <x v="0"/>
    <x v="0"/>
    <x v="0"/>
    <d v="2025-01-28T00:00:00"/>
    <x v="0"/>
    <x v="1"/>
    <x v="0"/>
    <x v="0"/>
    <x v="0"/>
    <x v="5"/>
    <n v="202.76018907563025"/>
    <n v="77.55333508403362"/>
    <n v="0"/>
    <d v="2023-05-01T00:00:00"/>
    <x v="0"/>
  </r>
  <r>
    <x v="504"/>
    <d v="2023-04-01T00:00:00"/>
    <x v="503"/>
    <d v="2023-04-03T00:00:00"/>
    <x v="0"/>
    <x v="0"/>
    <n v="242640"/>
    <x v="0"/>
    <x v="0"/>
    <n v="5201.009"/>
    <n v="2.6455000000000002"/>
    <n v="0"/>
    <n v="0"/>
    <x v="0"/>
    <s v="Raw Cotton"/>
    <n v="186030496"/>
    <x v="0"/>
    <n v="35680649"/>
    <x v="0"/>
    <n v="152716651"/>
    <d v="2025-04-01T00:00:00"/>
    <x v="0"/>
    <x v="0"/>
    <x v="0"/>
    <x v="0"/>
    <x v="0"/>
    <x v="0"/>
    <d v="2025-01-31T00:00:00"/>
    <x v="0"/>
    <x v="1"/>
    <x v="0"/>
    <x v="0"/>
    <x v="0"/>
    <x v="0"/>
    <n v="766.69343883943293"/>
    <n v="147.05180102209033"/>
    <n v="0"/>
    <d v="2023-05-01T00:00:00"/>
    <x v="0"/>
  </r>
  <r>
    <x v="505"/>
    <d v="2023-04-01T00:00:00"/>
    <x v="504"/>
    <d v="2023-03-31T00:00:00"/>
    <x v="0"/>
    <x v="0"/>
    <n v="497"/>
    <x v="0"/>
    <x v="0"/>
    <n v="5210.29"/>
    <n v="7.0640000000000001"/>
    <n v="0"/>
    <n v="0"/>
    <x v="2"/>
    <s v="BLENDED FABRIC (1545/MTRS) WIDTH 210"/>
    <n v="1018543"/>
    <x v="0"/>
    <n v="328886"/>
    <x v="0"/>
    <n v="152716650"/>
    <d v="2025-03-30T00:00:00"/>
    <x v="0"/>
    <x v="0"/>
    <x v="0"/>
    <x v="0"/>
    <x v="0"/>
    <x v="0"/>
    <d v="2025-01-29T00:00:00"/>
    <x v="0"/>
    <x v="1"/>
    <x v="0"/>
    <x v="0"/>
    <x v="0"/>
    <x v="2"/>
    <n v="2049.3822937625755"/>
    <n v="661.74245472837026"/>
    <n v="0"/>
    <d v="2023-05-01T00:00:00"/>
    <x v="0"/>
  </r>
  <r>
    <x v="506"/>
    <d v="2023-04-01T00:00:00"/>
    <x v="505"/>
    <d v="2023-03-31T00:00:00"/>
    <x v="0"/>
    <x v="0"/>
    <n v="3500"/>
    <x v="0"/>
    <x v="0"/>
    <n v="3204.16"/>
    <n v="5.0999999999999996"/>
    <n v="0"/>
    <n v="0"/>
    <x v="5"/>
    <s v="DYES (LIYUANSOL)"/>
    <n v="5178578"/>
    <x v="0"/>
    <n v="1980743"/>
    <x v="0"/>
    <n v="152716649"/>
    <d v="2025-03-29T00:00:00"/>
    <x v="0"/>
    <x v="0"/>
    <x v="0"/>
    <x v="0"/>
    <x v="0"/>
    <x v="0"/>
    <d v="2025-01-28T00:00:00"/>
    <x v="0"/>
    <x v="1"/>
    <x v="0"/>
    <x v="0"/>
    <x v="0"/>
    <x v="4"/>
    <n v="1479.5937142857142"/>
    <n v="565.92657142857138"/>
    <n v="0"/>
    <d v="2023-05-01T00:00:00"/>
    <x v="0"/>
  </r>
  <r>
    <x v="507"/>
    <d v="2023-04-01T00:00:00"/>
    <x v="506"/>
    <d v="2023-04-04T00:00:00"/>
    <x v="0"/>
    <x v="0"/>
    <n v="2000"/>
    <x v="0"/>
    <x v="0"/>
    <n v="3204.16"/>
    <n v="33"/>
    <n v="0"/>
    <n v="0"/>
    <x v="5"/>
    <s v="DYES (INDANTHREN BLUE)"/>
    <n v="19134220"/>
    <x v="0"/>
    <n v="7318609"/>
    <x v="0"/>
    <n v="152716654"/>
    <d v="2025-04-04T00:00:00"/>
    <x v="0"/>
    <x v="0"/>
    <x v="0"/>
    <x v="0"/>
    <x v="0"/>
    <x v="0"/>
    <d v="2025-02-03T00:00:00"/>
    <x v="0"/>
    <x v="1"/>
    <x v="0"/>
    <x v="0"/>
    <x v="0"/>
    <x v="4"/>
    <n v="9567.11"/>
    <n v="3659.3045000000002"/>
    <n v="0"/>
    <d v="2023-05-01T00:00:00"/>
    <x v="0"/>
  </r>
  <r>
    <x v="508"/>
    <d v="2023-04-01T00:00:00"/>
    <x v="507"/>
    <d v="2023-04-12T00:00:00"/>
    <x v="0"/>
    <x v="0"/>
    <n v="24480"/>
    <x v="0"/>
    <x v="0"/>
    <n v="5402.33"/>
    <n v="1.55"/>
    <n v="0"/>
    <n v="0"/>
    <x v="6"/>
    <s v="100% POLYESTER TEXTURED YARN (DTY 150D/48F HIM RW SD AA GRADE)"/>
    <n v="11126234"/>
    <x v="0"/>
    <n v="4351448"/>
    <x v="0"/>
    <n v="152716695"/>
    <d v="2025-04-11T00:00:00"/>
    <x v="0"/>
    <x v="0"/>
    <x v="0"/>
    <x v="0"/>
    <x v="0"/>
    <x v="0"/>
    <d v="2025-02-10T00:00:00"/>
    <x v="0"/>
    <x v="1"/>
    <x v="0"/>
    <x v="0"/>
    <x v="0"/>
    <x v="3"/>
    <n v="454.50302287581701"/>
    <n v="177.75522875816995"/>
    <n v="0"/>
    <d v="2023-05-01T00:00:00"/>
    <x v="0"/>
  </r>
  <r>
    <x v="509"/>
    <d v="2023-04-01T00:00:00"/>
    <x v="508"/>
    <d v="2023-04-03T00:00:00"/>
    <x v="0"/>
    <x v="0"/>
    <n v="24480"/>
    <x v="0"/>
    <x v="0"/>
    <n v="5402.33"/>
    <n v="1.55"/>
    <n v="0"/>
    <n v="0"/>
    <x v="6"/>
    <s v="100% POLYESTER TEXTURED YARN DTY 150D/48F HIM RW SD GRADE-AA"/>
    <n v="10996566"/>
    <x v="0"/>
    <n v="4300735"/>
    <x v="0"/>
    <n v="152716653"/>
    <d v="2025-04-04T00:00:00"/>
    <x v="0"/>
    <x v="0"/>
    <x v="0"/>
    <x v="0"/>
    <x v="0"/>
    <x v="0"/>
    <d v="2025-02-03T00:00:00"/>
    <x v="0"/>
    <x v="1"/>
    <x v="0"/>
    <x v="0"/>
    <x v="0"/>
    <x v="3"/>
    <n v="449.20612745098038"/>
    <n v="175.68361928104576"/>
    <n v="0"/>
    <d v="2023-05-01T00:00:00"/>
    <x v="0"/>
  </r>
  <r>
    <x v="510"/>
    <d v="2023-04-01T00:00:00"/>
    <x v="509"/>
    <d v="2023-04-10T00:00:00"/>
    <x v="0"/>
    <x v="0"/>
    <n v="4960"/>
    <x v="0"/>
    <x v="0"/>
    <n v="5407.52"/>
    <s v="8.5451 / 9.9395"/>
    <n v="0"/>
    <n v="0"/>
    <x v="11"/>
    <s v="100% POLYMIDE FABRIC 500X500 44X38 1/1 58&quot; CUTTABLE WIDTH, 210GSM (12051/MTRS) &amp; 100% POLYESTER FABRIC 190T WITH WR AND PU COATING ,57&quot; CUTTABLE WIDTH , WEIGHT :50GSM (16419/MTRS)"/>
    <n v="12808177"/>
    <x v="0"/>
    <n v="4898976"/>
    <x v="0"/>
    <n v="152716687"/>
    <d v="2025-04-06T00:00:00"/>
    <x v="0"/>
    <x v="0"/>
    <x v="0"/>
    <x v="0"/>
    <x v="0"/>
    <x v="0"/>
    <d v="2025-02-05T00:00:00"/>
    <x v="0"/>
    <x v="1"/>
    <x v="0"/>
    <x v="0"/>
    <x v="0"/>
    <x v="2"/>
    <n v="2582.2937499999998"/>
    <n v="987.69677419354844"/>
    <n v="0"/>
    <d v="2023-05-01T00:00:00"/>
    <x v="0"/>
  </r>
  <r>
    <x v="511"/>
    <d v="2023-04-01T00:00:00"/>
    <x v="510"/>
    <d v="2023-04-10T00:00:00"/>
    <x v="0"/>
    <x v="0"/>
    <n v="205"/>
    <x v="0"/>
    <x v="0"/>
    <s v="3204.1600 / 3204.1190"/>
    <s v="15.9780 / 18.3586 / 16.8748 / 10.9950 / 8.7556 / 8.2715"/>
    <n v="0"/>
    <n v="0"/>
    <x v="5"/>
    <s v="DYES (SETAZOL / PIGMASET / SETAPERS)"/>
    <n v="841059"/>
    <x v="0"/>
    <n v="309561"/>
    <x v="0"/>
    <n v="15716662"/>
    <d v="2025-04-04T00:00:00"/>
    <x v="0"/>
    <x v="0"/>
    <x v="0"/>
    <x v="0"/>
    <x v="0"/>
    <x v="0"/>
    <d v="2025-02-03T00:00:00"/>
    <x v="0"/>
    <x v="1"/>
    <x v="0"/>
    <x v="0"/>
    <x v="0"/>
    <x v="4"/>
    <n v="4102.7268292682929"/>
    <n v="1510.0536585365853"/>
    <n v="0"/>
    <d v="2023-05-01T00:00:00"/>
    <x v="0"/>
  </r>
  <r>
    <x v="512"/>
    <d v="2023-04-01T00:00:00"/>
    <x v="511"/>
    <d v="2023-04-16T00:00:00"/>
    <x v="0"/>
    <x v="0"/>
    <n v="250200"/>
    <x v="0"/>
    <x v="0"/>
    <n v="5201.009"/>
    <n v="2.6455000000000002"/>
    <n v="0"/>
    <n v="0"/>
    <x v="0"/>
    <s v="Raw Cotton"/>
    <n v="192636949"/>
    <x v="0"/>
    <n v="36947767"/>
    <x v="0"/>
    <n v="152716696"/>
    <d v="2025-04-16T00:00:00"/>
    <x v="0"/>
    <x v="0"/>
    <x v="0"/>
    <x v="0"/>
    <x v="0"/>
    <x v="0"/>
    <d v="2025-02-15T00:00:00"/>
    <x v="0"/>
    <x v="1"/>
    <x v="0"/>
    <x v="0"/>
    <x v="0"/>
    <x v="0"/>
    <n v="769.93185051958437"/>
    <n v="147.67292965627499"/>
    <n v="0"/>
    <d v="2023-05-01T00:00:00"/>
    <x v="0"/>
  </r>
  <r>
    <x v="513"/>
    <d v="2023-04-01T00:00:00"/>
    <x v="512"/>
    <d v="2023-03-28T00:00:00"/>
    <x v="0"/>
    <x v="0"/>
    <n v="5500000"/>
    <x v="0"/>
    <x v="0"/>
    <n v="2701.12"/>
    <n v="0.1305"/>
    <n v="0"/>
    <n v="0"/>
    <x v="8"/>
    <s v="BITUMINOUS COAL (IN BULK)"/>
    <n v="205792421"/>
    <x v="0"/>
    <n v="46828889"/>
    <x v="0"/>
    <n v="152716644"/>
    <d v="2025-03-29T00:00:00"/>
    <x v="0"/>
    <x v="0"/>
    <x v="0"/>
    <x v="0"/>
    <x v="0"/>
    <x v="0"/>
    <d v="2025-01-28T00:00:00"/>
    <x v="0"/>
    <x v="1"/>
    <x v="0"/>
    <x v="0"/>
    <x v="0"/>
    <x v="5"/>
    <n v="37.416803818181819"/>
    <n v="8.5143434545454539"/>
    <n v="0"/>
    <d v="2023-05-01T00:00:00"/>
    <x v="0"/>
  </r>
  <r>
    <x v="514"/>
    <d v="2023-05-01T00:00:00"/>
    <x v="513"/>
    <d v="2023-04-26T00:00:00"/>
    <x v="1"/>
    <x v="0"/>
    <n v="14500"/>
    <x v="0"/>
    <x v="0"/>
    <n v="4007.009"/>
    <n v="2.6472000000000002"/>
    <n v="0"/>
    <n v="0"/>
    <x v="9"/>
    <s v="Extruded Rubber Thread (Elastic)"/>
    <n v="11132030"/>
    <x v="0"/>
    <n v="4257868"/>
    <x v="0"/>
    <n v="152716714"/>
    <d v="2025-04-20T00:00:00"/>
    <x v="0"/>
    <x v="0"/>
    <x v="0"/>
    <x v="0"/>
    <x v="0"/>
    <x v="0"/>
    <d v="2025-02-19T00:00:00"/>
    <x v="0"/>
    <x v="1"/>
    <x v="0"/>
    <x v="0"/>
    <x v="0"/>
    <x v="6"/>
    <n v="767.72620689655173"/>
    <n v="293.64606896551726"/>
    <n v="0"/>
    <d v="2023-05-06T00:00:00"/>
    <x v="0"/>
  </r>
  <r>
    <x v="515"/>
    <d v="2023-05-01T00:00:00"/>
    <x v="514"/>
    <d v="2023-04-27T00:00:00"/>
    <x v="0"/>
    <x v="0"/>
    <n v="48960"/>
    <x v="0"/>
    <x v="0"/>
    <n v="5402.33"/>
    <n v="1.5"/>
    <n v="0"/>
    <n v="0"/>
    <x v="6"/>
    <s v="100% POLYESTER TEXTURED YARN DTY 300D/96F HIM RW SD GRADE AA"/>
    <n v="21268693"/>
    <x v="0"/>
    <n v="8318143"/>
    <x v="0"/>
    <n v="152716719"/>
    <d v="2025-04-26T00:00:00"/>
    <x v="0"/>
    <x v="0"/>
    <x v="0"/>
    <x v="0"/>
    <x v="0"/>
    <x v="0"/>
    <d v="2025-02-25T00:00:00"/>
    <x v="0"/>
    <x v="1"/>
    <x v="0"/>
    <x v="0"/>
    <x v="0"/>
    <x v="3"/>
    <n v="434.40957924836601"/>
    <n v="169.8967116013072"/>
    <n v="0"/>
    <d v="2023-05-31T00:00:00"/>
    <x v="0"/>
  </r>
  <r>
    <x v="516"/>
    <d v="2023-05-01T00:00:00"/>
    <x v="515"/>
    <d v="2023-04-27T00:00:00"/>
    <x v="0"/>
    <x v="0"/>
    <n v="44000"/>
    <x v="0"/>
    <x v="0"/>
    <n v="2832.1089999999999"/>
    <n v="2.1800000000000002"/>
    <n v="0"/>
    <n v="0"/>
    <x v="12"/>
    <s v="HYDRO BLUE 90"/>
    <n v="27779045"/>
    <x v="0"/>
    <n v="5328021"/>
    <x v="0"/>
    <n v="152716726"/>
    <d v="2025-04-26T00:00:00"/>
    <x v="0"/>
    <x v="0"/>
    <x v="0"/>
    <x v="0"/>
    <x v="0"/>
    <x v="0"/>
    <d v="2025-02-25T00:00:00"/>
    <x v="0"/>
    <x v="1"/>
    <x v="0"/>
    <x v="0"/>
    <x v="0"/>
    <x v="5"/>
    <n v="631.34193181818182"/>
    <n v="121.09138636363636"/>
    <n v="0"/>
    <d v="2023-05-31T00:00:00"/>
    <x v="0"/>
  </r>
  <r>
    <x v="517"/>
    <d v="2023-05-01T00:00:00"/>
    <x v="516"/>
    <d v="2023-04-28T00:00:00"/>
    <x v="0"/>
    <x v="0"/>
    <n v="24480"/>
    <x v="0"/>
    <x v="0"/>
    <n v="5402.33"/>
    <n v="1.55"/>
    <n v="0"/>
    <n v="0"/>
    <x v="6"/>
    <s v="100% POLYESTER TEXTURED YARN DTY 150D/48F HIM SD GRADE AA"/>
    <n v="10990760"/>
    <x v="0"/>
    <n v="4298465"/>
    <x v="0"/>
    <n v="152716718"/>
    <d v="2025-04-26T00:00:00"/>
    <x v="0"/>
    <x v="0"/>
    <x v="0"/>
    <x v="0"/>
    <x v="0"/>
    <x v="0"/>
    <d v="2025-02-25T00:00:00"/>
    <x v="0"/>
    <x v="1"/>
    <x v="0"/>
    <x v="0"/>
    <x v="0"/>
    <x v="3"/>
    <n v="448.968954248366"/>
    <n v="175.59089052287581"/>
    <n v="0"/>
    <d v="2023-05-31T00:00:00"/>
    <x v="0"/>
  </r>
  <r>
    <x v="518"/>
    <d v="2023-05-01T00:00:00"/>
    <x v="517"/>
    <d v="2023-04-27T00:00:00"/>
    <x v="0"/>
    <x v="0"/>
    <n v="198653.3"/>
    <x v="0"/>
    <x v="0"/>
    <n v="5201.009"/>
    <n v="2.0083000000000002"/>
    <n v="0"/>
    <n v="0"/>
    <x v="0"/>
    <s v="Raw Cotton"/>
    <n v="115540040"/>
    <x v="0"/>
    <n v="22160579"/>
    <x v="0"/>
    <n v="152716720"/>
    <d v="2025-04-26T00:00:00"/>
    <x v="0"/>
    <x v="0"/>
    <x v="0"/>
    <x v="0"/>
    <x v="0"/>
    <x v="0"/>
    <d v="2025-02-25T00:00:00"/>
    <x v="0"/>
    <x v="1"/>
    <x v="0"/>
    <x v="0"/>
    <x v="0"/>
    <x v="0"/>
    <n v="581.6165148024221"/>
    <n v="111.55404415632663"/>
    <n v="0"/>
    <d v="2023-05-31T00:00:00"/>
    <x v="0"/>
  </r>
  <r>
    <x v="519"/>
    <d v="2023-05-01T00:00:00"/>
    <x v="518"/>
    <d v="2023-05-03T00:00:00"/>
    <x v="0"/>
    <x v="0"/>
    <n v="1600"/>
    <x v="0"/>
    <x v="0"/>
    <n v="3204.1590000000001"/>
    <n v="1.1553072625698324"/>
    <n v="0"/>
    <n v="0"/>
    <x v="5"/>
    <s v="DYES (FARBANTHREN)"/>
    <n v="22780633"/>
    <x v="0"/>
    <n v="8713318"/>
    <x v="0"/>
    <n v="152716730"/>
    <d v="2025-05-02T00:00:00"/>
    <x v="0"/>
    <x v="0"/>
    <x v="0"/>
    <x v="0"/>
    <x v="0"/>
    <x v="0"/>
    <d v="2025-03-03T00:00:00"/>
    <x v="0"/>
    <x v="1"/>
    <x v="0"/>
    <x v="0"/>
    <x v="0"/>
    <x v="4"/>
    <n v="14237.895624999999"/>
    <n v="5445.8237499999996"/>
    <n v="0"/>
    <d v="2023-05-31T00:00:00"/>
    <x v="0"/>
  </r>
  <r>
    <x v="520"/>
    <d v="2023-05-01T00:00:00"/>
    <x v="519"/>
    <d v="2023-04-28T00:00:00"/>
    <x v="0"/>
    <x v="0"/>
    <n v="1000"/>
    <x v="0"/>
    <x v="0"/>
    <n v="3204.1190000000001"/>
    <n v="35.15"/>
    <n v="0"/>
    <n v="0"/>
    <x v="5"/>
    <s v="DYES (SYNOLON BLUE AK)"/>
    <n v="10181457"/>
    <x v="0"/>
    <n v="3287572"/>
    <x v="0"/>
    <n v="152716727"/>
    <d v="2025-04-26T00:00:00"/>
    <x v="0"/>
    <x v="0"/>
    <x v="0"/>
    <x v="0"/>
    <x v="0"/>
    <x v="0"/>
    <d v="2025-02-25T00:00:00"/>
    <x v="0"/>
    <x v="1"/>
    <x v="0"/>
    <x v="0"/>
    <x v="0"/>
    <x v="4"/>
    <n v="10181.457"/>
    <n v="3287.5720000000001"/>
    <n v="0"/>
    <d v="2023-05-31T00:00:00"/>
    <x v="0"/>
  </r>
  <r>
    <x v="521"/>
    <d v="2023-05-01T00:00:00"/>
    <x v="520"/>
    <d v="2023-05-03T00:00:00"/>
    <x v="0"/>
    <x v="0"/>
    <n v="300"/>
    <x v="0"/>
    <x v="0"/>
    <n v="5206.24"/>
    <n v="4.2766999999999999"/>
    <n v="0"/>
    <n v="0"/>
    <x v="2"/>
    <s v="BLANDED FABRIC CVC 60/40 - 300/MTRS"/>
    <n v="372091"/>
    <x v="0"/>
    <n v="120148"/>
    <x v="0"/>
    <n v="152716682"/>
    <d v="2025-04-25T00:00:00"/>
    <x v="0"/>
    <x v="0"/>
    <x v="0"/>
    <x v="0"/>
    <x v="0"/>
    <x v="0"/>
    <d v="2025-02-24T00:00:00"/>
    <x v="0"/>
    <x v="1"/>
    <x v="0"/>
    <x v="0"/>
    <x v="0"/>
    <x v="2"/>
    <n v="1240.3033333333333"/>
    <n v="400.49333333333334"/>
    <n v="0"/>
    <d v="2023-05-31T00:00:00"/>
    <x v="0"/>
  </r>
  <r>
    <x v="522"/>
    <d v="2023-05-01T00:00:00"/>
    <x v="521"/>
    <d v="2023-05-02T00:00:00"/>
    <x v="0"/>
    <x v="0"/>
    <n v="1000"/>
    <x v="0"/>
    <x v="0"/>
    <n v="3204.16"/>
    <n v="11.25"/>
    <n v="0"/>
    <n v="0"/>
    <x v="5"/>
    <s v="DYES (NOVACRON)"/>
    <n v="3263236"/>
    <x v="0"/>
    <n v="1248149"/>
    <x v="0"/>
    <n v="152716676"/>
    <d v="2025-04-28T00:00:00"/>
    <x v="0"/>
    <x v="0"/>
    <x v="0"/>
    <x v="0"/>
    <x v="0"/>
    <x v="0"/>
    <d v="2025-02-27T00:00:00"/>
    <x v="0"/>
    <x v="1"/>
    <x v="0"/>
    <x v="0"/>
    <x v="0"/>
    <x v="4"/>
    <n v="3263.2359999999999"/>
    <n v="1248.1489999999999"/>
    <n v="0"/>
    <d v="2023-05-31T00:00:00"/>
    <x v="0"/>
  </r>
  <r>
    <x v="523"/>
    <d v="2023-05-01T00:00:00"/>
    <x v="522"/>
    <d v="2023-05-08T00:00:00"/>
    <x v="0"/>
    <x v="0"/>
    <n v="3650"/>
    <x v="0"/>
    <x v="0"/>
    <s v="3204.1190 / 3204.1600"/>
    <s v="18.12 / 6.18 / 8.51"/>
    <n v="0"/>
    <n v="0"/>
    <x v="5"/>
    <s v="DYES (TERASIL / NOVACRON)"/>
    <n v="13904182"/>
    <x v="0"/>
    <n v="4691994"/>
    <x v="0"/>
    <n v="152716734"/>
    <d v="2025-05-05T00:00:00"/>
    <x v="0"/>
    <x v="0"/>
    <x v="0"/>
    <x v="0"/>
    <x v="0"/>
    <x v="0"/>
    <d v="2025-03-06T00:00:00"/>
    <x v="0"/>
    <x v="1"/>
    <x v="0"/>
    <x v="0"/>
    <x v="0"/>
    <x v="4"/>
    <n v="3809.3649315068492"/>
    <n v="1285.4778082191781"/>
    <n v="0"/>
    <d v="2023-05-31T00:00:00"/>
    <x v="0"/>
  </r>
  <r>
    <x v="524"/>
    <d v="2023-05-01T00:00:00"/>
    <x v="523"/>
    <d v="2023-05-05T00:00:00"/>
    <x v="0"/>
    <x v="0"/>
    <n v="7536"/>
    <x v="0"/>
    <x v="0"/>
    <n v="5402.33"/>
    <n v="4.6500000000000004"/>
    <n v="0"/>
    <n v="0"/>
    <x v="6"/>
    <s v="POLYESTER FILMAMENT YARN RTSS DT 150D/72F SD RW AA"/>
    <n v="10162802"/>
    <x v="0"/>
    <n v="3974651"/>
    <x v="0"/>
    <n v="152716684"/>
    <d v="2025-05-04T00:00:00"/>
    <x v="0"/>
    <x v="0"/>
    <x v="0"/>
    <x v="0"/>
    <x v="0"/>
    <x v="0"/>
    <d v="2025-03-05T00:00:00"/>
    <x v="0"/>
    <x v="1"/>
    <x v="0"/>
    <x v="0"/>
    <x v="0"/>
    <x v="3"/>
    <n v="1348.567144373673"/>
    <n v="527.42184182590233"/>
    <n v="0"/>
    <d v="2023-05-31T00:00:00"/>
    <x v="0"/>
  </r>
  <r>
    <x v="525"/>
    <d v="2023-05-01T00:00:00"/>
    <x v="524"/>
    <d v="2023-05-08T00:00:00"/>
    <x v="0"/>
    <x v="0"/>
    <n v="5000"/>
    <x v="0"/>
    <x v="0"/>
    <n v="3204.2"/>
    <n v="7.694"/>
    <n v="0"/>
    <n v="0"/>
    <x v="5"/>
    <s v="DYES (VEEBRIGHT EHT)"/>
    <n v="11154893"/>
    <x v="0"/>
    <n v="4798389"/>
    <x v="0"/>
    <n v="152716751"/>
    <d v="2025-05-08T00:00:00"/>
    <x v="0"/>
    <x v="0"/>
    <x v="0"/>
    <x v="0"/>
    <x v="0"/>
    <x v="0"/>
    <d v="2025-03-09T00:00:00"/>
    <x v="0"/>
    <x v="1"/>
    <x v="0"/>
    <x v="0"/>
    <x v="0"/>
    <x v="4"/>
    <n v="2230.9785999999999"/>
    <n v="959.67780000000005"/>
    <n v="0"/>
    <d v="2023-05-31T00:00:00"/>
    <x v="0"/>
  </r>
  <r>
    <x v="526"/>
    <d v="2023-05-01T00:00:00"/>
    <x v="525"/>
    <d v="2023-05-05T00:00:00"/>
    <x v="0"/>
    <x v="0"/>
    <n v="1800"/>
    <x v="0"/>
    <x v="0"/>
    <n v="3809.9110000000001"/>
    <n v="23.5504"/>
    <n v="0"/>
    <n v="0"/>
    <x v="12"/>
    <s v="CHEMICAL (RAROPRINT PH)"/>
    <n v="13649149"/>
    <x v="0"/>
    <n v="2617907"/>
    <x v="0"/>
    <n v="152716737"/>
    <d v="2025-05-05T00:00:00"/>
    <x v="0"/>
    <x v="0"/>
    <x v="0"/>
    <x v="0"/>
    <x v="0"/>
    <x v="0"/>
    <d v="2025-03-06T00:00:00"/>
    <x v="0"/>
    <x v="1"/>
    <x v="0"/>
    <x v="0"/>
    <x v="0"/>
    <x v="5"/>
    <n v="7582.8605555555559"/>
    <n v="1454.3927777777778"/>
    <n v="0"/>
    <d v="2023-05-31T00:00:00"/>
    <x v="0"/>
  </r>
  <r>
    <x v="527"/>
    <d v="2023-05-01T00:00:00"/>
    <x v="526"/>
    <d v="2023-05-08T00:00:00"/>
    <x v="0"/>
    <x v="0"/>
    <n v="50"/>
    <x v="0"/>
    <x v="0"/>
    <n v="3215.1990000000001"/>
    <n v="48.8"/>
    <n v="0"/>
    <n v="0"/>
    <x v="5"/>
    <s v="REPRINT LRW (PRINTING PASTE)"/>
    <n v="707511"/>
    <x v="0"/>
    <n v="349425"/>
    <x v="0"/>
    <n v="152716749"/>
    <d v="2025-05-07T00:00:00"/>
    <x v="0"/>
    <x v="0"/>
    <x v="0"/>
    <x v="0"/>
    <x v="0"/>
    <x v="0"/>
    <d v="2025-03-08T00:00:00"/>
    <x v="0"/>
    <x v="1"/>
    <x v="0"/>
    <x v="0"/>
    <x v="0"/>
    <x v="4"/>
    <n v="14150.22"/>
    <n v="6988.5"/>
    <n v="0"/>
    <d v="2023-05-31T00:00:00"/>
    <x v="0"/>
  </r>
  <r>
    <x v="528"/>
    <d v="2023-05-01T00:00:00"/>
    <x v="527"/>
    <d v="2023-05-11T00:00:00"/>
    <x v="0"/>
    <x v="0"/>
    <n v="48960"/>
    <x v="0"/>
    <x v="0"/>
    <n v="5402.33"/>
    <n v="1.2"/>
    <n v="0"/>
    <n v="0"/>
    <x v="6"/>
    <s v="100% POLYESTER TEXTURED YARN DTY 300D/96F HIM RW SD GRADE AA"/>
    <n v="17098861"/>
    <x v="0"/>
    <n v="6687330"/>
    <x v="0"/>
    <n v="152716757"/>
    <d v="2025-05-10T00:00:00"/>
    <x v="0"/>
    <x v="0"/>
    <x v="0"/>
    <x v="0"/>
    <x v="0"/>
    <x v="0"/>
    <d v="2025-03-11T00:00:00"/>
    <x v="0"/>
    <x v="1"/>
    <x v="0"/>
    <x v="0"/>
    <x v="0"/>
    <x v="3"/>
    <n v="349.24144199346404"/>
    <n v="136.58762254901961"/>
    <n v="0"/>
    <d v="2023-05-31T00:00:00"/>
    <x v="0"/>
  </r>
  <r>
    <x v="529"/>
    <d v="2023-05-01T00:00:00"/>
    <x v="528"/>
    <d v="2023-05-10T00:00:00"/>
    <x v="0"/>
    <x v="0"/>
    <n v="19300"/>
    <x v="0"/>
    <x v="0"/>
    <s v="3906.9090 / 3809.9190"/>
    <s v="3.20 / 1.55"/>
    <n v="0"/>
    <n v="0"/>
    <x v="12"/>
    <s v="Chemical (PERIPRINT / PERIGEN DLS)"/>
    <n v="16404066"/>
    <x v="0"/>
    <n v="5482676"/>
    <x v="0"/>
    <n v="152716755"/>
    <d v="2025-05-10T00:00:00"/>
    <x v="0"/>
    <x v="0"/>
    <x v="0"/>
    <x v="0"/>
    <x v="0"/>
    <x v="0"/>
    <d v="2025-03-11T00:00:00"/>
    <x v="0"/>
    <x v="1"/>
    <x v="0"/>
    <x v="0"/>
    <x v="0"/>
    <x v="5"/>
    <n v="849.95160621761659"/>
    <n v="284.07647668393781"/>
    <n v="0"/>
    <d v="2023-05-31T00:00:00"/>
    <x v="0"/>
  </r>
  <r>
    <x v="530"/>
    <d v="2023-05-01T00:00:00"/>
    <x v="529"/>
    <d v="2023-05-09T00:00:00"/>
    <x v="0"/>
    <x v="0"/>
    <n v="400"/>
    <x v="0"/>
    <x v="0"/>
    <n v="3402.9"/>
    <s v="6.45 / 4.30"/>
    <n v="0"/>
    <n v="0"/>
    <x v="12"/>
    <s v="Chemical LIQUID / POWDER (FABRIC TREATMENT)"/>
    <n v="622763"/>
    <x v="0"/>
    <n v="267888"/>
    <x v="0"/>
    <n v="152716756"/>
    <d v="2023-05-05T00:00:00"/>
    <x v="0"/>
    <x v="0"/>
    <x v="0"/>
    <x v="0"/>
    <x v="0"/>
    <x v="0"/>
    <d v="2023-03-06T00:00:00"/>
    <x v="0"/>
    <x v="1"/>
    <x v="0"/>
    <x v="0"/>
    <x v="0"/>
    <x v="5"/>
    <n v="1556.9075"/>
    <n v="669.72"/>
    <n v="0"/>
    <d v="2023-05-31T00:00:00"/>
    <x v="0"/>
  </r>
  <r>
    <x v="531"/>
    <d v="2023-05-01T00:00:00"/>
    <x v="530"/>
    <d v="2023-05-16T00:00:00"/>
    <x v="0"/>
    <x v="0"/>
    <n v="1200"/>
    <x v="0"/>
    <x v="0"/>
    <n v="3204.16"/>
    <s v="228.2725 / 63.2684"/>
    <n v="0"/>
    <n v="0"/>
    <x v="5"/>
    <s v="DYES (BEZATHREN)"/>
    <n v="55779616"/>
    <x v="0"/>
    <n v="21335033"/>
    <x v="0"/>
    <n v="152716761"/>
    <d v="2025-05-15T00:00:00"/>
    <x v="0"/>
    <x v="0"/>
    <x v="0"/>
    <x v="0"/>
    <x v="0"/>
    <x v="0"/>
    <d v="2025-03-16T00:00:00"/>
    <x v="0"/>
    <x v="1"/>
    <x v="0"/>
    <x v="0"/>
    <x v="0"/>
    <x v="4"/>
    <n v="46483.013333333336"/>
    <n v="17779.194166666668"/>
    <n v="0"/>
    <d v="2023-05-31T00:00:00"/>
    <x v="0"/>
  </r>
  <r>
    <x v="532"/>
    <d v="2023-05-01T00:00:00"/>
    <x v="531"/>
    <d v="2023-05-15T00:00:00"/>
    <x v="0"/>
    <x v="0"/>
    <n v="1000"/>
    <x v="0"/>
    <x v="0"/>
    <n v="3707.1"/>
    <n v="9.0749999999999993"/>
    <n v="0"/>
    <n v="0"/>
    <x v="12"/>
    <s v="Chemical (EMULSION AQUASOL)"/>
    <n v="2693443"/>
    <x v="0"/>
    <n v="516603"/>
    <x v="0"/>
    <n v="152716764"/>
    <d v="2025-05-14T00:00:00"/>
    <x v="0"/>
    <x v="0"/>
    <x v="0"/>
    <x v="0"/>
    <x v="0"/>
    <x v="0"/>
    <d v="2025-03-15T00:00:00"/>
    <x v="0"/>
    <x v="1"/>
    <x v="0"/>
    <x v="0"/>
    <x v="0"/>
    <x v="5"/>
    <n v="2693.4430000000002"/>
    <n v="516.60299999999995"/>
    <n v="0"/>
    <d v="2023-05-31T00:00:00"/>
    <x v="0"/>
  </r>
  <r>
    <x v="533"/>
    <d v="2023-05-01T00:00:00"/>
    <x v="532"/>
    <d v="2023-05-17T00:00:00"/>
    <x v="0"/>
    <x v="0"/>
    <n v="250"/>
    <x v="0"/>
    <x v="0"/>
    <n v="3204.16"/>
    <n v="4.04"/>
    <n v="0"/>
    <n v="0"/>
    <x v="5"/>
    <s v="DYES (SETAZOL BLACK SDN)"/>
    <n v="294099"/>
    <x v="0"/>
    <n v="112490"/>
    <x v="0"/>
    <n v="152716763"/>
    <d v="2025-05-16T00:00:00"/>
    <x v="0"/>
    <x v="0"/>
    <x v="0"/>
    <x v="0"/>
    <x v="0"/>
    <x v="0"/>
    <d v="2025-03-17T00:00:00"/>
    <x v="0"/>
    <x v="1"/>
    <x v="0"/>
    <x v="0"/>
    <x v="0"/>
    <x v="4"/>
    <n v="1176.396"/>
    <n v="449.96"/>
    <n v="0"/>
    <d v="2023-05-31T00:00:00"/>
    <x v="0"/>
  </r>
  <r>
    <x v="534"/>
    <d v="2023-05-01T00:00:00"/>
    <x v="533"/>
    <d v="2023-05-22T00:00:00"/>
    <x v="1"/>
    <x v="0"/>
    <n v="100036"/>
    <x v="0"/>
    <x v="0"/>
    <n v="4810.29"/>
    <n v="0.86499999999999999"/>
    <n v="0"/>
    <n v="0"/>
    <x v="9"/>
    <s v="2/S COATED ART BOARD "/>
    <n v="26276011"/>
    <x v="0"/>
    <n v="11674957"/>
    <x v="0"/>
    <n v="152716769"/>
    <d v="2025-05-21T00:00:00"/>
    <x v="0"/>
    <x v="0"/>
    <x v="0"/>
    <x v="0"/>
    <x v="0"/>
    <x v="0"/>
    <d v="2025-03-22T00:00:00"/>
    <x v="0"/>
    <x v="1"/>
    <x v="0"/>
    <x v="0"/>
    <x v="0"/>
    <x v="6"/>
    <n v="262.66555040185534"/>
    <n v="116.70755528009916"/>
    <n v="0"/>
    <d v="2023-05-06T00:00:00"/>
    <x v="0"/>
  </r>
  <r>
    <x v="535"/>
    <d v="2023-05-01T00:00:00"/>
    <x v="534"/>
    <d v="2023-05-22T00:00:00"/>
    <x v="0"/>
    <x v="0"/>
    <n v="1008"/>
    <x v="0"/>
    <x v="0"/>
    <n v="3707.1"/>
    <n v="6.35"/>
    <n v="0"/>
    <n v="0"/>
    <x v="12"/>
    <s v="CHEMICAL (ADHESIVE AGENT FOR PRINTING)"/>
    <n v="1868077"/>
    <x v="0"/>
    <n v="358297"/>
    <x v="0"/>
    <n v="152721318"/>
    <d v="2025-05-20T00:00:00"/>
    <x v="0"/>
    <x v="0"/>
    <x v="0"/>
    <x v="0"/>
    <x v="0"/>
    <x v="0"/>
    <d v="2025-03-21T00:00:00"/>
    <x v="0"/>
    <x v="1"/>
    <x v="0"/>
    <x v="0"/>
    <x v="0"/>
    <x v="5"/>
    <n v="1853.250992063492"/>
    <n v="355.45337301587301"/>
    <n v="0"/>
    <d v="2023-05-31T00:00:00"/>
    <x v="0"/>
  </r>
  <r>
    <x v="536"/>
    <d v="2023-05-01T00:00:00"/>
    <x v="535"/>
    <d v="2023-05-24T00:00:00"/>
    <x v="0"/>
    <x v="0"/>
    <n v="18720"/>
    <x v="0"/>
    <x v="0"/>
    <n v="3906.9029999999998"/>
    <n v="2.1"/>
    <n v="0"/>
    <n v="0"/>
    <x v="12"/>
    <s v="CHEMICAL (FLOPRINT)"/>
    <n v="11507318"/>
    <x v="0"/>
    <n v="2618537"/>
    <x v="0"/>
    <n v="152716772"/>
    <d v="2025-05-24T00:00:00"/>
    <x v="0"/>
    <x v="0"/>
    <x v="0"/>
    <x v="0"/>
    <x v="0"/>
    <x v="0"/>
    <d v="2025-03-25T00:00:00"/>
    <x v="0"/>
    <x v="1"/>
    <x v="0"/>
    <x v="0"/>
    <x v="0"/>
    <x v="5"/>
    <n v="614.70715811965817"/>
    <n v="139.87911324786324"/>
    <n v="0"/>
    <d v="2023-05-31T00:00:00"/>
    <x v="0"/>
  </r>
  <r>
    <x v="537"/>
    <d v="2023-05-01T00:00:00"/>
    <x v="536"/>
    <d v="2023-05-24T00:00:00"/>
    <x v="0"/>
    <x v="0"/>
    <n v="18720"/>
    <x v="0"/>
    <x v="0"/>
    <n v="3906.9029999999998"/>
    <n v="2.1"/>
    <n v="0"/>
    <n v="0"/>
    <x v="12"/>
    <s v="CHEMICAL (FLOPRINT)"/>
    <n v="11507318"/>
    <x v="0"/>
    <n v="2618537"/>
    <x v="0"/>
    <n v="152716771"/>
    <d v="2025-05-24T00:00:00"/>
    <x v="0"/>
    <x v="0"/>
    <x v="0"/>
    <x v="0"/>
    <x v="0"/>
    <x v="0"/>
    <d v="2025-03-25T00:00:00"/>
    <x v="0"/>
    <x v="1"/>
    <x v="0"/>
    <x v="0"/>
    <x v="0"/>
    <x v="5"/>
    <n v="614.70715811965817"/>
    <n v="139.87911324786324"/>
    <n v="0"/>
    <d v="2023-05-31T00:00:00"/>
    <x v="0"/>
  </r>
  <r>
    <x v="538"/>
    <d v="2023-06-01T00:00:00"/>
    <x v="537"/>
    <d v="2023-05-29T00:00:00"/>
    <x v="0"/>
    <x v="0"/>
    <n v="25600"/>
    <x v="0"/>
    <x v="0"/>
    <n v="3910"/>
    <n v="1.7"/>
    <n v="0"/>
    <n v="0"/>
    <x v="12"/>
    <s v="CHEMICAL (SILICONE HT)"/>
    <n v="12707998"/>
    <x v="0"/>
    <n v="2437394"/>
    <x v="0"/>
    <n v="152716781"/>
    <d v="2025-05-29T00:00:00"/>
    <x v="0"/>
    <x v="0"/>
    <x v="0"/>
    <x v="0"/>
    <x v="0"/>
    <x v="0"/>
    <d v="2025-03-30T00:00:00"/>
    <x v="0"/>
    <x v="1"/>
    <x v="0"/>
    <x v="0"/>
    <x v="0"/>
    <x v="5"/>
    <n v="496.40617187499998"/>
    <n v="95.210703124999995"/>
    <n v="0"/>
    <d v="2023-07-01T00:00:00"/>
    <x v="0"/>
  </r>
  <r>
    <x v="539"/>
    <d v="2023-06-01T00:00:00"/>
    <x v="538"/>
    <d v="2023-05-26T00:00:00"/>
    <x v="1"/>
    <x v="0"/>
    <n v="8100"/>
    <x v="0"/>
    <x v="0"/>
    <n v="5901.9089999999997"/>
    <n v="2.8060999999999998"/>
    <n v="0"/>
    <n v="0"/>
    <x v="9"/>
    <s v="100% POLYESTER NON WOVEN INTERLINING 52 GSM WIDTH:32&quot; COLOR WHITE (180000/MTRS)"/>
    <n v="6668372"/>
    <x v="0"/>
    <n v="2153204"/>
    <x v="0"/>
    <n v="152716776"/>
    <d v="2025-05-25T00:00:00"/>
    <x v="0"/>
    <x v="0"/>
    <x v="0"/>
    <x v="0"/>
    <x v="0"/>
    <x v="0"/>
    <d v="2025-03-26T00:00:00"/>
    <x v="0"/>
    <x v="1"/>
    <x v="0"/>
    <x v="0"/>
    <x v="0"/>
    <x v="6"/>
    <n v="823.2558024691358"/>
    <n v="265.82765432098768"/>
    <n v="0"/>
    <d v="2023-06-06T00:00:00"/>
    <x v="0"/>
  </r>
  <r>
    <x v="540"/>
    <d v="2023-06-01T00:00:00"/>
    <x v="539"/>
    <d v="2023-05-03T00:00:00"/>
    <x v="0"/>
    <x v="0"/>
    <n v="26000"/>
    <x v="0"/>
    <x v="0"/>
    <n v="3402.9"/>
    <s v="15.00 / 11.70"/>
    <n v="0"/>
    <n v="0"/>
    <x v="12"/>
    <s v="CHEMICAL (DYMAFIX / WETMATIC)"/>
    <n v="12957518"/>
    <x v="0"/>
    <n v="5573806"/>
    <x v="0"/>
    <n v="52716890"/>
    <d v="2025-05-30T00:00:00"/>
    <x v="0"/>
    <x v="0"/>
    <x v="0"/>
    <x v="0"/>
    <x v="0"/>
    <x v="0"/>
    <d v="2025-03-31T00:00:00"/>
    <x v="0"/>
    <x v="1"/>
    <x v="0"/>
    <x v="0"/>
    <x v="0"/>
    <x v="5"/>
    <n v="498.36607692307695"/>
    <n v="214.37715384615385"/>
    <n v="0"/>
    <d v="2023-07-01T00:00:00"/>
    <x v="0"/>
  </r>
  <r>
    <x v="541"/>
    <d v="2023-06-01T00:00:00"/>
    <x v="540"/>
    <d v="2023-06-01T00:00:00"/>
    <x v="0"/>
    <x v="0"/>
    <n v="18720"/>
    <x v="0"/>
    <x v="0"/>
    <n v="3906.9029999999998"/>
    <n v="2.1"/>
    <n v="0"/>
    <n v="0"/>
    <x v="12"/>
    <s v="CHEMICAL (FLOPRINT)"/>
    <n v="11461201"/>
    <x v="0"/>
    <n v="2608042"/>
    <x v="0"/>
    <n v="152716891"/>
    <d v="2025-05-30T00:00:00"/>
    <x v="0"/>
    <x v="0"/>
    <x v="0"/>
    <x v="0"/>
    <x v="0"/>
    <x v="0"/>
    <d v="2025-03-31T00:00:00"/>
    <x v="0"/>
    <x v="1"/>
    <x v="0"/>
    <x v="0"/>
    <x v="0"/>
    <x v="5"/>
    <n v="612.24364316239314"/>
    <n v="139.3184829059829"/>
    <n v="0"/>
    <d v="2023-07-01T00:00:00"/>
    <x v="0"/>
  </r>
  <r>
    <x v="542"/>
    <d v="2023-06-01T00:00:00"/>
    <x v="541"/>
    <d v="2023-06-07T00:00:00"/>
    <x v="0"/>
    <x v="0"/>
    <n v="3053.4"/>
    <x v="0"/>
    <x v="0"/>
    <n v="5503.2089999999998"/>
    <n v="3.2456"/>
    <n v="0"/>
    <n v="0"/>
    <x v="6"/>
    <s v="LENZING LYOCELL RB BRIGHT RAW WHITE"/>
    <n v="2898339"/>
    <x v="0"/>
    <n v="935867"/>
    <x v="0"/>
    <n v="152716899"/>
    <d v="2025-06-05T00:00:00"/>
    <x v="0"/>
    <x v="0"/>
    <x v="0"/>
    <x v="0"/>
    <x v="0"/>
    <x v="0"/>
    <d v="2025-04-06T00:00:00"/>
    <x v="0"/>
    <x v="1"/>
    <x v="0"/>
    <x v="0"/>
    <x v="0"/>
    <x v="3"/>
    <n v="949.21693849479266"/>
    <n v="306.49996724962335"/>
    <n v="0"/>
    <d v="2023-07-01T00:00:00"/>
    <x v="0"/>
  </r>
  <r>
    <x v="543"/>
    <d v="2023-06-01T00:00:00"/>
    <x v="542"/>
    <d v="2023-06-06T00:00:00"/>
    <x v="0"/>
    <x v="0"/>
    <n v="3950"/>
    <x v="0"/>
    <x v="0"/>
    <s v="3204.1190 / 3204.1600"/>
    <s v="29.5 / 11.55 / 9.6 / 16.4 / 11.15 / 7.15"/>
    <n v="0"/>
    <n v="0"/>
    <x v="5"/>
    <s v="DYES (SYNOLON / SYNOZOL)"/>
    <n v="17345635"/>
    <x v="0"/>
    <n v="5860702"/>
    <x v="0"/>
    <n v="152716894"/>
    <d v="2025-06-05T00:00:00"/>
    <x v="0"/>
    <x v="0"/>
    <x v="0"/>
    <x v="0"/>
    <x v="0"/>
    <x v="0"/>
    <d v="2025-04-06T00:00:00"/>
    <x v="0"/>
    <x v="1"/>
    <x v="0"/>
    <x v="0"/>
    <x v="0"/>
    <x v="4"/>
    <n v="4391.3"/>
    <n v="1483.7220253164558"/>
    <n v="0"/>
    <d v="2023-07-01T00:00:00"/>
    <x v="0"/>
  </r>
  <r>
    <x v="544"/>
    <d v="2023-06-01T00:00:00"/>
    <x v="543"/>
    <d v="2023-06-12T00:00:00"/>
    <x v="1"/>
    <x v="0"/>
    <n v="7525"/>
    <x v="0"/>
    <x v="0"/>
    <n v="5807.1019999999999"/>
    <n v="3.887"/>
    <n v="0"/>
    <n v="0"/>
    <x v="9"/>
    <s v="RIBBONS"/>
    <n v="8573832"/>
    <x v="0"/>
    <n v="2768474"/>
    <x v="0"/>
    <n v="152716787"/>
    <d v="2025-06-12T00:00:00"/>
    <x v="0"/>
    <x v="0"/>
    <x v="0"/>
    <x v="0"/>
    <x v="0"/>
    <x v="0"/>
    <d v="2025-04-13T00:00:00"/>
    <x v="0"/>
    <x v="1"/>
    <x v="0"/>
    <x v="0"/>
    <x v="0"/>
    <x v="6"/>
    <n v="1139.3796677740863"/>
    <n v="367.90352159468438"/>
    <n v="0"/>
    <d v="2023-06-06T00:00:00"/>
    <x v="0"/>
  </r>
  <r>
    <x v="545"/>
    <d v="2023-06-01T00:00:00"/>
    <x v="544"/>
    <d v="2023-06-20T00:00:00"/>
    <x v="0"/>
    <x v="0"/>
    <n v="12000"/>
    <x v="0"/>
    <x v="0"/>
    <n v="3204.16"/>
    <s v="3.10 / 4.30 / 6.00 / 5.10"/>
    <n v="0"/>
    <n v="0"/>
    <x v="5"/>
    <s v="DYES (LIYUANSOL)"/>
    <n v="13133354"/>
    <x v="0"/>
    <n v="5023352"/>
    <x v="0"/>
    <n v="152716914"/>
    <d v="2025-06-16T00:00:00"/>
    <x v="0"/>
    <x v="0"/>
    <x v="0"/>
    <x v="0"/>
    <x v="0"/>
    <x v="0"/>
    <d v="2025-04-17T00:00:00"/>
    <x v="0"/>
    <x v="1"/>
    <x v="0"/>
    <x v="0"/>
    <x v="0"/>
    <x v="4"/>
    <n v="1094.4461666666666"/>
    <n v="418.61266666666666"/>
    <n v="0"/>
    <d v="2023-07-01T00:00:00"/>
    <x v="0"/>
  </r>
  <r>
    <x v="546"/>
    <d v="2023-06-01T00:00:00"/>
    <x v="545"/>
    <d v="2023-06-19T00:00:00"/>
    <x v="0"/>
    <x v="0"/>
    <n v="19911"/>
    <x v="0"/>
    <x v="0"/>
    <n v="5201.009"/>
    <n v="2.0062000000000002"/>
    <n v="0"/>
    <n v="0"/>
    <x v="0"/>
    <s v="Raw Cotton"/>
    <n v="11725338"/>
    <x v="0"/>
    <n v="2248920"/>
    <x v="0"/>
    <n v="152716917"/>
    <d v="2025-06-16T00:00:00"/>
    <x v="0"/>
    <x v="0"/>
    <x v="0"/>
    <x v="0"/>
    <x v="0"/>
    <x v="0"/>
    <d v="2025-04-17T00:00:00"/>
    <x v="0"/>
    <x v="1"/>
    <x v="0"/>
    <x v="0"/>
    <x v="0"/>
    <x v="0"/>
    <n v="588.88744914871177"/>
    <n v="112.94862136507459"/>
    <n v="0"/>
    <d v="2023-07-01T00:00:00"/>
    <x v="0"/>
  </r>
  <r>
    <x v="547"/>
    <d v="2023-06-01T00:00:00"/>
    <x v="546"/>
    <d v="2023-06-19T00:00:00"/>
    <x v="0"/>
    <x v="0"/>
    <n v="49360"/>
    <x v="0"/>
    <x v="0"/>
    <n v="5201.009"/>
    <n v="2.0061"/>
    <n v="0"/>
    <n v="0"/>
    <x v="0"/>
    <s v="Raw Cotton"/>
    <n v="29066036"/>
    <x v="0"/>
    <n v="5574865"/>
    <x v="0"/>
    <n v="152716916"/>
    <d v="2025-06-16T00:00:00"/>
    <x v="0"/>
    <x v="0"/>
    <x v="0"/>
    <x v="0"/>
    <x v="0"/>
    <x v="0"/>
    <d v="2025-04-17T00:00:00"/>
    <x v="0"/>
    <x v="1"/>
    <x v="0"/>
    <x v="0"/>
    <x v="0"/>
    <x v="0"/>
    <n v="588.85810372771471"/>
    <n v="112.94297001620745"/>
    <n v="0"/>
    <d v="2023-07-01T00:00:00"/>
    <x v="0"/>
  </r>
  <r>
    <x v="548"/>
    <d v="2023-06-01T00:00:00"/>
    <x v="547"/>
    <d v="2023-06-19T00:00:00"/>
    <x v="0"/>
    <x v="0"/>
    <n v="23993"/>
    <x v="0"/>
    <x v="0"/>
    <n v="5201.009"/>
    <n v="2.0062000000000002"/>
    <n v="0"/>
    <n v="0"/>
    <x v="0"/>
    <s v="Raw Cotton"/>
    <n v="14129177"/>
    <x v="0"/>
    <n v="2709976"/>
    <x v="0"/>
    <n v="152716915"/>
    <d v="2025-06-16T00:00:00"/>
    <x v="0"/>
    <x v="0"/>
    <x v="0"/>
    <x v="0"/>
    <x v="0"/>
    <x v="0"/>
    <d v="2025-04-17T00:00:00"/>
    <x v="0"/>
    <x v="1"/>
    <x v="0"/>
    <x v="0"/>
    <x v="0"/>
    <x v="0"/>
    <n v="588.88746717792685"/>
    <n v="112.94861001125328"/>
    <n v="0"/>
    <d v="2023-07-01T00:00:00"/>
    <x v="0"/>
  </r>
  <r>
    <x v="549"/>
    <d v="2023-06-01T00:00:00"/>
    <x v="548"/>
    <d v="2023-06-19T00:00:00"/>
    <x v="0"/>
    <x v="0"/>
    <n v="287180.09999999998"/>
    <x v="0"/>
    <x v="0"/>
    <n v="5201.009"/>
    <n v="2.0061"/>
    <n v="0"/>
    <n v="0"/>
    <x v="0"/>
    <s v="Raw Cotton"/>
    <n v="169108330"/>
    <x v="0"/>
    <n v="32434977"/>
    <x v="0"/>
    <n v="152716919"/>
    <d v="2025-06-16T00:00:00"/>
    <x v="0"/>
    <x v="0"/>
    <x v="0"/>
    <x v="0"/>
    <x v="0"/>
    <x v="0"/>
    <d v="2025-04-17T00:00:00"/>
    <x v="0"/>
    <x v="1"/>
    <x v="0"/>
    <x v="0"/>
    <x v="0"/>
    <x v="0"/>
    <n v="588.85810681171859"/>
    <n v="112.94298246988564"/>
    <n v="0"/>
    <d v="2023-07-01T00:00:00"/>
    <x v="0"/>
  </r>
  <r>
    <x v="550"/>
    <d v="2023-06-01T00:00:00"/>
    <x v="549"/>
    <d v="2023-06-21T00:00:00"/>
    <x v="0"/>
    <x v="0"/>
    <n v="1770"/>
    <x v="0"/>
    <x v="0"/>
    <n v="5407.52"/>
    <n v="14.8188"/>
    <n v="0"/>
    <n v="0"/>
    <x v="11"/>
    <s v="100% POLYMIDE FABRIC CORDURA 500X500 1/1 57 CUTTABLE WIDTH:210 GSM ECO BIONIC FINISH (5702/MTRS)"/>
    <n v="7700516"/>
    <x v="0"/>
    <n v="2945356"/>
    <x v="0"/>
    <n v="152716920"/>
    <d v="2025-06-19T00:00:00"/>
    <x v="0"/>
    <x v="0"/>
    <x v="0"/>
    <x v="0"/>
    <x v="0"/>
    <x v="0"/>
    <d v="2025-04-20T00:00:00"/>
    <x v="0"/>
    <x v="1"/>
    <x v="0"/>
    <x v="0"/>
    <x v="0"/>
    <x v="2"/>
    <n v="4350.5740112994354"/>
    <n v="1664.0429378531073"/>
    <n v="0"/>
    <d v="2023-07-01T00:00:00"/>
    <x v="0"/>
  </r>
  <r>
    <x v="551"/>
    <d v="2023-06-01T00:00:00"/>
    <x v="550"/>
    <d v="2023-06-26T00:00:00"/>
    <x v="0"/>
    <x v="0"/>
    <n v="47580"/>
    <x v="0"/>
    <x v="0"/>
    <n v="5402.33"/>
    <s v="1.30 / 1.43"/>
    <n v="0"/>
    <n v="0"/>
    <x v="6"/>
    <s v="100% POLYESTER YARN DTY 300D/96F HIM RW SD GRADE AA + 00% POLYESTER YARN DTY 100D/48F"/>
    <n v="19004640"/>
    <x v="0"/>
    <n v="7069688"/>
    <x v="0"/>
    <n v="152716797"/>
    <d v="2025-06-23T00:00:00"/>
    <x v="0"/>
    <x v="0"/>
    <x v="0"/>
    <x v="0"/>
    <x v="0"/>
    <x v="0"/>
    <d v="2025-04-24T00:00:00"/>
    <x v="0"/>
    <x v="1"/>
    <x v="0"/>
    <x v="0"/>
    <x v="0"/>
    <x v="3"/>
    <n v="399.42496847414878"/>
    <n v="148.58528793610762"/>
    <n v="0"/>
    <d v="2023-07-01T00:00:00"/>
    <x v="0"/>
  </r>
  <r>
    <x v="552"/>
    <d v="2023-06-01T00:00:00"/>
    <x v="551"/>
    <d v="2023-06-26T00:00:00"/>
    <x v="0"/>
    <x v="0"/>
    <n v="102000"/>
    <x v="0"/>
    <x v="0"/>
    <n v="2847"/>
    <n v="0.49"/>
    <n v="0"/>
    <n v="0"/>
    <x v="12"/>
    <s v="HYDROGEN PEROXIDE 50%"/>
    <n v="14655523"/>
    <x v="0"/>
    <n v="6986259"/>
    <x v="0"/>
    <n v="152716791"/>
    <d v="2025-06-21T00:00:00"/>
    <x v="0"/>
    <x v="0"/>
    <x v="0"/>
    <x v="0"/>
    <x v="0"/>
    <x v="0"/>
    <d v="2025-04-22T00:00:00"/>
    <x v="0"/>
    <x v="1"/>
    <x v="0"/>
    <x v="0"/>
    <x v="0"/>
    <x v="5"/>
    <n v="143.68159803921569"/>
    <n v="68.492735294117651"/>
    <n v="0"/>
    <d v="2023-07-01T00:00:00"/>
    <x v="0"/>
  </r>
  <r>
    <x v="553"/>
    <d v="2023-06-01T00:00:00"/>
    <x v="552"/>
    <d v="2023-06-20T00:00:00"/>
    <x v="0"/>
    <x v="0"/>
    <n v="19720"/>
    <x v="0"/>
    <x v="0"/>
    <n v="3906.9029999999998"/>
    <n v="2.4"/>
    <n v="0"/>
    <n v="0"/>
    <x v="12"/>
    <s v="CHEMICAL ACRYLIC POLYMER EMULSION PRINT RT"/>
    <n v="13889953"/>
    <x v="0"/>
    <n v="3160714"/>
    <x v="0"/>
    <n v="152716932"/>
    <d v="2025-06-20T00:00:00"/>
    <x v="0"/>
    <x v="0"/>
    <x v="0"/>
    <x v="0"/>
    <x v="0"/>
    <x v="0"/>
    <d v="2025-04-21T00:00:00"/>
    <x v="0"/>
    <x v="1"/>
    <x v="0"/>
    <x v="0"/>
    <x v="0"/>
    <x v="5"/>
    <n v="704.3586713995943"/>
    <n v="160.27961460446247"/>
    <n v="0"/>
    <d v="2023-07-01T00:00:00"/>
    <x v="0"/>
  </r>
  <r>
    <x v="554"/>
    <d v="2023-06-01T00:00:00"/>
    <x v="553"/>
    <d v="2023-06-06T00:00:00"/>
    <x v="0"/>
    <x v="0"/>
    <n v="102000"/>
    <x v="0"/>
    <x v="0"/>
    <n v="2847"/>
    <n v="0.49"/>
    <n v="0"/>
    <n v="0"/>
    <x v="12"/>
    <s v="HYDROGEN PEROXIDE 50%"/>
    <n v="14591792"/>
    <x v="0"/>
    <n v="6955878"/>
    <x v="0"/>
    <n v="152716895"/>
    <d v="2025-06-05T00:00:00"/>
    <x v="0"/>
    <x v="0"/>
    <x v="0"/>
    <x v="0"/>
    <x v="0"/>
    <x v="0"/>
    <d v="2025-04-06T00:00:00"/>
    <x v="0"/>
    <x v="1"/>
    <x v="0"/>
    <x v="0"/>
    <x v="0"/>
    <x v="5"/>
    <n v="143.0567843137255"/>
    <n v="68.194882352941178"/>
    <n v="0"/>
    <d v="2023-07-01T00:00:00"/>
    <x v="0"/>
  </r>
  <r>
    <x v="555"/>
    <d v="2023-07-11T00:00:00"/>
    <x v="554"/>
    <d v="2023-07-05T00:00:00"/>
    <x v="0"/>
    <x v="0"/>
    <n v="300"/>
    <x v="0"/>
    <x v="0"/>
    <n v="5407.52"/>
    <s v="3.6332 / 3.4501"/>
    <n v="0"/>
    <n v="0"/>
    <x v="11"/>
    <s v="100% POLYESTER FABRIC "/>
    <n v="310415"/>
    <x v="0"/>
    <n v="118729"/>
    <x v="0"/>
    <n v="152716841"/>
    <d v="2025-07-04T00:00:00"/>
    <x v="0"/>
    <x v="0"/>
    <x v="0"/>
    <x v="0"/>
    <x v="0"/>
    <x v="0"/>
    <d v="2025-05-05T00:00:00"/>
    <x v="0"/>
    <x v="1"/>
    <x v="0"/>
    <x v="0"/>
    <x v="0"/>
    <x v="2"/>
    <n v="1034.7166666666667"/>
    <n v="395.76333333333332"/>
    <n v="0"/>
    <d v="2023-08-10T00:00:00"/>
    <x v="0"/>
  </r>
  <r>
    <x v="556"/>
    <d v="2023-07-06T00:00:00"/>
    <x v="555"/>
    <d v="2023-06-27T00:00:00"/>
    <x v="0"/>
    <x v="0"/>
    <n v="37440"/>
    <x v="0"/>
    <x v="0"/>
    <n v="3906.904"/>
    <n v="2.7"/>
    <n v="0"/>
    <n v="0"/>
    <x v="12"/>
    <s v="CHEMICAL (FLOPRINT)"/>
    <n v="29621182"/>
    <x v="0"/>
    <n v="7254228"/>
    <x v="0"/>
    <n v="152716806"/>
    <d v="2025-06-26T00:00:00"/>
    <x v="0"/>
    <x v="0"/>
    <x v="0"/>
    <x v="0"/>
    <x v="0"/>
    <x v="0"/>
    <d v="2025-04-27T00:00:00"/>
    <x v="0"/>
    <x v="1"/>
    <x v="0"/>
    <x v="0"/>
    <x v="0"/>
    <x v="5"/>
    <n v="791.16404914529915"/>
    <n v="193.75608974358974"/>
    <n v="0"/>
    <d v="2023-08-05T00:00:00"/>
    <x v="0"/>
  </r>
  <r>
    <x v="557"/>
    <d v="2023-07-06T00:00:00"/>
    <x v="556"/>
    <d v="2023-07-04T00:00:00"/>
    <x v="0"/>
    <x v="0"/>
    <n v="12000"/>
    <x v="0"/>
    <x v="0"/>
    <n v="3204.16"/>
    <s v="3.10 / 4.20 / 6.0 / 4.80"/>
    <n v="0"/>
    <n v="0"/>
    <x v="5"/>
    <s v="DYES LIYUANSOL"/>
    <n v="14131012"/>
    <x v="0"/>
    <n v="5404943"/>
    <x v="0"/>
    <n v="152716805"/>
    <d v="2025-06-27T00:00:00"/>
    <x v="0"/>
    <x v="0"/>
    <x v="0"/>
    <x v="0"/>
    <x v="0"/>
    <x v="0"/>
    <d v="2025-04-28T00:00:00"/>
    <x v="0"/>
    <x v="1"/>
    <x v="0"/>
    <x v="0"/>
    <x v="0"/>
    <x v="4"/>
    <n v="1177.5843333333332"/>
    <n v="450.41191666666668"/>
    <n v="0"/>
    <d v="2023-08-05T00:00:00"/>
    <x v="0"/>
  </r>
  <r>
    <x v="558"/>
    <d v="2023-07-06T00:00:00"/>
    <x v="557"/>
    <d v="2023-07-05T00:00:00"/>
    <x v="0"/>
    <x v="0"/>
    <n v="90"/>
    <x v="0"/>
    <x v="0"/>
    <n v="5509.99"/>
    <n v="17.6889"/>
    <n v="0"/>
    <n v="0"/>
    <x v="3"/>
    <s v="100% LINEN YARN WET SPIN NM20/1 BLEACHED LONG FIBRE HARD CONE"/>
    <n v="465114"/>
    <x v="0"/>
    <n v="150185"/>
    <x v="0"/>
    <n v="152716843"/>
    <d v="2025-07-03T00:00:00"/>
    <x v="0"/>
    <x v="0"/>
    <x v="0"/>
    <x v="0"/>
    <x v="0"/>
    <x v="0"/>
    <d v="2025-05-04T00:00:00"/>
    <x v="0"/>
    <x v="1"/>
    <x v="0"/>
    <x v="0"/>
    <x v="0"/>
    <x v="3"/>
    <n v="5167.9333333333334"/>
    <n v="1668.7222222222222"/>
    <n v="0"/>
    <d v="2023-08-05T00:00:00"/>
    <x v="0"/>
  </r>
  <r>
    <x v="559"/>
    <d v="2023-07-11T00:00:00"/>
    <x v="558"/>
    <d v="2023-07-04T00:00:00"/>
    <x v="0"/>
    <x v="0"/>
    <n v="4200"/>
    <x v="0"/>
    <x v="0"/>
    <s v="3402.9000 / 3809.9190"/>
    <s v="4.85 / 3.85"/>
    <n v="0"/>
    <n v="0"/>
    <x v="12"/>
    <s v="Chemical (TILASOL / ANTISCHIUMA NEOPAT NT)"/>
    <n v="5262886"/>
    <x v="0"/>
    <n v="2134876"/>
    <x v="0"/>
    <n v="152716844"/>
    <d v="2025-07-03T00:00:00"/>
    <x v="0"/>
    <x v="0"/>
    <x v="0"/>
    <x v="0"/>
    <x v="0"/>
    <x v="0"/>
    <d v="2025-05-04T00:00:00"/>
    <x v="0"/>
    <x v="1"/>
    <x v="0"/>
    <x v="0"/>
    <x v="0"/>
    <x v="5"/>
    <n v="1253.0680952380953"/>
    <n v="508.30380952380955"/>
    <n v="0"/>
    <d v="2023-08-10T00:00:00"/>
    <x v="0"/>
  </r>
  <r>
    <x v="560"/>
    <d v="2023-07-11T00:00:00"/>
    <x v="559"/>
    <d v="2023-07-03T00:00:00"/>
    <x v="0"/>
    <x v="0"/>
    <n v="3"/>
    <x v="0"/>
    <x v="0"/>
    <n v="3506.9189999999999"/>
    <n v="247.97"/>
    <n v="0"/>
    <n v="0"/>
    <x v="12"/>
    <s v="Chemical Glue Epox"/>
    <n v="238488"/>
    <x v="0"/>
    <n v="102949"/>
    <x v="0"/>
    <n v="152716845"/>
    <d v="2024-01-22T00:00:00"/>
    <x v="0"/>
    <x v="0"/>
    <x v="0"/>
    <x v="0"/>
    <x v="0"/>
    <x v="0"/>
    <d v="2023-11-23T00:00:00"/>
    <x v="0"/>
    <x v="1"/>
    <x v="0"/>
    <x v="0"/>
    <x v="0"/>
    <x v="5"/>
    <n v="79496"/>
    <n v="34316.333333333336"/>
    <n v="0"/>
    <d v="2023-08-10T00:00:00"/>
    <x v="0"/>
  </r>
  <r>
    <x v="561"/>
    <d v="2023-07-08T00:00:00"/>
    <x v="560"/>
    <d v="2023-06-27T00:00:00"/>
    <x v="0"/>
    <x v="0"/>
    <n v="4433"/>
    <x v="0"/>
    <x v="0"/>
    <n v="5407.52"/>
    <n v="5.2202999999999999"/>
    <n v="0"/>
    <n v="0"/>
    <x v="11"/>
    <s v="100% POLYESTER MICROFIBER FABRIC WIDTH 256CM,90GSM (19243/MTRS) (THE GOODS ARE RELEASE UNDER EXPORT ORIENTED UNIT,SRO:326,327)"/>
    <n v="6781035"/>
    <x v="0"/>
    <n v="2593665"/>
    <x v="0"/>
    <n v="152716839"/>
    <d v="2025-06-21T00:00:00"/>
    <x v="0"/>
    <x v="0"/>
    <x v="0"/>
    <x v="0"/>
    <x v="0"/>
    <x v="0"/>
    <d v="2025-04-22T00:00:00"/>
    <x v="0"/>
    <x v="1"/>
    <x v="0"/>
    <x v="0"/>
    <x v="0"/>
    <x v="2"/>
    <n v="1529.6717798330701"/>
    <n v="585.08120911346714"/>
    <n v="0"/>
    <d v="2023-08-07T00:00:00"/>
    <x v="0"/>
  </r>
  <r>
    <x v="562"/>
    <d v="2023-07-01T00:00:00"/>
    <x v="561"/>
    <d v="2023-06-26T00:00:00"/>
    <x v="0"/>
    <x v="0"/>
    <n v="46200"/>
    <x v="0"/>
    <x v="0"/>
    <n v="5402.33"/>
    <n v="1.43"/>
    <n v="0"/>
    <n v="0"/>
    <x v="6"/>
    <s v="100% POLYESTER YARN DTY 100D/48F HIM SD RW AA GRADE"/>
    <n v="19358905"/>
    <x v="0"/>
    <n v="7201474"/>
    <x v="0"/>
    <n v="152716796"/>
    <d v="2025-06-23T00:00:00"/>
    <x v="0"/>
    <x v="0"/>
    <x v="0"/>
    <x v="0"/>
    <x v="0"/>
    <x v="0"/>
    <d v="2025-04-24T00:00:00"/>
    <x v="0"/>
    <x v="1"/>
    <x v="0"/>
    <x v="0"/>
    <x v="0"/>
    <x v="3"/>
    <n v="419.02391774891777"/>
    <n v="155.87606060606061"/>
    <n v="0"/>
    <d v="2023-07-31T00:00:00"/>
    <x v="0"/>
  </r>
  <r>
    <x v="563"/>
    <d v="2023-07-09T00:00:00"/>
    <x v="562"/>
    <d v="2023-07-04T00:00:00"/>
    <x v="0"/>
    <x v="0"/>
    <n v="183708"/>
    <x v="0"/>
    <x v="0"/>
    <n v="5201.009"/>
    <n v="2.0777999999999999"/>
    <n v="0"/>
    <n v="0"/>
    <x v="0"/>
    <s v="Raw Cotton"/>
    <n v="111791234"/>
    <x v="0"/>
    <n v="21441559"/>
    <x v="0"/>
    <n v="152716876"/>
    <d v="2025-07-03T00:00:00"/>
    <x v="0"/>
    <x v="0"/>
    <x v="0"/>
    <x v="0"/>
    <x v="0"/>
    <x v="0"/>
    <d v="2025-05-04T00:00:00"/>
    <x v="0"/>
    <x v="1"/>
    <x v="0"/>
    <x v="0"/>
    <x v="0"/>
    <x v="0"/>
    <n v="608.52675985803558"/>
    <n v="116.71543427613386"/>
    <n v="0"/>
    <d v="2023-08-08T00:00:00"/>
    <x v="0"/>
  </r>
  <r>
    <x v="564"/>
    <d v="2023-07-12T00:00:00"/>
    <x v="563"/>
    <d v="2023-07-04T00:00:00"/>
    <x v="0"/>
    <x v="0"/>
    <n v="120518"/>
    <x v="0"/>
    <x v="0"/>
    <n v="5201.009"/>
    <n v="2.0943999999999998"/>
    <n v="0"/>
    <n v="0"/>
    <x v="0"/>
    <s v="Raw Cotton"/>
    <n v="73924345"/>
    <x v="0"/>
    <n v="14178689"/>
    <x v="0"/>
    <n v="152716837"/>
    <d v="2025-07-03T00:00:00"/>
    <x v="0"/>
    <x v="0"/>
    <x v="0"/>
    <x v="0"/>
    <x v="0"/>
    <x v="0"/>
    <d v="2025-05-04T00:00:00"/>
    <x v="0"/>
    <x v="1"/>
    <x v="0"/>
    <x v="0"/>
    <x v="0"/>
    <x v="0"/>
    <n v="613.38841500854642"/>
    <n v="117.64789492026087"/>
    <n v="0"/>
    <d v="2023-08-11T00:00:00"/>
    <x v="0"/>
  </r>
  <r>
    <x v="565"/>
    <d v="2023-07-13T00:00:00"/>
    <x v="564"/>
    <d v="2023-07-04T00:00:00"/>
    <x v="0"/>
    <x v="0"/>
    <n v="25600"/>
    <x v="0"/>
    <x v="0"/>
    <n v="3910"/>
    <n v="1.7"/>
    <n v="0"/>
    <n v="0"/>
    <x v="12"/>
    <s v="Chemical (SILICONE HT-40)"/>
    <n v="12745733"/>
    <x v="0"/>
    <n v="2444632"/>
    <x v="0"/>
    <n v="152716815"/>
    <d v="2025-07-03T00:00:00"/>
    <x v="0"/>
    <x v="0"/>
    <x v="0"/>
    <x v="0"/>
    <x v="0"/>
    <x v="0"/>
    <d v="2025-05-04T00:00:00"/>
    <x v="0"/>
    <x v="1"/>
    <x v="0"/>
    <x v="0"/>
    <x v="0"/>
    <x v="5"/>
    <n v="497.88019531250001"/>
    <n v="95.493437499999999"/>
    <n v="0"/>
    <d v="2023-08-12T00:00:00"/>
    <x v="0"/>
  </r>
  <r>
    <x v="566"/>
    <d v="2023-07-15T00:00:00"/>
    <x v="565"/>
    <d v="2023-07-03T00:00:00"/>
    <x v="1"/>
    <x v="0"/>
    <n v="1350"/>
    <x v="0"/>
    <x v="0"/>
    <n v="5901.9089999999997"/>
    <n v="2.7778"/>
    <n v="0"/>
    <n v="0"/>
    <x v="9"/>
    <s v="100% POLYESTER NON WOVEN INTERLINING 52GSM WIDTH:32&quot; COLOR WHITE (30000/MTRS)"/>
    <n v="1098274"/>
    <x v="0"/>
    <n v="354630"/>
    <x v="0"/>
    <n v="152716810"/>
    <d v="2025-07-02T00:00:00"/>
    <x v="0"/>
    <x v="0"/>
    <x v="0"/>
    <x v="0"/>
    <x v="0"/>
    <x v="0"/>
    <d v="2025-05-03T00:00:00"/>
    <x v="0"/>
    <x v="1"/>
    <x v="0"/>
    <x v="0"/>
    <x v="0"/>
    <x v="6"/>
    <n v="813.53629629629631"/>
    <n v="262.68888888888887"/>
    <n v="0"/>
    <d v="2023-07-20T00:00:00"/>
    <x v="0"/>
  </r>
  <r>
    <x v="567"/>
    <d v="2023-07-18T00:00:00"/>
    <x v="566"/>
    <d v="2023-07-06T00:00:00"/>
    <x v="0"/>
    <x v="0"/>
    <n v="8044.6"/>
    <x v="0"/>
    <x v="0"/>
    <n v="5402.33"/>
    <n v="1.95"/>
    <n v="0"/>
    <n v="0"/>
    <x v="6"/>
    <s v="POLYESTER YARN ACY 300/96 WHITE + 70D INVISTALYCRA"/>
    <n v="4412628"/>
    <x v="0"/>
    <n v="1725770"/>
    <x v="0"/>
    <n v="152716854"/>
    <d v="2025-07-05T00:00:00"/>
    <x v="0"/>
    <x v="0"/>
    <x v="0"/>
    <x v="0"/>
    <x v="0"/>
    <x v="0"/>
    <d v="2025-05-06T00:00:00"/>
    <x v="0"/>
    <x v="1"/>
    <x v="0"/>
    <x v="0"/>
    <x v="0"/>
    <x v="3"/>
    <n v="548.52049822241008"/>
    <n v="214.52527161076995"/>
    <n v="0"/>
    <d v="2023-08-17T00:00:00"/>
    <x v="0"/>
  </r>
  <r>
    <x v="568"/>
    <d v="2023-07-12T00:00:00"/>
    <x v="567"/>
    <d v="2023-07-08T00:00:00"/>
    <x v="0"/>
    <x v="0"/>
    <n v="388422"/>
    <x v="1"/>
    <x v="0"/>
    <n v="5201.009"/>
    <n v="2.0943999999999998"/>
    <n v="0"/>
    <n v="0"/>
    <x v="0"/>
    <s v="Raw Cotton"/>
    <n v="230079408"/>
    <x v="0"/>
    <n v="69023822"/>
    <x v="0"/>
    <m/>
    <m/>
    <x v="0"/>
    <x v="0"/>
    <x v="0"/>
    <x v="1"/>
    <x v="0"/>
    <x v="0"/>
    <m/>
    <x v="0"/>
    <x v="1"/>
    <x v="0"/>
    <x v="0"/>
    <x v="0"/>
    <x v="0"/>
    <n v="592.34391460833831"/>
    <n v="177.70317335269371"/>
    <n v="0"/>
    <d v="2023-08-11T00:00:00"/>
    <x v="0"/>
  </r>
  <r>
    <x v="569"/>
    <d v="2023-07-17T00:00:00"/>
    <x v="568"/>
    <d v="2023-07-10T00:00:00"/>
    <x v="0"/>
    <x v="0"/>
    <n v="869"/>
    <x v="1"/>
    <x v="0"/>
    <n v="5210.41"/>
    <n v="24.905000000000001"/>
    <n v="0"/>
    <n v="0"/>
    <x v="2"/>
    <s v="58% BIO KAT / 39% REC.PES / 3% STR EFFEN WEEFSEL FABRIC (5148.50/MTRS)"/>
    <n v="6677769"/>
    <x v="0"/>
    <n v="2737885"/>
    <x v="0"/>
    <m/>
    <m/>
    <x v="0"/>
    <x v="0"/>
    <x v="0"/>
    <x v="1"/>
    <x v="0"/>
    <x v="0"/>
    <m/>
    <x v="0"/>
    <x v="1"/>
    <x v="0"/>
    <x v="0"/>
    <x v="0"/>
    <x v="2"/>
    <n v="7684.4292289988489"/>
    <n v="3150.6156501726123"/>
    <n v="0"/>
    <d v="2023-08-16T00:00:00"/>
    <x v="0"/>
  </r>
  <r>
    <x v="570"/>
    <d v="2023-07-17T00:00:00"/>
    <x v="569"/>
    <d v="2023-07-11T00:00:00"/>
    <x v="0"/>
    <x v="0"/>
    <n v="1453"/>
    <x v="1"/>
    <x v="0"/>
    <n v="5407.52"/>
    <n v="14.870100000000001"/>
    <n v="0"/>
    <n v="0"/>
    <x v="11"/>
    <s v="100% POLYMIDE CORDURA FABRIC 500X500 1/1 CUTTABLE WIDTH:210GSM ECO BIONIC FINISH (4697/MTRS)"/>
    <n v="6134985"/>
    <x v="0"/>
    <n v="2822093"/>
    <x v="0"/>
    <m/>
    <m/>
    <x v="0"/>
    <x v="0"/>
    <x v="0"/>
    <x v="1"/>
    <x v="0"/>
    <x v="0"/>
    <m/>
    <x v="0"/>
    <x v="1"/>
    <x v="0"/>
    <x v="0"/>
    <x v="0"/>
    <x v="2"/>
    <n v="4222.2883688919474"/>
    <n v="1942.2525808671714"/>
    <n v="0"/>
    <d v="2023-08-16T00:00:00"/>
    <x v="0"/>
  </r>
  <r>
    <x v="571"/>
    <d v="2023-07-17T00:00:00"/>
    <x v="570"/>
    <d v="2023-07-12T00:00:00"/>
    <x v="0"/>
    <x v="0"/>
    <n v="79249"/>
    <x v="1"/>
    <x v="0"/>
    <n v="5201.009"/>
    <n v="2.0282"/>
    <n v="0"/>
    <n v="0"/>
    <x v="0"/>
    <s v="Raw Cotton"/>
    <n v="45950785"/>
    <x v="0"/>
    <n v="13785235"/>
    <x v="0"/>
    <m/>
    <m/>
    <x v="0"/>
    <x v="0"/>
    <x v="0"/>
    <x v="1"/>
    <x v="0"/>
    <x v="0"/>
    <m/>
    <x v="0"/>
    <x v="1"/>
    <x v="0"/>
    <x v="0"/>
    <x v="0"/>
    <x v="0"/>
    <n v="579.82794735580262"/>
    <n v="173.9483778975129"/>
    <n v="0"/>
    <d v="2023-08-16T00:00:00"/>
    <x v="0"/>
  </r>
  <r>
    <x v="572"/>
    <d v="2023-07-17T00:00:00"/>
    <x v="571"/>
    <d v="2023-07-12T00:00:00"/>
    <x v="0"/>
    <x v="0"/>
    <n v="40625"/>
    <x v="1"/>
    <x v="0"/>
    <n v="5201.009"/>
    <n v="2.0282"/>
    <n v="0"/>
    <n v="0"/>
    <x v="0"/>
    <s v="Raw Cotton"/>
    <n v="23555511"/>
    <x v="0"/>
    <n v="7066653"/>
    <x v="0"/>
    <m/>
    <m/>
    <x v="0"/>
    <x v="0"/>
    <x v="0"/>
    <x v="1"/>
    <x v="0"/>
    <x v="0"/>
    <m/>
    <x v="0"/>
    <x v="1"/>
    <x v="0"/>
    <x v="0"/>
    <x v="0"/>
    <x v="0"/>
    <n v="579.82796307692308"/>
    <n v="173.94838153846155"/>
    <n v="0"/>
    <d v="2023-08-16T00:00:00"/>
    <x v="0"/>
  </r>
  <r>
    <x v="573"/>
    <d v="2023-07-17T00:00:00"/>
    <x v="572"/>
    <d v="2023-07-12T00:00:00"/>
    <x v="0"/>
    <x v="0"/>
    <n v="26000"/>
    <x v="1"/>
    <x v="0"/>
    <n v="3402.4189999999999"/>
    <s v="15.0 / 11.70"/>
    <n v="0"/>
    <n v="0"/>
    <x v="12"/>
    <s v="Chemical (WETMATIC / BEZATHREN)"/>
    <n v="12515348"/>
    <x v="0"/>
    <n v="6257674"/>
    <x v="0"/>
    <m/>
    <m/>
    <x v="0"/>
    <x v="0"/>
    <x v="0"/>
    <x v="1"/>
    <x v="0"/>
    <x v="0"/>
    <m/>
    <x v="0"/>
    <x v="1"/>
    <x v="0"/>
    <x v="0"/>
    <x v="0"/>
    <x v="5"/>
    <n v="481.35953846153848"/>
    <n v="240.67976923076924"/>
    <n v="0"/>
    <d v="2023-08-16T00:00:00"/>
    <x v="0"/>
  </r>
  <r>
    <x v="574"/>
    <d v="2023-07-20T00:00:00"/>
    <x v="573"/>
    <d v="2023-07-15T00:00:00"/>
    <x v="0"/>
    <x v="0"/>
    <n v="700"/>
    <x v="1"/>
    <x v="0"/>
    <n v="3204.1590000000001"/>
    <n v="120.02290000000001"/>
    <n v="0"/>
    <n v="0"/>
    <x v="5"/>
    <s v="Dyed (BEZATHREN)"/>
    <n v="23718790"/>
    <x v="0"/>
    <n v="10910643"/>
    <x v="0"/>
    <m/>
    <m/>
    <x v="0"/>
    <x v="0"/>
    <x v="0"/>
    <x v="1"/>
    <x v="0"/>
    <x v="0"/>
    <m/>
    <x v="0"/>
    <x v="1"/>
    <x v="0"/>
    <x v="0"/>
    <x v="0"/>
    <x v="4"/>
    <n v="33883.985714285714"/>
    <n v="15586.632857142857"/>
    <n v="0"/>
    <d v="2023-08-19T00:00:00"/>
    <x v="0"/>
  </r>
  <r>
    <x v="575"/>
    <d v="2023-07-17T00:00:00"/>
    <x v="574"/>
    <d v="2023-07-15T00:00:00"/>
    <x v="0"/>
    <x v="0"/>
    <n v="26"/>
    <x v="1"/>
    <x v="0"/>
    <n v="3809.9189999999999"/>
    <s v="41.8012 / 48.2322 / 41.8012 / 5.2032"/>
    <n v="0"/>
    <n v="0"/>
    <x v="12"/>
    <s v="BAYSCENT LAVENDER / EUCALYPTUS / JASMIN / TANAPUR ONE"/>
    <n v="287838"/>
    <x v="0"/>
    <n v="132405"/>
    <x v="0"/>
    <m/>
    <m/>
    <x v="0"/>
    <x v="0"/>
    <x v="0"/>
    <x v="1"/>
    <x v="0"/>
    <x v="0"/>
    <m/>
    <x v="0"/>
    <x v="1"/>
    <x v="0"/>
    <x v="0"/>
    <x v="0"/>
    <x v="5"/>
    <n v="11070.692307692309"/>
    <n v="5092.5"/>
    <n v="0"/>
    <d v="2023-08-16T00:00:00"/>
    <x v="0"/>
  </r>
  <r>
    <x v="576"/>
    <d v="2023-07-18T00:00:00"/>
    <x v="575"/>
    <d v="2023-07-06T00:00:00"/>
    <x v="0"/>
    <x v="0"/>
    <n v="6240"/>
    <x v="0"/>
    <x v="0"/>
    <n v="3906.9090000000001"/>
    <n v="10.5"/>
    <n v="0"/>
    <n v="0"/>
    <x v="12"/>
    <s v="WATER REPELLENT AGENT"/>
    <n v="18430290"/>
    <x v="0"/>
    <n v="5951104"/>
    <x v="0"/>
    <n v="152716853"/>
    <d v="2025-07-05T00:00:00"/>
    <x v="0"/>
    <x v="0"/>
    <x v="0"/>
    <x v="0"/>
    <x v="0"/>
    <x v="0"/>
    <d v="2025-05-06T00:00:00"/>
    <x v="0"/>
    <x v="1"/>
    <x v="0"/>
    <x v="0"/>
    <x v="0"/>
    <x v="5"/>
    <n v="2953.5721153846152"/>
    <n v="953.70256410256411"/>
    <n v="0"/>
    <d v="2023-08-17T00:00:00"/>
    <x v="0"/>
  </r>
  <r>
    <x v="577"/>
    <d v="2023-07-18T00:00:00"/>
    <x v="576"/>
    <d v="2023-07-06T00:00:00"/>
    <x v="0"/>
    <x v="0"/>
    <n v="5600"/>
    <x v="0"/>
    <x v="0"/>
    <n v="3204.1190000000001"/>
    <s v="3.30 / 16.20 / 4.95"/>
    <n v="0"/>
    <n v="0"/>
    <x v="5"/>
    <s v="DYES (FASFA)"/>
    <n v="14548452"/>
    <x v="0"/>
    <n v="4697666"/>
    <x v="0"/>
    <n v="152716852"/>
    <d v="2025-07-05T00:00:00"/>
    <x v="0"/>
    <x v="0"/>
    <x v="0"/>
    <x v="0"/>
    <x v="0"/>
    <x v="0"/>
    <d v="2025-05-06T00:00:00"/>
    <x v="0"/>
    <x v="1"/>
    <x v="0"/>
    <x v="0"/>
    <x v="0"/>
    <x v="4"/>
    <n v="2597.937857142857"/>
    <n v="838.86892857142857"/>
    <n v="0"/>
    <d v="2023-08-17T00:00:00"/>
    <x v="0"/>
  </r>
  <r>
    <x v="578"/>
    <d v="2023-07-17T00:00:00"/>
    <x v="577"/>
    <d v="2023-07-12T00:00:00"/>
    <x v="0"/>
    <x v="0"/>
    <n v="282495"/>
    <x v="1"/>
    <x v="0"/>
    <n v="5201.009"/>
    <n v="2.0282"/>
    <n v="0"/>
    <n v="0"/>
    <x v="0"/>
    <s v="Raw Cotton"/>
    <n v="163798497"/>
    <x v="0"/>
    <n v="49139549"/>
    <x v="0"/>
    <m/>
    <m/>
    <x v="0"/>
    <x v="0"/>
    <x v="0"/>
    <x v="1"/>
    <x v="0"/>
    <x v="0"/>
    <m/>
    <x v="0"/>
    <x v="1"/>
    <x v="0"/>
    <x v="0"/>
    <x v="0"/>
    <x v="0"/>
    <n v="579.82795093718471"/>
    <n v="173.94838492716684"/>
    <n v="0"/>
    <d v="2023-08-16T00:00:00"/>
    <x v="0"/>
  </r>
  <r>
    <x v="579"/>
    <d v="2023-07-22T00:00:00"/>
    <x v="578"/>
    <d v="2023-07-13T00:00:00"/>
    <x v="1"/>
    <x v="0"/>
    <n v="17893.824000000001"/>
    <x v="1"/>
    <x v="0"/>
    <n v="4810.29"/>
    <n v="0.86"/>
    <n v="0"/>
    <n v="0"/>
    <x v="9"/>
    <s v="2/S COATED ART BOARD "/>
    <n v="4378957"/>
    <x v="0"/>
    <n v="2189478"/>
    <x v="0"/>
    <m/>
    <m/>
    <x v="0"/>
    <x v="0"/>
    <x v="0"/>
    <x v="1"/>
    <x v="0"/>
    <x v="0"/>
    <m/>
    <x v="0"/>
    <x v="1"/>
    <x v="0"/>
    <x v="0"/>
    <x v="0"/>
    <x v="6"/>
    <n v="244.71890413139192"/>
    <n v="122.35942412309409"/>
    <n v="0"/>
    <d v="2023-07-27T00:00:00"/>
    <x v="0"/>
  </r>
  <r>
    <x v="580"/>
    <d v="2023-07-20T00:00:00"/>
    <x v="579"/>
    <d v="2023-07-14T00:00:00"/>
    <x v="0"/>
    <x v="0"/>
    <n v="24480"/>
    <x v="1"/>
    <x v="0"/>
    <n v="5402.33"/>
    <n v="1.35"/>
    <n v="0"/>
    <n v="0"/>
    <x v="6"/>
    <s v="100% POLYESTER TEXTURED YARN DTY 150D/48F HIM RW SD GRADE AA"/>
    <n v="9365267"/>
    <x v="0"/>
    <n v="3839759"/>
    <x v="0"/>
    <m/>
    <m/>
    <x v="0"/>
    <x v="0"/>
    <x v="0"/>
    <x v="1"/>
    <x v="0"/>
    <x v="0"/>
    <m/>
    <x v="0"/>
    <x v="1"/>
    <x v="0"/>
    <x v="0"/>
    <x v="0"/>
    <x v="3"/>
    <n v="382.56809640522874"/>
    <n v="156.8529003267974"/>
    <n v="0"/>
    <d v="2023-08-19T00:00:00"/>
    <x v="0"/>
  </r>
  <r>
    <x v="581"/>
    <d v="2023-07-24T00:00:00"/>
    <x v="580"/>
    <d v="2023-07-15T00:00:00"/>
    <x v="1"/>
    <x v="0"/>
    <n v="17893.824000000001"/>
    <x v="1"/>
    <x v="0"/>
    <n v="4810.29"/>
    <n v="0.86"/>
    <n v="0"/>
    <n v="0"/>
    <x v="9"/>
    <s v="2/S COATED ART BOARD "/>
    <n v="4344422"/>
    <x v="0"/>
    <n v="2172211"/>
    <x v="0"/>
    <m/>
    <m/>
    <x v="0"/>
    <x v="0"/>
    <x v="0"/>
    <x v="1"/>
    <x v="0"/>
    <x v="0"/>
    <m/>
    <x v="0"/>
    <x v="1"/>
    <x v="0"/>
    <x v="0"/>
    <x v="0"/>
    <x v="6"/>
    <n v="242.78890862009149"/>
    <n v="121.39445431004575"/>
    <n v="0"/>
    <d v="2023-07-29T00:00:00"/>
    <x v="0"/>
  </r>
  <r>
    <x v="582"/>
    <d v="2023-07-20T00:00:00"/>
    <x v="581"/>
    <d v="2023-07-15T00:00:00"/>
    <x v="0"/>
    <x v="0"/>
    <n v="157320"/>
    <x v="1"/>
    <x v="0"/>
    <n v="5503.201"/>
    <n v="1"/>
    <n v="0"/>
    <n v="0"/>
    <x v="1"/>
    <s v="Polyester Staple Fiber"/>
    <n v="44413430"/>
    <x v="0"/>
    <n v="18209506"/>
    <x v="0"/>
    <m/>
    <m/>
    <x v="0"/>
    <x v="0"/>
    <x v="0"/>
    <x v="1"/>
    <x v="0"/>
    <x v="0"/>
    <m/>
    <x v="0"/>
    <x v="1"/>
    <x v="0"/>
    <x v="0"/>
    <x v="0"/>
    <x v="1"/>
    <n v="282.3126748029494"/>
    <n v="115.74819476226799"/>
    <n v="0"/>
    <d v="2023-08-19T00:00:00"/>
    <x v="0"/>
  </r>
  <r>
    <x v="583"/>
    <d v="2023-07-25T00:00:00"/>
    <x v="582"/>
    <d v="2023-07-20T00:00:00"/>
    <x v="1"/>
    <x v="0"/>
    <n v="794.7"/>
    <x v="1"/>
    <x v="0"/>
    <n v="5807.9"/>
    <n v="15.127800000000001"/>
    <n v="0"/>
    <n v="0"/>
    <x v="9"/>
    <s v="GREY POLYESTER REFLECTIVE PIPING SIZE 1CM (139318/MTRS)"/>
    <n v="3474308"/>
    <x v="0"/>
    <n v="1424466"/>
    <x v="0"/>
    <m/>
    <m/>
    <x v="0"/>
    <x v="0"/>
    <x v="0"/>
    <x v="1"/>
    <x v="0"/>
    <x v="0"/>
    <m/>
    <x v="0"/>
    <x v="1"/>
    <x v="0"/>
    <x v="0"/>
    <x v="0"/>
    <x v="6"/>
    <n v="4371.8484962879074"/>
    <n v="1792.4575311438277"/>
    <n v="0"/>
    <d v="2023-07-30T00:00:00"/>
    <x v="0"/>
  </r>
  <r>
    <x v="584"/>
    <d v="2023-07-25T00:00:00"/>
    <x v="583"/>
    <d v="2023-07-20T00:00:00"/>
    <x v="1"/>
    <x v="0"/>
    <n v="31.6"/>
    <x v="1"/>
    <x v="0"/>
    <n v="5807.9"/>
    <n v="16.549700000000001"/>
    <n v="0"/>
    <n v="0"/>
    <x v="9"/>
    <s v="GREY POLYESTER REFLECTIVE PIPING SIZE 1CM (5682/MTRS)"/>
    <n v="151136"/>
    <x v="0"/>
    <n v="61965"/>
    <x v="0"/>
    <m/>
    <m/>
    <x v="0"/>
    <x v="0"/>
    <x v="0"/>
    <x v="1"/>
    <x v="0"/>
    <x v="0"/>
    <m/>
    <x v="0"/>
    <x v="1"/>
    <x v="0"/>
    <x v="0"/>
    <x v="0"/>
    <x v="6"/>
    <n v="4782.7848101265818"/>
    <n v="1960.9177215189873"/>
    <n v="0"/>
    <d v="2023-07-30T00:00:00"/>
    <x v="0"/>
  </r>
  <r>
    <x v="585"/>
    <d v="2023-07-25T00:00:00"/>
    <x v="584"/>
    <d v="2023-07-20T00:00:00"/>
    <x v="0"/>
    <x v="1"/>
    <n v="4750"/>
    <x v="1"/>
    <x v="0"/>
    <n v="5407.52"/>
    <n v="14.866199999999999"/>
    <n v="4750"/>
    <n v="4750"/>
    <x v="11"/>
    <s v="100% POLYMIDE CORDURA FABRIC 500X500 1/1 57 CUTTABLE WIDTH:210GSM ECO BIONIC FINISH (15351/MTRS)"/>
    <n v="20407176"/>
    <x v="0"/>
    <n v="9387301"/>
    <x v="0"/>
    <m/>
    <m/>
    <x v="0"/>
    <x v="0"/>
    <x v="0"/>
    <x v="0"/>
    <x v="0"/>
    <x v="0"/>
    <m/>
    <x v="0"/>
    <x v="1"/>
    <x v="0"/>
    <x v="0"/>
    <x v="0"/>
    <x v="2"/>
    <n v="4296.2475789473683"/>
    <n v="1976.2738947368421"/>
    <n v="9387301"/>
    <d v="2023-08-24T00:00:00"/>
    <x v="0"/>
  </r>
  <r>
    <x v="586"/>
    <d v="2023-07-27T00:00:00"/>
    <x v="585"/>
    <d v="2023-07-22T00:00:00"/>
    <x v="0"/>
    <x v="0"/>
    <n v="3600"/>
    <x v="1"/>
    <x v="0"/>
    <s v="3204.1600 / 3204.1190"/>
    <s v="11.15 / 24.98 / 8.25"/>
    <n v="0"/>
    <n v="0"/>
    <x v="5"/>
    <s v="DYES (NOVACRON / TERASIL)"/>
    <n v="9557649"/>
    <x v="0"/>
    <n v="4036174"/>
    <x v="0"/>
    <m/>
    <m/>
    <x v="0"/>
    <x v="0"/>
    <x v="0"/>
    <x v="1"/>
    <x v="0"/>
    <x v="0"/>
    <m/>
    <x v="0"/>
    <x v="1"/>
    <x v="0"/>
    <x v="0"/>
    <x v="0"/>
    <x v="4"/>
    <n v="2654.9025000000001"/>
    <n v="1121.1594444444445"/>
    <n v="0"/>
    <d v="2023-08-26T00:00:00"/>
    <x v="0"/>
  </r>
  <r>
    <x v="587"/>
    <d v="2023-07-25T00:00:00"/>
    <x v="586"/>
    <d v="2023-07-22T00:00:00"/>
    <x v="0"/>
    <x v="0"/>
    <n v="44000"/>
    <x v="1"/>
    <x v="0"/>
    <n v="2832.1089999999999"/>
    <n v="2.1"/>
    <n v="0"/>
    <n v="0"/>
    <x v="12"/>
    <s v="HYDROBLUE 90"/>
    <n v="26905729"/>
    <x v="0"/>
    <n v="8071718"/>
    <x v="0"/>
    <m/>
    <m/>
    <x v="0"/>
    <x v="0"/>
    <x v="0"/>
    <x v="1"/>
    <x v="0"/>
    <x v="0"/>
    <m/>
    <x v="0"/>
    <x v="1"/>
    <x v="0"/>
    <x v="0"/>
    <x v="0"/>
    <x v="5"/>
    <n v="611.49384090909086"/>
    <n v="183.44813636363637"/>
    <n v="0"/>
    <d v="2023-08-24T00:00:00"/>
    <x v="0"/>
  </r>
  <r>
    <x v="588"/>
    <d v="2023-07-25T00:00:00"/>
    <x v="587"/>
    <d v="2023-07-22T00:00:00"/>
    <x v="0"/>
    <x v="0"/>
    <n v="25600"/>
    <x v="1"/>
    <x v="0"/>
    <n v="3910"/>
    <n v="1.7"/>
    <n v="0"/>
    <n v="0"/>
    <x v="12"/>
    <s v="CHEMICAL (SILICONE)"/>
    <n v="17517843"/>
    <x v="0"/>
    <n v="5255353"/>
    <x v="0"/>
    <m/>
    <m/>
    <x v="0"/>
    <x v="0"/>
    <x v="0"/>
    <x v="1"/>
    <x v="0"/>
    <x v="0"/>
    <m/>
    <x v="0"/>
    <x v="1"/>
    <x v="0"/>
    <x v="0"/>
    <x v="0"/>
    <x v="5"/>
    <n v="684.29074218749997"/>
    <n v="205.2872265625"/>
    <n v="0"/>
    <d v="2023-08-24T00:00:00"/>
    <x v="0"/>
  </r>
  <r>
    <x v="589"/>
    <d v="2023-07-25T00:00:00"/>
    <x v="588"/>
    <d v="2023-07-22T00:00:00"/>
    <x v="0"/>
    <x v="0"/>
    <n v="299311.59999999998"/>
    <x v="1"/>
    <x v="0"/>
    <n v="5503.201"/>
    <n v="0.96499999999999997"/>
    <n v="0"/>
    <n v="0"/>
    <x v="1"/>
    <s v="Polyester Staple Fiber"/>
    <n v="84105357"/>
    <x v="0"/>
    <n v="34483196"/>
    <x v="0"/>
    <m/>
    <m/>
    <x v="0"/>
    <x v="0"/>
    <x v="0"/>
    <x v="1"/>
    <x v="0"/>
    <x v="0"/>
    <m/>
    <x v="0"/>
    <x v="1"/>
    <x v="0"/>
    <x v="0"/>
    <x v="0"/>
    <x v="1"/>
    <n v="280.99598211362343"/>
    <n v="115.20835143041568"/>
    <n v="0"/>
    <d v="2023-08-24T00:00:00"/>
    <x v="0"/>
  </r>
  <r>
    <x v="590"/>
    <d v="2023-07-26T00:00:00"/>
    <x v="589"/>
    <d v="2023-07-22T00:00:00"/>
    <x v="0"/>
    <x v="0"/>
    <n v="19155.400000000001"/>
    <x v="1"/>
    <x v="0"/>
    <n v="5402.33"/>
    <n v="1.95"/>
    <n v="0"/>
    <n v="0"/>
    <x v="6"/>
    <s v="ACY YARN 300/96 WHITE +70D INVISTALYCRA"/>
    <n v="10876737"/>
    <x v="0"/>
    <n v="4459462"/>
    <x v="0"/>
    <m/>
    <m/>
    <x v="0"/>
    <x v="0"/>
    <x v="0"/>
    <x v="1"/>
    <x v="0"/>
    <x v="0"/>
    <m/>
    <x v="0"/>
    <x v="1"/>
    <x v="0"/>
    <x v="0"/>
    <x v="0"/>
    <x v="3"/>
    <n v="567.81570732012904"/>
    <n v="232.80443112647086"/>
    <n v="0"/>
    <d v="2023-08-25T00:00:00"/>
    <x v="0"/>
  </r>
  <r>
    <x v="591"/>
    <d v="2023-07-27T00:00:00"/>
    <x v="590"/>
    <d v="2023-07-24T00:00:00"/>
    <x v="0"/>
    <x v="0"/>
    <n v="1000"/>
    <x v="1"/>
    <x v="0"/>
    <n v="3204.16"/>
    <n v="11.25"/>
    <n v="0"/>
    <n v="0"/>
    <x v="5"/>
    <s v="DYES (NOVACRON)"/>
    <n v="3275860"/>
    <x v="0"/>
    <n v="1506896"/>
    <x v="0"/>
    <m/>
    <m/>
    <x v="0"/>
    <x v="0"/>
    <x v="0"/>
    <x v="1"/>
    <x v="0"/>
    <x v="0"/>
    <m/>
    <x v="0"/>
    <x v="1"/>
    <x v="0"/>
    <x v="0"/>
    <x v="0"/>
    <x v="4"/>
    <n v="3275.86"/>
    <n v="1506.896"/>
    <n v="0"/>
    <d v="2023-08-26T00:00:00"/>
    <x v="0"/>
  </r>
  <r>
    <x v="592"/>
    <d v="2023-08-01T00:00:00"/>
    <x v="591"/>
    <d v="2023-07-24T00:00:00"/>
    <x v="0"/>
    <x v="0"/>
    <n v="500"/>
    <x v="1"/>
    <x v="0"/>
    <n v="3204.172"/>
    <n v="28.08"/>
    <n v="0"/>
    <n v="0"/>
    <x v="5"/>
    <s v="PRINTING PIGMENT DYES) NEMOTO'S "/>
    <n v="4088273"/>
    <x v="0"/>
    <n v="1676192"/>
    <x v="0"/>
    <m/>
    <m/>
    <x v="0"/>
    <x v="0"/>
    <x v="0"/>
    <x v="1"/>
    <x v="0"/>
    <x v="0"/>
    <m/>
    <x v="0"/>
    <x v="1"/>
    <x v="0"/>
    <x v="0"/>
    <x v="0"/>
    <x v="4"/>
    <n v="8176.5460000000003"/>
    <n v="3352.384"/>
    <n v="0"/>
    <d v="2023-08-31T00:00:00"/>
    <x v="0"/>
  </r>
  <r>
    <x v="593"/>
    <d v="2023-07-31T00:00:00"/>
    <x v="592"/>
    <d v="2023-07-25T00:00:00"/>
    <x v="0"/>
    <x v="0"/>
    <n v="300336"/>
    <x v="1"/>
    <x v="0"/>
    <n v="5503.201"/>
    <n v="0.96499999999999997"/>
    <n v="0"/>
    <n v="0"/>
    <x v="1"/>
    <s v="Polyester Staple Fiber"/>
    <n v="84940161"/>
    <x v="0"/>
    <n v="34825466"/>
    <x v="0"/>
    <m/>
    <m/>
    <x v="0"/>
    <x v="0"/>
    <x v="0"/>
    <x v="1"/>
    <x v="0"/>
    <x v="0"/>
    <m/>
    <x v="0"/>
    <x v="1"/>
    <x v="0"/>
    <x v="0"/>
    <x v="0"/>
    <x v="1"/>
    <n v="282.81711483138884"/>
    <n v="115.95501704757338"/>
    <n v="0"/>
    <d v="2023-08-30T00:00:00"/>
    <x v="0"/>
  </r>
  <r>
    <x v="594"/>
    <d v="2023-07-31T00:00:00"/>
    <x v="593"/>
    <d v="2023-07-26T00:00:00"/>
    <x v="0"/>
    <x v="0"/>
    <n v="12729.93"/>
    <x v="1"/>
    <x v="0"/>
    <n v="5509.21"/>
    <n v="1.95"/>
    <n v="0"/>
    <n v="0"/>
    <x v="3"/>
    <s v="WOVEN -50% POST CONS POLY -25% POST CONS REC COTTON- 25% PRE CONS REC COTTON YARN RAW WHITE 14/1"/>
    <n v="7302955"/>
    <x v="0"/>
    <n v="2994212"/>
    <x v="0"/>
    <m/>
    <m/>
    <x v="0"/>
    <x v="0"/>
    <x v="0"/>
    <x v="1"/>
    <x v="0"/>
    <x v="0"/>
    <m/>
    <x v="0"/>
    <x v="1"/>
    <x v="0"/>
    <x v="0"/>
    <x v="0"/>
    <x v="3"/>
    <n v="573.68383015460415"/>
    <n v="235.21040571315004"/>
    <n v="0"/>
    <d v="2023-08-30T00:00:00"/>
    <x v="0"/>
  </r>
  <r>
    <x v="595"/>
    <d v="2023-07-26T00:00:00"/>
    <x v="594"/>
    <d v="2023-07-26T00:00:00"/>
    <x v="0"/>
    <x v="0"/>
    <n v="19300"/>
    <x v="1"/>
    <x v="0"/>
    <s v="3906.9090 / 3809.9190"/>
    <s v="3.20 / 1.55"/>
    <n v="0"/>
    <n v="0"/>
    <x v="12"/>
    <s v="CHEMICAL (PERIPRINT / PERIGEN)"/>
    <n v="16771371"/>
    <x v="0"/>
    <n v="7035683"/>
    <x v="0"/>
    <m/>
    <m/>
    <x v="0"/>
    <x v="0"/>
    <x v="0"/>
    <x v="1"/>
    <x v="0"/>
    <x v="0"/>
    <m/>
    <x v="0"/>
    <x v="1"/>
    <x v="0"/>
    <x v="0"/>
    <x v="0"/>
    <x v="5"/>
    <n v="868.98295336787567"/>
    <n v="364.54316062176167"/>
    <n v="0"/>
    <d v="2023-08-25T00:00:00"/>
    <x v="0"/>
  </r>
  <r>
    <x v="596"/>
    <d v="2023-08-07T00:00:00"/>
    <x v="595"/>
    <d v="2023-08-02T00:00:00"/>
    <x v="0"/>
    <x v="0"/>
    <n v="8070"/>
    <x v="1"/>
    <x v="0"/>
    <n v="5407.52"/>
    <n v="5.2"/>
    <n v="0"/>
    <n v="0"/>
    <x v="11"/>
    <s v="100% POLYESTER FABRIC ASSORTIS 2401+2402 82GSM,WIDTH:242,269CM (38813/MTRS) "/>
    <n v="12290026"/>
    <x v="0"/>
    <n v="5653412"/>
    <x v="0"/>
    <m/>
    <m/>
    <x v="0"/>
    <x v="0"/>
    <x v="0"/>
    <x v="2"/>
    <x v="0"/>
    <x v="0"/>
    <m/>
    <x v="0"/>
    <x v="1"/>
    <x v="0"/>
    <x v="0"/>
    <x v="0"/>
    <x v="2"/>
    <n v="1522.9276332094175"/>
    <n v="700.54671623296156"/>
    <n v="0"/>
    <d v="2023-09-06T00:00:00"/>
    <x v="0"/>
  </r>
  <r>
    <x v="597"/>
    <d v="2023-08-08T00:00:00"/>
    <x v="596"/>
    <d v="2023-08-04T00:00:00"/>
    <x v="0"/>
    <x v="0"/>
    <n v="44000"/>
    <x v="1"/>
    <x v="0"/>
    <n v="2832.1089999999999"/>
    <n v="1.9"/>
    <n v="0"/>
    <n v="0"/>
    <x v="12"/>
    <s v="HYDROBLUE 90"/>
    <n v="24714248"/>
    <x v="0"/>
    <n v="7414275"/>
    <x v="0"/>
    <m/>
    <m/>
    <x v="0"/>
    <x v="0"/>
    <x v="0"/>
    <x v="1"/>
    <x v="0"/>
    <x v="0"/>
    <m/>
    <x v="0"/>
    <x v="1"/>
    <x v="0"/>
    <x v="0"/>
    <x v="0"/>
    <x v="5"/>
    <n v="561.68745454545456"/>
    <n v="168.50624999999999"/>
    <n v="0"/>
    <d v="2023-09-07T00:00:00"/>
    <x v="0"/>
  </r>
  <r>
    <x v="598"/>
    <d v="2023-08-07T00:00:00"/>
    <x v="597"/>
    <d v="2023-08-04T00:00:00"/>
    <x v="0"/>
    <x v="0"/>
    <n v="19720"/>
    <x v="1"/>
    <x v="0"/>
    <n v="3906.9029999999998"/>
    <n v="2.4"/>
    <n v="0"/>
    <n v="0"/>
    <x v="12"/>
    <s v="Chemical ACRYLIC POLYMER EMULSION M-PRINT RT"/>
    <n v="13991339"/>
    <x v="0"/>
    <n v="4617142"/>
    <x v="0"/>
    <m/>
    <m/>
    <x v="0"/>
    <x v="0"/>
    <x v="0"/>
    <x v="1"/>
    <x v="0"/>
    <x v="0"/>
    <m/>
    <x v="0"/>
    <x v="1"/>
    <x v="0"/>
    <x v="0"/>
    <x v="0"/>
    <x v="5"/>
    <n v="709.49994929006084"/>
    <n v="234.13498985801218"/>
    <n v="0"/>
    <d v="2023-09-06T00:00:00"/>
    <x v="0"/>
  </r>
  <r>
    <x v="599"/>
    <d v="2023-08-17T00:00:00"/>
    <x v="598"/>
    <d v="2023-08-07T00:00:00"/>
    <x v="1"/>
    <x v="0"/>
    <n v="17893.82"/>
    <x v="1"/>
    <x v="0"/>
    <n v="4810.29"/>
    <n v="0.92"/>
    <n v="0"/>
    <n v="0"/>
    <x v="9"/>
    <s v="2/S COATED ART BOARD "/>
    <n v="4829727"/>
    <x v="0"/>
    <n v="2414863"/>
    <x v="0"/>
    <m/>
    <m/>
    <x v="0"/>
    <x v="0"/>
    <x v="0"/>
    <x v="1"/>
    <x v="0"/>
    <x v="0"/>
    <m/>
    <x v="0"/>
    <x v="1"/>
    <x v="0"/>
    <x v="0"/>
    <x v="0"/>
    <x v="6"/>
    <n v="269.91033775906988"/>
    <n v="134.95514093692682"/>
    <n v="0"/>
    <d v="2023-08-22T00:00:00"/>
    <x v="0"/>
  </r>
  <r>
    <x v="600"/>
    <d v="2023-08-09T00:00:00"/>
    <x v="599"/>
    <d v="2023-08-07T00:00:00"/>
    <x v="0"/>
    <x v="0"/>
    <n v="26000"/>
    <x v="1"/>
    <x v="0"/>
    <s v="3402.4190 / 3402.4200"/>
    <s v="15.00 / 11.70"/>
    <n v="0"/>
    <n v="0"/>
    <x v="12"/>
    <s v="Chemical (DYMAFIX / WETMATIC)"/>
    <n v="14105572"/>
    <x v="0"/>
    <n v="6783968"/>
    <x v="0"/>
    <m/>
    <m/>
    <x v="0"/>
    <x v="0"/>
    <x v="0"/>
    <x v="1"/>
    <x v="0"/>
    <x v="0"/>
    <m/>
    <x v="0"/>
    <x v="1"/>
    <x v="0"/>
    <x v="0"/>
    <x v="0"/>
    <x v="5"/>
    <n v="542.52200000000005"/>
    <n v="260.92184615384616"/>
    <n v="0"/>
    <d v="2023-09-08T00:00:00"/>
    <x v="0"/>
  </r>
  <r>
    <x v="601"/>
    <d v="2023-08-07T00:00:00"/>
    <x v="600"/>
    <d v="2023-08-07T00:00:00"/>
    <x v="0"/>
    <x v="0"/>
    <n v="11800"/>
    <x v="1"/>
    <x v="0"/>
    <s v="3204.1190 /3204.1600 / 3204.1590"/>
    <s v="28.1332 / 9.7964 / 17.5832 / 11.8561 / 8.7414 / 8.9926 / 19.0904 / 226.5724 / 62.7972"/>
    <n v="0"/>
    <n v="0"/>
    <x v="5"/>
    <s v="DYES (BEMCARON / BEZAKTIV / BEZATHREN)"/>
    <n v="108882935"/>
    <x v="0"/>
    <n v="49529757"/>
    <x v="0"/>
    <m/>
    <m/>
    <x v="0"/>
    <x v="0"/>
    <x v="0"/>
    <x v="1"/>
    <x v="0"/>
    <x v="0"/>
    <m/>
    <x v="0"/>
    <x v="1"/>
    <x v="0"/>
    <x v="0"/>
    <x v="0"/>
    <x v="4"/>
    <n v="9227.3673728813555"/>
    <n v="4197.4370338983053"/>
    <n v="0"/>
    <d v="2023-09-06T00:00:00"/>
    <x v="0"/>
  </r>
  <r>
    <x v="602"/>
    <d v="2023-08-08T00:00:00"/>
    <x v="601"/>
    <d v="2023-08-08T00:00:00"/>
    <x v="0"/>
    <x v="0"/>
    <n v="1780"/>
    <x v="1"/>
    <x v="0"/>
    <n v="5407.52"/>
    <n v="7.6867000000000001"/>
    <n v="0"/>
    <n v="0"/>
    <x v="2"/>
    <s v="78% POLYESTER 17% VISCOSE ,5% ELSTANE FABRIC 57 CUTTABLE WIDTH WEIGTH :200GSM (6108.2/MTRS"/>
    <n v="4012038"/>
    <x v="0"/>
    <n v="1845538"/>
    <x v="0"/>
    <m/>
    <m/>
    <x v="0"/>
    <x v="0"/>
    <x v="0"/>
    <x v="1"/>
    <x v="0"/>
    <x v="0"/>
    <m/>
    <x v="0"/>
    <x v="1"/>
    <x v="0"/>
    <x v="0"/>
    <x v="0"/>
    <x v="2"/>
    <n v="2253.9539325842698"/>
    <n v="1036.8191011235956"/>
    <n v="0"/>
    <d v="2023-09-07T00:00:00"/>
    <x v="0"/>
  </r>
  <r>
    <x v="603"/>
    <d v="2023-08-11T00:00:00"/>
    <x v="602"/>
    <d v="2023-08-10T00:00:00"/>
    <x v="0"/>
    <x v="0"/>
    <n v="4800"/>
    <x v="1"/>
    <x v="0"/>
    <n v="3204.1590000000001"/>
    <n v="47.046799999999998"/>
    <n v="0"/>
    <n v="0"/>
    <x v="5"/>
    <s v="DYES (FARBANTHREN)"/>
    <n v="66425377"/>
    <x v="0"/>
    <n v="30555673"/>
    <x v="0"/>
    <m/>
    <m/>
    <x v="0"/>
    <x v="0"/>
    <x v="0"/>
    <x v="1"/>
    <x v="0"/>
    <x v="0"/>
    <m/>
    <x v="0"/>
    <x v="1"/>
    <x v="0"/>
    <x v="0"/>
    <x v="0"/>
    <x v="4"/>
    <n v="13838.620208333334"/>
    <n v="6365.7652083333332"/>
    <n v="0"/>
    <d v="2023-09-10T00:00:00"/>
    <x v="0"/>
  </r>
  <r>
    <x v="604"/>
    <d v="2023-08-17T00:00:00"/>
    <x v="603"/>
    <d v="2023-08-10T00:00:00"/>
    <x v="0"/>
    <x v="0"/>
    <n v="3050"/>
    <x v="1"/>
    <x v="0"/>
    <n v="3204.1590000000001"/>
    <n v="32.131100000000004"/>
    <n v="0"/>
    <n v="0"/>
    <x v="5"/>
    <s v="DYES (INDANTHREN)"/>
    <n v="28826249"/>
    <x v="0"/>
    <n v="13260075"/>
    <x v="0"/>
    <m/>
    <m/>
    <x v="0"/>
    <x v="0"/>
    <x v="0"/>
    <x v="1"/>
    <x v="0"/>
    <x v="0"/>
    <m/>
    <x v="0"/>
    <x v="1"/>
    <x v="0"/>
    <x v="0"/>
    <x v="0"/>
    <x v="4"/>
    <n v="9451.2291803278695"/>
    <n v="4347.5655737704919"/>
    <n v="0"/>
    <d v="2023-09-16T00:00:00"/>
    <x v="0"/>
  </r>
  <r>
    <x v="605"/>
    <d v="2023-08-15T00:00:00"/>
    <x v="604"/>
    <d v="2023-08-10T00:00:00"/>
    <x v="0"/>
    <x v="0"/>
    <n v="25890"/>
    <x v="1"/>
    <x v="0"/>
    <n v="5201.009"/>
    <n v="1.962"/>
    <n v="0"/>
    <n v="0"/>
    <x v="0"/>
    <s v="Raw Cotton"/>
    <n v="14941485"/>
    <x v="0"/>
    <n v="4482445"/>
    <x v="0"/>
    <m/>
    <m/>
    <x v="0"/>
    <x v="0"/>
    <x v="0"/>
    <x v="1"/>
    <x v="0"/>
    <x v="0"/>
    <m/>
    <x v="0"/>
    <x v="1"/>
    <x v="0"/>
    <x v="0"/>
    <x v="0"/>
    <x v="0"/>
    <n v="577.11413673232903"/>
    <n v="173.13422170722288"/>
    <n v="0"/>
    <d v="2023-09-14T00:00:00"/>
    <x v="0"/>
  </r>
  <r>
    <x v="606"/>
    <d v="2023-08-15T00:00:00"/>
    <x v="605"/>
    <d v="2023-08-10T00:00:00"/>
    <x v="0"/>
    <x v="0"/>
    <n v="241865"/>
    <x v="1"/>
    <x v="0"/>
    <n v="5201.009"/>
    <n v="1.962"/>
    <n v="0"/>
    <n v="0"/>
    <x v="0"/>
    <s v="Raw Cotton"/>
    <n v="139583709"/>
    <x v="0"/>
    <n v="41875113"/>
    <x v="0"/>
    <m/>
    <m/>
    <x v="0"/>
    <x v="0"/>
    <x v="0"/>
    <x v="1"/>
    <x v="0"/>
    <x v="0"/>
    <m/>
    <x v="0"/>
    <x v="1"/>
    <x v="0"/>
    <x v="0"/>
    <x v="0"/>
    <x v="0"/>
    <n v="577.11412978314354"/>
    <n v="173.1342401753044"/>
    <n v="0"/>
    <d v="2023-09-14T00:00:00"/>
    <x v="0"/>
  </r>
  <r>
    <x v="607"/>
    <d v="2023-08-16T00:00:00"/>
    <x v="606"/>
    <d v="2023-08-11T00:00:00"/>
    <x v="0"/>
    <x v="0"/>
    <n v="24480"/>
    <x v="1"/>
    <x v="0"/>
    <n v="5402.33"/>
    <n v="1.3"/>
    <n v="0"/>
    <n v="0"/>
    <x v="6"/>
    <s v="100% POLYESTER YARN DTY 300D/96F SD RW HIM AA GRADE"/>
    <n v="9346288"/>
    <x v="0"/>
    <n v="3831979"/>
    <x v="0"/>
    <m/>
    <m/>
    <x v="0"/>
    <x v="0"/>
    <x v="0"/>
    <x v="1"/>
    <x v="0"/>
    <x v="0"/>
    <m/>
    <x v="0"/>
    <x v="1"/>
    <x v="0"/>
    <x v="0"/>
    <x v="0"/>
    <x v="3"/>
    <n v="381.79281045751634"/>
    <n v="156.53508986928105"/>
    <n v="0"/>
    <d v="2023-09-15T00:00:00"/>
    <x v="0"/>
  </r>
  <r>
    <x v="608"/>
    <d v="2023-08-22T00:00:00"/>
    <x v="607"/>
    <d v="2023-08-17T00:00:00"/>
    <x v="0"/>
    <x v="0"/>
    <n v="500"/>
    <x v="1"/>
    <x v="0"/>
    <n v="3204.16"/>
    <n v="24.36"/>
    <n v="0"/>
    <n v="0"/>
    <x v="5"/>
    <s v="DYES (EVERZOL)"/>
    <n v="3626804"/>
    <x v="0"/>
    <n v="1668330"/>
    <x v="0"/>
    <m/>
    <m/>
    <x v="0"/>
    <x v="0"/>
    <x v="0"/>
    <x v="1"/>
    <x v="0"/>
    <x v="0"/>
    <m/>
    <x v="0"/>
    <x v="1"/>
    <x v="0"/>
    <x v="0"/>
    <x v="0"/>
    <x v="4"/>
    <n v="7253.6080000000002"/>
    <n v="3336.66"/>
    <n v="0"/>
    <d v="2023-09-21T00:00:00"/>
    <x v="0"/>
  </r>
  <r>
    <x v="609"/>
    <d v="2023-08-27T00:00:00"/>
    <x v="608"/>
    <d v="2023-08-22T00:00:00"/>
    <x v="0"/>
    <x v="0"/>
    <n v="274493"/>
    <x v="1"/>
    <x v="0"/>
    <n v="5201.009"/>
    <n v="2.0282"/>
    <n v="0"/>
    <n v="0"/>
    <x v="0"/>
    <s v="Raw Cotton"/>
    <n v="168216989"/>
    <x v="0"/>
    <n v="50465097"/>
    <x v="0"/>
    <m/>
    <m/>
    <x v="0"/>
    <x v="0"/>
    <x v="0"/>
    <x v="1"/>
    <x v="0"/>
    <x v="0"/>
    <m/>
    <x v="0"/>
    <x v="1"/>
    <x v="0"/>
    <x v="0"/>
    <x v="0"/>
    <x v="0"/>
    <n v="612.82797375525058"/>
    <n v="183.84839321949923"/>
    <n v="0"/>
    <d v="2023-09-26T00:00:00"/>
    <x v="0"/>
  </r>
  <r>
    <x v="610"/>
    <d v="2023-08-26T00:00:00"/>
    <x v="609"/>
    <d v="2023-08-22T00:00:00"/>
    <x v="0"/>
    <x v="0"/>
    <n v="102083"/>
    <x v="1"/>
    <x v="0"/>
    <n v="5201.009"/>
    <n v="2.0777999999999999"/>
    <n v="0"/>
    <n v="0"/>
    <x v="0"/>
    <s v="Raw Cotton"/>
    <n v="64089217"/>
    <x v="0"/>
    <n v="19226765"/>
    <x v="0"/>
    <m/>
    <m/>
    <x v="0"/>
    <x v="0"/>
    <x v="0"/>
    <x v="1"/>
    <x v="0"/>
    <x v="0"/>
    <m/>
    <x v="0"/>
    <x v="1"/>
    <x v="0"/>
    <x v="0"/>
    <x v="0"/>
    <x v="0"/>
    <n v="627.81478796665454"/>
    <n v="188.34443541040133"/>
    <n v="0"/>
    <d v="2023-09-25T00:00:00"/>
    <x v="0"/>
  </r>
  <r>
    <x v="611"/>
    <d v="2023-08-29T00:00:00"/>
    <x v="610"/>
    <d v="2023-08-24T00:00:00"/>
    <x v="0"/>
    <x v="0"/>
    <n v="157320"/>
    <x v="1"/>
    <x v="0"/>
    <n v="5503.201"/>
    <n v="1"/>
    <n v="0"/>
    <n v="0"/>
    <x v="1"/>
    <s v="Polyester Staple Fiber"/>
    <n v="48048350"/>
    <x v="0"/>
    <n v="19699824"/>
    <x v="0"/>
    <m/>
    <m/>
    <x v="0"/>
    <x v="0"/>
    <x v="0"/>
    <x v="1"/>
    <x v="0"/>
    <x v="0"/>
    <m/>
    <x v="0"/>
    <x v="1"/>
    <x v="0"/>
    <x v="0"/>
    <x v="0"/>
    <x v="1"/>
    <n v="305.41793796084414"/>
    <n v="125.22135774218154"/>
    <n v="0"/>
    <d v="2023-09-28T00:00:00"/>
    <x v="0"/>
  </r>
  <r>
    <x v="612"/>
    <d v="2023-08-30T00:00:00"/>
    <x v="611"/>
    <d v="2023-08-24T00:00:00"/>
    <x v="0"/>
    <x v="0"/>
    <n v="237435.2"/>
    <x v="1"/>
    <x v="0"/>
    <n v="5201.009"/>
    <n v="1.9466000000000001"/>
    <n v="0"/>
    <n v="0"/>
    <x v="0"/>
    <s v="Raw Cotton"/>
    <n v="141161533"/>
    <x v="0"/>
    <n v="42348460"/>
    <x v="0"/>
    <m/>
    <m/>
    <x v="0"/>
    <x v="0"/>
    <x v="0"/>
    <x v="1"/>
    <x v="0"/>
    <x v="0"/>
    <m/>
    <x v="0"/>
    <x v="1"/>
    <x v="0"/>
    <x v="0"/>
    <x v="0"/>
    <x v="0"/>
    <n v="594.52656135231837"/>
    <n v="178.35796882686307"/>
    <n v="0"/>
    <d v="2023-09-29T00:00:00"/>
    <x v="0"/>
  </r>
  <r>
    <x v="613"/>
    <d v="2023-08-25T00:00:00"/>
    <x v="612"/>
    <d v="2023-08-24T00:00:00"/>
    <x v="0"/>
    <x v="0"/>
    <n v="299746.59999999998"/>
    <x v="1"/>
    <x v="0"/>
    <n v="5503.201"/>
    <n v="0.96"/>
    <n v="0"/>
    <n v="0"/>
    <x v="1"/>
    <s v="Polyester Staple Fiber"/>
    <n v="87886070"/>
    <x v="0"/>
    <n v="36033289"/>
    <x v="0"/>
    <m/>
    <m/>
    <x v="0"/>
    <x v="0"/>
    <x v="0"/>
    <x v="1"/>
    <x v="0"/>
    <x v="0"/>
    <m/>
    <x v="0"/>
    <x v="1"/>
    <x v="0"/>
    <x v="0"/>
    <x v="0"/>
    <x v="1"/>
    <n v="293.20122396717761"/>
    <n v="120.21250282738821"/>
    <n v="0"/>
    <d v="2023-09-24T00:00:00"/>
    <x v="0"/>
  </r>
  <r>
    <x v="614"/>
    <d v="2023-09-01T00:00:00"/>
    <x v="613"/>
    <d v="2023-08-28T00:00:00"/>
    <x v="0"/>
    <x v="0"/>
    <n v="198962"/>
    <x v="1"/>
    <x v="0"/>
    <n v="5201.009"/>
    <n v="2.0282"/>
    <n v="0"/>
    <n v="0"/>
    <x v="0"/>
    <s v="Raw Cotton"/>
    <n v="123699556"/>
    <x v="0"/>
    <n v="37109867"/>
    <x v="0"/>
    <m/>
    <m/>
    <x v="0"/>
    <x v="0"/>
    <x v="0"/>
    <x v="1"/>
    <x v="0"/>
    <x v="0"/>
    <m/>
    <x v="0"/>
    <x v="1"/>
    <x v="0"/>
    <x v="0"/>
    <x v="0"/>
    <x v="0"/>
    <n v="621.72453031232089"/>
    <n v="186.51736009891337"/>
    <n v="0"/>
    <d v="2023-10-01T00:00:00"/>
    <x v="0"/>
  </r>
  <r>
    <x v="615"/>
    <d v="2023-09-01T00:00:00"/>
    <x v="614"/>
    <d v="2023-08-28T00:00:00"/>
    <x v="0"/>
    <x v="0"/>
    <n v="24648"/>
    <x v="1"/>
    <x v="0"/>
    <n v="5201.009"/>
    <n v="2.0282"/>
    <n v="0"/>
    <n v="0"/>
    <x v="0"/>
    <s v="Raw Cotton"/>
    <n v="15324266"/>
    <x v="0"/>
    <n v="4597280"/>
    <x v="0"/>
    <m/>
    <m/>
    <x v="0"/>
    <x v="0"/>
    <x v="0"/>
    <x v="1"/>
    <x v="0"/>
    <x v="0"/>
    <m/>
    <x v="0"/>
    <x v="1"/>
    <x v="0"/>
    <x v="0"/>
    <x v="0"/>
    <x v="0"/>
    <n v="621.72452125933137"/>
    <n v="186.51736449204805"/>
    <n v="0"/>
    <d v="2023-10-01T00:00:00"/>
    <x v="0"/>
  </r>
  <r>
    <x v="616"/>
    <d v="2023-08-29T00:00:00"/>
    <x v="615"/>
    <d v="2023-08-28T00:00:00"/>
    <x v="0"/>
    <x v="0"/>
    <n v="24480"/>
    <x v="1"/>
    <x v="0"/>
    <n v="5402.33"/>
    <n v="1.3"/>
    <n v="0"/>
    <n v="0"/>
    <x v="6"/>
    <s v="100% POLYESTER TEXTRED YARN (DTY 300D/96F)"/>
    <n v="9755331"/>
    <x v="0"/>
    <n v="3999686"/>
    <x v="0"/>
    <m/>
    <m/>
    <x v="0"/>
    <x v="0"/>
    <x v="0"/>
    <x v="1"/>
    <x v="0"/>
    <x v="0"/>
    <m/>
    <x v="0"/>
    <x v="1"/>
    <x v="0"/>
    <x v="0"/>
    <x v="0"/>
    <x v="3"/>
    <n v="398.50208333333336"/>
    <n v="163.3858660130719"/>
    <n v="0"/>
    <d v="2023-09-28T00:00:00"/>
    <x v="0"/>
  </r>
  <r>
    <x v="617"/>
    <d v="2023-09-06T00:00:00"/>
    <x v="616"/>
    <d v="2023-08-29T00:00:00"/>
    <x v="0"/>
    <x v="0"/>
    <n v="4000"/>
    <x v="1"/>
    <x v="0"/>
    <n v="3906.9090000000001"/>
    <n v="12.6"/>
    <n v="0"/>
    <n v="0"/>
    <x v="12"/>
    <s v="CHEMICAL (NUVA)"/>
    <n v="15498461"/>
    <x v="0"/>
    <n v="6354369"/>
    <x v="0"/>
    <m/>
    <m/>
    <x v="0"/>
    <x v="0"/>
    <x v="0"/>
    <x v="1"/>
    <x v="0"/>
    <x v="0"/>
    <m/>
    <x v="0"/>
    <x v="1"/>
    <x v="0"/>
    <x v="0"/>
    <x v="0"/>
    <x v="5"/>
    <n v="3874.6152499999998"/>
    <n v="1588.5922499999999"/>
    <n v="0"/>
    <d v="2023-10-06T00:00:00"/>
    <x v="0"/>
  </r>
  <r>
    <x v="618"/>
    <d v="2023-09-01T00:00:00"/>
    <x v="617"/>
    <d v="2023-08-29T00:00:00"/>
    <x v="0"/>
    <x v="0"/>
    <n v="1471.5"/>
    <x v="1"/>
    <x v="0"/>
    <n v="5407.52"/>
    <n v="5.3358999999999996"/>
    <n v="0"/>
    <n v="0"/>
    <x v="11"/>
    <s v="100% POLYESTER MESH FABRIC WHITE AND BLACK 170GSM,WIDTH:150CM, (18719.8/MTRS) "/>
    <n v="2414493"/>
    <x v="0"/>
    <n v="1110667"/>
    <x v="0"/>
    <m/>
    <m/>
    <x v="0"/>
    <x v="0"/>
    <x v="0"/>
    <x v="2"/>
    <x v="0"/>
    <x v="0"/>
    <m/>
    <x v="0"/>
    <x v="1"/>
    <x v="0"/>
    <x v="0"/>
    <x v="0"/>
    <x v="2"/>
    <n v="1640.8379204892967"/>
    <n v="754.78559293238197"/>
    <n v="0"/>
    <d v="2023-10-01T00:00:00"/>
    <x v="0"/>
  </r>
  <r>
    <x v="619"/>
    <d v="2023-09-05T00:00:00"/>
    <x v="618"/>
    <d v="2023-09-01T00:00:00"/>
    <x v="0"/>
    <x v="0"/>
    <n v="298629.40000000002"/>
    <x v="1"/>
    <x v="0"/>
    <n v="5503.201"/>
    <n v="0.96"/>
    <n v="0"/>
    <n v="0"/>
    <x v="1"/>
    <s v="Polyester Staple Fiber"/>
    <n v="89166961"/>
    <x v="0"/>
    <n v="36558454"/>
    <x v="0"/>
    <m/>
    <m/>
    <x v="0"/>
    <x v="0"/>
    <x v="0"/>
    <x v="1"/>
    <x v="0"/>
    <x v="0"/>
    <m/>
    <x v="0"/>
    <x v="1"/>
    <x v="0"/>
    <x v="0"/>
    <x v="0"/>
    <x v="1"/>
    <n v="298.58734940364207"/>
    <n v="122.42081322200693"/>
    <n v="0"/>
    <d v="2023-10-05T00:00:00"/>
    <x v="0"/>
  </r>
  <r>
    <x v="620"/>
    <d v="2023-09-06T00:00:00"/>
    <x v="619"/>
    <d v="2023-09-01T00:00:00"/>
    <x v="0"/>
    <x v="0"/>
    <n v="38080"/>
    <x v="1"/>
    <x v="0"/>
    <n v="2915.11"/>
    <n v="0.77"/>
    <n v="0"/>
    <n v="0"/>
    <x v="12"/>
    <s v="Chemical (Formic Acid)"/>
    <n v="9119853"/>
    <x v="0"/>
    <n v="4195132"/>
    <x v="0"/>
    <m/>
    <m/>
    <x v="0"/>
    <x v="0"/>
    <x v="0"/>
    <x v="1"/>
    <x v="0"/>
    <x v="0"/>
    <m/>
    <x v="0"/>
    <x v="1"/>
    <x v="0"/>
    <x v="0"/>
    <x v="0"/>
    <x v="5"/>
    <n v="239.49193802521009"/>
    <n v="110.16628151260504"/>
    <n v="0"/>
    <d v="2023-10-06T00:00:00"/>
    <x v="0"/>
  </r>
  <r>
    <x v="621"/>
    <d v="2023-09-10T00:00:00"/>
    <x v="620"/>
    <d v="2023-09-01T00:00:00"/>
    <x v="0"/>
    <x v="0"/>
    <n v="225570"/>
    <x v="1"/>
    <x v="0"/>
    <n v="5201.009"/>
    <n v="1.8926000000000001"/>
    <n v="0"/>
    <n v="0"/>
    <x v="0"/>
    <s v="Raw Cotton"/>
    <n v="132782349"/>
    <x v="0"/>
    <n v="39834705"/>
    <x v="0"/>
    <m/>
    <m/>
    <x v="0"/>
    <x v="0"/>
    <x v="0"/>
    <x v="1"/>
    <x v="0"/>
    <x v="0"/>
    <m/>
    <x v="0"/>
    <x v="1"/>
    <x v="0"/>
    <x v="0"/>
    <x v="0"/>
    <x v="0"/>
    <n v="588.65252028195243"/>
    <n v="176.59575741454981"/>
    <n v="0"/>
    <d v="2023-10-10T00:00:00"/>
    <x v="0"/>
  </r>
  <r>
    <x v="622"/>
    <d v="2023-09-06T00:00:00"/>
    <x v="621"/>
    <d v="2023-09-01T00:00:00"/>
    <x v="0"/>
    <x v="0"/>
    <n v="80982"/>
    <x v="1"/>
    <x v="0"/>
    <n v="5201.009"/>
    <n v="2.2265999999999999"/>
    <n v="0"/>
    <n v="0"/>
    <x v="0"/>
    <s v="Raw Cotton"/>
    <n v="56082953"/>
    <x v="0"/>
    <n v="16824886"/>
    <x v="0"/>
    <m/>
    <m/>
    <x v="0"/>
    <x v="0"/>
    <x v="0"/>
    <x v="1"/>
    <x v="0"/>
    <x v="0"/>
    <m/>
    <x v="0"/>
    <x v="1"/>
    <x v="0"/>
    <x v="0"/>
    <x v="0"/>
    <x v="0"/>
    <n v="692.53603269862435"/>
    <n v="207.76081104442963"/>
    <n v="0"/>
    <d v="2023-10-06T00:00:00"/>
    <x v="0"/>
  </r>
  <r>
    <x v="623"/>
    <d v="2023-09-05T00:00:00"/>
    <x v="622"/>
    <d v="2023-09-01T00:00:00"/>
    <x v="0"/>
    <x v="0"/>
    <n v="38080"/>
    <x v="1"/>
    <x v="0"/>
    <n v="2915.11"/>
    <n v="0.89"/>
    <n v="0"/>
    <n v="0"/>
    <x v="12"/>
    <s v="Chemical (Formic Acid)"/>
    <n v="10541129"/>
    <x v="0"/>
    <n v="4848919"/>
    <x v="0"/>
    <m/>
    <m/>
    <x v="0"/>
    <x v="0"/>
    <x v="0"/>
    <x v="1"/>
    <x v="0"/>
    <x v="0"/>
    <m/>
    <x v="0"/>
    <x v="1"/>
    <x v="0"/>
    <x v="0"/>
    <x v="0"/>
    <x v="5"/>
    <n v="276.81536239495796"/>
    <n v="127.33505777310924"/>
    <n v="0"/>
    <d v="2023-10-05T00:00:00"/>
    <x v="0"/>
  </r>
  <r>
    <x v="624"/>
    <d v="2023-09-12T00:00:00"/>
    <x v="623"/>
    <d v="2023-06-05T00:00:00"/>
    <x v="0"/>
    <x v="0"/>
    <n v="231329.8"/>
    <x v="1"/>
    <x v="0"/>
    <n v="5201.009"/>
    <n v="1.962"/>
    <n v="0"/>
    <n v="0"/>
    <x v="0"/>
    <s v="Raw Cotton"/>
    <n v="141606053"/>
    <x v="0"/>
    <n v="42481816"/>
    <x v="0"/>
    <m/>
    <m/>
    <x v="0"/>
    <x v="0"/>
    <x v="0"/>
    <x v="1"/>
    <x v="0"/>
    <x v="0"/>
    <m/>
    <x v="0"/>
    <x v="1"/>
    <x v="0"/>
    <x v="0"/>
    <x v="0"/>
    <x v="0"/>
    <n v="612.13926178123188"/>
    <n v="183.64177896665282"/>
    <n v="0"/>
    <d v="2023-10-12T00:00:00"/>
    <x v="0"/>
  </r>
  <r>
    <x v="625"/>
    <d v="2023-09-12T00:00:00"/>
    <x v="624"/>
    <d v="2023-06-05T00:00:00"/>
    <x v="0"/>
    <x v="0"/>
    <n v="20139"/>
    <x v="1"/>
    <x v="0"/>
    <n v="5201.009"/>
    <n v="2.0777999999999999"/>
    <n v="0"/>
    <n v="0"/>
    <x v="0"/>
    <s v="Raw Cotton"/>
    <n v="13055481"/>
    <x v="0"/>
    <n v="3916645"/>
    <x v="0"/>
    <m/>
    <m/>
    <x v="0"/>
    <x v="0"/>
    <x v="0"/>
    <x v="1"/>
    <x v="0"/>
    <x v="0"/>
    <m/>
    <x v="0"/>
    <x v="1"/>
    <x v="0"/>
    <x v="0"/>
    <x v="0"/>
    <x v="0"/>
    <n v="648.26858334574706"/>
    <n v="194.48060976215302"/>
    <n v="0"/>
    <d v="2023-10-12T00:00:00"/>
    <x v="0"/>
  </r>
  <r>
    <x v="626"/>
    <d v="2023-09-07T00:00:00"/>
    <x v="625"/>
    <d v="2023-09-06T00:00:00"/>
    <x v="0"/>
    <x v="0"/>
    <n v="24480"/>
    <x v="1"/>
    <x v="0"/>
    <n v="5402.33"/>
    <n v="1.35"/>
    <n v="0"/>
    <n v="0"/>
    <x v="6"/>
    <s v="100% POLYESTER TEXTRED YARN (DTY 150D/48F) HIM RW SD AA GRADE"/>
    <n v="10315953"/>
    <x v="0"/>
    <n v="4229541"/>
    <x v="0"/>
    <m/>
    <m/>
    <x v="0"/>
    <x v="0"/>
    <x v="0"/>
    <x v="1"/>
    <x v="0"/>
    <x v="0"/>
    <m/>
    <x v="0"/>
    <x v="1"/>
    <x v="0"/>
    <x v="0"/>
    <x v="0"/>
    <x v="3"/>
    <n v="421.40330882352941"/>
    <n v="172.77536764705883"/>
    <n v="0"/>
    <d v="2023-10-07T00:00:00"/>
    <x v="0"/>
  </r>
  <r>
    <x v="627"/>
    <d v="2023-09-07T00:00:00"/>
    <x v="626"/>
    <d v="2023-09-06T00:00:00"/>
    <x v="0"/>
    <x v="0"/>
    <n v="26000"/>
    <x v="1"/>
    <x v="0"/>
    <n v="3402.4189999999999"/>
    <s v="15.0 / 11.70"/>
    <n v="0"/>
    <n v="0"/>
    <x v="12"/>
    <s v="Chemical (DYMAFIX / WETMATIC )"/>
    <n v="14789457"/>
    <x v="0"/>
    <n v="7394728"/>
    <x v="0"/>
    <m/>
    <m/>
    <x v="0"/>
    <x v="0"/>
    <x v="0"/>
    <x v="1"/>
    <x v="0"/>
    <x v="0"/>
    <m/>
    <x v="0"/>
    <x v="1"/>
    <x v="0"/>
    <x v="0"/>
    <x v="0"/>
    <x v="5"/>
    <n v="568.82526923076921"/>
    <n v="284.41261538461538"/>
    <n v="0"/>
    <d v="2023-10-07T00:00:00"/>
    <x v="0"/>
  </r>
  <r>
    <x v="628"/>
    <d v="2023-09-13T00:00:00"/>
    <x v="627"/>
    <d v="2023-09-08T00:00:00"/>
    <x v="0"/>
    <x v="0"/>
    <n v="7170"/>
    <x v="1"/>
    <x v="0"/>
    <n v="5407.52"/>
    <n v="14.380800000000001"/>
    <n v="0"/>
    <n v="0"/>
    <x v="11"/>
    <s v="100% POLYMIDE CORDURA FABRIC 500X500 1/1 57&quot; CUTTABLE WIDTH 210GSM COLOR: BLACK, (23171/MTRS) DETAILS AS PER INVOICE NO.HT033B23 DATED:16-AUG-2023 AND PACKING LIST"/>
    <n v="32338468"/>
    <x v="0"/>
    <n v="14875695"/>
    <x v="0"/>
    <m/>
    <m/>
    <x v="0"/>
    <x v="0"/>
    <x v="0"/>
    <x v="0"/>
    <x v="0"/>
    <x v="0"/>
    <m/>
    <x v="0"/>
    <x v="1"/>
    <x v="0"/>
    <x v="0"/>
    <x v="0"/>
    <x v="2"/>
    <n v="4510.2465829846587"/>
    <n v="2074.7133891213389"/>
    <n v="0"/>
    <d v="2023-10-13T00:00:00"/>
    <x v="0"/>
  </r>
  <r>
    <x v="629"/>
    <d v="2023-09-12T00:00:00"/>
    <x v="628"/>
    <d v="2023-09-08T00:00:00"/>
    <x v="0"/>
    <x v="0"/>
    <n v="19483.900000000001"/>
    <x v="1"/>
    <x v="0"/>
    <n v="5402.33"/>
    <n v="1.52"/>
    <n v="0"/>
    <n v="0"/>
    <x v="6"/>
    <s v="ACY YARN 300/96 WHITE +70D SPANDEX"/>
    <n v="9288310"/>
    <x v="0"/>
    <n v="3808207"/>
    <x v="0"/>
    <m/>
    <m/>
    <x v="0"/>
    <x v="0"/>
    <x v="0"/>
    <x v="1"/>
    <x v="0"/>
    <x v="0"/>
    <m/>
    <x v="0"/>
    <x v="1"/>
    <x v="0"/>
    <x v="0"/>
    <x v="0"/>
    <x v="3"/>
    <n v="476.71718701081403"/>
    <n v="195.45404154199107"/>
    <n v="0"/>
    <d v="2023-10-12T00:00:00"/>
    <x v="0"/>
  </r>
  <r>
    <x v="630"/>
    <d v="2023-09-08T00:00:00"/>
    <x v="629"/>
    <d v="2023-09-08T00:00:00"/>
    <x v="0"/>
    <x v="0"/>
    <n v="23100"/>
    <x v="1"/>
    <x v="0"/>
    <n v="5402.33"/>
    <n v="1.35"/>
    <n v="0"/>
    <n v="0"/>
    <x v="6"/>
    <s v="100% POLYESTER YARN (DTY 150D/48F SD RW HIM AA GRADE)"/>
    <n v="9780544"/>
    <x v="0"/>
    <n v="4010023"/>
    <x v="0"/>
    <m/>
    <m/>
    <x v="0"/>
    <x v="0"/>
    <x v="0"/>
    <x v="1"/>
    <x v="0"/>
    <x v="0"/>
    <m/>
    <x v="0"/>
    <x v="1"/>
    <x v="0"/>
    <x v="0"/>
    <x v="0"/>
    <x v="3"/>
    <n v="423.40017316017315"/>
    <n v="173.59406926406928"/>
    <n v="0"/>
    <d v="2023-10-08T00:00:00"/>
    <x v="0"/>
  </r>
  <r>
    <x v="631"/>
    <d v="2023-09-10T00:00:00"/>
    <x v="630"/>
    <d v="2023-09-08T00:00:00"/>
    <x v="0"/>
    <x v="0"/>
    <n v="235727"/>
    <x v="1"/>
    <x v="0"/>
    <n v="5201.009"/>
    <n v="1.8926000000000001"/>
    <n v="0"/>
    <n v="0"/>
    <x v="0"/>
    <s v="Raw Cotton"/>
    <n v="139921809"/>
    <x v="0"/>
    <n v="41976543"/>
    <x v="0"/>
    <m/>
    <m/>
    <x v="0"/>
    <x v="0"/>
    <x v="0"/>
    <x v="1"/>
    <x v="0"/>
    <x v="0"/>
    <m/>
    <x v="0"/>
    <x v="1"/>
    <x v="0"/>
    <x v="0"/>
    <x v="0"/>
    <x v="0"/>
    <n v="593.57565743423538"/>
    <n v="178.07269850292923"/>
    <n v="0"/>
    <d v="2023-10-10T00:00:00"/>
    <x v="0"/>
  </r>
  <r>
    <x v="632"/>
    <d v="2023-09-12T00:00:00"/>
    <x v="631"/>
    <d v="2023-09-08T00:00:00"/>
    <x v="0"/>
    <x v="0"/>
    <n v="321933"/>
    <x v="1"/>
    <x v="0"/>
    <n v="5201.009"/>
    <n v="2.2265999999999999"/>
    <n v="0"/>
    <n v="0"/>
    <x v="0"/>
    <s v="Raw Cotton"/>
    <n v="224814825"/>
    <x v="0"/>
    <n v="67444448"/>
    <x v="0"/>
    <m/>
    <m/>
    <x v="0"/>
    <x v="0"/>
    <x v="0"/>
    <x v="1"/>
    <x v="0"/>
    <x v="0"/>
    <m/>
    <x v="0"/>
    <x v="1"/>
    <x v="0"/>
    <x v="0"/>
    <x v="0"/>
    <x v="0"/>
    <n v="698.3279906067412"/>
    <n v="209.49839873514054"/>
    <n v="0"/>
    <d v="2023-10-12T00:00:00"/>
    <x v="0"/>
  </r>
  <r>
    <x v="633"/>
    <d v="2023-09-12T00:00:00"/>
    <x v="632"/>
    <d v="2023-09-12T00:00:00"/>
    <x v="0"/>
    <x v="0"/>
    <n v="3992"/>
    <x v="1"/>
    <x v="0"/>
    <n v="5407.52"/>
    <n v="5.2751999999999999"/>
    <n v="0"/>
    <n v="0"/>
    <x v="11"/>
    <s v="100% POLYESTER MICROFIBER DYED FABRIC WIDTH:242,269CM, 82GSM (19169/MTRS) DETAILS AS PER INVOICE NO.SF23124 DATED:09-AUG-2023 AND PACKING LIST"/>
    <n v="6518675"/>
    <x v="0"/>
    <n v="2998591"/>
    <x v="0"/>
    <m/>
    <m/>
    <x v="0"/>
    <x v="0"/>
    <x v="0"/>
    <x v="2"/>
    <x v="0"/>
    <x v="0"/>
    <m/>
    <x v="0"/>
    <x v="1"/>
    <x v="0"/>
    <x v="0"/>
    <x v="0"/>
    <x v="2"/>
    <n v="1632.9346192384769"/>
    <n v="751.15005010020036"/>
    <n v="0"/>
    <d v="2023-10-12T00:00:00"/>
    <x v="0"/>
  </r>
  <r>
    <x v="634"/>
    <d v="2023-09-14T00:00:00"/>
    <x v="633"/>
    <d v="2023-09-08T00:00:00"/>
    <x v="0"/>
    <x v="0"/>
    <n v="80601"/>
    <x v="1"/>
    <x v="0"/>
    <n v="5201.009"/>
    <n v="2.2265999999999999"/>
    <n v="0"/>
    <n v="0"/>
    <x v="0"/>
    <s v="Raw Cotton"/>
    <n v="56285934"/>
    <x v="0"/>
    <n v="16885780"/>
    <x v="0"/>
    <m/>
    <m/>
    <x v="0"/>
    <x v="0"/>
    <x v="0"/>
    <x v="1"/>
    <x v="0"/>
    <x v="0"/>
    <m/>
    <x v="0"/>
    <x v="1"/>
    <x v="0"/>
    <x v="0"/>
    <x v="0"/>
    <x v="0"/>
    <n v="698.32798600513638"/>
    <n v="209.49839332018215"/>
    <n v="0"/>
    <d v="2023-10-14T00:00:00"/>
    <x v="0"/>
  </r>
  <r>
    <x v="635"/>
    <d v="2023-09-15T00:00:00"/>
    <x v="634"/>
    <d v="2023-09-13T00:00:00"/>
    <x v="0"/>
    <x v="0"/>
    <n v="4450"/>
    <x v="1"/>
    <x v="0"/>
    <n v="3204.1590000000001"/>
    <n v="45.301600000000001"/>
    <n v="0"/>
    <n v="0"/>
    <x v="5"/>
    <s v="DYES (FARBANTHREN)"/>
    <n v="62011985"/>
    <x v="0"/>
    <n v="28525513"/>
    <x v="0"/>
    <m/>
    <m/>
    <x v="0"/>
    <x v="0"/>
    <x v="0"/>
    <x v="1"/>
    <x v="0"/>
    <x v="0"/>
    <m/>
    <x v="0"/>
    <x v="1"/>
    <x v="0"/>
    <x v="0"/>
    <x v="0"/>
    <x v="4"/>
    <n v="13935.277528089888"/>
    <n v="6410.2276404494378"/>
    <n v="0"/>
    <d v="2023-10-15T00:00:00"/>
    <x v="0"/>
  </r>
  <r>
    <x v="636"/>
    <d v="2023-09-16T00:00:00"/>
    <x v="635"/>
    <d v="2023-09-08T00:00:00"/>
    <x v="0"/>
    <x v="0"/>
    <n v="1950"/>
    <x v="1"/>
    <x v="0"/>
    <n v="3204.1590000000001"/>
    <n v="40"/>
    <n v="0"/>
    <n v="0"/>
    <x v="5"/>
    <s v="DYES (INDANTHREN)"/>
    <n v="24463120"/>
    <x v="0"/>
    <n v="11253035"/>
    <x v="0"/>
    <m/>
    <m/>
    <x v="0"/>
    <x v="0"/>
    <x v="0"/>
    <x v="1"/>
    <x v="0"/>
    <x v="0"/>
    <m/>
    <x v="0"/>
    <x v="1"/>
    <x v="0"/>
    <x v="0"/>
    <x v="0"/>
    <x v="4"/>
    <n v="12545.189743589744"/>
    <n v="5770.7871794871799"/>
    <n v="0"/>
    <d v="2023-10-16T00:00:00"/>
    <x v="0"/>
  </r>
  <r>
    <x v="637"/>
    <d v="2023-09-18T00:00:00"/>
    <x v="636"/>
    <d v="2023-09-18T00:00:00"/>
    <x v="0"/>
    <x v="0"/>
    <n v="24480"/>
    <x v="1"/>
    <x v="0"/>
    <n v="5402.33"/>
    <n v="1.43"/>
    <n v="0"/>
    <n v="0"/>
    <x v="6"/>
    <s v="100% POLYESTER TEXTRED YARN (DTY 100D/48F) HIM RW SD AA GRADE"/>
    <n v="10650516"/>
    <x v="0"/>
    <n v="4366712"/>
    <x v="0"/>
    <m/>
    <m/>
    <x v="0"/>
    <x v="0"/>
    <x v="0"/>
    <x v="1"/>
    <x v="0"/>
    <x v="0"/>
    <m/>
    <x v="0"/>
    <x v="1"/>
    <x v="0"/>
    <x v="0"/>
    <x v="0"/>
    <x v="3"/>
    <n v="435.07009803921568"/>
    <n v="178.37875816993463"/>
    <n v="0"/>
    <d v="2023-10-18T00:00:00"/>
    <x v="0"/>
  </r>
  <r>
    <x v="638"/>
    <d v="2023-09-19T00:00:00"/>
    <x v="637"/>
    <d v="2023-09-13T00:00:00"/>
    <x v="0"/>
    <x v="0"/>
    <n v="3500"/>
    <x v="1"/>
    <x v="0"/>
    <n v="3204.1109999999999"/>
    <n v="5.4142000000000001"/>
    <n v="0"/>
    <n v="0"/>
    <x v="5"/>
    <s v="DYES (FASFA)"/>
    <n v="5829139"/>
    <x v="0"/>
    <n v="1748742"/>
    <x v="0"/>
    <m/>
    <m/>
    <x v="0"/>
    <x v="0"/>
    <x v="0"/>
    <x v="1"/>
    <x v="0"/>
    <x v="0"/>
    <m/>
    <x v="0"/>
    <x v="1"/>
    <x v="0"/>
    <x v="0"/>
    <x v="0"/>
    <x v="4"/>
    <n v="1665.4682857142857"/>
    <n v="499.64057142857143"/>
    <n v="0"/>
    <d v="2023-10-19T00:00:00"/>
    <x v="0"/>
  </r>
  <r>
    <x v="639"/>
    <d v="2023-09-19T00:00:00"/>
    <x v="638"/>
    <d v="2023-09-19T00:00:00"/>
    <x v="0"/>
    <x v="0"/>
    <n v="6500"/>
    <x v="1"/>
    <x v="0"/>
    <n v="3204.16"/>
    <n v="11.142300000000001"/>
    <n v="0"/>
    <n v="0"/>
    <x v="5"/>
    <s v="DYES  (SETAZOL)"/>
    <n v="21961036"/>
    <x v="0"/>
    <n v="10102076"/>
    <x v="0"/>
    <m/>
    <m/>
    <x v="0"/>
    <x v="0"/>
    <x v="0"/>
    <x v="1"/>
    <x v="0"/>
    <x v="0"/>
    <m/>
    <x v="0"/>
    <x v="1"/>
    <x v="0"/>
    <x v="0"/>
    <x v="0"/>
    <x v="4"/>
    <n v="3378.6209230769232"/>
    <n v="1554.1655384615385"/>
    <n v="0"/>
    <d v="2023-10-19T00:00:00"/>
    <x v="0"/>
  </r>
  <r>
    <x v="640"/>
    <d v="2023-09-21T00:00:00"/>
    <x v="639"/>
    <d v="2023-09-18T00:00:00"/>
    <x v="0"/>
    <x v="0"/>
    <n v="12000"/>
    <x v="1"/>
    <x v="0"/>
    <n v="3204.16"/>
    <s v="3.10 / 4.80"/>
    <n v="0"/>
    <n v="0"/>
    <x v="5"/>
    <s v="DYES  (LIYUANSOL)"/>
    <n v="13903989"/>
    <x v="0"/>
    <n v="6395834"/>
    <x v="0"/>
    <m/>
    <m/>
    <x v="0"/>
    <x v="0"/>
    <x v="0"/>
    <x v="1"/>
    <x v="0"/>
    <x v="0"/>
    <m/>
    <x v="0"/>
    <x v="1"/>
    <x v="0"/>
    <x v="0"/>
    <x v="0"/>
    <x v="4"/>
    <n v="1158.6657499999999"/>
    <n v="532.98616666666669"/>
    <n v="0"/>
    <d v="2023-10-21T00:00:00"/>
    <x v="0"/>
  </r>
  <r>
    <x v="641"/>
    <d v="2023-09-21T00:00:00"/>
    <x v="640"/>
    <d v="2023-09-18T00:00:00"/>
    <x v="0"/>
    <x v="2"/>
    <n v="8080"/>
    <x v="1"/>
    <x v="0"/>
    <n v="5407.51"/>
    <n v="3.8"/>
    <n v="8080"/>
    <n v="8080"/>
    <x v="11"/>
    <s v="MICROFIBER GREIGE FABRIC 90GSM(+/-2G) 112&quot; (19239/MTRS) / MICROFIBER DYED FABRIC 100GSM(+/-2G) 105&quot; (12734/MTRS) "/>
    <n v="9341533"/>
    <x v="0"/>
    <n v="3830029"/>
    <x v="0"/>
    <m/>
    <m/>
    <x v="0"/>
    <x v="0"/>
    <x v="0"/>
    <x v="1"/>
    <x v="0"/>
    <x v="0"/>
    <m/>
    <x v="0"/>
    <x v="1"/>
    <x v="0"/>
    <x v="0"/>
    <x v="0"/>
    <x v="2"/>
    <n v="1156.1303217821783"/>
    <n v="474.01349009900991"/>
    <n v="3830029"/>
    <d v="2023-10-21T00:00:00"/>
    <x v="0"/>
  </r>
  <r>
    <x v="641"/>
    <d v="2023-09-21T00:00:00"/>
    <x v="640"/>
    <d v="2023-09-18T00:00:00"/>
    <x v="0"/>
    <x v="2"/>
    <n v="3300"/>
    <x v="1"/>
    <x v="0"/>
    <n v="5407.52"/>
    <n v="5.2"/>
    <n v="8080"/>
    <n v="3300"/>
    <x v="11"/>
    <s v="MICROFIBER GREIGE FABRIC 90GSM(+/-2G) 112&quot; (19239/MTRS) / MICROFIBER DYED FABRIC 100GSM(+/-2G) 105&quot; (12734/MTRS) "/>
    <n v="5220841"/>
    <x v="0"/>
    <n v="2401587"/>
    <x v="0"/>
    <m/>
    <m/>
    <x v="0"/>
    <x v="0"/>
    <x v="0"/>
    <x v="1"/>
    <x v="0"/>
    <x v="0"/>
    <m/>
    <x v="0"/>
    <x v="1"/>
    <x v="0"/>
    <x v="0"/>
    <x v="0"/>
    <x v="2"/>
    <n v="1582.0730303030302"/>
    <n v="727.75363636363636"/>
    <n v="5880249.3818181818"/>
    <d v="2023-10-21T00:00:00"/>
    <x v="0"/>
  </r>
  <r>
    <x v="642"/>
    <d v="2023-09-22T00:00:00"/>
    <x v="641"/>
    <d v="2023-09-16T00:00:00"/>
    <x v="0"/>
    <x v="0"/>
    <n v="38080"/>
    <x v="1"/>
    <x v="0"/>
    <n v="2915.11"/>
    <n v="0.77"/>
    <n v="0"/>
    <n v="0"/>
    <x v="12"/>
    <s v="FORMIC ACID 85%"/>
    <n v="8920945"/>
    <x v="0"/>
    <n v="4103634"/>
    <x v="0"/>
    <m/>
    <m/>
    <x v="0"/>
    <x v="0"/>
    <x v="0"/>
    <x v="1"/>
    <x v="0"/>
    <x v="0"/>
    <m/>
    <x v="0"/>
    <x v="1"/>
    <x v="0"/>
    <x v="0"/>
    <x v="0"/>
    <x v="5"/>
    <n v="234.26851365546219"/>
    <n v="107.76349789915966"/>
    <n v="0"/>
    <d v="2023-10-22T00:00:00"/>
    <x v="0"/>
  </r>
  <r>
    <x v="643"/>
    <d v="2023-09-22T00:00:00"/>
    <x v="642"/>
    <d v="2023-09-19T00:00:00"/>
    <x v="0"/>
    <x v="0"/>
    <n v="6100"/>
    <x v="1"/>
    <x v="0"/>
    <s v="3204.1110 / 3204.1590"/>
    <s v="11.3906 / 32.50"/>
    <n v="0"/>
    <n v="0"/>
    <x v="5"/>
    <s v="DYES  (BEMACRON / BEZATHREN)"/>
    <n v="49872874"/>
    <x v="0"/>
    <n v="22057321"/>
    <x v="0"/>
    <m/>
    <m/>
    <x v="0"/>
    <x v="0"/>
    <x v="0"/>
    <x v="1"/>
    <x v="0"/>
    <x v="0"/>
    <m/>
    <x v="0"/>
    <x v="1"/>
    <x v="0"/>
    <x v="0"/>
    <x v="0"/>
    <x v="4"/>
    <n v="8175.8809836065575"/>
    <n v="3615.9542622950821"/>
    <n v="0"/>
    <d v="2023-10-22T00:00:00"/>
    <x v="0"/>
  </r>
  <r>
    <x v="644"/>
    <d v="2023-09-26T00:00:00"/>
    <x v="643"/>
    <d v="2023-09-19T00:00:00"/>
    <x v="0"/>
    <x v="0"/>
    <n v="24480"/>
    <x v="1"/>
    <x v="0"/>
    <n v="5402.33"/>
    <n v="1.43"/>
    <n v="0"/>
    <n v="0"/>
    <x v="6"/>
    <s v="100% POLYESTER TEXTURED YARN DTY 100D/48F HIM RW SD GRADE-AA"/>
    <n v="10505890"/>
    <x v="0"/>
    <n v="4307415"/>
    <x v="0"/>
    <m/>
    <m/>
    <x v="0"/>
    <x v="0"/>
    <x v="0"/>
    <x v="1"/>
    <x v="0"/>
    <x v="0"/>
    <m/>
    <x v="0"/>
    <x v="1"/>
    <x v="0"/>
    <x v="0"/>
    <x v="0"/>
    <x v="3"/>
    <n v="429.16217320261438"/>
    <n v="175.95649509803923"/>
    <n v="0"/>
    <d v="2023-10-26T00:00:00"/>
    <x v="0"/>
  </r>
  <r>
    <x v="645"/>
    <d v="2023-09-29T00:00:00"/>
    <x v="644"/>
    <d v="2023-09-19T00:00:00"/>
    <x v="0"/>
    <x v="0"/>
    <n v="49000"/>
    <x v="1"/>
    <x v="0"/>
    <n v="5201.009"/>
    <n v="1.8926000000000001"/>
    <n v="0"/>
    <n v="0"/>
    <x v="0"/>
    <s v="Raw Cotton"/>
    <n v="27633075"/>
    <x v="0"/>
    <n v="8289923"/>
    <x v="0"/>
    <m/>
    <m/>
    <x v="0"/>
    <x v="0"/>
    <x v="0"/>
    <x v="1"/>
    <x v="0"/>
    <x v="0"/>
    <m/>
    <x v="0"/>
    <x v="1"/>
    <x v="0"/>
    <x v="0"/>
    <x v="0"/>
    <x v="0"/>
    <n v="563.94030612244899"/>
    <n v="169.18210204081632"/>
    <n v="0"/>
    <d v="2023-10-29T00:00:00"/>
    <x v="0"/>
  </r>
  <r>
    <x v="646"/>
    <d v="2023-10-03T00:00:00"/>
    <x v="645"/>
    <d v="2023-10-02T00:00:00"/>
    <x v="0"/>
    <x v="0"/>
    <n v="24480"/>
    <x v="1"/>
    <x v="0"/>
    <n v="5402.33"/>
    <n v="1.43"/>
    <n v="0"/>
    <n v="0"/>
    <x v="6"/>
    <s v="100% POLYESTER TEXTURED YARN DTY 100D/48F HIM RW SD GRADE-AA"/>
    <n v="10323769"/>
    <x v="0"/>
    <n v="4232745"/>
    <x v="0"/>
    <m/>
    <m/>
    <x v="0"/>
    <x v="0"/>
    <x v="0"/>
    <x v="1"/>
    <x v="0"/>
    <x v="0"/>
    <m/>
    <x v="0"/>
    <x v="1"/>
    <x v="0"/>
    <x v="0"/>
    <x v="0"/>
    <x v="3"/>
    <n v="421.72258986928102"/>
    <n v="172.90625"/>
    <n v="0"/>
    <d v="2023-11-02T00:00:00"/>
    <x v="0"/>
  </r>
  <r>
    <x v="647"/>
    <d v="2023-10-11T00:00:00"/>
    <x v="646"/>
    <d v="2023-10-03T00:00:00"/>
    <x v="0"/>
    <x v="0"/>
    <n v="1000"/>
    <x v="1"/>
    <x v="0"/>
    <n v="3707.1"/>
    <n v="9.1999999999999993"/>
    <n v="0"/>
    <n v="0"/>
    <x v="12"/>
    <s v="Chemical (Emulsion Aquasol)"/>
    <n v="2703795"/>
    <x v="0"/>
    <n v="811138"/>
    <x v="0"/>
    <m/>
    <m/>
    <x v="0"/>
    <x v="0"/>
    <x v="0"/>
    <x v="1"/>
    <x v="0"/>
    <x v="0"/>
    <m/>
    <x v="0"/>
    <x v="1"/>
    <x v="0"/>
    <x v="0"/>
    <x v="0"/>
    <x v="5"/>
    <n v="2703.7950000000001"/>
    <n v="811.13800000000003"/>
    <n v="0"/>
    <d v="2023-11-10T00:00:00"/>
    <x v="0"/>
  </r>
  <r>
    <x v="648"/>
    <d v="2023-10-12T00:00:00"/>
    <x v="647"/>
    <d v="2023-10-05T00:00:00"/>
    <x v="0"/>
    <x v="0"/>
    <n v="198509"/>
    <x v="1"/>
    <x v="0"/>
    <n v="5201.009"/>
    <n v="2.1351"/>
    <n v="0"/>
    <n v="0"/>
    <x v="0"/>
    <s v="Raw Cotton"/>
    <n v="123696960"/>
    <x v="0"/>
    <n v="37109088"/>
    <x v="0"/>
    <m/>
    <m/>
    <x v="0"/>
    <x v="0"/>
    <x v="0"/>
    <x v="1"/>
    <x v="0"/>
    <x v="0"/>
    <m/>
    <x v="0"/>
    <x v="1"/>
    <x v="0"/>
    <x v="0"/>
    <x v="0"/>
    <x v="0"/>
    <n v="623.13023590869932"/>
    <n v="186.9390707726098"/>
    <n v="0"/>
    <d v="2023-11-11T00:00:00"/>
    <x v="0"/>
  </r>
  <r>
    <x v="649"/>
    <d v="2023-10-14T00:00:00"/>
    <x v="648"/>
    <d v="2023-10-06T00:00:00"/>
    <x v="0"/>
    <x v="0"/>
    <n v="1150"/>
    <x v="1"/>
    <x v="0"/>
    <n v="3204.1190000000001"/>
    <s v="11.8 / 32.75"/>
    <n v="0"/>
    <n v="0"/>
    <x v="5"/>
    <s v="DYES (SUNCRON)"/>
    <n v="4859652"/>
    <x v="0"/>
    <n v="1992458"/>
    <x v="0"/>
    <m/>
    <m/>
    <x v="0"/>
    <x v="0"/>
    <x v="0"/>
    <x v="1"/>
    <x v="0"/>
    <x v="0"/>
    <m/>
    <x v="0"/>
    <x v="1"/>
    <x v="0"/>
    <x v="0"/>
    <x v="0"/>
    <x v="4"/>
    <n v="4225.7843478260866"/>
    <n v="1732.5721739130436"/>
    <n v="0"/>
    <d v="2023-11-13T00:00:00"/>
    <x v="0"/>
  </r>
  <r>
    <x v="650"/>
    <d v="2023-10-10T00:00:00"/>
    <x v="649"/>
    <d v="2023-10-06T00:00:00"/>
    <x v="0"/>
    <x v="0"/>
    <n v="298757.2"/>
    <x v="1"/>
    <x v="0"/>
    <n v="5503.201"/>
    <n v="0.97"/>
    <n v="0"/>
    <n v="0"/>
    <x v="1"/>
    <s v="Polyester Staple Fiber"/>
    <n v="84266297"/>
    <x v="0"/>
    <n v="34549182"/>
    <x v="0"/>
    <m/>
    <m/>
    <x v="0"/>
    <x v="0"/>
    <x v="0"/>
    <x v="1"/>
    <x v="0"/>
    <x v="0"/>
    <m/>
    <x v="0"/>
    <x v="1"/>
    <x v="0"/>
    <x v="0"/>
    <x v="0"/>
    <x v="1"/>
    <n v="282.05612115791683"/>
    <n v="115.64301044460183"/>
    <n v="0"/>
    <d v="2023-11-09T00:00:00"/>
    <x v="0"/>
  </r>
  <r>
    <x v="651"/>
    <d v="2023-10-10T00:00:00"/>
    <x v="650"/>
    <d v="2023-10-06T00:00:00"/>
    <x v="0"/>
    <x v="0"/>
    <n v="25867.5"/>
    <x v="1"/>
    <x v="0"/>
    <n v="5503.201"/>
    <s v="1.14 / 1.07"/>
    <n v="0"/>
    <n v="0"/>
    <x v="1"/>
    <s v="Polyester Staple Fiber"/>
    <n v="8520080"/>
    <x v="0"/>
    <n v="3493233"/>
    <x v="0"/>
    <m/>
    <m/>
    <x v="0"/>
    <x v="0"/>
    <x v="0"/>
    <x v="1"/>
    <x v="0"/>
    <x v="0"/>
    <m/>
    <x v="0"/>
    <x v="1"/>
    <x v="0"/>
    <x v="0"/>
    <x v="0"/>
    <x v="1"/>
    <n v="329.37392480912342"/>
    <n v="135.04331690345029"/>
    <n v="0"/>
    <d v="2023-11-09T00:00:00"/>
    <x v="0"/>
  </r>
  <r>
    <x v="652"/>
    <d v="2023-10-14T00:00:00"/>
    <x v="651"/>
    <d v="2023-10-13T00:00:00"/>
    <x v="0"/>
    <x v="0"/>
    <n v="500"/>
    <x v="1"/>
    <x v="0"/>
    <n v="3204.1590000000001"/>
    <n v="36.659999999999997"/>
    <n v="0"/>
    <n v="0"/>
    <x v="5"/>
    <s v="DYES (BEZATHREN)"/>
    <n v="5233691"/>
    <x v="0"/>
    <n v="2407498"/>
    <x v="0"/>
    <m/>
    <m/>
    <x v="0"/>
    <x v="0"/>
    <x v="0"/>
    <x v="1"/>
    <x v="0"/>
    <x v="0"/>
    <m/>
    <x v="0"/>
    <x v="1"/>
    <x v="0"/>
    <x v="0"/>
    <x v="0"/>
    <x v="4"/>
    <n v="10467.382"/>
    <n v="4814.9960000000001"/>
    <n v="0"/>
    <d v="2023-11-13T00:00:00"/>
    <x v="0"/>
  </r>
  <r>
    <x v="653"/>
    <d v="2023-10-17T00:00:00"/>
    <x v="652"/>
    <d v="2023-10-17T00:00:00"/>
    <x v="0"/>
    <x v="0"/>
    <n v="164"/>
    <x v="1"/>
    <x v="0"/>
    <n v="5402.33"/>
    <s v="9.2713 / 8.6392"/>
    <n v="0"/>
    <n v="0"/>
    <x v="13"/>
    <s v="POLYESER FILAMENT YARN RTSS FDY 150D/72F &amp; 300D/144F"/>
    <n v="416136"/>
    <x v="0"/>
    <n v="170617"/>
    <x v="0"/>
    <m/>
    <m/>
    <x v="0"/>
    <x v="0"/>
    <x v="0"/>
    <x v="1"/>
    <x v="0"/>
    <x v="0"/>
    <m/>
    <x v="0"/>
    <x v="1"/>
    <x v="0"/>
    <x v="0"/>
    <x v="0"/>
    <x v="3"/>
    <n v="2537.4146341463415"/>
    <n v="1040.3475609756097"/>
    <n v="0"/>
    <d v="2023-11-16T00:00:00"/>
    <x v="0"/>
  </r>
  <r>
    <x v="654"/>
    <d v="2023-10-19T00:00:00"/>
    <x v="653"/>
    <d v="2023-10-18T00:00:00"/>
    <x v="0"/>
    <x v="0"/>
    <n v="416"/>
    <x v="1"/>
    <x v="0"/>
    <n v="5210.41"/>
    <n v="16.226299999999998"/>
    <n v="0"/>
    <n v="0"/>
    <x v="2"/>
    <s v="60%COTTON 40%POLYESTER FABRIC 110X70 - 45X45 +/- 148/150 CM (3037/MTRS)"/>
    <n v="2015961"/>
    <x v="0"/>
    <n v="826544"/>
    <x v="0"/>
    <m/>
    <m/>
    <x v="0"/>
    <x v="0"/>
    <x v="0"/>
    <x v="1"/>
    <x v="0"/>
    <x v="0"/>
    <m/>
    <x v="0"/>
    <x v="1"/>
    <x v="0"/>
    <x v="0"/>
    <x v="0"/>
    <x v="2"/>
    <n v="4846.0600961538457"/>
    <n v="1986.8846153846155"/>
    <n v="0"/>
    <d v="2023-11-18T00:00:00"/>
    <x v="0"/>
  </r>
  <r>
    <x v="655"/>
    <d v="2023-10-20T00:00:00"/>
    <x v="654"/>
    <d v="2023-10-18T00:00:00"/>
    <x v="0"/>
    <x v="0"/>
    <n v="24480"/>
    <x v="1"/>
    <x v="0"/>
    <n v="5402.33"/>
    <n v="1.43"/>
    <n v="0"/>
    <n v="0"/>
    <x v="6"/>
    <s v="100% POLYESTER TEXTURED YARN DTY 100D/48F HIM RW SD GRADE-AA"/>
    <n v="9893463"/>
    <x v="0"/>
    <n v="4056320"/>
    <x v="0"/>
    <m/>
    <m/>
    <x v="0"/>
    <x v="0"/>
    <x v="0"/>
    <x v="1"/>
    <x v="0"/>
    <x v="0"/>
    <m/>
    <x v="0"/>
    <x v="1"/>
    <x v="0"/>
    <x v="0"/>
    <x v="0"/>
    <x v="3"/>
    <n v="404.14473039215687"/>
    <n v="165.69934640522877"/>
    <n v="0"/>
    <d v="2023-11-19T00:00:00"/>
    <x v="0"/>
  </r>
  <r>
    <x v="656"/>
    <d v="2023-10-20T00:00:00"/>
    <x v="655"/>
    <d v="2023-10-20T00:00:00"/>
    <x v="0"/>
    <x v="0"/>
    <n v="19915"/>
    <x v="1"/>
    <x v="0"/>
    <n v="5201.009"/>
    <n v="2.23"/>
    <n v="0"/>
    <n v="0"/>
    <x v="0"/>
    <s v="Raw Cotton"/>
    <n v="12699453"/>
    <x v="0"/>
    <n v="3809836"/>
    <x v="0"/>
    <m/>
    <m/>
    <x v="0"/>
    <x v="0"/>
    <x v="0"/>
    <x v="1"/>
    <x v="0"/>
    <x v="0"/>
    <m/>
    <x v="0"/>
    <x v="1"/>
    <x v="0"/>
    <x v="0"/>
    <x v="0"/>
    <x v="0"/>
    <n v="637.68280190810947"/>
    <n v="191.30484559377354"/>
    <n v="0"/>
    <d v="2023-11-19T00:00:00"/>
    <x v="0"/>
  </r>
  <r>
    <x v="657"/>
    <d v="2023-10-24T00:00:00"/>
    <x v="656"/>
    <d v="2023-10-18T00:00:00"/>
    <x v="0"/>
    <x v="1"/>
    <n v="288"/>
    <x v="1"/>
    <x v="0"/>
    <n v="5402.39"/>
    <n v="8.8800000000000008"/>
    <n v="288"/>
    <n v="288"/>
    <x v="13"/>
    <s v="NYLON FILAMENT TYPE 440 560 DTEX 140 FIL_x000a_500 DEN TU MERGE 5KBA3 DETAILS AS PE INVOICE AND PACKING LIST"/>
    <n v="722601"/>
    <x v="0"/>
    <n v="296266"/>
    <x v="0"/>
    <m/>
    <m/>
    <x v="0"/>
    <x v="0"/>
    <x v="0"/>
    <x v="0"/>
    <x v="0"/>
    <x v="0"/>
    <m/>
    <x v="0"/>
    <x v="1"/>
    <x v="0"/>
    <x v="0"/>
    <x v="0"/>
    <x v="3"/>
    <n v="2509.03125"/>
    <n v="1028.7013888888889"/>
    <n v="296266"/>
    <d v="2023-11-23T00:00:00"/>
    <x v="0"/>
  </r>
  <r>
    <x v="658"/>
    <d v="2023-10-25T00:00:00"/>
    <x v="657"/>
    <d v="2023-10-20T00:00:00"/>
    <x v="0"/>
    <x v="0"/>
    <n v="300267.28000000003"/>
    <x v="1"/>
    <x v="0"/>
    <n v="5503.201"/>
    <n v="0.97"/>
    <n v="0"/>
    <n v="0"/>
    <x v="1"/>
    <s v="Polyester Staple Fiber"/>
    <n v="83414636"/>
    <x v="0"/>
    <n v="34200000"/>
    <x v="0"/>
    <m/>
    <m/>
    <x v="0"/>
    <x v="0"/>
    <x v="0"/>
    <x v="1"/>
    <x v="0"/>
    <x v="0"/>
    <m/>
    <x v="0"/>
    <x v="1"/>
    <x v="0"/>
    <x v="0"/>
    <x v="0"/>
    <x v="1"/>
    <n v="277.80128424249222"/>
    <n v="113.89852400834349"/>
    <n v="0"/>
    <d v="2023-11-24T00:00:00"/>
    <x v="0"/>
  </r>
  <r>
    <x v="659"/>
    <d v="2023-10-26T00:00:00"/>
    <x v="658"/>
    <d v="2023-10-26T00:00:00"/>
    <x v="0"/>
    <x v="0"/>
    <n v="15000"/>
    <x v="1"/>
    <x v="0"/>
    <n v="3809.9189999999999"/>
    <n v="2.62"/>
    <n v="0"/>
    <n v="0"/>
    <x v="12"/>
    <s v="TEXTILE CHEMICAL (DROPCEL 300)"/>
    <n v="11917133"/>
    <x v="0"/>
    <n v="5481881"/>
    <x v="0"/>
    <m/>
    <m/>
    <x v="0"/>
    <x v="0"/>
    <x v="0"/>
    <x v="1"/>
    <x v="0"/>
    <x v="0"/>
    <m/>
    <x v="0"/>
    <x v="1"/>
    <x v="0"/>
    <x v="0"/>
    <x v="0"/>
    <x v="5"/>
    <n v="794.47553333333337"/>
    <n v="365.45873333333333"/>
    <n v="0"/>
    <d v="2023-11-25T00:00:00"/>
    <x v="0"/>
  </r>
  <r>
    <x v="660"/>
    <d v="2023-10-27T00:00:00"/>
    <x v="659"/>
    <d v="2023-10-27T00:00:00"/>
    <x v="0"/>
    <x v="0"/>
    <n v="24480"/>
    <x v="1"/>
    <x v="0"/>
    <n v="5402.33"/>
    <n v="1.43"/>
    <n v="0"/>
    <n v="0"/>
    <x v="6"/>
    <s v="100% POLYESTER TEXTURED YARN DTY 100D/48F HIM RW SD GRADE-AA"/>
    <n v="10009521"/>
    <x v="0"/>
    <n v="4103904"/>
    <x v="0"/>
    <m/>
    <m/>
    <x v="0"/>
    <x v="0"/>
    <x v="0"/>
    <x v="1"/>
    <x v="0"/>
    <x v="0"/>
    <m/>
    <x v="0"/>
    <x v="1"/>
    <x v="0"/>
    <x v="0"/>
    <x v="0"/>
    <x v="3"/>
    <n v="408.8856617647059"/>
    <n v="167.64313725490197"/>
    <n v="0"/>
    <d v="2023-11-26T00:00:00"/>
    <x v="0"/>
  </r>
  <r>
    <x v="661"/>
    <d v="2023-11-01T00:00:00"/>
    <x v="660"/>
    <d v="2023-10-28T00:00:00"/>
    <x v="0"/>
    <x v="0"/>
    <n v="200045"/>
    <x v="1"/>
    <x v="0"/>
    <n v="5201.009"/>
    <n v="2.1351"/>
    <n v="0"/>
    <n v="0"/>
    <x v="0"/>
    <s v="Raw Cotton"/>
    <n v="122192377"/>
    <x v="0"/>
    <n v="36657713"/>
    <x v="0"/>
    <m/>
    <m/>
    <x v="0"/>
    <x v="0"/>
    <x v="0"/>
    <x v="1"/>
    <x v="0"/>
    <x v="0"/>
    <m/>
    <x v="0"/>
    <x v="1"/>
    <x v="0"/>
    <x v="0"/>
    <x v="0"/>
    <x v="0"/>
    <n v="610.8244494988628"/>
    <n v="183.24733434977131"/>
    <n v="0"/>
    <d v="2023-12-01T00:00:00"/>
    <x v="0"/>
  </r>
  <r>
    <x v="662"/>
    <d v="2023-11-03T00:00:00"/>
    <x v="661"/>
    <d v="2023-11-01T00:00:00"/>
    <x v="0"/>
    <x v="0"/>
    <n v="18720"/>
    <x v="1"/>
    <x v="0"/>
    <n v="3906.9029999999998"/>
    <n v="2.0499999999999998"/>
    <n v="0"/>
    <n v="0"/>
    <x v="12"/>
    <s v="FLOPRINT 160 AF"/>
    <n v="11018024"/>
    <x v="0"/>
    <n v="3635948"/>
    <x v="0"/>
    <m/>
    <m/>
    <x v="0"/>
    <x v="0"/>
    <x v="0"/>
    <x v="1"/>
    <x v="0"/>
    <x v="0"/>
    <m/>
    <x v="0"/>
    <x v="1"/>
    <x v="0"/>
    <x v="0"/>
    <x v="0"/>
    <x v="5"/>
    <n v="588.56965811965813"/>
    <n v="194.22799145299146"/>
    <n v="0"/>
    <d v="2023-12-03T00:00:00"/>
    <x v="0"/>
  </r>
  <r>
    <x v="663"/>
    <d v="2023-11-04T00:00:00"/>
    <x v="662"/>
    <d v="2023-11-03T00:00:00"/>
    <x v="0"/>
    <x v="1"/>
    <n v="1300"/>
    <x v="1"/>
    <x v="0"/>
    <n v="5407.69"/>
    <n v="24.731000000000002"/>
    <n v="1300"/>
    <n v="1300"/>
    <x v="2"/>
    <s v="FABRICS FOR READYMADEGARMENTS INDUSTRY) 73% CTN/25%POLY/2% SP, CVC PRINT AND SD FABRIC WEIGHT :110+/-5 GSM 40S*75D+40D/133*72 48&quot;/50&quot; (9293/MTRS) "/>
    <n v="5386920"/>
    <x v="0"/>
    <n v="2693460"/>
    <x v="0"/>
    <m/>
    <m/>
    <x v="0"/>
    <x v="0"/>
    <x v="0"/>
    <x v="0"/>
    <x v="0"/>
    <x v="0"/>
    <m/>
    <x v="0"/>
    <x v="1"/>
    <x v="0"/>
    <x v="0"/>
    <x v="0"/>
    <x v="2"/>
    <n v="4143.7846153846158"/>
    <n v="2071.8923076923079"/>
    <n v="2693460.0000000005"/>
    <d v="2023-12-04T00:00:00"/>
    <x v="0"/>
  </r>
  <r>
    <x v="664"/>
    <d v="2023-11-04T00:00:00"/>
    <x v="663"/>
    <d v="2023-11-03T00:00:00"/>
    <x v="0"/>
    <x v="1"/>
    <n v="4132"/>
    <x v="1"/>
    <x v="0"/>
    <n v="5407.69"/>
    <n v="7.5561999999999996"/>
    <n v="4132"/>
    <n v="4132"/>
    <x v="2"/>
    <s v="70% POLYESTER 27% COTTON 3% ELASTAN FABRIC WIDTH:150CM WEIGHT 190GSM (13220.10/MTRS)"/>
    <n v="9283055"/>
    <x v="0"/>
    <n v="4270206"/>
    <x v="0"/>
    <m/>
    <m/>
    <x v="0"/>
    <x v="0"/>
    <x v="0"/>
    <x v="0"/>
    <x v="0"/>
    <x v="0"/>
    <m/>
    <x v="0"/>
    <x v="1"/>
    <x v="0"/>
    <x v="0"/>
    <x v="0"/>
    <x v="2"/>
    <n v="2246.6251210067762"/>
    <n v="1033.447725072604"/>
    <n v="4270206"/>
    <d v="2023-12-04T00:00:00"/>
    <x v="0"/>
  </r>
  <r>
    <x v="665"/>
    <d v="2023-11-06T00:00:00"/>
    <x v="664"/>
    <d v="2023-11-01T00:00:00"/>
    <x v="1"/>
    <x v="0"/>
    <n v="25017"/>
    <x v="1"/>
    <x v="0"/>
    <n v="4810.29"/>
    <n v="0.75"/>
    <n v="0"/>
    <n v="0"/>
    <x v="9"/>
    <s v="2/S COATED ART BOARD "/>
    <n v="9015082"/>
    <x v="0"/>
    <n v="4146938"/>
    <x v="0"/>
    <m/>
    <m/>
    <x v="0"/>
    <x v="0"/>
    <x v="0"/>
    <x v="1"/>
    <x v="0"/>
    <x v="0"/>
    <m/>
    <x v="0"/>
    <x v="1"/>
    <x v="0"/>
    <x v="0"/>
    <x v="0"/>
    <x v="6"/>
    <n v="360.35823639924848"/>
    <n v="165.76479993604349"/>
    <n v="0"/>
    <d v="2023-11-11T00:00:00"/>
    <x v="0"/>
  </r>
  <r>
    <x v="666"/>
    <d v="2023-11-10T00:00:00"/>
    <x v="665"/>
    <d v="2023-11-04T00:00:00"/>
    <x v="0"/>
    <x v="0"/>
    <n v="2000"/>
    <x v="1"/>
    <x v="0"/>
    <n v="3204.1590000000001"/>
    <n v="35"/>
    <n v="0"/>
    <n v="0"/>
    <x v="5"/>
    <s v="DYES (INDANTHREN)"/>
    <n v="20268877"/>
    <x v="0"/>
    <n v="9323683"/>
    <x v="0"/>
    <m/>
    <m/>
    <x v="0"/>
    <x v="0"/>
    <x v="0"/>
    <x v="1"/>
    <x v="0"/>
    <x v="0"/>
    <m/>
    <x v="0"/>
    <x v="1"/>
    <x v="0"/>
    <x v="0"/>
    <x v="0"/>
    <x v="4"/>
    <n v="10134.4385"/>
    <n v="4661.8415000000005"/>
    <n v="0"/>
    <d v="2023-12-10T00:00:00"/>
    <x v="0"/>
  </r>
  <r>
    <x v="667"/>
    <d v="2023-11-09T00:00:00"/>
    <x v="666"/>
    <d v="2023-11-06T00:00:00"/>
    <x v="0"/>
    <x v="0"/>
    <n v="26000"/>
    <x v="1"/>
    <x v="0"/>
    <n v="3402.4189999999999"/>
    <n v="11.7"/>
    <n v="0"/>
    <n v="0"/>
    <x v="12"/>
    <s v="Chemical (WETMATIC WTL)"/>
    <n v="12086747"/>
    <x v="0"/>
    <n v="6043373"/>
    <x v="0"/>
    <m/>
    <m/>
    <x v="0"/>
    <x v="0"/>
    <x v="0"/>
    <x v="1"/>
    <x v="0"/>
    <x v="0"/>
    <m/>
    <x v="0"/>
    <x v="1"/>
    <x v="0"/>
    <x v="0"/>
    <x v="0"/>
    <x v="5"/>
    <n v="464.87488461538459"/>
    <n v="232.43742307692307"/>
    <n v="0"/>
    <d v="2023-12-09T00:00:00"/>
    <x v="0"/>
  </r>
  <r>
    <x v="668"/>
    <d v="2023-11-16T00:00:00"/>
    <x v="667"/>
    <d v="2023-11-10T00:00:00"/>
    <x v="0"/>
    <x v="0"/>
    <n v="7560"/>
    <x v="1"/>
    <x v="0"/>
    <n v="3910"/>
    <n v="3"/>
    <n v="0"/>
    <n v="0"/>
    <x v="12"/>
    <s v="Chemical (MICROEMULSION)"/>
    <n v="7108727"/>
    <x v="0"/>
    <n v="2132618"/>
    <x v="0"/>
    <m/>
    <m/>
    <x v="0"/>
    <x v="0"/>
    <x v="0"/>
    <x v="1"/>
    <x v="0"/>
    <x v="0"/>
    <m/>
    <x v="0"/>
    <x v="1"/>
    <x v="0"/>
    <x v="0"/>
    <x v="0"/>
    <x v="5"/>
    <n v="940.30780423280419"/>
    <n v="282.09232804232806"/>
    <n v="0"/>
    <d v="2023-12-16T00:00:00"/>
    <x v="0"/>
  </r>
  <r>
    <x v="669"/>
    <d v="2023-11-16T00:00:00"/>
    <x v="668"/>
    <d v="2023-11-14T00:00:00"/>
    <x v="0"/>
    <x v="0"/>
    <n v="24480"/>
    <x v="1"/>
    <x v="0"/>
    <n v="5402.33"/>
    <n v="1.43"/>
    <n v="0"/>
    <n v="0"/>
    <x v="6"/>
    <s v="100% POLYESTER TEXTURED YARN DTY 100D/48F HIM RW SD GRADE-AA"/>
    <n v="10264848"/>
    <x v="0"/>
    <n v="4208588"/>
    <x v="0"/>
    <m/>
    <m/>
    <x v="0"/>
    <x v="0"/>
    <x v="0"/>
    <x v="1"/>
    <x v="0"/>
    <x v="0"/>
    <m/>
    <x v="0"/>
    <x v="1"/>
    <x v="0"/>
    <x v="0"/>
    <x v="0"/>
    <x v="3"/>
    <n v="419.3156862745098"/>
    <n v="171.91944444444445"/>
    <n v="0"/>
    <d v="2023-12-16T00:00:00"/>
    <x v="0"/>
  </r>
  <r>
    <x v="670"/>
    <d v="2023-11-16T00:00:00"/>
    <x v="669"/>
    <d v="2023-11-13T00:00:00"/>
    <x v="0"/>
    <x v="0"/>
    <n v="102000"/>
    <x v="1"/>
    <x v="0"/>
    <n v="2847"/>
    <n v="0.46"/>
    <n v="0"/>
    <n v="0"/>
    <x v="12"/>
    <s v="HYDROGEN PEROXIDE 50% "/>
    <n v="13758246"/>
    <x v="0"/>
    <n v="5640881"/>
    <x v="0"/>
    <m/>
    <m/>
    <x v="0"/>
    <x v="0"/>
    <x v="0"/>
    <x v="1"/>
    <x v="0"/>
    <x v="0"/>
    <m/>
    <x v="0"/>
    <x v="1"/>
    <x v="0"/>
    <x v="0"/>
    <x v="0"/>
    <x v="5"/>
    <n v="134.88476470588236"/>
    <n v="55.302754901960782"/>
    <n v="0"/>
    <d v="2023-12-16T00:00:00"/>
    <x v="0"/>
  </r>
  <r>
    <x v="671"/>
    <d v="2023-11-17T00:00:00"/>
    <x v="670"/>
    <d v="2023-11-16T00:00:00"/>
    <x v="0"/>
    <x v="0"/>
    <n v="18000"/>
    <x v="1"/>
    <x v="0"/>
    <n v="3906.9029999999998"/>
    <n v="3.2"/>
    <n v="0"/>
    <n v="0"/>
    <x v="12"/>
    <s v="CHEMICAL (LAMFINISH FIX)"/>
    <n v="16942800"/>
    <x v="0"/>
    <n v="5591124"/>
    <x v="0"/>
    <m/>
    <m/>
    <x v="0"/>
    <x v="0"/>
    <x v="0"/>
    <x v="1"/>
    <x v="0"/>
    <x v="0"/>
    <m/>
    <x v="0"/>
    <x v="1"/>
    <x v="0"/>
    <x v="0"/>
    <x v="0"/>
    <x v="5"/>
    <n v="941.26666666666665"/>
    <n v="310.61799999999999"/>
    <n v="0"/>
    <d v="2023-12-17T00:00:00"/>
    <x v="0"/>
  </r>
  <r>
    <x v="672"/>
    <d v="2023-11-18T00:00:00"/>
    <x v="671"/>
    <d v="2023-11-14T00:00:00"/>
    <x v="0"/>
    <x v="0"/>
    <n v="7200"/>
    <x v="1"/>
    <x v="0"/>
    <n v="3204.16"/>
    <n v="10.458299999999999"/>
    <n v="0"/>
    <n v="0"/>
    <x v="5"/>
    <s v="DYES (REACTIVE DYE AQUA PREMIUM)"/>
    <n v="23645434"/>
    <x v="0"/>
    <n v="10876899"/>
    <x v="0"/>
    <m/>
    <m/>
    <x v="0"/>
    <x v="0"/>
    <x v="0"/>
    <x v="1"/>
    <x v="0"/>
    <x v="0"/>
    <m/>
    <x v="0"/>
    <x v="1"/>
    <x v="0"/>
    <x v="0"/>
    <x v="0"/>
    <x v="4"/>
    <n v="3284.0880555555555"/>
    <n v="1510.6804166666666"/>
    <n v="0"/>
    <d v="2023-12-18T00:00:00"/>
    <x v="0"/>
  </r>
  <r>
    <x v="673"/>
    <d v="2023-11-20T00:00:00"/>
    <x v="672"/>
    <d v="2023-11-14T00:00:00"/>
    <x v="0"/>
    <x v="0"/>
    <n v="18000"/>
    <x v="1"/>
    <x v="0"/>
    <n v="3905.3"/>
    <n v="1.7"/>
    <n v="0"/>
    <n v="0"/>
    <x v="12"/>
    <s v="POLYVINYL ALCOHOL"/>
    <n v="8972769"/>
    <x v="0"/>
    <n v="2691830"/>
    <x v="0"/>
    <m/>
    <m/>
    <x v="0"/>
    <x v="0"/>
    <x v="0"/>
    <x v="1"/>
    <x v="0"/>
    <x v="0"/>
    <m/>
    <x v="0"/>
    <x v="1"/>
    <x v="0"/>
    <x v="0"/>
    <x v="0"/>
    <x v="5"/>
    <n v="498.48716666666667"/>
    <n v="149.54611111111112"/>
    <n v="0"/>
    <d v="2023-12-20T00:00:00"/>
    <x v="0"/>
  </r>
  <r>
    <x v="674"/>
    <d v="2023-11-24T00:00:00"/>
    <x v="673"/>
    <d v="2023-11-24T00:00:00"/>
    <x v="0"/>
    <x v="1"/>
    <n v="914"/>
    <x v="1"/>
    <x v="0"/>
    <n v="5210.41"/>
    <n v="23.8644"/>
    <n v="914"/>
    <n v="914"/>
    <x v="2"/>
    <s v="EFFEN WEEFSEL 58% BIO KAT 39% REC.PES3% STR"/>
    <n v="6940371"/>
    <x v="0"/>
    <n v="2845553"/>
    <x v="0"/>
    <m/>
    <m/>
    <x v="0"/>
    <x v="0"/>
    <x v="0"/>
    <x v="0"/>
    <x v="0"/>
    <x v="0"/>
    <m/>
    <x v="0"/>
    <x v="1"/>
    <x v="0"/>
    <x v="0"/>
    <x v="0"/>
    <x v="2"/>
    <n v="7593.4037199124723"/>
    <n v="3113.2964989059083"/>
    <n v="2845553"/>
    <d v="2023-12-24T00:00:00"/>
    <x v="0"/>
  </r>
  <r>
    <x v="675"/>
    <d v="2023-11-27T00:00:00"/>
    <x v="674"/>
    <d v="2023-11-23T00:00:00"/>
    <x v="0"/>
    <x v="0"/>
    <n v="18720"/>
    <x v="1"/>
    <x v="0"/>
    <n v="3906.9029999999998"/>
    <n v="2.0499999999999998"/>
    <n v="0"/>
    <n v="0"/>
    <x v="12"/>
    <s v="CHEMICAL (FLORPRINT)"/>
    <n v="11205931"/>
    <x v="0"/>
    <n v="3697958"/>
    <x v="0"/>
    <m/>
    <m/>
    <x v="0"/>
    <x v="0"/>
    <x v="0"/>
    <x v="1"/>
    <x v="0"/>
    <x v="0"/>
    <m/>
    <x v="0"/>
    <x v="1"/>
    <x v="0"/>
    <x v="0"/>
    <x v="0"/>
    <x v="5"/>
    <n v="598.60742521367524"/>
    <n v="197.54049145299146"/>
    <n v="0"/>
    <d v="2023-12-27T00:00:00"/>
    <x v="0"/>
  </r>
  <r>
    <x v="676"/>
    <d v="2023-11-30T00:00:00"/>
    <x v="675"/>
    <d v="2023-11-02T00:00:00"/>
    <x v="0"/>
    <x v="0"/>
    <n v="19300"/>
    <x v="1"/>
    <x v="0"/>
    <n v="3906.9029999999998"/>
    <s v="3.20 / 1.50"/>
    <n v="0"/>
    <n v="0"/>
    <x v="12"/>
    <s v="CHEMICALS (PERIPRINT / PERIGEN)"/>
    <n v="16421881"/>
    <x v="0"/>
    <n v="5419222"/>
    <x v="0"/>
    <m/>
    <m/>
    <x v="0"/>
    <x v="0"/>
    <x v="0"/>
    <x v="0"/>
    <x v="0"/>
    <x v="0"/>
    <m/>
    <x v="0"/>
    <x v="1"/>
    <x v="0"/>
    <x v="0"/>
    <x v="0"/>
    <x v="5"/>
    <n v="850.87466321243528"/>
    <n v="280.78870466321246"/>
    <n v="0"/>
    <d v="2023-12-30T00:00:00"/>
    <x v="0"/>
  </r>
  <r>
    <x v="677"/>
    <d v="2023-12-01T00:00:00"/>
    <x v="676"/>
    <d v="2023-11-28T00:00:00"/>
    <x v="0"/>
    <x v="0"/>
    <n v="102000"/>
    <x v="1"/>
    <x v="0"/>
    <n v="2847"/>
    <n v="0.46"/>
    <n v="0"/>
    <n v="0"/>
    <x v="12"/>
    <s v="HYDROGEN PEROXIDE 50%)"/>
    <n v="13681665"/>
    <x v="0"/>
    <n v="5609483"/>
    <x v="0"/>
    <m/>
    <m/>
    <x v="0"/>
    <x v="0"/>
    <x v="0"/>
    <x v="2"/>
    <x v="0"/>
    <x v="0"/>
    <m/>
    <x v="0"/>
    <x v="1"/>
    <x v="0"/>
    <x v="0"/>
    <x v="0"/>
    <x v="5"/>
    <n v="134.13397058823529"/>
    <n v="54.994931372549019"/>
    <n v="0"/>
    <d v="2023-12-31T00:00:00"/>
    <x v="0"/>
  </r>
  <r>
    <x v="678"/>
    <d v="2023-12-01T00:00:00"/>
    <x v="677"/>
    <d v="2023-11-30T00:00:00"/>
    <x v="0"/>
    <x v="0"/>
    <n v="3050"/>
    <x v="1"/>
    <x v="0"/>
    <n v="3204.16"/>
    <n v="13.127000000000001"/>
    <n v="0"/>
    <n v="0"/>
    <x v="5"/>
    <s v="DYES (SYNOZOL / SYNOLON)"/>
    <n v="11680841"/>
    <x v="0"/>
    <n v="5373187"/>
    <x v="0"/>
    <m/>
    <m/>
    <x v="0"/>
    <x v="0"/>
    <x v="0"/>
    <x v="1"/>
    <x v="0"/>
    <x v="0"/>
    <m/>
    <x v="0"/>
    <x v="1"/>
    <x v="0"/>
    <x v="0"/>
    <x v="0"/>
    <x v="4"/>
    <n v="3829.7839344262297"/>
    <n v="1761.7006557377049"/>
    <n v="0"/>
    <d v="2023-12-31T00:00:00"/>
    <x v="0"/>
  </r>
  <r>
    <x v="679"/>
    <d v="2023-12-05T00:00:00"/>
    <x v="678"/>
    <d v="2023-12-04T00:00:00"/>
    <x v="0"/>
    <x v="0"/>
    <n v="2000"/>
    <x v="1"/>
    <x v="0"/>
    <n v="3204.16"/>
    <n v="10.5"/>
    <n v="0"/>
    <n v="0"/>
    <x v="5"/>
    <s v="DYES (REACTIVE DYE AQUA PREMIUM)"/>
    <n v="6685195"/>
    <x v="0"/>
    <n v="3075189"/>
    <x v="0"/>
    <m/>
    <m/>
    <x v="0"/>
    <x v="0"/>
    <x v="0"/>
    <x v="1"/>
    <x v="0"/>
    <x v="0"/>
    <m/>
    <x v="0"/>
    <x v="1"/>
    <x v="0"/>
    <x v="0"/>
    <x v="0"/>
    <x v="4"/>
    <n v="3342.5974999999999"/>
    <n v="1537.5944999999999"/>
    <n v="0"/>
    <d v="2024-01-04T00:00:00"/>
    <x v="0"/>
  </r>
  <r>
    <x v="680"/>
    <d v="2023-12-07T00:00:00"/>
    <x v="679"/>
    <d v="2023-11-30T00:00:00"/>
    <x v="0"/>
    <x v="0"/>
    <n v="240"/>
    <x v="1"/>
    <x v="0"/>
    <n v="3809.9189999999999"/>
    <n v="2.0832999999999999"/>
    <n v="0"/>
    <n v="0"/>
    <x v="12"/>
    <s v="CHEMICALS (PERSOFT)"/>
    <n v="145872"/>
    <x v="0"/>
    <n v="67102"/>
    <x v="0"/>
    <m/>
    <m/>
    <x v="0"/>
    <x v="0"/>
    <x v="0"/>
    <x v="1"/>
    <x v="0"/>
    <x v="0"/>
    <m/>
    <x v="0"/>
    <x v="1"/>
    <x v="0"/>
    <x v="0"/>
    <x v="0"/>
    <x v="5"/>
    <n v="607.79999999999995"/>
    <n v="279.59166666666664"/>
    <n v="0"/>
    <d v="2024-01-06T00:00:00"/>
    <x v="0"/>
  </r>
  <r>
    <x v="681"/>
    <d v="2023-12-07T00:00:00"/>
    <x v="680"/>
    <d v="2023-11-30T00:00:00"/>
    <x v="0"/>
    <x v="0"/>
    <n v="1200"/>
    <x v="1"/>
    <x v="0"/>
    <n v="3809.9189999999999"/>
    <n v="2.2999999999999998"/>
    <n v="0"/>
    <n v="0"/>
    <x v="12"/>
    <s v="CHEMICALS (PERFIX)"/>
    <n v="805226"/>
    <x v="0"/>
    <n v="370404"/>
    <x v="0"/>
    <m/>
    <m/>
    <x v="0"/>
    <x v="0"/>
    <x v="0"/>
    <x v="1"/>
    <x v="0"/>
    <x v="0"/>
    <m/>
    <x v="0"/>
    <x v="1"/>
    <x v="0"/>
    <x v="0"/>
    <x v="0"/>
    <x v="5"/>
    <n v="671.02166666666665"/>
    <n v="308.67"/>
    <n v="0"/>
    <d v="2024-01-06T00:00:00"/>
    <x v="0"/>
  </r>
  <r>
    <x v="682"/>
    <d v="2023-12-09T00:00:00"/>
    <x v="681"/>
    <d v="2023-12-05T00:00:00"/>
    <x v="0"/>
    <x v="0"/>
    <n v="500"/>
    <x v="1"/>
    <x v="0"/>
    <n v="3707.1"/>
    <n v="15.76"/>
    <n v="0"/>
    <n v="0"/>
    <x v="12"/>
    <s v="PHOTO EMULSION"/>
    <n v="2294156"/>
    <x v="0"/>
    <n v="688247"/>
    <x v="0"/>
    <m/>
    <m/>
    <x v="0"/>
    <x v="0"/>
    <x v="0"/>
    <x v="1"/>
    <x v="0"/>
    <x v="0"/>
    <m/>
    <x v="0"/>
    <x v="1"/>
    <x v="0"/>
    <x v="0"/>
    <x v="0"/>
    <x v="5"/>
    <n v="4588.3119999999999"/>
    <n v="1376.4939999999999"/>
    <n v="0"/>
    <d v="2024-01-08T00:00:00"/>
    <x v="0"/>
  </r>
  <r>
    <x v="683"/>
    <d v="2023-12-09T00:00:00"/>
    <x v="682"/>
    <d v="2023-12-07T00:00:00"/>
    <x v="0"/>
    <x v="1"/>
    <n v="1871"/>
    <x v="1"/>
    <x v="0"/>
    <n v="5407.52"/>
    <n v="6.3274999999999997"/>
    <n v="1871"/>
    <n v="1871"/>
    <x v="11"/>
    <s v="100% POLYESTER FABRIC TAFFETA,190T  W/R + PU COATING,"/>
    <n v="3439447"/>
    <x v="0"/>
    <n v="1582146"/>
    <x v="0"/>
    <m/>
    <m/>
    <x v="0"/>
    <x v="0"/>
    <x v="0"/>
    <x v="0"/>
    <x v="0"/>
    <x v="0"/>
    <m/>
    <x v="0"/>
    <x v="1"/>
    <x v="0"/>
    <x v="0"/>
    <x v="0"/>
    <x v="2"/>
    <n v="1838.2934259754143"/>
    <n v="845.61517904863706"/>
    <n v="1582146"/>
    <d v="2024-01-08T00:00:00"/>
    <x v="0"/>
  </r>
  <r>
    <x v="684"/>
    <d v="2023-12-13T00:00:00"/>
    <x v="683"/>
    <d v="2023-12-12T00:00:00"/>
    <x v="0"/>
    <x v="0"/>
    <n v="24480"/>
    <x v="1"/>
    <x v="0"/>
    <n v="5402.33"/>
    <n v="1.43"/>
    <n v="0"/>
    <n v="0"/>
    <x v="6"/>
    <s v="100% POLYESTER TEXTURED YARN DTY 100D/48F HIM RW SD GRADE-AA"/>
    <n v="10152361"/>
    <x v="0"/>
    <n v="4162468"/>
    <x v="0"/>
    <m/>
    <m/>
    <x v="0"/>
    <x v="0"/>
    <x v="0"/>
    <x v="2"/>
    <x v="0"/>
    <x v="0"/>
    <m/>
    <x v="0"/>
    <x v="1"/>
    <x v="0"/>
    <x v="0"/>
    <x v="0"/>
    <x v="3"/>
    <n v="414.7206290849673"/>
    <n v="170.03545751633987"/>
    <n v="0"/>
    <d v="2024-01-12T00:00:00"/>
    <x v="0"/>
  </r>
  <r>
    <x v="685"/>
    <d v="2023-12-14T00:00:00"/>
    <x v="684"/>
    <d v="2023-12-13T00:00:00"/>
    <x v="0"/>
    <x v="1"/>
    <n v="200"/>
    <x v="1"/>
    <x v="0"/>
    <n v="3402.39"/>
    <n v="24.25"/>
    <n v="200"/>
    <n v="200"/>
    <x v="12"/>
    <s v="CHEMICAL (SOLUTION CLEANER REGGIANI"/>
    <n v="1517690"/>
    <x v="0"/>
    <n v="758845"/>
    <x v="0"/>
    <m/>
    <m/>
    <x v="0"/>
    <x v="0"/>
    <x v="0"/>
    <x v="0"/>
    <x v="0"/>
    <x v="0"/>
    <m/>
    <x v="0"/>
    <x v="1"/>
    <x v="0"/>
    <x v="0"/>
    <x v="0"/>
    <x v="5"/>
    <n v="7588.45"/>
    <n v="3794.2249999999999"/>
    <n v="758845"/>
    <d v="2024-01-13T00:00:00"/>
    <x v="0"/>
  </r>
  <r>
    <x v="686"/>
    <d v="2023-12-16T00:00:00"/>
    <x v="685"/>
    <d v="2023-12-15T00:00:00"/>
    <x v="0"/>
    <x v="1"/>
    <n v="132"/>
    <x v="1"/>
    <x v="0"/>
    <n v="5210.1099999999997"/>
    <n v="27.692399999999999"/>
    <n v="132"/>
    <n v="132"/>
    <x v="2"/>
    <s v="73%CTN 25% POLY 2%SP POPLIN, WEIGHT: 110+/-5GSM 40S*75D+40D/133*72 48/50&quot; Y/D CVC POPLIN 940/MTRS"/>
    <n v="1059186"/>
    <x v="0"/>
    <n v="434265"/>
    <x v="0"/>
    <m/>
    <m/>
    <x v="0"/>
    <x v="0"/>
    <x v="0"/>
    <x v="0"/>
    <x v="0"/>
    <x v="0"/>
    <m/>
    <x v="0"/>
    <x v="1"/>
    <x v="0"/>
    <x v="0"/>
    <x v="0"/>
    <x v="2"/>
    <n v="8024.136363636364"/>
    <n v="3289.8863636363635"/>
    <n v="434265"/>
    <d v="2024-01-15T00:00:00"/>
    <x v="0"/>
  </r>
  <r>
    <x v="687"/>
    <d v="2023-12-18T00:00:00"/>
    <x v="686"/>
    <d v="2023-12-18T00:00:00"/>
    <x v="0"/>
    <x v="0"/>
    <n v="1711"/>
    <x v="1"/>
    <x v="0"/>
    <n v="5210.41"/>
    <n v="24.180399999999999"/>
    <n v="0"/>
    <n v="0"/>
    <x v="2"/>
    <s v="58%ORGANIC COTTON 39%RECYCLE POLY 3%SPDX EFFEN WEEFSEL 58% BIO KAT 39% REC.PES3% STR 135X75 45X45+40D +/142 FABRIC 145CM DETAILS AS PER INVOICE AND PACKING LIST"/>
    <n v="13202757"/>
    <x v="0"/>
    <n v="5413130"/>
    <x v="0"/>
    <m/>
    <m/>
    <x v="0"/>
    <x v="0"/>
    <x v="0"/>
    <x v="0"/>
    <x v="0"/>
    <x v="0"/>
    <m/>
    <x v="0"/>
    <x v="1"/>
    <x v="0"/>
    <x v="0"/>
    <x v="0"/>
    <x v="2"/>
    <n v="7716.3980128579778"/>
    <n v="3163.7229690239624"/>
    <n v="0"/>
    <d v="2024-01-17T00:00:00"/>
    <x v="0"/>
  </r>
  <r>
    <x v="688"/>
    <d v="2023-12-19T00:00:00"/>
    <x v="687"/>
    <d v="2023-12-16T00:00:00"/>
    <x v="0"/>
    <x v="0"/>
    <n v="24480"/>
    <x v="1"/>
    <x v="0"/>
    <n v="5402.33"/>
    <n v="1.43"/>
    <n v="0"/>
    <n v="0"/>
    <x v="6"/>
    <s v="100% POLYESTER TEXTURED YARN DTY 100D/48F HIM RW SD GRADE-AA"/>
    <n v="10139863"/>
    <x v="0"/>
    <n v="4157344"/>
    <x v="0"/>
    <m/>
    <m/>
    <x v="0"/>
    <x v="0"/>
    <x v="0"/>
    <x v="2"/>
    <x v="0"/>
    <x v="0"/>
    <m/>
    <x v="0"/>
    <x v="1"/>
    <x v="0"/>
    <x v="0"/>
    <x v="0"/>
    <x v="3"/>
    <n v="414.21008986928103"/>
    <n v="169.82614379084967"/>
    <n v="0"/>
    <d v="2024-01-18T00:00:00"/>
    <x v="0"/>
  </r>
  <r>
    <x v="689"/>
    <d v="2023-12-21T00:00:00"/>
    <x v="688"/>
    <d v="2023-12-19T00:00:00"/>
    <x v="0"/>
    <x v="0"/>
    <n v="18720"/>
    <x v="1"/>
    <x v="0"/>
    <n v="3906.9029999999998"/>
    <n v="2.0499999999999998"/>
    <n v="0"/>
    <n v="0"/>
    <x v="12"/>
    <s v="CHEMICAL FLORPRINT TA160 "/>
    <n v="11106105"/>
    <x v="0"/>
    <n v="3665015"/>
    <x v="0"/>
    <m/>
    <m/>
    <x v="0"/>
    <x v="0"/>
    <x v="0"/>
    <x v="1"/>
    <x v="0"/>
    <x v="0"/>
    <m/>
    <x v="0"/>
    <x v="1"/>
    <x v="0"/>
    <x v="0"/>
    <x v="0"/>
    <x v="5"/>
    <n v="593.27483974358972"/>
    <n v="195.78071581196582"/>
    <n v="0"/>
    <d v="2024-01-20T00:00:00"/>
    <x v="0"/>
  </r>
  <r>
    <x v="690"/>
    <d v="2023-12-22T00:00:00"/>
    <x v="689"/>
    <d v="2023-12-21T00:00:00"/>
    <x v="1"/>
    <x v="2"/>
    <n v="4050"/>
    <x v="1"/>
    <x v="0"/>
    <n v="5901.9089999999997"/>
    <n v="2.9110999999999998"/>
    <n v="918.84000000000015"/>
    <n v="4050"/>
    <x v="9"/>
    <s v="100% POLYESTER NON WOVEN INTERLINING 52GSM WIDTH:32&quot; COLOR WHITE (90000/MTRS)"/>
    <n v="3409034"/>
    <x v="0"/>
    <n v="1397704"/>
    <x v="0"/>
    <m/>
    <m/>
    <x v="0"/>
    <x v="0"/>
    <x v="0"/>
    <x v="0"/>
    <x v="0"/>
    <x v="0"/>
    <m/>
    <x v="0"/>
    <x v="1"/>
    <x v="0"/>
    <x v="0"/>
    <x v="0"/>
    <x v="6"/>
    <n v="841.73679012345679"/>
    <n v="345.11209876543211"/>
    <n v="317102.8008296297"/>
    <d v="2023-12-27T00:00:00"/>
    <x v="0"/>
  </r>
  <r>
    <x v="691"/>
    <d v="2023-12-26T00:00:00"/>
    <x v="690"/>
    <d v="2023-12-22T00:00:00"/>
    <x v="1"/>
    <x v="0"/>
    <n v="25017"/>
    <x v="1"/>
    <x v="0"/>
    <n v="4810.29"/>
    <n v="0.9"/>
    <n v="0"/>
    <n v="0"/>
    <x v="9"/>
    <s v="2/S COATED ART BOARD "/>
    <n v="6507942"/>
    <x v="0"/>
    <n v="3253971"/>
    <x v="0"/>
    <m/>
    <m/>
    <x v="0"/>
    <x v="0"/>
    <x v="0"/>
    <x v="1"/>
    <x v="0"/>
    <x v="0"/>
    <m/>
    <x v="0"/>
    <x v="1"/>
    <x v="0"/>
    <x v="0"/>
    <x v="0"/>
    <x v="6"/>
    <n v="260.14078426669863"/>
    <n v="130.07039213334932"/>
    <n v="0"/>
    <d v="2023-12-31T00:00:00"/>
    <x v="0"/>
  </r>
  <r>
    <x v="692"/>
    <d v="2023-12-28T00:00:00"/>
    <x v="691"/>
    <d v="2024-12-26T00:00:00"/>
    <x v="0"/>
    <x v="0"/>
    <n v="24480"/>
    <x v="1"/>
    <x v="0"/>
    <n v="5402.33"/>
    <n v="1.43"/>
    <n v="0"/>
    <n v="0"/>
    <x v="6"/>
    <s v="100% POLYESTER TEXTURED YARD DTY 100D/48F HIM RW SD GRADE -AA"/>
    <n v="10113080"/>
    <x v="0"/>
    <n v="4146363"/>
    <x v="0"/>
    <m/>
    <m/>
    <x v="0"/>
    <x v="0"/>
    <x v="0"/>
    <x v="0"/>
    <x v="0"/>
    <x v="0"/>
    <m/>
    <x v="0"/>
    <x v="1"/>
    <x v="0"/>
    <x v="0"/>
    <x v="0"/>
    <x v="3"/>
    <n v="413.11601307189545"/>
    <n v="169.37757352941176"/>
    <n v="0"/>
    <d v="2024-01-27T00:00:00"/>
    <x v="0"/>
  </r>
  <r>
    <x v="693"/>
    <d v="2024-01-02T00:00:00"/>
    <x v="692"/>
    <d v="2023-12-28T00:00:00"/>
    <x v="1"/>
    <x v="0"/>
    <n v="25017"/>
    <x v="1"/>
    <x v="0"/>
    <n v="4810.29"/>
    <n v="0.9"/>
    <n v="0"/>
    <n v="0"/>
    <x v="9"/>
    <s v="2/S COATED ART BOARD "/>
    <n v="6495310"/>
    <x v="0"/>
    <n v="3247655"/>
    <x v="0"/>
    <m/>
    <m/>
    <x v="0"/>
    <x v="0"/>
    <x v="0"/>
    <x v="2"/>
    <x v="0"/>
    <x v="0"/>
    <m/>
    <x v="0"/>
    <x v="1"/>
    <x v="0"/>
    <x v="0"/>
    <x v="0"/>
    <x v="6"/>
    <n v="259.63584762361592"/>
    <n v="129.81792381180796"/>
    <n v="0"/>
    <d v="2024-01-07T00:00:00"/>
    <x v="0"/>
  </r>
  <r>
    <x v="694"/>
    <d v="2024-01-04T00:00:00"/>
    <x v="693"/>
    <d v="2024-01-04T00:00:00"/>
    <x v="0"/>
    <x v="0"/>
    <n v="24480"/>
    <x v="1"/>
    <x v="0"/>
    <n v="5402.33"/>
    <n v="1.43"/>
    <n v="0"/>
    <n v="0"/>
    <x v="6"/>
    <s v="100% POLYESTER TEXTURED YARN DTY 100D/48F HIM RW SD GRADE -AA"/>
    <n v="10082727"/>
    <x v="0"/>
    <n v="4133918"/>
    <x v="0"/>
    <m/>
    <m/>
    <x v="0"/>
    <x v="0"/>
    <x v="0"/>
    <x v="0"/>
    <x v="0"/>
    <x v="0"/>
    <m/>
    <x v="0"/>
    <x v="1"/>
    <x v="0"/>
    <x v="0"/>
    <x v="0"/>
    <x v="3"/>
    <n v="411.8761029411765"/>
    <n v="168.86919934640522"/>
    <n v="0"/>
    <d v="2024-02-03T00:00:00"/>
    <x v="0"/>
  </r>
  <r>
    <x v="695"/>
    <d v="2024-01-04T00:00:00"/>
    <x v="694"/>
    <d v="2024-01-04T00:00:00"/>
    <x v="0"/>
    <x v="2"/>
    <n v="73440"/>
    <x v="1"/>
    <x v="0"/>
    <n v="5402.33"/>
    <n v="1.35"/>
    <n v="6302.32"/>
    <n v="73440"/>
    <x v="6"/>
    <s v="100% POLYESTER TEXTURED YARN DTY 150D/48F HIM RW SD GRADE-AA"/>
    <n v="28555974"/>
    <x v="0"/>
    <n v="11707949"/>
    <x v="0"/>
    <m/>
    <m/>
    <x v="0"/>
    <x v="0"/>
    <x v="0"/>
    <x v="0"/>
    <x v="0"/>
    <x v="0"/>
    <m/>
    <x v="0"/>
    <x v="1"/>
    <x v="0"/>
    <x v="0"/>
    <x v="0"/>
    <x v="3"/>
    <n v="388.83406862745096"/>
    <n v="159.42196350762526"/>
    <n v="1004728.2290533768"/>
    <d v="2024-02-03T00:00:00"/>
    <x v="0"/>
  </r>
  <r>
    <x v="696"/>
    <d v="2024-01-05T00:00:00"/>
    <x v="695"/>
    <d v="2024-01-02T00:00:00"/>
    <x v="0"/>
    <x v="0"/>
    <n v="800"/>
    <x v="1"/>
    <x v="0"/>
    <n v="3204.16"/>
    <n v="29.9"/>
    <n v="0"/>
    <n v="0"/>
    <x v="5"/>
    <s v="DYES (SYNOLON)"/>
    <n v="6890784"/>
    <x v="0"/>
    <n v="3169760"/>
    <x v="0"/>
    <m/>
    <m/>
    <x v="0"/>
    <x v="0"/>
    <x v="0"/>
    <x v="1"/>
    <x v="0"/>
    <x v="0"/>
    <m/>
    <x v="0"/>
    <x v="1"/>
    <x v="0"/>
    <x v="0"/>
    <x v="0"/>
    <x v="4"/>
    <n v="8613.48"/>
    <n v="3962.2"/>
    <n v="0"/>
    <d v="2024-02-04T00:00:00"/>
    <x v="0"/>
  </r>
  <r>
    <x v="697"/>
    <d v="2024-01-05T00:00:00"/>
    <x v="696"/>
    <d v="2024-01-04T00:00:00"/>
    <x v="0"/>
    <x v="1"/>
    <n v="24480"/>
    <x v="1"/>
    <x v="0"/>
    <n v="5402.33"/>
    <n v="1.43"/>
    <n v="24480"/>
    <n v="24480"/>
    <x v="6"/>
    <s v="100% POLYESTER TEXTURED YARN DTY 100D/48F HIM RW SD GRADE-AA"/>
    <n v="10082727"/>
    <x v="0"/>
    <n v="4133918"/>
    <x v="0"/>
    <m/>
    <m/>
    <x v="0"/>
    <x v="0"/>
    <x v="0"/>
    <x v="0"/>
    <x v="0"/>
    <x v="0"/>
    <m/>
    <x v="0"/>
    <x v="1"/>
    <x v="0"/>
    <x v="0"/>
    <x v="0"/>
    <x v="3"/>
    <n v="411.8761029411765"/>
    <n v="168.86919934640522"/>
    <n v="4133918"/>
    <d v="2024-02-04T00:00:00"/>
    <x v="0"/>
  </r>
  <r>
    <x v="698"/>
    <d v="2024-01-08T00:00:00"/>
    <x v="697"/>
    <d v="2024-01-01T00:00:00"/>
    <x v="0"/>
    <x v="0"/>
    <n v="5000"/>
    <x v="1"/>
    <x v="0"/>
    <n v="3204.2"/>
    <n v="6.92"/>
    <n v="0"/>
    <n v="0"/>
    <x v="5"/>
    <s v="DYES (VEEBRIGHT EHT)"/>
    <n v="9967438"/>
    <x v="0"/>
    <n v="4983720"/>
    <x v="0"/>
    <m/>
    <m/>
    <x v="0"/>
    <x v="0"/>
    <x v="0"/>
    <x v="1"/>
    <x v="0"/>
    <x v="0"/>
    <m/>
    <x v="0"/>
    <x v="1"/>
    <x v="0"/>
    <x v="0"/>
    <x v="0"/>
    <x v="4"/>
    <n v="1993.4875999999999"/>
    <n v="996.74400000000003"/>
    <n v="0"/>
    <d v="2024-02-07T00:00:00"/>
    <x v="0"/>
  </r>
  <r>
    <x v="699"/>
    <d v="2024-01-10T00:00:00"/>
    <x v="698"/>
    <d v="2024-01-10T00:00:00"/>
    <x v="0"/>
    <x v="1"/>
    <n v="7536"/>
    <x v="1"/>
    <x v="0"/>
    <n v="5402.33"/>
    <n v="4.55"/>
    <n v="7536"/>
    <n v="7536"/>
    <x v="13"/>
    <s v="POLYESTER FILAMENT YARN RTSS DT 150D/72F"/>
    <n v="9855053"/>
    <x v="0"/>
    <n v="4040572"/>
    <x v="0"/>
    <m/>
    <m/>
    <x v="0"/>
    <x v="0"/>
    <x v="0"/>
    <x v="0"/>
    <x v="0"/>
    <x v="0"/>
    <m/>
    <x v="0"/>
    <x v="1"/>
    <x v="0"/>
    <x v="0"/>
    <x v="0"/>
    <x v="3"/>
    <n v="1307.7299628450105"/>
    <n v="536.16932059447981"/>
    <n v="4040572"/>
    <d v="2024-02-09T00:00:00"/>
    <x v="0"/>
  </r>
  <r>
    <x v="700"/>
    <d v="2024-01-11T00:00:00"/>
    <x v="699"/>
    <d v="2024-01-05T00:00:00"/>
    <x v="0"/>
    <x v="1"/>
    <n v="19300"/>
    <x v="1"/>
    <x v="0"/>
    <n v="3906.9029999999998"/>
    <s v="3.20 / 1.55"/>
    <n v="19300"/>
    <n v="19300"/>
    <x v="12"/>
    <s v="CHEMICAL (PERIPRINT / PRIGEN)"/>
    <n v="16184520"/>
    <x v="0"/>
    <n v="5340892"/>
    <x v="0"/>
    <m/>
    <m/>
    <x v="0"/>
    <x v="0"/>
    <x v="0"/>
    <x v="0"/>
    <x v="0"/>
    <x v="0"/>
    <m/>
    <x v="0"/>
    <x v="1"/>
    <x v="0"/>
    <x v="0"/>
    <x v="0"/>
    <x v="5"/>
    <n v="838.57616580310878"/>
    <n v="276.73015544041453"/>
    <n v="5340892.0000000009"/>
    <d v="2024-02-10T00:00:00"/>
    <x v="0"/>
  </r>
  <r>
    <x v="701"/>
    <d v="2024-01-12T00:00:00"/>
    <x v="700"/>
    <d v="2024-01-12T00:00:00"/>
    <x v="0"/>
    <x v="0"/>
    <n v="22000"/>
    <x v="1"/>
    <x v="0"/>
    <n v="2915.11"/>
    <n v="1.32"/>
    <n v="0"/>
    <n v="0"/>
    <x v="12"/>
    <s v="HYDROBLUE 90"/>
    <n v="8342035"/>
    <x v="0"/>
    <n v="3837336"/>
    <x v="0"/>
    <m/>
    <m/>
    <x v="0"/>
    <x v="0"/>
    <x v="0"/>
    <x v="1"/>
    <x v="0"/>
    <x v="0"/>
    <m/>
    <x v="0"/>
    <x v="1"/>
    <x v="0"/>
    <x v="0"/>
    <x v="0"/>
    <x v="5"/>
    <n v="379.18340909090909"/>
    <n v="174.42436363636364"/>
    <n v="0"/>
    <d v="2024-02-11T00:00:00"/>
    <x v="0"/>
  </r>
  <r>
    <x v="702"/>
    <d v="2024-01-13T00:00:00"/>
    <x v="701"/>
    <d v="2024-01-12T00:00:00"/>
    <x v="0"/>
    <x v="0"/>
    <n v="22000"/>
    <x v="1"/>
    <x v="0"/>
    <n v="2915.11"/>
    <n v="1.32"/>
    <n v="0"/>
    <n v="0"/>
    <x v="12"/>
    <s v="HYDROBLUE R 90"/>
    <n v="8342035"/>
    <x v="0"/>
    <n v="3837336"/>
    <x v="0"/>
    <m/>
    <m/>
    <x v="0"/>
    <x v="0"/>
    <x v="0"/>
    <x v="1"/>
    <x v="0"/>
    <x v="0"/>
    <m/>
    <x v="0"/>
    <x v="1"/>
    <x v="0"/>
    <x v="0"/>
    <x v="0"/>
    <x v="5"/>
    <n v="379.18340909090909"/>
    <n v="174.42436363636364"/>
    <n v="0"/>
    <d v="2024-02-12T00:00:00"/>
    <x v="0"/>
  </r>
  <r>
    <x v="703"/>
    <d v="2024-01-17T00:00:00"/>
    <x v="702"/>
    <d v="2024-01-12T00:00:00"/>
    <x v="0"/>
    <x v="1"/>
    <n v="24480"/>
    <x v="1"/>
    <x v="0"/>
    <n v="5402.33"/>
    <n v="1.3"/>
    <n v="24480"/>
    <n v="24480"/>
    <x v="6"/>
    <s v="100% POLYESTER TEXTURED YARN (DTY 300D/96F HIM SD RW AA GRADE)"/>
    <n v="9141767"/>
    <x v="0"/>
    <n v="3748124"/>
    <x v="0"/>
    <m/>
    <m/>
    <x v="0"/>
    <x v="0"/>
    <x v="0"/>
    <x v="0"/>
    <x v="0"/>
    <x v="0"/>
    <m/>
    <x v="0"/>
    <x v="1"/>
    <x v="0"/>
    <x v="0"/>
    <x v="0"/>
    <x v="3"/>
    <n v="373.43819444444443"/>
    <n v="153.10964052287582"/>
    <n v="3748124"/>
    <d v="2024-02-16T00:00:00"/>
    <x v="0"/>
  </r>
  <r>
    <x v="704"/>
    <d v="2024-01-17T00:00:00"/>
    <x v="703"/>
    <d v="2024-01-16T00:00:00"/>
    <x v="0"/>
    <x v="0"/>
    <n v="26000"/>
    <x v="1"/>
    <x v="0"/>
    <n v="3402.4189999999999"/>
    <n v="11.7"/>
    <n v="0"/>
    <n v="0"/>
    <x v="12"/>
    <s v="(WETMATIC WTL)"/>
    <n v="12195357"/>
    <x v="0"/>
    <n v="6097678"/>
    <x v="0"/>
    <m/>
    <m/>
    <x v="0"/>
    <x v="0"/>
    <x v="0"/>
    <x v="0"/>
    <x v="0"/>
    <x v="0"/>
    <m/>
    <x v="0"/>
    <x v="1"/>
    <x v="0"/>
    <x v="0"/>
    <x v="0"/>
    <x v="5"/>
    <n v="469.05219230769228"/>
    <n v="234.52607692307691"/>
    <n v="0"/>
    <d v="2024-02-16T00:00:00"/>
    <x v="0"/>
  </r>
  <r>
    <x v="705"/>
    <d v="2024-01-18T00:00:00"/>
    <x v="704"/>
    <d v="2024-01-12T00:00:00"/>
    <x v="0"/>
    <x v="1"/>
    <n v="23100"/>
    <x v="1"/>
    <x v="0"/>
    <n v="5402.33"/>
    <n v="1.35"/>
    <n v="23100"/>
    <n v="23100"/>
    <x v="6"/>
    <s v="100% POLYESTER YARN DTY 150D/48F SD RW HIM AA GRADE"/>
    <n v="8958208"/>
    <x v="0"/>
    <n v="3672865"/>
    <x v="0"/>
    <m/>
    <m/>
    <x v="0"/>
    <x v="0"/>
    <x v="0"/>
    <x v="0"/>
    <x v="0"/>
    <x v="0"/>
    <m/>
    <x v="0"/>
    <x v="1"/>
    <x v="0"/>
    <x v="0"/>
    <x v="0"/>
    <x v="3"/>
    <n v="387.80121212121213"/>
    <n v="158.99848484848485"/>
    <n v="3672865"/>
    <d v="2024-02-17T00:00:00"/>
    <x v="0"/>
  </r>
  <r>
    <x v="706"/>
    <d v="2024-01-18T00:00:00"/>
    <x v="705"/>
    <d v="2024-01-12T00:00:00"/>
    <x v="0"/>
    <x v="1"/>
    <n v="24480"/>
    <x v="1"/>
    <x v="0"/>
    <n v="5402.33"/>
    <n v="1.3"/>
    <n v="24480"/>
    <n v="24480"/>
    <x v="6"/>
    <s v="100% POLYSTER TEXTURED YARN DTY 300D/96F HIM SD RW AA GRADE"/>
    <n v="9141767"/>
    <x v="0"/>
    <n v="3748124"/>
    <x v="0"/>
    <m/>
    <m/>
    <x v="0"/>
    <x v="0"/>
    <x v="0"/>
    <x v="0"/>
    <x v="0"/>
    <x v="0"/>
    <m/>
    <x v="0"/>
    <x v="1"/>
    <x v="0"/>
    <x v="0"/>
    <x v="0"/>
    <x v="3"/>
    <n v="373.43819444444443"/>
    <n v="153.10964052287582"/>
    <n v="3748124"/>
    <d v="2024-02-17T00:00:00"/>
    <x v="0"/>
  </r>
  <r>
    <x v="707"/>
    <d v="2024-01-19T00:00:00"/>
    <x v="706"/>
    <d v="2024-01-18T00:00:00"/>
    <x v="0"/>
    <x v="0"/>
    <n v="240"/>
    <x v="1"/>
    <x v="0"/>
    <n v="3809.9189999999999"/>
    <n v="2.6166999999999998"/>
    <n v="0"/>
    <n v="0"/>
    <x v="12"/>
    <s v="(PERSOFT NSA 10)"/>
    <n v="179857"/>
    <x v="0"/>
    <n v="82734"/>
    <x v="0"/>
    <m/>
    <m/>
    <x v="0"/>
    <x v="0"/>
    <x v="0"/>
    <x v="1"/>
    <x v="0"/>
    <x v="0"/>
    <m/>
    <x v="0"/>
    <x v="1"/>
    <x v="0"/>
    <x v="0"/>
    <x v="0"/>
    <x v="5"/>
    <n v="749.4041666666667"/>
    <n v="344.72500000000002"/>
    <n v="0"/>
    <d v="2024-02-18T00:00:00"/>
    <x v="0"/>
  </r>
  <r>
    <x v="708"/>
    <d v="2024-01-20T00:00:00"/>
    <x v="707"/>
    <d v="2024-01-16T00:00:00"/>
    <x v="0"/>
    <x v="1"/>
    <n v="956"/>
    <x v="1"/>
    <x v="0"/>
    <n v="5407.69"/>
    <n v="7.7263999999999999"/>
    <n v="956"/>
    <n v="956"/>
    <x v="2"/>
    <s v="FABRIC (70% POLYESTER 27% COTTON 3%ELASTAN) WIDTH: 150CM WEIGHT: 190GSM CONSTRUCTION: PLAIN (QTY: 3105/MTRS)"/>
    <n v="2116178"/>
    <x v="0"/>
    <n v="973441"/>
    <x v="0"/>
    <m/>
    <m/>
    <x v="0"/>
    <x v="0"/>
    <x v="0"/>
    <x v="0"/>
    <x v="0"/>
    <x v="0"/>
    <m/>
    <x v="0"/>
    <x v="1"/>
    <x v="0"/>
    <x v="0"/>
    <x v="0"/>
    <x v="2"/>
    <n v="2213.5753138075315"/>
    <n v="1018.2437238493724"/>
    <n v="973441"/>
    <d v="2024-02-19T00:00:00"/>
    <x v="0"/>
  </r>
  <r>
    <x v="709"/>
    <d v="2024-01-19T00:00:00"/>
    <x v="708"/>
    <d v="2024-01-16T00:00:00"/>
    <x v="0"/>
    <x v="0"/>
    <n v="273814"/>
    <x v="1"/>
    <x v="0"/>
    <n v="5201.009"/>
    <n v="2.0337000000000001"/>
    <n v="0"/>
    <n v="0"/>
    <x v="0"/>
    <s v="Raw Cotton"/>
    <n v="159536373"/>
    <x v="0"/>
    <n v="47860912"/>
    <x v="0"/>
    <m/>
    <m/>
    <x v="0"/>
    <x v="0"/>
    <x v="0"/>
    <x v="2"/>
    <x v="0"/>
    <x v="0"/>
    <m/>
    <x v="0"/>
    <x v="1"/>
    <x v="0"/>
    <x v="0"/>
    <x v="0"/>
    <x v="0"/>
    <n v="582.64505467214974"/>
    <n v="174.79351676685633"/>
    <n v="0"/>
    <d v="2024-02-18T00:00:00"/>
    <x v="0"/>
  </r>
  <r>
    <x v="710"/>
    <d v="2024-01-19T00:00:00"/>
    <x v="709"/>
    <d v="2024-01-18T00:00:00"/>
    <x v="0"/>
    <x v="1"/>
    <n v="23100"/>
    <x v="1"/>
    <x v="0"/>
    <n v="5402.33"/>
    <n v="1.35"/>
    <n v="23100"/>
    <n v="23100"/>
    <x v="6"/>
    <s v="100% POLYESTER YARN DTY 150D/48F SD RW HIM AA GRADE"/>
    <n v="8931168"/>
    <x v="0"/>
    <n v="3661778"/>
    <x v="0"/>
    <m/>
    <m/>
    <x v="0"/>
    <x v="0"/>
    <x v="0"/>
    <x v="0"/>
    <x v="0"/>
    <x v="0"/>
    <m/>
    <x v="0"/>
    <x v="1"/>
    <x v="0"/>
    <x v="0"/>
    <x v="0"/>
    <x v="3"/>
    <n v="386.63064935064938"/>
    <n v="158.51852813852813"/>
    <n v="3661777.9999999995"/>
    <d v="2024-02-18T00:00:00"/>
    <x v="0"/>
  </r>
  <r>
    <x v="711"/>
    <d v="2024-01-21T00:00:00"/>
    <x v="710"/>
    <d v="2024-01-18T00:00:00"/>
    <x v="0"/>
    <x v="0"/>
    <n v="102000"/>
    <x v="1"/>
    <x v="0"/>
    <n v="2847"/>
    <n v="0.46"/>
    <n v="0"/>
    <n v="0"/>
    <x v="12"/>
    <s v="HYDROGEN PEROXIDE"/>
    <n v="13437563"/>
    <x v="0"/>
    <n v="5509401"/>
    <x v="0"/>
    <m/>
    <m/>
    <x v="0"/>
    <x v="0"/>
    <x v="0"/>
    <x v="0"/>
    <x v="0"/>
    <x v="0"/>
    <m/>
    <x v="0"/>
    <x v="1"/>
    <x v="0"/>
    <x v="0"/>
    <x v="0"/>
    <x v="5"/>
    <n v="131.7408137254902"/>
    <n v="54.013735294117645"/>
    <n v="0"/>
    <d v="2024-02-20T00:00:00"/>
    <x v="0"/>
  </r>
  <r>
    <x v="712"/>
    <d v="2024-01-24T00:00:00"/>
    <x v="711"/>
    <d v="2024-01-23T00:00:00"/>
    <x v="0"/>
    <x v="1"/>
    <n v="23100"/>
    <x v="1"/>
    <x v="0"/>
    <n v="5402.33"/>
    <n v="1.35"/>
    <n v="23100"/>
    <n v="23100"/>
    <x v="6"/>
    <s v="100% POLYESTER YARN DTY 150D/48F SD RW HIM AA GRADE"/>
    <n v="8916853"/>
    <x v="0"/>
    <n v="3655910"/>
    <x v="0"/>
    <m/>
    <m/>
    <x v="0"/>
    <x v="0"/>
    <x v="0"/>
    <x v="0"/>
    <x v="0"/>
    <x v="0"/>
    <m/>
    <x v="0"/>
    <x v="1"/>
    <x v="0"/>
    <x v="0"/>
    <x v="0"/>
    <x v="3"/>
    <n v="386.0109523809524"/>
    <n v="158.26450216450218"/>
    <n v="3655910.0000000005"/>
    <d v="2024-02-23T00:00:00"/>
    <x v="0"/>
  </r>
  <r>
    <x v="713"/>
    <d v="2024-01-25T00:00:00"/>
    <x v="712"/>
    <d v="2024-01-23T00:00:00"/>
    <x v="0"/>
    <x v="1"/>
    <n v="24480"/>
    <x v="1"/>
    <x v="0"/>
    <n v="5402.33"/>
    <n v="1.43"/>
    <n v="24480"/>
    <n v="24480"/>
    <x v="6"/>
    <s v="100% POLYESTER TEXTURED YARN DTY 100D/48F HIM RW SD GRADE-AA"/>
    <n v="10009521"/>
    <x v="0"/>
    <n v="4103904"/>
    <x v="0"/>
    <m/>
    <m/>
    <x v="0"/>
    <x v="0"/>
    <x v="0"/>
    <x v="0"/>
    <x v="0"/>
    <x v="0"/>
    <m/>
    <x v="0"/>
    <x v="1"/>
    <x v="0"/>
    <x v="0"/>
    <x v="0"/>
    <x v="3"/>
    <n v="408.8856617647059"/>
    <n v="167.64313725490197"/>
    <n v="4103904.0000000005"/>
    <d v="2024-02-24T00:00:00"/>
    <x v="0"/>
  </r>
  <r>
    <x v="714"/>
    <d v="2024-01-26T00:00:00"/>
    <x v="713"/>
    <d v="2024-01-18T00:00:00"/>
    <x v="0"/>
    <x v="0"/>
    <n v="22000"/>
    <x v="1"/>
    <x v="0"/>
    <n v="2915.11"/>
    <n v="1.32"/>
    <n v="0"/>
    <n v="0"/>
    <x v="12"/>
    <s v="HYDROBLUE®90"/>
    <n v="8316855"/>
    <x v="0"/>
    <n v="3825754"/>
    <x v="0"/>
    <m/>
    <m/>
    <x v="0"/>
    <x v="0"/>
    <x v="0"/>
    <x v="2"/>
    <x v="0"/>
    <x v="0"/>
    <m/>
    <x v="0"/>
    <x v="1"/>
    <x v="0"/>
    <x v="0"/>
    <x v="0"/>
    <x v="5"/>
    <n v="378.03886363636366"/>
    <n v="173.89790909090908"/>
    <n v="0"/>
    <d v="2024-02-25T00:00:00"/>
    <x v="0"/>
  </r>
  <r>
    <x v="715"/>
    <d v="2024-01-26T00:00:00"/>
    <x v="714"/>
    <d v="2024-01-18T00:00:00"/>
    <x v="0"/>
    <x v="0"/>
    <n v="22000"/>
    <x v="1"/>
    <x v="0"/>
    <n v="2915.11"/>
    <n v="1.32"/>
    <n v="0"/>
    <n v="0"/>
    <x v="12"/>
    <s v="HYDROBLUE®90"/>
    <n v="8316855"/>
    <x v="0"/>
    <n v="3825754"/>
    <x v="0"/>
    <m/>
    <m/>
    <x v="0"/>
    <x v="0"/>
    <x v="0"/>
    <x v="2"/>
    <x v="0"/>
    <x v="0"/>
    <m/>
    <x v="0"/>
    <x v="1"/>
    <x v="0"/>
    <x v="0"/>
    <x v="0"/>
    <x v="5"/>
    <n v="378.03886363636366"/>
    <n v="173.89790909090908"/>
    <n v="0"/>
    <d v="2024-02-25T00:00:00"/>
    <x v="0"/>
  </r>
  <r>
    <x v="716"/>
    <d v="2024-01-29T00:00:00"/>
    <x v="715"/>
    <d v="2024-01-23T00:00:00"/>
    <x v="0"/>
    <x v="1"/>
    <n v="23100"/>
    <x v="1"/>
    <x v="0"/>
    <n v="5402.33"/>
    <n v="1.35"/>
    <n v="23100"/>
    <n v="23100"/>
    <x v="6"/>
    <s v="100% POLYESTER YARN DTY 150D48F SD RW HIM AA GRADE"/>
    <n v="8916853"/>
    <x v="0"/>
    <n v="3655910"/>
    <x v="0"/>
    <m/>
    <m/>
    <x v="0"/>
    <x v="0"/>
    <x v="0"/>
    <x v="0"/>
    <x v="0"/>
    <x v="0"/>
    <m/>
    <x v="0"/>
    <x v="1"/>
    <x v="0"/>
    <x v="0"/>
    <x v="0"/>
    <x v="3"/>
    <n v="386.0109523809524"/>
    <n v="158.26450216450218"/>
    <n v="3655910.0000000005"/>
    <d v="2024-02-28T00:00:00"/>
    <x v="0"/>
  </r>
  <r>
    <x v="717"/>
    <d v="2024-01-29T00:00:00"/>
    <x v="716"/>
    <d v="2024-01-23T00:00:00"/>
    <x v="0"/>
    <x v="0"/>
    <n v="25600"/>
    <x v="1"/>
    <x v="0"/>
    <n v="3910"/>
    <n v="1.7"/>
    <n v="0"/>
    <n v="0"/>
    <x v="12"/>
    <s v="Chemical (SILICONE HT-40)"/>
    <n v="17201791"/>
    <x v="0"/>
    <n v="5160537"/>
    <x v="0"/>
    <m/>
    <m/>
    <x v="0"/>
    <x v="0"/>
    <x v="0"/>
    <x v="2"/>
    <x v="0"/>
    <x v="0"/>
    <m/>
    <x v="0"/>
    <x v="1"/>
    <x v="0"/>
    <x v="0"/>
    <x v="0"/>
    <x v="5"/>
    <n v="671.94496093750001"/>
    <n v="201.58347656250001"/>
    <n v="0"/>
    <d v="2024-02-28T00:00:00"/>
    <x v="0"/>
  </r>
  <r>
    <x v="718"/>
    <d v="2024-01-30T00:00:00"/>
    <x v="717"/>
    <d v="2024-01-25T00:00:00"/>
    <x v="0"/>
    <x v="0"/>
    <n v="2760"/>
    <x v="1"/>
    <x v="0"/>
    <n v="3910"/>
    <n v="3.2"/>
    <n v="0"/>
    <n v="0"/>
    <x v="12"/>
    <s v="Chemical (SILYOUWET DS-618C)"/>
    <n v="2524919"/>
    <x v="0"/>
    <n v="757475"/>
    <x v="0"/>
    <m/>
    <m/>
    <x v="0"/>
    <x v="0"/>
    <x v="0"/>
    <x v="0"/>
    <x v="0"/>
    <x v="0"/>
    <m/>
    <x v="0"/>
    <x v="1"/>
    <x v="0"/>
    <x v="0"/>
    <x v="0"/>
    <x v="5"/>
    <n v="914.82572463768111"/>
    <n v="274.44746376811594"/>
    <n v="0"/>
    <d v="2024-02-29T00:00:00"/>
    <x v="0"/>
  </r>
  <r>
    <x v="719"/>
    <d v="2024-02-01T00:00:00"/>
    <x v="718"/>
    <d v="2024-01-31T00:00:00"/>
    <x v="0"/>
    <x v="0"/>
    <n v="17460"/>
    <x v="1"/>
    <x v="0"/>
    <s v="3402.4200  / 3809.9190  / 3906.9090"/>
    <s v="2.10 / 3.85 / 4.85"/>
    <n v="0"/>
    <n v="0"/>
    <x v="12"/>
    <s v="CHEMICALS (NEOPAT BINDER / NEOPAT / TILASOL)"/>
    <n v="11482966"/>
    <x v="0"/>
    <n v="4802052"/>
    <x v="0"/>
    <m/>
    <m/>
    <x v="0"/>
    <x v="0"/>
    <x v="0"/>
    <x v="0"/>
    <x v="0"/>
    <x v="0"/>
    <m/>
    <x v="0"/>
    <x v="1"/>
    <x v="0"/>
    <x v="0"/>
    <x v="0"/>
    <x v="5"/>
    <n v="657.67273768613973"/>
    <n v="275.03161512027492"/>
    <n v="0"/>
    <d v="2024-03-02T00:00:00"/>
    <x v="0"/>
  </r>
  <r>
    <x v="720"/>
    <d v="2024-02-01T00:00:00"/>
    <x v="719"/>
    <d v="2024-01-31T00:00:00"/>
    <x v="0"/>
    <x v="1"/>
    <n v="23100"/>
    <x v="1"/>
    <x v="0"/>
    <n v="5402.33"/>
    <n v="1.35"/>
    <n v="23100"/>
    <n v="23100"/>
    <x v="6"/>
    <s v="100% POLYESTER YARN DTY 150D/48F SD RW HIM AA GRADE"/>
    <n v="8912081"/>
    <x v="0"/>
    <n v="3653954"/>
    <x v="0"/>
    <m/>
    <m/>
    <x v="0"/>
    <x v="0"/>
    <x v="0"/>
    <x v="0"/>
    <x v="0"/>
    <x v="0"/>
    <m/>
    <x v="0"/>
    <x v="1"/>
    <x v="0"/>
    <x v="0"/>
    <x v="0"/>
    <x v="3"/>
    <n v="385.80437229437229"/>
    <n v="158.17982683982683"/>
    <n v="3653954"/>
    <d v="2024-03-02T00:00:00"/>
    <x v="0"/>
  </r>
  <r>
    <x v="721"/>
    <d v="2024-02-02T00:00:00"/>
    <x v="720"/>
    <d v="2024-01-31T00:00:00"/>
    <x v="0"/>
    <x v="1"/>
    <n v="23100"/>
    <x v="1"/>
    <x v="0"/>
    <n v="5402.33"/>
    <n v="1.18"/>
    <n v="23100"/>
    <n v="23100"/>
    <x v="6"/>
    <s v="100% POLYESTER YARN DTY 150D/48F SD RW HIM AA GRADE"/>
    <n v="7789819"/>
    <x v="0"/>
    <n v="3193825"/>
    <x v="0"/>
    <m/>
    <m/>
    <x v="0"/>
    <x v="0"/>
    <x v="0"/>
    <x v="0"/>
    <x v="0"/>
    <x v="0"/>
    <m/>
    <x v="0"/>
    <x v="1"/>
    <x v="0"/>
    <x v="0"/>
    <x v="0"/>
    <x v="3"/>
    <n v="337.22160173160171"/>
    <n v="138.26082251082252"/>
    <n v="3193825.0000000005"/>
    <d v="2024-03-03T00:00:00"/>
    <x v="0"/>
  </r>
  <r>
    <x v="722"/>
    <d v="2024-02-01T00:00:00"/>
    <x v="721"/>
    <d v="2024-01-31T00:00:00"/>
    <x v="0"/>
    <x v="0"/>
    <n v="17900"/>
    <x v="1"/>
    <x v="0"/>
    <s v="3809.9190  / 3906.9090"/>
    <s v="23.10 / 3.85"/>
    <n v="0"/>
    <n v="0"/>
    <x v="12"/>
    <s v="CHEMICALS (NEOPAT BINDER / NEOPAT)"/>
    <n v="11692730"/>
    <x v="0"/>
    <n v="4898545"/>
    <x v="0"/>
    <m/>
    <m/>
    <x v="0"/>
    <x v="0"/>
    <x v="0"/>
    <x v="2"/>
    <x v="0"/>
    <x v="0"/>
    <m/>
    <x v="0"/>
    <x v="1"/>
    <x v="0"/>
    <x v="0"/>
    <x v="0"/>
    <x v="5"/>
    <n v="653.22513966480449"/>
    <n v="273.66173184357541"/>
    <n v="0"/>
    <d v="2024-03-02T00:00:00"/>
    <x v="0"/>
  </r>
  <r>
    <x v="723"/>
    <d v="2024-02-01T00:00:00"/>
    <x v="722"/>
    <d v="2024-02-01T00:00:00"/>
    <x v="0"/>
    <x v="1"/>
    <n v="23100"/>
    <x v="1"/>
    <x v="0"/>
    <n v="5402.33"/>
    <n v="1.35"/>
    <n v="23100"/>
    <n v="23100"/>
    <x v="6"/>
    <s v="100% POLYESTER YARN DTY 150D/48F SD RW HIM AA GRADE"/>
    <n v="8908900"/>
    <x v="0"/>
    <n v="3652649"/>
    <x v="0"/>
    <m/>
    <m/>
    <x v="0"/>
    <x v="0"/>
    <x v="0"/>
    <x v="0"/>
    <x v="0"/>
    <x v="0"/>
    <m/>
    <x v="0"/>
    <x v="1"/>
    <x v="0"/>
    <x v="0"/>
    <x v="0"/>
    <x v="3"/>
    <n v="385.66666666666669"/>
    <n v="158.12333333333333"/>
    <n v="3652649"/>
    <d v="2024-03-02T00:00:00"/>
    <x v="0"/>
  </r>
  <r>
    <x v="724"/>
    <d v="2024-02-02T00:00:00"/>
    <x v="723"/>
    <d v="2024-02-02T00:00:00"/>
    <x v="0"/>
    <x v="1"/>
    <n v="184.78"/>
    <x v="1"/>
    <x v="0"/>
    <n v="5407.52"/>
    <n v="184.78"/>
    <n v="184.78"/>
    <n v="184.78"/>
    <x v="2"/>
    <s v="NAVY BARBARA LIGHT STRETCH KNIT 250G 73.00% VISCOSE 22.00% POLIAMIDE 5.00% ELASTANE"/>
    <n v="550059"/>
    <x v="0"/>
    <n v="253027"/>
    <x v="0"/>
    <m/>
    <m/>
    <x v="0"/>
    <x v="0"/>
    <x v="0"/>
    <x v="0"/>
    <x v="0"/>
    <x v="0"/>
    <m/>
    <x v="0"/>
    <x v="1"/>
    <x v="0"/>
    <x v="0"/>
    <x v="0"/>
    <x v="2"/>
    <n v="2976.8319082151747"/>
    <n v="1369.3419201212253"/>
    <n v="253027"/>
    <d v="2024-03-03T00:00:00"/>
    <x v="0"/>
  </r>
  <r>
    <x v="725"/>
    <d v="2024-02-04T00:00:00"/>
    <x v="724"/>
    <d v="2024-02-02T00:00:00"/>
    <x v="0"/>
    <x v="1"/>
    <n v="23100"/>
    <x v="1"/>
    <x v="0"/>
    <n v="5402.33"/>
    <n v="1.35"/>
    <n v="23100"/>
    <n v="23100"/>
    <x v="6"/>
    <s v="100% POLYESTER YARN DTY 150D/48F SD RW HIM AA GRADE"/>
    <n v="8908900"/>
    <x v="0"/>
    <n v="3652649"/>
    <x v="0"/>
    <m/>
    <m/>
    <x v="0"/>
    <x v="0"/>
    <x v="0"/>
    <x v="0"/>
    <x v="0"/>
    <x v="0"/>
    <m/>
    <x v="0"/>
    <x v="1"/>
    <x v="0"/>
    <x v="0"/>
    <x v="0"/>
    <x v="3"/>
    <n v="385.66666666666669"/>
    <n v="158.12333333333333"/>
    <n v="3652649"/>
    <d v="2024-03-05T00:00:00"/>
    <x v="0"/>
  </r>
  <r>
    <x v="726"/>
    <d v="2024-02-03T00:00:00"/>
    <x v="725"/>
    <d v="2024-02-02T00:00:00"/>
    <x v="0"/>
    <x v="1"/>
    <n v="23100"/>
    <x v="1"/>
    <x v="0"/>
    <n v="5402.33"/>
    <n v="1.35"/>
    <n v="23100"/>
    <n v="23100"/>
    <x v="6"/>
    <s v="100% POLYESTER YARN DTY 150D/48F SD RW HIM AA GRADE"/>
    <n v="8908900"/>
    <x v="0"/>
    <n v="3652649"/>
    <x v="0"/>
    <m/>
    <m/>
    <x v="0"/>
    <x v="0"/>
    <x v="0"/>
    <x v="0"/>
    <x v="0"/>
    <x v="0"/>
    <m/>
    <x v="0"/>
    <x v="1"/>
    <x v="0"/>
    <x v="0"/>
    <x v="0"/>
    <x v="3"/>
    <n v="385.66666666666669"/>
    <n v="158.12333333333333"/>
    <n v="3652649"/>
    <d v="2024-03-04T00:00:00"/>
    <x v="0"/>
  </r>
  <r>
    <x v="727"/>
    <d v="2024-02-09T00:00:00"/>
    <x v="726"/>
    <d v="2024-02-06T00:00:00"/>
    <x v="0"/>
    <x v="1"/>
    <n v="24480"/>
    <x v="1"/>
    <x v="0"/>
    <n v="5402.33"/>
    <n v="1.35"/>
    <n v="24480"/>
    <n v="24480"/>
    <x v="6"/>
    <s v="100% POLYESTER TEXTURED YARN DTY 150D/48F HIM RW SD GRADE-AA"/>
    <n v="9441120"/>
    <x v="0"/>
    <n v="3870859"/>
    <x v="0"/>
    <m/>
    <m/>
    <x v="0"/>
    <x v="0"/>
    <x v="0"/>
    <x v="0"/>
    <x v="0"/>
    <x v="0"/>
    <m/>
    <x v="0"/>
    <x v="1"/>
    <x v="0"/>
    <x v="0"/>
    <x v="0"/>
    <x v="3"/>
    <n v="385.66666666666669"/>
    <n v="158.1233251633987"/>
    <n v="3870859.0000000005"/>
    <d v="2024-03-10T00:00:00"/>
    <x v="0"/>
  </r>
  <r>
    <x v="728"/>
    <d v="2024-02-06T00:00:00"/>
    <x v="727"/>
    <d v="2024-02-06T00:00:00"/>
    <x v="0"/>
    <x v="0"/>
    <n v="7250"/>
    <x v="1"/>
    <x v="0"/>
    <n v="3204.16"/>
    <s v="32/ 36.50 / 222.85 / 116 / 61.20"/>
    <n v="0"/>
    <n v="0"/>
    <x v="5"/>
    <s v="DYES (BEZATHREN)"/>
    <n v="158273311"/>
    <x v="0"/>
    <n v="72805723"/>
    <x v="0"/>
    <m/>
    <m/>
    <x v="0"/>
    <x v="0"/>
    <x v="0"/>
    <x v="2"/>
    <x v="0"/>
    <x v="0"/>
    <m/>
    <x v="0"/>
    <x v="1"/>
    <x v="0"/>
    <x v="0"/>
    <x v="0"/>
    <x v="4"/>
    <n v="21830.80151724138"/>
    <n v="10042.168689655173"/>
    <n v="0"/>
    <d v="2024-03-07T00:00:00"/>
    <x v="0"/>
  </r>
  <r>
    <x v="729"/>
    <d v="2024-02-10T00:00:00"/>
    <x v="728"/>
    <d v="2024-02-06T00:00:00"/>
    <x v="0"/>
    <x v="0"/>
    <n v="2048.1999999999998"/>
    <x v="1"/>
    <x v="0"/>
    <n v="5407.52"/>
    <n v="2.8441000000000001"/>
    <n v="0"/>
    <n v="0"/>
    <x v="11"/>
    <s v="100% POLYESTER MESH FABRIC WHITE AND BLACK 170GSM, WIDTH:150CM, (18719.8/MTRS) DETAILS AS PER INVOICE AND PACKING LIST"/>
    <n v="1664162"/>
    <x v="0"/>
    <n v="765514"/>
    <x v="0"/>
    <m/>
    <m/>
    <x v="0"/>
    <x v="0"/>
    <x v="0"/>
    <x v="2"/>
    <x v="0"/>
    <x v="0"/>
    <m/>
    <x v="0"/>
    <x v="1"/>
    <x v="0"/>
    <x v="0"/>
    <x v="0"/>
    <x v="2"/>
    <n v="812.49975588321456"/>
    <n v="373.74963382482184"/>
    <n v="0"/>
    <d v="2024-03-11T00:00:00"/>
    <x v="0"/>
  </r>
  <r>
    <x v="730"/>
    <d v="2024-02-09T00:00:00"/>
    <x v="729"/>
    <d v="2024-02-07T00:00:00"/>
    <x v="0"/>
    <x v="1"/>
    <n v="889"/>
    <x v="1"/>
    <x v="0"/>
    <n v="5407.52"/>
    <n v="10.967499999999999"/>
    <n v="889"/>
    <n v="889"/>
    <x v="2"/>
    <s v="FABRIC SBANDMASTER 65%OES 35% CO (IRIDE, KELLY GREEN, NS ORANGE, ROYAL BOX, SUPLHOR) 3058.7/MTRS"/>
    <n v="2995562"/>
    <x v="0"/>
    <n v="1377958"/>
    <x v="0"/>
    <m/>
    <m/>
    <x v="0"/>
    <x v="0"/>
    <x v="0"/>
    <x v="0"/>
    <x v="0"/>
    <x v="0"/>
    <m/>
    <x v="0"/>
    <x v="1"/>
    <x v="0"/>
    <x v="0"/>
    <x v="0"/>
    <x v="2"/>
    <n v="3369.5860517435322"/>
    <n v="1550.0089988751406"/>
    <n v="1377958"/>
    <d v="2024-03-10T00:00:00"/>
    <x v="0"/>
  </r>
  <r>
    <x v="731"/>
    <d v="2024-02-09T00:00:00"/>
    <x v="730"/>
    <d v="2024-02-07T00:00:00"/>
    <x v="1"/>
    <x v="0"/>
    <n v="591"/>
    <x v="1"/>
    <x v="0"/>
    <s v="4821.1090  / 5806.3200"/>
    <s v="10.3334 / 10.3332"/>
    <n v="0"/>
    <n v="0"/>
    <x v="9"/>
    <s v="TAGS 68000/PCS  /  ELASTIC 14213/PCS"/>
    <n v="3752528"/>
    <x v="0"/>
    <n v="1647830"/>
    <x v="0"/>
    <m/>
    <m/>
    <x v="0"/>
    <x v="0"/>
    <x v="0"/>
    <x v="0"/>
    <x v="0"/>
    <x v="0"/>
    <m/>
    <x v="0"/>
    <x v="1"/>
    <x v="0"/>
    <x v="0"/>
    <x v="0"/>
    <x v="6"/>
    <n v="6349.455160744501"/>
    <n v="2788.2064297800339"/>
    <n v="0"/>
    <d v="2024-02-14T00:00:00"/>
    <x v="0"/>
  </r>
  <r>
    <x v="732"/>
    <d v="2024-02-09T00:00:00"/>
    <x v="731"/>
    <d v="2024-02-07T00:00:00"/>
    <x v="1"/>
    <x v="0"/>
    <n v="283.5"/>
    <x v="1"/>
    <x v="0"/>
    <n v="9606.2909999999993"/>
    <n v="5.8658999999999999"/>
    <n v="0"/>
    <n v="0"/>
    <x v="9"/>
    <s v="WHITE BUTTON 243000/PCS"/>
    <n v="510924"/>
    <x v="0"/>
    <n v="168605"/>
    <x v="0"/>
    <m/>
    <m/>
    <x v="0"/>
    <x v="0"/>
    <x v="0"/>
    <x v="0"/>
    <x v="0"/>
    <x v="0"/>
    <m/>
    <x v="0"/>
    <x v="1"/>
    <x v="0"/>
    <x v="0"/>
    <x v="0"/>
    <x v="6"/>
    <n v="1802.2010582010582"/>
    <n v="594.72663139329802"/>
    <n v="0"/>
    <d v="2024-02-14T00:00:00"/>
    <x v="0"/>
  </r>
  <r>
    <x v="733"/>
    <d v="2024-02-13T00:00:00"/>
    <x v="732"/>
    <d v="2024-02-10T00:00:00"/>
    <x v="0"/>
    <x v="0"/>
    <n v="26000"/>
    <x v="1"/>
    <x v="0"/>
    <n v="3402.4189999999999"/>
    <n v="11.7"/>
    <n v="0"/>
    <n v="0"/>
    <x v="12"/>
    <s v="TEXTILE CHEMICAL ( WETMATIC WTL )"/>
    <n v="12099159"/>
    <x v="0"/>
    <n v="6049580"/>
    <x v="0"/>
    <m/>
    <m/>
    <x v="0"/>
    <x v="0"/>
    <x v="0"/>
    <x v="0"/>
    <x v="0"/>
    <x v="0"/>
    <m/>
    <x v="0"/>
    <x v="1"/>
    <x v="0"/>
    <x v="0"/>
    <x v="0"/>
    <x v="5"/>
    <n v="465.35226923076925"/>
    <n v="232.67615384615385"/>
    <n v="0"/>
    <d v="2024-03-14T00:00:00"/>
    <x v="0"/>
  </r>
  <r>
    <x v="734"/>
    <d v="2024-02-12T00:00:00"/>
    <x v="733"/>
    <d v="2024-02-12T00:00:00"/>
    <x v="0"/>
    <x v="1"/>
    <n v="24480"/>
    <x v="1"/>
    <x v="0"/>
    <n v="5402.33"/>
    <n v="1.43"/>
    <n v="24480"/>
    <n v="24480"/>
    <x v="6"/>
    <s v="100% POLYESTER TEXTURED YARN DTY 100D/48F HIM RW SD GRADE-AA"/>
    <n v="9991666"/>
    <x v="0"/>
    <n v="4096583"/>
    <x v="0"/>
    <m/>
    <m/>
    <x v="0"/>
    <x v="0"/>
    <x v="0"/>
    <x v="0"/>
    <x v="0"/>
    <x v="0"/>
    <m/>
    <x v="0"/>
    <x v="1"/>
    <x v="0"/>
    <x v="0"/>
    <x v="0"/>
    <x v="3"/>
    <n v="408.15629084967321"/>
    <n v="167.34407679738561"/>
    <n v="4096582.9999999995"/>
    <d v="2024-03-13T00:00:00"/>
    <x v="0"/>
  </r>
  <r>
    <x v="735"/>
    <d v="2024-02-16T00:00:00"/>
    <x v="734"/>
    <d v="2024-02-14T00:00:00"/>
    <x v="1"/>
    <x v="2"/>
    <n v="7555"/>
    <x v="1"/>
    <x v="0"/>
    <n v="5807.1009999999997"/>
    <n v="3.5413000000000001"/>
    <n v="22.569999999999965"/>
    <n v="7555"/>
    <x v="9"/>
    <s v="RIBBONS"/>
    <n v="7636382"/>
    <x v="0"/>
    <n v="3130917"/>
    <x v="0"/>
    <m/>
    <m/>
    <x v="0"/>
    <x v="0"/>
    <x v="0"/>
    <x v="0"/>
    <x v="0"/>
    <x v="0"/>
    <m/>
    <x v="0"/>
    <x v="1"/>
    <x v="0"/>
    <x v="0"/>
    <x v="0"/>
    <x v="6"/>
    <n v="1010.7719391131701"/>
    <n v="414.41654533421575"/>
    <n v="9353.3814281932355"/>
    <d v="2024-02-21T00:00:00"/>
    <x v="0"/>
  </r>
  <r>
    <x v="736"/>
    <d v="2024-02-17T00:00:00"/>
    <x v="735"/>
    <d v="2024-02-14T00:00:00"/>
    <x v="0"/>
    <x v="0"/>
    <n v="4000"/>
    <x v="1"/>
    <x v="0"/>
    <n v="3204.16"/>
    <s v="16.55 / 11 / 4 / 7.15 / 26.60 / 29.90 / 8.90"/>
    <n v="0"/>
    <n v="0"/>
    <x v="5"/>
    <s v="TEXTILE DYES (SYNOLON"/>
    <n v="18769481"/>
    <x v="0"/>
    <n v="8633962"/>
    <x v="0"/>
    <m/>
    <m/>
    <x v="0"/>
    <x v="0"/>
    <x v="0"/>
    <x v="2"/>
    <x v="0"/>
    <x v="0"/>
    <m/>
    <x v="0"/>
    <x v="1"/>
    <x v="0"/>
    <x v="0"/>
    <x v="0"/>
    <x v="4"/>
    <n v="4692.3702499999999"/>
    <n v="2158.4904999999999"/>
    <n v="0"/>
    <d v="2024-03-18T00:00:00"/>
    <x v="0"/>
  </r>
  <r>
    <x v="737"/>
    <d v="2024-02-17T00:00:00"/>
    <x v="736"/>
    <d v="2024-02-15T00:00:00"/>
    <x v="0"/>
    <x v="2"/>
    <n v="1699.2"/>
    <x v="1"/>
    <x v="0"/>
    <n v="5210.41"/>
    <n v="23.6312"/>
    <n v="1080.79"/>
    <n v="1699.2"/>
    <x v="2"/>
    <s v="58%ORGANIC COTTON 39%RECYCLE POLY 3%SPDX EFFEN WEEFSEL 58% BIO KAT 39% REC.PES3% STR 135X75 45X45+40D +/142 FABRIC 145CM DETAILS AS PER INVOICE AND PACKING LIST"/>
    <n v="12301478"/>
    <x v="0"/>
    <n v="5043606"/>
    <x v="0"/>
    <m/>
    <m/>
    <x v="0"/>
    <x v="0"/>
    <x v="0"/>
    <x v="0"/>
    <x v="0"/>
    <x v="0"/>
    <m/>
    <x v="0"/>
    <x v="1"/>
    <x v="0"/>
    <x v="0"/>
    <x v="0"/>
    <x v="2"/>
    <n v="7239.5703860640297"/>
    <n v="2968.2238700564972"/>
    <n v="3208026.6765183615"/>
    <d v="2024-03-18T00:00:00"/>
    <x v="0"/>
  </r>
  <r>
    <x v="738"/>
    <d v="2024-02-16T00:00:00"/>
    <x v="737"/>
    <d v="2024-02-16T00:00:00"/>
    <x v="0"/>
    <x v="1"/>
    <n v="24480"/>
    <x v="1"/>
    <x v="0"/>
    <n v="5402.33"/>
    <n v="1.43"/>
    <n v="24480"/>
    <n v="24480"/>
    <x v="6"/>
    <s v="100% POLYESTER TEXTURED YARN DTY 100D/48F HIM RW SD GRADE-AA"/>
    <n v="9991666"/>
    <x v="0"/>
    <n v="4096583"/>
    <x v="0"/>
    <m/>
    <m/>
    <x v="0"/>
    <x v="0"/>
    <x v="0"/>
    <x v="0"/>
    <x v="0"/>
    <x v="0"/>
    <m/>
    <x v="0"/>
    <x v="1"/>
    <x v="0"/>
    <x v="0"/>
    <x v="0"/>
    <x v="3"/>
    <n v="408.15629084967321"/>
    <n v="167.34407679738561"/>
    <n v="4096582.9999999995"/>
    <d v="2024-03-17T00:00:00"/>
    <x v="0"/>
  </r>
  <r>
    <x v="739"/>
    <d v="2024-02-22T00:00:00"/>
    <x v="738"/>
    <d v="2024-02-21T00:00:00"/>
    <x v="0"/>
    <x v="0"/>
    <n v="24634"/>
    <x v="1"/>
    <x v="0"/>
    <n v="5201.009"/>
    <n v="2.0337000000000001"/>
    <n v="0"/>
    <n v="0"/>
    <x v="0"/>
    <s v="Raw Cotton"/>
    <n v="14299218"/>
    <x v="0"/>
    <n v="4289765"/>
    <x v="0"/>
    <m/>
    <m/>
    <x v="0"/>
    <x v="0"/>
    <x v="0"/>
    <x v="2"/>
    <x v="0"/>
    <x v="0"/>
    <m/>
    <x v="0"/>
    <x v="1"/>
    <x v="0"/>
    <x v="0"/>
    <x v="0"/>
    <x v="0"/>
    <n v="580.46675326784123"/>
    <n v="174.14000974263215"/>
    <n v="0"/>
    <d v="2024-03-23T00:00:00"/>
    <x v="0"/>
  </r>
  <r>
    <x v="740"/>
    <d v="2024-02-25T00:00:00"/>
    <x v="739"/>
    <d v="2024-02-23T00:00:00"/>
    <x v="0"/>
    <x v="0"/>
    <n v="300822.59999999998"/>
    <x v="1"/>
    <x v="0"/>
    <n v="5503.201"/>
    <n v="0.93"/>
    <n v="0"/>
    <n v="0"/>
    <x v="1"/>
    <s v="Polyester Staple Fiber"/>
    <n v="79894453"/>
    <x v="0"/>
    <n v="32756726"/>
    <x v="0"/>
    <m/>
    <m/>
    <x v="0"/>
    <x v="0"/>
    <x v="0"/>
    <x v="2"/>
    <x v="0"/>
    <x v="0"/>
    <m/>
    <x v="0"/>
    <x v="1"/>
    <x v="0"/>
    <x v="0"/>
    <x v="0"/>
    <x v="1"/>
    <n v="265.58660486279956"/>
    <n v="108.89050889128677"/>
    <n v="0"/>
    <d v="2024-03-26T00:00:00"/>
    <x v="0"/>
  </r>
  <r>
    <x v="741"/>
    <d v="2024-02-27T00:00:00"/>
    <x v="740"/>
    <d v="2024-02-27T00:00:00"/>
    <x v="0"/>
    <x v="2"/>
    <n v="21000"/>
    <x v="1"/>
    <x v="0"/>
    <n v="3912.31"/>
    <n v="2.5"/>
    <n v="3.68"/>
    <n v="21000"/>
    <x v="12"/>
    <s v="Chemical (SODIUM CARBOXYMETHYL CELLULOSE FINNFIX 700)"/>
    <n v="14984759"/>
    <x v="0"/>
    <n v="6143751"/>
    <x v="0"/>
    <m/>
    <m/>
    <x v="0"/>
    <x v="0"/>
    <x v="0"/>
    <x v="0"/>
    <x v="0"/>
    <x v="0"/>
    <m/>
    <x v="0"/>
    <x v="1"/>
    <x v="0"/>
    <x v="0"/>
    <x v="0"/>
    <x v="5"/>
    <n v="713.55995238095238"/>
    <n v="292.55957142857142"/>
    <n v="1076.6192228571429"/>
    <d v="2024-03-28T00:00:00"/>
    <x v="0"/>
  </r>
  <r>
    <x v="742"/>
    <d v="2024-03-05T00:00:00"/>
    <x v="741"/>
    <d v="2024-02-28T00:00:00"/>
    <x v="0"/>
    <x v="0"/>
    <n v="102000"/>
    <x v="1"/>
    <x v="0"/>
    <n v="2847"/>
    <n v="0.46"/>
    <n v="0"/>
    <n v="0"/>
    <x v="12"/>
    <s v="HYDROGEN PEROXIDE "/>
    <n v="13387307"/>
    <x v="0"/>
    <n v="5488796"/>
    <x v="0"/>
    <m/>
    <m/>
    <x v="0"/>
    <x v="0"/>
    <x v="0"/>
    <x v="0"/>
    <x v="0"/>
    <x v="0"/>
    <m/>
    <x v="0"/>
    <x v="1"/>
    <x v="0"/>
    <x v="0"/>
    <x v="0"/>
    <x v="5"/>
    <n v="131.24810784313726"/>
    <n v="53.811725490196082"/>
    <n v="0"/>
    <d v="2024-04-04T00:00:00"/>
    <x v="0"/>
  </r>
  <r>
    <x v="743"/>
    <d v="2024-03-07T00:00:00"/>
    <x v="742"/>
    <d v="2024-03-07T00:00:00"/>
    <x v="1"/>
    <x v="0"/>
    <n v="24908"/>
    <x v="1"/>
    <x v="0"/>
    <n v="4810.29"/>
    <n v="0.9"/>
    <n v="0"/>
    <n v="0"/>
    <x v="9"/>
    <s v="2/S COATED ART BOARD "/>
    <n v="6397263"/>
    <x v="0"/>
    <n v="3198632"/>
    <x v="0"/>
    <m/>
    <m/>
    <x v="0"/>
    <x v="0"/>
    <x v="0"/>
    <x v="2"/>
    <x v="0"/>
    <x v="0"/>
    <m/>
    <x v="0"/>
    <x v="1"/>
    <x v="0"/>
    <x v="0"/>
    <x v="0"/>
    <x v="6"/>
    <n v="256.83567528504898"/>
    <n v="128.41785771639633"/>
    <n v="0"/>
    <d v="2024-03-12T00:00:00"/>
    <x v="0"/>
  </r>
  <r>
    <x v="744"/>
    <d v="2024-03-08T00:00:00"/>
    <x v="743"/>
    <d v="2024-03-07T00:00:00"/>
    <x v="0"/>
    <x v="1"/>
    <n v="1920"/>
    <x v="1"/>
    <x v="0"/>
    <n v="5407.52"/>
    <n v="5.9276999999999997"/>
    <n v="1920"/>
    <n v="1920"/>
    <x v="2"/>
    <s v="BLENDED FABRIC 78%POLYESTER,17%VISCOSE, 5%ELASTANE, 57” CUTTABLE WIDTH,WEIGHT:200 GSM(+/-5%)"/>
    <n v="3247882"/>
    <x v="0"/>
    <n v="1494026"/>
    <x v="0"/>
    <m/>
    <m/>
    <x v="0"/>
    <x v="0"/>
    <x v="0"/>
    <x v="0"/>
    <x v="0"/>
    <x v="0"/>
    <m/>
    <x v="0"/>
    <x v="1"/>
    <x v="0"/>
    <x v="0"/>
    <x v="0"/>
    <x v="2"/>
    <n v="1691.6052083333334"/>
    <n v="778.1385416666667"/>
    <n v="1494026"/>
    <d v="2024-04-07T00:00:00"/>
    <x v="0"/>
  </r>
  <r>
    <x v="745"/>
    <d v="2024-03-08T00:00:00"/>
    <x v="744"/>
    <d v="2024-03-07T00:00:00"/>
    <x v="0"/>
    <x v="1"/>
    <n v="1000"/>
    <x v="1"/>
    <x v="0"/>
    <n v="5407.52"/>
    <n v="7.6779999999999999"/>
    <n v="1000"/>
    <n v="1000"/>
    <x v="2"/>
    <s v="BLENDED FABRIC 78%POLYESTER,17%VISCOSE, 5%ELASTANE, 57” CUTTABLE WIDTH,WEIGHT:200 GSM(+/-5%) "/>
    <n v="2191094"/>
    <x v="0"/>
    <n v="1007903"/>
    <x v="0"/>
    <m/>
    <m/>
    <x v="0"/>
    <x v="0"/>
    <x v="0"/>
    <x v="0"/>
    <x v="0"/>
    <x v="0"/>
    <m/>
    <x v="0"/>
    <x v="1"/>
    <x v="0"/>
    <x v="0"/>
    <x v="0"/>
    <x v="2"/>
    <n v="2191.0940000000001"/>
    <n v="1007.903"/>
    <n v="1007903"/>
    <d v="2024-04-07T00:00:00"/>
    <x v="0"/>
  </r>
  <r>
    <x v="746"/>
    <d v="2024-03-11T00:00:00"/>
    <x v="745"/>
    <d v="2024-03-09T00:00:00"/>
    <x v="0"/>
    <x v="0"/>
    <n v="302023.8"/>
    <x v="1"/>
    <x v="0"/>
    <n v="5503.201"/>
    <n v="0.93"/>
    <n v="0"/>
    <n v="0"/>
    <x v="1"/>
    <s v="Polyester Staple Fiber"/>
    <n v="80156170"/>
    <x v="0"/>
    <n v="32864030"/>
    <x v="0"/>
    <m/>
    <m/>
    <x v="0"/>
    <x v="0"/>
    <x v="0"/>
    <x v="0"/>
    <x v="0"/>
    <x v="0"/>
    <m/>
    <x v="0"/>
    <x v="1"/>
    <x v="0"/>
    <x v="0"/>
    <x v="0"/>
    <x v="1"/>
    <n v="265.3968660747928"/>
    <n v="108.81271608396425"/>
    <n v="0"/>
    <d v="2024-04-10T00:00:00"/>
    <x v="0"/>
  </r>
  <r>
    <x v="747"/>
    <d v="2024-03-11T00:00:00"/>
    <x v="746"/>
    <d v="2024-03-09T00:00:00"/>
    <x v="0"/>
    <x v="1"/>
    <n v="24480"/>
    <x v="1"/>
    <x v="0"/>
    <n v="5402.33"/>
    <n v="1.43"/>
    <n v="24480"/>
    <n v="24480"/>
    <x v="6"/>
    <s v="100% POLYESTER TEXTURED YARN DTY 100D/48F HIM RW SD GRADE-AA"/>
    <n v="9989881"/>
    <x v="0"/>
    <n v="4095852"/>
    <x v="0"/>
    <m/>
    <m/>
    <x v="0"/>
    <x v="0"/>
    <x v="0"/>
    <x v="0"/>
    <x v="0"/>
    <x v="0"/>
    <m/>
    <x v="0"/>
    <x v="1"/>
    <x v="0"/>
    <x v="0"/>
    <x v="0"/>
    <x v="3"/>
    <n v="408.08337418300653"/>
    <n v="167.31421568627451"/>
    <n v="4095852"/>
    <d v="2024-04-10T00:00:00"/>
    <x v="0"/>
  </r>
  <r>
    <x v="748"/>
    <d v="2024-03-13T00:00:00"/>
    <x v="747"/>
    <d v="2024-03-11T00:00:00"/>
    <x v="0"/>
    <x v="0"/>
    <n v="700"/>
    <x v="1"/>
    <x v="0"/>
    <n v="3204.16"/>
    <n v="13.367100000000001"/>
    <n v="0"/>
    <n v="0"/>
    <x v="5"/>
    <s v="REACTIVE DYE AQAUA PREMIUM BLACK LP ( 78070163)"/>
    <n v="2928515"/>
    <x v="0"/>
    <n v="1347117"/>
    <x v="0"/>
    <m/>
    <m/>
    <x v="0"/>
    <x v="0"/>
    <x v="0"/>
    <x v="2"/>
    <x v="0"/>
    <x v="0"/>
    <m/>
    <x v="0"/>
    <x v="1"/>
    <x v="0"/>
    <x v="0"/>
    <x v="0"/>
    <x v="4"/>
    <n v="4183.5928571428567"/>
    <n v="1924.4528571428571"/>
    <n v="0"/>
    <d v="2024-04-12T00:00:00"/>
    <x v="0"/>
  </r>
  <r>
    <x v="749"/>
    <d v="2024-03-15T00:00:00"/>
    <x v="748"/>
    <d v="2024-03-12T00:00:00"/>
    <x v="0"/>
    <x v="2"/>
    <n v="18720"/>
    <x v="1"/>
    <x v="0"/>
    <n v="3906.9029999999998"/>
    <n v="1.98"/>
    <n v="6476.2000000000007"/>
    <n v="18720"/>
    <x v="12"/>
    <s v="CHEMICAL FLORPRINT TA160 AF PIGMENT THICKENER"/>
    <n v="10568068"/>
    <x v="0"/>
    <n v="3487462"/>
    <x v="0"/>
    <m/>
    <m/>
    <x v="0"/>
    <x v="0"/>
    <x v="0"/>
    <x v="0"/>
    <x v="0"/>
    <x v="0"/>
    <m/>
    <x v="0"/>
    <x v="1"/>
    <x v="0"/>
    <x v="0"/>
    <x v="0"/>
    <x v="5"/>
    <n v="564.53354700854698"/>
    <n v="186.29604700854702"/>
    <n v="1206490.4596367523"/>
    <d v="2024-04-14T00:00:00"/>
    <x v="0"/>
  </r>
  <r>
    <x v="750"/>
    <d v="2024-03-18T00:00:00"/>
    <x v="749"/>
    <d v="2024-03-13T00:00:00"/>
    <x v="0"/>
    <x v="0"/>
    <n v="3500"/>
    <x v="1"/>
    <x v="0"/>
    <n v="3204.16"/>
    <s v="40.6467 / 41.4022 / 51.7276 / 43.4169"/>
    <n v="0"/>
    <n v="0"/>
    <x v="5"/>
    <s v="DYES (FARBANTHREN)"/>
    <n v="42967276"/>
    <x v="0"/>
    <n v="19764945"/>
    <x v="0"/>
    <m/>
    <m/>
    <x v="0"/>
    <x v="0"/>
    <x v="0"/>
    <x v="2"/>
    <x v="0"/>
    <x v="0"/>
    <m/>
    <x v="0"/>
    <x v="1"/>
    <x v="0"/>
    <x v="0"/>
    <x v="0"/>
    <x v="4"/>
    <n v="12276.364571428572"/>
    <n v="5647.1271428571426"/>
    <n v="0"/>
    <d v="2024-04-17T00:00:00"/>
    <x v="0"/>
  </r>
  <r>
    <x v="751"/>
    <d v="2024-03-15T00:00:00"/>
    <x v="750"/>
    <d v="2024-03-13T00:00:00"/>
    <x v="0"/>
    <x v="0"/>
    <n v="2520"/>
    <x v="1"/>
    <x v="0"/>
    <n v="3204.16"/>
    <s v="63.8051 / 54.8483 / 6.9944 / 9.8123"/>
    <n v="0"/>
    <n v="0"/>
    <x v="5"/>
    <s v="DYES (BEZATHREN /  BEZAKTIV / BEMACRON)"/>
    <n v="12573131"/>
    <x v="0"/>
    <n v="5783641"/>
    <x v="0"/>
    <m/>
    <m/>
    <x v="0"/>
    <x v="0"/>
    <x v="0"/>
    <x v="2"/>
    <x v="0"/>
    <x v="0"/>
    <m/>
    <x v="0"/>
    <x v="1"/>
    <x v="0"/>
    <x v="0"/>
    <x v="0"/>
    <x v="4"/>
    <n v="4989.337698412698"/>
    <n v="2295.0956349206349"/>
    <n v="0"/>
    <d v="2024-04-14T00:00:00"/>
    <x v="0"/>
  </r>
  <r>
    <x v="752"/>
    <d v="2024-03-16T00:00:00"/>
    <x v="751"/>
    <d v="2024-03-15T00:00:00"/>
    <x v="0"/>
    <x v="1"/>
    <n v="23100"/>
    <x v="1"/>
    <x v="0"/>
    <n v="5402.33"/>
    <n v="1.35"/>
    <n v="23100"/>
    <n v="23100"/>
    <x v="6"/>
    <s v="100% POLYESTER TEXTURED YARN DTY 150D/48F SD RW HIM AA GRADE"/>
    <n v="8883450"/>
    <x v="0"/>
    <n v="3642215"/>
    <x v="0"/>
    <m/>
    <m/>
    <x v="0"/>
    <x v="0"/>
    <x v="0"/>
    <x v="0"/>
    <x v="0"/>
    <x v="0"/>
    <m/>
    <x v="0"/>
    <x v="1"/>
    <x v="0"/>
    <x v="0"/>
    <x v="0"/>
    <x v="3"/>
    <n v="384.56493506493507"/>
    <n v="157.67164502164502"/>
    <n v="3642215"/>
    <d v="2024-04-15T00:00:00"/>
    <x v="0"/>
  </r>
  <r>
    <x v="753"/>
    <d v="2024-03-15T00:00:00"/>
    <x v="752"/>
    <d v="2024-03-15T00:00:00"/>
    <x v="0"/>
    <x v="1"/>
    <n v="24480"/>
    <x v="1"/>
    <x v="0"/>
    <n v="5402.33"/>
    <n v="1.43"/>
    <n v="24480"/>
    <n v="24480"/>
    <x v="6"/>
    <s v="100% POLYESTER TEXTURED YARN DTY 100D/48F HIM RW SD GRADE-AA"/>
    <n v="9972025"/>
    <x v="0"/>
    <n v="4088531"/>
    <x v="0"/>
    <m/>
    <m/>
    <x v="0"/>
    <x v="0"/>
    <x v="0"/>
    <x v="0"/>
    <x v="0"/>
    <x v="0"/>
    <m/>
    <x v="0"/>
    <x v="1"/>
    <x v="0"/>
    <x v="0"/>
    <x v="0"/>
    <x v="3"/>
    <n v="407.35396241830063"/>
    <n v="167.01515522875818"/>
    <n v="4088531"/>
    <d v="2024-04-14T00:00:00"/>
    <x v="0"/>
  </r>
  <r>
    <x v="754"/>
    <d v="2024-03-21T00:00:00"/>
    <x v="753"/>
    <d v="2024-03-15T00:00:00"/>
    <x v="0"/>
    <x v="1"/>
    <n v="187.56"/>
    <x v="1"/>
    <x v="0"/>
    <n v="5407.52"/>
    <n v="13.0358"/>
    <n v="187.56"/>
    <n v="187.56"/>
    <x v="2"/>
    <s v="NAVY BARBARA LIGHT STRETCH KNIT 73% VISCOSE 22% POLIAMIDE 5% ELASTANE"/>
    <n v="696488"/>
    <x v="0"/>
    <n v="320385"/>
    <x v="0"/>
    <m/>
    <m/>
    <x v="0"/>
    <x v="0"/>
    <x v="0"/>
    <x v="0"/>
    <x v="0"/>
    <x v="0"/>
    <m/>
    <x v="0"/>
    <x v="1"/>
    <x v="0"/>
    <x v="0"/>
    <x v="0"/>
    <x v="2"/>
    <n v="3713.4143740669651"/>
    <n v="1708.1733845169545"/>
    <n v="320385"/>
    <d v="2024-04-20T00:00:00"/>
    <x v="0"/>
  </r>
  <r>
    <x v="755"/>
    <d v="2024-03-20T00:00:00"/>
    <x v="754"/>
    <d v="2024-03-18T00:00:00"/>
    <x v="0"/>
    <x v="1"/>
    <n v="24480"/>
    <x v="1"/>
    <x v="0"/>
    <n v="5402.33"/>
    <n v="1.43"/>
    <n v="24480"/>
    <n v="24480"/>
    <x v="6"/>
    <s v="100% POLYESTER TEXTURED YARN DTY 100D/48F HIM RW SD GRADE-AA"/>
    <n v="9979167"/>
    <x v="0"/>
    <n v="4091458"/>
    <x v="0"/>
    <m/>
    <m/>
    <x v="0"/>
    <x v="0"/>
    <x v="0"/>
    <x v="0"/>
    <x v="0"/>
    <x v="0"/>
    <m/>
    <x v="0"/>
    <x v="1"/>
    <x v="0"/>
    <x v="0"/>
    <x v="0"/>
    <x v="3"/>
    <n v="407.64571078431374"/>
    <n v="167.13472222222222"/>
    <n v="4091458"/>
    <d v="2024-04-19T00:00:00"/>
    <x v="0"/>
  </r>
  <r>
    <x v="756"/>
    <d v="2024-03-21T00:00:00"/>
    <x v="755"/>
    <d v="2024-03-18T00:00:00"/>
    <x v="0"/>
    <x v="2"/>
    <n v="16000"/>
    <x v="1"/>
    <x v="0"/>
    <n v="3402.4189999999999"/>
    <n v="11.7"/>
    <n v="2199.1099999999992"/>
    <n v="16000"/>
    <x v="12"/>
    <s v="CHEMICAL (WETMATIC WTL)"/>
    <n v="7451365"/>
    <x v="0"/>
    <n v="3725683"/>
    <x v="0"/>
    <m/>
    <m/>
    <x v="0"/>
    <x v="0"/>
    <x v="0"/>
    <x v="0"/>
    <x v="0"/>
    <x v="0"/>
    <m/>
    <x v="0"/>
    <x v="1"/>
    <x v="0"/>
    <x v="0"/>
    <x v="0"/>
    <x v="5"/>
    <n v="465.71031249999999"/>
    <n v="232.8551875"/>
    <n v="512074.17138312483"/>
    <d v="2024-04-20T00:00:00"/>
    <x v="0"/>
  </r>
  <r>
    <x v="757"/>
    <d v="2024-03-21T00:00:00"/>
    <x v="756"/>
    <d v="2024-03-18T00:00:00"/>
    <x v="1"/>
    <x v="0"/>
    <n v="24908"/>
    <x v="1"/>
    <x v="0"/>
    <n v="4810.29"/>
    <n v="0.78"/>
    <n v="0"/>
    <n v="0"/>
    <x v="9"/>
    <s v="2/S COATED ART BOARD "/>
    <n v="5538349"/>
    <x v="0"/>
    <n v="2769175"/>
    <x v="0"/>
    <m/>
    <m/>
    <x v="0"/>
    <x v="0"/>
    <x v="0"/>
    <x v="2"/>
    <x v="0"/>
    <x v="0"/>
    <m/>
    <x v="0"/>
    <x v="1"/>
    <x v="0"/>
    <x v="0"/>
    <x v="0"/>
    <x v="6"/>
    <n v="222.35221615545206"/>
    <n v="111.17612815159788"/>
    <n v="0"/>
    <d v="2024-03-26T00:00:00"/>
    <x v="0"/>
  </r>
  <r>
    <x v="758"/>
    <d v="2024-03-21T00:00:00"/>
    <x v="757"/>
    <d v="2024-03-18T00:00:00"/>
    <x v="1"/>
    <x v="0"/>
    <n v="24908"/>
    <x v="1"/>
    <x v="0"/>
    <n v="4810.29"/>
    <n v="0.78"/>
    <n v="0"/>
    <n v="0"/>
    <x v="9"/>
    <s v="2/S COATED ART BOARD "/>
    <n v="5538349"/>
    <x v="0"/>
    <n v="2769175"/>
    <x v="0"/>
    <m/>
    <m/>
    <x v="0"/>
    <x v="0"/>
    <x v="0"/>
    <x v="0"/>
    <x v="0"/>
    <x v="0"/>
    <m/>
    <x v="0"/>
    <x v="1"/>
    <x v="0"/>
    <x v="0"/>
    <x v="0"/>
    <x v="6"/>
    <n v="222.35221615545206"/>
    <n v="111.17612815159788"/>
    <n v="0"/>
    <d v="2024-03-26T00:00:00"/>
    <x v="0"/>
  </r>
  <r>
    <x v="759"/>
    <d v="2024-03-21T00:00:00"/>
    <x v="758"/>
    <d v="2024-03-18T00:00:00"/>
    <x v="1"/>
    <x v="0"/>
    <n v="24908"/>
    <x v="1"/>
    <x v="0"/>
    <n v="4810.29"/>
    <n v="0.78"/>
    <n v="0"/>
    <n v="0"/>
    <x v="9"/>
    <s v="2/S COATED ART BOARD "/>
    <n v="5538349"/>
    <x v="0"/>
    <n v="2769175"/>
    <x v="0"/>
    <m/>
    <m/>
    <x v="0"/>
    <x v="0"/>
    <x v="0"/>
    <x v="0"/>
    <x v="0"/>
    <x v="0"/>
    <m/>
    <x v="0"/>
    <x v="1"/>
    <x v="0"/>
    <x v="0"/>
    <x v="0"/>
    <x v="6"/>
    <n v="222.35221615545206"/>
    <n v="111.17612815159788"/>
    <n v="0"/>
    <d v="2024-03-26T00:00:00"/>
    <x v="0"/>
  </r>
  <r>
    <x v="760"/>
    <d v="2024-03-25T00:00:00"/>
    <x v="759"/>
    <d v="2024-03-19T00:00:00"/>
    <x v="0"/>
    <x v="0"/>
    <n v="4100"/>
    <x v="1"/>
    <x v="0"/>
    <n v="3204.16"/>
    <s v="16.40 / 10.50 / 8.20 / 16.0 / 5.50"/>
    <n v="0"/>
    <n v="0"/>
    <x v="5"/>
    <s v="DYES (INDANTHREN / IMPERON / REMAZOL)"/>
    <n v="11993145"/>
    <x v="0"/>
    <n v="5516847"/>
    <x v="0"/>
    <m/>
    <m/>
    <x v="0"/>
    <x v="0"/>
    <x v="0"/>
    <x v="2"/>
    <x v="0"/>
    <x v="0"/>
    <m/>
    <x v="0"/>
    <x v="1"/>
    <x v="0"/>
    <x v="0"/>
    <x v="0"/>
    <x v="4"/>
    <n v="2925.1573170731708"/>
    <n v="1345.5724390243902"/>
    <n v="0"/>
    <d v="2024-04-24T00:00:00"/>
    <x v="0"/>
  </r>
  <r>
    <x v="761"/>
    <d v="2024-03-21T00:00:00"/>
    <x v="760"/>
    <d v="2024-03-21T00:00:00"/>
    <x v="0"/>
    <x v="2"/>
    <n v="17440"/>
    <x v="1"/>
    <x v="0"/>
    <s v="3906.9090 / 3402.4200"/>
    <s v="2.1 / 4.85"/>
    <n v="17.740000000000009"/>
    <n v="17440"/>
    <x v="12"/>
    <s v="CHEMICALS (NEOPAT BINDER / TILASOL)"/>
    <n v="11554667"/>
    <x v="0"/>
    <n v="4836835"/>
    <x v="0"/>
    <m/>
    <m/>
    <x v="0"/>
    <x v="0"/>
    <x v="0"/>
    <x v="0"/>
    <x v="0"/>
    <x v="0"/>
    <m/>
    <x v="0"/>
    <x v="1"/>
    <x v="0"/>
    <x v="0"/>
    <x v="0"/>
    <x v="5"/>
    <n v="662.53824541284405"/>
    <n v="277.34145642201833"/>
    <n v="4920.0374369266074"/>
    <d v="2024-04-20T00:00:00"/>
    <x v="0"/>
  </r>
  <r>
    <x v="762"/>
    <d v="2024-03-28T00:00:00"/>
    <x v="761"/>
    <d v="2024-03-27T00:00:00"/>
    <x v="0"/>
    <x v="1"/>
    <n v="23100"/>
    <x v="1"/>
    <x v="0"/>
    <n v="5402.33"/>
    <n v="1.35"/>
    <n v="23100"/>
    <n v="23100"/>
    <x v="6"/>
    <s v="100% POLYESTER YARN DTY 150D/48F SD RW HIM AA GRADE"/>
    <n v="8862773"/>
    <x v="0"/>
    <n v="3633737"/>
    <x v="0"/>
    <m/>
    <m/>
    <x v="0"/>
    <x v="0"/>
    <x v="0"/>
    <x v="0"/>
    <x v="0"/>
    <x v="0"/>
    <m/>
    <x v="0"/>
    <x v="1"/>
    <x v="0"/>
    <x v="0"/>
    <x v="0"/>
    <x v="3"/>
    <n v="383.66982683982684"/>
    <n v="157.30463203463202"/>
    <n v="3633736.9999999995"/>
    <d v="2024-04-27T00:00:00"/>
    <x v="0"/>
  </r>
  <r>
    <x v="763"/>
    <d v="2024-04-02T00:00:00"/>
    <x v="762"/>
    <d v="2024-03-30T00:00:00"/>
    <x v="0"/>
    <x v="0"/>
    <n v="5400"/>
    <x v="1"/>
    <x v="0"/>
    <n v="3809.9189999999999"/>
    <n v="1.637"/>
    <n v="0"/>
    <n v="0"/>
    <x v="12"/>
    <s v="CHEMICAL (PERSOFT PE 25)"/>
    <n v="2511368"/>
    <x v="0"/>
    <n v="1155229"/>
    <x v="0"/>
    <m/>
    <m/>
    <x v="0"/>
    <x v="0"/>
    <x v="0"/>
    <x v="2"/>
    <x v="0"/>
    <x v="0"/>
    <m/>
    <x v="0"/>
    <x v="1"/>
    <x v="0"/>
    <x v="0"/>
    <x v="0"/>
    <x v="5"/>
    <n v="465.06814814814817"/>
    <n v="213.9312962962963"/>
    <n v="0"/>
    <d v="2024-05-02T00:00:00"/>
    <x v="0"/>
  </r>
  <r>
    <x v="764"/>
    <d v="2024-04-01T00:00:00"/>
    <x v="763"/>
    <d v="2024-04-01T00:00:00"/>
    <x v="0"/>
    <x v="1"/>
    <n v="23100"/>
    <x v="1"/>
    <x v="0"/>
    <n v="5402.33"/>
    <n v="1.35"/>
    <n v="23100"/>
    <n v="23100"/>
    <x v="6"/>
    <s v="POLYESTER DRAWN TEXURED YARN (DTY),2) DTY 150D/48F, SD RW HIM AA GRADE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01T00:00:00"/>
    <x v="0"/>
  </r>
  <r>
    <x v="765"/>
    <d v="2024-04-01T00:00:00"/>
    <x v="764"/>
    <d v="2024-03-27T00:00:00"/>
    <x v="0"/>
    <x v="0"/>
    <n v="197206"/>
    <x v="1"/>
    <x v="0"/>
    <n v="5201.009"/>
    <n v="1.8683000000000001"/>
    <n v="0"/>
    <n v="0"/>
    <x v="0"/>
    <s v="Raw Cotton"/>
    <n v="104710588"/>
    <x v="0"/>
    <n v="31413177"/>
    <x v="0"/>
    <m/>
    <m/>
    <x v="0"/>
    <x v="0"/>
    <x v="0"/>
    <x v="2"/>
    <x v="0"/>
    <x v="0"/>
    <m/>
    <x v="0"/>
    <x v="1"/>
    <x v="0"/>
    <x v="0"/>
    <x v="0"/>
    <x v="0"/>
    <n v="530.97059927182738"/>
    <n v="159.29118282405202"/>
    <n v="0"/>
    <d v="2024-05-01T00:00:00"/>
    <x v="0"/>
  </r>
  <r>
    <x v="766"/>
    <d v="2024-04-03T00:00:00"/>
    <x v="765"/>
    <d v="2024-04-01T00:00:00"/>
    <x v="0"/>
    <x v="1"/>
    <n v="23100"/>
    <x v="1"/>
    <x v="0"/>
    <n v="5402.33"/>
    <n v="1.35"/>
    <n v="23100"/>
    <n v="23100"/>
    <x v="6"/>
    <s v="POLYESTER DRAWN TEXURED YARN (DTY 150D/48F, SD RW HIM AA GRADE)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03T00:00:00"/>
    <x v="0"/>
  </r>
  <r>
    <x v="767"/>
    <d v="2024-04-02T00:00:00"/>
    <x v="766"/>
    <d v="2024-04-01T00:00:00"/>
    <x v="0"/>
    <x v="1"/>
    <n v="23100"/>
    <x v="1"/>
    <x v="0"/>
    <n v="5402.33"/>
    <n v="1.35"/>
    <n v="23100"/>
    <n v="23100"/>
    <x v="6"/>
    <s v="POLYESTER DRAWN TEXURED YARN (DTY 150D/48F, SD RW HIM AA GRADE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02T00:00:00"/>
    <x v="0"/>
  </r>
  <r>
    <x v="768"/>
    <d v="2024-04-04T00:00:00"/>
    <x v="767"/>
    <d v="2024-04-03T00:00:00"/>
    <x v="0"/>
    <x v="0"/>
    <n v="1150"/>
    <x v="1"/>
    <x v="0"/>
    <n v="3204.16"/>
    <s v="17.2724 / 5.2524  / 5.2019"/>
    <n v="0"/>
    <n v="0"/>
    <x v="5"/>
    <s v="DYES (SYNOZOL)"/>
    <n v="3416279"/>
    <x v="0"/>
    <n v="1571488"/>
    <x v="0"/>
    <m/>
    <m/>
    <x v="0"/>
    <x v="0"/>
    <x v="0"/>
    <x v="2"/>
    <x v="0"/>
    <x v="0"/>
    <m/>
    <x v="0"/>
    <x v="1"/>
    <x v="0"/>
    <x v="0"/>
    <x v="0"/>
    <x v="4"/>
    <n v="2970.677391304348"/>
    <n v="1366.5113043478261"/>
    <n v="0"/>
    <d v="2024-05-04T00:00:00"/>
    <x v="0"/>
  </r>
  <r>
    <x v="769"/>
    <d v="2024-04-07T00:00:00"/>
    <x v="768"/>
    <d v="2024-04-05T00:00:00"/>
    <x v="0"/>
    <x v="0"/>
    <n v="125550"/>
    <x v="1"/>
    <x v="0"/>
    <n v="5201.009"/>
    <n v="1.8683000000000001"/>
    <n v="0"/>
    <n v="0"/>
    <x v="0"/>
    <s v="Raw Cotton"/>
    <n v="66603539"/>
    <x v="0"/>
    <n v="19981062"/>
    <x v="0"/>
    <m/>
    <m/>
    <x v="0"/>
    <x v="0"/>
    <x v="0"/>
    <x v="2"/>
    <x v="0"/>
    <x v="0"/>
    <m/>
    <x v="0"/>
    <x v="1"/>
    <x v="0"/>
    <x v="0"/>
    <x v="0"/>
    <x v="0"/>
    <n v="530.49413779370764"/>
    <n v="159.14824372759855"/>
    <n v="0"/>
    <d v="2024-05-07T00:00:00"/>
    <x v="0"/>
  </r>
  <r>
    <x v="770"/>
    <d v="2024-04-16T00:00:00"/>
    <x v="769"/>
    <d v="2024-04-08T00:00:00"/>
    <x v="0"/>
    <x v="1"/>
    <n v="24480"/>
    <x v="1"/>
    <x v="0"/>
    <n v="5402.33"/>
    <n v="1.43"/>
    <n v="24480"/>
    <n v="24480"/>
    <x v="6"/>
    <s v="100% POLYESTER TEXTURED YARN"/>
    <n v="9938101"/>
    <x v="0"/>
    <n v="4074621"/>
    <x v="0"/>
    <m/>
    <m/>
    <x v="0"/>
    <x v="0"/>
    <x v="0"/>
    <x v="0"/>
    <x v="0"/>
    <x v="0"/>
    <m/>
    <x v="0"/>
    <x v="1"/>
    <x v="0"/>
    <x v="0"/>
    <x v="0"/>
    <x v="3"/>
    <n v="405.96817810457514"/>
    <n v="166.4469362745098"/>
    <n v="4074621"/>
    <d v="2024-05-16T00:00:00"/>
    <x v="0"/>
  </r>
  <r>
    <x v="771"/>
    <d v="2024-04-15T00:00:00"/>
    <x v="770"/>
    <d v="2024-04-15T00:00:00"/>
    <x v="1"/>
    <x v="1"/>
    <n v="384.88"/>
    <x v="1"/>
    <x v="0"/>
    <n v="5407.52"/>
    <n v="23.847899999999999"/>
    <n v="384.88"/>
    <n v="384.88"/>
    <x v="9"/>
    <s v="CIRCULAR KNITCUFFING 9013.50 METRES"/>
    <n v="3298141"/>
    <x v="0"/>
    <n v="1517145"/>
    <x v="0"/>
    <m/>
    <m/>
    <x v="0"/>
    <x v="0"/>
    <x v="0"/>
    <x v="0"/>
    <x v="0"/>
    <x v="0"/>
    <m/>
    <x v="0"/>
    <x v="1"/>
    <x v="0"/>
    <x v="0"/>
    <x v="0"/>
    <x v="6"/>
    <n v="8569.2709415921854"/>
    <n v="3941.8649968821451"/>
    <n v="1517145"/>
    <d v="2024-04-20T00:00:00"/>
    <x v="0"/>
  </r>
  <r>
    <x v="772"/>
    <d v="2024-04-25T00:00:00"/>
    <x v="771"/>
    <d v="2024-04-18T00:00:00"/>
    <x v="0"/>
    <x v="1"/>
    <n v="24300"/>
    <x v="1"/>
    <x v="0"/>
    <n v="5402.33"/>
    <n v="1.3"/>
    <n v="24300"/>
    <n v="24300"/>
    <x v="6"/>
    <s v="100% POLYESTER YARN"/>
    <n v="8977874"/>
    <x v="0"/>
    <n v="3680928"/>
    <x v="0"/>
    <m/>
    <m/>
    <x v="0"/>
    <x v="0"/>
    <x v="0"/>
    <x v="0"/>
    <x v="0"/>
    <x v="0"/>
    <m/>
    <x v="0"/>
    <x v="1"/>
    <x v="0"/>
    <x v="0"/>
    <x v="0"/>
    <x v="3"/>
    <n v="369.45983539094652"/>
    <n v="151.47851851851851"/>
    <n v="3680928"/>
    <d v="2024-05-25T00:00:00"/>
    <x v="0"/>
  </r>
  <r>
    <x v="773"/>
    <d v="2024-04-19T00:00:00"/>
    <x v="772"/>
    <d v="2024-04-18T00:00:00"/>
    <x v="1"/>
    <x v="2"/>
    <n v="14500"/>
    <x v="1"/>
    <x v="0"/>
    <n v="4007.009"/>
    <n v="2.7761999999999998"/>
    <n v="36.21"/>
    <n v="14500"/>
    <x v="9"/>
    <s v="RUBBER THREAD"/>
    <n v="11440437"/>
    <x v="0"/>
    <n v="5262601"/>
    <x v="0"/>
    <m/>
    <m/>
    <x v="0"/>
    <x v="0"/>
    <x v="0"/>
    <x v="0"/>
    <x v="0"/>
    <x v="0"/>
    <m/>
    <x v="0"/>
    <x v="1"/>
    <x v="0"/>
    <x v="0"/>
    <x v="0"/>
    <x v="6"/>
    <n v="788.99565517241376"/>
    <n v="362.93799999999999"/>
    <n v="13141.984979999999"/>
    <d v="2024-04-24T00:00:00"/>
    <x v="0"/>
  </r>
  <r>
    <x v="774"/>
    <d v="2024-04-25T00:00:00"/>
    <x v="773"/>
    <d v="2024-04-18T00:00:00"/>
    <x v="0"/>
    <x v="1"/>
    <n v="2263"/>
    <x v="1"/>
    <x v="0"/>
    <n v="5407.52"/>
    <n v="7.6708999999999996"/>
    <n v="2263"/>
    <n v="2263"/>
    <x v="2"/>
    <s v="BLENDED FABRIC 78%POLYESTER,17%VISCOSE, 5%ELASTANE, 57” CUTTABLE"/>
    <n v="4933495"/>
    <x v="0"/>
    <n v="2269407"/>
    <x v="0"/>
    <m/>
    <m/>
    <x v="0"/>
    <x v="0"/>
    <x v="0"/>
    <x v="0"/>
    <x v="0"/>
    <x v="0"/>
    <m/>
    <x v="0"/>
    <x v="1"/>
    <x v="0"/>
    <x v="0"/>
    <x v="0"/>
    <x v="2"/>
    <n v="2180.0684931506848"/>
    <n v="1002.8311975254087"/>
    <n v="2269407"/>
    <d v="2024-05-25T00:00:00"/>
    <x v="0"/>
  </r>
  <r>
    <x v="775"/>
    <d v="2024-04-19T00:00:00"/>
    <x v="774"/>
    <d v="2024-04-18T00:00:00"/>
    <x v="0"/>
    <x v="1"/>
    <n v="23100"/>
    <x v="1"/>
    <x v="0"/>
    <n v="5402.33"/>
    <n v="1.35"/>
    <n v="23100"/>
    <n v="23100"/>
    <x v="6"/>
    <s v="POLYESTER DRAWN TEXURED YARN"/>
    <n v="8862773"/>
    <x v="0"/>
    <n v="3633737"/>
    <x v="0"/>
    <m/>
    <m/>
    <x v="0"/>
    <x v="0"/>
    <x v="0"/>
    <x v="0"/>
    <x v="0"/>
    <x v="0"/>
    <m/>
    <x v="0"/>
    <x v="1"/>
    <x v="0"/>
    <x v="0"/>
    <x v="0"/>
    <x v="3"/>
    <n v="383.66982683982684"/>
    <n v="157.30463203463202"/>
    <n v="3633736.9999999995"/>
    <d v="2024-05-19T00:00:00"/>
    <x v="0"/>
  </r>
  <r>
    <x v="776"/>
    <d v="2024-04-20T00:00:00"/>
    <x v="775"/>
    <d v="2024-04-18T00:00:00"/>
    <x v="0"/>
    <x v="1"/>
    <n v="23100"/>
    <x v="1"/>
    <x v="0"/>
    <n v="5402.33"/>
    <n v="1.35"/>
    <n v="23100"/>
    <n v="23100"/>
    <x v="6"/>
    <s v="POLYESTER DRAWN TEXURED YARN (DTY 150D/48F"/>
    <n v="8862773"/>
    <x v="0"/>
    <n v="3633737"/>
    <x v="0"/>
    <m/>
    <m/>
    <x v="0"/>
    <x v="0"/>
    <x v="0"/>
    <x v="0"/>
    <x v="0"/>
    <x v="0"/>
    <m/>
    <x v="0"/>
    <x v="1"/>
    <x v="0"/>
    <x v="0"/>
    <x v="0"/>
    <x v="3"/>
    <n v="383.66982683982684"/>
    <n v="157.30463203463202"/>
    <n v="3633736.9999999995"/>
    <d v="2024-05-20T00:00:00"/>
    <x v="0"/>
  </r>
  <r>
    <x v="777"/>
    <d v="2024-04-18T00:00:00"/>
    <x v="776"/>
    <d v="2024-04-18T00:00:00"/>
    <x v="1"/>
    <x v="1"/>
    <n v="4050"/>
    <x v="1"/>
    <x v="0"/>
    <n v="5901.9089999999997"/>
    <n v="2.9727999999999999"/>
    <n v="4050"/>
    <n v="4050"/>
    <x v="9"/>
    <s v="100% POLYESTER NON WOVEN INTERLINING"/>
    <n v="3421721"/>
    <x v="0"/>
    <n v="1402906"/>
    <x v="0"/>
    <m/>
    <m/>
    <x v="0"/>
    <x v="0"/>
    <x v="0"/>
    <x v="0"/>
    <x v="0"/>
    <x v="0"/>
    <m/>
    <x v="0"/>
    <x v="1"/>
    <x v="0"/>
    <x v="0"/>
    <x v="0"/>
    <x v="6"/>
    <n v="844.86938271604936"/>
    <n v="346.39654320987654"/>
    <n v="1402906"/>
    <d v="2024-04-23T00:00:00"/>
    <x v="0"/>
  </r>
  <r>
    <x v="778"/>
    <d v="2024-04-22T00:00:00"/>
    <x v="777"/>
    <d v="2024-04-18T00:00:00"/>
    <x v="0"/>
    <x v="1"/>
    <n v="18720"/>
    <x v="1"/>
    <x v="0"/>
    <n v="3906.9029999999998"/>
    <n v="1.98"/>
    <n v="18720"/>
    <n v="18720"/>
    <x v="12"/>
    <s v="TEXTILE CHEMICAL (FLOPRINT"/>
    <n v="10534038"/>
    <x v="0"/>
    <n v="3476233"/>
    <x v="0"/>
    <m/>
    <m/>
    <x v="0"/>
    <x v="0"/>
    <x v="0"/>
    <x v="0"/>
    <x v="0"/>
    <x v="0"/>
    <m/>
    <x v="0"/>
    <x v="1"/>
    <x v="0"/>
    <x v="0"/>
    <x v="0"/>
    <x v="5"/>
    <n v="562.71570512820517"/>
    <n v="185.69620726495725"/>
    <n v="3476232.9999999995"/>
    <d v="2024-05-22T00:00:00"/>
    <x v="0"/>
  </r>
  <r>
    <x v="779"/>
    <d v="2024-04-20T00:00:00"/>
    <x v="778"/>
    <d v="2024-04-18T00:00:00"/>
    <x v="0"/>
    <x v="1"/>
    <n v="24480"/>
    <x v="1"/>
    <x v="0"/>
    <n v="5402.33"/>
    <n v="1.43"/>
    <n v="24480"/>
    <n v="24480"/>
    <x v="6"/>
    <s v="100% POLYESTER TEXTURED YARN DTY 100D/48F HIM RW SD GRADE-AA"/>
    <n v="9948814"/>
    <x v="0"/>
    <n v="4079015"/>
    <x v="0"/>
    <m/>
    <m/>
    <x v="0"/>
    <x v="0"/>
    <x v="0"/>
    <x v="0"/>
    <x v="0"/>
    <x v="0"/>
    <m/>
    <x v="0"/>
    <x v="1"/>
    <x v="0"/>
    <x v="0"/>
    <x v="0"/>
    <x v="3"/>
    <n v="406.40580065359478"/>
    <n v="166.62642973856208"/>
    <n v="4079014.9999999995"/>
    <d v="2024-05-20T00:00:00"/>
    <x v="0"/>
  </r>
  <r>
    <x v="780"/>
    <d v="2024-04-23T00:00:00"/>
    <x v="779"/>
    <d v="2024-04-22T00:00:00"/>
    <x v="0"/>
    <x v="1"/>
    <n v="24480"/>
    <x v="1"/>
    <x v="0"/>
    <n v="5402.33"/>
    <n v="1.43"/>
    <n v="24480"/>
    <n v="24480"/>
    <x v="6"/>
    <s v="100% POLYESTER TEXURED YARN"/>
    <n v="9957741"/>
    <x v="0"/>
    <n v="4082674"/>
    <x v="0"/>
    <m/>
    <m/>
    <x v="0"/>
    <x v="0"/>
    <x v="0"/>
    <x v="0"/>
    <x v="0"/>
    <x v="0"/>
    <m/>
    <x v="0"/>
    <x v="1"/>
    <x v="0"/>
    <x v="0"/>
    <x v="0"/>
    <x v="3"/>
    <n v="406.77046568627452"/>
    <n v="166.77589869281044"/>
    <n v="4082673.9999999995"/>
    <d v="2024-05-23T00:00:00"/>
    <x v="0"/>
  </r>
  <r>
    <x v="781"/>
    <d v="2024-04-26T00:00:00"/>
    <x v="780"/>
    <d v="2024-04-24T00:00:00"/>
    <x v="0"/>
    <x v="1"/>
    <n v="23100"/>
    <x v="1"/>
    <x v="0"/>
    <n v="5402.33"/>
    <n v="1.35"/>
    <n v="23100"/>
    <n v="23100"/>
    <x v="6"/>
    <s v="POLYESTER DRAWN TEXURED YARN (DTY 150D/48F, "/>
    <n v="8867544"/>
    <x v="0"/>
    <n v="3635693"/>
    <x v="0"/>
    <m/>
    <m/>
    <x v="0"/>
    <x v="0"/>
    <x v="0"/>
    <x v="0"/>
    <x v="0"/>
    <x v="0"/>
    <m/>
    <x v="0"/>
    <x v="1"/>
    <x v="0"/>
    <x v="0"/>
    <x v="0"/>
    <x v="3"/>
    <n v="383.87636363636364"/>
    <n v="157.38930735930737"/>
    <n v="3635693"/>
    <d v="2024-05-26T00:00:00"/>
    <x v="0"/>
  </r>
  <r>
    <x v="782"/>
    <d v="2024-04-26T00:00:00"/>
    <x v="781"/>
    <d v="2024-04-25T00:00:00"/>
    <x v="0"/>
    <x v="1"/>
    <n v="24300"/>
    <x v="1"/>
    <x v="0"/>
    <n v="5402.33"/>
    <n v="1.3"/>
    <n v="24300"/>
    <n v="24300"/>
    <x v="6"/>
    <s v="100% POLYESTER YARN DTY 300D/96F"/>
    <n v="8984319"/>
    <x v="0"/>
    <n v="3683570"/>
    <x v="0"/>
    <m/>
    <m/>
    <x v="0"/>
    <x v="0"/>
    <x v="0"/>
    <x v="0"/>
    <x v="0"/>
    <x v="0"/>
    <m/>
    <x v="0"/>
    <x v="1"/>
    <x v="0"/>
    <x v="0"/>
    <x v="0"/>
    <x v="3"/>
    <n v="369.72506172839508"/>
    <n v="151.58724279835391"/>
    <n v="3683570"/>
    <d v="2024-05-26T00:00:00"/>
    <x v="0"/>
  </r>
  <r>
    <x v="783"/>
    <d v="2024-04-27T00:00:00"/>
    <x v="782"/>
    <d v="2024-04-25T00:00:00"/>
    <x v="0"/>
    <x v="0"/>
    <n v="198416"/>
    <x v="1"/>
    <x v="0"/>
    <n v="5201.009"/>
    <n v="1.8958999999999999"/>
    <n v="0"/>
    <n v="0"/>
    <x v="0"/>
    <s v="Raw Cotton"/>
    <n v="106986168"/>
    <x v="0"/>
    <n v="32095850"/>
    <x v="0"/>
    <m/>
    <m/>
    <x v="0"/>
    <x v="0"/>
    <x v="0"/>
    <x v="0"/>
    <x v="0"/>
    <x v="0"/>
    <m/>
    <x v="0"/>
    <x v="1"/>
    <x v="0"/>
    <x v="0"/>
    <x v="0"/>
    <x v="0"/>
    <n v="539.20131441012825"/>
    <n v="161.76039230707201"/>
    <n v="0"/>
    <d v="2024-05-27T00:00:00"/>
    <x v="0"/>
  </r>
  <r>
    <x v="784"/>
    <d v="2024-04-30T00:00:00"/>
    <x v="783"/>
    <d v="2024-04-25T00:00:00"/>
    <x v="0"/>
    <x v="1"/>
    <n v="23100"/>
    <x v="1"/>
    <x v="0"/>
    <n v="5402.33"/>
    <n v="1.35"/>
    <n v="23100"/>
    <n v="23100"/>
    <x v="6"/>
    <s v="POLYESTER DRAWN TEXTURED YARN DTY 150D/48F"/>
    <n v="8869135"/>
    <x v="0"/>
    <n v="3636345"/>
    <x v="0"/>
    <m/>
    <m/>
    <x v="0"/>
    <x v="0"/>
    <x v="0"/>
    <x v="0"/>
    <x v="0"/>
    <x v="0"/>
    <m/>
    <x v="0"/>
    <x v="1"/>
    <x v="0"/>
    <x v="0"/>
    <x v="0"/>
    <x v="3"/>
    <n v="383.9452380952381"/>
    <n v="157.41753246753248"/>
    <n v="3636345.0000000005"/>
    <d v="2024-05-30T00:00:00"/>
    <x v="0"/>
  </r>
  <r>
    <x v="785"/>
    <d v="2024-04-27T00:00:00"/>
    <x v="784"/>
    <d v="2024-04-25T00:00:00"/>
    <x v="0"/>
    <x v="1"/>
    <n v="24480"/>
    <x v="1"/>
    <x v="0"/>
    <n v="5402.33"/>
    <n v="1.43"/>
    <n v="24480"/>
    <n v="24480"/>
    <x v="6"/>
    <s v="100% POLYESTER TEXTURED YARN DTY 100D/48F"/>
    <n v="9955956"/>
    <x v="0"/>
    <n v="4081942"/>
    <x v="0"/>
    <m/>
    <m/>
    <x v="0"/>
    <x v="0"/>
    <x v="0"/>
    <x v="0"/>
    <x v="0"/>
    <x v="0"/>
    <m/>
    <x v="0"/>
    <x v="1"/>
    <x v="0"/>
    <x v="0"/>
    <x v="0"/>
    <x v="3"/>
    <n v="406.69754901960783"/>
    <n v="166.74599673202616"/>
    <n v="4081942.0000000005"/>
    <d v="2024-05-27T00:00:00"/>
    <x v="0"/>
  </r>
  <r>
    <x v="786"/>
    <d v="2024-04-30T00:00:00"/>
    <x v="785"/>
    <d v="2024-04-27T00:00:00"/>
    <x v="0"/>
    <x v="1"/>
    <n v="23100"/>
    <x v="1"/>
    <x v="0"/>
    <n v="5402.33"/>
    <n v="1.35"/>
    <n v="23100"/>
    <n v="23100"/>
    <x v="6"/>
    <s v="POLYESTER DRAWN TEXTURED YARN DTY 150D/48F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30T00:00:00"/>
    <x v="0"/>
  </r>
  <r>
    <x v="787"/>
    <d v="2024-05-02T00:00:00"/>
    <x v="786"/>
    <d v="2024-04-27T00:00:00"/>
    <x v="0"/>
    <x v="1"/>
    <n v="24480"/>
    <x v="1"/>
    <x v="0"/>
    <n v="5402.33"/>
    <n v="1.43"/>
    <n v="24480"/>
    <n v="24480"/>
    <x v="6"/>
    <s v="100% POLYESTER TEXURED YARN (DTY 100D/48F"/>
    <n v="9945243"/>
    <x v="0"/>
    <n v="4077550"/>
    <x v="0"/>
    <m/>
    <m/>
    <x v="0"/>
    <x v="0"/>
    <x v="0"/>
    <x v="0"/>
    <x v="0"/>
    <x v="0"/>
    <m/>
    <x v="0"/>
    <x v="1"/>
    <x v="0"/>
    <x v="0"/>
    <x v="0"/>
    <x v="3"/>
    <n v="406.25992647058825"/>
    <n v="166.56658496732027"/>
    <n v="4077550"/>
    <d v="2024-06-01T00:00:00"/>
    <x v="0"/>
  </r>
  <r>
    <x v="788"/>
    <d v="2024-05-02T00:00:00"/>
    <x v="787"/>
    <d v="2024-05-02T00:00:00"/>
    <x v="0"/>
    <x v="1"/>
    <n v="5087"/>
    <x v="1"/>
    <x v="0"/>
    <n v="5210.41"/>
    <n v="9.7925000000000004"/>
    <n v="5087"/>
    <n v="5087"/>
    <x v="2"/>
    <s v="EFFEN WEEFSEL 55% KATCEN 45% POLYESTER FABRIC (136X72-45X45 +/- 148/150 CM) "/>
    <n v="15191867"/>
    <x v="0"/>
    <n v="6228665"/>
    <x v="0"/>
    <m/>
    <m/>
    <x v="0"/>
    <x v="0"/>
    <x v="0"/>
    <x v="0"/>
    <x v="0"/>
    <x v="0"/>
    <m/>
    <x v="0"/>
    <x v="1"/>
    <x v="0"/>
    <x v="0"/>
    <x v="0"/>
    <x v="2"/>
    <n v="2986.4098682917238"/>
    <n v="1224.427953607234"/>
    <n v="6228664.9999999991"/>
    <d v="2024-06-01T00:00:00"/>
    <x v="0"/>
  </r>
  <r>
    <x v="789"/>
    <d v="2024-05-07T00:00:00"/>
    <x v="788"/>
    <d v="2024-05-04T00:00:00"/>
    <x v="0"/>
    <x v="0"/>
    <n v="175604"/>
    <x v="1"/>
    <x v="0"/>
    <n v="5201.009"/>
    <n v="1.8683000000000001"/>
    <n v="0"/>
    <n v="0"/>
    <x v="0"/>
    <s v="Raw Cotton"/>
    <n v="93140158"/>
    <x v="0"/>
    <n v="27942047"/>
    <x v="0"/>
    <m/>
    <m/>
    <x v="0"/>
    <x v="0"/>
    <x v="0"/>
    <x v="0"/>
    <x v="0"/>
    <x v="0"/>
    <m/>
    <x v="0"/>
    <x v="1"/>
    <x v="0"/>
    <x v="0"/>
    <x v="0"/>
    <x v="0"/>
    <n v="530.39884057310769"/>
    <n v="159.11964989407986"/>
    <n v="0"/>
    <d v="2024-06-06T00:00:00"/>
    <x v="0"/>
  </r>
  <r>
    <x v="790"/>
    <d v="2024-05-07T00:00:00"/>
    <x v="789"/>
    <d v="2024-05-06T00:00:00"/>
    <x v="0"/>
    <x v="0"/>
    <n v="6000"/>
    <x v="1"/>
    <x v="0"/>
    <n v="3204.16"/>
    <n v="8.19"/>
    <n v="0"/>
    <n v="0"/>
    <x v="5"/>
    <s v="REACTIVE DYE AQUA PREMIUM"/>
    <n v="15027788"/>
    <x v="0"/>
    <n v="6912785"/>
    <x v="0"/>
    <m/>
    <m/>
    <x v="0"/>
    <x v="0"/>
    <x v="0"/>
    <x v="0"/>
    <x v="0"/>
    <x v="0"/>
    <m/>
    <x v="0"/>
    <x v="1"/>
    <x v="0"/>
    <x v="0"/>
    <x v="0"/>
    <x v="4"/>
    <n v="2504.6313333333333"/>
    <n v="1152.1308333333334"/>
    <n v="0"/>
    <d v="2024-06-06T00:00:00"/>
    <x v="0"/>
  </r>
  <r>
    <x v="791"/>
    <d v="2024-05-07T00:00:00"/>
    <x v="790"/>
    <d v="2024-05-06T00:00:00"/>
    <x v="0"/>
    <x v="2"/>
    <n v="18000"/>
    <x v="1"/>
    <x v="0"/>
    <n v="3909.5"/>
    <n v="3.05"/>
    <n v="1.1300000000000026"/>
    <n v="18000"/>
    <x v="12"/>
    <s v="CHEMICAL ( LAMFINISH FIX )"/>
    <n v="15585771"/>
    <x v="0"/>
    <n v="4675732"/>
    <x v="0"/>
    <m/>
    <m/>
    <x v="0"/>
    <x v="0"/>
    <x v="0"/>
    <x v="0"/>
    <x v="0"/>
    <x v="0"/>
    <m/>
    <x v="0"/>
    <x v="1"/>
    <x v="0"/>
    <x v="0"/>
    <x v="0"/>
    <x v="5"/>
    <n v="865.87616666666668"/>
    <n v="259.76288888888888"/>
    <n v="293.5320644444451"/>
    <d v="2024-06-06T00:00:00"/>
    <x v="0"/>
  </r>
  <r>
    <x v="792"/>
    <d v="2024-05-14T00:00:00"/>
    <x v="791"/>
    <d v="2024-05-07T00:00:00"/>
    <x v="0"/>
    <x v="1"/>
    <n v="300"/>
    <x v="1"/>
    <x v="0"/>
    <n v="5407.52"/>
    <n v="19.799900000000001"/>
    <n v="300"/>
    <n v="300"/>
    <x v="16"/>
    <s v="100% NYLON WOVEN FABRIC 1000/MTRS"/>
    <n v="1685715"/>
    <x v="0"/>
    <n v="775429"/>
    <x v="0"/>
    <m/>
    <m/>
    <x v="0"/>
    <x v="0"/>
    <x v="0"/>
    <x v="0"/>
    <x v="0"/>
    <x v="0"/>
    <m/>
    <x v="0"/>
    <x v="1"/>
    <x v="0"/>
    <x v="0"/>
    <x v="0"/>
    <x v="2"/>
    <n v="5619.05"/>
    <n v="2584.7633333333333"/>
    <n v="775429"/>
    <d v="2024-06-13T00:00:00"/>
    <x v="0"/>
  </r>
  <r>
    <x v="793"/>
    <d v="2024-05-11T00:00:00"/>
    <x v="792"/>
    <d v="2024-05-09T00:00:00"/>
    <x v="0"/>
    <x v="1"/>
    <n v="480"/>
    <x v="1"/>
    <x v="0"/>
    <n v="3809.9110000000001"/>
    <n v="6.8666999999999998"/>
    <n v="480"/>
    <n v="480"/>
    <x v="12"/>
    <s v="CHEMICAL (RAROPRINT AL)"/>
    <n v="1006562"/>
    <x v="0"/>
    <n v="301968"/>
    <x v="0"/>
    <m/>
    <m/>
    <x v="0"/>
    <x v="0"/>
    <x v="0"/>
    <x v="0"/>
    <x v="0"/>
    <x v="0"/>
    <m/>
    <x v="0"/>
    <x v="1"/>
    <x v="0"/>
    <x v="0"/>
    <x v="0"/>
    <x v="5"/>
    <n v="2097.0041666666666"/>
    <n v="629.1"/>
    <n v="301968"/>
    <d v="2024-06-10T00:00:00"/>
    <x v="0"/>
  </r>
  <r>
    <x v="794"/>
    <d v="2024-05-14T00:00:00"/>
    <x v="793"/>
    <d v="2024-05-11T00:00:00"/>
    <x v="0"/>
    <x v="2"/>
    <n v="302371.5"/>
    <x v="1"/>
    <x v="0"/>
    <n v="5503.201"/>
    <n v="0.97"/>
    <n v="175034.57"/>
    <n v="302371.5"/>
    <x v="1"/>
    <s v="Polyester Staple Fiber"/>
    <n v="83236242"/>
    <x v="0"/>
    <n v="34126860"/>
    <x v="0"/>
    <m/>
    <m/>
    <x v="0"/>
    <x v="0"/>
    <x v="0"/>
    <x v="0"/>
    <x v="0"/>
    <x v="0"/>
    <m/>
    <x v="0"/>
    <x v="1"/>
    <x v="0"/>
    <x v="0"/>
    <x v="0"/>
    <x v="1"/>
    <n v="275.27806688130329"/>
    <n v="112.86401000094254"/>
    <n v="19755103.458990678"/>
    <d v="2024-06-13T00:00:00"/>
    <x v="0"/>
  </r>
  <r>
    <x v="795"/>
    <d v="2024-05-15T00:00:00"/>
    <x v="794"/>
    <d v="2024-05-14T00:00:00"/>
    <x v="0"/>
    <x v="1"/>
    <n v="18720"/>
    <x v="1"/>
    <x v="0"/>
    <n v="3906.9029999999998"/>
    <n v="1.98"/>
    <n v="18720"/>
    <n v="18720"/>
    <x v="12"/>
    <s v="CHEMICAL (FLOPRINT TA 160) "/>
    <n v="10515133"/>
    <x v="0"/>
    <n v="3469994"/>
    <x v="0"/>
    <m/>
    <m/>
    <x v="0"/>
    <x v="0"/>
    <x v="0"/>
    <x v="0"/>
    <x v="0"/>
    <x v="0"/>
    <m/>
    <x v="0"/>
    <x v="1"/>
    <x v="0"/>
    <x v="0"/>
    <x v="0"/>
    <x v="5"/>
    <n v="561.70582264957261"/>
    <n v="185.36292735042736"/>
    <n v="3469994"/>
    <d v="2024-06-14T00:00:00"/>
    <x v="0"/>
  </r>
  <r>
    <x v="796"/>
    <d v="2024-05-16T00:00:00"/>
    <x v="795"/>
    <d v="2024-05-14T00:00:00"/>
    <x v="0"/>
    <x v="0"/>
    <n v="5100"/>
    <x v="1"/>
    <x v="0"/>
    <n v="3204.16"/>
    <s v="8.19 / 7.10"/>
    <n v="0"/>
    <n v="0"/>
    <x v="5"/>
    <s v="REACTIVE DYE AQUA PREMIUM"/>
    <n v="12759408"/>
    <x v="0"/>
    <n v="5869326"/>
    <x v="0"/>
    <m/>
    <m/>
    <x v="0"/>
    <x v="0"/>
    <x v="0"/>
    <x v="0"/>
    <x v="0"/>
    <x v="0"/>
    <m/>
    <x v="0"/>
    <x v="1"/>
    <x v="0"/>
    <x v="0"/>
    <x v="0"/>
    <x v="4"/>
    <n v="2501.8447058823531"/>
    <n v="1150.8482352941176"/>
    <n v="0"/>
    <d v="2024-06-15T00:00:00"/>
    <x v="0"/>
  </r>
  <r>
    <x v="797"/>
    <d v="2024-05-16T00:00:00"/>
    <x v="796"/>
    <d v="2024-05-15T00:00:00"/>
    <x v="0"/>
    <x v="0"/>
    <n v="241549"/>
    <x v="1"/>
    <x v="0"/>
    <n v="5201.009"/>
    <n v="1.929"/>
    <n v="0"/>
    <n v="0"/>
    <x v="0"/>
    <s v="Raw Cotton"/>
    <n v="132232237"/>
    <x v="0"/>
    <n v="39669671"/>
    <x v="0"/>
    <m/>
    <m/>
    <x v="0"/>
    <x v="0"/>
    <x v="0"/>
    <x v="0"/>
    <x v="0"/>
    <x v="0"/>
    <m/>
    <x v="0"/>
    <x v="1"/>
    <x v="0"/>
    <x v="0"/>
    <x v="0"/>
    <x v="0"/>
    <n v="547.43442117334371"/>
    <n v="164.23032593800843"/>
    <n v="0"/>
    <d v="2024-06-15T00:00:00"/>
    <x v="0"/>
  </r>
  <r>
    <x v="798"/>
    <d v="2024-05-18T00:00:00"/>
    <x v="797"/>
    <d v="2024-05-15T00:00:00"/>
    <x v="0"/>
    <x v="0"/>
    <n v="255813.1"/>
    <x v="1"/>
    <x v="0"/>
    <n v="5201.009"/>
    <n v="1.929"/>
    <n v="0"/>
    <n v="0"/>
    <x v="0"/>
    <s v="Raw Cotton"/>
    <n v="140040896"/>
    <x v="0"/>
    <n v="42012269"/>
    <x v="0"/>
    <m/>
    <m/>
    <x v="0"/>
    <x v="0"/>
    <x v="0"/>
    <x v="0"/>
    <x v="0"/>
    <x v="0"/>
    <m/>
    <x v="0"/>
    <x v="1"/>
    <x v="0"/>
    <x v="0"/>
    <x v="0"/>
    <x v="0"/>
    <n v="547.43441989483722"/>
    <n v="164.23032675027198"/>
    <n v="0"/>
    <d v="2024-06-17T00:00:00"/>
    <x v="0"/>
  </r>
  <r>
    <x v="799"/>
    <d v="2024-05-17T00:00:00"/>
    <x v="798"/>
    <d v="2024-05-17T00:00:00"/>
    <x v="0"/>
    <x v="1"/>
    <n v="596305.5"/>
    <x v="1"/>
    <x v="0"/>
    <n v="5503.201"/>
    <n v="0.95499999999999996"/>
    <n v="596305.5"/>
    <n v="596305.5"/>
    <x v="1"/>
    <s v="Polyester Staple Fiber"/>
    <n v="161640471"/>
    <x v="0"/>
    <n v="66272594"/>
    <x v="0"/>
    <m/>
    <m/>
    <x v="0"/>
    <x v="0"/>
    <x v="0"/>
    <x v="0"/>
    <x v="0"/>
    <x v="0"/>
    <m/>
    <x v="0"/>
    <x v="1"/>
    <x v="0"/>
    <x v="0"/>
    <x v="0"/>
    <x v="1"/>
    <n v="271.06989789629642"/>
    <n v="111.13865963000509"/>
    <n v="66272594"/>
    <d v="2024-06-16T00:00:00"/>
    <x v="0"/>
  </r>
  <r>
    <x v="800"/>
    <d v="2024-05-23T00:00:00"/>
    <x v="799"/>
    <d v="2024-05-18T00:00:00"/>
    <x v="0"/>
    <x v="1"/>
    <n v="180"/>
    <x v="1"/>
    <x v="0"/>
    <n v="5407.52"/>
    <n v="9.0832999999999995"/>
    <n v="180"/>
    <n v="180"/>
    <x v="2"/>
    <s v="FABRIC PC65:35"/>
    <n v="505244"/>
    <x v="0"/>
    <n v="232412"/>
    <x v="0"/>
    <m/>
    <m/>
    <x v="0"/>
    <x v="0"/>
    <x v="0"/>
    <x v="0"/>
    <x v="0"/>
    <x v="0"/>
    <m/>
    <x v="0"/>
    <x v="1"/>
    <x v="0"/>
    <x v="0"/>
    <x v="0"/>
    <x v="2"/>
    <n v="2806.911111111111"/>
    <n v="1291.1777777777777"/>
    <n v="232411.99999999997"/>
    <d v="2024-06-22T00:00:00"/>
    <x v="0"/>
  </r>
  <r>
    <x v="801"/>
    <d v="2024-05-23T00:00:00"/>
    <x v="800"/>
    <d v="2024-05-21T00:00:00"/>
    <x v="0"/>
    <x v="2"/>
    <n v="299905.71999999997"/>
    <x v="1"/>
    <x v="0"/>
    <n v="5201.009"/>
    <n v="1.8958999999999999"/>
    <n v="0"/>
    <n v="299905.71999999997"/>
    <x v="0"/>
    <s v="Raw Cotton"/>
    <n v="161361547"/>
    <x v="0"/>
    <n v="48408464"/>
    <x v="0"/>
    <m/>
    <m/>
    <x v="0"/>
    <x v="0"/>
    <x v="0"/>
    <x v="0"/>
    <x v="0"/>
    <x v="0"/>
    <m/>
    <x v="0"/>
    <x v="1"/>
    <x v="0"/>
    <x v="0"/>
    <x v="0"/>
    <x v="0"/>
    <n v="538.04091165717023"/>
    <n v="161.41227316371294"/>
    <n v="0"/>
    <d v="2024-06-22T00:00:00"/>
    <x v="0"/>
  </r>
  <r>
    <x v="802"/>
    <d v="2024-05-31T00:00:00"/>
    <x v="801"/>
    <d v="2024-05-22T00:00:00"/>
    <x v="0"/>
    <x v="0"/>
    <n v="19040"/>
    <x v="1"/>
    <x v="0"/>
    <n v="2915.11"/>
    <n v="0.6"/>
    <n v="0"/>
    <n v="0"/>
    <x v="12"/>
    <s v="FORMIC ACID 85%"/>
    <n v="3243203"/>
    <x v="0"/>
    <n v="1491873"/>
    <x v="0"/>
    <m/>
    <m/>
    <x v="0"/>
    <x v="0"/>
    <x v="0"/>
    <x v="0"/>
    <x v="0"/>
    <x v="0"/>
    <m/>
    <x v="0"/>
    <x v="1"/>
    <x v="0"/>
    <x v="0"/>
    <x v="0"/>
    <x v="5"/>
    <n v="170.33629201680671"/>
    <n v="78.354674369747897"/>
    <n v="0"/>
    <d v="2024-06-30T00:00:00"/>
    <x v="0"/>
  </r>
  <r>
    <x v="803"/>
    <d v="2024-05-31T00:00:00"/>
    <x v="802"/>
    <d v="2024-05-23T00:00:00"/>
    <x v="0"/>
    <x v="1"/>
    <n v="302527.5"/>
    <x v="1"/>
    <x v="0"/>
    <n v="5503.201"/>
    <n v="0.97"/>
    <n v="302527.5"/>
    <n v="302527.5"/>
    <x v="1"/>
    <s v="Polyester Staple Fiber"/>
    <n v="83339055"/>
    <x v="0"/>
    <n v="34169013"/>
    <x v="0"/>
    <m/>
    <m/>
    <x v="0"/>
    <x v="0"/>
    <x v="0"/>
    <x v="0"/>
    <x v="0"/>
    <x v="0"/>
    <m/>
    <x v="0"/>
    <x v="1"/>
    <x v="0"/>
    <x v="0"/>
    <x v="0"/>
    <x v="1"/>
    <n v="275.47596499491783"/>
    <n v="112.94514713538439"/>
    <n v="34169013"/>
    <d v="2024-06-30T00:00:00"/>
    <x v="0"/>
  </r>
  <r>
    <x v="804"/>
    <d v="2024-05-30T00:00:00"/>
    <x v="803"/>
    <d v="2024-05-23T00:00:00"/>
    <x v="0"/>
    <x v="0"/>
    <n v="10080"/>
    <x v="1"/>
    <x v="0"/>
    <n v="3910"/>
    <s v="3.6  / 2.85"/>
    <n v="10080"/>
    <n v="10080"/>
    <x v="12"/>
    <s v="( FLUID MS 1000 / MICROS 50 HS )"/>
    <n v="9011195"/>
    <x v="0"/>
    <n v="2703358"/>
    <x v="0"/>
    <m/>
    <m/>
    <x v="0"/>
    <x v="0"/>
    <x v="0"/>
    <x v="0"/>
    <x v="0"/>
    <x v="0"/>
    <m/>
    <x v="0"/>
    <x v="1"/>
    <x v="0"/>
    <x v="0"/>
    <x v="0"/>
    <x v="5"/>
    <n v="893.96775793650795"/>
    <n v="268.19027777777779"/>
    <n v="2703358"/>
    <d v="2024-06-29T00:00:00"/>
    <x v="0"/>
  </r>
  <r>
    <x v="805"/>
    <d v="2024-05-29T00:00:00"/>
    <x v="804"/>
    <d v="2024-05-23T00:00:00"/>
    <x v="0"/>
    <x v="2"/>
    <n v="15330"/>
    <x v="1"/>
    <x v="0"/>
    <n v="3809.9189999999999"/>
    <s v="3.45 / 3.35 / 2.20 / 1.95 / 2.5"/>
    <n v="12255.36"/>
    <n v="15330"/>
    <x v="12"/>
    <s v="POLYSOFT / ENZYME / POLYWAX / POLYPAN / WINZYME "/>
    <n v="13439677"/>
    <x v="0"/>
    <n v="6182252"/>
    <x v="0"/>
    <m/>
    <m/>
    <x v="0"/>
    <x v="0"/>
    <x v="0"/>
    <x v="0"/>
    <x v="0"/>
    <x v="0"/>
    <m/>
    <x v="0"/>
    <x v="1"/>
    <x v="0"/>
    <x v="0"/>
    <x v="0"/>
    <x v="5"/>
    <n v="876.69125896934111"/>
    <n v="403.27801696020873"/>
    <n v="4942317.2779334635"/>
    <d v="2024-06-28T00:00:00"/>
    <x v="0"/>
  </r>
  <r>
    <x v="806"/>
    <d v="2024-06-03T00:00:00"/>
    <x v="805"/>
    <d v="2024-06-01T00:00:00"/>
    <x v="0"/>
    <x v="2"/>
    <n v="81600"/>
    <x v="1"/>
    <x v="0"/>
    <n v="2847"/>
    <n v="0.46"/>
    <n v="13493.06"/>
    <n v="81600"/>
    <x v="12"/>
    <s v="HYDROGEN PEROXIDE"/>
    <n v="10663897"/>
    <x v="0"/>
    <n v="4372198"/>
    <x v="0"/>
    <m/>
    <m/>
    <x v="0"/>
    <x v="0"/>
    <x v="0"/>
    <x v="0"/>
    <x v="0"/>
    <x v="0"/>
    <m/>
    <x v="0"/>
    <x v="1"/>
    <x v="0"/>
    <x v="0"/>
    <x v="0"/>
    <x v="5"/>
    <n v="130.68501225490195"/>
    <n v="53.580857843137252"/>
    <n v="722969.72972892155"/>
    <d v="2024-07-03T00:00:00"/>
    <x v="0"/>
  </r>
  <r>
    <x v="807"/>
    <d v="2024-06-03T00:00:00"/>
    <x v="806"/>
    <d v="2024-06-03T00:00:00"/>
    <x v="0"/>
    <x v="1"/>
    <n v="19562.62"/>
    <x v="1"/>
    <x v="0"/>
    <n v="5509.99"/>
    <n v="1.95"/>
    <n v="19562.62"/>
    <n v="19562.62"/>
    <x v="3"/>
    <s v="WOVEN -50% POST CONS POLY -25% POST CONS REC COTTON- 25% PRE CONS REC COTTON YARN RAW WHITE 14/1"/>
    <n v="10837512"/>
    <x v="0"/>
    <n v="4443379"/>
    <x v="0"/>
    <m/>
    <m/>
    <x v="0"/>
    <x v="0"/>
    <x v="0"/>
    <x v="0"/>
    <x v="0"/>
    <x v="0"/>
    <m/>
    <x v="0"/>
    <x v="1"/>
    <x v="0"/>
    <x v="0"/>
    <x v="0"/>
    <x v="3"/>
    <n v="553.99082535979335"/>
    <n v="227.13619136904975"/>
    <n v="4443379"/>
    <d v="2024-07-03T00:00:00"/>
    <x v="0"/>
  </r>
  <r>
    <x v="808"/>
    <d v="2024-06-10T00:00:00"/>
    <x v="807"/>
    <d v="2024-06-04T00:00:00"/>
    <x v="0"/>
    <x v="1"/>
    <n v="51680"/>
    <x v="1"/>
    <x v="0"/>
    <n v="5503.201"/>
    <n v="0.95"/>
    <n v="51680"/>
    <n v="51680"/>
    <x v="1"/>
    <s v="Polyester Staple Fiber"/>
    <n v="13938051"/>
    <x v="0"/>
    <n v="5714601"/>
    <x v="0"/>
    <m/>
    <m/>
    <x v="0"/>
    <x v="0"/>
    <x v="0"/>
    <x v="0"/>
    <x v="0"/>
    <x v="0"/>
    <m/>
    <x v="0"/>
    <x v="1"/>
    <x v="0"/>
    <x v="0"/>
    <x v="0"/>
    <x v="1"/>
    <n v="269.69912925696593"/>
    <n v="110.5766447368421"/>
    <n v="5714601"/>
    <d v="2024-07-10T00:00:00"/>
    <x v="0"/>
  </r>
  <r>
    <x v="809"/>
    <d v="2024-06-10T00:00:00"/>
    <x v="808"/>
    <d v="2024-06-08T00:00:00"/>
    <x v="0"/>
    <x v="1"/>
    <n v="24480"/>
    <x v="1"/>
    <x v="0"/>
    <n v="5402.33"/>
    <n v="1.35"/>
    <n v="24480"/>
    <n v="24480"/>
    <x v="6"/>
    <s v="100% POLYESTER TEXTURED YARN DTY 158 DTEX /48F HIM RW SD GRADE AA"/>
    <n v="9393923"/>
    <x v="0"/>
    <n v="3851509"/>
    <x v="0"/>
    <m/>
    <m/>
    <x v="0"/>
    <x v="0"/>
    <x v="0"/>
    <x v="0"/>
    <x v="0"/>
    <x v="0"/>
    <m/>
    <x v="0"/>
    <x v="1"/>
    <x v="0"/>
    <x v="0"/>
    <x v="0"/>
    <x v="3"/>
    <n v="383.73868464052288"/>
    <n v="157.3328839869281"/>
    <n v="3851509"/>
    <d v="2024-07-10T00:00:00"/>
    <x v="0"/>
  </r>
  <r>
    <x v="810"/>
    <d v="2024-06-10T00:00:00"/>
    <x v="809"/>
    <d v="2024-06-08T00:00:00"/>
    <x v="0"/>
    <x v="1"/>
    <n v="24480"/>
    <x v="1"/>
    <x v="0"/>
    <n v="5402.33"/>
    <n v="1.35"/>
    <n v="24480"/>
    <n v="24480"/>
    <x v="6"/>
    <s v="100%POLYESTER TEXTURED YARN DTY 158/48F, SD RW HIM AA GRADE"/>
    <n v="9393923"/>
    <x v="0"/>
    <n v="3851509"/>
    <x v="0"/>
    <m/>
    <m/>
    <x v="0"/>
    <x v="0"/>
    <x v="0"/>
    <x v="0"/>
    <x v="0"/>
    <x v="0"/>
    <m/>
    <x v="0"/>
    <x v="1"/>
    <x v="0"/>
    <x v="0"/>
    <x v="0"/>
    <x v="3"/>
    <n v="383.73868464052288"/>
    <n v="157.3328839869281"/>
    <n v="3851509"/>
    <d v="2024-07-10T00:00:00"/>
    <x v="0"/>
  </r>
  <r>
    <x v="811"/>
    <d v="2024-06-13T00:00:00"/>
    <x v="810"/>
    <d v="2024-06-11T00:00:00"/>
    <x v="0"/>
    <x v="1"/>
    <n v="3609"/>
    <x v="1"/>
    <x v="0"/>
    <n v="5407.52"/>
    <n v="5.36"/>
    <n v="3609"/>
    <n v="3609"/>
    <x v="11"/>
    <s v="100% POLYESTER MICRO FIBER FABRIC PLAIN 90GSM WIDTH: 101''  (QTY: 15851/MTRS)"/>
    <n v="5501220"/>
    <x v="0"/>
    <n v="2530561"/>
    <x v="0"/>
    <m/>
    <m/>
    <x v="0"/>
    <x v="0"/>
    <x v="0"/>
    <x v="0"/>
    <x v="0"/>
    <x v="0"/>
    <m/>
    <x v="0"/>
    <x v="1"/>
    <x v="0"/>
    <x v="0"/>
    <x v="0"/>
    <x v="2"/>
    <n v="1524.3059019118868"/>
    <n v="701.18065946245497"/>
    <n v="2530561"/>
    <d v="2024-07-13T00:00:00"/>
    <x v="0"/>
  </r>
  <r>
    <x v="812"/>
    <d v="2024-06-13T00:00:00"/>
    <x v="811"/>
    <d v="2024-06-11T00:00:00"/>
    <x v="0"/>
    <x v="1"/>
    <n v="1959.1"/>
    <x v="1"/>
    <x v="0"/>
    <n v="5407.52"/>
    <n v="5.4"/>
    <n v="1959.1"/>
    <n v="1959.1"/>
    <x v="11"/>
    <s v="100% POLYESTER MESH FABRIC WHITE 170GSM,WIDTH:150CM, (7424.8/MTRS) DETAILS AS PER INVOICE AND PACKING LIST"/>
    <n v="3008929"/>
    <x v="0"/>
    <n v="1384107"/>
    <x v="0"/>
    <m/>
    <m/>
    <x v="0"/>
    <x v="0"/>
    <x v="0"/>
    <x v="0"/>
    <x v="0"/>
    <x v="0"/>
    <m/>
    <x v="0"/>
    <x v="1"/>
    <x v="0"/>
    <x v="0"/>
    <x v="0"/>
    <x v="2"/>
    <n v="1535.8731049971927"/>
    <n v="706.50145474962994"/>
    <n v="1384107"/>
    <d v="2024-07-13T00:00:00"/>
    <x v="0"/>
  </r>
  <r>
    <x v="813"/>
    <d v="2024-06-12T00:00:00"/>
    <x v="812"/>
    <d v="2024-06-11T00:00:00"/>
    <x v="0"/>
    <x v="1"/>
    <n v="8500"/>
    <x v="1"/>
    <x v="0"/>
    <n v="3809.9189999999999"/>
    <n v="1.95"/>
    <n v="8500"/>
    <n v="8500"/>
    <x v="12"/>
    <s v="SOFTENER FLAKE"/>
    <n v="4710613"/>
    <x v="0"/>
    <n v="2166882"/>
    <x v="0"/>
    <m/>
    <m/>
    <x v="0"/>
    <x v="0"/>
    <x v="0"/>
    <x v="0"/>
    <x v="0"/>
    <x v="0"/>
    <m/>
    <x v="0"/>
    <x v="1"/>
    <x v="0"/>
    <x v="0"/>
    <x v="0"/>
    <x v="5"/>
    <n v="554.18976470588234"/>
    <n v="254.92729411764705"/>
    <n v="2166882"/>
    <d v="2024-07-12T00:00:00"/>
    <x v="0"/>
  </r>
  <r>
    <x v="814"/>
    <d v="2024-06-12T00:00:00"/>
    <x v="813"/>
    <d v="2024-06-11T00:00:00"/>
    <x v="0"/>
    <x v="0"/>
    <n v="500"/>
    <x v="1"/>
    <x v="0"/>
    <n v="3204.16"/>
    <n v="10.9"/>
    <n v="0"/>
    <n v="0"/>
    <x v="5"/>
    <s v="Dyes (NOVAVRON BLUE)"/>
    <n v="1548889"/>
    <x v="0"/>
    <n v="712489"/>
    <x v="0"/>
    <m/>
    <m/>
    <x v="0"/>
    <x v="0"/>
    <x v="0"/>
    <x v="0"/>
    <x v="0"/>
    <x v="0"/>
    <m/>
    <x v="0"/>
    <x v="1"/>
    <x v="0"/>
    <x v="0"/>
    <x v="0"/>
    <x v="4"/>
    <n v="3097.7779999999998"/>
    <n v="1424.9780000000001"/>
    <n v="0"/>
    <d v="2024-07-12T00:00:00"/>
    <x v="0"/>
  </r>
  <r>
    <x v="815"/>
    <d v="2024-06-13T00:00:00"/>
    <x v="814"/>
    <d v="2024-06-12T00:00:00"/>
    <x v="1"/>
    <x v="0"/>
    <n v="24908"/>
    <x v="1"/>
    <x v="0"/>
    <n v="4810.29"/>
    <n v="0.77"/>
    <n v="0"/>
    <n v="0"/>
    <x v="9"/>
    <s v="2/S COATED ART BOARD "/>
    <n v="5453649"/>
    <x v="0"/>
    <n v="2726825"/>
    <x v="0"/>
    <m/>
    <m/>
    <x v="0"/>
    <x v="0"/>
    <x v="0"/>
    <x v="0"/>
    <x v="0"/>
    <x v="0"/>
    <m/>
    <x v="0"/>
    <x v="1"/>
    <x v="0"/>
    <x v="0"/>
    <x v="0"/>
    <x v="6"/>
    <n v="218.95170226433274"/>
    <n v="109.47587120603822"/>
    <n v="0"/>
    <d v="2024-06-18T00:00:00"/>
    <x v="0"/>
  </r>
  <r>
    <x v="816"/>
    <d v="2024-06-13T00:00:00"/>
    <x v="815"/>
    <d v="2024-06-12T00:00:00"/>
    <x v="1"/>
    <x v="0"/>
    <n v="24908"/>
    <x v="1"/>
    <x v="0"/>
    <n v="4810.29"/>
    <n v="0.77"/>
    <n v="0"/>
    <n v="0"/>
    <x v="9"/>
    <s v="2/S COATED ART BOARD "/>
    <n v="5453649"/>
    <x v="0"/>
    <n v="2726825"/>
    <x v="0"/>
    <m/>
    <m/>
    <x v="0"/>
    <x v="0"/>
    <x v="0"/>
    <x v="0"/>
    <x v="0"/>
    <x v="0"/>
    <m/>
    <x v="0"/>
    <x v="1"/>
    <x v="0"/>
    <x v="0"/>
    <x v="0"/>
    <x v="6"/>
    <n v="218.95170226433274"/>
    <n v="109.47587120603822"/>
    <n v="0"/>
    <d v="2024-06-18T00:00:00"/>
    <x v="0"/>
  </r>
  <r>
    <x v="817"/>
    <d v="2024-06-13T00:00:00"/>
    <x v="816"/>
    <d v="2024-06-12T00:00:00"/>
    <x v="1"/>
    <x v="2"/>
    <n v="24908"/>
    <x v="1"/>
    <x v="0"/>
    <n v="4810.29"/>
    <n v="0.77"/>
    <n v="105.6"/>
    <n v="24908"/>
    <x v="9"/>
    <s v="2/S COATED ART BOARD "/>
    <n v="5453649"/>
    <x v="0"/>
    <n v="2726825"/>
    <x v="0"/>
    <m/>
    <m/>
    <x v="0"/>
    <x v="0"/>
    <x v="0"/>
    <x v="0"/>
    <x v="0"/>
    <x v="0"/>
    <m/>
    <x v="0"/>
    <x v="1"/>
    <x v="0"/>
    <x v="0"/>
    <x v="0"/>
    <x v="6"/>
    <n v="218.95170226433274"/>
    <n v="109.47587120603822"/>
    <n v="11560.651999357635"/>
    <d v="2024-06-18T00:00:00"/>
    <x v="0"/>
  </r>
  <r>
    <x v="818"/>
    <d v="2024-06-13T00:00:00"/>
    <x v="817"/>
    <d v="2024-06-12T00:00:00"/>
    <x v="0"/>
    <x v="1"/>
    <n v="18912"/>
    <x v="1"/>
    <x v="0"/>
    <n v="5402.33"/>
    <n v="4.3499999999999996"/>
    <n v="18912"/>
    <n v="18912"/>
    <x v="6"/>
    <s v="POLYESTER FILAMENT YARN TRSS DT 150D/72F SD RW AA"/>
    <n v="23392915"/>
    <x v="0"/>
    <n v="9591096"/>
    <x v="0"/>
    <m/>
    <m/>
    <x v="0"/>
    <x v="0"/>
    <x v="0"/>
    <x v="0"/>
    <x v="0"/>
    <x v="0"/>
    <m/>
    <x v="0"/>
    <x v="1"/>
    <x v="0"/>
    <x v="0"/>
    <x v="0"/>
    <x v="3"/>
    <n v="1236.9350148054145"/>
    <n v="507.14340101522845"/>
    <n v="9591096"/>
    <d v="2024-07-13T00:00:00"/>
    <x v="0"/>
  </r>
  <r>
    <x v="819"/>
    <d v="2024-06-14T00:00:00"/>
    <x v="818"/>
    <d v="2024-06-13T00:00:00"/>
    <x v="0"/>
    <x v="0"/>
    <n v="4000"/>
    <x v="1"/>
    <x v="0"/>
    <n v="3204.16"/>
    <n v="7.04"/>
    <n v="0"/>
    <n v="0"/>
    <x v="5"/>
    <s v="DYES (BEZAKTIV BLUE)"/>
    <n v="13343327"/>
    <x v="0"/>
    <n v="6137930"/>
    <x v="0"/>
    <m/>
    <m/>
    <x v="0"/>
    <x v="0"/>
    <x v="0"/>
    <x v="0"/>
    <x v="0"/>
    <x v="0"/>
    <m/>
    <x v="0"/>
    <x v="1"/>
    <x v="0"/>
    <x v="0"/>
    <x v="0"/>
    <x v="4"/>
    <n v="3335.8317499999998"/>
    <n v="1534.4825000000001"/>
    <n v="0"/>
    <d v="2024-07-14T00:00:00"/>
    <x v="0"/>
  </r>
  <r>
    <x v="820"/>
    <d v="2024-06-20T00:00:00"/>
    <x v="819"/>
    <d v="2024-06-17T00:00:00"/>
    <x v="0"/>
    <x v="1"/>
    <n v="22000"/>
    <x v="1"/>
    <x v="0"/>
    <n v="5402.33"/>
    <n v="1.45"/>
    <n v="22000"/>
    <n v="22000"/>
    <x v="6"/>
    <s v="100% POLYESTER MVS UNWAXED FOR AIRJET WEAVING YARN 24/1"/>
    <n v="9078992"/>
    <x v="0"/>
    <n v="3722387"/>
    <x v="0"/>
    <m/>
    <m/>
    <x v="0"/>
    <x v="0"/>
    <x v="0"/>
    <x v="0"/>
    <x v="0"/>
    <x v="0"/>
    <m/>
    <x v="0"/>
    <x v="1"/>
    <x v="0"/>
    <x v="0"/>
    <x v="0"/>
    <x v="3"/>
    <n v="412.68145454545453"/>
    <n v="169.19940909090909"/>
    <n v="3722387"/>
    <d v="2024-07-20T00:00:00"/>
    <x v="0"/>
  </r>
  <r>
    <x v="821"/>
    <d v="2024-06-21T00:00:00"/>
    <x v="820"/>
    <d v="2024-06-20T00:00:00"/>
    <x v="0"/>
    <x v="0"/>
    <n v="300"/>
    <x v="1"/>
    <x v="0"/>
    <n v="3204.16"/>
    <n v="7.15"/>
    <n v="0"/>
    <n v="0"/>
    <x v="5"/>
    <s v="DYES (SYNOZOL)"/>
    <n v="610484"/>
    <x v="0"/>
    <n v="280822"/>
    <x v="0"/>
    <m/>
    <m/>
    <x v="0"/>
    <x v="0"/>
    <x v="0"/>
    <x v="0"/>
    <x v="0"/>
    <x v="0"/>
    <m/>
    <x v="0"/>
    <x v="1"/>
    <x v="0"/>
    <x v="0"/>
    <x v="0"/>
    <x v="4"/>
    <n v="2034.9466666666667"/>
    <n v="936.07333333333338"/>
    <n v="0"/>
    <d v="2024-07-21T00:00:00"/>
    <x v="0"/>
  </r>
  <r>
    <x v="822"/>
    <d v="2024-06-26T00:00:00"/>
    <x v="821"/>
    <d v="2024-06-26T00:00:00"/>
    <x v="1"/>
    <x v="1"/>
    <n v="888"/>
    <x v="1"/>
    <x v="0"/>
    <n v="5807.9"/>
    <n v="8.1295000000000002"/>
    <n v="888"/>
    <n v="888"/>
    <x v="9"/>
    <s v="Piping Cord"/>
    <n v="2054583"/>
    <x v="0"/>
    <n v="842379"/>
    <x v="0"/>
    <m/>
    <m/>
    <x v="0"/>
    <x v="0"/>
    <x v="0"/>
    <x v="0"/>
    <x v="0"/>
    <x v="0"/>
    <m/>
    <x v="0"/>
    <x v="1"/>
    <x v="0"/>
    <x v="0"/>
    <x v="0"/>
    <x v="6"/>
    <n v="2313.7195945945946"/>
    <n v="948.625"/>
    <n v="842379"/>
    <d v="2024-07-01T00:00:00"/>
    <x v="0"/>
  </r>
  <r>
    <x v="823"/>
    <d v="2024-07-01T00:00:00"/>
    <x v="822"/>
    <d v="2024-06-27T00:00:00"/>
    <x v="0"/>
    <x v="1"/>
    <n v="81600"/>
    <x v="1"/>
    <x v="0"/>
    <n v="2847"/>
    <n v="0.46"/>
    <n v="81600"/>
    <n v="81600"/>
    <x v="12"/>
    <s v="HYDROGEN PEROXIDE 50%"/>
    <n v="10679213"/>
    <x v="0"/>
    <n v="4378477"/>
    <x v="0"/>
    <m/>
    <m/>
    <x v="0"/>
    <x v="0"/>
    <x v="0"/>
    <x v="0"/>
    <x v="0"/>
    <x v="0"/>
    <m/>
    <x v="0"/>
    <x v="1"/>
    <x v="0"/>
    <x v="0"/>
    <x v="0"/>
    <x v="5"/>
    <n v="130.87270833333332"/>
    <n v="53.657806372549018"/>
    <n v="4378477"/>
    <d v="2024-07-31T00:00:00"/>
    <x v="0"/>
  </r>
  <r>
    <x v="824"/>
    <d v="2024-07-01T00:00:00"/>
    <x v="823"/>
    <d v="2024-06-29T00:00:00"/>
    <x v="0"/>
    <x v="1"/>
    <n v="22000"/>
    <x v="1"/>
    <x v="0"/>
    <n v="5402.33"/>
    <n v="1.45"/>
    <n v="22000"/>
    <n v="22000"/>
    <x v="6"/>
    <s v="100% POLYESTER MVS UNWAXED FOR AIRJET WEAVING YARN 24/1"/>
    <n v="9072484"/>
    <x v="0"/>
    <n v="3719718"/>
    <x v="0"/>
    <m/>
    <m/>
    <x v="0"/>
    <x v="0"/>
    <x v="0"/>
    <x v="0"/>
    <x v="0"/>
    <x v="0"/>
    <m/>
    <x v="0"/>
    <x v="1"/>
    <x v="0"/>
    <x v="0"/>
    <x v="0"/>
    <x v="3"/>
    <n v="412.38563636363637"/>
    <n v="169.07809090909092"/>
    <n v="3719718"/>
    <d v="2024-07-31T00:00:00"/>
    <x v="0"/>
  </r>
  <r>
    <x v="825"/>
    <d v="2024-07-05T00:00:00"/>
    <x v="824"/>
    <d v="2024-07-01T00:00:00"/>
    <x v="1"/>
    <x v="0"/>
    <n v="51"/>
    <x v="1"/>
    <x v="0"/>
    <n v="4821.8999999999996"/>
    <n v="20.631699999999999"/>
    <n v="0"/>
    <n v="0"/>
    <x v="9"/>
    <s v="HANG TAG (QTY: 61425 PCS)"/>
    <n v="299255"/>
    <x v="0"/>
    <n v="137658"/>
    <x v="0"/>
    <m/>
    <m/>
    <x v="0"/>
    <x v="0"/>
    <x v="0"/>
    <x v="0"/>
    <x v="0"/>
    <x v="0"/>
    <m/>
    <x v="0"/>
    <x v="1"/>
    <x v="0"/>
    <x v="0"/>
    <x v="0"/>
    <x v="6"/>
    <n v="5867.7450980392159"/>
    <n v="2699.1764705882351"/>
    <n v="0"/>
    <d v="2024-07-10T00:00:00"/>
    <x v="0"/>
  </r>
  <r>
    <x v="826"/>
    <d v="2024-07-02T00:00:00"/>
    <x v="825"/>
    <d v="2024-07-01T00:00:00"/>
    <x v="1"/>
    <x v="0"/>
    <n v="55"/>
    <x v="1"/>
    <x v="0"/>
    <n v="4821.8999999999996"/>
    <n v="28.124700000000001"/>
    <n v="0"/>
    <n v="0"/>
    <x v="9"/>
    <s v="LABELS (QTY: 36759 PCS)"/>
    <n v="439933"/>
    <x v="0"/>
    <n v="202369"/>
    <x v="0"/>
    <m/>
    <m/>
    <x v="0"/>
    <x v="0"/>
    <x v="0"/>
    <x v="0"/>
    <x v="0"/>
    <x v="0"/>
    <m/>
    <x v="0"/>
    <x v="1"/>
    <x v="0"/>
    <x v="0"/>
    <x v="0"/>
    <x v="6"/>
    <n v="7998.7818181818184"/>
    <n v="3679.4363636363637"/>
    <n v="0"/>
    <d v="2024-07-07T00:00:00"/>
    <x v="0"/>
  </r>
  <r>
    <x v="827"/>
    <d v="2024-07-05T00:00:00"/>
    <x v="826"/>
    <d v="2024-07-03T00:00:00"/>
    <x v="0"/>
    <x v="0"/>
    <n v="19040"/>
    <x v="1"/>
    <x v="0"/>
    <n v="2915.11"/>
    <n v="0.6"/>
    <n v="0"/>
    <n v="0"/>
    <x v="12"/>
    <s v="FORMIC ACID 85%"/>
    <n v="3248447"/>
    <x v="0"/>
    <n v="1494286"/>
    <x v="0"/>
    <m/>
    <m/>
    <x v="0"/>
    <x v="0"/>
    <x v="0"/>
    <x v="0"/>
    <x v="0"/>
    <x v="0"/>
    <m/>
    <x v="0"/>
    <x v="1"/>
    <x v="0"/>
    <x v="0"/>
    <x v="0"/>
    <x v="5"/>
    <n v="170.61171218487394"/>
    <n v="78.481407563025215"/>
    <n v="0"/>
    <d v="2024-08-04T00:00:00"/>
    <x v="0"/>
  </r>
  <r>
    <x v="828"/>
    <d v="2024-07-05T00:00:00"/>
    <x v="827"/>
    <d v="2024-07-04T00:00:00"/>
    <x v="0"/>
    <x v="1"/>
    <n v="19300"/>
    <x v="1"/>
    <x v="0"/>
    <n v="3906.9029999999998"/>
    <s v="3.20 / 1.55"/>
    <n v="19300"/>
    <n v="19300"/>
    <x v="12"/>
    <s v="CHEMICALS PRIGEN DLS"/>
    <n v="15710324"/>
    <x v="0"/>
    <n v="5184407"/>
    <x v="0"/>
    <m/>
    <m/>
    <x v="0"/>
    <x v="0"/>
    <x v="0"/>
    <x v="0"/>
    <x v="0"/>
    <x v="0"/>
    <m/>
    <x v="0"/>
    <x v="1"/>
    <x v="0"/>
    <x v="0"/>
    <x v="0"/>
    <x v="5"/>
    <n v="814.00642487046628"/>
    <n v="268.62212435233158"/>
    <n v="5184406.9999999991"/>
    <d v="2024-08-04T00:00:00"/>
    <x v="0"/>
  </r>
  <r>
    <x v="829"/>
    <d v="2024-07-05T00:00:00"/>
    <x v="828"/>
    <d v="2024-07-04T00:00:00"/>
    <x v="0"/>
    <x v="1"/>
    <n v="16500"/>
    <x v="1"/>
    <x v="0"/>
    <n v="3809.9189999999999"/>
    <n v="1.95"/>
    <n v="16500"/>
    <n v="16500"/>
    <x v="12"/>
    <s v="SOFTENER FLAKE V17"/>
    <n v="9150695"/>
    <x v="0"/>
    <n v="4209319"/>
    <x v="0"/>
    <m/>
    <m/>
    <x v="0"/>
    <x v="0"/>
    <x v="0"/>
    <x v="0"/>
    <x v="0"/>
    <x v="0"/>
    <m/>
    <x v="0"/>
    <x v="1"/>
    <x v="0"/>
    <x v="0"/>
    <x v="0"/>
    <x v="5"/>
    <n v="554.58757575757579"/>
    <n v="255.11024242424241"/>
    <n v="4209319"/>
    <d v="2024-08-04T00:00:00"/>
    <x v="0"/>
  </r>
  <r>
    <x v="830"/>
    <d v="2024-07-05T00:00:00"/>
    <x v="829"/>
    <d v="2024-07-04T00:00:00"/>
    <x v="0"/>
    <x v="1"/>
    <n v="22000"/>
    <x v="1"/>
    <x v="0"/>
    <n v="5402.33"/>
    <n v="1.45"/>
    <n v="22000"/>
    <n v="22000"/>
    <x v="6"/>
    <s v="100% POLYESTER MVS UNWAXED FOR AIRJET WEAVING YARN 24/1"/>
    <n v="9072484"/>
    <x v="0"/>
    <n v="3719718"/>
    <x v="0"/>
    <m/>
    <m/>
    <x v="0"/>
    <x v="0"/>
    <x v="0"/>
    <x v="0"/>
    <x v="0"/>
    <x v="0"/>
    <m/>
    <x v="0"/>
    <x v="1"/>
    <x v="0"/>
    <x v="0"/>
    <x v="0"/>
    <x v="3"/>
    <n v="412.38563636363637"/>
    <n v="169.07809090909092"/>
    <n v="3719718"/>
    <d v="2024-08-04T00:00:00"/>
    <x v="0"/>
  </r>
  <r>
    <x v="831"/>
    <d v="2024-07-05T00:00:00"/>
    <x v="830"/>
    <d v="2024-07-04T00:00:00"/>
    <x v="0"/>
    <x v="1"/>
    <n v="25600"/>
    <x v="1"/>
    <x v="0"/>
    <n v="3910"/>
    <n v="1.55"/>
    <n v="25600"/>
    <n v="25600"/>
    <x v="12"/>
    <s v="SILICONE HT-40"/>
    <n v="17109737"/>
    <x v="0"/>
    <n v="5132921"/>
    <x v="0"/>
    <m/>
    <m/>
    <x v="0"/>
    <x v="0"/>
    <x v="0"/>
    <x v="0"/>
    <x v="0"/>
    <x v="0"/>
    <m/>
    <x v="0"/>
    <x v="1"/>
    <x v="0"/>
    <x v="0"/>
    <x v="0"/>
    <x v="5"/>
    <n v="668.34910156249998"/>
    <n v="200.5047265625"/>
    <n v="5132921"/>
    <d v="2024-08-04T00:00:00"/>
    <x v="0"/>
  </r>
  <r>
    <x v="832"/>
    <d v="2024-07-04T00:00:00"/>
    <x v="831"/>
    <d v="2024-07-04T00:00:00"/>
    <x v="0"/>
    <x v="1"/>
    <n v="21800"/>
    <x v="1"/>
    <x v="0"/>
    <n v="3809.9189999999999"/>
    <n v="1.66"/>
    <n v="21800"/>
    <n v="21800"/>
    <x v="12"/>
    <s v="DROPSIZE PS150"/>
    <n v="11068338"/>
    <x v="0"/>
    <n v="5091436"/>
    <x v="0"/>
    <m/>
    <m/>
    <x v="0"/>
    <x v="0"/>
    <x v="0"/>
    <x v="0"/>
    <x v="0"/>
    <x v="0"/>
    <m/>
    <x v="0"/>
    <x v="1"/>
    <x v="0"/>
    <x v="0"/>
    <x v="0"/>
    <x v="5"/>
    <n v="507.72192660550456"/>
    <n v="233.55211009174312"/>
    <n v="5091436"/>
    <d v="2024-08-03T00:00:00"/>
    <x v="0"/>
  </r>
  <r>
    <x v="833"/>
    <d v="2024-07-05T00:00:00"/>
    <x v="832"/>
    <d v="2024-07-04T00:00:00"/>
    <x v="0"/>
    <x v="1"/>
    <n v="8099"/>
    <x v="1"/>
    <x v="0"/>
    <n v="5407.52"/>
    <n v="12.988099999999999"/>
    <n v="8099"/>
    <n v="8099"/>
    <x v="11"/>
    <s v="100% NYLON CORDURA 500D*500D BRANDED CORDURA FULL WIDTH :150CM"/>
    <n v="29916621"/>
    <x v="0"/>
    <n v="13761646"/>
    <x v="0"/>
    <m/>
    <m/>
    <x v="0"/>
    <x v="0"/>
    <x v="0"/>
    <x v="0"/>
    <x v="0"/>
    <x v="0"/>
    <m/>
    <x v="0"/>
    <x v="1"/>
    <x v="0"/>
    <x v="0"/>
    <x v="0"/>
    <x v="2"/>
    <n v="3693.8660328435608"/>
    <n v="1699.1784170885294"/>
    <n v="13761646"/>
    <d v="2024-08-04T00:00:00"/>
    <x v="0"/>
  </r>
  <r>
    <x v="834"/>
    <d v="2024-07-05T00:00:00"/>
    <x v="833"/>
    <d v="2024-07-05T00:00:00"/>
    <x v="0"/>
    <x v="1"/>
    <n v="2214.8000000000002"/>
    <x v="1"/>
    <x v="0"/>
    <n v="5509.99"/>
    <n v="0.98040000000000005"/>
    <n v="2214.8000000000002"/>
    <n v="2214.8000000000002"/>
    <x v="3"/>
    <s v="70% COTTON 20% RECYCLED PET 100% PCR YARN NM34"/>
    <n v="666726"/>
    <x v="0"/>
    <n v="273358"/>
    <x v="0"/>
    <m/>
    <m/>
    <x v="0"/>
    <x v="0"/>
    <x v="0"/>
    <x v="0"/>
    <x v="0"/>
    <x v="0"/>
    <m/>
    <x v="0"/>
    <x v="1"/>
    <x v="0"/>
    <x v="0"/>
    <x v="0"/>
    <x v="3"/>
    <n v="301.03214737222322"/>
    <n v="123.42333393534403"/>
    <n v="273358"/>
    <d v="2024-08-04T00:00:00"/>
    <x v="0"/>
  </r>
  <r>
    <x v="835"/>
    <d v="2024-07-08T00:00:00"/>
    <x v="834"/>
    <d v="2024-07-06T00:00:00"/>
    <x v="0"/>
    <x v="1"/>
    <n v="2077"/>
    <x v="1"/>
    <x v="0"/>
    <n v="5210.41"/>
    <n v="22.76"/>
    <n v="2077"/>
    <n v="2077"/>
    <x v="2"/>
    <s v="Blended Fabric (58%ORGANIC COTTON 39%RECYCLE POLY 3%SPDX EFFEN WEEFSEL 58% BIO KAT 39% REC.PES3%)"/>
    <n v="14565179"/>
    <x v="0"/>
    <n v="5971723"/>
    <x v="0"/>
    <m/>
    <m/>
    <x v="0"/>
    <x v="0"/>
    <x v="0"/>
    <x v="0"/>
    <x v="0"/>
    <x v="0"/>
    <m/>
    <x v="0"/>
    <x v="1"/>
    <x v="0"/>
    <x v="0"/>
    <x v="0"/>
    <x v="2"/>
    <n v="7012.6042368801154"/>
    <n v="2875.1675493500243"/>
    <n v="5971723"/>
    <d v="2024-08-07T00:00:00"/>
    <x v="0"/>
  </r>
  <r>
    <x v="835"/>
    <d v="2024-07-19T00:00:00"/>
    <x v="835"/>
    <d v="2024-07-08T00:00:00"/>
    <x v="1"/>
    <x v="1"/>
    <n v="4.5"/>
    <x v="1"/>
    <x v="0"/>
    <n v="4821.8999999999996"/>
    <n v="878.44"/>
    <n v="4.5"/>
    <n v="4.5"/>
    <x v="9"/>
    <s v="RFID LABELS (QTY: 15000 PCS)"/>
    <n v="1217882"/>
    <x v="0"/>
    <n v="560226"/>
    <x v="0"/>
    <m/>
    <m/>
    <x v="0"/>
    <x v="0"/>
    <x v="0"/>
    <x v="0"/>
    <x v="0"/>
    <x v="0"/>
    <m/>
    <x v="0"/>
    <x v="1"/>
    <x v="0"/>
    <x v="0"/>
    <x v="0"/>
    <x v="6"/>
    <n v="270640.44444444444"/>
    <n v="124494.66666666667"/>
    <n v="560226"/>
    <d v="2024-07-24T00:00:00"/>
    <x v="0"/>
  </r>
  <r>
    <x v="835"/>
    <d v="2024-07-10T00:00:00"/>
    <x v="836"/>
    <d v="2024-07-08T00:00:00"/>
    <x v="1"/>
    <x v="1"/>
    <n v="396"/>
    <x v="1"/>
    <x v="0"/>
    <n v="4821.8999999999996"/>
    <n v="13.81"/>
    <n v="396"/>
    <n v="396"/>
    <x v="9"/>
    <s v="PAPER HANG TAG (QTY: 478224 PCS)"/>
    <n v="1555782"/>
    <x v="0"/>
    <n v="715660"/>
    <x v="0"/>
    <m/>
    <m/>
    <x v="0"/>
    <x v="0"/>
    <x v="0"/>
    <x v="0"/>
    <x v="0"/>
    <x v="0"/>
    <m/>
    <x v="0"/>
    <x v="1"/>
    <x v="0"/>
    <x v="0"/>
    <x v="0"/>
    <x v="6"/>
    <n v="3928.742424242424"/>
    <n v="1807.2222222222222"/>
    <n v="715660"/>
    <d v="2024-07-15T00:00:00"/>
    <x v="0"/>
  </r>
  <r>
    <x v="835"/>
    <d v="2024-07-11T00:00:00"/>
    <x v="837"/>
    <d v="2024-07-10T00:00:00"/>
    <x v="1"/>
    <x v="1"/>
    <n v="135"/>
    <x v="1"/>
    <x v="0"/>
    <n v="4821.1090000000004"/>
    <n v="21.74"/>
    <n v="135"/>
    <n v="135"/>
    <x v="9"/>
    <s v="PLAIN LABEL RF 4X4 (QTY: 300000/PCS)"/>
    <n v="1067776"/>
    <x v="0"/>
    <n v="533888"/>
    <x v="0"/>
    <m/>
    <m/>
    <x v="0"/>
    <x v="0"/>
    <x v="0"/>
    <x v="0"/>
    <x v="0"/>
    <x v="0"/>
    <m/>
    <x v="0"/>
    <x v="1"/>
    <x v="0"/>
    <x v="0"/>
    <x v="0"/>
    <x v="6"/>
    <n v="7909.4518518518516"/>
    <n v="3954.7259259259258"/>
    <n v="533888"/>
    <d v="2024-07-16T00:00:00"/>
    <x v="0"/>
  </r>
  <r>
    <x v="835"/>
    <d v="2024-07-11T00:00:00"/>
    <x v="838"/>
    <d v="2024-07-10T00:00:00"/>
    <x v="1"/>
    <x v="1"/>
    <n v="114.25999999999999"/>
    <x v="1"/>
    <x v="0"/>
    <n v="9606.2919999999995"/>
    <s v="12.55 / 13.62 "/>
    <n v="114.25999999999999"/>
    <n v="114.25999999999999"/>
    <x v="9"/>
    <s v="Button"/>
    <n v="424695"/>
    <x v="0"/>
    <n v="174124"/>
    <x v="0"/>
    <m/>
    <m/>
    <x v="0"/>
    <x v="0"/>
    <x v="0"/>
    <x v="0"/>
    <x v="0"/>
    <x v="0"/>
    <m/>
    <x v="0"/>
    <x v="1"/>
    <x v="0"/>
    <x v="0"/>
    <x v="0"/>
    <x v="6"/>
    <n v="3716.9175564502016"/>
    <n v="1523.9278837738493"/>
    <n v="174124"/>
    <d v="2024-07-16T00:00:00"/>
    <x v="0"/>
  </r>
  <r>
    <x v="835"/>
    <d v="2024-07-11T00:00:00"/>
    <x v="838"/>
    <d v="2024-07-10T00:00:00"/>
    <x v="1"/>
    <x v="1"/>
    <n v="184.05"/>
    <x v="1"/>
    <x v="0"/>
    <n v="7318.23"/>
    <s v="21.45 / 22.29"/>
    <n v="114.25999999999999"/>
    <n v="184.05"/>
    <x v="9"/>
    <s v="RIVETS/Cap"/>
    <n v="1144699"/>
    <x v="0"/>
    <n v="572350"/>
    <x v="0"/>
    <m/>
    <m/>
    <x v="0"/>
    <x v="0"/>
    <x v="0"/>
    <x v="0"/>
    <x v="0"/>
    <x v="0"/>
    <m/>
    <x v="0"/>
    <x v="1"/>
    <x v="0"/>
    <x v="0"/>
    <x v="0"/>
    <x v="6"/>
    <n v="6219.5001358326535"/>
    <n v="3109.7527845694103"/>
    <n v="355320.35316490079"/>
    <d v="2024-07-16T00:00:00"/>
    <x v="0"/>
  </r>
  <r>
    <x v="835"/>
    <d v="2024-07-11T00:00:00"/>
    <x v="839"/>
    <d v="2024-07-10T00:00:00"/>
    <x v="1"/>
    <x v="1"/>
    <n v="9125"/>
    <x v="1"/>
    <x v="0"/>
    <n v="3926.9099000000001"/>
    <n v="7.0000000000000007E-2"/>
    <n v="9125"/>
    <n v="9125"/>
    <x v="9"/>
    <s v="PATCH SILICONE"/>
    <n v="173680"/>
    <x v="0"/>
    <n v="86840"/>
    <x v="0"/>
    <m/>
    <m/>
    <x v="0"/>
    <x v="0"/>
    <x v="0"/>
    <x v="0"/>
    <x v="0"/>
    <x v="0"/>
    <m/>
    <x v="0"/>
    <x v="1"/>
    <x v="0"/>
    <x v="0"/>
    <x v="0"/>
    <x v="6"/>
    <n v="19.033424657534248"/>
    <n v="9.5167123287671238"/>
    <n v="86840"/>
    <d v="2024-07-16T00:00:00"/>
    <x v="0"/>
  </r>
  <r>
    <x v="835"/>
    <d v="2024-07-11T00:00:00"/>
    <x v="839"/>
    <d v="2024-07-10T00:00:00"/>
    <x v="1"/>
    <x v="1"/>
    <n v="229.5"/>
    <x v="1"/>
    <x v="0"/>
    <n v="9606.2099999999991"/>
    <n v="7.38"/>
    <n v="9125"/>
    <n v="229.5"/>
    <x v="9"/>
    <s v="PATCH SILICONE"/>
    <n v="481936"/>
    <x v="0"/>
    <n v="221690"/>
    <x v="0"/>
    <m/>
    <m/>
    <x v="0"/>
    <x v="0"/>
    <x v="0"/>
    <x v="0"/>
    <x v="0"/>
    <x v="0"/>
    <m/>
    <x v="0"/>
    <x v="1"/>
    <x v="0"/>
    <x v="0"/>
    <x v="0"/>
    <x v="6"/>
    <n v="2099.9389978213508"/>
    <n v="965.96949891067538"/>
    <n v="8814471.6775599122"/>
    <d v="2024-07-16T00:00:00"/>
    <x v="0"/>
  </r>
  <r>
    <x v="835"/>
    <d v="2024-07-12T00:00:00"/>
    <x v="840"/>
    <d v="2024-07-10T00:00:00"/>
    <x v="0"/>
    <x v="0"/>
    <n v="25596"/>
    <x v="1"/>
    <x v="0"/>
    <n v="5201.009"/>
    <n v="2"/>
    <n v="0"/>
    <n v="0"/>
    <x v="0"/>
    <s v="Raw Cotton"/>
    <n v="14528743"/>
    <x v="0"/>
    <n v="4358623"/>
    <x v="0"/>
    <m/>
    <m/>
    <x v="0"/>
    <x v="0"/>
    <x v="0"/>
    <x v="0"/>
    <x v="0"/>
    <x v="0"/>
    <m/>
    <x v="0"/>
    <x v="1"/>
    <x v="0"/>
    <x v="0"/>
    <x v="0"/>
    <x v="0"/>
    <n v="567.6177137052664"/>
    <n v="170.28531801844039"/>
    <n v="0"/>
    <d v="2024-08-11T00:00:00"/>
    <x v="0"/>
  </r>
  <r>
    <x v="835"/>
    <d v="2024-07-12T00:00:00"/>
    <x v="841"/>
    <d v="2024-07-10T00:00:00"/>
    <x v="0"/>
    <x v="2"/>
    <n v="19040"/>
    <x v="1"/>
    <x v="0"/>
    <n v="2915.11"/>
    <n v="0.6"/>
    <n v="0"/>
    <n v="19040"/>
    <x v="12"/>
    <s v="FORMIC ACID 85%"/>
    <n v="3250195"/>
    <x v="0"/>
    <n v="1495089"/>
    <x v="0"/>
    <m/>
    <m/>
    <x v="0"/>
    <x v="0"/>
    <x v="0"/>
    <x v="0"/>
    <x v="0"/>
    <x v="0"/>
    <m/>
    <x v="0"/>
    <x v="1"/>
    <x v="0"/>
    <x v="0"/>
    <x v="0"/>
    <x v="5"/>
    <n v="170.70351890756302"/>
    <n v="78.523581932773112"/>
    <n v="0"/>
    <d v="2024-08-11T00:00:00"/>
    <x v="0"/>
  </r>
  <r>
    <x v="835"/>
    <d v="2024-07-19T00:00:00"/>
    <x v="842"/>
    <d v="2024-07-11T00:00:00"/>
    <x v="1"/>
    <x v="1"/>
    <n v="68"/>
    <x v="1"/>
    <x v="0"/>
    <n v="4821.8999999999996"/>
    <n v="495.62"/>
    <n v="68"/>
    <n v="68"/>
    <x v="9"/>
    <s v="SMART TAG (QTY: 150 000 PCS)"/>
    <n v="10377080"/>
    <x v="0"/>
    <n v="4773457"/>
    <x v="0"/>
    <m/>
    <m/>
    <x v="0"/>
    <x v="0"/>
    <x v="0"/>
    <x v="0"/>
    <x v="0"/>
    <x v="0"/>
    <m/>
    <x v="0"/>
    <x v="1"/>
    <x v="0"/>
    <x v="0"/>
    <x v="0"/>
    <x v="6"/>
    <n v="152604.11764705883"/>
    <n v="70197.897058823524"/>
    <n v="4773457"/>
    <d v="2024-07-24T00:00:00"/>
    <x v="0"/>
  </r>
  <r>
    <x v="835"/>
    <d v="2024-07-20T00:00:00"/>
    <x v="843"/>
    <d v="2024-07-12T00:00:00"/>
    <x v="1"/>
    <x v="1"/>
    <n v="105000"/>
    <x v="1"/>
    <x v="0"/>
    <n v="8523.5990000000002"/>
    <n v="0.06"/>
    <n v="105000"/>
    <n v="105000"/>
    <x v="9"/>
    <s v="SECURITY LABEL QTY = 105000 PCS  BRAND/ORIGIN: NOT SHOWN (SHIPPED FROM CHINA)."/>
    <n v="1675882"/>
    <x v="0"/>
    <n v="687112"/>
    <x v="0"/>
    <m/>
    <m/>
    <x v="0"/>
    <x v="0"/>
    <x v="0"/>
    <x v="0"/>
    <x v="0"/>
    <x v="0"/>
    <m/>
    <x v="0"/>
    <x v="1"/>
    <x v="0"/>
    <x v="0"/>
    <x v="0"/>
    <x v="6"/>
    <n v="15.960780952380953"/>
    <n v="6.5439238095238093"/>
    <n v="687112"/>
    <d v="2024-07-25T00:00:00"/>
    <x v="0"/>
  </r>
  <r>
    <x v="835"/>
    <d v="2024-07-15T00:00:00"/>
    <x v="844"/>
    <d v="2024-07-12T00:00:00"/>
    <x v="1"/>
    <x v="1"/>
    <n v="21000"/>
    <x v="1"/>
    <x v="0"/>
    <n v="8523.5990000000002"/>
    <n v="0.06"/>
    <n v="21000"/>
    <n v="21000"/>
    <x v="9"/>
    <s v="SECURITY LABEL (QTY: 21000 PCS) DETAIL AS PER INVOICE (UNDER: EXPORT FACILITATION SCHEMES)"/>
    <n v="351308"/>
    <x v="0"/>
    <n v="144036"/>
    <x v="0"/>
    <m/>
    <m/>
    <x v="0"/>
    <x v="0"/>
    <x v="0"/>
    <x v="0"/>
    <x v="0"/>
    <x v="0"/>
    <m/>
    <x v="0"/>
    <x v="1"/>
    <x v="0"/>
    <x v="0"/>
    <x v="0"/>
    <x v="6"/>
    <n v="16.728952380952382"/>
    <n v="6.8588571428571425"/>
    <n v="144036"/>
    <d v="2024-07-20T00:00:00"/>
    <x v="0"/>
  </r>
  <r>
    <x v="835"/>
    <d v="2024-07-19T00:00:00"/>
    <x v="845"/>
    <d v="2024-07-13T00:00:00"/>
    <x v="0"/>
    <x v="1"/>
    <n v="15080"/>
    <x v="1"/>
    <x v="0"/>
    <n v="3809.9189999999999"/>
    <s v="1.95 / 3.45"/>
    <n v="15080"/>
    <n v="15080"/>
    <x v="12"/>
    <s v="TEXTILE CHEMICALS ( POLYPAN CONS ), TEXTILE CHEMICAL ( POLY SOFT ESQ CONS )"/>
    <n v="14345946"/>
    <x v="0"/>
    <n v="6599134"/>
    <x v="0"/>
    <m/>
    <m/>
    <x v="0"/>
    <x v="0"/>
    <x v="0"/>
    <x v="0"/>
    <x v="0"/>
    <x v="0"/>
    <m/>
    <x v="0"/>
    <x v="1"/>
    <x v="0"/>
    <x v="0"/>
    <x v="0"/>
    <x v="5"/>
    <n v="951.32267904509285"/>
    <n v="437.60835543766581"/>
    <n v="6599134"/>
    <d v="2024-08-18T00:00:00"/>
    <x v="0"/>
  </r>
  <r>
    <x v="835"/>
    <d v="2024-07-20T00:00:00"/>
    <x v="846"/>
    <d v="2024-07-15T00:00:00"/>
    <x v="1"/>
    <x v="1"/>
    <n v="133"/>
    <x v="1"/>
    <x v="0"/>
    <n v="6006.32"/>
    <n v="19.03"/>
    <n v="133"/>
    <n v="133"/>
    <x v="9"/>
    <s v="CIRCULAR KNIT CUFFING/POLYESTER FABRIC  ETC (QTY: 2120 MTR)"/>
    <n v="720457"/>
    <x v="0"/>
    <n v="295387"/>
    <x v="0"/>
    <m/>
    <m/>
    <x v="0"/>
    <x v="0"/>
    <x v="0"/>
    <x v="0"/>
    <x v="0"/>
    <x v="0"/>
    <m/>
    <x v="0"/>
    <x v="1"/>
    <x v="0"/>
    <x v="0"/>
    <x v="0"/>
    <x v="6"/>
    <n v="5416.9699248120305"/>
    <n v="2220.9548872180453"/>
    <n v="295387"/>
    <d v="2024-07-25T00:00:00"/>
    <x v="0"/>
  </r>
  <r>
    <x v="835"/>
    <d v="2024-07-18T00:00:00"/>
    <x v="847"/>
    <d v="2024-07-15T00:00:00"/>
    <x v="0"/>
    <x v="0"/>
    <n v="25175"/>
    <x v="1"/>
    <x v="0"/>
    <n v="5201.009"/>
    <n v="2"/>
    <n v="0"/>
    <n v="0"/>
    <x v="0"/>
    <s v="Raw Cotton"/>
    <n v="14294899"/>
    <x v="0"/>
    <n v="4288470"/>
    <x v="0"/>
    <m/>
    <m/>
    <x v="0"/>
    <x v="0"/>
    <x v="0"/>
    <x v="0"/>
    <x v="0"/>
    <x v="0"/>
    <m/>
    <x v="0"/>
    <x v="1"/>
    <x v="0"/>
    <x v="0"/>
    <x v="0"/>
    <x v="0"/>
    <n v="567.8212115193644"/>
    <n v="170.34637537239325"/>
    <n v="0"/>
    <d v="2024-08-17T00:00:00"/>
    <x v="0"/>
  </r>
  <r>
    <x v="835"/>
    <d v="2024-07-18T00:00:00"/>
    <x v="848"/>
    <d v="2024-07-15T00:00:00"/>
    <x v="0"/>
    <x v="2"/>
    <n v="461512"/>
    <x v="1"/>
    <x v="0"/>
    <n v="5201.009"/>
    <n v="2"/>
    <n v="363758.89"/>
    <n v="461512"/>
    <x v="0"/>
    <s v="Raw Cotton"/>
    <n v="262056307"/>
    <x v="0"/>
    <n v="78616892"/>
    <x v="0"/>
    <m/>
    <m/>
    <x v="0"/>
    <x v="0"/>
    <x v="0"/>
    <x v="0"/>
    <x v="0"/>
    <x v="0"/>
    <m/>
    <x v="0"/>
    <x v="1"/>
    <x v="0"/>
    <x v="0"/>
    <x v="0"/>
    <x v="0"/>
    <n v="567.82122024996102"/>
    <n v="170.34636585830921"/>
    <n v="61965004.960152462"/>
    <d v="2024-08-17T00:00:00"/>
    <x v="0"/>
  </r>
  <r>
    <x v="835"/>
    <d v="2024-07-22T00:00:00"/>
    <x v="849"/>
    <d v="2024-07-20T00:00:00"/>
    <x v="0"/>
    <x v="0"/>
    <n v="800"/>
    <x v="1"/>
    <x v="0"/>
    <n v="3204.16"/>
    <n v="32.590000000000003"/>
    <n v="0"/>
    <n v="0"/>
    <x v="5"/>
    <s v="Dyes (NEMOTO`S)"/>
    <n v="7410523"/>
    <x v="0"/>
    <n v="3408841"/>
    <x v="0"/>
    <m/>
    <m/>
    <x v="0"/>
    <x v="0"/>
    <x v="0"/>
    <x v="0"/>
    <x v="0"/>
    <x v="0"/>
    <m/>
    <x v="0"/>
    <x v="1"/>
    <x v="0"/>
    <x v="0"/>
    <x v="0"/>
    <x v="4"/>
    <n v="9263.1537499999995"/>
    <n v="4261.0512500000004"/>
    <n v="0"/>
    <d v="2024-08-21T00:00:00"/>
    <x v="0"/>
  </r>
  <r>
    <x v="835"/>
    <d v="2024-07-23T00:00:00"/>
    <x v="850"/>
    <d v="2024-07-22T00:00:00"/>
    <x v="0"/>
    <x v="1"/>
    <n v="1665.5"/>
    <x v="1"/>
    <x v="0"/>
    <n v="5503.201"/>
    <n v="5.4"/>
    <n v="1665.5"/>
    <n v="1665.5"/>
    <x v="1"/>
    <s v="Polyester Staple Fiber"/>
    <n v="2555156"/>
    <x v="0"/>
    <n v="1047614"/>
    <x v="0"/>
    <m/>
    <m/>
    <x v="0"/>
    <x v="0"/>
    <x v="0"/>
    <x v="0"/>
    <x v="0"/>
    <x v="0"/>
    <m/>
    <x v="0"/>
    <x v="1"/>
    <x v="0"/>
    <x v="0"/>
    <x v="0"/>
    <x v="1"/>
    <n v="1534.1675172620835"/>
    <n v="629.00870609426602"/>
    <n v="1047614"/>
    <d v="2024-08-22T00:00:00"/>
    <x v="0"/>
  </r>
  <r>
    <x v="835"/>
    <d v="2024-07-24T00:00:00"/>
    <x v="851"/>
    <d v="2024-07-23T00:00:00"/>
    <x v="1"/>
    <x v="1"/>
    <n v="388.28"/>
    <x v="1"/>
    <x v="0"/>
    <n v="9607.11"/>
    <n v="20.21"/>
    <n v="388.28"/>
    <n v="388.28"/>
    <x v="9"/>
    <s v="YKK ZIPPERS"/>
    <n v="2229763"/>
    <x v="0"/>
    <n v="1114882"/>
    <x v="0"/>
    <m/>
    <m/>
    <x v="0"/>
    <x v="0"/>
    <x v="0"/>
    <x v="0"/>
    <x v="0"/>
    <x v="0"/>
    <m/>
    <x v="0"/>
    <x v="1"/>
    <x v="0"/>
    <x v="0"/>
    <x v="0"/>
    <x v="6"/>
    <n v="5742.6676625115897"/>
    <n v="2871.3351189862988"/>
    <n v="1114882"/>
    <d v="2024-07-29T00:00:00"/>
    <x v="0"/>
  </r>
  <r>
    <x v="835"/>
    <d v="2024-07-24T00:00:00"/>
    <x v="851"/>
    <d v="2024-07-23T00:00:00"/>
    <x v="1"/>
    <x v="1"/>
    <n v="125.5"/>
    <x v="1"/>
    <x v="0"/>
    <n v="9607.19"/>
    <n v="9.5500000000000007"/>
    <n v="388.28"/>
    <n v="125.5"/>
    <x v="9"/>
    <s v="YKK ZIPPERS"/>
    <n v="340431"/>
    <x v="0"/>
    <n v="156599"/>
    <x v="0"/>
    <m/>
    <m/>
    <x v="0"/>
    <x v="0"/>
    <x v="0"/>
    <x v="0"/>
    <x v="0"/>
    <x v="0"/>
    <m/>
    <x v="0"/>
    <x v="1"/>
    <x v="0"/>
    <x v="0"/>
    <x v="0"/>
    <x v="6"/>
    <n v="2712.597609561753"/>
    <n v="1247.800796812749"/>
    <n v="484496.09338645416"/>
    <d v="2024-07-29T00:00:00"/>
    <x v="0"/>
  </r>
  <r>
    <x v="835"/>
    <d v="2024-07-24T00:00:00"/>
    <x v="851"/>
    <d v="2024-07-23T00:00:00"/>
    <x v="1"/>
    <x v="1"/>
    <n v="12"/>
    <x v="1"/>
    <x v="0"/>
    <n v="9607.2000000000007"/>
    <n v="21.19"/>
    <n v="388.28"/>
    <n v="12"/>
    <x v="9"/>
    <s v="YKK ZIPPERS"/>
    <n v="72240"/>
    <x v="0"/>
    <n v="33230"/>
    <x v="0"/>
    <m/>
    <m/>
    <x v="0"/>
    <x v="0"/>
    <x v="0"/>
    <x v="0"/>
    <x v="0"/>
    <x v="0"/>
    <m/>
    <x v="0"/>
    <x v="1"/>
    <x v="0"/>
    <x v="0"/>
    <x v="0"/>
    <x v="6"/>
    <n v="6020"/>
    <n v="2769.1666666666665"/>
    <n v="1075212.0333333332"/>
    <d v="2024-07-29T00:00:00"/>
    <x v="0"/>
  </r>
  <r>
    <x v="835"/>
    <d v="2024-07-24T00:00:00"/>
    <x v="852"/>
    <d v="2024-07-23T00:00:00"/>
    <x v="1"/>
    <x v="1"/>
    <n v="461.73"/>
    <x v="1"/>
    <x v="0"/>
    <n v="9607.11"/>
    <n v="16.38"/>
    <n v="461.73"/>
    <n v="461.73"/>
    <x v="9"/>
    <s v="YKK ZIPPERS"/>
    <n v="2148369"/>
    <x v="0"/>
    <n v="1074184"/>
    <x v="0"/>
    <m/>
    <m/>
    <x v="0"/>
    <x v="0"/>
    <x v="0"/>
    <x v="0"/>
    <x v="0"/>
    <x v="0"/>
    <m/>
    <x v="0"/>
    <x v="1"/>
    <x v="0"/>
    <x v="0"/>
    <x v="0"/>
    <x v="6"/>
    <n v="4652.8685595477873"/>
    <n v="2326.4331968899573"/>
    <n v="1074184"/>
    <d v="2024-07-29T00:00:00"/>
    <x v="0"/>
  </r>
  <r>
    <x v="835"/>
    <d v="2024-07-24T00:00:00"/>
    <x v="853"/>
    <d v="2024-07-23T00:00:00"/>
    <x v="1"/>
    <x v="1"/>
    <n v="1156"/>
    <x v="1"/>
    <x v="0"/>
    <n v="3923.29"/>
    <n v="3.02"/>
    <n v="1156"/>
    <n v="1156"/>
    <x v="9"/>
    <s v="PACKING BAGS"/>
    <n v="992674"/>
    <x v="0"/>
    <n v="496337"/>
    <x v="0"/>
    <m/>
    <m/>
    <x v="0"/>
    <x v="0"/>
    <x v="0"/>
    <x v="0"/>
    <x v="0"/>
    <x v="0"/>
    <m/>
    <x v="0"/>
    <x v="1"/>
    <x v="0"/>
    <x v="0"/>
    <x v="0"/>
    <x v="6"/>
    <n v="858.71453287197232"/>
    <n v="429.35726643598616"/>
    <n v="496337"/>
    <d v="2024-07-29T00:00:00"/>
    <x v="0"/>
  </r>
  <r>
    <x v="835"/>
    <d v="2024-07-23T00:00:00"/>
    <x v="854"/>
    <d v="2024-07-23T00:00:00"/>
    <x v="0"/>
    <x v="2"/>
    <n v="19040"/>
    <x v="1"/>
    <x v="0"/>
    <n v="2915.11"/>
    <n v="0.6"/>
    <n v="389.93"/>
    <n v="19040"/>
    <x v="12"/>
    <s v="FORMIC ACID 85%"/>
    <n v="3245534"/>
    <x v="0"/>
    <n v="1492945"/>
    <x v="0"/>
    <m/>
    <m/>
    <x v="0"/>
    <x v="0"/>
    <x v="0"/>
    <x v="0"/>
    <x v="0"/>
    <x v="0"/>
    <m/>
    <x v="0"/>
    <x v="1"/>
    <x v="0"/>
    <x v="0"/>
    <x v="0"/>
    <x v="5"/>
    <n v="170.45871848739495"/>
    <n v="78.410976890756302"/>
    <n v="30574.792219012605"/>
    <d v="2024-08-22T00:00:00"/>
    <x v="0"/>
  </r>
  <r>
    <x v="835"/>
    <d v="2024-07-25T00:00:00"/>
    <x v="855"/>
    <d v="2024-07-23T00:00:00"/>
    <x v="0"/>
    <x v="0"/>
    <n v="540"/>
    <x v="1"/>
    <x v="0"/>
    <n v="3204.16"/>
    <n v="6.79"/>
    <n v="0"/>
    <n v="0"/>
    <x v="5"/>
    <s v="DYES ( SCHECOTON)"/>
    <n v="1042072"/>
    <x v="0"/>
    <n v="479354"/>
    <x v="0"/>
    <m/>
    <m/>
    <x v="0"/>
    <x v="0"/>
    <x v="0"/>
    <x v="0"/>
    <x v="0"/>
    <x v="0"/>
    <m/>
    <x v="0"/>
    <x v="1"/>
    <x v="0"/>
    <x v="0"/>
    <x v="0"/>
    <x v="4"/>
    <n v="1929.762962962963"/>
    <n v="887.69259259259263"/>
    <n v="0"/>
    <d v="2024-08-24T00:00:00"/>
    <x v="0"/>
  </r>
  <r>
    <x v="835"/>
    <d v="2024-07-23T00:00:00"/>
    <x v="856"/>
    <d v="2024-07-23T00:00:00"/>
    <x v="0"/>
    <x v="1"/>
    <n v="24000"/>
    <x v="1"/>
    <x v="0"/>
    <n v="3809.9189999999999"/>
    <s v="1.64 / 2.25"/>
    <n v="24000"/>
    <n v="24000"/>
    <x v="12"/>
    <s v="CHEMICALS (VERACARE  / VERAPRO ZF-D LIQ)"/>
    <n v="13238846"/>
    <x v="0"/>
    <n v="6089870"/>
    <x v="0"/>
    <m/>
    <m/>
    <x v="0"/>
    <x v="0"/>
    <x v="0"/>
    <x v="0"/>
    <x v="0"/>
    <x v="0"/>
    <m/>
    <x v="0"/>
    <x v="1"/>
    <x v="0"/>
    <x v="0"/>
    <x v="0"/>
    <x v="5"/>
    <n v="551.61858333333328"/>
    <n v="253.74458333333334"/>
    <n v="6089870"/>
    <d v="2024-08-22T00:00:00"/>
    <x v="0"/>
  </r>
  <r>
    <x v="835"/>
    <d v="2024-07-25T00:00:00"/>
    <x v="857"/>
    <d v="2024-07-24T00:00:00"/>
    <x v="1"/>
    <x v="1"/>
    <n v="260"/>
    <x v="1"/>
    <x v="0"/>
    <n v="9607.11"/>
    <n v="7.74"/>
    <n v="260"/>
    <n v="260"/>
    <x v="9"/>
    <s v="NYLON ZIPPER"/>
    <n v="572063"/>
    <x v="0"/>
    <n v="286032"/>
    <x v="0"/>
    <m/>
    <m/>
    <x v="0"/>
    <x v="0"/>
    <x v="0"/>
    <x v="0"/>
    <x v="0"/>
    <x v="0"/>
    <m/>
    <x v="0"/>
    <x v="1"/>
    <x v="0"/>
    <x v="0"/>
    <x v="0"/>
    <x v="6"/>
    <n v="2200.2423076923078"/>
    <n v="1100.123076923077"/>
    <n v="286032"/>
    <d v="2024-07-30T00:00:00"/>
    <x v="0"/>
  </r>
  <r>
    <x v="835"/>
    <d v="2024-07-25T00:00:00"/>
    <x v="858"/>
    <d v="2024-07-24T00:00:00"/>
    <x v="1"/>
    <x v="1"/>
    <n v="324"/>
    <x v="1"/>
    <x v="0"/>
    <n v="9607.11"/>
    <n v="7.77"/>
    <n v="1"/>
    <n v="324"/>
    <x v="9"/>
    <s v="Zipper"/>
    <n v="715881"/>
    <x v="0"/>
    <n v="357941"/>
    <x v="0"/>
    <m/>
    <m/>
    <x v="0"/>
    <x v="0"/>
    <x v="0"/>
    <x v="0"/>
    <x v="0"/>
    <x v="0"/>
    <m/>
    <x v="0"/>
    <x v="1"/>
    <x v="0"/>
    <x v="0"/>
    <x v="0"/>
    <x v="6"/>
    <n v="2209.5092592592591"/>
    <n v="1104.7561728395062"/>
    <n v="1104.7561728395062"/>
    <d v="2024-07-30T00:00:00"/>
    <x v="0"/>
  </r>
  <r>
    <x v="835"/>
    <d v="2024-07-25T00:00:00"/>
    <x v="858"/>
    <d v="2024-07-24T00:00:00"/>
    <x v="1"/>
    <x v="1"/>
    <n v="1"/>
    <x v="1"/>
    <x v="0"/>
    <n v="9607.2000000000007"/>
    <n v="19.079999999999998"/>
    <n v="1"/>
    <n v="1"/>
    <x v="9"/>
    <s v="Zipper"/>
    <n v="5423"/>
    <x v="0"/>
    <n v="2495"/>
    <x v="0"/>
    <m/>
    <m/>
    <x v="0"/>
    <x v="0"/>
    <x v="0"/>
    <x v="0"/>
    <x v="0"/>
    <x v="0"/>
    <m/>
    <x v="0"/>
    <x v="1"/>
    <x v="0"/>
    <x v="0"/>
    <x v="0"/>
    <x v="6"/>
    <n v="5423"/>
    <n v="2495"/>
    <n v="2495"/>
    <d v="2024-07-30T00:00:00"/>
    <x v="0"/>
  </r>
  <r>
    <x v="835"/>
    <d v="2024-07-24T00:00:00"/>
    <x v="859"/>
    <d v="2024-07-24T00:00:00"/>
    <x v="1"/>
    <x v="1"/>
    <n v="376"/>
    <x v="1"/>
    <x v="0"/>
    <n v="9606.2199999999993"/>
    <n v="42.8"/>
    <n v="376"/>
    <n v="376"/>
    <x v="9"/>
    <s v="METAL SNAP BUTTON"/>
    <n v="4574700"/>
    <x v="0"/>
    <n v="2104362"/>
    <x v="0"/>
    <m/>
    <m/>
    <x v="0"/>
    <x v="0"/>
    <x v="0"/>
    <x v="0"/>
    <x v="0"/>
    <x v="0"/>
    <m/>
    <x v="0"/>
    <x v="1"/>
    <x v="0"/>
    <x v="0"/>
    <x v="0"/>
    <x v="6"/>
    <n v="12166.755319148937"/>
    <n v="5596.7074468085102"/>
    <n v="2104362"/>
    <d v="2024-07-29T00:00:00"/>
    <x v="0"/>
  </r>
  <r>
    <x v="835"/>
    <d v="2024-07-29T00:00:00"/>
    <x v="860"/>
    <d v="2024-07-23T00:00:00"/>
    <x v="1"/>
    <x v="1"/>
    <n v="13000"/>
    <x v="1"/>
    <x v="0"/>
    <n v="8523.5990000000002"/>
    <n v="0.5"/>
    <n v="13000"/>
    <n v="13000"/>
    <x v="9"/>
    <s v="RFID TAGS (QTY: 13000 PCS)"/>
    <n v="2015519"/>
    <x v="0"/>
    <n v="826362"/>
    <x v="0"/>
    <m/>
    <m/>
    <x v="0"/>
    <x v="0"/>
    <x v="0"/>
    <x v="0"/>
    <x v="0"/>
    <x v="0"/>
    <m/>
    <x v="0"/>
    <x v="1"/>
    <x v="0"/>
    <x v="0"/>
    <x v="0"/>
    <x v="6"/>
    <n v="155.03992307692309"/>
    <n v="63.566307692307696"/>
    <n v="826362"/>
    <d v="2024-08-03T00:00:00"/>
    <x v="0"/>
  </r>
  <r>
    <x v="835"/>
    <d v="2024-07-24T00:00:00"/>
    <x v="861"/>
    <d v="2024-07-23T00:00:00"/>
    <x v="1"/>
    <x v="1"/>
    <n v="11042"/>
    <x v="1"/>
    <x v="0"/>
    <n v="9607.19"/>
    <n v="2.64"/>
    <n v="11042"/>
    <n v="11042"/>
    <x v="9"/>
    <s v="NYLON ZIPPER LONG CHAIN WITH PLASTIC SLIDER (QTY:5000/ROLLS AND 300000/PCS)"/>
    <n v="8295505"/>
    <x v="0"/>
    <n v="3815933"/>
    <x v="0"/>
    <m/>
    <m/>
    <x v="0"/>
    <x v="0"/>
    <x v="0"/>
    <x v="0"/>
    <x v="0"/>
    <x v="0"/>
    <m/>
    <x v="0"/>
    <x v="1"/>
    <x v="0"/>
    <x v="0"/>
    <x v="0"/>
    <x v="6"/>
    <n v="751.26833906900924"/>
    <n v="345.58349936605686"/>
    <n v="3815933"/>
    <d v="2024-07-29T00:00:00"/>
    <x v="0"/>
  </r>
  <r>
    <x v="835"/>
    <d v="2024-07-29T00:00:00"/>
    <x v="862"/>
    <d v="2024-07-24T00:00:00"/>
    <x v="0"/>
    <x v="1"/>
    <n v="74176"/>
    <x v="1"/>
    <x v="0"/>
    <n v="5201.009"/>
    <n v="1.88"/>
    <n v="74176"/>
    <n v="74176"/>
    <x v="0"/>
    <s v="Raw Cotton"/>
    <n v="39633493"/>
    <x v="0"/>
    <n v="11890048"/>
    <x v="0"/>
    <m/>
    <m/>
    <x v="0"/>
    <x v="0"/>
    <x v="0"/>
    <x v="0"/>
    <x v="0"/>
    <x v="0"/>
    <m/>
    <x v="0"/>
    <x v="1"/>
    <x v="0"/>
    <x v="0"/>
    <x v="0"/>
    <x v="0"/>
    <n v="534.31693539689388"/>
    <n v="160.29508196721312"/>
    <n v="11890048"/>
    <d v="2024-08-28T00:00:00"/>
    <x v="0"/>
  </r>
  <r>
    <x v="835"/>
    <d v="2024-07-25T00:00:00"/>
    <x v="863"/>
    <d v="2024-07-24T00:00:00"/>
    <x v="1"/>
    <x v="1"/>
    <n v="27.42"/>
    <x v="1"/>
    <x v="0"/>
    <n v="9607.11"/>
    <n v="24.14"/>
    <n v="27.42"/>
    <n v="27.42"/>
    <x v="9"/>
    <s v="YKK ZIPPERS ( QTY 1855 PCS)"/>
    <n v="188179"/>
    <x v="0"/>
    <n v="94089"/>
    <x v="0"/>
    <m/>
    <m/>
    <x v="0"/>
    <x v="0"/>
    <x v="0"/>
    <x v="0"/>
    <x v="0"/>
    <x v="0"/>
    <m/>
    <x v="0"/>
    <x v="1"/>
    <x v="0"/>
    <x v="0"/>
    <x v="0"/>
    <x v="6"/>
    <n v="6862.837345003647"/>
    <n v="3431.4004376367611"/>
    <n v="94089"/>
    <d v="2024-07-30T00:00:00"/>
    <x v="0"/>
  </r>
  <r>
    <x v="835"/>
    <d v="2024-07-24T00:00:00"/>
    <x v="864"/>
    <d v="2024-07-24T00:00:00"/>
    <x v="0"/>
    <x v="1"/>
    <n v="163200"/>
    <x v="1"/>
    <x v="0"/>
    <n v="2847"/>
    <n v="0.46"/>
    <n v="163200"/>
    <n v="163200"/>
    <x v="12"/>
    <s v="HYDROGEN PEROXIDE (50% EXPORT STD)"/>
    <n v="21343110"/>
    <x v="0"/>
    <n v="8750675"/>
    <x v="0"/>
    <m/>
    <m/>
    <x v="0"/>
    <x v="0"/>
    <x v="0"/>
    <x v="0"/>
    <x v="0"/>
    <x v="0"/>
    <m/>
    <x v="0"/>
    <x v="1"/>
    <x v="0"/>
    <x v="0"/>
    <x v="0"/>
    <x v="5"/>
    <n v="130.77886029411764"/>
    <n v="53.619332107843135"/>
    <n v="8750675"/>
    <d v="2024-08-23T00:00:00"/>
    <x v="0"/>
  </r>
  <r>
    <x v="835"/>
    <d v="2024-07-26T00:00:00"/>
    <x v="865"/>
    <d v="2024-07-25T00:00:00"/>
    <x v="0"/>
    <x v="0"/>
    <n v="1000"/>
    <x v="1"/>
    <x v="0"/>
    <n v="3204.16"/>
    <n v="17.62"/>
    <n v="0"/>
    <n v="0"/>
    <x v="5"/>
    <s v="DYES ( BEZAKTIV GREY HP-N)"/>
    <n v="5011196"/>
    <x v="0"/>
    <n v="2305150"/>
    <x v="0"/>
    <m/>
    <m/>
    <x v="0"/>
    <x v="0"/>
    <x v="0"/>
    <x v="0"/>
    <x v="0"/>
    <x v="0"/>
    <m/>
    <x v="0"/>
    <x v="1"/>
    <x v="0"/>
    <x v="0"/>
    <x v="0"/>
    <x v="4"/>
    <n v="5011.1959999999999"/>
    <n v="2305.15"/>
    <n v="0"/>
    <d v="2024-08-25T00:00:00"/>
    <x v="0"/>
  </r>
  <r>
    <x v="835"/>
    <d v="2024-07-27T00:00:00"/>
    <x v="866"/>
    <d v="2024-07-26T00:00:00"/>
    <x v="0"/>
    <x v="0"/>
    <n v="500"/>
    <x v="1"/>
    <x v="0"/>
    <n v="3204.16"/>
    <n v="7.5"/>
    <n v="0"/>
    <n v="0"/>
    <x v="5"/>
    <s v="DYES ( SYNOLON BLACK EXWS HI CONC ) "/>
    <n v="1066897"/>
    <x v="0"/>
    <n v="490773"/>
    <x v="0"/>
    <m/>
    <m/>
    <x v="0"/>
    <x v="0"/>
    <x v="0"/>
    <x v="0"/>
    <x v="0"/>
    <x v="0"/>
    <m/>
    <x v="0"/>
    <x v="1"/>
    <x v="0"/>
    <x v="0"/>
    <x v="0"/>
    <x v="4"/>
    <n v="2133.7939999999999"/>
    <n v="981.54600000000005"/>
    <n v="0"/>
    <d v="2024-08-26T00:00:00"/>
    <x v="0"/>
  </r>
  <r>
    <x v="835"/>
    <d v="2024-07-31T00:00:00"/>
    <x v="867"/>
    <d v="2024-07-30T00:00:00"/>
    <x v="1"/>
    <x v="1"/>
    <n v="29"/>
    <x v="1"/>
    <x v="0"/>
    <n v="4821.8999999999996"/>
    <n v="58.79"/>
    <n v="29"/>
    <n v="29"/>
    <x v="9"/>
    <s v="RFID TAGS (QTY: 22698 PCS)"/>
    <n v="484680"/>
    <x v="0"/>
    <n v="222953"/>
    <x v="0"/>
    <m/>
    <m/>
    <x v="0"/>
    <x v="0"/>
    <x v="0"/>
    <x v="0"/>
    <x v="0"/>
    <x v="0"/>
    <m/>
    <x v="0"/>
    <x v="1"/>
    <x v="0"/>
    <x v="0"/>
    <x v="0"/>
    <x v="6"/>
    <n v="16713.103448275862"/>
    <n v="7688.0344827586205"/>
    <n v="222953"/>
    <d v="2024-08-05T00:00:00"/>
    <x v="0"/>
  </r>
  <r>
    <x v="835"/>
    <d v="2024-07-31T00:00:00"/>
    <x v="868"/>
    <d v="2024-07-30T00:00:00"/>
    <x v="1"/>
    <x v="1"/>
    <n v="1092"/>
    <x v="1"/>
    <x v="0"/>
    <n v="3923.29"/>
    <n v="3.08"/>
    <n v="1092"/>
    <n v="1092"/>
    <x v="9"/>
    <s v="PACKING BAGS VINYL "/>
    <n v="955495"/>
    <x v="0"/>
    <n v="477747"/>
    <x v="0"/>
    <m/>
    <m/>
    <x v="0"/>
    <x v="0"/>
    <x v="0"/>
    <x v="0"/>
    <x v="0"/>
    <x v="0"/>
    <m/>
    <x v="0"/>
    <x v="1"/>
    <x v="0"/>
    <x v="0"/>
    <x v="0"/>
    <x v="6"/>
    <n v="874.9954212454212"/>
    <n v="437.49725274725273"/>
    <n v="477747"/>
    <d v="2024-08-05T00:00:00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0"/>
    <d v="2023-07-29T00:00:00"/>
    <x v="870"/>
    <d v="2023-07-25T00:00:00"/>
    <x v="0"/>
    <x v="0"/>
    <n v="17010"/>
    <x v="3"/>
    <x v="0"/>
    <n v="5205.24"/>
    <n v="3.36"/>
    <n v="0"/>
    <n v="0"/>
    <x v="10"/>
    <s v="40/1 Cotton Yarn Combed"/>
    <n v="16593858.854999999"/>
    <x v="0"/>
    <n v="2986894.5938999997"/>
    <x v="0"/>
    <m/>
    <m/>
    <x v="0"/>
    <x v="0"/>
    <x v="0"/>
    <x v="3"/>
    <x v="0"/>
    <x v="0"/>
    <m/>
    <x v="0"/>
    <x v="1"/>
    <x v="0"/>
    <x v="0"/>
    <x v="0"/>
    <x v="3"/>
    <n v="975.53549999999996"/>
    <n v="175.59638999999999"/>
    <n v="0"/>
    <d v="2023-08-28T00:00:00"/>
    <x v="0"/>
  </r>
  <r>
    <x v="1"/>
    <d v="2023-07-29T00:00:00"/>
    <x v="871"/>
    <d v="2023-07-25T00:00:00"/>
    <x v="0"/>
    <x v="0"/>
    <n v="226800"/>
    <x v="3"/>
    <x v="0"/>
    <n v="5205.24"/>
    <n v="3.36"/>
    <n v="0"/>
    <n v="0"/>
    <x v="10"/>
    <s v="40/1 Cotton Yarn Combed"/>
    <n v="221251451.39999998"/>
    <x v="0"/>
    <n v="39825261.251999997"/>
    <x v="0"/>
    <m/>
    <m/>
    <x v="0"/>
    <x v="0"/>
    <x v="0"/>
    <x v="3"/>
    <x v="0"/>
    <x v="0"/>
    <m/>
    <x v="0"/>
    <x v="1"/>
    <x v="0"/>
    <x v="0"/>
    <x v="0"/>
    <x v="3"/>
    <n v="975.53549999999984"/>
    <n v="175.59638999999999"/>
    <n v="0"/>
    <d v="2023-08-28T00:00:00"/>
    <x v="0"/>
  </r>
  <r>
    <x v="2"/>
    <d v="2023-07-29T00:00:00"/>
    <x v="872"/>
    <d v="2023-07-25T00:00:00"/>
    <x v="0"/>
    <x v="0"/>
    <n v="99.792000000000002"/>
    <x v="3"/>
    <x v="0"/>
    <n v="5402.39"/>
    <n v="2.4700000000000002"/>
    <n v="0"/>
    <n v="0"/>
    <x v="3"/>
    <s v="CVC60:40 - 24/1"/>
    <n v="71500.469039999996"/>
    <x v="0"/>
    <n v="12870.084427199999"/>
    <x v="0"/>
    <m/>
    <m/>
    <x v="0"/>
    <x v="0"/>
    <x v="0"/>
    <x v="3"/>
    <x v="0"/>
    <x v="0"/>
    <m/>
    <x v="0"/>
    <x v="1"/>
    <x v="0"/>
    <x v="0"/>
    <x v="0"/>
    <x v="3"/>
    <n v="716.495"/>
    <n v="128.9691"/>
    <n v="0"/>
    <d v="2023-08-28T00:00:00"/>
    <x v="0"/>
  </r>
  <r>
    <x v="3"/>
    <d v="2023-07-29T00:00:00"/>
    <x v="873"/>
    <d v="2023-07-25T00:00:00"/>
    <x v="0"/>
    <x v="0"/>
    <n v="10704.96"/>
    <x v="3"/>
    <x v="0"/>
    <n v="5402.39"/>
    <n v="2.66"/>
    <n v="0"/>
    <n v="0"/>
    <x v="3"/>
    <s v="CVC60:40 - 40/1"/>
    <n v="8260054.1855999995"/>
    <x v="0"/>
    <n v="1486809.7534079999"/>
    <x v="0"/>
    <m/>
    <m/>
    <x v="0"/>
    <x v="0"/>
    <x v="0"/>
    <x v="3"/>
    <x v="0"/>
    <x v="0"/>
    <m/>
    <x v="0"/>
    <x v="1"/>
    <x v="0"/>
    <x v="0"/>
    <x v="0"/>
    <x v="3"/>
    <n v="771.61"/>
    <n v="138.88980000000001"/>
    <n v="0"/>
    <d v="2023-08-28T00:00:00"/>
    <x v="0"/>
  </r>
  <r>
    <x v="4"/>
    <d v="2023-07-29T00:00:00"/>
    <x v="874"/>
    <d v="2023-07-25T00:00:00"/>
    <x v="0"/>
    <x v="0"/>
    <n v="13789.44"/>
    <x v="3"/>
    <x v="0"/>
    <n v="5402.39"/>
    <n v="2.27"/>
    <n v="0"/>
    <n v="0"/>
    <x v="3"/>
    <s v="PC52:48 - 24/1"/>
    <n v="9059259.4283520002"/>
    <x v="0"/>
    <n v="1630666.69710336"/>
    <x v="0"/>
    <m/>
    <m/>
    <x v="0"/>
    <x v="0"/>
    <x v="0"/>
    <x v="3"/>
    <x v="0"/>
    <x v="0"/>
    <m/>
    <x v="0"/>
    <x v="1"/>
    <x v="0"/>
    <x v="0"/>
    <x v="0"/>
    <x v="3"/>
    <n v="656.97079999999994"/>
    <n v="118.25474399999999"/>
    <n v="0"/>
    <d v="2023-08-28T00:00:00"/>
    <x v="0"/>
  </r>
  <r>
    <x v="5"/>
    <d v="2023-07-29T00:00:00"/>
    <x v="875"/>
    <d v="2023-07-25T00:00:00"/>
    <x v="0"/>
    <x v="0"/>
    <n v="18416.16"/>
    <x v="3"/>
    <x v="0"/>
    <n v="5402.39"/>
    <n v="2.5099999999999998"/>
    <n v="0"/>
    <n v="0"/>
    <x v="3"/>
    <s v="PC52:48 - 40/1"/>
    <n v="13398087.89088"/>
    <x v="0"/>
    <n v="2411655.8203583998"/>
    <x v="0"/>
    <m/>
    <m/>
    <x v="0"/>
    <x v="0"/>
    <x v="0"/>
    <x v="3"/>
    <x v="0"/>
    <x v="0"/>
    <m/>
    <x v="0"/>
    <x v="1"/>
    <x v="0"/>
    <x v="0"/>
    <x v="0"/>
    <x v="3"/>
    <n v="727.51800000000003"/>
    <n v="130.95323999999999"/>
    <n v="0"/>
    <d v="2023-08-28T00:00:00"/>
    <x v="0"/>
  </r>
  <r>
    <x v="6"/>
    <d v="2023-07-29T00:00:00"/>
    <x v="876"/>
    <d v="2023-07-25T00:00:00"/>
    <x v="0"/>
    <x v="0"/>
    <n v="26399.52"/>
    <x v="3"/>
    <x v="0"/>
    <n v="5402.39"/>
    <n v="2.11"/>
    <n v="0"/>
    <n v="0"/>
    <x v="3"/>
    <s v="PC65:35 - 8/1"/>
    <n v="16179706.138176"/>
    <x v="0"/>
    <n v="2912347.10487168"/>
    <x v="0"/>
    <m/>
    <m/>
    <x v="0"/>
    <x v="0"/>
    <x v="0"/>
    <x v="3"/>
    <x v="0"/>
    <x v="0"/>
    <m/>
    <x v="0"/>
    <x v="1"/>
    <x v="0"/>
    <x v="0"/>
    <x v="0"/>
    <x v="3"/>
    <n v="612.87879999999996"/>
    <n v="110.318184"/>
    <n v="0"/>
    <d v="2023-08-28T00:00:00"/>
    <x v="0"/>
  </r>
  <r>
    <x v="7"/>
    <d v="2023-08-08T00:00:00"/>
    <x v="877"/>
    <d v="2023-08-04T00:00:00"/>
    <x v="0"/>
    <x v="0"/>
    <n v="25129.439999999999"/>
    <x v="3"/>
    <x v="0"/>
    <n v="5205.22"/>
    <n v="3.12"/>
    <n v="0"/>
    <n v="0"/>
    <x v="10"/>
    <s v="24/1 Cotton Yarn Combed"/>
    <n v="22714149"/>
    <x v="0"/>
    <n v="4088546.82"/>
    <x v="0"/>
    <m/>
    <m/>
    <x v="0"/>
    <x v="0"/>
    <x v="0"/>
    <x v="3"/>
    <x v="0"/>
    <x v="0"/>
    <m/>
    <x v="0"/>
    <x v="1"/>
    <x v="0"/>
    <x v="0"/>
    <x v="0"/>
    <x v="3"/>
    <n v="903.88599984719121"/>
    <n v="162.6994799724944"/>
    <n v="0"/>
    <d v="2023-09-07T00:00:00"/>
    <x v="0"/>
  </r>
  <r>
    <x v="8"/>
    <d v="2023-08-04T00:00:00"/>
    <x v="878"/>
    <d v="2023-08-04T00:00:00"/>
    <x v="0"/>
    <x v="0"/>
    <n v="21682.080000000002"/>
    <x v="3"/>
    <x v="0"/>
    <n v="5205.2299999999996"/>
    <n v="3.23"/>
    <n v="0"/>
    <n v="0"/>
    <x v="10"/>
    <s v="30/1 Cotton Yarn Combed"/>
    <n v="20315133"/>
    <x v="0"/>
    <n v="3656723.94"/>
    <x v="0"/>
    <m/>
    <m/>
    <x v="0"/>
    <x v="0"/>
    <x v="0"/>
    <x v="3"/>
    <x v="0"/>
    <x v="0"/>
    <m/>
    <x v="0"/>
    <x v="1"/>
    <x v="0"/>
    <x v="0"/>
    <x v="0"/>
    <x v="3"/>
    <n v="936.95498771335588"/>
    <n v="168.65189778840406"/>
    <n v="0"/>
    <d v="2023-09-03T00:00:00"/>
    <x v="0"/>
  </r>
  <r>
    <x v="9"/>
    <d v="2023-08-04T00:00:00"/>
    <x v="879"/>
    <d v="2023-08-04T00:00:00"/>
    <x v="0"/>
    <x v="0"/>
    <n v="226800"/>
    <x v="3"/>
    <x v="0"/>
    <n v="5205.24"/>
    <n v="3.36"/>
    <n v="0"/>
    <n v="0"/>
    <x v="10"/>
    <s v="40/1 Cotton Yarn Combed"/>
    <n v="221001450"/>
    <x v="0"/>
    <n v="39780261"/>
    <x v="0"/>
    <m/>
    <m/>
    <x v="0"/>
    <x v="0"/>
    <x v="0"/>
    <x v="3"/>
    <x v="0"/>
    <x v="0"/>
    <m/>
    <x v="0"/>
    <x v="1"/>
    <x v="0"/>
    <x v="0"/>
    <x v="0"/>
    <x v="3"/>
    <n v="974.43320105820101"/>
    <n v="175.39797619047619"/>
    <n v="0"/>
    <d v="2023-09-03T00:00:00"/>
    <x v="0"/>
  </r>
  <r>
    <x v="10"/>
    <d v="2023-08-04T00:00:00"/>
    <x v="880"/>
    <d v="2023-08-04T00:00:00"/>
    <x v="0"/>
    <x v="0"/>
    <n v="18280.080000000002"/>
    <x v="3"/>
    <x v="0"/>
    <n v="5205.2700000000004"/>
    <n v="4.42"/>
    <n v="0"/>
    <n v="0"/>
    <x v="10"/>
    <s v="60/1 Cotton Yarn Combed"/>
    <n v="23454754"/>
    <x v="0"/>
    <n v="4221855.72"/>
    <x v="0"/>
    <m/>
    <m/>
    <x v="0"/>
    <x v="0"/>
    <x v="0"/>
    <x v="3"/>
    <x v="0"/>
    <x v="0"/>
    <m/>
    <x v="0"/>
    <x v="1"/>
    <x v="0"/>
    <x v="0"/>
    <x v="0"/>
    <x v="3"/>
    <n v="1283.077207539573"/>
    <n v="230.95389735712314"/>
    <n v="0"/>
    <d v="2023-09-03T00:00:00"/>
    <x v="0"/>
  </r>
  <r>
    <x v="11"/>
    <d v="2023-08-04T00:00:00"/>
    <x v="881"/>
    <d v="2023-08-04T00:00:00"/>
    <x v="0"/>
    <x v="2"/>
    <n v="75660.479999999996"/>
    <x v="3"/>
    <x v="0"/>
    <n v="5402.39"/>
    <n v="1.98"/>
    <n v="53763.08"/>
    <n v="75660.479999999996"/>
    <x v="3"/>
    <s v="PC65:35 Carded RING - 18/1"/>
    <n v="43535086"/>
    <x v="0"/>
    <n v="7836315.4799999995"/>
    <x v="0"/>
    <m/>
    <m/>
    <x v="0"/>
    <x v="0"/>
    <x v="0"/>
    <x v="0"/>
    <x v="0"/>
    <x v="0"/>
    <m/>
    <x v="0"/>
    <x v="1"/>
    <x v="0"/>
    <x v="0"/>
    <x v="0"/>
    <x v="3"/>
    <n v="575.40060544157268"/>
    <n v="103.57210897948308"/>
    <n v="5568355.5808326667"/>
    <d v="2023-09-03T00:00:00"/>
    <x v="0"/>
  </r>
  <r>
    <x v="12"/>
    <d v="2023-08-08T00:00:00"/>
    <x v="882"/>
    <d v="2023-08-04T00:00:00"/>
    <x v="0"/>
    <x v="1"/>
    <n v="55702.080000000002"/>
    <x v="3"/>
    <x v="0"/>
    <n v="5402.39"/>
    <n v="2.04"/>
    <n v="55702.080000000002"/>
    <n v="55702.080000000002"/>
    <x v="3"/>
    <s v="PC65:35 - 24/1 - Gadoon return"/>
    <n v="33033417"/>
    <x v="0"/>
    <n v="5946015.0599999996"/>
    <x v="0"/>
    <m/>
    <m/>
    <x v="0"/>
    <x v="0"/>
    <x v="0"/>
    <x v="0"/>
    <x v="0"/>
    <x v="0"/>
    <m/>
    <x v="0"/>
    <x v="1"/>
    <x v="0"/>
    <x v="0"/>
    <x v="0"/>
    <x v="3"/>
    <n v="593.03740542543471"/>
    <n v="106.74673297657824"/>
    <n v="5946015.0599999996"/>
    <d v="2023-09-07T00:00:00"/>
    <x v="0"/>
  </r>
  <r>
    <x v="13"/>
    <d v="2023-08-08T00:00:00"/>
    <x v="883"/>
    <d v="2023-08-04T00:00:00"/>
    <x v="0"/>
    <x v="0"/>
    <n v="7665.84"/>
    <x v="3"/>
    <x v="0"/>
    <n v="5402.39"/>
    <n v="2.5499999999999998"/>
    <n v="0"/>
    <n v="0"/>
    <x v="3"/>
    <s v="PC52:48 - 40/1"/>
    <n v="5661537"/>
    <x v="0"/>
    <n v="1019076.6599999999"/>
    <x v="0"/>
    <m/>
    <m/>
    <x v="0"/>
    <x v="0"/>
    <x v="0"/>
    <x v="3"/>
    <x v="0"/>
    <x v="0"/>
    <m/>
    <x v="0"/>
    <x v="1"/>
    <x v="0"/>
    <x v="0"/>
    <x v="0"/>
    <x v="3"/>
    <n v="738.54098181021254"/>
    <n v="132.93737672583825"/>
    <n v="0"/>
    <d v="2023-09-07T00:00:00"/>
    <x v="0"/>
  </r>
  <r>
    <x v="14"/>
    <d v="2023-08-08T00:00:00"/>
    <x v="884"/>
    <d v="2023-08-04T00:00:00"/>
    <x v="0"/>
    <x v="0"/>
    <n v="1432.922"/>
    <x v="3"/>
    <x v="0"/>
    <n v="5402.39"/>
    <n v="2.5499999999999998"/>
    <n v="0"/>
    <n v="0"/>
    <x v="3"/>
    <s v="CVC60:40 - 30/1"/>
    <n v="1058272"/>
    <x v="0"/>
    <n v="190488.95999999999"/>
    <x v="0"/>
    <m/>
    <m/>
    <x v="0"/>
    <x v="0"/>
    <x v="0"/>
    <x v="3"/>
    <x v="0"/>
    <x v="0"/>
    <m/>
    <x v="0"/>
    <x v="1"/>
    <x v="0"/>
    <x v="0"/>
    <x v="0"/>
    <x v="3"/>
    <n v="738.54124648794561"/>
    <n v="132.9374243678302"/>
    <n v="0"/>
    <d v="2023-09-07T00:00:00"/>
    <x v="0"/>
  </r>
  <r>
    <x v="15"/>
    <d v="2023-08-20T00:00:00"/>
    <x v="885"/>
    <d v="2023-08-16T00:00:00"/>
    <x v="0"/>
    <x v="0"/>
    <n v="68040"/>
    <x v="3"/>
    <x v="0"/>
    <n v="5402.39"/>
    <n v="2.71"/>
    <n v="0"/>
    <n v="0"/>
    <x v="3"/>
    <s v="PC52:48 - 40/1"/>
    <n v="53550351"/>
    <x v="0"/>
    <n v="9639063.1799999997"/>
    <x v="0"/>
    <m/>
    <m/>
    <x v="0"/>
    <x v="0"/>
    <x v="0"/>
    <x v="3"/>
    <x v="0"/>
    <x v="0"/>
    <m/>
    <x v="0"/>
    <x v="1"/>
    <x v="0"/>
    <x v="0"/>
    <x v="0"/>
    <x v="3"/>
    <n v="787.04219576719572"/>
    <n v="141.66759523809523"/>
    <n v="0"/>
    <d v="2023-09-19T00:00:00"/>
    <x v="0"/>
  </r>
  <r>
    <x v="16"/>
    <d v="2023-08-20T00:00:00"/>
    <x v="886"/>
    <d v="2023-08-16T00:00:00"/>
    <x v="0"/>
    <x v="0"/>
    <n v="6305.04"/>
    <x v="3"/>
    <x v="0"/>
    <n v="5402.33"/>
    <n v="1.75"/>
    <n v="0"/>
    <n v="0"/>
    <x v="6"/>
    <s v="100% Polyester"/>
    <n v="3197021"/>
    <x v="0"/>
    <n v="575463.78"/>
    <x v="0"/>
    <m/>
    <m/>
    <x v="0"/>
    <x v="0"/>
    <x v="0"/>
    <x v="3"/>
    <x v="0"/>
    <x v="0"/>
    <m/>
    <x v="0"/>
    <x v="1"/>
    <x v="0"/>
    <x v="0"/>
    <x v="0"/>
    <x v="3"/>
    <n v="507.05800439013871"/>
    <n v="91.270440790224967"/>
    <n v="0"/>
    <d v="2023-09-19T00:00:00"/>
    <x v="0"/>
  </r>
  <r>
    <x v="17"/>
    <d v="2023-09-16T00:00:00"/>
    <x v="887"/>
    <d v="2023-09-12T00:00:00"/>
    <x v="0"/>
    <x v="0"/>
    <n v="14106.96"/>
    <x v="3"/>
    <x v="0"/>
    <n v="5402.39"/>
    <n v="2.83"/>
    <n v="0"/>
    <n v="0"/>
    <x v="3"/>
    <s v="PC52:48 - 40/1"/>
    <n v="11569276"/>
    <x v="0"/>
    <n v="2082469.68"/>
    <x v="0"/>
    <m/>
    <m/>
    <x v="0"/>
    <x v="0"/>
    <x v="0"/>
    <x v="3"/>
    <x v="0"/>
    <x v="0"/>
    <m/>
    <x v="0"/>
    <x v="1"/>
    <x v="0"/>
    <x v="0"/>
    <x v="0"/>
    <x v="3"/>
    <n v="820.11120751742408"/>
    <n v="147.62001735313632"/>
    <n v="0"/>
    <d v="2023-10-16T00:00:00"/>
    <x v="0"/>
  </r>
  <r>
    <x v="18"/>
    <d v="2023-09-16T00:00:00"/>
    <x v="888"/>
    <d v="2023-09-12T00:00:00"/>
    <x v="0"/>
    <x v="0"/>
    <n v="54432"/>
    <x v="3"/>
    <x v="0"/>
    <n v="5402.39"/>
    <n v="2.78"/>
    <n v="0"/>
    <n v="0"/>
    <x v="3"/>
    <s v="PC52:48 - 40/1"/>
    <n v="43920288"/>
    <x v="0"/>
    <n v="7905651.8399999999"/>
    <x v="0"/>
    <m/>
    <m/>
    <x v="0"/>
    <x v="0"/>
    <x v="0"/>
    <x v="3"/>
    <x v="0"/>
    <x v="0"/>
    <m/>
    <x v="0"/>
    <x v="1"/>
    <x v="0"/>
    <x v="0"/>
    <x v="0"/>
    <x v="3"/>
    <n v="806.88359788359787"/>
    <n v="145.23904761904762"/>
    <n v="0"/>
    <d v="2023-10-16T00:00:00"/>
    <x v="0"/>
  </r>
  <r>
    <x v="19"/>
    <d v="2023-08-22T00:00:00"/>
    <x v="889"/>
    <d v="2023-08-18T00:00:00"/>
    <x v="0"/>
    <x v="0"/>
    <n v="2223"/>
    <x v="3"/>
    <x v="0"/>
    <n v="5205.12"/>
    <n v="2.58"/>
    <n v="0"/>
    <n v="0"/>
    <x v="10"/>
    <s v="12/1 Cotton Yarn "/>
    <n v="1666000"/>
    <x v="0"/>
    <n v="299880"/>
    <x v="0"/>
    <m/>
    <m/>
    <x v="0"/>
    <x v="0"/>
    <x v="0"/>
    <x v="3"/>
    <x v="0"/>
    <x v="0"/>
    <m/>
    <x v="0"/>
    <x v="1"/>
    <x v="0"/>
    <x v="0"/>
    <x v="0"/>
    <x v="3"/>
    <n v="749.43769680611786"/>
    <n v="134.89878542510121"/>
    <n v="0"/>
    <d v="2023-09-21T00:00:00"/>
    <x v="0"/>
  </r>
  <r>
    <x v="20"/>
    <d v="2023-10-06T00:00:00"/>
    <x v="890"/>
    <d v="2023-10-02T00:00:00"/>
    <x v="0"/>
    <x v="0"/>
    <n v="226800"/>
    <x v="3"/>
    <x v="0"/>
    <n v="5205.24"/>
    <n v="3.52"/>
    <n v="0"/>
    <n v="0"/>
    <x v="10"/>
    <s v="40/1 Cotton Yarn Combed"/>
    <n v="231251517"/>
    <x v="0"/>
    <n v="41625273.059999995"/>
    <x v="0"/>
    <m/>
    <m/>
    <x v="0"/>
    <x v="0"/>
    <x v="0"/>
    <x v="3"/>
    <x v="0"/>
    <x v="0"/>
    <m/>
    <x v="0"/>
    <x v="1"/>
    <x v="0"/>
    <x v="0"/>
    <x v="0"/>
    <x v="3"/>
    <n v="1019.6275000000001"/>
    <n v="183.53294999999997"/>
    <n v="0"/>
    <d v="2023-11-05T00:00:00"/>
    <x v="0"/>
  </r>
  <r>
    <x v="21"/>
    <d v="2023-10-06T00:00:00"/>
    <x v="891"/>
    <d v="2023-10-02T00:00:00"/>
    <x v="0"/>
    <x v="0"/>
    <n v="6894.72"/>
    <x v="3"/>
    <x v="0"/>
    <n v="5205.12"/>
    <n v="3.06"/>
    <n v="0"/>
    <n v="0"/>
    <x v="10"/>
    <s v="14/1 Cotton Yarn Carded"/>
    <n v="6110440"/>
    <x v="0"/>
    <n v="1099879.2"/>
    <x v="0"/>
    <m/>
    <m/>
    <x v="0"/>
    <x v="0"/>
    <x v="0"/>
    <x v="3"/>
    <x v="0"/>
    <x v="0"/>
    <m/>
    <x v="0"/>
    <x v="1"/>
    <x v="0"/>
    <x v="0"/>
    <x v="0"/>
    <x v="3"/>
    <n v="886.24918778427548"/>
    <n v="159.52485380116957"/>
    <n v="0"/>
    <d v="2023-11-05T00:00:00"/>
    <x v="0"/>
  </r>
  <r>
    <x v="22"/>
    <d v="2023-10-06T00:00:00"/>
    <x v="892"/>
    <d v="2023-10-02T00:00:00"/>
    <x v="0"/>
    <x v="0"/>
    <n v="8618.4"/>
    <x v="3"/>
    <x v="0"/>
    <n v="5205.12"/>
    <n v="3.27"/>
    <n v="0"/>
    <n v="0"/>
    <x v="10"/>
    <s v="20/1 Cotton Yarn Carded"/>
    <n v="8170054"/>
    <x v="0"/>
    <n v="1470609.72"/>
    <x v="0"/>
    <m/>
    <m/>
    <x v="0"/>
    <x v="0"/>
    <x v="0"/>
    <x v="3"/>
    <x v="0"/>
    <x v="0"/>
    <m/>
    <x v="0"/>
    <x v="1"/>
    <x v="0"/>
    <x v="0"/>
    <x v="0"/>
    <x v="3"/>
    <n v="947.97804696927506"/>
    <n v="170.63604845446952"/>
    <n v="0"/>
    <d v="2023-11-05T00:00:00"/>
    <x v="0"/>
  </r>
  <r>
    <x v="23"/>
    <d v="2023-10-06T00:00:00"/>
    <x v="893"/>
    <d v="2023-10-02T00:00:00"/>
    <x v="0"/>
    <x v="0"/>
    <n v="13970.88"/>
    <x v="3"/>
    <x v="0"/>
    <n v="5205.2700000000004"/>
    <n v="4.9000000000000004"/>
    <n v="0"/>
    <n v="0"/>
    <x v="10"/>
    <s v="60/1 Cotton Yarn Combed"/>
    <n v="19866130"/>
    <x v="0"/>
    <n v="3575903.4"/>
    <x v="0"/>
    <m/>
    <m/>
    <x v="0"/>
    <x v="0"/>
    <x v="0"/>
    <x v="3"/>
    <x v="0"/>
    <x v="0"/>
    <m/>
    <x v="0"/>
    <x v="1"/>
    <x v="0"/>
    <x v="0"/>
    <x v="0"/>
    <x v="3"/>
    <n v="1421.9669770265009"/>
    <n v="255.95405586477017"/>
    <n v="0"/>
    <d v="2023-11-05T00:00:00"/>
    <x v="0"/>
  </r>
  <r>
    <x v="24"/>
    <d v="2023-10-06T00:00:00"/>
    <x v="894"/>
    <d v="2023-10-02T00:00:00"/>
    <x v="0"/>
    <x v="0"/>
    <n v="5171.04"/>
    <x v="3"/>
    <x v="0"/>
    <n v="5402.33"/>
    <n v="1.94"/>
    <n v="0"/>
    <n v="0"/>
    <x v="6"/>
    <s v="100% Polyester"/>
    <n v="2907019"/>
    <x v="0"/>
    <n v="523263.42"/>
    <x v="0"/>
    <m/>
    <m/>
    <x v="0"/>
    <x v="0"/>
    <x v="0"/>
    <x v="3"/>
    <x v="0"/>
    <x v="0"/>
    <m/>
    <x v="0"/>
    <x v="1"/>
    <x v="0"/>
    <x v="0"/>
    <x v="0"/>
    <x v="3"/>
    <n v="562.17298647854204"/>
    <n v="101.19113756613757"/>
    <n v="0"/>
    <d v="2023-11-05T00:00:00"/>
    <x v="0"/>
  </r>
  <r>
    <x v="25"/>
    <d v="2023-10-06T00:00:00"/>
    <x v="895"/>
    <d v="2023-10-02T00:00:00"/>
    <x v="0"/>
    <x v="0"/>
    <n v="8346.24"/>
    <x v="3"/>
    <x v="0"/>
    <n v="5402.33"/>
    <n v="1.92"/>
    <n v="0"/>
    <n v="0"/>
    <x v="6"/>
    <s v="100% Polyester"/>
    <n v="4636830"/>
    <x v="0"/>
    <n v="834629.4"/>
    <x v="0"/>
    <m/>
    <m/>
    <x v="0"/>
    <x v="0"/>
    <x v="0"/>
    <x v="3"/>
    <x v="0"/>
    <x v="0"/>
    <m/>
    <x v="0"/>
    <x v="1"/>
    <x v="0"/>
    <x v="0"/>
    <x v="0"/>
    <x v="3"/>
    <n v="555.55914998849778"/>
    <n v="100.00064699792961"/>
    <n v="0"/>
    <d v="2023-11-05T00:00:00"/>
    <x v="0"/>
  </r>
  <r>
    <x v="26"/>
    <d v="2023-10-06T00:00:00"/>
    <x v="896"/>
    <d v="2023-10-02T00:00:00"/>
    <x v="0"/>
    <x v="0"/>
    <n v="15739.92"/>
    <x v="3"/>
    <x v="0"/>
    <n v="5205.13"/>
    <n v="3.23"/>
    <n v="0"/>
    <n v="0"/>
    <x v="10"/>
    <s v="26/1 Cotton Yarn Carded"/>
    <n v="14747597"/>
    <x v="0"/>
    <n v="2654567.46"/>
    <x v="0"/>
    <m/>
    <m/>
    <x v="0"/>
    <x v="0"/>
    <x v="0"/>
    <x v="3"/>
    <x v="0"/>
    <x v="0"/>
    <m/>
    <x v="0"/>
    <x v="1"/>
    <x v="0"/>
    <x v="0"/>
    <x v="0"/>
    <x v="3"/>
    <n v="936.95501628979059"/>
    <n v="168.6519029321623"/>
    <n v="0"/>
    <d v="2023-11-05T00:00:00"/>
    <x v="0"/>
  </r>
  <r>
    <x v="27"/>
    <d v="2023-10-06T00:00:00"/>
    <x v="897"/>
    <d v="2023-10-02T00:00:00"/>
    <x v="0"/>
    <x v="0"/>
    <n v="73982.16"/>
    <x v="3"/>
    <x v="0"/>
    <n v="5205.12"/>
    <n v="2.9"/>
    <n v="0"/>
    <n v="0"/>
    <x v="10"/>
    <s v="20/1 Cotton Yarn Carded"/>
    <n v="62304609"/>
    <x v="0"/>
    <n v="11214829.619999999"/>
    <x v="0"/>
    <m/>
    <m/>
    <x v="0"/>
    <x v="0"/>
    <x v="0"/>
    <x v="3"/>
    <x v="0"/>
    <x v="0"/>
    <m/>
    <x v="0"/>
    <x v="1"/>
    <x v="0"/>
    <x v="0"/>
    <x v="0"/>
    <x v="3"/>
    <n v="842.15720384481881"/>
    <n v="151.58829669206736"/>
    <n v="0"/>
    <d v="2023-11-05T00:00:00"/>
    <x v="0"/>
  </r>
  <r>
    <x v="28"/>
    <d v="2023-10-06T00:00:00"/>
    <x v="898"/>
    <d v="2023-10-02T00:00:00"/>
    <x v="0"/>
    <x v="2"/>
    <n v="68040"/>
    <x v="3"/>
    <x v="0"/>
    <n v="5402.39"/>
    <n v="2.39"/>
    <n v="10577.43"/>
    <n v="68040"/>
    <x v="3"/>
    <s v="PC52:48 - 31/1"/>
    <n v="47250310"/>
    <x v="0"/>
    <n v="8505055.7999999989"/>
    <x v="0"/>
    <m/>
    <m/>
    <x v="0"/>
    <x v="0"/>
    <x v="0"/>
    <x v="0"/>
    <x v="0"/>
    <x v="0"/>
    <m/>
    <x v="0"/>
    <x v="1"/>
    <x v="0"/>
    <x v="0"/>
    <x v="0"/>
    <x v="3"/>
    <n v="694.44900058788949"/>
    <n v="125.00082010582008"/>
    <n v="1322187.4246119047"/>
    <d v="2023-11-05T00:00:00"/>
    <x v="0"/>
  </r>
  <r>
    <x v="29"/>
    <d v="2023-10-16T00:00:00"/>
    <x v="899"/>
    <d v="2023-10-12T00:00:00"/>
    <x v="0"/>
    <x v="0"/>
    <n v="9616.2999999999993"/>
    <x v="3"/>
    <x v="0"/>
    <n v="5205.13"/>
    <n v="3.27"/>
    <n v="0"/>
    <n v="0"/>
    <x v="10"/>
    <s v="30/1 Cotton Yarn Carded"/>
    <n v="9116041"/>
    <x v="0"/>
    <n v="1640887.38"/>
    <x v="0"/>
    <m/>
    <m/>
    <x v="0"/>
    <x v="0"/>
    <x v="0"/>
    <x v="3"/>
    <x v="0"/>
    <x v="0"/>
    <m/>
    <x v="0"/>
    <x v="1"/>
    <x v="0"/>
    <x v="0"/>
    <x v="0"/>
    <x v="3"/>
    <n v="947.97801649282997"/>
    <n v="170.63604296870938"/>
    <n v="0"/>
    <d v="2023-11-15T00:00:00"/>
    <x v="0"/>
  </r>
  <r>
    <x v="30"/>
    <d v="2023-10-16T00:00:00"/>
    <x v="900"/>
    <d v="2023-10-12T00:00:00"/>
    <x v="0"/>
    <x v="0"/>
    <n v="226800"/>
    <x v="3"/>
    <x v="0"/>
    <n v="5205.24"/>
    <n v="3.53"/>
    <n v="0"/>
    <n v="0"/>
    <x v="10"/>
    <s v="40/1 Cotton Yarn Combed"/>
    <n v="232001522"/>
    <x v="0"/>
    <n v="41760273.960000001"/>
    <x v="0"/>
    <m/>
    <m/>
    <x v="0"/>
    <x v="0"/>
    <x v="0"/>
    <x v="2"/>
    <x v="0"/>
    <x v="0"/>
    <m/>
    <x v="0"/>
    <x v="1"/>
    <x v="0"/>
    <x v="0"/>
    <x v="0"/>
    <x v="3"/>
    <n v="1022.9344003527336"/>
    <n v="184.12819206349207"/>
    <n v="0"/>
    <d v="2023-11-15T00:00:00"/>
    <x v="0"/>
  </r>
  <r>
    <x v="31"/>
    <d v="2023-10-16T00:00:00"/>
    <x v="901"/>
    <d v="2023-10-12T00:00:00"/>
    <x v="0"/>
    <x v="2"/>
    <n v="8573.0400000000009"/>
    <x v="3"/>
    <x v="0"/>
    <n v="5402.39"/>
    <n v="2.5"/>
    <n v="8573.0399999999991"/>
    <n v="8573.0400000000009"/>
    <x v="3"/>
    <s v="PC52:48 - 30/1"/>
    <n v="6218141"/>
    <x v="0"/>
    <n v="1119265.3799999999"/>
    <x v="0"/>
    <m/>
    <m/>
    <x v="0"/>
    <x v="0"/>
    <x v="0"/>
    <x v="0"/>
    <x v="0"/>
    <x v="0"/>
    <m/>
    <x v="0"/>
    <x v="1"/>
    <x v="0"/>
    <x v="0"/>
    <x v="0"/>
    <x v="3"/>
    <n v="725.31342440954427"/>
    <n v="130.55641639371797"/>
    <n v="1119265.3799999997"/>
    <d v="2023-11-15T00:00:00"/>
    <x v="0"/>
  </r>
  <r>
    <x v="32"/>
    <d v="2023-10-16T00:00:00"/>
    <x v="902"/>
    <d v="2023-10-12T00:00:00"/>
    <x v="0"/>
    <x v="1"/>
    <n v="6259.68"/>
    <x v="3"/>
    <x v="0"/>
    <n v="5402.39"/>
    <n v="2.84"/>
    <n v="6259.68"/>
    <n v="6259.68"/>
    <x v="3"/>
    <s v="PC52:48 - 30/2 - Gadoon return"/>
    <n v="5161234"/>
    <x v="0"/>
    <n v="929022.12"/>
    <x v="0"/>
    <m/>
    <m/>
    <x v="0"/>
    <x v="0"/>
    <x v="0"/>
    <x v="0"/>
    <x v="0"/>
    <x v="0"/>
    <m/>
    <x v="0"/>
    <x v="1"/>
    <x v="0"/>
    <x v="0"/>
    <x v="0"/>
    <x v="3"/>
    <n v="824.52042276921497"/>
    <n v="148.41367609845869"/>
    <n v="929022.12"/>
    <d v="2023-11-15T00:00:00"/>
    <x v="0"/>
  </r>
  <r>
    <x v="33"/>
    <d v="2023-10-21T00:00:00"/>
    <x v="903"/>
    <d v="2023-10-17T00:00:00"/>
    <x v="0"/>
    <x v="0"/>
    <n v="9480.24"/>
    <x v="3"/>
    <x v="0"/>
    <n v="5402.33"/>
    <n v="1.82"/>
    <n v="0"/>
    <n v="0"/>
    <x v="6"/>
    <s v="100% Polyester"/>
    <n v="5016033"/>
    <x v="0"/>
    <n v="902885.94"/>
    <x v="0"/>
    <m/>
    <m/>
    <x v="0"/>
    <x v="0"/>
    <x v="0"/>
    <x v="3"/>
    <x v="0"/>
    <x v="0"/>
    <m/>
    <x v="0"/>
    <x v="1"/>
    <x v="0"/>
    <x v="0"/>
    <x v="0"/>
    <x v="3"/>
    <n v="529.10401002506262"/>
    <n v="95.238721804511272"/>
    <n v="0"/>
    <d v="2023-11-20T00:00:00"/>
    <x v="0"/>
  </r>
  <r>
    <x v="34"/>
    <d v="2023-10-21T00:00:00"/>
    <x v="904"/>
    <d v="2023-10-17T00:00:00"/>
    <x v="0"/>
    <x v="1"/>
    <n v="5760.72"/>
    <x v="3"/>
    <x v="0"/>
    <n v="5402.39"/>
    <n v="2.65"/>
    <n v="5760.72"/>
    <n v="5760.72"/>
    <x v="3"/>
    <s v="PC52:48 - 40/1 - Gadoon return"/>
    <n v="4432329"/>
    <x v="0"/>
    <n v="797819.22"/>
    <x v="0"/>
    <m/>
    <m/>
    <x v="0"/>
    <x v="0"/>
    <x v="0"/>
    <x v="0"/>
    <x v="0"/>
    <x v="0"/>
    <m/>
    <x v="0"/>
    <x v="1"/>
    <x v="0"/>
    <x v="0"/>
    <x v="0"/>
    <x v="3"/>
    <n v="769.40538682664669"/>
    <n v="138.4929696287964"/>
    <n v="797819.22000000009"/>
    <d v="2023-11-20T00:00:00"/>
    <x v="0"/>
  </r>
  <r>
    <x v="35"/>
    <d v="2023-10-21T00:00:00"/>
    <x v="905"/>
    <d v="2023-10-17T00:00:00"/>
    <x v="0"/>
    <x v="0"/>
    <n v="58514.400000000001"/>
    <x v="3"/>
    <x v="0"/>
    <n v="5205.13"/>
    <n v="2.85"/>
    <n v="0"/>
    <n v="0"/>
    <x v="10"/>
    <s v="30/1 Cotton Yarn Carded"/>
    <n v="48375317"/>
    <x v="0"/>
    <n v="8707557.0600000005"/>
    <x v="0"/>
    <m/>
    <m/>
    <x v="0"/>
    <x v="0"/>
    <x v="0"/>
    <x v="3"/>
    <x v="0"/>
    <x v="0"/>
    <m/>
    <x v="0"/>
    <x v="1"/>
    <x v="0"/>
    <x v="0"/>
    <x v="0"/>
    <x v="3"/>
    <n v="826.7249941894645"/>
    <n v="148.81049895410362"/>
    <n v="0"/>
    <d v="2023-11-20T00:00:00"/>
    <x v="0"/>
  </r>
  <r>
    <x v="36"/>
    <d v="2023-10-05T00:00:00"/>
    <x v="906"/>
    <d v="2023-10-21T00:00:00"/>
    <x v="0"/>
    <x v="0"/>
    <n v="19408"/>
    <x v="3"/>
    <x v="0"/>
    <n v="5209.42"/>
    <n v="3.47"/>
    <n v="0"/>
    <n v="0"/>
    <x v="19"/>
    <s v="Denim Fabric 99% 1% (33140 Mtr)"/>
    <n v="19552599"/>
    <x v="0"/>
    <n v="3519467.82"/>
    <x v="0"/>
    <m/>
    <m/>
    <x v="0"/>
    <x v="0"/>
    <x v="0"/>
    <x v="3"/>
    <x v="0"/>
    <x v="0"/>
    <m/>
    <x v="0"/>
    <x v="1"/>
    <x v="0"/>
    <x v="0"/>
    <x v="0"/>
    <x v="2"/>
    <n v="1007.4504843363561"/>
    <n v="181.34108718054409"/>
    <n v="0"/>
    <d v="2023-11-04T00:00:00"/>
    <x v="0"/>
  </r>
  <r>
    <x v="37"/>
    <d v="2023-10-05T00:00:00"/>
    <x v="907"/>
    <d v="2023-10-21T00:00:00"/>
    <x v="0"/>
    <x v="0"/>
    <n v="14715"/>
    <x v="3"/>
    <x v="0"/>
    <n v="5209.42"/>
    <n v="3.46"/>
    <n v="0"/>
    <n v="0"/>
    <x v="19"/>
    <s v="Denim Fabric 99% 1% (25000 Mtr)"/>
    <n v="14750000"/>
    <x v="0"/>
    <n v="2655000"/>
    <x v="0"/>
    <m/>
    <m/>
    <x v="0"/>
    <x v="0"/>
    <x v="0"/>
    <x v="3"/>
    <x v="0"/>
    <x v="0"/>
    <m/>
    <x v="0"/>
    <x v="1"/>
    <x v="0"/>
    <x v="0"/>
    <x v="0"/>
    <x v="2"/>
    <n v="1002.3785253143051"/>
    <n v="180.42813455657492"/>
    <n v="0"/>
    <d v="2023-11-04T00:00:00"/>
    <x v="0"/>
  </r>
  <r>
    <x v="38"/>
    <d v="2023-10-25T00:00:00"/>
    <x v="908"/>
    <d v="2023-10-21T00:00:00"/>
    <x v="0"/>
    <x v="0"/>
    <n v="21546"/>
    <x v="3"/>
    <x v="0"/>
    <n v="5205.2700000000004"/>
    <n v="4.68"/>
    <n v="0"/>
    <n v="0"/>
    <x v="10"/>
    <s v="60/1 Cotton Yarn Combed"/>
    <n v="29212692"/>
    <x v="0"/>
    <n v="5258284.5599999996"/>
    <x v="0"/>
    <m/>
    <m/>
    <x v="0"/>
    <x v="0"/>
    <x v="0"/>
    <x v="3"/>
    <x v="0"/>
    <x v="0"/>
    <m/>
    <x v="0"/>
    <x v="1"/>
    <x v="0"/>
    <x v="0"/>
    <x v="0"/>
    <x v="3"/>
    <n v="1355.8290169869117"/>
    <n v="244.0492230576441"/>
    <n v="0"/>
    <d v="2023-11-24T00:00:00"/>
    <x v="0"/>
  </r>
  <r>
    <x v="39"/>
    <d v="2023-10-25T00:00:00"/>
    <x v="909"/>
    <d v="2023-10-21T00:00:00"/>
    <x v="0"/>
    <x v="1"/>
    <n v="26127.360000000001"/>
    <x v="3"/>
    <x v="0"/>
    <n v="5402.39"/>
    <n v="2.2400000000000002"/>
    <n v="26127.360000000001"/>
    <n v="26127.360000000001"/>
    <x v="3"/>
    <s v="PC52:48 - 31/1 - Gadoon return"/>
    <n v="16992111"/>
    <x v="0"/>
    <n v="3058579.98"/>
    <x v="0"/>
    <m/>
    <m/>
    <x v="0"/>
    <x v="0"/>
    <x v="0"/>
    <x v="0"/>
    <x v="0"/>
    <x v="0"/>
    <m/>
    <x v="0"/>
    <x v="1"/>
    <x v="0"/>
    <x v="0"/>
    <x v="0"/>
    <x v="3"/>
    <n v="650.35698210611406"/>
    <n v="117.06425677910053"/>
    <n v="3058579.98"/>
    <d v="2023-11-24T00:00:00"/>
    <x v="0"/>
  </r>
  <r>
    <x v="40"/>
    <d v="2023-10-27T00:00:00"/>
    <x v="910"/>
    <d v="2023-10-23T00:00:00"/>
    <x v="0"/>
    <x v="0"/>
    <n v="226800"/>
    <x v="3"/>
    <x v="0"/>
    <n v="5205.24"/>
    <n v="3.34"/>
    <n v="0"/>
    <n v="0"/>
    <x v="10"/>
    <s v="40/1 Cotton Yarn Combed"/>
    <n v="220001443"/>
    <x v="0"/>
    <n v="39600259.740000002"/>
    <x v="0"/>
    <m/>
    <m/>
    <x v="0"/>
    <x v="0"/>
    <x v="0"/>
    <x v="2"/>
    <x v="0"/>
    <x v="0"/>
    <m/>
    <x v="0"/>
    <x v="1"/>
    <x v="0"/>
    <x v="0"/>
    <x v="0"/>
    <x v="3"/>
    <n v="970.02399911816576"/>
    <n v="174.60431984126984"/>
    <n v="0"/>
    <d v="2023-11-26T00:00:00"/>
    <x v="0"/>
  </r>
  <r>
    <x v="41"/>
    <d v="2023-10-29T00:00:00"/>
    <x v="911"/>
    <d v="2023-10-25T00:00:00"/>
    <x v="0"/>
    <x v="0"/>
    <n v="48126.96"/>
    <x v="3"/>
    <x v="0"/>
    <n v="5205.2700000000004"/>
    <n v="7.75"/>
    <n v="0"/>
    <n v="0"/>
    <x v="10"/>
    <s v="60/1 Cotton Yarn Combed"/>
    <n v="108222710"/>
    <x v="0"/>
    <n v="19480087.800000001"/>
    <x v="0"/>
    <m/>
    <m/>
    <x v="0"/>
    <x v="0"/>
    <x v="0"/>
    <x v="0"/>
    <x v="0"/>
    <x v="0"/>
    <m/>
    <x v="0"/>
    <x v="1"/>
    <x v="0"/>
    <x v="0"/>
    <x v="0"/>
    <x v="3"/>
    <n v="2248.692001323167"/>
    <n v="404.76456023817008"/>
    <n v="0"/>
    <d v="2023-11-28T00:00:00"/>
    <x v="0"/>
  </r>
  <r>
    <x v="42"/>
    <d v="2023-11-01T00:00:00"/>
    <x v="912"/>
    <d v="2023-10-16T00:00:00"/>
    <x v="0"/>
    <x v="2"/>
    <n v="3084.4596999999999"/>
    <x v="3"/>
    <x v="0"/>
    <n v="5205.28"/>
    <n v="6.35"/>
    <n v="3084.4596999999999"/>
    <n v="3084.4596999999999"/>
    <x v="10"/>
    <s v="80/1 Cotton Combed "/>
    <n v="5678000"/>
    <x v="0"/>
    <n v="1022040"/>
    <x v="0"/>
    <m/>
    <m/>
    <x v="0"/>
    <x v="0"/>
    <x v="0"/>
    <x v="0"/>
    <x v="0"/>
    <x v="0"/>
    <m/>
    <x v="0"/>
    <x v="1"/>
    <x v="0"/>
    <x v="0"/>
    <x v="0"/>
    <x v="3"/>
    <n v="1840.8410393560987"/>
    <n v="331.35138708409778"/>
    <n v="1022040.0000000001"/>
    <d v="2023-12-01T00:00:00"/>
    <x v="0"/>
  </r>
  <r>
    <x v="43"/>
    <d v="2023-11-03T00:00:00"/>
    <x v="913"/>
    <d v="2023-10-30T00:00:00"/>
    <x v="0"/>
    <x v="0"/>
    <n v="10024.56"/>
    <x v="3"/>
    <x v="0"/>
    <n v="5402.33"/>
    <n v="1.79"/>
    <n v="0"/>
    <n v="0"/>
    <x v="6"/>
    <s v="100% POLYESTER"/>
    <n v="5193534"/>
    <x v="0"/>
    <n v="934836.12"/>
    <x v="0"/>
    <m/>
    <m/>
    <x v="0"/>
    <x v="0"/>
    <x v="0"/>
    <x v="3"/>
    <x v="0"/>
    <x v="0"/>
    <m/>
    <x v="0"/>
    <x v="1"/>
    <x v="0"/>
    <x v="0"/>
    <x v="0"/>
    <x v="3"/>
    <n v="518.08099308099315"/>
    <n v="93.254578754578759"/>
    <n v="0"/>
    <d v="2023-12-03T00:00:00"/>
    <x v="0"/>
  </r>
  <r>
    <x v="44"/>
    <d v="2023-11-05T00:00:00"/>
    <x v="914"/>
    <d v="2023-11-01T00:00:00"/>
    <x v="0"/>
    <x v="0"/>
    <n v="42683.76"/>
    <x v="3"/>
    <x v="0"/>
    <n v="5402.33"/>
    <n v="1.75"/>
    <n v="0"/>
    <n v="0"/>
    <x v="6"/>
    <s v="100% POLYESTER"/>
    <n v="21643142"/>
    <x v="0"/>
    <n v="3895765.56"/>
    <x v="0"/>
    <m/>
    <m/>
    <x v="0"/>
    <x v="0"/>
    <x v="0"/>
    <x v="3"/>
    <x v="0"/>
    <x v="0"/>
    <m/>
    <x v="0"/>
    <x v="1"/>
    <x v="0"/>
    <x v="0"/>
    <x v="0"/>
    <x v="3"/>
    <n v="507.05800051354424"/>
    <n v="91.270440092437966"/>
    <n v="0"/>
    <d v="2023-12-05T00:00:00"/>
    <x v="0"/>
  </r>
  <r>
    <x v="45"/>
    <d v="2023-11-05T00:00:00"/>
    <x v="915"/>
    <d v="2023-11-01T00:00:00"/>
    <x v="0"/>
    <x v="0"/>
    <n v="28440.720000000001"/>
    <x v="3"/>
    <x v="0"/>
    <n v="5205.2299999999996"/>
    <n v="3.18"/>
    <n v="0"/>
    <n v="0"/>
    <x v="10"/>
    <s v="30/1 Cotton Yarn Combed"/>
    <n v="26208772"/>
    <x v="0"/>
    <n v="4717578.96"/>
    <x v="0"/>
    <m/>
    <m/>
    <x v="0"/>
    <x v="0"/>
    <x v="0"/>
    <x v="3"/>
    <x v="0"/>
    <x v="0"/>
    <m/>
    <x v="0"/>
    <x v="1"/>
    <x v="0"/>
    <x v="0"/>
    <x v="0"/>
    <x v="3"/>
    <n v="921.52280251695447"/>
    <n v="165.87410445305181"/>
    <n v="0"/>
    <d v="2023-12-05T00:00:00"/>
    <x v="0"/>
  </r>
  <r>
    <x v="46"/>
    <d v="2023-11-07T00:00:00"/>
    <x v="916"/>
    <d v="2023-11-03T00:00:00"/>
    <x v="0"/>
    <x v="1"/>
    <n v="4762.8"/>
    <x v="3"/>
    <x v="0"/>
    <n v="5402.39"/>
    <n v="2.5499999999999998"/>
    <n v="4762.8"/>
    <n v="4762.8"/>
    <x v="3"/>
    <s v="CVC60:40 - 30/1 - Gadoon return"/>
    <n v="3517523"/>
    <x v="0"/>
    <n v="633154.14"/>
    <x v="0"/>
    <m/>
    <m/>
    <x v="0"/>
    <x v="0"/>
    <x v="0"/>
    <x v="0"/>
    <x v="0"/>
    <x v="0"/>
    <m/>
    <x v="0"/>
    <x v="1"/>
    <x v="0"/>
    <x v="0"/>
    <x v="0"/>
    <x v="3"/>
    <n v="738.54098429495252"/>
    <n v="132.93737717309145"/>
    <n v="633154.14"/>
    <d v="2023-12-07T00:00:00"/>
    <x v="0"/>
  </r>
  <r>
    <x v="47"/>
    <d v="2023-11-01T00:00:00"/>
    <x v="917"/>
    <d v="2023-11-03T00:00:00"/>
    <x v="0"/>
    <x v="0"/>
    <n v="11067.77"/>
    <x v="3"/>
    <x v="0"/>
    <n v="5206.12"/>
    <n v="2.5499999999999998"/>
    <n v="0"/>
    <n v="0"/>
    <x v="3"/>
    <s v="PC52:48"/>
    <n v="7686001"/>
    <x v="0"/>
    <n v="1383480.18"/>
    <x v="0"/>
    <m/>
    <m/>
    <x v="0"/>
    <x v="0"/>
    <x v="0"/>
    <x v="3"/>
    <x v="0"/>
    <x v="0"/>
    <m/>
    <x v="0"/>
    <x v="1"/>
    <x v="0"/>
    <x v="0"/>
    <x v="0"/>
    <x v="3"/>
    <n v="694.44892692927294"/>
    <n v="125.00080684726913"/>
    <n v="0"/>
    <d v="2023-12-01T00:00:00"/>
    <x v="0"/>
  </r>
  <r>
    <x v="48"/>
    <d v="2023-11-11T00:00:00"/>
    <x v="918"/>
    <d v="2023-11-07T00:00:00"/>
    <x v="0"/>
    <x v="1"/>
    <n v="7393.68"/>
    <x v="3"/>
    <x v="0"/>
    <n v="5205.22"/>
    <n v="3.15"/>
    <n v="7393.68"/>
    <n v="7393.68"/>
    <x v="10"/>
    <s v="24/1 Cotton Yarn Combed"/>
    <n v="6764544"/>
    <x v="0"/>
    <n v="1217617.9199999999"/>
    <x v="0"/>
    <m/>
    <m/>
    <x v="0"/>
    <x v="0"/>
    <x v="0"/>
    <x v="0"/>
    <x v="0"/>
    <x v="0"/>
    <m/>
    <x v="0"/>
    <x v="1"/>
    <x v="0"/>
    <x v="0"/>
    <x v="0"/>
    <x v="3"/>
    <n v="914.90894926477745"/>
    <n v="164.68361086765992"/>
    <n v="1217617.9199999999"/>
    <d v="2023-12-11T00:00:00"/>
    <x v="0"/>
  </r>
  <r>
    <x v="49"/>
    <d v="2023-11-11T00:00:00"/>
    <x v="919"/>
    <d v="2023-11-07T00:00:00"/>
    <x v="0"/>
    <x v="0"/>
    <n v="49702"/>
    <x v="3"/>
    <x v="0"/>
    <n v="5209.42"/>
    <n v="3.47"/>
    <n v="0"/>
    <n v="0"/>
    <x v="19"/>
    <s v="Denim Fabric 99% 1% (84861 Mtr)"/>
    <n v="50067991"/>
    <x v="0"/>
    <n v="9012238.379999999"/>
    <x v="0"/>
    <m/>
    <m/>
    <x v="0"/>
    <x v="0"/>
    <x v="0"/>
    <x v="3"/>
    <x v="0"/>
    <x v="0"/>
    <m/>
    <x v="0"/>
    <x v="1"/>
    <x v="0"/>
    <x v="0"/>
    <x v="0"/>
    <x v="2"/>
    <n v="1007.3637076978794"/>
    <n v="181.32546738561825"/>
    <n v="0"/>
    <d v="2023-12-11T00:00:00"/>
    <x v="0"/>
  </r>
  <r>
    <x v="50"/>
    <d v="2023-11-17T00:00:00"/>
    <x v="920"/>
    <d v="2023-11-13T00:00:00"/>
    <x v="0"/>
    <x v="0"/>
    <n v="226800"/>
    <x v="3"/>
    <x v="0"/>
    <n v="5205.24"/>
    <n v="3.38"/>
    <n v="0"/>
    <n v="0"/>
    <x v="10"/>
    <s v="40/1 Cotton Yarn Combed"/>
    <n v="222501460"/>
    <x v="0"/>
    <n v="40050262.799999997"/>
    <x v="0"/>
    <m/>
    <m/>
    <x v="0"/>
    <x v="0"/>
    <x v="0"/>
    <x v="3"/>
    <x v="0"/>
    <x v="0"/>
    <m/>
    <x v="0"/>
    <x v="1"/>
    <x v="0"/>
    <x v="0"/>
    <x v="0"/>
    <x v="3"/>
    <n v="981.04700176366839"/>
    <n v="176.58846031746032"/>
    <n v="0"/>
    <d v="2023-12-17T00:00:00"/>
    <x v="0"/>
  </r>
  <r>
    <x v="51"/>
    <d v="2023-11-17T00:00:00"/>
    <x v="921"/>
    <d v="2023-11-13T00:00:00"/>
    <x v="0"/>
    <x v="0"/>
    <n v="31661.279999999999"/>
    <x v="3"/>
    <x v="0"/>
    <n v="5205.12"/>
    <n v="2.63"/>
    <n v="31661.279999999999"/>
    <n v="31661.279999999999"/>
    <x v="10"/>
    <s v="20/1 Cotton Yarn Carded"/>
    <n v="24150958"/>
    <x v="0"/>
    <n v="4347172.4399999995"/>
    <x v="0"/>
    <m/>
    <m/>
    <x v="0"/>
    <x v="0"/>
    <x v="0"/>
    <x v="2"/>
    <x v="0"/>
    <x v="0"/>
    <m/>
    <x v="0"/>
    <x v="1"/>
    <x v="0"/>
    <x v="0"/>
    <x v="0"/>
    <x v="3"/>
    <n v="762.79158644249378"/>
    <n v="137.30248555964886"/>
    <n v="4347172.4399999995"/>
    <d v="2023-12-17T00:00:00"/>
    <x v="0"/>
  </r>
  <r>
    <x v="52"/>
    <d v="2023-11-17T00:00:00"/>
    <x v="922"/>
    <d v="2023-11-13T00:00:00"/>
    <x v="0"/>
    <x v="0"/>
    <n v="19958.400000000001"/>
    <x v="3"/>
    <x v="0"/>
    <n v="5206.24"/>
    <n v="4.5599999999999996"/>
    <n v="0"/>
    <n v="0"/>
    <x v="3"/>
    <s v="CVC60:40 - 60/1"/>
    <n v="26400173"/>
    <x v="0"/>
    <n v="4752031.1399999997"/>
    <x v="0"/>
    <m/>
    <m/>
    <x v="0"/>
    <x v="0"/>
    <x v="0"/>
    <x v="3"/>
    <x v="0"/>
    <x v="0"/>
    <m/>
    <x v="0"/>
    <x v="1"/>
    <x v="0"/>
    <x v="0"/>
    <x v="0"/>
    <x v="3"/>
    <n v="1322.759990780824"/>
    <n v="238.0967983405483"/>
    <n v="0"/>
    <d v="2023-12-17T00:00:00"/>
    <x v="0"/>
  </r>
  <r>
    <x v="53"/>
    <d v="2023-11-17T00:00:00"/>
    <x v="923"/>
    <d v="2023-11-13T00:00:00"/>
    <x v="0"/>
    <x v="0"/>
    <n v="5896.8"/>
    <x v="3"/>
    <x v="0"/>
    <n v="5402.33"/>
    <n v="1.84"/>
    <n v="0"/>
    <n v="0"/>
    <x v="6"/>
    <s v="100% POLYESTER"/>
    <n v="3146021"/>
    <x v="0"/>
    <n v="566283.78"/>
    <x v="0"/>
    <m/>
    <m/>
    <x v="0"/>
    <x v="0"/>
    <x v="0"/>
    <x v="3"/>
    <x v="0"/>
    <x v="0"/>
    <m/>
    <x v="0"/>
    <x v="1"/>
    <x v="0"/>
    <x v="0"/>
    <x v="0"/>
    <x v="3"/>
    <n v="533.51326142992809"/>
    <n v="96.032387057387055"/>
    <n v="0"/>
    <d v="2023-12-17T00:00:00"/>
    <x v="0"/>
  </r>
  <r>
    <x v="54"/>
    <d v="2023-11-27T00:00:00"/>
    <x v="924"/>
    <d v="2023-11-23T00:00:00"/>
    <x v="0"/>
    <x v="0"/>
    <n v="4898.88"/>
    <x v="3"/>
    <x v="0"/>
    <n v="5205.12"/>
    <n v="2.63"/>
    <n v="0"/>
    <n v="0"/>
    <x v="10"/>
    <s v="20/1 Cotton Yarn Carded"/>
    <n v="3736825"/>
    <x v="0"/>
    <n v="672628.5"/>
    <x v="0"/>
    <m/>
    <m/>
    <x v="0"/>
    <x v="0"/>
    <x v="0"/>
    <x v="2"/>
    <x v="0"/>
    <x v="0"/>
    <m/>
    <x v="0"/>
    <x v="1"/>
    <x v="0"/>
    <x v="0"/>
    <x v="0"/>
    <x v="3"/>
    <n v="762.7916993271931"/>
    <n v="137.30250587889478"/>
    <n v="0"/>
    <d v="2023-12-27T00:00:00"/>
    <x v="0"/>
  </r>
  <r>
    <x v="55"/>
    <d v="2023-11-27T00:00:00"/>
    <x v="925"/>
    <d v="2023-11-23T00:00:00"/>
    <x v="0"/>
    <x v="0"/>
    <n v="8890.56"/>
    <x v="3"/>
    <x v="0"/>
    <n v="5402.33"/>
    <n v="1.84"/>
    <n v="0"/>
    <n v="0"/>
    <x v="6"/>
    <s v="100% Polyester"/>
    <n v="4743231"/>
    <x v="0"/>
    <n v="853781.58"/>
    <x v="0"/>
    <m/>
    <m/>
    <x v="0"/>
    <x v="0"/>
    <x v="0"/>
    <x v="3"/>
    <x v="0"/>
    <x v="0"/>
    <m/>
    <x v="0"/>
    <x v="1"/>
    <x v="0"/>
    <x v="0"/>
    <x v="0"/>
    <x v="3"/>
    <n v="533.51318702084006"/>
    <n v="96.032373663751216"/>
    <n v="0"/>
    <d v="2023-12-27T00:00:00"/>
    <x v="0"/>
  </r>
  <r>
    <x v="56"/>
    <d v="2023-11-28T00:00:00"/>
    <x v="926"/>
    <d v="2023-11-24T00:00:00"/>
    <x v="0"/>
    <x v="0"/>
    <n v="20780"/>
    <x v="3"/>
    <x v="0"/>
    <n v="5209.42"/>
    <n v="3.4"/>
    <n v="0"/>
    <n v="0"/>
    <x v="19"/>
    <s v="Denim Fabric 99% 1% (34686 Mtr)"/>
    <n v="20464740"/>
    <x v="0"/>
    <n v="3683653.1999999997"/>
    <x v="0"/>
    <m/>
    <m/>
    <x v="0"/>
    <x v="0"/>
    <x v="0"/>
    <x v="3"/>
    <x v="0"/>
    <x v="0"/>
    <m/>
    <x v="0"/>
    <x v="1"/>
    <x v="0"/>
    <x v="0"/>
    <x v="0"/>
    <x v="2"/>
    <n v="984.82868142444659"/>
    <n v="177.26916265640037"/>
    <n v="0"/>
    <d v="2023-12-28T00:00:00"/>
    <x v="0"/>
  </r>
  <r>
    <x v="57"/>
    <d v="2023-12-04T00:00:00"/>
    <x v="927"/>
    <d v="2023-11-30T00:00:00"/>
    <x v="1"/>
    <x v="0"/>
    <n v="4808.2"/>
    <x v="3"/>
    <x v="0"/>
    <n v="3919.9090000000001"/>
    <n v="2.1"/>
    <n v="0"/>
    <n v="0"/>
    <x v="9"/>
    <s v="PACKING/ CARTON TAPE"/>
    <n v="2933002"/>
    <x v="0"/>
    <n v="527940.36"/>
    <x v="0"/>
    <m/>
    <m/>
    <x v="0"/>
    <x v="0"/>
    <x v="0"/>
    <x v="3"/>
    <x v="0"/>
    <x v="0"/>
    <m/>
    <x v="0"/>
    <x v="1"/>
    <x v="0"/>
    <x v="0"/>
    <x v="0"/>
    <x v="6"/>
    <n v="610"/>
    <n v="109.8"/>
    <n v="0"/>
    <d v="2023-12-09T00:00:00"/>
    <x v="0"/>
  </r>
  <r>
    <x v="58"/>
    <d v="2023-12-08T00:00:00"/>
    <x v="928"/>
    <d v="2023-12-04T00:00:00"/>
    <x v="0"/>
    <x v="0"/>
    <n v="8618.4"/>
    <x v="3"/>
    <x v="0"/>
    <n v="5205.12"/>
    <n v="2.63"/>
    <n v="0"/>
    <n v="0"/>
    <x v="10"/>
    <s v="20/1 Cotton Yarn Carded"/>
    <n v="6574043"/>
    <x v="0"/>
    <n v="1183327.74"/>
    <x v="0"/>
    <m/>
    <m/>
    <x v="0"/>
    <x v="0"/>
    <x v="0"/>
    <x v="2"/>
    <x v="0"/>
    <x v="0"/>
    <m/>
    <x v="0"/>
    <x v="1"/>
    <x v="0"/>
    <x v="0"/>
    <x v="0"/>
    <x v="3"/>
    <n v="762.79158544509426"/>
    <n v="137.30248538011696"/>
    <n v="0"/>
    <d v="2024-01-07T00:00:00"/>
    <x v="0"/>
  </r>
  <r>
    <x v="59"/>
    <d v="2023-12-09T00:00:00"/>
    <x v="929"/>
    <d v="2023-12-05T00:00:00"/>
    <x v="0"/>
    <x v="0"/>
    <n v="68040"/>
    <x v="3"/>
    <x v="0"/>
    <n v="5402.33"/>
    <n v="1.92"/>
    <n v="0"/>
    <n v="0"/>
    <x v="6"/>
    <s v="100% Polyester"/>
    <n v="37950249"/>
    <x v="0"/>
    <n v="6831044.8199999994"/>
    <x v="0"/>
    <m/>
    <m/>
    <x v="0"/>
    <x v="0"/>
    <x v="0"/>
    <x v="3"/>
    <x v="0"/>
    <x v="0"/>
    <m/>
    <x v="0"/>
    <x v="1"/>
    <x v="0"/>
    <x v="0"/>
    <x v="0"/>
    <x v="3"/>
    <n v="557.76380070546736"/>
    <n v="100.39748412698411"/>
    <n v="0"/>
    <d v="2024-01-08T00:00:00"/>
    <x v="0"/>
  </r>
  <r>
    <x v="60"/>
    <d v="2023-12-08T00:00:00"/>
    <x v="930"/>
    <d v="2023-12-04T00:00:00"/>
    <x v="0"/>
    <x v="0"/>
    <n v="12882.24"/>
    <x v="3"/>
    <x v="0"/>
    <n v="5205.24"/>
    <n v="3.34"/>
    <n v="0"/>
    <n v="0"/>
    <x v="10"/>
    <s v="36/1 Cotton Yarn Combed"/>
    <n v="12496082"/>
    <x v="0"/>
    <n v="2249294.7599999998"/>
    <x v="0"/>
    <m/>
    <m/>
    <x v="0"/>
    <x v="0"/>
    <x v="0"/>
    <x v="0"/>
    <x v="0"/>
    <x v="0"/>
    <m/>
    <x v="0"/>
    <x v="1"/>
    <x v="0"/>
    <x v="0"/>
    <x v="0"/>
    <x v="3"/>
    <n v="970.02400203691286"/>
    <n v="174.60432036664429"/>
    <n v="0"/>
    <d v="2024-01-07T00:00:00"/>
    <x v="0"/>
  </r>
  <r>
    <x v="61"/>
    <d v="2023-12-09T00:00:00"/>
    <x v="931"/>
    <d v="2023-12-05T00:00:00"/>
    <x v="0"/>
    <x v="0"/>
    <n v="226800"/>
    <x v="3"/>
    <x v="0"/>
    <n v="5205.24"/>
    <n v="3.36"/>
    <n v="0"/>
    <n v="0"/>
    <x v="10"/>
    <s v="40/1 Cotton Yarn Combed"/>
    <n v="221251451"/>
    <x v="0"/>
    <n v="39825261.18"/>
    <x v="0"/>
    <m/>
    <m/>
    <x v="0"/>
    <x v="0"/>
    <x v="0"/>
    <x v="0"/>
    <x v="0"/>
    <x v="0"/>
    <m/>
    <x v="0"/>
    <x v="1"/>
    <x v="0"/>
    <x v="0"/>
    <x v="0"/>
    <x v="3"/>
    <n v="975.53549823633159"/>
    <n v="175.59638968253969"/>
    <n v="0"/>
    <d v="2024-01-08T00:00:00"/>
    <x v="0"/>
  </r>
  <r>
    <x v="62"/>
    <d v="2023-12-11T00:00:00"/>
    <x v="932"/>
    <d v="2023-12-07T00:00:00"/>
    <x v="0"/>
    <x v="0"/>
    <n v="4581.3599999999997"/>
    <x v="3"/>
    <x v="0"/>
    <n v="5206.24"/>
    <n v="4.33"/>
    <n v="0"/>
    <n v="0"/>
    <x v="3"/>
    <s v="CVC60:40 - 40/1"/>
    <n v="5757038"/>
    <x v="0"/>
    <n v="1036266.84"/>
    <x v="0"/>
    <m/>
    <m/>
    <x v="0"/>
    <x v="0"/>
    <x v="0"/>
    <x v="3"/>
    <x v="0"/>
    <x v="0"/>
    <m/>
    <x v="0"/>
    <x v="1"/>
    <x v="0"/>
    <x v="0"/>
    <x v="0"/>
    <x v="3"/>
    <n v="1256.6220510939984"/>
    <n v="226.1919691969197"/>
    <n v="0"/>
    <d v="2024-01-10T00:00:00"/>
    <x v="0"/>
  </r>
  <r>
    <x v="63"/>
    <d v="2023-12-11T00:00:00"/>
    <x v="933"/>
    <d v="2023-12-07T00:00:00"/>
    <x v="0"/>
    <x v="0"/>
    <n v="4490.6400000000003"/>
    <x v="3"/>
    <x v="0"/>
    <n v="5206.25"/>
    <n v="5.59"/>
    <n v="0"/>
    <n v="0"/>
    <x v="3"/>
    <s v="CVC60:40 - 60/1"/>
    <n v="7276548"/>
    <x v="0"/>
    <n v="1309778.6399999999"/>
    <x v="0"/>
    <m/>
    <m/>
    <x v="0"/>
    <x v="0"/>
    <x v="0"/>
    <x v="3"/>
    <x v="0"/>
    <x v="0"/>
    <m/>
    <x v="0"/>
    <x v="1"/>
    <x v="0"/>
    <x v="0"/>
    <x v="0"/>
    <x v="3"/>
    <n v="1620.3810592699481"/>
    <n v="291.66859066859064"/>
    <n v="0"/>
    <d v="2024-01-10T00:00:00"/>
    <x v="0"/>
  </r>
  <r>
    <x v="64"/>
    <d v="2023-12-11T00:00:00"/>
    <x v="934"/>
    <d v="2023-12-07T00:00:00"/>
    <x v="0"/>
    <x v="2"/>
    <n v="17645.04"/>
    <x v="3"/>
    <x v="0"/>
    <n v="5205.26"/>
    <n v="4.37"/>
    <n v="7871.3100000000013"/>
    <n v="17645.04"/>
    <x v="10"/>
    <s v="52/1 Cotton Yarn Combed"/>
    <n v="22367647"/>
    <x v="0"/>
    <n v="4026176.46"/>
    <x v="0"/>
    <m/>
    <m/>
    <x v="0"/>
    <x v="0"/>
    <x v="0"/>
    <x v="0"/>
    <x v="0"/>
    <x v="0"/>
    <m/>
    <x v="0"/>
    <x v="1"/>
    <x v="0"/>
    <x v="0"/>
    <x v="0"/>
    <x v="3"/>
    <n v="1267.6450152564119"/>
    <n v="228.17610274615416"/>
    <n v="1796044.8393068309"/>
    <d v="2024-01-10T00:00:00"/>
    <x v="0"/>
  </r>
  <r>
    <x v="65"/>
    <d v="2023-12-11T00:00:00"/>
    <x v="935"/>
    <d v="2023-12-07T00:00:00"/>
    <x v="0"/>
    <x v="0"/>
    <n v="68315"/>
    <x v="3"/>
    <x v="0"/>
    <n v="5209.42"/>
    <n v="3.47"/>
    <n v="0"/>
    <n v="0"/>
    <x v="19"/>
    <s v="Denim Fabric 99% 1% (116586 Mtr)"/>
    <n v="68785738"/>
    <x v="0"/>
    <n v="12381432.84"/>
    <x v="0"/>
    <m/>
    <m/>
    <x v="0"/>
    <x v="0"/>
    <x v="0"/>
    <x v="3"/>
    <x v="0"/>
    <x v="0"/>
    <m/>
    <x v="0"/>
    <x v="1"/>
    <x v="0"/>
    <x v="0"/>
    <x v="0"/>
    <x v="2"/>
    <n v="1006.8906975042084"/>
    <n v="181.24032555075752"/>
    <n v="0"/>
    <d v="2024-01-10T00:00:00"/>
    <x v="0"/>
  </r>
  <r>
    <x v="66"/>
    <d v="2023-12-01T00:00:00"/>
    <x v="936"/>
    <d v="2023-11-23T00:00:00"/>
    <x v="0"/>
    <x v="0"/>
    <n v="4762.7700000000004"/>
    <x v="3"/>
    <x v="0"/>
    <n v="5206.12"/>
    <n v="2.2400000000000002"/>
    <n v="0"/>
    <n v="0"/>
    <x v="3"/>
    <s v="PC 65:35"/>
    <n v="3045000"/>
    <x v="0"/>
    <n v="548100"/>
    <x v="0"/>
    <m/>
    <m/>
    <x v="0"/>
    <x v="0"/>
    <x v="0"/>
    <x v="2"/>
    <x v="0"/>
    <x v="0"/>
    <m/>
    <x v="0"/>
    <x v="1"/>
    <x v="0"/>
    <x v="0"/>
    <x v="0"/>
    <x v="3"/>
    <n v="639.33383304253607"/>
    <n v="115.0800899476565"/>
    <n v="0"/>
    <d v="2023-12-31T00:00:00"/>
    <x v="0"/>
  </r>
  <r>
    <x v="67"/>
    <d v="2023-12-08T00:00:00"/>
    <x v="937"/>
    <d v="2023-12-04T00:00:00"/>
    <x v="0"/>
    <x v="0"/>
    <n v="16284.13"/>
    <x v="3"/>
    <x v="0"/>
    <n v="5206.12"/>
    <n v="2.2400000000000002"/>
    <n v="0"/>
    <n v="0"/>
    <x v="3"/>
    <s v="PC 65:35"/>
    <n v="10411000"/>
    <x v="0"/>
    <n v="1873980"/>
    <x v="0"/>
    <m/>
    <m/>
    <x v="0"/>
    <x v="0"/>
    <x v="0"/>
    <x v="0"/>
    <x v="0"/>
    <x v="0"/>
    <m/>
    <x v="0"/>
    <x v="1"/>
    <x v="0"/>
    <x v="0"/>
    <x v="0"/>
    <x v="3"/>
    <n v="639.33412469686743"/>
    <n v="115.08014244543614"/>
    <n v="0"/>
    <d v="2024-01-07T00:00:00"/>
    <x v="0"/>
  </r>
  <r>
    <x v="68"/>
    <d v="2023-12-18T00:00:00"/>
    <x v="938"/>
    <d v="2023-12-14T00:00:00"/>
    <x v="0"/>
    <x v="0"/>
    <n v="68040"/>
    <x v="3"/>
    <x v="0"/>
    <n v="5402.33"/>
    <n v="1.91"/>
    <n v="0"/>
    <n v="0"/>
    <x v="6"/>
    <s v="100% Polyester"/>
    <n v="37050243"/>
    <x v="0"/>
    <n v="6669043.7399999993"/>
    <x v="0"/>
    <m/>
    <m/>
    <x v="0"/>
    <x v="0"/>
    <x v="0"/>
    <x v="2"/>
    <x v="0"/>
    <x v="0"/>
    <m/>
    <x v="0"/>
    <x v="1"/>
    <x v="0"/>
    <x v="0"/>
    <x v="0"/>
    <x v="3"/>
    <n v="544.53619929453259"/>
    <n v="98.016515873015862"/>
    <n v="0"/>
    <d v="2024-01-17T00:00:00"/>
    <x v="0"/>
  </r>
  <r>
    <x v="69"/>
    <d v="2023-12-18T00:00:00"/>
    <x v="939"/>
    <d v="2023-12-14T00:00:00"/>
    <x v="0"/>
    <x v="0"/>
    <n v="18143.881000000001"/>
    <x v="3"/>
    <x v="0"/>
    <n v="5205.24"/>
    <n v="3.33"/>
    <n v="0"/>
    <n v="0"/>
    <x v="10"/>
    <s v="40/1 Cotton Yarn Combed"/>
    <n v="17200000"/>
    <x v="0"/>
    <n v="3096000"/>
    <x v="0"/>
    <m/>
    <m/>
    <x v="0"/>
    <x v="0"/>
    <x v="0"/>
    <x v="0"/>
    <x v="0"/>
    <x v="0"/>
    <m/>
    <x v="0"/>
    <x v="1"/>
    <x v="0"/>
    <x v="0"/>
    <x v="0"/>
    <x v="3"/>
    <n v="947.97799875340888"/>
    <n v="170.6360397756136"/>
    <n v="0"/>
    <d v="2024-01-17T00:00:00"/>
    <x v="0"/>
  </r>
  <r>
    <x v="70"/>
    <d v="2023-12-22T00:00:00"/>
    <x v="940"/>
    <d v="2023-12-18T00:00:00"/>
    <x v="0"/>
    <x v="0"/>
    <n v="7711.2"/>
    <x v="3"/>
    <x v="0"/>
    <n v="5205.12"/>
    <n v="2.5099999999999998"/>
    <n v="0"/>
    <n v="0"/>
    <x v="10"/>
    <s v="20/1 Cotton Yarn Carded"/>
    <n v="5525036"/>
    <x v="0"/>
    <n v="994506.48"/>
    <x v="0"/>
    <m/>
    <m/>
    <x v="0"/>
    <x v="0"/>
    <x v="0"/>
    <x v="0"/>
    <x v="0"/>
    <x v="0"/>
    <m/>
    <x v="0"/>
    <x v="1"/>
    <x v="0"/>
    <x v="0"/>
    <x v="0"/>
    <x v="3"/>
    <n v="716.49496835771345"/>
    <n v="128.96909430438842"/>
    <n v="0"/>
    <d v="2024-01-21T00:00:00"/>
    <x v="0"/>
  </r>
  <r>
    <x v="71"/>
    <d v="2023-12-22T00:00:00"/>
    <x v="941"/>
    <d v="2023-12-18T00:00:00"/>
    <x v="0"/>
    <x v="0"/>
    <n v="9072"/>
    <x v="3"/>
    <x v="0"/>
    <n v="5205.12"/>
    <n v="3.17"/>
    <n v="0"/>
    <n v="0"/>
    <x v="10"/>
    <s v="20/1 Cotton Yarn Carded"/>
    <n v="8200054"/>
    <x v="0"/>
    <n v="1476009.72"/>
    <x v="0"/>
    <m/>
    <m/>
    <x v="0"/>
    <x v="0"/>
    <x v="0"/>
    <x v="0"/>
    <x v="0"/>
    <x v="0"/>
    <m/>
    <x v="0"/>
    <x v="1"/>
    <x v="0"/>
    <x v="0"/>
    <x v="0"/>
    <x v="3"/>
    <n v="903.88602292768962"/>
    <n v="162.69948412698412"/>
    <n v="0"/>
    <d v="2024-01-21T00:00:00"/>
    <x v="0"/>
  </r>
  <r>
    <x v="72"/>
    <d v="2023-12-22T00:00:00"/>
    <x v="942"/>
    <d v="2023-12-18T00:00:00"/>
    <x v="0"/>
    <x v="1"/>
    <n v="8482.32"/>
    <x v="3"/>
    <x v="0"/>
    <n v="5205.26"/>
    <n v="29.76"/>
    <n v="8482.32"/>
    <n v="8482.32"/>
    <x v="10"/>
    <s v="52/1 Cotton Yarn Combed"/>
    <n v="71949753"/>
    <x v="0"/>
    <n v="12950955.539999999"/>
    <x v="0"/>
    <m/>
    <m/>
    <x v="0"/>
    <x v="0"/>
    <x v="0"/>
    <x v="0"/>
    <x v="0"/>
    <x v="0"/>
    <m/>
    <x v="0"/>
    <x v="1"/>
    <x v="0"/>
    <x v="0"/>
    <x v="0"/>
    <x v="3"/>
    <n v="8482.3200492318138"/>
    <n v="1526.8176088617265"/>
    <n v="12950955.539999999"/>
    <d v="2024-01-21T00:00:00"/>
    <x v="0"/>
  </r>
  <r>
    <x v="73"/>
    <d v="2023-12-22T00:00:00"/>
    <x v="943"/>
    <d v="2023-12-18T00:00:00"/>
    <x v="0"/>
    <x v="0"/>
    <n v="5942.16"/>
    <x v="3"/>
    <x v="0"/>
    <n v="5205.24"/>
    <n v="3.36"/>
    <n v="0"/>
    <n v="0"/>
    <x v="10"/>
    <s v="36/1 Cotton Yarn Combed"/>
    <n v="5698537"/>
    <x v="0"/>
    <n v="1025736.6599999999"/>
    <x v="0"/>
    <m/>
    <m/>
    <x v="0"/>
    <x v="0"/>
    <x v="0"/>
    <x v="0"/>
    <x v="0"/>
    <x v="0"/>
    <m/>
    <x v="0"/>
    <x v="1"/>
    <x v="0"/>
    <x v="0"/>
    <x v="0"/>
    <x v="3"/>
    <n v="959.00093568668638"/>
    <n v="172.62016842360353"/>
    <n v="0"/>
    <d v="2024-01-21T00:00:00"/>
    <x v="0"/>
  </r>
  <r>
    <x v="74"/>
    <d v="2023-12-12T00:00:00"/>
    <x v="944"/>
    <d v="2023-12-08T00:00:00"/>
    <x v="0"/>
    <x v="0"/>
    <n v="18143.88"/>
    <x v="3"/>
    <x v="0"/>
    <n v="5206.12"/>
    <n v="2.2400000000000002"/>
    <n v="0"/>
    <n v="0"/>
    <x v="3"/>
    <s v="PC65:35"/>
    <n v="11599999"/>
    <x v="0"/>
    <n v="2087999.8199999998"/>
    <x v="0"/>
    <m/>
    <m/>
    <x v="0"/>
    <x v="0"/>
    <x v="0"/>
    <x v="0"/>
    <x v="0"/>
    <x v="0"/>
    <m/>
    <x v="0"/>
    <x v="1"/>
    <x v="0"/>
    <x v="0"/>
    <x v="0"/>
    <x v="3"/>
    <n v="639.33397928116801"/>
    <n v="115.08011627061023"/>
    <n v="0"/>
    <d v="2024-01-11T00:00:00"/>
    <x v="0"/>
  </r>
  <r>
    <x v="75"/>
    <d v="2023-12-01T00:00:00"/>
    <x v="945"/>
    <d v="2023-11-04T00:00:00"/>
    <x v="0"/>
    <x v="0"/>
    <n v="13608"/>
    <x v="3"/>
    <x v="0"/>
    <n v="5205.24"/>
    <n v="3.4"/>
    <n v="0"/>
    <n v="0"/>
    <x v="10"/>
    <s v="40/1 Cotton Yarn Combed"/>
    <n v="13200000"/>
    <x v="0"/>
    <n v="2376000"/>
    <x v="0"/>
    <m/>
    <m/>
    <x v="0"/>
    <x v="0"/>
    <x v="0"/>
    <x v="2"/>
    <x v="0"/>
    <x v="0"/>
    <m/>
    <x v="0"/>
    <x v="1"/>
    <x v="0"/>
    <x v="0"/>
    <x v="0"/>
    <x v="3"/>
    <n v="970.0176366843034"/>
    <n v="174.60317460317461"/>
    <n v="0"/>
    <d v="2023-12-31T00:00:00"/>
    <x v="0"/>
  </r>
  <r>
    <x v="76"/>
    <d v="2023-12-31T00:00:00"/>
    <x v="946"/>
    <d v="2023-12-28T00:00:00"/>
    <x v="0"/>
    <x v="0"/>
    <n v="32933"/>
    <x v="3"/>
    <x v="0"/>
    <n v="5209.42"/>
    <n v="3.62"/>
    <n v="0"/>
    <n v="0"/>
    <x v="19"/>
    <s v="Denim Fabric 99% 1% "/>
    <n v="33963941"/>
    <x v="0"/>
    <n v="6113509.3799999999"/>
    <x v="0"/>
    <m/>
    <m/>
    <x v="0"/>
    <x v="0"/>
    <x v="0"/>
    <x v="3"/>
    <x v="0"/>
    <x v="0"/>
    <m/>
    <x v="0"/>
    <x v="1"/>
    <x v="0"/>
    <x v="0"/>
    <x v="0"/>
    <x v="2"/>
    <n v="1031.304193362281"/>
    <n v="185.63475480521058"/>
    <n v="0"/>
    <d v="2024-01-30T00:00:00"/>
    <x v="0"/>
  </r>
  <r>
    <x v="77"/>
    <d v="2024-01-03T00:00:00"/>
    <x v="947"/>
    <d v="2023-12-30T00:00:00"/>
    <x v="0"/>
    <x v="0"/>
    <n v="11748.24"/>
    <x v="3"/>
    <x v="0"/>
    <n v="5205.12"/>
    <n v="2.5499999999999998"/>
    <n v="0"/>
    <n v="0"/>
    <x v="10"/>
    <s v="20/1 Cotton Yarn Carded"/>
    <n v="8547056"/>
    <x v="0"/>
    <n v="1538470.0799999998"/>
    <x v="0"/>
    <m/>
    <m/>
    <x v="0"/>
    <x v="0"/>
    <x v="0"/>
    <x v="0"/>
    <x v="0"/>
    <x v="0"/>
    <m/>
    <x v="0"/>
    <x v="1"/>
    <x v="0"/>
    <x v="0"/>
    <x v="0"/>
    <x v="3"/>
    <n v="727.51799418466089"/>
    <n v="130.95323895323895"/>
    <n v="0"/>
    <d v="2024-02-02T00:00:00"/>
    <x v="0"/>
  </r>
  <r>
    <x v="78"/>
    <d v="2024-01-03T00:00:00"/>
    <x v="948"/>
    <d v="2023-12-30T00:00:00"/>
    <x v="0"/>
    <x v="0"/>
    <n v="7620.48"/>
    <x v="3"/>
    <x v="0"/>
    <n v="5205.2700000000004"/>
    <n v="4.72"/>
    <n v="0"/>
    <n v="0"/>
    <x v="10"/>
    <s v="60/1 Cotton Yarn Combed"/>
    <n v="10248067"/>
    <x v="0"/>
    <n v="1844652.0599999998"/>
    <x v="0"/>
    <m/>
    <m/>
    <x v="0"/>
    <x v="0"/>
    <x v="0"/>
    <x v="3"/>
    <x v="0"/>
    <x v="0"/>
    <m/>
    <x v="0"/>
    <x v="1"/>
    <x v="0"/>
    <x v="0"/>
    <x v="0"/>
    <x v="3"/>
    <n v="1344.8059702275973"/>
    <n v="242.06507464096748"/>
    <n v="0"/>
    <d v="2024-02-02T00:00:00"/>
    <x v="0"/>
  </r>
  <r>
    <x v="79"/>
    <d v="2024-01-03T00:00:00"/>
    <x v="949"/>
    <d v="2023-12-30T00:00:00"/>
    <x v="0"/>
    <x v="1"/>
    <n v="226800"/>
    <x v="3"/>
    <x v="0"/>
    <n v="5205.24"/>
    <n v="3.36"/>
    <n v="226800"/>
    <n v="226800"/>
    <x v="10"/>
    <s v="40/1 Cotton Yarn Combed"/>
    <n v="217501427"/>
    <x v="0"/>
    <n v="39150256.859999999"/>
    <x v="0"/>
    <m/>
    <m/>
    <x v="0"/>
    <x v="0"/>
    <x v="0"/>
    <x v="0"/>
    <x v="0"/>
    <x v="0"/>
    <m/>
    <x v="0"/>
    <x v="1"/>
    <x v="0"/>
    <x v="0"/>
    <x v="0"/>
    <x v="3"/>
    <n v="959.00100088183422"/>
    <n v="172.62018015873016"/>
    <n v="39150256.859999999"/>
    <d v="2024-02-02T00:00:00"/>
    <x v="0"/>
  </r>
  <r>
    <x v="80"/>
    <d v="2024-01-03T00:00:00"/>
    <x v="950"/>
    <d v="2023-12-30T00:00:00"/>
    <x v="0"/>
    <x v="0"/>
    <n v="28440.720000000001"/>
    <x v="3"/>
    <x v="0"/>
    <n v="5206.25"/>
    <n v="4.53"/>
    <n v="0"/>
    <n v="0"/>
    <x v="3"/>
    <s v="CVC60:40 - 60/1"/>
    <n v="36679741"/>
    <x v="0"/>
    <n v="6602353.3799999999"/>
    <x v="0"/>
    <m/>
    <m/>
    <x v="0"/>
    <x v="0"/>
    <x v="0"/>
    <x v="3"/>
    <x v="0"/>
    <x v="0"/>
    <m/>
    <x v="0"/>
    <x v="1"/>
    <x v="0"/>
    <x v="0"/>
    <x v="0"/>
    <x v="3"/>
    <n v="1289.6910134483232"/>
    <n v="232.14438242069821"/>
    <n v="0"/>
    <d v="2024-02-02T00:00:00"/>
    <x v="0"/>
  </r>
  <r>
    <x v="81"/>
    <d v="2024-01-03T00:00:00"/>
    <x v="951"/>
    <d v="2023-12-30T00:00:00"/>
    <x v="0"/>
    <x v="0"/>
    <n v="15000"/>
    <x v="3"/>
    <x v="0"/>
    <n v="3809.9189999999999"/>
    <n v="0.54"/>
    <n v="0"/>
    <n v="0"/>
    <x v="12"/>
    <s v="SOFTEX "/>
    <n v="2325000"/>
    <x v="0"/>
    <n v="418500"/>
    <x v="0"/>
    <m/>
    <m/>
    <x v="0"/>
    <x v="0"/>
    <x v="0"/>
    <x v="3"/>
    <x v="0"/>
    <x v="0"/>
    <m/>
    <x v="0"/>
    <x v="1"/>
    <x v="0"/>
    <x v="0"/>
    <x v="0"/>
    <x v="5"/>
    <n v="155"/>
    <n v="27.9"/>
    <n v="0"/>
    <d v="2024-02-02T00:00:00"/>
    <x v="0"/>
  </r>
  <r>
    <x v="82"/>
    <d v="2024-01-07T00:00:00"/>
    <x v="952"/>
    <d v="2024-01-03T00:00:00"/>
    <x v="0"/>
    <x v="2"/>
    <n v="5896.8"/>
    <x v="3"/>
    <x v="0"/>
    <n v="5205.2700000000004"/>
    <n v="8.82"/>
    <n v="2463.3900000000003"/>
    <n v="5896.8"/>
    <x v="10"/>
    <s v="60/2 Cotton Yarn Combed"/>
    <n v="14820097"/>
    <x v="0"/>
    <n v="2667617.46"/>
    <x v="0"/>
    <m/>
    <m/>
    <x v="0"/>
    <x v="0"/>
    <x v="0"/>
    <x v="0"/>
    <x v="0"/>
    <x v="0"/>
    <m/>
    <x v="0"/>
    <x v="1"/>
    <x v="0"/>
    <x v="0"/>
    <x v="0"/>
    <x v="3"/>
    <n v="2513.2439628272959"/>
    <n v="452.38391330891329"/>
    <n v="1114398.0082060441"/>
    <d v="2024-02-06T00:00:00"/>
    <x v="0"/>
  </r>
  <r>
    <x v="83"/>
    <d v="2024-01-07T00:00:00"/>
    <x v="953"/>
    <d v="2024-01-03T00:00:00"/>
    <x v="0"/>
    <x v="2"/>
    <n v="16870.03"/>
    <x v="3"/>
    <x v="0"/>
    <n v="5206.12"/>
    <n v="2.2400000000000002"/>
    <n v="1487.22"/>
    <n v="16870.03"/>
    <x v="3"/>
    <s v="PC65:35"/>
    <n v="10785580"/>
    <x v="0"/>
    <n v="1941404.4"/>
    <x v="0"/>
    <m/>
    <m/>
    <x v="0"/>
    <x v="0"/>
    <x v="0"/>
    <x v="0"/>
    <x v="0"/>
    <x v="0"/>
    <m/>
    <x v="0"/>
    <x v="1"/>
    <x v="0"/>
    <x v="0"/>
    <x v="0"/>
    <x v="3"/>
    <n v="639.33377711835726"/>
    <n v="115.0800798813043"/>
    <n v="171149.39640107338"/>
    <d v="2024-02-06T00:00:00"/>
    <x v="0"/>
  </r>
  <r>
    <x v="84"/>
    <d v="2024-01-01T00:00:00"/>
    <x v="954"/>
    <d v="2023-12-04T00:00:00"/>
    <x v="0"/>
    <x v="2"/>
    <n v="16783.09"/>
    <x v="3"/>
    <x v="0"/>
    <n v="5206.12"/>
    <n v="2.2400000000000002"/>
    <n v="7054.49"/>
    <n v="16783.09"/>
    <x v="3"/>
    <s v="PC65:35"/>
    <n v="10730000"/>
    <x v="0"/>
    <n v="1931400"/>
    <x v="0"/>
    <m/>
    <m/>
    <x v="0"/>
    <x v="0"/>
    <x v="0"/>
    <x v="0"/>
    <x v="0"/>
    <x v="0"/>
    <m/>
    <x v="0"/>
    <x v="1"/>
    <x v="0"/>
    <x v="0"/>
    <x v="0"/>
    <x v="3"/>
    <n v="639.33399630223039"/>
    <n v="115.08011933440147"/>
    <n v="811831.55104334187"/>
    <d v="2024-01-31T00:00:00"/>
    <x v="0"/>
  </r>
  <r>
    <x v="85"/>
    <d v="2024-01-14T00:00:00"/>
    <x v="955"/>
    <d v="2024-01-10T00:00:00"/>
    <x v="0"/>
    <x v="1"/>
    <n v="4536"/>
    <x v="3"/>
    <x v="0"/>
    <n v="5205.24"/>
    <n v="3.36"/>
    <n v="4536"/>
    <n v="4536"/>
    <x v="10"/>
    <s v="40/1 Cotton Yarn Combed"/>
    <n v="4350000"/>
    <x v="0"/>
    <n v="783000"/>
    <x v="0"/>
    <m/>
    <m/>
    <x v="0"/>
    <x v="0"/>
    <x v="0"/>
    <x v="0"/>
    <x v="0"/>
    <x v="0"/>
    <m/>
    <x v="0"/>
    <x v="1"/>
    <x v="0"/>
    <x v="0"/>
    <x v="0"/>
    <x v="3"/>
    <n v="958.99470899470896"/>
    <n v="172.61904761904762"/>
    <n v="783000"/>
    <d v="2024-02-13T00:00:00"/>
    <x v="0"/>
  </r>
  <r>
    <x v="86"/>
    <d v="2024-01-16T00:00:00"/>
    <x v="956"/>
    <d v="2024-01-12T00:00:00"/>
    <x v="0"/>
    <x v="2"/>
    <n v="226798.5123"/>
    <x v="3"/>
    <x v="0"/>
    <n v="5205.24"/>
    <n v="3.52"/>
    <n v="72221.839300000007"/>
    <n v="226798.5123"/>
    <x v="10"/>
    <s v="40/1 Cotton Yarn Combed"/>
    <n v="227500000"/>
    <x v="0"/>
    <n v="40950000"/>
    <x v="0"/>
    <m/>
    <m/>
    <x v="0"/>
    <x v="0"/>
    <x v="0"/>
    <x v="0"/>
    <x v="0"/>
    <x v="0"/>
    <m/>
    <x v="0"/>
    <x v="1"/>
    <x v="0"/>
    <x v="0"/>
    <x v="0"/>
    <x v="3"/>
    <n v="1003.0929995655002"/>
    <n v="180.55673992179004"/>
    <n v="13040139.855163416"/>
    <d v="2024-02-15T00:00:00"/>
    <x v="0"/>
  </r>
  <r>
    <x v="87"/>
    <d v="2024-01-15T00:00:00"/>
    <x v="957"/>
    <d v="2024-01-12T00:00:00"/>
    <x v="0"/>
    <x v="0"/>
    <n v="31661"/>
    <x v="3"/>
    <x v="0"/>
    <n v="5209.42"/>
    <n v="3.55"/>
    <n v="0"/>
    <n v="0"/>
    <x v="19"/>
    <s v="Denim Fabric 99% 1% "/>
    <n v="32001011"/>
    <x v="0"/>
    <n v="5760181.9799999995"/>
    <x v="0"/>
    <m/>
    <m/>
    <x v="0"/>
    <x v="0"/>
    <x v="0"/>
    <x v="3"/>
    <x v="0"/>
    <x v="0"/>
    <m/>
    <x v="0"/>
    <x v="1"/>
    <x v="0"/>
    <x v="0"/>
    <x v="0"/>
    <x v="2"/>
    <n v="1010.7391112093743"/>
    <n v="181.93304001768735"/>
    <n v="0"/>
    <d v="2024-02-14T00:00:00"/>
    <x v="0"/>
  </r>
  <r>
    <x v="88"/>
    <d v="2024-01-16T00:00:00"/>
    <x v="958"/>
    <d v="2024-01-13T00:00:00"/>
    <x v="0"/>
    <x v="0"/>
    <n v="18224"/>
    <x v="3"/>
    <x v="0"/>
    <n v="5210.1099999999997"/>
    <n v="3.44"/>
    <n v="0"/>
    <n v="0"/>
    <x v="2"/>
    <s v="CVC 60:40 fabric "/>
    <n v="17865990"/>
    <x v="0"/>
    <n v="3215878.1999999997"/>
    <x v="0"/>
    <m/>
    <m/>
    <x v="0"/>
    <x v="0"/>
    <x v="0"/>
    <x v="0"/>
    <x v="0"/>
    <x v="0"/>
    <m/>
    <x v="0"/>
    <x v="1"/>
    <x v="0"/>
    <x v="0"/>
    <x v="0"/>
    <x v="2"/>
    <n v="980.35502633889382"/>
    <n v="176.46390474100087"/>
    <n v="0"/>
    <d v="2024-02-15T00:00:00"/>
    <x v="0"/>
  </r>
  <r>
    <x v="89"/>
    <d v="2024-01-16T00:00:00"/>
    <x v="959"/>
    <d v="2024-01-13T00:00:00"/>
    <x v="0"/>
    <x v="0"/>
    <n v="12725"/>
    <x v="3"/>
    <x v="0"/>
    <n v="5210.1099999999997"/>
    <n v="3.46"/>
    <n v="0"/>
    <n v="0"/>
    <x v="2"/>
    <s v="CVC 60:40 fabric "/>
    <n v="12530000"/>
    <x v="0"/>
    <n v="2255400"/>
    <x v="0"/>
    <m/>
    <m/>
    <x v="0"/>
    <x v="0"/>
    <x v="0"/>
    <x v="2"/>
    <x v="0"/>
    <x v="0"/>
    <m/>
    <x v="0"/>
    <x v="1"/>
    <x v="0"/>
    <x v="0"/>
    <x v="0"/>
    <x v="2"/>
    <n v="984.67583497053045"/>
    <n v="177.24165029469549"/>
    <n v="0"/>
    <d v="2024-02-15T00:00:00"/>
    <x v="0"/>
  </r>
  <r>
    <x v="90"/>
    <d v="2024-01-16T00:00:00"/>
    <x v="960"/>
    <d v="2024-01-13T00:00:00"/>
    <x v="0"/>
    <x v="2"/>
    <n v="18165"/>
    <x v="3"/>
    <x v="0"/>
    <n v="5210.1099999999997"/>
    <n v="3.46"/>
    <n v="416.07999999999993"/>
    <n v="18165"/>
    <x v="2"/>
    <s v="CVC 60:40 fabric "/>
    <n v="17900000"/>
    <x v="0"/>
    <n v="3222000"/>
    <x v="0"/>
    <m/>
    <m/>
    <x v="0"/>
    <x v="0"/>
    <x v="0"/>
    <x v="0"/>
    <x v="0"/>
    <x v="0"/>
    <m/>
    <x v="0"/>
    <x v="1"/>
    <x v="0"/>
    <x v="0"/>
    <x v="0"/>
    <x v="2"/>
    <n v="985.41150564271948"/>
    <n v="177.37407101568951"/>
    <n v="73801.803468208076"/>
    <d v="2024-02-15T00:00:00"/>
    <x v="0"/>
  </r>
  <r>
    <x v="91"/>
    <d v="2024-01-20T00:00:00"/>
    <x v="961"/>
    <d v="2024-01-16T00:00:00"/>
    <x v="0"/>
    <x v="1"/>
    <n v="5443.1643000000004"/>
    <x v="3"/>
    <x v="0"/>
    <n v="5205.2700000000004"/>
    <n v="4.87"/>
    <n v="5443.1643000000004"/>
    <n v="5443.1643000000004"/>
    <x v="10"/>
    <s v="60/1 Cotton Yarn Combed"/>
    <n v="7560000"/>
    <x v="0"/>
    <n v="1360800"/>
    <x v="0"/>
    <m/>
    <m/>
    <x v="0"/>
    <x v="0"/>
    <x v="0"/>
    <x v="0"/>
    <x v="0"/>
    <x v="0"/>
    <m/>
    <x v="0"/>
    <x v="1"/>
    <x v="0"/>
    <x v="0"/>
    <x v="0"/>
    <x v="3"/>
    <n v="1388.897998173599"/>
    <n v="250.00163967124783"/>
    <n v="1360800"/>
    <d v="2024-02-19T00:00:00"/>
    <x v="0"/>
  </r>
  <r>
    <x v="92"/>
    <d v="2024-01-20T00:00:00"/>
    <x v="962"/>
    <d v="2024-01-16T00:00:00"/>
    <x v="0"/>
    <x v="0"/>
    <n v="7529.7106999999996"/>
    <x v="3"/>
    <x v="0"/>
    <n v="5205.12"/>
    <n v="2.71"/>
    <n v="0"/>
    <n v="0"/>
    <x v="10"/>
    <s v="20/1 Cotton Yarn Carded"/>
    <n v="5810000"/>
    <x v="0"/>
    <n v="1045800"/>
    <x v="0"/>
    <m/>
    <m/>
    <x v="0"/>
    <x v="0"/>
    <x v="0"/>
    <x v="2"/>
    <x v="0"/>
    <x v="0"/>
    <m/>
    <x v="0"/>
    <x v="1"/>
    <x v="0"/>
    <x v="0"/>
    <x v="0"/>
    <x v="3"/>
    <n v="771.60999027492517"/>
    <n v="138.88979824948655"/>
    <n v="0"/>
    <d v="2024-02-19T00:00:00"/>
    <x v="0"/>
  </r>
  <r>
    <x v="93"/>
    <d v="2024-01-20T00:00:00"/>
    <x v="963"/>
    <d v="2024-01-16T00:00:00"/>
    <x v="0"/>
    <x v="0"/>
    <n v="36242.402199999997"/>
    <x v="3"/>
    <x v="0"/>
    <n v="5206.25"/>
    <n v="4.6399999999999997"/>
    <n v="0"/>
    <n v="0"/>
    <x v="3"/>
    <s v="CVC60:40 - 60/1"/>
    <n v="47940000"/>
    <x v="0"/>
    <n v="8629200"/>
    <x v="0"/>
    <m/>
    <m/>
    <x v="0"/>
    <x v="0"/>
    <x v="0"/>
    <x v="3"/>
    <x v="0"/>
    <x v="0"/>
    <m/>
    <x v="0"/>
    <x v="1"/>
    <x v="0"/>
    <x v="0"/>
    <x v="0"/>
    <x v="3"/>
    <n v="1322.7600018190849"/>
    <n v="238.09680032743526"/>
    <n v="0"/>
    <d v="2024-02-19T00:00:00"/>
    <x v="0"/>
  </r>
  <r>
    <x v="94"/>
    <d v="2024-01-20T00:00:00"/>
    <x v="964"/>
    <d v="2024-01-16T00:00:00"/>
    <x v="0"/>
    <x v="0"/>
    <n v="9071.9403999999995"/>
    <x v="3"/>
    <x v="0"/>
    <n v="5206.1400000000003"/>
    <n v="2.75"/>
    <n v="0"/>
    <n v="0"/>
    <x v="3"/>
    <s v="CVC60:40 - 40/1"/>
    <n v="7100000"/>
    <x v="0"/>
    <n v="1278000"/>
    <x v="0"/>
    <m/>
    <m/>
    <x v="0"/>
    <x v="0"/>
    <x v="0"/>
    <x v="3"/>
    <x v="0"/>
    <x v="0"/>
    <m/>
    <x v="0"/>
    <x v="1"/>
    <x v="0"/>
    <x v="0"/>
    <x v="0"/>
    <x v="3"/>
    <n v="782.63300759780122"/>
    <n v="140.87394136760423"/>
    <n v="0"/>
    <d v="2024-02-19T00:00:00"/>
    <x v="0"/>
  </r>
  <r>
    <x v="95"/>
    <d v="2024-01-20T00:00:00"/>
    <x v="965"/>
    <d v="2024-01-16T00:00:00"/>
    <x v="0"/>
    <x v="1"/>
    <n v="6758.5955999999996"/>
    <x v="3"/>
    <x v="0"/>
    <n v="5206.12"/>
    <n v="2.0699999999999998"/>
    <n v="6758.5955999999996"/>
    <n v="6758.5955999999996"/>
    <x v="3"/>
    <s v="PC 65:35- 24/1"/>
    <n v="3978300"/>
    <x v="0"/>
    <n v="716094"/>
    <x v="0"/>
    <m/>
    <m/>
    <x v="0"/>
    <x v="0"/>
    <x v="0"/>
    <x v="0"/>
    <x v="0"/>
    <x v="0"/>
    <m/>
    <x v="0"/>
    <x v="1"/>
    <x v="0"/>
    <x v="0"/>
    <x v="0"/>
    <x v="3"/>
    <n v="588.62820554021607"/>
    <n v="105.9530769972389"/>
    <n v="716094"/>
    <d v="2024-02-19T00:00:00"/>
    <x v="0"/>
  </r>
  <r>
    <x v="96"/>
    <d v="2024-01-20T00:00:00"/>
    <x v="966"/>
    <d v="2024-01-16T00:00:00"/>
    <x v="0"/>
    <x v="1"/>
    <n v="3311.2582000000002"/>
    <x v="3"/>
    <x v="0"/>
    <n v="5206.12"/>
    <n v="2.1"/>
    <n v="3311.2582000000002"/>
    <n v="3311.2582000000002"/>
    <x v="3"/>
    <s v="PC 65:35- 24/1"/>
    <n v="1985600"/>
    <x v="0"/>
    <n v="357408"/>
    <x v="0"/>
    <m/>
    <m/>
    <x v="0"/>
    <x v="0"/>
    <x v="0"/>
    <x v="0"/>
    <x v="0"/>
    <x v="0"/>
    <m/>
    <x v="0"/>
    <x v="1"/>
    <x v="0"/>
    <x v="0"/>
    <x v="0"/>
    <x v="3"/>
    <n v="599.65121415176861"/>
    <n v="107.93721854731835"/>
    <n v="357408"/>
    <d v="2024-02-19T00:00:00"/>
    <x v="0"/>
  </r>
  <r>
    <x v="97"/>
    <d v="2024-01-20T00:00:00"/>
    <x v="967"/>
    <d v="2024-01-16T00:00:00"/>
    <x v="0"/>
    <x v="0"/>
    <n v="9071.9403999999995"/>
    <x v="3"/>
    <x v="0"/>
    <n v="5206.1400000000003"/>
    <n v="2.75"/>
    <n v="0"/>
    <n v="0"/>
    <x v="3"/>
    <s v="CVC60:40 - 40/1"/>
    <n v="7100000"/>
    <x v="0"/>
    <n v="1278000"/>
    <x v="0"/>
    <m/>
    <m/>
    <x v="0"/>
    <x v="0"/>
    <x v="0"/>
    <x v="3"/>
    <x v="0"/>
    <x v="0"/>
    <m/>
    <x v="0"/>
    <x v="1"/>
    <x v="0"/>
    <x v="0"/>
    <x v="0"/>
    <x v="3"/>
    <n v="782.63300759780122"/>
    <n v="140.87394136760423"/>
    <n v="0"/>
    <d v="2024-02-19T00:00:00"/>
    <x v="0"/>
  </r>
  <r>
    <x v="98"/>
    <d v="2024-01-20T00:00:00"/>
    <x v="968"/>
    <d v="2024-01-16T00:00:00"/>
    <x v="0"/>
    <x v="0"/>
    <n v="9071.9403999999995"/>
    <x v="3"/>
    <x v="0"/>
    <n v="5206.1400000000003"/>
    <n v="2.75"/>
    <n v="0"/>
    <n v="0"/>
    <x v="3"/>
    <s v="CVC60:40 - 40/1"/>
    <n v="7100000"/>
    <x v="0"/>
    <n v="1278000"/>
    <x v="0"/>
    <m/>
    <m/>
    <x v="0"/>
    <x v="0"/>
    <x v="0"/>
    <x v="3"/>
    <x v="0"/>
    <x v="0"/>
    <m/>
    <x v="0"/>
    <x v="1"/>
    <x v="0"/>
    <x v="0"/>
    <x v="0"/>
    <x v="3"/>
    <n v="782.63300759780122"/>
    <n v="140.87394136760423"/>
    <n v="0"/>
    <d v="2024-02-19T00:00:00"/>
    <x v="0"/>
  </r>
  <r>
    <x v="99"/>
    <d v="2024-01-28T00:00:00"/>
    <x v="969"/>
    <d v="2024-01-24T00:00:00"/>
    <x v="0"/>
    <x v="0"/>
    <n v="12176"/>
    <x v="3"/>
    <x v="0"/>
    <n v="5209.42"/>
    <n v="3.62"/>
    <n v="0"/>
    <n v="0"/>
    <x v="19"/>
    <s v="Denim Fabric 99% 1% "/>
    <n v="12573490"/>
    <x v="0"/>
    <n v="2263228.1999999997"/>
    <x v="0"/>
    <m/>
    <m/>
    <x v="0"/>
    <x v="0"/>
    <x v="0"/>
    <x v="3"/>
    <x v="0"/>
    <x v="0"/>
    <m/>
    <x v="0"/>
    <x v="1"/>
    <x v="0"/>
    <x v="0"/>
    <x v="0"/>
    <x v="2"/>
    <n v="1032.6453679369251"/>
    <n v="185.8761662286465"/>
    <n v="0"/>
    <d v="2024-02-27T00:00:00"/>
    <x v="0"/>
  </r>
  <r>
    <x v="100"/>
    <d v="2024-01-27T00:00:00"/>
    <x v="970"/>
    <d v="2024-01-23T00:00:00"/>
    <x v="0"/>
    <x v="1"/>
    <n v="10160.64"/>
    <x v="3"/>
    <x v="0"/>
    <n v="5509.21"/>
    <n v="1.66"/>
    <n v="10160.64"/>
    <n v="10160.64"/>
    <x v="6"/>
    <s v="100% Polyester"/>
    <n v="4816000"/>
    <x v="0"/>
    <n v="866880"/>
    <x v="0"/>
    <m/>
    <m/>
    <x v="0"/>
    <x v="0"/>
    <x v="0"/>
    <x v="0"/>
    <x v="0"/>
    <x v="0"/>
    <m/>
    <x v="0"/>
    <x v="1"/>
    <x v="0"/>
    <x v="0"/>
    <x v="0"/>
    <x v="3"/>
    <n v="473.98589065255737"/>
    <n v="85.317460317460316"/>
    <n v="866879.99999999988"/>
    <d v="2024-02-26T00:00:00"/>
    <x v="0"/>
  </r>
  <r>
    <x v="101"/>
    <d v="2024-01-29T00:00:00"/>
    <x v="971"/>
    <d v="2024-01-25T00:00:00"/>
    <x v="0"/>
    <x v="1"/>
    <n v="11067.84"/>
    <x v="3"/>
    <x v="0"/>
    <n v="5509.21"/>
    <n v="1.66"/>
    <n v="11067.84"/>
    <n v="11067.84"/>
    <x v="6"/>
    <s v="100% Polyester"/>
    <n v="5246000"/>
    <x v="0"/>
    <n v="944280"/>
    <x v="0"/>
    <m/>
    <m/>
    <x v="0"/>
    <x v="0"/>
    <x v="0"/>
    <x v="0"/>
    <x v="0"/>
    <x v="0"/>
    <m/>
    <x v="0"/>
    <x v="1"/>
    <x v="0"/>
    <x v="0"/>
    <x v="0"/>
    <x v="3"/>
    <n v="473.98589065255732"/>
    <n v="85.317460317460316"/>
    <n v="944280"/>
    <d v="2024-02-28T00:00:00"/>
    <x v="0"/>
  </r>
  <r>
    <x v="102"/>
    <d v="2024-01-28T00:00:00"/>
    <x v="972"/>
    <d v="2024-01-24T00:00:00"/>
    <x v="0"/>
    <x v="0"/>
    <n v="28803.409999999996"/>
    <x v="3"/>
    <x v="0"/>
    <n v="5205.12"/>
    <n v="3.02"/>
    <n v="28803.409999999996"/>
    <n v="28803.409999999996"/>
    <x v="10"/>
    <s v="16/1 Carded 70D Spandex 3.9 "/>
    <n v="24828499"/>
    <x v="0"/>
    <n v="4469129.82"/>
    <x v="0"/>
    <m/>
    <m/>
    <x v="0"/>
    <x v="0"/>
    <x v="0"/>
    <x v="2"/>
    <x v="0"/>
    <x v="0"/>
    <m/>
    <x v="0"/>
    <x v="1"/>
    <x v="0"/>
    <x v="0"/>
    <x v="0"/>
    <x v="3"/>
    <n v="861.99859669393322"/>
    <n v="155.15974740490799"/>
    <n v="4469129.82"/>
    <d v="2024-02-27T00:00:00"/>
    <x v="0"/>
  </r>
  <r>
    <x v="103"/>
    <d v="2024-01-28T00:00:00"/>
    <x v="973"/>
    <d v="2024-01-24T00:00:00"/>
    <x v="0"/>
    <x v="0"/>
    <n v="2267.9900000000002"/>
    <x v="3"/>
    <x v="0"/>
    <n v="5205.13"/>
    <n v="3.98"/>
    <n v="0"/>
    <n v="0"/>
    <x v="10"/>
    <s v="30/1 Carded 40D Spandex 3.25"/>
    <n v="2575000"/>
    <x v="0"/>
    <n v="463500"/>
    <x v="0"/>
    <m/>
    <m/>
    <x v="0"/>
    <x v="0"/>
    <x v="0"/>
    <x v="3"/>
    <x v="0"/>
    <x v="0"/>
    <m/>
    <x v="0"/>
    <x v="1"/>
    <x v="0"/>
    <x v="0"/>
    <x v="0"/>
    <x v="3"/>
    <n v="1135.3665580536069"/>
    <n v="204.36598044964921"/>
    <n v="0"/>
    <d v="2024-02-27T00:00:00"/>
    <x v="0"/>
  </r>
  <r>
    <x v="104"/>
    <d v="2024-02-03T00:00:00"/>
    <x v="974"/>
    <d v="2024-01-30T00:00:00"/>
    <x v="1"/>
    <x v="0"/>
    <n v="2011.2"/>
    <x v="3"/>
    <x v="0"/>
    <n v="3919.9090000000001"/>
    <n v="2.19"/>
    <n v="0"/>
    <n v="0"/>
    <x v="9"/>
    <s v="PACKING/ CARTON TAPE"/>
    <n v="1257000"/>
    <x v="0"/>
    <n v="226260"/>
    <x v="0"/>
    <m/>
    <m/>
    <x v="0"/>
    <x v="0"/>
    <x v="0"/>
    <x v="3"/>
    <x v="0"/>
    <x v="0"/>
    <m/>
    <x v="0"/>
    <x v="1"/>
    <x v="0"/>
    <x v="0"/>
    <x v="0"/>
    <x v="6"/>
    <n v="625"/>
    <n v="112.5"/>
    <n v="0"/>
    <d v="2024-02-08T00:00:00"/>
    <x v="0"/>
  </r>
  <r>
    <x v="105"/>
    <d v="2024-02-03T00:00:00"/>
    <x v="975"/>
    <d v="2024-01-30T00:00:00"/>
    <x v="1"/>
    <x v="0"/>
    <n v="1396.67"/>
    <x v="3"/>
    <x v="0"/>
    <n v="3919.9090000000001"/>
    <n v="2.11"/>
    <n v="0"/>
    <n v="0"/>
    <x v="9"/>
    <s v="PACKING/ CARTON TAPE"/>
    <n v="838002"/>
    <x v="0"/>
    <n v="150840.35999999999"/>
    <x v="0"/>
    <m/>
    <m/>
    <x v="0"/>
    <x v="0"/>
    <x v="0"/>
    <x v="2"/>
    <x v="0"/>
    <x v="0"/>
    <m/>
    <x v="0"/>
    <x v="1"/>
    <x v="0"/>
    <x v="0"/>
    <x v="0"/>
    <x v="6"/>
    <n v="600"/>
    <n v="107.99999999999999"/>
    <n v="0"/>
    <d v="2024-02-08T00:00:00"/>
    <x v="0"/>
  </r>
  <r>
    <x v="106"/>
    <d v="2024-02-06T00:00:00"/>
    <x v="976"/>
    <d v="2024-02-02T00:00:00"/>
    <x v="0"/>
    <x v="0"/>
    <n v="18143.88"/>
    <x v="3"/>
    <x v="0"/>
    <n v="5206.1400000000003"/>
    <n v="2.82"/>
    <n v="0"/>
    <n v="0"/>
    <x v="3"/>
    <s v="CVC60:40 - 40/1"/>
    <n v="14599999"/>
    <x v="0"/>
    <n v="2627999.8199999998"/>
    <x v="0"/>
    <m/>
    <m/>
    <x v="0"/>
    <x v="0"/>
    <x v="0"/>
    <x v="3"/>
    <x v="0"/>
    <x v="0"/>
    <m/>
    <x v="0"/>
    <x v="1"/>
    <x v="0"/>
    <x v="0"/>
    <x v="0"/>
    <x v="3"/>
    <n v="804.67898817672949"/>
    <n v="144.8422178718113"/>
    <n v="0"/>
    <d v="2024-03-07T00:00:00"/>
    <x v="0"/>
  </r>
  <r>
    <x v="107"/>
    <d v="2024-02-13T00:00:00"/>
    <x v="977"/>
    <d v="2024-02-09T00:00:00"/>
    <x v="0"/>
    <x v="1"/>
    <n v="4490.6104999999998"/>
    <x v="3"/>
    <x v="0"/>
    <n v="5205.2700000000004"/>
    <n v="4.91"/>
    <n v="4490.6104999999998"/>
    <n v="4490.6104999999998"/>
    <x v="10"/>
    <s v="60/1 Cotton Yarn Combed"/>
    <n v="6286500"/>
    <x v="0"/>
    <n v="1131570"/>
    <x v="0"/>
    <m/>
    <m/>
    <x v="0"/>
    <x v="0"/>
    <x v="0"/>
    <x v="0"/>
    <x v="0"/>
    <x v="0"/>
    <m/>
    <x v="0"/>
    <x v="1"/>
    <x v="0"/>
    <x v="0"/>
    <x v="0"/>
    <x v="3"/>
    <n v="1399.9210129669452"/>
    <n v="251.98578233405013"/>
    <n v="1131570"/>
    <d v="2024-03-14T00:00:00"/>
    <x v="0"/>
  </r>
  <r>
    <x v="108"/>
    <d v="2024-02-13T00:00:00"/>
    <x v="978"/>
    <d v="2024-02-09T00:00:00"/>
    <x v="0"/>
    <x v="0"/>
    <n v="15286.22"/>
    <x v="3"/>
    <x v="0"/>
    <n v="5205.12"/>
    <n v="3.02"/>
    <n v="15286.22"/>
    <n v="15286.22"/>
    <x v="10"/>
    <s v="16/1 95% Cotton 05% Lycra Carded yarn"/>
    <n v="13176700"/>
    <x v="0"/>
    <n v="2371806"/>
    <x v="0"/>
    <m/>
    <m/>
    <x v="0"/>
    <x v="0"/>
    <x v="0"/>
    <x v="2"/>
    <x v="0"/>
    <x v="0"/>
    <m/>
    <x v="0"/>
    <x v="1"/>
    <x v="0"/>
    <x v="0"/>
    <x v="0"/>
    <x v="3"/>
    <n v="861.99858434590112"/>
    <n v="155.15974518226221"/>
    <n v="2371806"/>
    <d v="2024-03-14T00:00:00"/>
    <x v="0"/>
  </r>
  <r>
    <x v="109"/>
    <d v="2024-02-13T00:00:00"/>
    <x v="979"/>
    <d v="2024-02-09T00:00:00"/>
    <x v="0"/>
    <x v="0"/>
    <n v="3764.86"/>
    <x v="3"/>
    <x v="0"/>
    <n v="5205.13"/>
    <n v="3.98"/>
    <n v="0"/>
    <n v="0"/>
    <x v="10"/>
    <s v="30/1 95% Cotton 05% Lycra Carded yarn"/>
    <n v="4274500"/>
    <x v="0"/>
    <n v="769410"/>
    <x v="0"/>
    <m/>
    <m/>
    <x v="0"/>
    <x v="0"/>
    <x v="0"/>
    <x v="2"/>
    <x v="0"/>
    <x v="0"/>
    <m/>
    <x v="0"/>
    <x v="1"/>
    <x v="0"/>
    <x v="0"/>
    <x v="0"/>
    <x v="3"/>
    <n v="1135.367583389555"/>
    <n v="204.36616501011989"/>
    <n v="0"/>
    <d v="2024-03-14T00:00:00"/>
    <x v="0"/>
  </r>
  <r>
    <x v="110"/>
    <d v="2024-02-17T00:00:00"/>
    <x v="980"/>
    <d v="2024-02-13T00:00:00"/>
    <x v="0"/>
    <x v="0"/>
    <n v="2857.6612"/>
    <x v="3"/>
    <x v="0"/>
    <n v="5206.1400000000003"/>
    <n v="2.75"/>
    <n v="0"/>
    <n v="0"/>
    <x v="3"/>
    <s v="CVC60:40 - 40/1"/>
    <n v="2236500"/>
    <x v="0"/>
    <n v="402570"/>
    <x v="0"/>
    <m/>
    <m/>
    <x v="0"/>
    <x v="0"/>
    <x v="0"/>
    <x v="2"/>
    <x v="0"/>
    <x v="0"/>
    <m/>
    <x v="0"/>
    <x v="1"/>
    <x v="0"/>
    <x v="0"/>
    <x v="0"/>
    <x v="3"/>
    <n v="782.63301471846978"/>
    <n v="140.87394264932456"/>
    <n v="0"/>
    <d v="2024-03-18T00:00:00"/>
    <x v="0"/>
  </r>
  <r>
    <x v="111"/>
    <d v="2024-02-17T00:00:00"/>
    <x v="981"/>
    <d v="2024-02-13T00:00:00"/>
    <x v="0"/>
    <x v="0"/>
    <n v="15286.2197"/>
    <x v="3"/>
    <x v="0"/>
    <n v="5206.1400000000003"/>
    <n v="2.8"/>
    <n v="0"/>
    <n v="0"/>
    <x v="3"/>
    <s v="CVC60:40 - 40/1"/>
    <n v="12199400"/>
    <x v="0"/>
    <n v="2195892"/>
    <x v="0"/>
    <m/>
    <m/>
    <x v="0"/>
    <x v="0"/>
    <x v="0"/>
    <x v="2"/>
    <x v="0"/>
    <x v="0"/>
    <m/>
    <x v="0"/>
    <x v="1"/>
    <x v="0"/>
    <x v="0"/>
    <x v="0"/>
    <x v="3"/>
    <n v="798.06520116939055"/>
    <n v="143.6517362104903"/>
    <n v="0"/>
    <d v="2024-03-18T00:00:00"/>
    <x v="0"/>
  </r>
  <r>
    <x v="112"/>
    <d v="2024-02-17T00:00:00"/>
    <x v="982"/>
    <d v="2024-02-13T00:00:00"/>
    <x v="0"/>
    <x v="1"/>
    <n v="9071.9403999999995"/>
    <x v="3"/>
    <x v="0"/>
    <n v="5206.12"/>
    <n v="2.2200000000000002"/>
    <n v="9071.9403999999995"/>
    <n v="9071.9403999999995"/>
    <x v="3"/>
    <s v="PC 65:35- 24/1"/>
    <n v="5740000"/>
    <x v="0"/>
    <n v="1033200"/>
    <x v="0"/>
    <m/>
    <m/>
    <x v="0"/>
    <x v="0"/>
    <x v="0"/>
    <x v="0"/>
    <x v="0"/>
    <x v="0"/>
    <m/>
    <x v="0"/>
    <x v="1"/>
    <x v="0"/>
    <x v="0"/>
    <x v="0"/>
    <x v="3"/>
    <n v="632.72020614244775"/>
    <n v="113.8896371056406"/>
    <n v="1033200"/>
    <d v="2024-03-18T00:00:00"/>
    <x v="0"/>
  </r>
  <r>
    <x v="113"/>
    <d v="2024-02-17T00:00:00"/>
    <x v="983"/>
    <d v="2024-02-13T00:00:00"/>
    <x v="0"/>
    <x v="0"/>
    <n v="9071.9403999999995"/>
    <x v="3"/>
    <x v="0"/>
    <n v="5206.1400000000003"/>
    <n v="2.8"/>
    <n v="0"/>
    <n v="0"/>
    <x v="3"/>
    <s v="CVC60:40 - 40/1"/>
    <n v="7240000"/>
    <x v="0"/>
    <n v="1303200"/>
    <x v="0"/>
    <m/>
    <m/>
    <x v="0"/>
    <x v="0"/>
    <x v="0"/>
    <x v="2"/>
    <x v="0"/>
    <x v="0"/>
    <m/>
    <x v="0"/>
    <x v="1"/>
    <x v="0"/>
    <x v="0"/>
    <x v="0"/>
    <x v="3"/>
    <n v="798.06520774761714"/>
    <n v="143.65173739457109"/>
    <n v="0"/>
    <d v="2024-03-18T00:00:00"/>
    <x v="0"/>
  </r>
  <r>
    <x v="114"/>
    <d v="2024-02-17T00:00:00"/>
    <x v="984"/>
    <d v="2024-02-13T00:00:00"/>
    <x v="0"/>
    <x v="1"/>
    <n v="15875.8958"/>
    <x v="3"/>
    <x v="0"/>
    <n v="5206.12"/>
    <n v="2.2200000000000002"/>
    <n v="15875.8958"/>
    <n v="15875.8958"/>
    <x v="3"/>
    <s v="PC 65:35- 24/1"/>
    <n v="10045000"/>
    <x v="0"/>
    <n v="1808100"/>
    <x v="0"/>
    <m/>
    <m/>
    <x v="0"/>
    <x v="0"/>
    <x v="0"/>
    <x v="0"/>
    <x v="0"/>
    <x v="0"/>
    <m/>
    <x v="0"/>
    <x v="1"/>
    <x v="0"/>
    <x v="0"/>
    <x v="0"/>
    <x v="3"/>
    <n v="632.72020215703355"/>
    <n v="113.88963638826604"/>
    <n v="1808100"/>
    <d v="2024-03-18T00:00:00"/>
    <x v="0"/>
  </r>
  <r>
    <x v="115"/>
    <d v="2024-02-18T00:00:00"/>
    <x v="985"/>
    <d v="2024-02-14T00:00:00"/>
    <x v="0"/>
    <x v="0"/>
    <n v="18143.88"/>
    <x v="3"/>
    <x v="0"/>
    <n v="5206.1400000000003"/>
    <n v="2.82"/>
    <n v="0"/>
    <n v="0"/>
    <x v="3"/>
    <s v="CVC60:40"/>
    <n v="14599999"/>
    <x v="0"/>
    <n v="2627999.8199999998"/>
    <x v="0"/>
    <m/>
    <m/>
    <x v="0"/>
    <x v="0"/>
    <x v="0"/>
    <x v="2"/>
    <x v="0"/>
    <x v="0"/>
    <m/>
    <x v="0"/>
    <x v="1"/>
    <x v="0"/>
    <x v="0"/>
    <x v="0"/>
    <x v="3"/>
    <n v="804.67898817672949"/>
    <n v="144.8422178718113"/>
    <n v="0"/>
    <d v="2024-03-19T00:00:00"/>
    <x v="0"/>
  </r>
  <r>
    <x v="116"/>
    <d v="2024-02-01T00:00:00"/>
    <x v="986"/>
    <d v="2024-01-26T00:00:00"/>
    <x v="0"/>
    <x v="0"/>
    <n v="6168.96"/>
    <x v="3"/>
    <x v="0"/>
    <n v="5205.12"/>
    <n v="2.86"/>
    <n v="0"/>
    <n v="0"/>
    <x v="10"/>
    <s v="24/1 Cotton Yarn Carded"/>
    <n v="5032000"/>
    <x v="0"/>
    <n v="905760"/>
    <x v="0"/>
    <m/>
    <m/>
    <x v="0"/>
    <x v="0"/>
    <x v="0"/>
    <x v="0"/>
    <x v="0"/>
    <x v="0"/>
    <m/>
    <x v="0"/>
    <x v="1"/>
    <x v="0"/>
    <x v="0"/>
    <x v="0"/>
    <x v="3"/>
    <n v="815.69664902998238"/>
    <n v="146.82539682539684"/>
    <n v="0"/>
    <d v="2024-03-02T00:00:00"/>
    <x v="0"/>
  </r>
  <r>
    <x v="117"/>
    <d v="2024-02-18T00:00:00"/>
    <x v="987"/>
    <d v="2024-02-14T00:00:00"/>
    <x v="0"/>
    <x v="0"/>
    <n v="18325.439999999999"/>
    <x v="3"/>
    <x v="0"/>
    <n v="5205.12"/>
    <n v="2.72"/>
    <n v="0"/>
    <n v="0"/>
    <x v="10"/>
    <s v="16/1 Cotton Yarn "/>
    <n v="14180400"/>
    <x v="0"/>
    <n v="2552472"/>
    <x v="0"/>
    <m/>
    <m/>
    <x v="0"/>
    <x v="0"/>
    <x v="0"/>
    <x v="0"/>
    <x v="0"/>
    <x v="0"/>
    <m/>
    <x v="0"/>
    <x v="1"/>
    <x v="0"/>
    <x v="0"/>
    <x v="0"/>
    <x v="3"/>
    <n v="773.80952380952385"/>
    <n v="139.28571428571431"/>
    <n v="0"/>
    <d v="2024-03-19T00:00:00"/>
    <x v="0"/>
  </r>
  <r>
    <x v="118"/>
    <d v="2024-02-18T00:00:00"/>
    <x v="988"/>
    <d v="2024-02-14T00:00:00"/>
    <x v="0"/>
    <x v="2"/>
    <n v="13335.84"/>
    <x v="3"/>
    <x v="0"/>
    <n v="5205.12"/>
    <n v="2.59"/>
    <n v="12658.41"/>
    <n v="13335.84"/>
    <x v="10"/>
    <s v="12/1 Cotton Yarn "/>
    <n v="9849001"/>
    <x v="0"/>
    <n v="1772820.18"/>
    <x v="0"/>
    <m/>
    <m/>
    <x v="0"/>
    <x v="0"/>
    <x v="0"/>
    <x v="0"/>
    <x v="0"/>
    <x v="0"/>
    <m/>
    <x v="0"/>
    <x v="1"/>
    <x v="0"/>
    <x v="0"/>
    <x v="0"/>
    <x v="3"/>
    <n v="738.53623018872452"/>
    <n v="132.9365214339704"/>
    <n v="1682764.9922849853"/>
    <d v="2024-03-19T00:00:00"/>
    <x v="0"/>
  </r>
  <r>
    <x v="119"/>
    <d v="2024-02-18T00:00:00"/>
    <x v="989"/>
    <d v="2024-02-14T00:00:00"/>
    <x v="0"/>
    <x v="1"/>
    <n v="11884.32"/>
    <x v="3"/>
    <x v="0"/>
    <n v="5205.12"/>
    <n v="2.67"/>
    <n v="11884.32"/>
    <n v="11884.32"/>
    <x v="10"/>
    <s v="12/1 Cotton Yarn "/>
    <n v="9039000"/>
    <x v="0"/>
    <n v="1627020"/>
    <x v="0"/>
    <m/>
    <m/>
    <x v="0"/>
    <x v="0"/>
    <x v="0"/>
    <x v="0"/>
    <x v="0"/>
    <x v="0"/>
    <m/>
    <x v="0"/>
    <x v="1"/>
    <x v="0"/>
    <x v="0"/>
    <x v="0"/>
    <x v="3"/>
    <n v="760.58201058201064"/>
    <n v="136.9047619047619"/>
    <n v="1627019.9999999998"/>
    <d v="2024-03-19T00:00:00"/>
    <x v="0"/>
  </r>
  <r>
    <x v="120"/>
    <d v="2024-02-19T00:00:00"/>
    <x v="990"/>
    <d v="2024-02-15T00:00:00"/>
    <x v="0"/>
    <x v="1"/>
    <n v="1451.52"/>
    <x v="3"/>
    <x v="0"/>
    <n v="5509.21"/>
    <n v="1.66"/>
    <n v="1451.52"/>
    <n v="1451.52"/>
    <x v="6"/>
    <s v="100% Polyester"/>
    <n v="688000"/>
    <x v="0"/>
    <n v="123840"/>
    <x v="0"/>
    <m/>
    <m/>
    <x v="0"/>
    <x v="0"/>
    <x v="0"/>
    <x v="0"/>
    <x v="0"/>
    <x v="0"/>
    <m/>
    <x v="0"/>
    <x v="1"/>
    <x v="0"/>
    <x v="0"/>
    <x v="0"/>
    <x v="3"/>
    <n v="473.98589065255732"/>
    <n v="85.317460317460316"/>
    <n v="123840"/>
    <d v="2024-03-20T00:00:00"/>
    <x v="0"/>
  </r>
  <r>
    <x v="121"/>
    <d v="2024-02-19T00:00:00"/>
    <x v="991"/>
    <d v="2024-02-15T00:00:00"/>
    <x v="0"/>
    <x v="1"/>
    <n v="12020.4"/>
    <x v="3"/>
    <x v="0"/>
    <n v="5205.12"/>
    <n v="42.18"/>
    <n v="12020.4"/>
    <n v="12020.4"/>
    <x v="10"/>
    <s v="10/1 Cotton Yarn "/>
    <n v="144490016"/>
    <x v="0"/>
    <n v="26008202.879999999"/>
    <x v="0"/>
    <m/>
    <m/>
    <x v="0"/>
    <x v="0"/>
    <x v="0"/>
    <x v="0"/>
    <x v="0"/>
    <x v="0"/>
    <m/>
    <x v="0"/>
    <x v="1"/>
    <x v="0"/>
    <x v="0"/>
    <x v="0"/>
    <x v="3"/>
    <n v="12020.399986689295"/>
    <n v="2163.6719976040731"/>
    <n v="26008202.879999999"/>
    <d v="2024-03-20T00:00:00"/>
    <x v="0"/>
  </r>
  <r>
    <x v="122"/>
    <d v="2024-02-20T00:00:00"/>
    <x v="992"/>
    <d v="2024-02-16T00:00:00"/>
    <x v="0"/>
    <x v="1"/>
    <n v="226798.5122"/>
    <x v="3"/>
    <x v="0"/>
    <n v="5205.24"/>
    <n v="3.6"/>
    <n v="226798.5122"/>
    <n v="226798.5122"/>
    <x v="10"/>
    <s v="40/1 Cotton Yarn Combed"/>
    <n v="232500000"/>
    <x v="0"/>
    <n v="41850000"/>
    <x v="0"/>
    <m/>
    <m/>
    <x v="0"/>
    <x v="0"/>
    <x v="0"/>
    <x v="0"/>
    <x v="0"/>
    <x v="0"/>
    <m/>
    <x v="0"/>
    <x v="1"/>
    <x v="0"/>
    <x v="0"/>
    <x v="0"/>
    <x v="3"/>
    <n v="1025.139000007955"/>
    <n v="184.52502000143193"/>
    <n v="41850000"/>
    <d v="2024-03-21T00:00:00"/>
    <x v="0"/>
  </r>
  <r>
    <x v="123"/>
    <d v="2024-02-23T00:00:00"/>
    <x v="993"/>
    <d v="2024-02-19T00:00:00"/>
    <x v="0"/>
    <x v="1"/>
    <n v="16420.212299999999"/>
    <x v="3"/>
    <x v="0"/>
    <n v="5205.2700000000004"/>
    <n v="7.81"/>
    <n v="16420.212299999999"/>
    <n v="16420.212299999999"/>
    <x v="10"/>
    <s v="60/2 Cotton Yarn Combed"/>
    <n v="36562000"/>
    <x v="0"/>
    <n v="6581160"/>
    <x v="0"/>
    <m/>
    <m/>
    <x v="0"/>
    <x v="0"/>
    <x v="0"/>
    <x v="0"/>
    <x v="0"/>
    <x v="0"/>
    <m/>
    <x v="0"/>
    <x v="1"/>
    <x v="0"/>
    <x v="0"/>
    <x v="0"/>
    <x v="3"/>
    <n v="2226.6459977499803"/>
    <n v="400.79627959499646"/>
    <n v="6581160"/>
    <d v="2024-03-24T00:00:00"/>
    <x v="0"/>
  </r>
  <r>
    <x v="124"/>
    <d v="2024-02-24T00:00:00"/>
    <x v="994"/>
    <d v="2024-02-20T00:00:00"/>
    <x v="0"/>
    <x v="1"/>
    <n v="54432"/>
    <x v="3"/>
    <x v="0"/>
    <n v="5205.24"/>
    <n v="3.38"/>
    <n v="54432"/>
    <n v="54432"/>
    <x v="10"/>
    <s v="40/1 Cotton Yarn Combed"/>
    <n v="52500001"/>
    <x v="0"/>
    <n v="9450000.1799999997"/>
    <x v="0"/>
    <m/>
    <m/>
    <x v="0"/>
    <x v="0"/>
    <x v="0"/>
    <x v="0"/>
    <x v="0"/>
    <x v="0"/>
    <m/>
    <x v="0"/>
    <x v="1"/>
    <x v="0"/>
    <x v="0"/>
    <x v="0"/>
    <x v="3"/>
    <n v="964.50619121105228"/>
    <n v="173.6111144179894"/>
    <n v="9450000.1799999997"/>
    <d v="2024-03-25T00:00:00"/>
    <x v="0"/>
  </r>
  <r>
    <x v="125"/>
    <d v="2024-02-25T00:00:00"/>
    <x v="995"/>
    <d v="2024-02-21T00:00:00"/>
    <x v="0"/>
    <x v="0"/>
    <n v="39987"/>
    <x v="3"/>
    <x v="0"/>
    <n v="5209.42"/>
    <n v="3.66"/>
    <n v="0"/>
    <n v="0"/>
    <x v="19"/>
    <s v="Denim Fabric 99% 1% "/>
    <n v="41725979"/>
    <x v="0"/>
    <n v="7510676.2199999997"/>
    <x v="0"/>
    <m/>
    <m/>
    <x v="0"/>
    <x v="0"/>
    <x v="0"/>
    <x v="2"/>
    <x v="0"/>
    <x v="0"/>
    <m/>
    <x v="0"/>
    <x v="1"/>
    <x v="0"/>
    <x v="0"/>
    <x v="0"/>
    <x v="2"/>
    <n v="1043.4886087978593"/>
    <n v="187.82794958361467"/>
    <n v="0"/>
    <d v="2024-03-26T00:00:00"/>
    <x v="0"/>
  </r>
  <r>
    <x v="126"/>
    <d v="2024-02-26T00:00:00"/>
    <x v="996"/>
    <d v="2024-02-22T00:00:00"/>
    <x v="0"/>
    <x v="0"/>
    <n v="34564.0933"/>
    <x v="3"/>
    <x v="0"/>
    <n v="5206.25"/>
    <n v="4.8"/>
    <n v="0"/>
    <n v="0"/>
    <x v="3"/>
    <s v="CVC60:40 - 60/1"/>
    <n v="47244000"/>
    <x v="0"/>
    <n v="8503920"/>
    <x v="0"/>
    <m/>
    <m/>
    <x v="0"/>
    <x v="0"/>
    <x v="0"/>
    <x v="3"/>
    <x v="0"/>
    <x v="0"/>
    <m/>
    <x v="0"/>
    <x v="1"/>
    <x v="0"/>
    <x v="0"/>
    <x v="0"/>
    <x v="3"/>
    <n v="1366.8519984003167"/>
    <n v="246.03335971205701"/>
    <n v="0"/>
    <d v="2024-03-27T00:00:00"/>
    <x v="0"/>
  </r>
  <r>
    <x v="127"/>
    <d v="2024-02-26T00:00:00"/>
    <x v="997"/>
    <d v="2024-02-22T00:00:00"/>
    <x v="0"/>
    <x v="1"/>
    <n v="6304.9985999999999"/>
    <x v="3"/>
    <x v="0"/>
    <n v="5205.2700000000004"/>
    <n v="22.12"/>
    <n v="6304.9985999999999"/>
    <n v="6304.9985999999999"/>
    <x v="10"/>
    <s v="60/1 Cotton Yarn Combed"/>
    <n v="39753007"/>
    <x v="0"/>
    <n v="7155541.2599999998"/>
    <x v="0"/>
    <m/>
    <m/>
    <x v="0"/>
    <x v="0"/>
    <x v="0"/>
    <x v="0"/>
    <x v="0"/>
    <x v="0"/>
    <m/>
    <x v="0"/>
    <x v="1"/>
    <x v="0"/>
    <x v="0"/>
    <x v="0"/>
    <x v="3"/>
    <n v="6304.9985451225957"/>
    <n v="1134.8997381220672"/>
    <n v="7155541.2600000007"/>
    <d v="2024-03-27T00:00:00"/>
    <x v="0"/>
  </r>
  <r>
    <x v="128"/>
    <d v="2024-02-29T00:00:00"/>
    <x v="998"/>
    <d v="2024-02-26T00:00:00"/>
    <x v="0"/>
    <x v="0"/>
    <n v="41549.49"/>
    <x v="3"/>
    <x v="0"/>
    <n v="5205.12"/>
    <n v="3.02"/>
    <n v="0"/>
    <n v="0"/>
    <x v="10"/>
    <s v="16/1 95% Cotton 05% Lycra Carded yarn"/>
    <n v="35815602"/>
    <x v="0"/>
    <n v="6446808.3599999994"/>
    <x v="0"/>
    <m/>
    <m/>
    <x v="0"/>
    <x v="0"/>
    <x v="0"/>
    <x v="0"/>
    <x v="0"/>
    <x v="0"/>
    <m/>
    <x v="0"/>
    <x v="1"/>
    <x v="0"/>
    <x v="0"/>
    <x v="0"/>
    <x v="3"/>
    <n v="861.99859492860207"/>
    <n v="155.15974708714836"/>
    <n v="0"/>
    <d v="2024-03-30T00:00:00"/>
    <x v="0"/>
  </r>
  <r>
    <x v="129"/>
    <d v="2024-02-29T00:00:00"/>
    <x v="999"/>
    <d v="2024-02-26T00:00:00"/>
    <x v="0"/>
    <x v="0"/>
    <n v="6032.84"/>
    <x v="3"/>
    <x v="0"/>
    <n v="5205.13"/>
    <n v="3.98"/>
    <n v="0"/>
    <n v="0"/>
    <x v="10"/>
    <s v="30/1 95% Cotton 05% Lycra Carded yarn"/>
    <n v="6849500"/>
    <x v="0"/>
    <n v="1232910"/>
    <x v="0"/>
    <m/>
    <m/>
    <x v="0"/>
    <x v="0"/>
    <x v="0"/>
    <x v="2"/>
    <x v="0"/>
    <x v="0"/>
    <m/>
    <x v="0"/>
    <x v="1"/>
    <x v="0"/>
    <x v="0"/>
    <x v="0"/>
    <x v="3"/>
    <n v="1135.369079902666"/>
    <n v="204.36643438247989"/>
    <n v="0"/>
    <d v="2024-03-30T00:00:00"/>
    <x v="0"/>
  </r>
  <r>
    <x v="130"/>
    <d v="2024-02-25T00:00:00"/>
    <x v="1000"/>
    <d v="2024-02-22T00:00:00"/>
    <x v="1"/>
    <x v="0"/>
    <n v="3455"/>
    <x v="3"/>
    <x v="0"/>
    <n v="4821.8999999999996"/>
    <n v="1.1100000000000001"/>
    <n v="0"/>
    <n v="0"/>
    <x v="9"/>
    <s v="Inlay Card"/>
    <n v="1088325"/>
    <x v="0"/>
    <n v="195898.5"/>
    <x v="0"/>
    <m/>
    <m/>
    <x v="0"/>
    <x v="0"/>
    <x v="0"/>
    <x v="2"/>
    <x v="0"/>
    <x v="0"/>
    <m/>
    <x v="0"/>
    <x v="1"/>
    <x v="0"/>
    <x v="0"/>
    <x v="0"/>
    <x v="6"/>
    <n v="315"/>
    <n v="56.7"/>
    <n v="0"/>
    <d v="2024-03-01T00:00:00"/>
    <x v="0"/>
  </r>
  <r>
    <x v="131"/>
    <d v="2024-02-29T00:00:00"/>
    <x v="1001"/>
    <d v="2024-02-28T00:00:00"/>
    <x v="1"/>
    <x v="0"/>
    <n v="3961"/>
    <x v="3"/>
    <x v="0"/>
    <n v="4821.8999999999996"/>
    <n v="1.1100000000000001"/>
    <n v="0"/>
    <n v="0"/>
    <x v="9"/>
    <s v="Inlay-Card"/>
    <n v="1247715"/>
    <x v="0"/>
    <n v="224588.69999999998"/>
    <x v="0"/>
    <m/>
    <m/>
    <x v="0"/>
    <x v="0"/>
    <x v="0"/>
    <x v="2"/>
    <x v="0"/>
    <x v="0"/>
    <m/>
    <x v="0"/>
    <x v="1"/>
    <x v="0"/>
    <x v="0"/>
    <x v="0"/>
    <x v="6"/>
    <n v="315"/>
    <n v="56.699999999999996"/>
    <n v="0"/>
    <d v="2024-03-05T00:00:00"/>
    <x v="0"/>
  </r>
  <r>
    <x v="132"/>
    <d v="2024-02-29T00:00:00"/>
    <x v="1002"/>
    <d v="2024-02-28T00:00:00"/>
    <x v="1"/>
    <x v="0"/>
    <n v="148"/>
    <x v="3"/>
    <x v="0"/>
    <n v="4821.8999999999996"/>
    <n v="1.1100000000000001"/>
    <n v="0"/>
    <n v="0"/>
    <x v="9"/>
    <s v="Inlay-Card"/>
    <n v="46620"/>
    <x v="0"/>
    <n v="8391.6"/>
    <x v="0"/>
    <m/>
    <m/>
    <x v="0"/>
    <x v="0"/>
    <x v="0"/>
    <x v="2"/>
    <x v="0"/>
    <x v="0"/>
    <m/>
    <x v="0"/>
    <x v="1"/>
    <x v="0"/>
    <x v="0"/>
    <x v="0"/>
    <x v="6"/>
    <n v="315"/>
    <n v="56.7"/>
    <n v="0"/>
    <d v="2024-03-05T00:00:00"/>
    <x v="0"/>
  </r>
  <r>
    <x v="133"/>
    <d v="2024-03-05T00:00:00"/>
    <x v="1003"/>
    <d v="2024-03-04T00:00:00"/>
    <x v="0"/>
    <x v="1"/>
    <n v="33974.417099999999"/>
    <x v="3"/>
    <x v="0"/>
    <n v="5402.33"/>
    <n v="1.96"/>
    <n v="33974.417099999999"/>
    <n v="33974.417099999999"/>
    <x v="6"/>
    <s v="100% Polyester"/>
    <n v="19024600"/>
    <x v="0"/>
    <n v="3424428"/>
    <x v="0"/>
    <m/>
    <m/>
    <x v="0"/>
    <x v="0"/>
    <x v="0"/>
    <x v="0"/>
    <x v="0"/>
    <x v="0"/>
    <m/>
    <x v="0"/>
    <x v="1"/>
    <x v="0"/>
    <x v="0"/>
    <x v="0"/>
    <x v="3"/>
    <n v="559.96840045859096"/>
    <n v="100.79431208254637"/>
    <n v="3424428"/>
    <d v="2024-04-04T00:00:00"/>
    <x v="0"/>
  </r>
  <r>
    <x v="134"/>
    <d v="2024-03-02T00:00:00"/>
    <x v="1004"/>
    <d v="2024-03-01T00:00:00"/>
    <x v="0"/>
    <x v="0"/>
    <n v="9071.9403999999995"/>
    <x v="3"/>
    <x v="0"/>
    <n v="5206.1400000000003"/>
    <n v="2.8"/>
    <n v="0"/>
    <n v="0"/>
    <x v="3"/>
    <s v="CVC60:40 - 40/1"/>
    <n v="7240000"/>
    <x v="0"/>
    <n v="1303200"/>
    <x v="0"/>
    <m/>
    <m/>
    <x v="0"/>
    <x v="0"/>
    <x v="0"/>
    <x v="2"/>
    <x v="0"/>
    <x v="0"/>
    <m/>
    <x v="0"/>
    <x v="1"/>
    <x v="0"/>
    <x v="0"/>
    <x v="0"/>
    <x v="3"/>
    <n v="798.06520774761714"/>
    <n v="143.65173739457109"/>
    <n v="0"/>
    <d v="2024-04-01T00:00:00"/>
    <x v="0"/>
  </r>
  <r>
    <x v="135"/>
    <d v="2024-03-09T00:00:00"/>
    <x v="1005"/>
    <d v="2024-03-05T00:00:00"/>
    <x v="0"/>
    <x v="0"/>
    <n v="13256"/>
    <x v="3"/>
    <x v="0"/>
    <n v="5209.42"/>
    <n v="3.71"/>
    <n v="0"/>
    <n v="0"/>
    <x v="19"/>
    <s v="Denim Fabric 99% 1% (33140 Mtr)"/>
    <n v="14018399"/>
    <x v="0"/>
    <n v="2523311.8199999998"/>
    <x v="0"/>
    <m/>
    <m/>
    <x v="0"/>
    <x v="0"/>
    <x v="0"/>
    <x v="0"/>
    <x v="0"/>
    <x v="0"/>
    <m/>
    <x v="0"/>
    <x v="1"/>
    <x v="0"/>
    <x v="0"/>
    <x v="0"/>
    <x v="2"/>
    <n v="1057.5135033192516"/>
    <n v="190.35243059746529"/>
    <n v="0"/>
    <d v="2024-04-08T00:00:00"/>
    <x v="0"/>
  </r>
  <r>
    <x v="136"/>
    <d v="2024-03-02T00:00:00"/>
    <x v="1006"/>
    <d v="2024-02-27T00:00:00"/>
    <x v="1"/>
    <x v="0"/>
    <n v="24"/>
    <x v="3"/>
    <x v="0"/>
    <n v="3919.9090000000001"/>
    <n v="1.82"/>
    <n v="0"/>
    <n v="0"/>
    <x v="9"/>
    <s v="PACKING/ CARTON TAPE"/>
    <n v="12480"/>
    <x v="0"/>
    <n v="2246.4"/>
    <x v="0"/>
    <m/>
    <m/>
    <x v="0"/>
    <x v="0"/>
    <x v="0"/>
    <x v="2"/>
    <x v="0"/>
    <x v="0"/>
    <m/>
    <x v="0"/>
    <x v="1"/>
    <x v="0"/>
    <x v="0"/>
    <x v="0"/>
    <x v="6"/>
    <n v="520"/>
    <n v="93.600000000000009"/>
    <n v="0"/>
    <d v="2024-03-07T00:00:00"/>
    <x v="0"/>
  </r>
  <r>
    <x v="137"/>
    <d v="2024-03-15T00:00:00"/>
    <x v="1007"/>
    <d v="2024-03-11T00:00:00"/>
    <x v="0"/>
    <x v="1"/>
    <n v="226798.5122"/>
    <x v="3"/>
    <x v="0"/>
    <n v="5205.24"/>
    <n v="3.69"/>
    <n v="226798.5122"/>
    <n v="226798.5122"/>
    <x v="10"/>
    <s v="40/1 Cotton Yarn Combed"/>
    <n v="238750000"/>
    <x v="0"/>
    <n v="42975000"/>
    <x v="0"/>
    <m/>
    <m/>
    <x v="0"/>
    <x v="0"/>
    <x v="0"/>
    <x v="0"/>
    <x v="0"/>
    <x v="0"/>
    <m/>
    <x v="0"/>
    <x v="1"/>
    <x v="0"/>
    <x v="0"/>
    <x v="0"/>
    <x v="3"/>
    <n v="1052.6965000081689"/>
    <n v="189.48537000147041"/>
    <n v="42975000"/>
    <d v="2024-04-14T00:00:00"/>
    <x v="0"/>
  </r>
  <r>
    <x v="138"/>
    <d v="2024-03-16T00:00:00"/>
    <x v="1008"/>
    <d v="2024-03-12T00:00:00"/>
    <x v="0"/>
    <x v="0"/>
    <n v="994"/>
    <x v="3"/>
    <x v="0"/>
    <n v="5209.42"/>
    <n v="3.7"/>
    <n v="0"/>
    <n v="0"/>
    <x v="19"/>
    <s v="Denim Fabric 99% 1% "/>
    <n v="1049020"/>
    <x v="0"/>
    <n v="188823.6"/>
    <x v="0"/>
    <m/>
    <m/>
    <x v="0"/>
    <x v="0"/>
    <x v="0"/>
    <x v="0"/>
    <x v="0"/>
    <x v="0"/>
    <m/>
    <x v="0"/>
    <x v="1"/>
    <x v="0"/>
    <x v="0"/>
    <x v="0"/>
    <x v="2"/>
    <n v="1055.3521126760563"/>
    <n v="189.96338028169015"/>
    <n v="0"/>
    <d v="2024-04-15T00:00:00"/>
    <x v="0"/>
  </r>
  <r>
    <x v="139"/>
    <d v="2024-03-22T00:00:00"/>
    <x v="1009"/>
    <d v="2024-03-18T00:00:00"/>
    <x v="0"/>
    <x v="1"/>
    <n v="28758.05"/>
    <x v="3"/>
    <x v="0"/>
    <n v="5205.12"/>
    <n v="3.02"/>
    <n v="28758.05"/>
    <n v="28758.05"/>
    <x v="10"/>
    <s v="16/1 95% Cotton 05% Lycra Carded yarn"/>
    <n v="24789402"/>
    <x v="0"/>
    <n v="4462092.3599999994"/>
    <x v="0"/>
    <m/>
    <m/>
    <x v="0"/>
    <x v="0"/>
    <x v="0"/>
    <x v="0"/>
    <x v="0"/>
    <x v="0"/>
    <m/>
    <x v="0"/>
    <x v="1"/>
    <x v="0"/>
    <x v="0"/>
    <x v="0"/>
    <x v="3"/>
    <n v="861.99870992643798"/>
    <n v="155.15976778675883"/>
    <n v="4462092.3599999994"/>
    <d v="2024-04-21T00:00:00"/>
    <x v="0"/>
  </r>
  <r>
    <x v="140"/>
    <d v="2024-03-22T00:00:00"/>
    <x v="1010"/>
    <d v="2024-03-18T00:00:00"/>
    <x v="0"/>
    <x v="2"/>
    <n v="22362.33"/>
    <x v="3"/>
    <x v="0"/>
    <n v="5205.12"/>
    <n v="3.02"/>
    <n v="1747.2"/>
    <n v="22362.33"/>
    <x v="10"/>
    <s v="16/1 95% Cotton 05% Lycra Carded yarn"/>
    <n v="19276302"/>
    <x v="0"/>
    <n v="3469734.36"/>
    <x v="0"/>
    <m/>
    <m/>
    <x v="0"/>
    <x v="0"/>
    <x v="0"/>
    <x v="0"/>
    <x v="0"/>
    <x v="0"/>
    <m/>
    <x v="0"/>
    <x v="1"/>
    <x v="0"/>
    <x v="0"/>
    <x v="0"/>
    <x v="3"/>
    <n v="861.99881676014968"/>
    <n v="155.15978701682695"/>
    <n v="271095.17987580004"/>
    <d v="2024-04-21T00:00:00"/>
    <x v="0"/>
  </r>
  <r>
    <x v="141"/>
    <d v="2024-03-23T00:00:00"/>
    <x v="1011"/>
    <d v="2024-03-19T00:00:00"/>
    <x v="0"/>
    <x v="0"/>
    <n v="9071.94"/>
    <x v="3"/>
    <x v="0"/>
    <n v="5206.1400000000003"/>
    <n v="2.82"/>
    <n v="0"/>
    <n v="0"/>
    <x v="3"/>
    <s v="CVC60:40"/>
    <n v="7300000"/>
    <x v="0"/>
    <n v="1314000"/>
    <x v="0"/>
    <m/>
    <m/>
    <x v="0"/>
    <x v="0"/>
    <x v="0"/>
    <x v="2"/>
    <x v="0"/>
    <x v="0"/>
    <m/>
    <x v="0"/>
    <x v="1"/>
    <x v="0"/>
    <x v="0"/>
    <x v="0"/>
    <x v="3"/>
    <n v="804.67904329173246"/>
    <n v="144.84222779251184"/>
    <n v="0"/>
    <d v="2024-04-22T00:00:00"/>
    <x v="0"/>
  </r>
  <r>
    <x v="142"/>
    <d v="2024-03-24T00:00:00"/>
    <x v="1012"/>
    <d v="2024-03-20T00:00:00"/>
    <x v="0"/>
    <x v="0"/>
    <n v="9071.94"/>
    <x v="3"/>
    <x v="0"/>
    <n v="5206.1400000000003"/>
    <n v="2.82"/>
    <n v="0"/>
    <n v="0"/>
    <x v="3"/>
    <s v="CVC60:40"/>
    <n v="7300000"/>
    <x v="0"/>
    <n v="1314000"/>
    <x v="0"/>
    <m/>
    <m/>
    <x v="0"/>
    <x v="0"/>
    <x v="0"/>
    <x v="2"/>
    <x v="0"/>
    <x v="0"/>
    <m/>
    <x v="0"/>
    <x v="1"/>
    <x v="0"/>
    <x v="0"/>
    <x v="0"/>
    <x v="3"/>
    <n v="804.67904329173246"/>
    <n v="144.84222779251184"/>
    <n v="0"/>
    <d v="2024-04-23T00:00:00"/>
    <x v="0"/>
  </r>
  <r>
    <x v="143"/>
    <d v="2024-03-25T00:00:00"/>
    <x v="1013"/>
    <d v="2024-03-21T00:00:00"/>
    <x v="0"/>
    <x v="0"/>
    <n v="6032.8404"/>
    <x v="3"/>
    <x v="0"/>
    <n v="5509.53"/>
    <n v="2.71"/>
    <n v="0"/>
    <n v="0"/>
    <x v="3"/>
    <s v="PC52:48 - 30/1"/>
    <n v="4655000"/>
    <x v="0"/>
    <n v="837900"/>
    <x v="0"/>
    <m/>
    <m/>
    <x v="0"/>
    <x v="0"/>
    <x v="0"/>
    <x v="0"/>
    <x v="0"/>
    <x v="0"/>
    <m/>
    <x v="0"/>
    <x v="1"/>
    <x v="0"/>
    <x v="0"/>
    <x v="0"/>
    <x v="3"/>
    <n v="771.61000314213516"/>
    <n v="138.88980056558432"/>
    <n v="0"/>
    <d v="2024-04-24T00:00:00"/>
    <x v="0"/>
  </r>
  <r>
    <x v="144"/>
    <d v="2024-03-24T00:00:00"/>
    <x v="1014"/>
    <d v="2024-03-20T00:00:00"/>
    <x v="0"/>
    <x v="0"/>
    <n v="16680"/>
    <x v="3"/>
    <x v="0"/>
    <n v="3809.9189999999999"/>
    <n v="0.53"/>
    <n v="0"/>
    <n v="0"/>
    <x v="12"/>
    <s v="SOFTEX "/>
    <n v="2502000"/>
    <x v="0"/>
    <n v="450360"/>
    <x v="0"/>
    <m/>
    <m/>
    <x v="0"/>
    <x v="0"/>
    <x v="0"/>
    <x v="2"/>
    <x v="0"/>
    <x v="0"/>
    <m/>
    <x v="0"/>
    <x v="1"/>
    <x v="0"/>
    <x v="0"/>
    <x v="0"/>
    <x v="5"/>
    <n v="150"/>
    <n v="27"/>
    <n v="0"/>
    <d v="2024-04-23T00:00:00"/>
    <x v="0"/>
  </r>
  <r>
    <x v="145"/>
    <d v="2024-03-24T00:00:00"/>
    <x v="1015"/>
    <d v="2024-03-20T00:00:00"/>
    <x v="1"/>
    <x v="0"/>
    <n v="20369"/>
    <x v="3"/>
    <x v="0"/>
    <n v="4821.8999999999996"/>
    <n v="0.64"/>
    <n v="0"/>
    <n v="0"/>
    <x v="9"/>
    <s v="Inlay-Card"/>
    <n v="3727527"/>
    <x v="0"/>
    <n v="670954.86"/>
    <x v="0"/>
    <m/>
    <m/>
    <x v="0"/>
    <x v="0"/>
    <x v="0"/>
    <x v="2"/>
    <x v="0"/>
    <x v="0"/>
    <m/>
    <x v="0"/>
    <x v="1"/>
    <x v="0"/>
    <x v="0"/>
    <x v="0"/>
    <x v="6"/>
    <n v="183"/>
    <n v="32.94"/>
    <n v="0"/>
    <d v="2024-03-29T00:00:00"/>
    <x v="0"/>
  </r>
  <r>
    <x v="146"/>
    <d v="2024-03-24T00:00:00"/>
    <x v="1016"/>
    <d v="2024-03-20T00:00:00"/>
    <x v="1"/>
    <x v="0"/>
    <n v="17465"/>
    <x v="3"/>
    <x v="0"/>
    <n v="4821.8999999999996"/>
    <n v="0.61"/>
    <n v="0"/>
    <n v="0"/>
    <x v="9"/>
    <s v="Inlay-Card"/>
    <n v="3021445"/>
    <x v="0"/>
    <n v="543860.1"/>
    <x v="0"/>
    <m/>
    <m/>
    <x v="0"/>
    <x v="0"/>
    <x v="0"/>
    <x v="0"/>
    <x v="0"/>
    <x v="0"/>
    <m/>
    <x v="0"/>
    <x v="1"/>
    <x v="0"/>
    <x v="0"/>
    <x v="0"/>
    <x v="6"/>
    <n v="173"/>
    <n v="31.139999999999997"/>
    <n v="0"/>
    <d v="2024-03-29T00:00:00"/>
    <x v="0"/>
  </r>
  <r>
    <x v="147"/>
    <d v="2024-03-24T00:00:00"/>
    <x v="1017"/>
    <d v="2024-03-20T00:00:00"/>
    <x v="1"/>
    <x v="0"/>
    <n v="11554"/>
    <x v="3"/>
    <x v="0"/>
    <n v="4821.8999999999996"/>
    <n v="0.61"/>
    <n v="11554"/>
    <n v="11554"/>
    <x v="9"/>
    <s v="Inlay-Card"/>
    <n v="1998842"/>
    <x v="0"/>
    <n v="359791.56"/>
    <x v="0"/>
    <m/>
    <m/>
    <x v="0"/>
    <x v="0"/>
    <x v="0"/>
    <x v="2"/>
    <x v="0"/>
    <x v="0"/>
    <m/>
    <x v="0"/>
    <x v="1"/>
    <x v="0"/>
    <x v="0"/>
    <x v="0"/>
    <x v="6"/>
    <n v="173"/>
    <n v="31.14"/>
    <n v="359791.56"/>
    <d v="2024-03-29T00:00:00"/>
    <x v="0"/>
  </r>
  <r>
    <x v="148"/>
    <d v="2024-03-25T00:00:00"/>
    <x v="1018"/>
    <d v="2024-03-21T00:00:00"/>
    <x v="0"/>
    <x v="1"/>
    <n v="3356.5880000000002"/>
    <x v="3"/>
    <x v="0"/>
    <n v="5206.12"/>
    <n v="2.36"/>
    <n v="3356.5880000000002"/>
    <n v="3356.5880000000002"/>
    <x v="3"/>
    <s v="CVC60:40 - 10/1"/>
    <n v="2257000"/>
    <x v="0"/>
    <n v="406260"/>
    <x v="0"/>
    <m/>
    <m/>
    <x v="0"/>
    <x v="0"/>
    <x v="0"/>
    <x v="0"/>
    <x v="0"/>
    <x v="0"/>
    <m/>
    <x v="0"/>
    <x v="1"/>
    <x v="0"/>
    <x v="0"/>
    <x v="0"/>
    <x v="3"/>
    <n v="672.40900581185417"/>
    <n v="121.03362104613375"/>
    <n v="406260"/>
    <d v="2024-04-24T00:00:00"/>
    <x v="0"/>
  </r>
  <r>
    <x v="149"/>
    <d v="2024-03-12T00:00:00"/>
    <x v="1019"/>
    <d v="2024-03-08T00:00:00"/>
    <x v="0"/>
    <x v="0"/>
    <n v="18143.8809"/>
    <x v="3"/>
    <x v="0"/>
    <n v="5206.1400000000003"/>
    <n v="2.8"/>
    <n v="0"/>
    <n v="0"/>
    <x v="3"/>
    <s v="CVC60:40 - 40/1"/>
    <n v="14480000"/>
    <x v="0"/>
    <n v="2606400"/>
    <x v="0"/>
    <m/>
    <m/>
    <x v="0"/>
    <x v="0"/>
    <x v="0"/>
    <x v="2"/>
    <x v="0"/>
    <x v="0"/>
    <m/>
    <x v="0"/>
    <x v="1"/>
    <x v="0"/>
    <x v="0"/>
    <x v="0"/>
    <x v="3"/>
    <n v="798.06520334908066"/>
    <n v="143.65173660283452"/>
    <n v="0"/>
    <d v="2024-04-11T00:00:00"/>
    <x v="0"/>
  </r>
  <r>
    <x v="150"/>
    <d v="2024-03-23T00:00:00"/>
    <x v="1020"/>
    <d v="2024-03-19T00:00:00"/>
    <x v="0"/>
    <x v="0"/>
    <n v="9071.94"/>
    <x v="3"/>
    <x v="0"/>
    <n v="5206.1400000000003"/>
    <n v="2.82"/>
    <n v="0"/>
    <n v="0"/>
    <x v="3"/>
    <s v="CVC60:40 "/>
    <n v="7300000"/>
    <x v="0"/>
    <n v="1314000"/>
    <x v="0"/>
    <m/>
    <m/>
    <x v="0"/>
    <x v="0"/>
    <x v="0"/>
    <x v="2"/>
    <x v="0"/>
    <x v="0"/>
    <m/>
    <x v="0"/>
    <x v="1"/>
    <x v="0"/>
    <x v="0"/>
    <x v="0"/>
    <x v="3"/>
    <n v="804.67904329173246"/>
    <n v="144.84222779251184"/>
    <n v="0"/>
    <d v="2024-04-22T00:00:00"/>
    <x v="0"/>
  </r>
  <r>
    <x v="151"/>
    <d v="2024-03-19T00:00:00"/>
    <x v="1021"/>
    <d v="2024-03-15T00:00:00"/>
    <x v="0"/>
    <x v="0"/>
    <n v="14376"/>
    <x v="3"/>
    <x v="0"/>
    <n v="5208.1899999999996"/>
    <n v="3.99"/>
    <n v="0"/>
    <n v="0"/>
    <x v="14"/>
    <s v="40/1 cotton fabric"/>
    <n v="16329867"/>
    <x v="0"/>
    <n v="2939376.06"/>
    <x v="0"/>
    <m/>
    <m/>
    <x v="0"/>
    <x v="0"/>
    <x v="0"/>
    <x v="0"/>
    <x v="0"/>
    <x v="0"/>
    <m/>
    <x v="0"/>
    <x v="1"/>
    <x v="0"/>
    <x v="0"/>
    <x v="0"/>
    <x v="2"/>
    <n v="1135.9117278797996"/>
    <n v="204.46411101836395"/>
    <n v="0"/>
    <d v="2024-04-18T00:00:00"/>
    <x v="0"/>
  </r>
  <r>
    <x v="152"/>
    <d v="2024-03-19T00:00:00"/>
    <x v="1022"/>
    <d v="2024-03-15T00:00:00"/>
    <x v="0"/>
    <x v="2"/>
    <n v="8970"/>
    <x v="3"/>
    <x v="0"/>
    <n v="5208.1899999999996"/>
    <n v="3.98"/>
    <n v="1004.5899999999999"/>
    <n v="8970"/>
    <x v="14"/>
    <s v="40/1 cotton fabric"/>
    <n v="10164690"/>
    <x v="0"/>
    <n v="1829644.2"/>
    <x v="0"/>
    <m/>
    <m/>
    <x v="0"/>
    <x v="0"/>
    <x v="0"/>
    <x v="0"/>
    <x v="0"/>
    <x v="0"/>
    <m/>
    <x v="0"/>
    <x v="1"/>
    <x v="0"/>
    <x v="0"/>
    <x v="0"/>
    <x v="2"/>
    <n v="1133.1872909698998"/>
    <n v="203.97371237458194"/>
    <n v="204909.95171438126"/>
    <d v="2024-04-18T00:00:00"/>
    <x v="0"/>
  </r>
  <r>
    <x v="153"/>
    <d v="2024-03-19T00:00:00"/>
    <x v="1023"/>
    <d v="2024-03-15T00:00:00"/>
    <x v="0"/>
    <x v="1"/>
    <n v="9459"/>
    <x v="3"/>
    <x v="0"/>
    <n v="5208.1899999999996"/>
    <n v="3.98"/>
    <n v="9459"/>
    <n v="9459"/>
    <x v="14"/>
    <s v="40/1 cotton fabric"/>
    <n v="10734048"/>
    <x v="0"/>
    <n v="1932128.64"/>
    <x v="0"/>
    <m/>
    <m/>
    <x v="0"/>
    <x v="0"/>
    <x v="0"/>
    <x v="0"/>
    <x v="0"/>
    <x v="0"/>
    <m/>
    <x v="0"/>
    <x v="1"/>
    <x v="0"/>
    <x v="0"/>
    <x v="0"/>
    <x v="2"/>
    <n v="1134.7973358705995"/>
    <n v="204.26352045670788"/>
    <n v="1932128.64"/>
    <d v="2024-04-18T00:00:00"/>
    <x v="0"/>
  </r>
  <r>
    <x v="154"/>
    <d v="2024-03-19T00:00:00"/>
    <x v="1024"/>
    <d v="2024-03-15T00:00:00"/>
    <x v="0"/>
    <x v="1"/>
    <n v="7047"/>
    <x v="3"/>
    <x v="0"/>
    <n v="5208.1899999999996"/>
    <n v="3.94"/>
    <n v="7047"/>
    <n v="7047"/>
    <x v="14"/>
    <s v="40/1 cotton fabric"/>
    <n v="7918625"/>
    <x v="0"/>
    <n v="1425352.5"/>
    <x v="0"/>
    <m/>
    <m/>
    <x v="0"/>
    <x v="0"/>
    <x v="0"/>
    <x v="0"/>
    <x v="0"/>
    <x v="0"/>
    <m/>
    <x v="0"/>
    <x v="1"/>
    <x v="0"/>
    <x v="0"/>
    <x v="0"/>
    <x v="2"/>
    <n v="1123.6873847027105"/>
    <n v="202.26372924648786"/>
    <n v="1425352.5"/>
    <d v="2024-04-18T00:00:00"/>
    <x v="0"/>
  </r>
  <r>
    <x v="155"/>
    <d v="2024-03-22T00:00:00"/>
    <x v="1025"/>
    <d v="2024-03-18T00:00:00"/>
    <x v="0"/>
    <x v="1"/>
    <n v="9967"/>
    <x v="3"/>
    <x v="0"/>
    <n v="5208.1899999999996"/>
    <n v="2.86"/>
    <n v="9967"/>
    <n v="9967"/>
    <x v="14"/>
    <s v="16/1 cotton fabric"/>
    <n v="8112390"/>
    <x v="0"/>
    <n v="1460230.2"/>
    <x v="0"/>
    <m/>
    <m/>
    <x v="0"/>
    <x v="0"/>
    <x v="0"/>
    <x v="0"/>
    <x v="0"/>
    <x v="0"/>
    <m/>
    <x v="0"/>
    <x v="1"/>
    <x v="0"/>
    <x v="0"/>
    <x v="0"/>
    <x v="2"/>
    <n v="813.92495234273099"/>
    <n v="146.50649142169158"/>
    <n v="1460230.2"/>
    <d v="2024-04-21T00:00:00"/>
    <x v="0"/>
  </r>
  <r>
    <x v="156"/>
    <d v="2024-03-30T00:00:00"/>
    <x v="1026"/>
    <d v="2024-03-26T00:00:00"/>
    <x v="0"/>
    <x v="0"/>
    <n v="42497"/>
    <x v="3"/>
    <x v="0"/>
    <n v="5209.42"/>
    <n v="3.66"/>
    <n v="0"/>
    <n v="0"/>
    <x v="19"/>
    <s v="Denim Fabric 99% 1%"/>
    <n v="44280450"/>
    <x v="0"/>
    <n v="7970481"/>
    <x v="0"/>
    <m/>
    <m/>
    <x v="0"/>
    <x v="0"/>
    <x v="0"/>
    <x v="0"/>
    <x v="0"/>
    <x v="0"/>
    <m/>
    <x v="0"/>
    <x v="1"/>
    <x v="0"/>
    <x v="0"/>
    <x v="0"/>
    <x v="2"/>
    <n v="1041.9664917523589"/>
    <n v="187.55396851542463"/>
    <n v="0"/>
    <d v="2024-04-29T00:00:00"/>
    <x v="0"/>
  </r>
  <r>
    <x v="157"/>
    <d v="2024-03-24T00:00:00"/>
    <x v="1027"/>
    <d v="2024-03-20T00:00:00"/>
    <x v="0"/>
    <x v="0"/>
    <n v="7121.4732000000004"/>
    <x v="3"/>
    <x v="0"/>
    <n v="5206.1400000000003"/>
    <n v="2.8"/>
    <n v="0"/>
    <n v="0"/>
    <x v="3"/>
    <s v="CVC60:40 - 40/1"/>
    <n v="5683400"/>
    <x v="0"/>
    <n v="1023012"/>
    <x v="0"/>
    <m/>
    <m/>
    <x v="0"/>
    <x v="0"/>
    <x v="0"/>
    <x v="2"/>
    <x v="0"/>
    <x v="0"/>
    <m/>
    <x v="0"/>
    <x v="1"/>
    <x v="0"/>
    <x v="0"/>
    <x v="0"/>
    <x v="3"/>
    <n v="798.06520931652176"/>
    <n v="143.65173767697391"/>
    <n v="0"/>
    <d v="2024-04-23T00:00:00"/>
    <x v="0"/>
  </r>
  <r>
    <x v="158"/>
    <d v="2024-03-31T00:00:00"/>
    <x v="1028"/>
    <d v="2024-03-28T00:00:00"/>
    <x v="0"/>
    <x v="0"/>
    <n v="902"/>
    <x v="3"/>
    <x v="0"/>
    <n v="5401.1"/>
    <n v="8.33"/>
    <n v="0"/>
    <n v="0"/>
    <x v="17"/>
    <s v="Stitching Thread PPCA 16/2, 21/2, 40/2"/>
    <n v="2140580"/>
    <x v="0"/>
    <n v="385304.39999999997"/>
    <x v="0"/>
    <m/>
    <m/>
    <x v="0"/>
    <x v="0"/>
    <x v="0"/>
    <x v="2"/>
    <x v="0"/>
    <x v="0"/>
    <m/>
    <x v="0"/>
    <x v="1"/>
    <x v="0"/>
    <x v="0"/>
    <x v="0"/>
    <x v="3"/>
    <n v="2373.1485587583147"/>
    <n v="427.16674057649664"/>
    <n v="0"/>
    <d v="2024-04-30T00:00:00"/>
    <x v="0"/>
  </r>
  <r>
    <x v="159"/>
    <d v="2024-03-31T00:00:00"/>
    <x v="1029"/>
    <d v="2024-03-28T00:00:00"/>
    <x v="0"/>
    <x v="0"/>
    <n v="882"/>
    <x v="3"/>
    <x v="0"/>
    <n v="5401.2089999999998"/>
    <n v="3.09"/>
    <n v="0"/>
    <n v="0"/>
    <x v="17"/>
    <s v="Stitching Thread SSPA 21/2, 21/3, 50/3"/>
    <n v="777924"/>
    <x v="0"/>
    <n v="140026.32"/>
    <x v="0"/>
    <m/>
    <m/>
    <x v="0"/>
    <x v="0"/>
    <x v="0"/>
    <x v="2"/>
    <x v="0"/>
    <x v="0"/>
    <m/>
    <x v="0"/>
    <x v="1"/>
    <x v="0"/>
    <x v="0"/>
    <x v="0"/>
    <x v="3"/>
    <n v="882"/>
    <n v="158.76000000000002"/>
    <n v="0"/>
    <d v="2024-04-30T00:00:00"/>
    <x v="0"/>
  </r>
  <r>
    <x v="160"/>
    <d v="2024-04-04T00:00:00"/>
    <x v="1030"/>
    <d v="2024-04-03T00:00:00"/>
    <x v="0"/>
    <x v="1"/>
    <n v="5715.3225000000002"/>
    <x v="3"/>
    <x v="0"/>
    <n v="5205.2700000000004"/>
    <n v="5.07"/>
    <n v="5715.3225000000002"/>
    <n v="5715.3225000000002"/>
    <x v="10"/>
    <s v="60/1 Cotton Yarn Combed"/>
    <n v="8253000"/>
    <x v="0"/>
    <n v="1485540"/>
    <x v="0"/>
    <m/>
    <m/>
    <x v="0"/>
    <x v="0"/>
    <x v="0"/>
    <x v="0"/>
    <x v="0"/>
    <x v="0"/>
    <m/>
    <x v="0"/>
    <x v="1"/>
    <x v="0"/>
    <x v="0"/>
    <x v="0"/>
    <x v="3"/>
    <n v="1444.0130018909695"/>
    <n v="259.92234034037449"/>
    <n v="1485540"/>
    <d v="2024-05-04T00:00:00"/>
    <x v="0"/>
  </r>
  <r>
    <x v="161"/>
    <d v="2024-04-08T00:00:00"/>
    <x v="1031"/>
    <d v="2024-04-03T00:00:00"/>
    <x v="0"/>
    <x v="1"/>
    <n v="8204"/>
    <x v="3"/>
    <x v="0"/>
    <n v="5208.1899999999996"/>
    <n v="4.0999999999999996"/>
    <n v="8204"/>
    <n v="8204"/>
    <x v="10"/>
    <s v="40/1 cotton fabric"/>
    <n v="9580104"/>
    <x v="0"/>
    <n v="1724418.72"/>
    <x v="0"/>
    <m/>
    <m/>
    <x v="0"/>
    <x v="0"/>
    <x v="0"/>
    <x v="0"/>
    <x v="0"/>
    <x v="0"/>
    <m/>
    <x v="0"/>
    <x v="1"/>
    <x v="0"/>
    <x v="0"/>
    <x v="0"/>
    <x v="3"/>
    <n v="1167.7357386640663"/>
    <n v="210.19243295953194"/>
    <n v="1724418.72"/>
    <d v="2024-05-08T00:00:00"/>
    <x v="0"/>
  </r>
  <r>
    <x v="162"/>
    <d v="2024-04-08T00:00:00"/>
    <x v="1032"/>
    <d v="2024-04-03T00:00:00"/>
    <x v="0"/>
    <x v="1"/>
    <n v="4507"/>
    <x v="3"/>
    <x v="0"/>
    <n v="5208.1899999999996"/>
    <n v="4.0999999999999996"/>
    <n v="4507"/>
    <n v="4507"/>
    <x v="10"/>
    <s v="40/1 cotton fabric"/>
    <n v="5270157"/>
    <x v="0"/>
    <n v="948628.26"/>
    <x v="0"/>
    <m/>
    <m/>
    <x v="0"/>
    <x v="0"/>
    <x v="0"/>
    <x v="0"/>
    <x v="0"/>
    <x v="0"/>
    <m/>
    <x v="0"/>
    <x v="1"/>
    <x v="0"/>
    <x v="0"/>
    <x v="0"/>
    <x v="3"/>
    <n v="1169.327046816064"/>
    <n v="210.47886842689149"/>
    <n v="948628.26"/>
    <d v="2024-05-08T00:00:00"/>
    <x v="0"/>
  </r>
  <r>
    <x v="163"/>
    <d v="2024-04-08T00:00:00"/>
    <x v="1033"/>
    <d v="2024-04-03T00:00:00"/>
    <x v="0"/>
    <x v="1"/>
    <n v="8130"/>
    <x v="3"/>
    <x v="0"/>
    <n v="5208.1899999999996"/>
    <n v="4.07"/>
    <n v="8130"/>
    <n v="8130"/>
    <x v="10"/>
    <s v="40/1 cotton fabric"/>
    <n v="9432356"/>
    <x v="0"/>
    <n v="1697824.0799999998"/>
    <x v="0"/>
    <m/>
    <m/>
    <x v="0"/>
    <x v="0"/>
    <x v="0"/>
    <x v="0"/>
    <x v="0"/>
    <x v="0"/>
    <m/>
    <x v="0"/>
    <x v="1"/>
    <x v="0"/>
    <x v="0"/>
    <x v="0"/>
    <x v="3"/>
    <n v="1160.1913899138992"/>
    <n v="208.83445018450183"/>
    <n v="1697824.0799999998"/>
    <d v="2024-05-08T00:00:00"/>
    <x v="0"/>
  </r>
  <r>
    <x v="164"/>
    <d v="2024-04-05T00:00:00"/>
    <x v="1034"/>
    <d v="2024-03-28T00:00:00"/>
    <x v="0"/>
    <x v="0"/>
    <n v="13880.07"/>
    <x v="3"/>
    <x v="0"/>
    <n v="5206.1400000000003"/>
    <n v="2.8"/>
    <n v="0"/>
    <n v="0"/>
    <x v="3"/>
    <s v="CVC60:40 - 40/1"/>
    <n v="11077200"/>
    <x v="0"/>
    <n v="1993896"/>
    <x v="0"/>
    <m/>
    <m/>
    <x v="0"/>
    <x v="0"/>
    <x v="0"/>
    <x v="2"/>
    <x v="0"/>
    <x v="0"/>
    <m/>
    <x v="0"/>
    <x v="1"/>
    <x v="0"/>
    <x v="0"/>
    <x v="0"/>
    <x v="3"/>
    <n v="798.06513944093945"/>
    <n v="143.65172509936909"/>
    <n v="0"/>
    <d v="2024-05-05T00:00:00"/>
    <x v="0"/>
  </r>
  <r>
    <x v="165"/>
    <d v="2024-04-05T00:00:00"/>
    <x v="1035"/>
    <d v="2024-03-20T00:00:00"/>
    <x v="0"/>
    <x v="0"/>
    <n v="7937.95"/>
    <x v="3"/>
    <x v="0"/>
    <n v="5206.1400000000003"/>
    <n v="2.82"/>
    <n v="0"/>
    <n v="0"/>
    <x v="3"/>
    <s v="CVC60:40 "/>
    <n v="6387500"/>
    <x v="0"/>
    <n v="1149750"/>
    <x v="0"/>
    <m/>
    <m/>
    <x v="0"/>
    <x v="0"/>
    <x v="0"/>
    <x v="0"/>
    <x v="0"/>
    <x v="0"/>
    <m/>
    <x v="0"/>
    <x v="1"/>
    <x v="0"/>
    <x v="0"/>
    <x v="0"/>
    <x v="3"/>
    <n v="804.67878986388178"/>
    <n v="144.84218217549872"/>
    <n v="0"/>
    <d v="2024-05-05T00:00:00"/>
    <x v="0"/>
  </r>
  <r>
    <x v="166"/>
    <d v="2024-04-04T00:00:00"/>
    <x v="1036"/>
    <d v="2024-04-04T00:00:00"/>
    <x v="0"/>
    <x v="1"/>
    <n v="226798.5122"/>
    <x v="3"/>
    <x v="0"/>
    <n v="5205.24"/>
    <n v="3.67"/>
    <n v="226798.5122"/>
    <n v="226798.5122"/>
    <x v="10"/>
    <s v="40/1 Cotton Yarn Combed"/>
    <n v="237500000"/>
    <x v="0"/>
    <n v="42750000"/>
    <x v="0"/>
    <m/>
    <m/>
    <x v="0"/>
    <x v="0"/>
    <x v="0"/>
    <x v="0"/>
    <x v="0"/>
    <x v="0"/>
    <m/>
    <x v="0"/>
    <x v="1"/>
    <x v="0"/>
    <x v="0"/>
    <x v="0"/>
    <x v="3"/>
    <n v="1047.1850000081263"/>
    <n v="188.4933000014627"/>
    <n v="42750000"/>
    <d v="2024-05-04T00:00:00"/>
    <x v="0"/>
  </r>
  <r>
    <x v="167"/>
    <d v="2024-04-09T00:00:00"/>
    <x v="1037"/>
    <d v="2024-04-05T00:00:00"/>
    <x v="1"/>
    <x v="0"/>
    <n v="370"/>
    <x v="3"/>
    <x v="0"/>
    <n v="4821.8999999999996"/>
    <n v="0.61"/>
    <n v="0"/>
    <n v="0"/>
    <x v="9"/>
    <s v="Inlay-Card"/>
    <n v="64010"/>
    <x v="0"/>
    <n v="11521.8"/>
    <x v="0"/>
    <m/>
    <m/>
    <x v="0"/>
    <x v="0"/>
    <x v="0"/>
    <x v="2"/>
    <x v="0"/>
    <x v="0"/>
    <m/>
    <x v="0"/>
    <x v="1"/>
    <x v="0"/>
    <x v="0"/>
    <x v="0"/>
    <x v="6"/>
    <n v="173"/>
    <n v="31.139999999999997"/>
    <n v="0"/>
    <d v="2024-04-14T00:00:00"/>
    <x v="0"/>
  </r>
  <r>
    <x v="168"/>
    <d v="2024-04-08T00:00:00"/>
    <x v="1038"/>
    <d v="2024-04-16T00:00:00"/>
    <x v="0"/>
    <x v="0"/>
    <n v="59830"/>
    <x v="3"/>
    <x v="0"/>
    <n v="5209.42"/>
    <n v="3.67"/>
    <n v="0"/>
    <n v="0"/>
    <x v="19"/>
    <s v="Denim Fabric 99% 1%"/>
    <n v="62498221"/>
    <x v="0"/>
    <n v="11249679.779999999"/>
    <x v="0"/>
    <m/>
    <m/>
    <x v="0"/>
    <x v="0"/>
    <x v="0"/>
    <x v="0"/>
    <x v="0"/>
    <x v="0"/>
    <m/>
    <x v="0"/>
    <x v="1"/>
    <x v="0"/>
    <x v="0"/>
    <x v="0"/>
    <x v="2"/>
    <n v="1044.5967073374561"/>
    <n v="188.0274073207421"/>
    <n v="0"/>
    <d v="2024-05-08T00:00:00"/>
    <x v="0"/>
  </r>
  <r>
    <x v="169"/>
    <d v="2024-04-16T00:00:00"/>
    <x v="1039"/>
    <d v="2024-04-15T00:00:00"/>
    <x v="0"/>
    <x v="1"/>
    <n v="11566.72"/>
    <x v="3"/>
    <x v="0"/>
    <n v="5205.12"/>
    <n v="3.19"/>
    <n v="11566.72"/>
    <n v="11566.72"/>
    <x v="10"/>
    <s v="16/1 95% Cotton 05% Lycra Carded yarn"/>
    <n v="10506001"/>
    <x v="0"/>
    <n v="1891080.18"/>
    <x v="0"/>
    <m/>
    <m/>
    <x v="0"/>
    <x v="0"/>
    <x v="0"/>
    <x v="0"/>
    <x v="0"/>
    <x v="0"/>
    <m/>
    <x v="0"/>
    <x v="1"/>
    <x v="0"/>
    <x v="0"/>
    <x v="0"/>
    <x v="3"/>
    <n v="908.29561016433354"/>
    <n v="163.49320982958005"/>
    <n v="1891080.1800000002"/>
    <d v="2024-05-16T00:00:00"/>
    <x v="0"/>
  </r>
  <r>
    <x v="170"/>
    <d v="2024-04-16T00:00:00"/>
    <x v="1040"/>
    <d v="2024-04-15T00:00:00"/>
    <x v="0"/>
    <x v="1"/>
    <n v="12247.12"/>
    <x v="3"/>
    <x v="0"/>
    <n v="5205.12"/>
    <n v="3.1"/>
    <n v="12247.12"/>
    <n v="12247.12"/>
    <x v="10"/>
    <s v="16/1 95% Cotton 05% Lycra Carded yarn"/>
    <n v="10817001"/>
    <x v="0"/>
    <n v="1947060.18"/>
    <x v="0"/>
    <m/>
    <m/>
    <x v="0"/>
    <x v="0"/>
    <x v="0"/>
    <x v="0"/>
    <x v="0"/>
    <x v="0"/>
    <m/>
    <x v="0"/>
    <x v="1"/>
    <x v="0"/>
    <x v="0"/>
    <x v="0"/>
    <x v="3"/>
    <n v="883.22813853379398"/>
    <n v="158.98106493608293"/>
    <n v="1947060.1800000002"/>
    <d v="2024-05-16T00:00:00"/>
    <x v="0"/>
  </r>
  <r>
    <x v="171"/>
    <d v="2024-04-16T00:00:00"/>
    <x v="1041"/>
    <d v="2024-04-15T00:00:00"/>
    <x v="0"/>
    <x v="0"/>
    <n v="5080.29"/>
    <x v="3"/>
    <x v="0"/>
    <n v="5205.12"/>
    <n v="3.48"/>
    <n v="0"/>
    <n v="0"/>
    <x v="10"/>
    <s v="20/1 95% Cotton 05% Lycra Carded yarn"/>
    <n v="5040000"/>
    <x v="0"/>
    <n v="907200"/>
    <x v="0"/>
    <m/>
    <m/>
    <x v="0"/>
    <x v="0"/>
    <x v="0"/>
    <x v="2"/>
    <x v="0"/>
    <x v="0"/>
    <m/>
    <x v="0"/>
    <x v="1"/>
    <x v="0"/>
    <x v="0"/>
    <x v="0"/>
    <x v="3"/>
    <n v="992.06935037173071"/>
    <n v="178.57248306691153"/>
    <n v="0"/>
    <d v="2024-05-16T00:00:00"/>
    <x v="0"/>
  </r>
  <r>
    <x v="172"/>
    <d v="2024-04-16T00:00:00"/>
    <x v="1042"/>
    <d v="2024-04-16T00:00:00"/>
    <x v="0"/>
    <x v="1"/>
    <n v="6259.6390000000001"/>
    <x v="3"/>
    <x v="0"/>
    <n v="5205.22"/>
    <n v="3.4"/>
    <n v="6259.6390000000001"/>
    <n v="6259.6390000000001"/>
    <x v="10"/>
    <s v="24/1 Cotton Yarn Combed"/>
    <n v="6072000"/>
    <x v="0"/>
    <n v="1092960"/>
    <x v="0"/>
    <m/>
    <m/>
    <x v="0"/>
    <x v="0"/>
    <x v="0"/>
    <x v="0"/>
    <x v="0"/>
    <x v="0"/>
    <m/>
    <x v="0"/>
    <x v="1"/>
    <x v="0"/>
    <x v="0"/>
    <x v="0"/>
    <x v="3"/>
    <n v="970.02399020135181"/>
    <n v="174.60431823624333"/>
    <n v="1092960"/>
    <d v="2024-05-16T00:00:00"/>
    <x v="0"/>
  </r>
  <r>
    <x v="173"/>
    <d v="2024-04-16T00:00:00"/>
    <x v="1043"/>
    <d v="2024-04-16T00:00:00"/>
    <x v="0"/>
    <x v="0"/>
    <n v="10478.091"/>
    <x v="3"/>
    <x v="0"/>
    <n v="5205.12"/>
    <n v="2.98"/>
    <n v="0"/>
    <n v="0"/>
    <x v="10"/>
    <s v="20/1 Cotton Yarn Carded"/>
    <n v="8893500"/>
    <x v="0"/>
    <n v="1600830"/>
    <x v="0"/>
    <m/>
    <m/>
    <x v="0"/>
    <x v="0"/>
    <x v="0"/>
    <x v="2"/>
    <x v="0"/>
    <x v="0"/>
    <m/>
    <x v="0"/>
    <x v="1"/>
    <x v="0"/>
    <x v="0"/>
    <x v="0"/>
    <x v="3"/>
    <n v="848.77102136257452"/>
    <n v="152.7787838452634"/>
    <n v="0"/>
    <d v="2024-05-16T00:00:00"/>
    <x v="0"/>
  </r>
  <r>
    <x v="174"/>
    <d v="2024-04-16T00:00:00"/>
    <x v="1044"/>
    <d v="2024-04-16T00:00:00"/>
    <x v="0"/>
    <x v="0"/>
    <n v="4082.373"/>
    <x v="3"/>
    <x v="0"/>
    <n v="5205.12"/>
    <n v="2.98"/>
    <n v="0"/>
    <n v="0"/>
    <x v="10"/>
    <s v="20/1 Cotton Yarn Carded"/>
    <n v="3465000"/>
    <x v="0"/>
    <n v="623700"/>
    <x v="0"/>
    <m/>
    <m/>
    <x v="0"/>
    <x v="0"/>
    <x v="0"/>
    <x v="2"/>
    <x v="0"/>
    <x v="0"/>
    <m/>
    <x v="0"/>
    <x v="1"/>
    <x v="0"/>
    <x v="0"/>
    <x v="0"/>
    <x v="3"/>
    <n v="848.77104566388221"/>
    <n v="152.77878821949881"/>
    <n v="0"/>
    <d v="2024-05-16T00:00:00"/>
    <x v="0"/>
  </r>
  <r>
    <x v="175"/>
    <d v="2024-04-17T00:00:00"/>
    <x v="1045"/>
    <d v="2024-04-16T00:00:00"/>
    <x v="0"/>
    <x v="0"/>
    <n v="6078.2"/>
    <x v="3"/>
    <x v="0"/>
    <n v="5205.2299999999996"/>
    <n v="3.56"/>
    <n v="0"/>
    <n v="0"/>
    <x v="10"/>
    <s v="30/1 Cotton Yarn Combed"/>
    <n v="6164000"/>
    <x v="0"/>
    <n v="1109520"/>
    <x v="0"/>
    <m/>
    <m/>
    <x v="0"/>
    <x v="0"/>
    <x v="0"/>
    <x v="0"/>
    <x v="0"/>
    <x v="0"/>
    <m/>
    <x v="0"/>
    <x v="1"/>
    <x v="0"/>
    <x v="0"/>
    <x v="0"/>
    <x v="3"/>
    <n v="1014.116021190484"/>
    <n v="182.54088381428713"/>
    <n v="0"/>
    <d v="2024-05-17T00:00:00"/>
    <x v="0"/>
  </r>
  <r>
    <x v="176"/>
    <d v="2024-04-17T00:00:00"/>
    <x v="1046"/>
    <d v="2024-04-16T00:00:00"/>
    <x v="0"/>
    <x v="0"/>
    <n v="2880"/>
    <x v="3"/>
    <x v="0"/>
    <n v="3809.9189999999999"/>
    <n v="0.53"/>
    <n v="0"/>
    <n v="0"/>
    <x v="12"/>
    <s v="SOFTEX "/>
    <n v="432000"/>
    <x v="0"/>
    <n v="77760"/>
    <x v="0"/>
    <m/>
    <m/>
    <x v="0"/>
    <x v="0"/>
    <x v="0"/>
    <x v="2"/>
    <x v="0"/>
    <x v="0"/>
    <m/>
    <x v="0"/>
    <x v="1"/>
    <x v="0"/>
    <x v="0"/>
    <x v="0"/>
    <x v="5"/>
    <n v="150"/>
    <n v="27"/>
    <n v="0"/>
    <d v="2024-05-17T00:00:00"/>
    <x v="0"/>
  </r>
  <r>
    <x v="177"/>
    <d v="2024-04-18T00:00:00"/>
    <x v="1047"/>
    <d v="2024-04-18T00:00:00"/>
    <x v="0"/>
    <x v="1"/>
    <n v="28395.173699999999"/>
    <x v="3"/>
    <x v="0"/>
    <n v="5402.33"/>
    <n v="1.96"/>
    <n v="28395.173699999999"/>
    <n v="28395.173699999999"/>
    <x v="6"/>
    <s v="100% Polyester"/>
    <n v="15900400"/>
    <x v="0"/>
    <n v="2862072"/>
    <x v="0"/>
    <m/>
    <m/>
    <x v="0"/>
    <x v="0"/>
    <x v="0"/>
    <x v="0"/>
    <x v="0"/>
    <x v="0"/>
    <m/>
    <x v="0"/>
    <x v="1"/>
    <x v="0"/>
    <x v="0"/>
    <x v="0"/>
    <x v="3"/>
    <n v="559.96840054547727"/>
    <n v="100.7943120981859"/>
    <n v="2862072"/>
    <d v="2024-05-18T00:00:00"/>
    <x v="0"/>
  </r>
  <r>
    <x v="178"/>
    <d v="2024-04-21T00:00:00"/>
    <x v="1048"/>
    <d v="2024-04-18T00:00:00"/>
    <x v="0"/>
    <x v="0"/>
    <n v="39096"/>
    <x v="3"/>
    <x v="0"/>
    <n v="5209.42"/>
    <n v="3.61"/>
    <n v="0"/>
    <n v="0"/>
    <x v="19"/>
    <s v="Denim Fabric 99% 1% "/>
    <n v="40264798"/>
    <x v="0"/>
    <n v="7247663.6399999997"/>
    <x v="0"/>
    <m/>
    <m/>
    <x v="0"/>
    <x v="0"/>
    <x v="0"/>
    <x v="0"/>
    <x v="0"/>
    <x v="0"/>
    <m/>
    <x v="0"/>
    <x v="1"/>
    <x v="0"/>
    <x v="0"/>
    <x v="0"/>
    <x v="2"/>
    <n v="1029.8955903417229"/>
    <n v="185.38120626151013"/>
    <n v="0"/>
    <d v="2024-05-21T00:00:00"/>
    <x v="0"/>
  </r>
  <r>
    <x v="179"/>
    <d v="2024-04-22T00:00:00"/>
    <x v="1049"/>
    <d v="2024-04-19T00:00:00"/>
    <x v="0"/>
    <x v="0"/>
    <n v="1047.81"/>
    <x v="3"/>
    <x v="0"/>
    <n v="5508.1"/>
    <n v="6.53"/>
    <n v="0"/>
    <n v="0"/>
    <x v="17"/>
    <s v="Sewing Thread"/>
    <n v="1948724"/>
    <x v="0"/>
    <n v="350770.32"/>
    <x v="0"/>
    <m/>
    <m/>
    <x v="0"/>
    <x v="0"/>
    <x v="0"/>
    <x v="2"/>
    <x v="0"/>
    <x v="0"/>
    <m/>
    <x v="0"/>
    <x v="1"/>
    <x v="0"/>
    <x v="0"/>
    <x v="0"/>
    <x v="3"/>
    <n v="1859.8066443343737"/>
    <n v="334.76519598018729"/>
    <n v="0"/>
    <d v="2024-05-22T00:00:00"/>
    <x v="0"/>
  </r>
  <r>
    <x v="180"/>
    <d v="2024-04-25T00:00:00"/>
    <x v="1050"/>
    <d v="2024-04-22T00:00:00"/>
    <x v="0"/>
    <x v="1"/>
    <n v="7438.9912000000004"/>
    <x v="3"/>
    <x v="0"/>
    <n v="5402.33"/>
    <n v="1.88"/>
    <n v="7438.9912000000004"/>
    <n v="7438.9912000000004"/>
    <x v="6"/>
    <s v="100% Polyester"/>
    <n v="3985200"/>
    <x v="0"/>
    <n v="717336"/>
    <x v="0"/>
    <m/>
    <m/>
    <x v="0"/>
    <x v="0"/>
    <x v="0"/>
    <x v="0"/>
    <x v="0"/>
    <x v="0"/>
    <m/>
    <x v="0"/>
    <x v="1"/>
    <x v="0"/>
    <x v="0"/>
    <x v="0"/>
    <x v="3"/>
    <n v="535.71780001567947"/>
    <n v="96.429204002822317"/>
    <n v="717336"/>
    <d v="2024-05-25T00:00:00"/>
    <x v="0"/>
  </r>
  <r>
    <x v="181"/>
    <d v="2024-04-26T00:00:00"/>
    <x v="1051"/>
    <d v="2024-04-23T00:00:00"/>
    <x v="0"/>
    <x v="1"/>
    <n v="15876"/>
    <x v="3"/>
    <x v="0"/>
    <n v="5205.2700000000004"/>
    <n v="4.87"/>
    <n v="15876"/>
    <n v="15876"/>
    <x v="10"/>
    <s v="60/1 Cotton Yarn Combed"/>
    <n v="22050000"/>
    <x v="0"/>
    <n v="3969000"/>
    <x v="0"/>
    <m/>
    <m/>
    <x v="0"/>
    <x v="0"/>
    <x v="0"/>
    <x v="0"/>
    <x v="0"/>
    <x v="0"/>
    <m/>
    <x v="0"/>
    <x v="1"/>
    <x v="0"/>
    <x v="0"/>
    <x v="0"/>
    <x v="3"/>
    <n v="1388.8888888888889"/>
    <n v="250"/>
    <n v="3969000"/>
    <d v="2024-05-26T00:00:00"/>
    <x v="0"/>
  </r>
  <r>
    <x v="182"/>
    <d v="2024-04-21T00:00:00"/>
    <x v="1052"/>
    <d v="2024-04-18T00:00:00"/>
    <x v="0"/>
    <x v="0"/>
    <n v="9071.94"/>
    <x v="3"/>
    <x v="0"/>
    <n v="5205.13"/>
    <n v="3.23"/>
    <n v="0"/>
    <n v="0"/>
    <x v="10"/>
    <s v="30/1 Cotton Yarn Carded"/>
    <n v="8350000"/>
    <x v="0"/>
    <n v="1503000"/>
    <x v="0"/>
    <m/>
    <m/>
    <x v="0"/>
    <x v="0"/>
    <x v="0"/>
    <x v="0"/>
    <x v="0"/>
    <x v="0"/>
    <m/>
    <x v="0"/>
    <x v="1"/>
    <x v="0"/>
    <x v="0"/>
    <x v="0"/>
    <x v="3"/>
    <n v="920.42054951862553"/>
    <n v="165.67569891335259"/>
    <n v="0"/>
    <d v="2024-05-21T00:00:00"/>
    <x v="0"/>
  </r>
  <r>
    <x v="183"/>
    <d v="2024-04-06T00:00:00"/>
    <x v="1053"/>
    <d v="2024-04-03T00:00:00"/>
    <x v="1"/>
    <x v="0"/>
    <n v="391.11"/>
    <x v="3"/>
    <x v="0"/>
    <n v="3919.9090000000001"/>
    <n v="1.58"/>
    <n v="0"/>
    <n v="0"/>
    <x v="9"/>
    <s v="PACKING/ CARTON TAPE"/>
    <n v="176000"/>
    <x v="0"/>
    <n v="31680"/>
    <x v="0"/>
    <m/>
    <m/>
    <x v="0"/>
    <x v="0"/>
    <x v="0"/>
    <x v="2"/>
    <x v="0"/>
    <x v="0"/>
    <m/>
    <x v="0"/>
    <x v="1"/>
    <x v="0"/>
    <x v="0"/>
    <x v="0"/>
    <x v="6"/>
    <n v="450.00127841272274"/>
    <n v="81.00023011429009"/>
    <n v="0"/>
    <d v="2024-04-11T00:00:00"/>
    <x v="0"/>
  </r>
  <r>
    <x v="184"/>
    <d v="2024-04-30T00:00:00"/>
    <x v="1054"/>
    <d v="2024-04-29T00:00:00"/>
    <x v="0"/>
    <x v="2"/>
    <n v="27215.821499999998"/>
    <x v="3"/>
    <x v="0"/>
    <n v="5206.25"/>
    <n v="4.91"/>
    <n v="486.53050000000007"/>
    <n v="27215.821499999998"/>
    <x v="3"/>
    <s v="CVC60:40 - 60/1"/>
    <n v="38100000"/>
    <x v="0"/>
    <n v="6858000"/>
    <x v="0"/>
    <m/>
    <m/>
    <x v="0"/>
    <x v="0"/>
    <x v="0"/>
    <x v="0"/>
    <x v="0"/>
    <x v="0"/>
    <m/>
    <x v="0"/>
    <x v="1"/>
    <x v="0"/>
    <x v="0"/>
    <x v="0"/>
    <x v="3"/>
    <n v="1399.9209981591039"/>
    <n v="251.98577966863871"/>
    <n v="122598.76737507265"/>
    <d v="2024-05-30T00:00:00"/>
    <x v="0"/>
  </r>
  <r>
    <x v="185"/>
    <d v="2024-04-30T00:00:00"/>
    <x v="1055"/>
    <d v="2024-04-29T00:00:00"/>
    <x v="0"/>
    <x v="1"/>
    <n v="226798.5122"/>
    <x v="3"/>
    <x v="0"/>
    <n v="5205.24"/>
    <n v="3.64"/>
    <n v="226798.5122"/>
    <n v="226798.5122"/>
    <x v="10"/>
    <s v="40/1 Cotton Yarn Combed"/>
    <n v="235000000"/>
    <x v="0"/>
    <n v="42300000"/>
    <x v="0"/>
    <m/>
    <m/>
    <x v="0"/>
    <x v="0"/>
    <x v="0"/>
    <x v="0"/>
    <x v="0"/>
    <x v="0"/>
    <m/>
    <x v="0"/>
    <x v="1"/>
    <x v="0"/>
    <x v="0"/>
    <x v="0"/>
    <x v="3"/>
    <n v="1036.1620000080406"/>
    <n v="186.50916000144733"/>
    <n v="42300000"/>
    <d v="2024-05-30T00:00:00"/>
    <x v="0"/>
  </r>
  <r>
    <x v="186"/>
    <d v="2024-04-10T00:00:00"/>
    <x v="1056"/>
    <d v="2024-04-27T00:00:00"/>
    <x v="0"/>
    <x v="1"/>
    <n v="54432"/>
    <x v="3"/>
    <x v="0"/>
    <n v="5205.24"/>
    <n v="3.69"/>
    <n v="54432"/>
    <n v="54432"/>
    <x v="10"/>
    <s v="40/1 Cotton Yarn Combed"/>
    <n v="57240000"/>
    <x v="0"/>
    <n v="10303200"/>
    <x v="0"/>
    <m/>
    <m/>
    <x v="0"/>
    <x v="0"/>
    <x v="0"/>
    <x v="0"/>
    <x v="0"/>
    <x v="0"/>
    <m/>
    <x v="0"/>
    <x v="1"/>
    <x v="0"/>
    <x v="0"/>
    <x v="0"/>
    <x v="3"/>
    <n v="1051.5873015873017"/>
    <n v="189.28571428571428"/>
    <n v="10303200"/>
    <d v="2024-05-10T00:00:00"/>
    <x v="0"/>
  </r>
  <r>
    <x v="187"/>
    <d v="2024-05-06T00:00:00"/>
    <x v="1057"/>
    <d v="2024-05-03T00:00:00"/>
    <x v="0"/>
    <x v="0"/>
    <n v="1350"/>
    <x v="3"/>
    <x v="0"/>
    <n v="5401.1"/>
    <n v="8.16"/>
    <n v="0"/>
    <n v="0"/>
    <x v="17"/>
    <s v="Sewing Thread PPCA 16/2, 20/2"/>
    <n v="3140154"/>
    <x v="0"/>
    <n v="565227.72"/>
    <x v="0"/>
    <m/>
    <m/>
    <x v="0"/>
    <x v="0"/>
    <x v="0"/>
    <x v="0"/>
    <x v="0"/>
    <x v="0"/>
    <m/>
    <x v="0"/>
    <x v="1"/>
    <x v="0"/>
    <x v="0"/>
    <x v="0"/>
    <x v="3"/>
    <n v="2326.04"/>
    <n v="418.68719999999996"/>
    <n v="0"/>
    <d v="2024-06-05T00:00:00"/>
    <x v="0"/>
  </r>
  <r>
    <x v="188"/>
    <d v="2024-05-06T00:00:00"/>
    <x v="1058"/>
    <d v="2024-05-03T00:00:00"/>
    <x v="0"/>
    <x v="0"/>
    <n v="2085"/>
    <x v="3"/>
    <x v="0"/>
    <n v="5401.2089999999998"/>
    <n v="4.96"/>
    <n v="0"/>
    <n v="0"/>
    <x v="17"/>
    <s v="Sewing Thread SSPA21/2, 21/3, 50/3"/>
    <n v="2947846"/>
    <x v="0"/>
    <n v="530612.28"/>
    <x v="0"/>
    <m/>
    <m/>
    <x v="0"/>
    <x v="0"/>
    <x v="0"/>
    <x v="0"/>
    <x v="0"/>
    <x v="0"/>
    <m/>
    <x v="0"/>
    <x v="1"/>
    <x v="0"/>
    <x v="0"/>
    <x v="0"/>
    <x v="3"/>
    <n v="1413.8350119904076"/>
    <n v="254.49030215827341"/>
    <n v="0"/>
    <d v="2024-06-05T00:00:00"/>
    <x v="0"/>
  </r>
  <r>
    <x v="189"/>
    <d v="2024-05-05T00:00:00"/>
    <x v="1059"/>
    <d v="2024-05-07T00:00:00"/>
    <x v="0"/>
    <x v="0"/>
    <n v="71.459999999999994"/>
    <x v="3"/>
    <x v="0"/>
    <n v="5508.1"/>
    <n v="7.61"/>
    <n v="0"/>
    <n v="0"/>
    <x v="17"/>
    <s v="Sewing Thread"/>
    <n v="154984"/>
    <x v="0"/>
    <n v="27897.119999999999"/>
    <x v="0"/>
    <m/>
    <m/>
    <x v="0"/>
    <x v="0"/>
    <x v="0"/>
    <x v="0"/>
    <x v="0"/>
    <x v="0"/>
    <m/>
    <x v="0"/>
    <x v="1"/>
    <x v="0"/>
    <x v="0"/>
    <x v="0"/>
    <x v="3"/>
    <n v="2168.8217184438849"/>
    <n v="390.38790931989928"/>
    <n v="0"/>
    <d v="2024-06-04T00:00:00"/>
    <x v="0"/>
  </r>
  <r>
    <x v="190"/>
    <d v="2024-05-06T00:00:00"/>
    <x v="1060"/>
    <d v="2024-05-03T00:00:00"/>
    <x v="0"/>
    <x v="1"/>
    <n v="1542.23"/>
    <x v="3"/>
    <x v="0"/>
    <n v="5205.12"/>
    <n v="3.19"/>
    <n v="1542.23"/>
    <n v="1542.23"/>
    <x v="10"/>
    <s v="16/1 95% Cotton 05% Lycra Carded yarn"/>
    <n v="1400800"/>
    <x v="0"/>
    <n v="252144"/>
    <x v="0"/>
    <m/>
    <m/>
    <x v="0"/>
    <x v="0"/>
    <x v="0"/>
    <x v="0"/>
    <x v="0"/>
    <x v="0"/>
    <m/>
    <x v="0"/>
    <x v="1"/>
    <x v="0"/>
    <x v="0"/>
    <x v="0"/>
    <x v="3"/>
    <n v="908.29513107642833"/>
    <n v="163.49312359375708"/>
    <n v="252143.99999999997"/>
    <d v="2024-06-05T00:00:00"/>
    <x v="0"/>
  </r>
  <r>
    <x v="191"/>
    <d v="2024-05-06T00:00:00"/>
    <x v="1061"/>
    <d v="2024-05-03T00:00:00"/>
    <x v="0"/>
    <x v="1"/>
    <n v="4535.97"/>
    <x v="3"/>
    <x v="0"/>
    <n v="5205.12"/>
    <n v="3.02"/>
    <n v="4535.97"/>
    <n v="4535.97"/>
    <x v="10"/>
    <s v="16/1 95% Cotton 05% Lycra Carded yarn"/>
    <n v="3910000"/>
    <x v="0"/>
    <n v="703800"/>
    <x v="0"/>
    <m/>
    <m/>
    <x v="0"/>
    <x v="0"/>
    <x v="0"/>
    <x v="0"/>
    <x v="0"/>
    <x v="0"/>
    <m/>
    <x v="0"/>
    <x v="1"/>
    <x v="0"/>
    <x v="0"/>
    <x v="0"/>
    <x v="3"/>
    <n v="861.99864637552707"/>
    <n v="155.15975634759488"/>
    <n v="703800"/>
    <d v="2024-06-05T00:00:00"/>
    <x v="0"/>
  </r>
  <r>
    <x v="192"/>
    <d v="2024-05-09T00:00:00"/>
    <x v="1062"/>
    <d v="2024-05-06T00:00:00"/>
    <x v="0"/>
    <x v="1"/>
    <n v="42320.6"/>
    <x v="3"/>
    <x v="0"/>
    <n v="5205.12"/>
    <n v="3.23"/>
    <n v="42320.6"/>
    <n v="42320.6"/>
    <x v="10"/>
    <s v="16/1 95% Cotton 05% Lycra Carded yarn"/>
    <n v="38906102"/>
    <x v="0"/>
    <n v="7003098.3599999994"/>
    <x v="0"/>
    <m/>
    <m/>
    <x v="0"/>
    <x v="0"/>
    <x v="0"/>
    <x v="0"/>
    <x v="0"/>
    <x v="0"/>
    <m/>
    <x v="0"/>
    <x v="1"/>
    <x v="0"/>
    <x v="0"/>
    <x v="0"/>
    <x v="3"/>
    <n v="919.31829888990239"/>
    <n v="165.47729380018239"/>
    <n v="7003098.3599999985"/>
    <d v="2024-06-08T00:00:00"/>
    <x v="0"/>
  </r>
  <r>
    <x v="193"/>
    <d v="2024-05-09T00:00:00"/>
    <x v="1063"/>
    <d v="2024-05-06T00:00:00"/>
    <x v="0"/>
    <x v="1"/>
    <n v="2585.5"/>
    <x v="3"/>
    <x v="0"/>
    <n v="5205.12"/>
    <n v="3.36"/>
    <n v="2585.5"/>
    <n v="2585.5"/>
    <x v="10"/>
    <s v="16/1 95% Cotton 05% Lycra Carded yarn"/>
    <n v="2479500"/>
    <x v="0"/>
    <n v="446310"/>
    <x v="0"/>
    <m/>
    <m/>
    <x v="0"/>
    <x v="0"/>
    <x v="0"/>
    <x v="0"/>
    <x v="0"/>
    <x v="0"/>
    <m/>
    <x v="0"/>
    <x v="1"/>
    <x v="0"/>
    <x v="0"/>
    <x v="0"/>
    <x v="3"/>
    <n v="959.00212724811445"/>
    <n v="172.6203829046606"/>
    <n v="446310"/>
    <d v="2024-06-08T00:00:00"/>
    <x v="0"/>
  </r>
  <r>
    <x v="194"/>
    <d v="2024-05-10T00:00:00"/>
    <x v="1064"/>
    <d v="2024-05-07T00:00:00"/>
    <x v="1"/>
    <x v="0"/>
    <n v="698.33"/>
    <x v="3"/>
    <x v="0"/>
    <n v="3919.9090000000001"/>
    <n v="2.11"/>
    <n v="0"/>
    <n v="0"/>
    <x v="9"/>
    <s v="PACKING/ CARTON TAPE"/>
    <n v="418998"/>
    <x v="0"/>
    <n v="75419.64"/>
    <x v="0"/>
    <m/>
    <m/>
    <x v="0"/>
    <x v="0"/>
    <x v="0"/>
    <x v="2"/>
    <x v="0"/>
    <x v="0"/>
    <m/>
    <x v="0"/>
    <x v="1"/>
    <x v="0"/>
    <x v="0"/>
    <x v="0"/>
    <x v="6"/>
    <n v="600"/>
    <n v="107.99999999999999"/>
    <n v="0"/>
    <d v="2024-05-15T00:00:00"/>
    <x v="0"/>
  </r>
  <r>
    <x v="195"/>
    <d v="2024-05-11T00:00:00"/>
    <x v="1065"/>
    <d v="2024-05-08T00:00:00"/>
    <x v="0"/>
    <x v="1"/>
    <n v="27215.821499999998"/>
    <x v="3"/>
    <x v="0"/>
    <n v="5402.33"/>
    <n v="2.17"/>
    <n v="27215.821499999998"/>
    <n v="27215.821499999998"/>
    <x v="6"/>
    <s v="100% Polyester"/>
    <n v="16800000"/>
    <x v="0"/>
    <n v="3024000"/>
    <x v="0"/>
    <m/>
    <m/>
    <x v="0"/>
    <x v="0"/>
    <x v="0"/>
    <x v="0"/>
    <x v="0"/>
    <x v="0"/>
    <m/>
    <x v="0"/>
    <x v="1"/>
    <x v="0"/>
    <x v="0"/>
    <x v="0"/>
    <x v="3"/>
    <n v="617.28799918826633"/>
    <n v="111.11183985388794"/>
    <n v="3024000"/>
    <d v="2024-06-10T00:00:00"/>
    <x v="0"/>
  </r>
  <r>
    <x v="196"/>
    <d v="2024-05-17T00:00:00"/>
    <x v="1066"/>
    <d v="2024-05-14T00:00:00"/>
    <x v="0"/>
    <x v="1"/>
    <n v="27215.821499999998"/>
    <x v="3"/>
    <x v="0"/>
    <n v="5402.33"/>
    <n v="2.17"/>
    <n v="27215.821499999998"/>
    <n v="27215.821499999998"/>
    <x v="6"/>
    <s v="100% Polyester"/>
    <n v="16800000"/>
    <x v="0"/>
    <n v="3024000"/>
    <x v="0"/>
    <m/>
    <m/>
    <x v="0"/>
    <x v="0"/>
    <x v="0"/>
    <x v="0"/>
    <x v="0"/>
    <x v="0"/>
    <m/>
    <x v="0"/>
    <x v="1"/>
    <x v="0"/>
    <x v="0"/>
    <x v="0"/>
    <x v="3"/>
    <n v="617.28799918826633"/>
    <n v="111.11183985388794"/>
    <n v="3024000"/>
    <d v="2024-06-16T00:00:00"/>
    <x v="0"/>
  </r>
  <r>
    <x v="197"/>
    <d v="2024-05-17T00:00:00"/>
    <x v="1067"/>
    <d v="2024-05-14T00:00:00"/>
    <x v="0"/>
    <x v="0"/>
    <n v="42758"/>
    <x v="3"/>
    <x v="0"/>
    <n v="5209.42"/>
    <n v="3.61"/>
    <n v="0"/>
    <n v="0"/>
    <x v="19"/>
    <s v="Denim Fabric 99% 1%"/>
    <n v="43939592"/>
    <x v="0"/>
    <n v="7909126.5599999996"/>
    <x v="0"/>
    <m/>
    <m/>
    <x v="0"/>
    <x v="0"/>
    <x v="0"/>
    <x v="0"/>
    <x v="0"/>
    <x v="0"/>
    <m/>
    <x v="0"/>
    <x v="1"/>
    <x v="0"/>
    <x v="0"/>
    <x v="0"/>
    <x v="2"/>
    <n v="1027.6344075962393"/>
    <n v="184.97419336732307"/>
    <n v="0"/>
    <d v="2024-06-16T00:00:00"/>
    <x v="0"/>
  </r>
  <r>
    <x v="198"/>
    <d v="2024-05-17T00:00:00"/>
    <x v="1068"/>
    <d v="2024-05-14T00:00:00"/>
    <x v="0"/>
    <x v="2"/>
    <n v="7801.8688000000002"/>
    <x v="3"/>
    <x v="0"/>
    <n v="5205.13"/>
    <n v="3.23"/>
    <n v="358.44999999999982"/>
    <n v="7801.8688000000002"/>
    <x v="10"/>
    <s v="30/1 Cotton Yarn Carded"/>
    <n v="7181000"/>
    <x v="0"/>
    <n v="1292580"/>
    <x v="0"/>
    <m/>
    <m/>
    <x v="0"/>
    <x v="0"/>
    <x v="0"/>
    <x v="0"/>
    <x v="0"/>
    <x v="0"/>
    <m/>
    <x v="0"/>
    <x v="1"/>
    <x v="0"/>
    <x v="0"/>
    <x v="0"/>
    <x v="3"/>
    <n v="920.42050232887789"/>
    <n v="165.67569041919802"/>
    <n v="59386.4512307615"/>
    <d v="2024-06-16T00:00:00"/>
    <x v="0"/>
  </r>
  <r>
    <x v="199"/>
    <d v="2024-05-20T00:00:00"/>
    <x v="1069"/>
    <d v="2024-05-17T00:00:00"/>
    <x v="0"/>
    <x v="0"/>
    <n v="11400"/>
    <x v="3"/>
    <x v="0"/>
    <n v="3809.9189999999999"/>
    <n v="0.53"/>
    <n v="0"/>
    <n v="0"/>
    <x v="12"/>
    <s v="SOFTEX "/>
    <n v="1710000"/>
    <x v="0"/>
    <n v="30780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6-19T00:00:00"/>
    <x v="0"/>
  </r>
  <r>
    <x v="200"/>
    <d v="2024-05-20T00:00:00"/>
    <x v="1070"/>
    <d v="2024-05-17T00:00:00"/>
    <x v="0"/>
    <x v="0"/>
    <n v="11520"/>
    <x v="3"/>
    <x v="0"/>
    <n v="3809.9189999999999"/>
    <n v="0.53"/>
    <n v="0"/>
    <n v="0"/>
    <x v="12"/>
    <s v="SOFTEX "/>
    <n v="1728000"/>
    <x v="0"/>
    <n v="31104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6-19T00:00:00"/>
    <x v="0"/>
  </r>
  <r>
    <x v="201"/>
    <d v="2024-05-21T00:00:00"/>
    <x v="1071"/>
    <d v="2024-05-18T00:00:00"/>
    <x v="0"/>
    <x v="0"/>
    <n v="6.57"/>
    <x v="3"/>
    <x v="0"/>
    <n v="5401.1"/>
    <n v="12.32"/>
    <n v="0"/>
    <n v="0"/>
    <x v="17"/>
    <s v="Sewing Thread"/>
    <n v="23074"/>
    <x v="0"/>
    <n v="4153.32"/>
    <x v="0"/>
    <m/>
    <m/>
    <x v="0"/>
    <x v="0"/>
    <x v="0"/>
    <x v="0"/>
    <x v="0"/>
    <x v="0"/>
    <m/>
    <x v="0"/>
    <x v="1"/>
    <x v="0"/>
    <x v="0"/>
    <x v="0"/>
    <x v="3"/>
    <n v="3512.0243531202432"/>
    <n v="632.16438356164372"/>
    <n v="0"/>
    <d v="2024-06-20T00:00:00"/>
    <x v="0"/>
  </r>
  <r>
    <x v="202"/>
    <d v="2024-05-21T00:00:00"/>
    <x v="1072"/>
    <d v="2024-05-18T00:00:00"/>
    <x v="0"/>
    <x v="0"/>
    <n v="1925.32"/>
    <x v="3"/>
    <x v="0"/>
    <n v="5508.1"/>
    <n v="7.95"/>
    <n v="0"/>
    <n v="0"/>
    <x v="17"/>
    <s v="Sewing Thread"/>
    <n v="4361274"/>
    <x v="0"/>
    <n v="785029.32"/>
    <x v="0"/>
    <m/>
    <m/>
    <x v="0"/>
    <x v="0"/>
    <x v="0"/>
    <x v="0"/>
    <x v="0"/>
    <x v="0"/>
    <m/>
    <x v="0"/>
    <x v="1"/>
    <x v="0"/>
    <x v="0"/>
    <x v="0"/>
    <x v="3"/>
    <n v="2265.2203270105751"/>
    <n v="407.73965886190348"/>
    <n v="0"/>
    <d v="2024-06-20T00:00:00"/>
    <x v="0"/>
  </r>
  <r>
    <x v="203"/>
    <d v="2024-05-23T00:00:00"/>
    <x v="1073"/>
    <d v="2024-05-20T00:00:00"/>
    <x v="0"/>
    <x v="0"/>
    <n v="114.425"/>
    <x v="3"/>
    <x v="0"/>
    <n v="5401.1"/>
    <n v="8.1999999999999993"/>
    <n v="0"/>
    <n v="0"/>
    <x v="17"/>
    <s v="Sewing Thread"/>
    <n v="267567"/>
    <x v="0"/>
    <n v="48162.06"/>
    <x v="0"/>
    <m/>
    <m/>
    <x v="0"/>
    <x v="0"/>
    <x v="0"/>
    <x v="0"/>
    <x v="0"/>
    <x v="0"/>
    <m/>
    <x v="0"/>
    <x v="1"/>
    <x v="0"/>
    <x v="0"/>
    <x v="0"/>
    <x v="3"/>
    <n v="2338.3613720777803"/>
    <n v="420.90504697400041"/>
    <n v="0"/>
    <d v="2024-06-22T00:00:00"/>
    <x v="0"/>
  </r>
  <r>
    <x v="204"/>
    <d v="2024-05-16T00:00:00"/>
    <x v="1074"/>
    <d v="2024-05-13T00:00:00"/>
    <x v="0"/>
    <x v="0"/>
    <n v="3748.1759999999999"/>
    <x v="3"/>
    <x v="0"/>
    <n v="5508.1"/>
    <n v="11.45"/>
    <n v="0"/>
    <n v="0"/>
    <x v="17"/>
    <s v="Sewing Thread"/>
    <n v="12232938"/>
    <x v="0"/>
    <n v="2201928.84"/>
    <x v="0"/>
    <m/>
    <m/>
    <x v="0"/>
    <x v="0"/>
    <x v="0"/>
    <x v="0"/>
    <x v="0"/>
    <x v="0"/>
    <m/>
    <x v="0"/>
    <x v="1"/>
    <x v="0"/>
    <x v="0"/>
    <x v="0"/>
    <x v="3"/>
    <n v="3263.7042657548632"/>
    <n v="587.46676783587532"/>
    <n v="0"/>
    <d v="2024-06-15T00:00:00"/>
    <x v="0"/>
  </r>
  <r>
    <x v="205"/>
    <d v="2024-05-16T00:00:00"/>
    <x v="1075"/>
    <d v="2024-05-13T00:00:00"/>
    <x v="0"/>
    <x v="0"/>
    <n v="706.173"/>
    <x v="3"/>
    <x v="0"/>
    <n v="5401.1"/>
    <n v="17.53"/>
    <n v="0"/>
    <n v="0"/>
    <x v="17"/>
    <s v="Sewing Thread"/>
    <n v="3528705"/>
    <x v="0"/>
    <n v="635166.9"/>
    <x v="0"/>
    <m/>
    <m/>
    <x v="0"/>
    <x v="0"/>
    <x v="0"/>
    <x v="0"/>
    <x v="0"/>
    <x v="0"/>
    <m/>
    <x v="0"/>
    <x v="1"/>
    <x v="0"/>
    <x v="0"/>
    <x v="0"/>
    <x v="3"/>
    <n v="4996.9412594364267"/>
    <n v="899.44942669855686"/>
    <n v="0"/>
    <d v="2024-06-15T00:00:00"/>
    <x v="0"/>
  </r>
  <r>
    <x v="206"/>
    <d v="2024-05-24T00:00:00"/>
    <x v="1076"/>
    <d v="2024-05-21T00:00:00"/>
    <x v="0"/>
    <x v="1"/>
    <n v="7.56"/>
    <x v="3"/>
    <x v="0"/>
    <n v="5509.21"/>
    <n v="2.2200000000000002"/>
    <n v="7.56"/>
    <n v="7.56"/>
    <x v="6"/>
    <s v="100% Polyester yarn"/>
    <n v="4781"/>
    <x v="0"/>
    <n v="860.57999999999993"/>
    <x v="0"/>
    <m/>
    <m/>
    <x v="0"/>
    <x v="0"/>
    <x v="0"/>
    <x v="0"/>
    <x v="0"/>
    <x v="0"/>
    <m/>
    <x v="0"/>
    <x v="1"/>
    <x v="0"/>
    <x v="0"/>
    <x v="0"/>
    <x v="3"/>
    <n v="632.40740740740739"/>
    <n v="113.83333333333333"/>
    <n v="860.57999999999993"/>
    <d v="2024-06-23T00:00:00"/>
    <x v="0"/>
  </r>
  <r>
    <x v="207"/>
    <d v="2024-05-26T00:00:00"/>
    <x v="1077"/>
    <d v="2024-05-26T00:00:00"/>
    <x v="0"/>
    <x v="1"/>
    <n v="7484.35"/>
    <x v="3"/>
    <x v="0"/>
    <n v="5205.12"/>
    <n v="3.23"/>
    <n v="7484.35"/>
    <n v="7484.35"/>
    <x v="10"/>
    <s v="16/1 95% Cotton 05% Lycra Carded yarn"/>
    <n v="6880501"/>
    <x v="0"/>
    <n v="1238490.18"/>
    <x v="0"/>
    <m/>
    <m/>
    <x v="0"/>
    <x v="0"/>
    <x v="0"/>
    <x v="0"/>
    <x v="0"/>
    <x v="0"/>
    <m/>
    <x v="0"/>
    <x v="1"/>
    <x v="0"/>
    <x v="0"/>
    <x v="0"/>
    <x v="3"/>
    <n v="919.31844448749723"/>
    <n v="165.47732000774948"/>
    <n v="1238490.18"/>
    <d v="2024-06-25T00:00:00"/>
    <x v="0"/>
  </r>
  <r>
    <x v="208"/>
    <d v="2024-05-28T00:00:00"/>
    <x v="1078"/>
    <d v="2024-05-28T00:00:00"/>
    <x v="0"/>
    <x v="0"/>
    <n v="1503"/>
    <x v="3"/>
    <x v="0"/>
    <n v="5209.42"/>
    <n v="3.56"/>
    <n v="0"/>
    <n v="0"/>
    <x v="19"/>
    <s v="Denim Fabric 99% 1%"/>
    <n v="1524180"/>
    <x v="0"/>
    <n v="274352.39999999997"/>
    <x v="0"/>
    <m/>
    <m/>
    <x v="0"/>
    <x v="0"/>
    <x v="0"/>
    <x v="0"/>
    <x v="0"/>
    <x v="0"/>
    <m/>
    <x v="0"/>
    <x v="1"/>
    <x v="0"/>
    <x v="0"/>
    <x v="0"/>
    <x v="2"/>
    <n v="1014.0918163672654"/>
    <n v="182.53652694610776"/>
    <n v="0"/>
    <d v="2024-06-27T00:00:00"/>
    <x v="0"/>
  </r>
  <r>
    <x v="209"/>
    <d v="2024-05-08T00:00:00"/>
    <x v="1079"/>
    <d v="2024-05-08T00:00:00"/>
    <x v="0"/>
    <x v="1"/>
    <n v="3764.855"/>
    <x v="3"/>
    <x v="0"/>
    <n v="5205.12"/>
    <n v="2.67"/>
    <n v="3764.855"/>
    <n v="3764.855"/>
    <x v="10"/>
    <s v="16/1 Carded yarn"/>
    <n v="2863500"/>
    <x v="0"/>
    <n v="515430"/>
    <x v="0"/>
    <m/>
    <m/>
    <x v="0"/>
    <x v="0"/>
    <x v="0"/>
    <x v="0"/>
    <x v="0"/>
    <x v="0"/>
    <m/>
    <x v="0"/>
    <x v="1"/>
    <x v="0"/>
    <x v="0"/>
    <x v="0"/>
    <x v="3"/>
    <n v="760.58706112187588"/>
    <n v="136.90567100193766"/>
    <n v="515430"/>
    <d v="2024-06-07T00:00:00"/>
    <x v="0"/>
  </r>
  <r>
    <x v="210"/>
    <d v="2024-05-28T00:00:00"/>
    <x v="1080"/>
    <d v="2024-05-28T00:00:00"/>
    <x v="0"/>
    <x v="1"/>
    <n v="5624.6030000000001"/>
    <x v="3"/>
    <x v="0"/>
    <n v="5205.12"/>
    <n v="3.13"/>
    <n v="5624.6030000000001"/>
    <n v="5624.6030000000001"/>
    <x v="10"/>
    <s v="24/1 Cotton Yarn Carded"/>
    <n v="5022000"/>
    <x v="0"/>
    <n v="903960"/>
    <x v="0"/>
    <m/>
    <m/>
    <x v="0"/>
    <x v="0"/>
    <x v="0"/>
    <x v="0"/>
    <x v="0"/>
    <x v="0"/>
    <m/>
    <x v="0"/>
    <x v="1"/>
    <x v="0"/>
    <x v="0"/>
    <x v="0"/>
    <x v="3"/>
    <n v="892.8630162875495"/>
    <n v="160.71534293175893"/>
    <n v="903960.00000000012"/>
    <d v="2024-06-27T00:00:00"/>
    <x v="0"/>
  </r>
  <r>
    <x v="211"/>
    <d v="2024-05-31T00:00:00"/>
    <x v="1081"/>
    <d v="2024-05-31T00:00:00"/>
    <x v="0"/>
    <x v="0"/>
    <n v="11760"/>
    <x v="3"/>
    <x v="0"/>
    <n v="3809.9189999999999"/>
    <n v="0.53"/>
    <n v="0"/>
    <n v="0"/>
    <x v="12"/>
    <s v="SOFTEX "/>
    <n v="1764000"/>
    <x v="0"/>
    <n v="31752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6-30T00:00:00"/>
    <x v="0"/>
  </r>
  <r>
    <x v="212"/>
    <d v="2024-05-31T00:00:00"/>
    <x v="1082"/>
    <d v="2024-05-31T00:00:00"/>
    <x v="0"/>
    <x v="0"/>
    <n v="21400"/>
    <x v="3"/>
    <x v="0"/>
    <n v="3402.42"/>
    <n v="1.84"/>
    <n v="0"/>
    <n v="0"/>
    <x v="12"/>
    <s v="Kieralon 2010 liq 0200"/>
    <n v="11236400"/>
    <x v="0"/>
    <n v="2022552"/>
    <x v="0"/>
    <m/>
    <m/>
    <x v="0"/>
    <x v="0"/>
    <x v="0"/>
    <x v="0"/>
    <x v="0"/>
    <x v="0"/>
    <m/>
    <x v="0"/>
    <x v="1"/>
    <x v="0"/>
    <x v="0"/>
    <x v="0"/>
    <x v="5"/>
    <n v="525.06542056074761"/>
    <n v="94.511775700934578"/>
    <n v="0"/>
    <d v="2024-06-30T00:00:00"/>
    <x v="0"/>
  </r>
  <r>
    <x v="213"/>
    <d v="2024-05-31T00:00:00"/>
    <x v="1083"/>
    <d v="2024-05-31T00:00:00"/>
    <x v="0"/>
    <x v="0"/>
    <n v="1800"/>
    <x v="3"/>
    <x v="0"/>
    <n v="3402.42"/>
    <n v="1.93"/>
    <n v="0"/>
    <n v="0"/>
    <x v="12"/>
    <s v="Kieralon 2010 liq 0200"/>
    <n v="990000"/>
    <x v="0"/>
    <n v="17820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6-30T00:00:00"/>
    <x v="0"/>
  </r>
  <r>
    <x v="214"/>
    <d v="2024-06-01T00:00:00"/>
    <x v="1084"/>
    <d v="2024-05-16T00:00:00"/>
    <x v="0"/>
    <x v="1"/>
    <n v="9072"/>
    <x v="3"/>
    <x v="0"/>
    <n v="5205.2700000000004"/>
    <n v="4.87"/>
    <n v="9072"/>
    <n v="9072"/>
    <x v="10"/>
    <s v="60/1 Cotton Yarn Combed"/>
    <n v="12600000"/>
    <x v="0"/>
    <n v="2268000"/>
    <x v="0"/>
    <m/>
    <m/>
    <x v="0"/>
    <x v="0"/>
    <x v="0"/>
    <x v="0"/>
    <x v="0"/>
    <x v="0"/>
    <m/>
    <x v="0"/>
    <x v="1"/>
    <x v="0"/>
    <x v="0"/>
    <x v="0"/>
    <x v="3"/>
    <n v="1388.8888888888889"/>
    <n v="250"/>
    <n v="2268000"/>
    <d v="2024-07-01T00:00:00"/>
    <x v="0"/>
  </r>
  <r>
    <x v="215"/>
    <d v="2024-06-07T00:00:00"/>
    <x v="1085"/>
    <d v="2024-06-03T00:00:00"/>
    <x v="0"/>
    <x v="0"/>
    <n v="11000"/>
    <x v="3"/>
    <x v="0"/>
    <n v="3402.42"/>
    <n v="1.84"/>
    <n v="0"/>
    <n v="0"/>
    <x v="12"/>
    <s v="Kieralon 2010 liq 0200"/>
    <n v="5753000"/>
    <x v="0"/>
    <n v="103554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7-07T00:00:00"/>
    <x v="0"/>
  </r>
  <r>
    <x v="216"/>
    <d v="2024-06-07T00:00:00"/>
    <x v="1086"/>
    <d v="2024-06-03T00:00:00"/>
    <x v="0"/>
    <x v="0"/>
    <n v="7423.65"/>
    <x v="3"/>
    <x v="0"/>
    <n v="5508.1"/>
    <n v="6.99"/>
    <n v="0"/>
    <n v="0"/>
    <x v="17"/>
    <s v="Sewing Thread"/>
    <n v="9407745"/>
    <x v="0"/>
    <n v="1693394.0999999999"/>
    <x v="0"/>
    <m/>
    <m/>
    <x v="0"/>
    <x v="0"/>
    <x v="0"/>
    <x v="0"/>
    <x v="0"/>
    <x v="0"/>
    <m/>
    <x v="0"/>
    <x v="1"/>
    <x v="0"/>
    <x v="0"/>
    <x v="0"/>
    <x v="3"/>
    <n v="1267.2667757774141"/>
    <n v="228.10801963993453"/>
    <n v="0"/>
    <d v="2024-07-07T00:00:00"/>
    <x v="0"/>
  </r>
  <r>
    <x v="217"/>
    <d v="2024-06-08T00:00:00"/>
    <x v="1087"/>
    <d v="2024-06-04T00:00:00"/>
    <x v="0"/>
    <x v="0"/>
    <n v="938.37199999999996"/>
    <x v="3"/>
    <x v="0"/>
    <n v="5401.1"/>
    <n v="16.13"/>
    <n v="0"/>
    <n v="0"/>
    <x v="17"/>
    <s v="Sewing Thread"/>
    <n v="4313285"/>
    <x v="0"/>
    <n v="776391.29999999993"/>
    <x v="0"/>
    <m/>
    <m/>
    <x v="0"/>
    <x v="0"/>
    <x v="0"/>
    <x v="0"/>
    <x v="0"/>
    <x v="0"/>
    <m/>
    <x v="0"/>
    <x v="1"/>
    <x v="0"/>
    <x v="0"/>
    <x v="0"/>
    <x v="3"/>
    <n v="4596.5619178747875"/>
    <n v="827.38114521746172"/>
    <n v="0"/>
    <d v="2024-07-08T00:00:00"/>
    <x v="0"/>
  </r>
  <r>
    <x v="218"/>
    <d v="2024-06-08T00:00:00"/>
    <x v="1088"/>
    <d v="2024-06-04T00:00:00"/>
    <x v="0"/>
    <x v="0"/>
    <n v="2374.9830000000002"/>
    <x v="3"/>
    <x v="0"/>
    <n v="5508.1"/>
    <n v="11.64"/>
    <n v="0"/>
    <n v="0"/>
    <x v="17"/>
    <s v="Sewing Thread"/>
    <n v="7877475"/>
    <x v="0"/>
    <n v="1417945.5"/>
    <x v="0"/>
    <m/>
    <m/>
    <x v="0"/>
    <x v="0"/>
    <x v="0"/>
    <x v="0"/>
    <x v="0"/>
    <x v="0"/>
    <m/>
    <x v="0"/>
    <x v="1"/>
    <x v="0"/>
    <x v="0"/>
    <x v="0"/>
    <x v="3"/>
    <n v="3316.8553206486108"/>
    <n v="597.03395771674991"/>
    <n v="0"/>
    <d v="2024-07-08T00:00:00"/>
    <x v="0"/>
  </r>
  <r>
    <x v="219"/>
    <d v="2024-06-08T00:00:00"/>
    <x v="1089"/>
    <d v="2024-06-04T00:00:00"/>
    <x v="0"/>
    <x v="0"/>
    <n v="428.24799999999999"/>
    <x v="3"/>
    <x v="0"/>
    <n v="5401.1"/>
    <n v="7.96"/>
    <n v="0"/>
    <n v="0"/>
    <x v="17"/>
    <s v="Sewing Thread"/>
    <n v="971880"/>
    <x v="0"/>
    <n v="174938.4"/>
    <x v="0"/>
    <m/>
    <m/>
    <x v="0"/>
    <x v="0"/>
    <x v="0"/>
    <x v="0"/>
    <x v="0"/>
    <x v="0"/>
    <m/>
    <x v="0"/>
    <x v="1"/>
    <x v="0"/>
    <x v="0"/>
    <x v="0"/>
    <x v="3"/>
    <n v="2269.4326651846595"/>
    <n v="408.49787973323868"/>
    <n v="0"/>
    <d v="2024-07-08T00:00:00"/>
    <x v="0"/>
  </r>
  <r>
    <x v="220"/>
    <d v="2024-06-10T00:00:00"/>
    <x v="1090"/>
    <d v="2024-06-06T00:00:00"/>
    <x v="0"/>
    <x v="1"/>
    <n v="45359.702400000002"/>
    <x v="3"/>
    <x v="0"/>
    <n v="5402.33"/>
    <n v="2.17"/>
    <n v="45359.702400000002"/>
    <n v="45359.702400000002"/>
    <x v="6"/>
    <s v="100% Polyester Yarn"/>
    <n v="28000000"/>
    <x v="0"/>
    <n v="5040000"/>
    <x v="0"/>
    <m/>
    <m/>
    <x v="0"/>
    <x v="0"/>
    <x v="0"/>
    <x v="0"/>
    <x v="0"/>
    <x v="0"/>
    <m/>
    <x v="0"/>
    <x v="1"/>
    <x v="0"/>
    <x v="0"/>
    <x v="0"/>
    <x v="3"/>
    <n v="617.28800054913938"/>
    <n v="111.11184009884509"/>
    <n v="5040000"/>
    <d v="2024-07-10T00:00:00"/>
    <x v="0"/>
  </r>
  <r>
    <x v="221"/>
    <d v="2024-06-10T00:00:00"/>
    <x v="1091"/>
    <d v="2024-06-06T00:00:00"/>
    <x v="0"/>
    <x v="0"/>
    <n v="563"/>
    <x v="3"/>
    <x v="0"/>
    <n v="5209.42"/>
    <n v="3.55"/>
    <n v="0"/>
    <n v="0"/>
    <x v="19"/>
    <s v="Denim Fabric 99% 1%"/>
    <n v="568860"/>
    <x v="0"/>
    <n v="102394.8"/>
    <x v="0"/>
    <m/>
    <m/>
    <x v="0"/>
    <x v="0"/>
    <x v="0"/>
    <x v="0"/>
    <x v="0"/>
    <x v="0"/>
    <m/>
    <x v="0"/>
    <x v="1"/>
    <x v="0"/>
    <x v="0"/>
    <x v="0"/>
    <x v="2"/>
    <n v="1010.4085257548845"/>
    <n v="181.87353463587922"/>
    <n v="0"/>
    <d v="2024-07-10T00:00:00"/>
    <x v="0"/>
  </r>
  <r>
    <x v="222"/>
    <d v="2024-06-15T00:00:00"/>
    <x v="1092"/>
    <d v="2024-06-11T00:00:00"/>
    <x v="0"/>
    <x v="0"/>
    <n v="1587.59"/>
    <x v="3"/>
    <x v="0"/>
    <n v="5205.2299999999996"/>
    <n v="3.48"/>
    <n v="0"/>
    <n v="0"/>
    <x v="10"/>
    <s v="30/1 Cotton Yarn Combed"/>
    <n v="1575000"/>
    <x v="0"/>
    <n v="283500"/>
    <x v="0"/>
    <m/>
    <m/>
    <x v="0"/>
    <x v="0"/>
    <x v="0"/>
    <x v="0"/>
    <x v="0"/>
    <x v="0"/>
    <m/>
    <x v="0"/>
    <x v="1"/>
    <x v="0"/>
    <x v="0"/>
    <x v="0"/>
    <x v="3"/>
    <n v="992.06974092807343"/>
    <n v="178.57255336705322"/>
    <n v="0"/>
    <d v="2024-07-15T00:00:00"/>
    <x v="0"/>
  </r>
  <r>
    <x v="223"/>
    <d v="2024-06-15T00:00:00"/>
    <x v="1093"/>
    <d v="2024-06-11T00:00:00"/>
    <x v="0"/>
    <x v="0"/>
    <n v="1587.59"/>
    <x v="3"/>
    <x v="0"/>
    <n v="5205.2299999999996"/>
    <n v="3.56"/>
    <n v="0"/>
    <n v="0"/>
    <x v="10"/>
    <s v="30/1 Cotton Yarn Combed"/>
    <n v="1610000"/>
    <x v="0"/>
    <n v="289800"/>
    <x v="0"/>
    <m/>
    <m/>
    <x v="0"/>
    <x v="0"/>
    <x v="0"/>
    <x v="0"/>
    <x v="0"/>
    <x v="0"/>
    <m/>
    <x v="0"/>
    <x v="1"/>
    <x v="0"/>
    <x v="0"/>
    <x v="0"/>
    <x v="3"/>
    <n v="1014.1157351709195"/>
    <n v="182.54083233076551"/>
    <n v="0"/>
    <d v="2024-07-15T00:00:00"/>
    <x v="0"/>
  </r>
  <r>
    <x v="224"/>
    <d v="2024-06-15T00:00:00"/>
    <x v="1094"/>
    <d v="2024-06-11T00:00:00"/>
    <x v="0"/>
    <x v="0"/>
    <n v="148.35679999999999"/>
    <x v="3"/>
    <x v="0"/>
    <n v="5401.1"/>
    <n v="8.35"/>
    <n v="0"/>
    <n v="0"/>
    <x v="17"/>
    <s v="Sewing Thread PPCA 16/2,21/2"/>
    <n v="353221"/>
    <x v="0"/>
    <n v="63579.78"/>
    <x v="0"/>
    <m/>
    <m/>
    <x v="0"/>
    <x v="0"/>
    <x v="0"/>
    <x v="0"/>
    <x v="0"/>
    <x v="0"/>
    <m/>
    <x v="0"/>
    <x v="1"/>
    <x v="0"/>
    <x v="0"/>
    <x v="0"/>
    <x v="3"/>
    <n v="2380.8885066272665"/>
    <n v="428.55993119290792"/>
    <n v="0"/>
    <d v="2024-07-15T00:00:00"/>
    <x v="0"/>
  </r>
  <r>
    <x v="225"/>
    <d v="2024-06-15T00:00:00"/>
    <x v="1095"/>
    <d v="2024-06-11T00:00:00"/>
    <x v="0"/>
    <x v="0"/>
    <n v="189.10810000000001"/>
    <x v="3"/>
    <x v="0"/>
    <n v="5401.2089999999998"/>
    <n v="5.21"/>
    <n v="0"/>
    <n v="0"/>
    <x v="17"/>
    <s v="Sewing Thread SSPA 21/2, 21/3, 50/3"/>
    <n v="280754"/>
    <x v="0"/>
    <n v="50535.72"/>
    <x v="0"/>
    <m/>
    <m/>
    <x v="0"/>
    <x v="0"/>
    <x v="0"/>
    <x v="0"/>
    <x v="0"/>
    <x v="0"/>
    <m/>
    <x v="0"/>
    <x v="1"/>
    <x v="0"/>
    <x v="0"/>
    <x v="0"/>
    <x v="3"/>
    <n v="1484.621758666075"/>
    <n v="267.23191655989353"/>
    <n v="0"/>
    <d v="2024-07-15T00:00:00"/>
    <x v="0"/>
  </r>
  <r>
    <x v="226"/>
    <d v="2024-06-16T00:00:00"/>
    <x v="1096"/>
    <d v="2024-06-12T00:00:00"/>
    <x v="0"/>
    <x v="0"/>
    <n v="5400"/>
    <x v="3"/>
    <x v="0"/>
    <n v="3809.9189999999999"/>
    <n v="0.53"/>
    <n v="0"/>
    <n v="0"/>
    <x v="12"/>
    <s v="Softex HC 25 Paste (240506)"/>
    <n v="810000"/>
    <x v="0"/>
    <n v="14580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7-16T00:00:00"/>
    <x v="0"/>
  </r>
  <r>
    <x v="227"/>
    <d v="2024-06-13T00:00:00"/>
    <x v="1097"/>
    <d v="2024-06-11T00:00:00"/>
    <x v="1"/>
    <x v="0"/>
    <n v="11936"/>
    <x v="3"/>
    <x v="0"/>
    <n v="4821.8999999999996"/>
    <n v="0.64"/>
    <n v="0"/>
    <n v="0"/>
    <x v="9"/>
    <s v="Inlay-Card"/>
    <n v="2184288"/>
    <x v="0"/>
    <n v="393171.83999999997"/>
    <x v="0"/>
    <m/>
    <m/>
    <x v="0"/>
    <x v="0"/>
    <x v="0"/>
    <x v="0"/>
    <x v="0"/>
    <x v="0"/>
    <m/>
    <x v="0"/>
    <x v="1"/>
    <x v="0"/>
    <x v="0"/>
    <x v="0"/>
    <x v="6"/>
    <n v="183"/>
    <n v="32.94"/>
    <n v="0"/>
    <d v="2024-06-18T00:00:00"/>
    <x v="0"/>
  </r>
  <r>
    <x v="228"/>
    <d v="2024-06-17T00:00:00"/>
    <x v="1098"/>
    <d v="2024-06-13T00:00:00"/>
    <x v="0"/>
    <x v="0"/>
    <n v="11459"/>
    <x v="3"/>
    <x v="0"/>
    <n v="5209.42"/>
    <n v="3.49"/>
    <n v="0"/>
    <n v="0"/>
    <x v="19"/>
    <s v="Denim Fabric 99% 1%"/>
    <n v="11404559"/>
    <x v="0"/>
    <n v="2052820.6199999999"/>
    <x v="0"/>
    <m/>
    <m/>
    <x v="0"/>
    <x v="0"/>
    <x v="0"/>
    <x v="0"/>
    <x v="0"/>
    <x v="0"/>
    <m/>
    <x v="0"/>
    <x v="1"/>
    <x v="0"/>
    <x v="0"/>
    <x v="0"/>
    <x v="2"/>
    <n v="995.24906187276372"/>
    <n v="179.14483113709747"/>
    <n v="0"/>
    <d v="2024-07-17T00:00:00"/>
    <x v="0"/>
  </r>
  <r>
    <x v="229"/>
    <d v="2024-06-18T00:00:00"/>
    <x v="1099"/>
    <d v="2024-06-14T00:00:00"/>
    <x v="1"/>
    <x v="0"/>
    <n v="527"/>
    <x v="3"/>
    <x v="0"/>
    <n v="9606.2990000000009"/>
    <n v="21.3"/>
    <n v="0"/>
    <n v="0"/>
    <x v="9"/>
    <s v="Button / Rivert ( for Aldi )"/>
    <n v="3199006"/>
    <x v="0"/>
    <n v="575821.07999999996"/>
    <x v="0"/>
    <m/>
    <m/>
    <x v="0"/>
    <x v="0"/>
    <x v="0"/>
    <x v="0"/>
    <x v="0"/>
    <x v="0"/>
    <m/>
    <x v="0"/>
    <x v="1"/>
    <x v="0"/>
    <x v="0"/>
    <x v="0"/>
    <x v="6"/>
    <n v="6070.2201138519922"/>
    <n v="1092.6396204933585"/>
    <n v="0"/>
    <d v="2024-06-23T00:00:00"/>
    <x v="0"/>
  </r>
  <r>
    <x v="230"/>
    <d v="2024-06-24T00:00:00"/>
    <x v="1100"/>
    <d v="2024-06-20T00:00:00"/>
    <x v="1"/>
    <x v="0"/>
    <n v="1591"/>
    <x v="3"/>
    <x v="0"/>
    <n v="4821.8999999999996"/>
    <n v="0.64"/>
    <n v="0"/>
    <n v="0"/>
    <x v="9"/>
    <s v="Inlay-Card"/>
    <n v="288051"/>
    <x v="0"/>
    <n v="51849.18"/>
    <x v="0"/>
    <m/>
    <m/>
    <x v="0"/>
    <x v="0"/>
    <x v="0"/>
    <x v="0"/>
    <x v="0"/>
    <x v="0"/>
    <m/>
    <x v="0"/>
    <x v="1"/>
    <x v="0"/>
    <x v="0"/>
    <x v="0"/>
    <x v="6"/>
    <n v="181.05028284098051"/>
    <n v="32.589050911376496"/>
    <n v="0"/>
    <d v="2024-06-29T00:00:00"/>
    <x v="0"/>
  </r>
  <r>
    <x v="231"/>
    <d v="2024-06-24T00:00:00"/>
    <x v="1101"/>
    <d v="2024-06-20T00:00:00"/>
    <x v="0"/>
    <x v="1"/>
    <n v="13471.92"/>
    <x v="3"/>
    <x v="0"/>
    <n v="5205.12"/>
    <n v="2.4900000000000002"/>
    <n v="13471.92"/>
    <n v="13471.92"/>
    <x v="10"/>
    <s v="12/1 Cotton Yarn "/>
    <n v="9578250"/>
    <x v="0"/>
    <n v="1724085"/>
    <x v="0"/>
    <m/>
    <m/>
    <x v="0"/>
    <x v="0"/>
    <x v="0"/>
    <x v="0"/>
    <x v="0"/>
    <x v="0"/>
    <m/>
    <x v="0"/>
    <x v="1"/>
    <x v="0"/>
    <x v="0"/>
    <x v="0"/>
    <x v="3"/>
    <n v="710.97883597883595"/>
    <n v="127.97619047619048"/>
    <n v="1724085"/>
    <d v="2024-07-24T00:00:00"/>
    <x v="0"/>
  </r>
  <r>
    <x v="232"/>
    <d v="2024-06-24T00:00:00"/>
    <x v="1102"/>
    <d v="2024-06-20T00:00:00"/>
    <x v="0"/>
    <x v="1"/>
    <n v="12020.4"/>
    <x v="3"/>
    <x v="0"/>
    <n v="5205.12"/>
    <n v="2.57"/>
    <n v="12020.4"/>
    <n v="12020.4"/>
    <x v="10"/>
    <s v="16/1 Cotton Yarn "/>
    <n v="8811250"/>
    <x v="0"/>
    <n v="1586025"/>
    <x v="0"/>
    <m/>
    <m/>
    <x v="0"/>
    <x v="0"/>
    <x v="0"/>
    <x v="0"/>
    <x v="0"/>
    <x v="0"/>
    <m/>
    <x v="0"/>
    <x v="1"/>
    <x v="0"/>
    <x v="0"/>
    <x v="0"/>
    <x v="3"/>
    <n v="733.02469135802471"/>
    <n v="131.94444444444446"/>
    <n v="1586025"/>
    <d v="2024-07-24T00:00:00"/>
    <x v="0"/>
  </r>
  <r>
    <x v="233"/>
    <d v="2024-06-24T00:00:00"/>
    <x v="1103"/>
    <d v="2024-06-20T00:00:00"/>
    <x v="1"/>
    <x v="0"/>
    <n v="12997"/>
    <x v="3"/>
    <x v="0"/>
    <n v="4821.8999999999996"/>
    <n v="2.34"/>
    <n v="0"/>
    <n v="0"/>
    <x v="9"/>
    <s v="Inlay-Card"/>
    <n v="8665100"/>
    <x v="0"/>
    <n v="1559718"/>
    <x v="0"/>
    <m/>
    <m/>
    <x v="0"/>
    <x v="0"/>
    <x v="0"/>
    <x v="0"/>
    <x v="0"/>
    <x v="0"/>
    <m/>
    <x v="0"/>
    <x v="1"/>
    <x v="0"/>
    <x v="0"/>
    <x v="0"/>
    <x v="6"/>
    <n v="666.7000076940833"/>
    <n v="120.00600138493499"/>
    <n v="0"/>
    <d v="2024-06-29T00:00:00"/>
    <x v="0"/>
  </r>
  <r>
    <x v="234"/>
    <d v="2024-06-01T00:00:00"/>
    <x v="1104"/>
    <d v="2024-05-22T00:00:00"/>
    <x v="0"/>
    <x v="0"/>
    <n v="22648"/>
    <x v="3"/>
    <x v="0"/>
    <n v="5209.42"/>
    <n v="3.39"/>
    <n v="0"/>
    <n v="0"/>
    <x v="19"/>
    <s v="Denim Fabric 99% 1%"/>
    <n v="21894168"/>
    <x v="0"/>
    <n v="3940950.2399999998"/>
    <x v="0"/>
    <m/>
    <m/>
    <x v="0"/>
    <x v="0"/>
    <x v="0"/>
    <x v="0"/>
    <x v="0"/>
    <x v="0"/>
    <m/>
    <x v="0"/>
    <x v="1"/>
    <x v="0"/>
    <x v="0"/>
    <x v="0"/>
    <x v="2"/>
    <n v="966.71529494878132"/>
    <n v="174.00875309078063"/>
    <n v="0"/>
    <d v="2024-07-01T00:00:00"/>
    <x v="0"/>
  </r>
  <r>
    <x v="235"/>
    <d v="2024-06-01T00:00:00"/>
    <x v="1105"/>
    <d v="2024-05-22T00:00:00"/>
    <x v="0"/>
    <x v="0"/>
    <n v="5959"/>
    <x v="3"/>
    <x v="0"/>
    <n v="5209.42"/>
    <n v="3.41"/>
    <n v="0"/>
    <n v="0"/>
    <x v="19"/>
    <s v="Denim Fabric 99% 1%"/>
    <n v="5783512"/>
    <x v="0"/>
    <n v="1041032.1599999999"/>
    <x v="0"/>
    <m/>
    <m/>
    <x v="0"/>
    <x v="0"/>
    <x v="0"/>
    <x v="0"/>
    <x v="0"/>
    <x v="0"/>
    <m/>
    <x v="0"/>
    <x v="1"/>
    <x v="0"/>
    <x v="0"/>
    <x v="0"/>
    <x v="2"/>
    <n v="970.55076355093138"/>
    <n v="174.69913743916763"/>
    <n v="0"/>
    <d v="2024-07-01T00:00:00"/>
    <x v="0"/>
  </r>
  <r>
    <x v="236"/>
    <d v="2024-06-01T00:00:00"/>
    <x v="1106"/>
    <d v="2024-05-09T00:00:00"/>
    <x v="0"/>
    <x v="0"/>
    <n v="28346"/>
    <x v="3"/>
    <x v="0"/>
    <n v="5209.42"/>
    <n v="3.45"/>
    <n v="0"/>
    <n v="0"/>
    <x v="19"/>
    <s v="Denim Fabric 99% 1%"/>
    <n v="27856156"/>
    <x v="0"/>
    <n v="5014108.08"/>
    <x v="0"/>
    <m/>
    <m/>
    <x v="0"/>
    <x v="0"/>
    <x v="0"/>
    <x v="0"/>
    <x v="0"/>
    <x v="0"/>
    <m/>
    <x v="0"/>
    <x v="1"/>
    <x v="0"/>
    <x v="0"/>
    <x v="0"/>
    <x v="2"/>
    <n v="982.71911380794472"/>
    <n v="176.88944048543004"/>
    <n v="0"/>
    <d v="2024-07-01T00:00:00"/>
    <x v="0"/>
  </r>
  <r>
    <x v="237"/>
    <d v="2024-06-15T00:00:00"/>
    <x v="1107"/>
    <d v="2024-06-11T00:00:00"/>
    <x v="0"/>
    <x v="0"/>
    <n v="48.79"/>
    <x v="3"/>
    <x v="0"/>
    <n v="5401.1"/>
    <n v="11.49"/>
    <n v="0"/>
    <n v="0"/>
    <x v="17"/>
    <s v="Sewing Thread"/>
    <n v="159734"/>
    <x v="0"/>
    <n v="28752.12"/>
    <x v="0"/>
    <m/>
    <m/>
    <x v="0"/>
    <x v="0"/>
    <x v="0"/>
    <x v="0"/>
    <x v="0"/>
    <x v="0"/>
    <m/>
    <x v="0"/>
    <x v="1"/>
    <x v="0"/>
    <x v="0"/>
    <x v="0"/>
    <x v="3"/>
    <n v="3273.9085878253741"/>
    <n v="589.30354580856726"/>
    <n v="0"/>
    <d v="2024-07-15T00:00:00"/>
    <x v="0"/>
  </r>
  <r>
    <x v="238"/>
    <d v="2024-06-15T00:00:00"/>
    <x v="1108"/>
    <d v="2024-06-11T00:00:00"/>
    <x v="0"/>
    <x v="0"/>
    <n v="1067.98"/>
    <x v="3"/>
    <x v="0"/>
    <n v="5508.1"/>
    <n v="6.95"/>
    <n v="0"/>
    <n v="0"/>
    <x v="17"/>
    <s v="Sewing Thread"/>
    <n v="2115503"/>
    <x v="0"/>
    <n v="380790.54"/>
    <x v="0"/>
    <m/>
    <m/>
    <x v="0"/>
    <x v="0"/>
    <x v="0"/>
    <x v="0"/>
    <x v="0"/>
    <x v="0"/>
    <m/>
    <x v="0"/>
    <x v="1"/>
    <x v="0"/>
    <x v="0"/>
    <x v="0"/>
    <x v="3"/>
    <n v="1980.8451469128636"/>
    <n v="356.55212644431543"/>
    <n v="0"/>
    <d v="2024-07-15T00:00:00"/>
    <x v="0"/>
  </r>
  <r>
    <x v="239"/>
    <d v="2024-06-16T00:00:00"/>
    <x v="1109"/>
    <d v="2024-06-12T00:00:00"/>
    <x v="0"/>
    <x v="1"/>
    <n v="9071.94"/>
    <x v="3"/>
    <x v="0"/>
    <n v="5205.12"/>
    <n v="3.09"/>
    <n v="9071.94"/>
    <n v="9071.94"/>
    <x v="10"/>
    <s v="16/1 95% Cotton 05% Lycra Carded yarn"/>
    <n v="8000000"/>
    <x v="0"/>
    <n v="1440000"/>
    <x v="0"/>
    <m/>
    <m/>
    <x v="0"/>
    <x v="0"/>
    <x v="0"/>
    <x v="0"/>
    <x v="0"/>
    <x v="0"/>
    <m/>
    <x v="0"/>
    <x v="1"/>
    <x v="0"/>
    <x v="0"/>
    <x v="0"/>
    <x v="3"/>
    <n v="881.84004744299455"/>
    <n v="158.73120853973901"/>
    <n v="1440000"/>
    <d v="2024-07-16T00:00:00"/>
    <x v="0"/>
  </r>
  <r>
    <x v="240"/>
    <d v="2024-06-16T00:00:00"/>
    <x v="1110"/>
    <d v="2024-06-12T00:00:00"/>
    <x v="0"/>
    <x v="0"/>
    <n v="240"/>
    <x v="3"/>
    <x v="0"/>
    <n v="3402.42"/>
    <n v="1.93"/>
    <n v="0"/>
    <n v="0"/>
    <x v="12"/>
    <s v="Kieralon AB-OL liq 0120"/>
    <n v="132000"/>
    <x v="0"/>
    <n v="2376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7-16T00:00:00"/>
    <x v="0"/>
  </r>
  <r>
    <x v="241"/>
    <d v="2024-06-16T00:00:00"/>
    <x v="1111"/>
    <d v="2024-06-12T00:00:00"/>
    <x v="0"/>
    <x v="0"/>
    <n v="5600"/>
    <x v="3"/>
    <x v="0"/>
    <n v="3402.42"/>
    <n v="1.84"/>
    <n v="0"/>
    <n v="0"/>
    <x v="12"/>
    <s v="Kieralon 2010 liq 0200"/>
    <n v="2928800"/>
    <x v="0"/>
    <n v="527184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7-16T00:00:00"/>
    <x v="0"/>
  </r>
  <r>
    <x v="242"/>
    <d v="2024-06-30T00:00:00"/>
    <x v="1112"/>
    <d v="2024-06-26T00:00:00"/>
    <x v="0"/>
    <x v="0"/>
    <n v="3584"/>
    <x v="3"/>
    <x v="0"/>
    <n v="5401.1"/>
    <n v="8.17"/>
    <n v="0"/>
    <n v="0"/>
    <x v="17"/>
    <s v="Sewing Thread"/>
    <n v="8341445"/>
    <x v="0"/>
    <n v="1501460.0999999999"/>
    <x v="0"/>
    <m/>
    <m/>
    <x v="0"/>
    <x v="0"/>
    <x v="0"/>
    <x v="0"/>
    <x v="0"/>
    <x v="0"/>
    <m/>
    <x v="0"/>
    <x v="1"/>
    <x v="0"/>
    <x v="0"/>
    <x v="0"/>
    <x v="3"/>
    <n v="2327.412109375"/>
    <n v="418.93417968749998"/>
    <n v="0"/>
    <d v="2024-07-30T00:00:00"/>
    <x v="0"/>
  </r>
  <r>
    <x v="243"/>
    <d v="2024-06-30T00:00:00"/>
    <x v="1113"/>
    <d v="2024-06-26T00:00:00"/>
    <x v="0"/>
    <x v="2"/>
    <n v="4621"/>
    <x v="3"/>
    <x v="0"/>
    <n v="5401.2089999999998"/>
    <n v="5.04"/>
    <n v="65.39"/>
    <n v="4621"/>
    <x v="17"/>
    <s v="Sewing Thread"/>
    <n v="6642276"/>
    <x v="0"/>
    <n v="1195609.68"/>
    <x v="0"/>
    <m/>
    <m/>
    <x v="0"/>
    <x v="0"/>
    <x v="0"/>
    <x v="0"/>
    <x v="0"/>
    <x v="0"/>
    <m/>
    <x v="0"/>
    <x v="1"/>
    <x v="0"/>
    <x v="0"/>
    <x v="0"/>
    <x v="3"/>
    <n v="1437.4109500108202"/>
    <n v="258.73397100194762"/>
    <n v="16918.614363817356"/>
    <d v="2024-07-30T00:00:00"/>
    <x v="0"/>
  </r>
  <r>
    <x v="244"/>
    <d v="2024-06-29T00:00:00"/>
    <x v="1114"/>
    <d v="2024-06-25T00:00:00"/>
    <x v="0"/>
    <x v="0"/>
    <n v="181.99"/>
    <x v="3"/>
    <x v="0"/>
    <n v="5401.1"/>
    <n v="12.26"/>
    <n v="0"/>
    <n v="0"/>
    <x v="17"/>
    <s v="Sewing Thread"/>
    <n v="635761"/>
    <x v="0"/>
    <n v="114436.98"/>
    <x v="0"/>
    <m/>
    <m/>
    <x v="0"/>
    <x v="0"/>
    <x v="0"/>
    <x v="0"/>
    <x v="0"/>
    <x v="0"/>
    <m/>
    <x v="0"/>
    <x v="1"/>
    <x v="0"/>
    <x v="0"/>
    <x v="0"/>
    <x v="3"/>
    <n v="3493.3842518819715"/>
    <n v="628.80916533875484"/>
    <n v="0"/>
    <d v="2024-07-29T00:00:00"/>
    <x v="0"/>
  </r>
  <r>
    <x v="245"/>
    <d v="2024-06-29T00:00:00"/>
    <x v="1115"/>
    <d v="2024-06-25T00:00:00"/>
    <x v="0"/>
    <x v="0"/>
    <n v="1597.26"/>
    <x v="3"/>
    <x v="0"/>
    <n v="5508.1"/>
    <n v="7.05"/>
    <n v="0"/>
    <n v="0"/>
    <x v="17"/>
    <s v="Sewing Thread"/>
    <n v="3210118"/>
    <x v="0"/>
    <n v="577821.24"/>
    <x v="0"/>
    <m/>
    <m/>
    <x v="0"/>
    <x v="0"/>
    <x v="0"/>
    <x v="0"/>
    <x v="0"/>
    <x v="0"/>
    <m/>
    <x v="0"/>
    <x v="1"/>
    <x v="0"/>
    <x v="0"/>
    <x v="0"/>
    <x v="3"/>
    <n v="2009.7654733731515"/>
    <n v="361.75778520716727"/>
    <n v="0"/>
    <d v="2024-07-29T00:00:00"/>
    <x v="0"/>
  </r>
  <r>
    <x v="246"/>
    <d v="2024-06-30T00:00:00"/>
    <x v="1116"/>
    <d v="2024-06-28T00:00:00"/>
    <x v="1"/>
    <x v="0"/>
    <n v="698.33"/>
    <x v="3"/>
    <x v="0"/>
    <n v="3919.9090000000001"/>
    <n v="2.11"/>
    <n v="0"/>
    <n v="0"/>
    <x v="9"/>
    <s v="PACKING/ CARTON TAPE"/>
    <n v="418998"/>
    <x v="0"/>
    <n v="75419.64"/>
    <x v="0"/>
    <m/>
    <m/>
    <x v="0"/>
    <x v="0"/>
    <x v="0"/>
    <x v="0"/>
    <x v="0"/>
    <x v="0"/>
    <m/>
    <x v="0"/>
    <x v="1"/>
    <x v="0"/>
    <x v="0"/>
    <x v="0"/>
    <x v="6"/>
    <n v="600"/>
    <n v="107.99999999999999"/>
    <n v="0"/>
    <d v="2024-07-05T00:00:00"/>
    <x v="0"/>
  </r>
  <r>
    <x v="247"/>
    <d v="2024-06-30T00:00:00"/>
    <x v="1117"/>
    <d v="2024-06-28T00:00:00"/>
    <x v="0"/>
    <x v="0"/>
    <n v="8606"/>
    <x v="3"/>
    <x v="0"/>
    <n v="5209.42"/>
    <n v="3.54"/>
    <n v="0"/>
    <n v="0"/>
    <x v="19"/>
    <s v="Denim Fabric 99% 1% "/>
    <n v="8688510"/>
    <x v="0"/>
    <n v="1563931.8"/>
    <x v="0"/>
    <m/>
    <m/>
    <x v="0"/>
    <x v="0"/>
    <x v="0"/>
    <x v="0"/>
    <x v="0"/>
    <x v="0"/>
    <m/>
    <x v="0"/>
    <x v="1"/>
    <x v="0"/>
    <x v="0"/>
    <x v="0"/>
    <x v="2"/>
    <n v="1009.5874970950499"/>
    <n v="181.72574947710899"/>
    <n v="0"/>
    <d v="2024-07-30T00:00:00"/>
    <x v="0"/>
  </r>
  <r>
    <x v="248"/>
    <d v="2024-06-30T00:00:00"/>
    <x v="1118"/>
    <d v="2024-06-28T00:00:00"/>
    <x v="0"/>
    <x v="0"/>
    <n v="5197"/>
    <x v="3"/>
    <x v="0"/>
    <n v="5209.42"/>
    <n v="3.46"/>
    <n v="0"/>
    <n v="0"/>
    <x v="19"/>
    <s v="Denim Fabric 99% 1% "/>
    <n v="5130000"/>
    <x v="0"/>
    <n v="923400"/>
    <x v="0"/>
    <m/>
    <m/>
    <x v="0"/>
    <x v="0"/>
    <x v="0"/>
    <x v="0"/>
    <x v="0"/>
    <x v="0"/>
    <m/>
    <x v="0"/>
    <x v="1"/>
    <x v="0"/>
    <x v="0"/>
    <x v="0"/>
    <x v="2"/>
    <n v="987.10794689243789"/>
    <n v="177.67943044063884"/>
    <n v="0"/>
    <d v="2024-07-30T00:00:00"/>
    <x v="0"/>
  </r>
  <r>
    <x v="249"/>
    <d v="2024-06-30T00:00:00"/>
    <x v="1119"/>
    <d v="2024-06-29T00:00:00"/>
    <x v="0"/>
    <x v="2"/>
    <n v="9071.94"/>
    <x v="3"/>
    <x v="0"/>
    <n v="5206.1400000000003"/>
    <n v="3.21"/>
    <n v="1523.64"/>
    <n v="9071.94"/>
    <x v="3"/>
    <s v="CVC60:40 - 40/1"/>
    <n v="8300000"/>
    <x v="0"/>
    <n v="1494000"/>
    <x v="0"/>
    <m/>
    <m/>
    <x v="0"/>
    <x v="0"/>
    <x v="0"/>
    <x v="0"/>
    <x v="0"/>
    <x v="0"/>
    <m/>
    <x v="0"/>
    <x v="1"/>
    <x v="0"/>
    <x v="0"/>
    <x v="0"/>
    <x v="3"/>
    <n v="914.90904922210677"/>
    <n v="164.68362885997922"/>
    <n v="250918.56427621876"/>
    <d v="2024-07-30T00:00:00"/>
    <x v="0"/>
  </r>
  <r>
    <x v="250"/>
    <d v="2024-06-28T00:00:00"/>
    <x v="1120"/>
    <d v="2024-06-26T00:00:00"/>
    <x v="0"/>
    <x v="2"/>
    <n v="5000"/>
    <x v="3"/>
    <x v="0"/>
    <n v="3402.42"/>
    <n v="1.84"/>
    <n v="0.96"/>
    <n v="500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90.374399999999994"/>
    <d v="2024-07-28T00:00:00"/>
    <x v="0"/>
  </r>
  <r>
    <x v="251"/>
    <d v="2024-06-28T00:00:00"/>
    <x v="1121"/>
    <d v="2024-06-26T00:00:00"/>
    <x v="0"/>
    <x v="2"/>
    <n v="5000"/>
    <x v="3"/>
    <x v="0"/>
    <n v="3402.42"/>
    <n v="1.84"/>
    <n v="3087.73"/>
    <n v="500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290678.90220000001"/>
    <d v="2024-07-28T00:00:00"/>
    <x v="0"/>
  </r>
  <r>
    <x v="252"/>
    <d v="2024-06-26T00:00:00"/>
    <x v="1122"/>
    <d v="2024-06-24T00:00:00"/>
    <x v="0"/>
    <x v="0"/>
    <n v="1080"/>
    <x v="3"/>
    <x v="0"/>
    <n v="3402.42"/>
    <n v="1.93"/>
    <n v="0"/>
    <n v="0"/>
    <x v="12"/>
    <s v="Kieralon AB-OL liq 0120"/>
    <n v="594000"/>
    <x v="0"/>
    <n v="10692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7-26T00:00:00"/>
    <x v="0"/>
  </r>
  <r>
    <x v="253"/>
    <d v="2024-06-27T00:00:00"/>
    <x v="1123"/>
    <d v="2024-06-25T00:00:00"/>
    <x v="0"/>
    <x v="1"/>
    <n v="90.72"/>
    <x v="3"/>
    <x v="0"/>
    <n v="5205.12"/>
    <n v="2.96"/>
    <n v="90.72"/>
    <n v="90.72"/>
    <x v="10"/>
    <s v="12/1 95% Cotton 05% Lycra Carded yarn"/>
    <n v="76601"/>
    <x v="0"/>
    <n v="13788.18"/>
    <x v="0"/>
    <m/>
    <m/>
    <x v="0"/>
    <x v="0"/>
    <x v="0"/>
    <x v="0"/>
    <x v="0"/>
    <x v="0"/>
    <m/>
    <x v="0"/>
    <x v="1"/>
    <x v="0"/>
    <x v="0"/>
    <x v="0"/>
    <x v="3"/>
    <n v="844.36728395061732"/>
    <n v="151.98611111111111"/>
    <n v="13788.18"/>
    <d v="2024-07-27T00:00:00"/>
    <x v="0"/>
  </r>
  <r>
    <x v="254"/>
    <d v="2024-06-27T00:00:00"/>
    <x v="1124"/>
    <d v="2024-06-25T00:00:00"/>
    <x v="0"/>
    <x v="1"/>
    <n v="7983.31"/>
    <x v="3"/>
    <x v="0"/>
    <n v="5205.12"/>
    <n v="3.09"/>
    <n v="7983.31"/>
    <n v="7983.31"/>
    <x v="10"/>
    <s v="16/1 95% Cotton 05% Lycra Carded yarn"/>
    <n v="7040002"/>
    <x v="0"/>
    <n v="1267200.3599999999"/>
    <x v="0"/>
    <m/>
    <m/>
    <x v="0"/>
    <x v="0"/>
    <x v="0"/>
    <x v="0"/>
    <x v="0"/>
    <x v="0"/>
    <m/>
    <x v="0"/>
    <x v="1"/>
    <x v="0"/>
    <x v="0"/>
    <x v="0"/>
    <x v="3"/>
    <n v="881.83998867637604"/>
    <n v="158.73119796174768"/>
    <n v="1267200.3599999999"/>
    <d v="2024-07-27T00:00:00"/>
    <x v="0"/>
  </r>
  <r>
    <x v="255"/>
    <d v="2024-06-30T00:00:00"/>
    <x v="1125"/>
    <d v="2024-06-29T00:00:00"/>
    <x v="0"/>
    <x v="2"/>
    <n v="32.799999999999997"/>
    <x v="3"/>
    <x v="0"/>
    <n v="3919.9090000000001"/>
    <n v="1.93"/>
    <n v="16.96"/>
    <n v="32.799999999999997"/>
    <x v="9"/>
    <s v="PACKING/ CARTON TAPE"/>
    <n v="18040"/>
    <x v="0"/>
    <n v="3247.2"/>
    <x v="0"/>
    <m/>
    <m/>
    <x v="0"/>
    <x v="0"/>
    <x v="0"/>
    <x v="0"/>
    <x v="0"/>
    <x v="0"/>
    <m/>
    <x v="0"/>
    <x v="1"/>
    <x v="0"/>
    <x v="0"/>
    <x v="0"/>
    <x v="6"/>
    <n v="550"/>
    <n v="99"/>
    <n v="1679.0400000000002"/>
    <d v="2024-07-30T00:00:00"/>
    <x v="0"/>
  </r>
  <r>
    <x v="836"/>
    <d v="2024-06-30T00:00:00"/>
    <x v="1126"/>
    <d v="2024-07-09T00:00:00"/>
    <x v="0"/>
    <x v="0"/>
    <n v="3346"/>
    <x v="3"/>
    <x v="0"/>
    <n v="5209.42"/>
    <n v="3.59"/>
    <n v="0"/>
    <n v="0"/>
    <x v="19"/>
    <s v="Denim Fabric 99% 1% "/>
    <n v="3421140"/>
    <x v="0"/>
    <n v="615805.19999999995"/>
    <x v="0"/>
    <m/>
    <m/>
    <x v="0"/>
    <x v="0"/>
    <x v="0"/>
    <x v="0"/>
    <x v="0"/>
    <x v="0"/>
    <m/>
    <x v="0"/>
    <x v="1"/>
    <x v="0"/>
    <x v="0"/>
    <x v="0"/>
    <x v="2"/>
    <n v="1022.4566646742379"/>
    <n v="184.0421996413628"/>
    <n v="0"/>
    <d v="2024-07-30T00:00:00"/>
    <x v="0"/>
  </r>
  <r>
    <x v="836"/>
    <d v="2024-06-30T00:00:00"/>
    <x v="1127"/>
    <d v="2024-07-09T00:00:00"/>
    <x v="0"/>
    <x v="0"/>
    <n v="169"/>
    <x v="3"/>
    <x v="0"/>
    <n v="5209.42"/>
    <n v="3.55"/>
    <n v="0"/>
    <n v="0"/>
    <x v="19"/>
    <s v="Denim Fabric 99% 1% "/>
    <n v="171000"/>
    <x v="0"/>
    <n v="30780"/>
    <x v="0"/>
    <m/>
    <m/>
    <x v="0"/>
    <x v="0"/>
    <x v="0"/>
    <x v="0"/>
    <x v="0"/>
    <x v="0"/>
    <m/>
    <x v="0"/>
    <x v="1"/>
    <x v="0"/>
    <x v="0"/>
    <x v="0"/>
    <x v="2"/>
    <n v="1011.8343195266273"/>
    <n v="182.1301775147929"/>
    <n v="0"/>
    <d v="2024-07-30T00:00:00"/>
    <x v="0"/>
  </r>
  <r>
    <x v="836"/>
    <d v="2024-06-30T00:00:00"/>
    <x v="1128"/>
    <d v="2024-07-08T00:00:00"/>
    <x v="0"/>
    <x v="1"/>
    <n v="3447.34"/>
    <x v="3"/>
    <x v="0"/>
    <n v="5205.12"/>
    <n v="3.09"/>
    <n v="3447.34"/>
    <n v="3447.34"/>
    <x v="10"/>
    <s v="16/1 95% Cotton 05% Lycra Carded yarn"/>
    <n v="3040002"/>
    <x v="0"/>
    <n v="547200.36"/>
    <x v="0"/>
    <m/>
    <m/>
    <x v="0"/>
    <x v="0"/>
    <x v="0"/>
    <x v="0"/>
    <x v="0"/>
    <x v="0"/>
    <m/>
    <x v="0"/>
    <x v="1"/>
    <x v="0"/>
    <x v="0"/>
    <x v="0"/>
    <x v="3"/>
    <n v="881.83991135194083"/>
    <n v="158.73118404334934"/>
    <n v="547200.36"/>
    <d v="2024-07-30T00:00:00"/>
    <x v="0"/>
  </r>
  <r>
    <x v="836"/>
    <d v="2024-06-30T00:00:00"/>
    <x v="1129"/>
    <d v="2024-07-03T00:00:00"/>
    <x v="0"/>
    <x v="0"/>
    <n v="7530"/>
    <x v="3"/>
    <x v="0"/>
    <n v="5205.2299999999996"/>
    <n v="3.29"/>
    <n v="0"/>
    <n v="0"/>
    <x v="10"/>
    <s v="Yarn30/1 Carded Compact CF"/>
    <n v="7050000"/>
    <x v="0"/>
    <n v="1269000"/>
    <x v="0"/>
    <m/>
    <m/>
    <x v="0"/>
    <x v="0"/>
    <x v="0"/>
    <x v="0"/>
    <x v="0"/>
    <x v="0"/>
    <m/>
    <x v="0"/>
    <x v="1"/>
    <x v="0"/>
    <x v="0"/>
    <x v="0"/>
    <x v="3"/>
    <n v="936.25498007968133"/>
    <n v="168.52589641434264"/>
    <n v="0"/>
    <d v="2024-07-30T00:00:00"/>
    <x v="0"/>
  </r>
  <r>
    <x v="836"/>
    <d v="2024-06-30T00:00:00"/>
    <x v="1130"/>
    <d v="2024-07-08T00:00:00"/>
    <x v="0"/>
    <x v="0"/>
    <n v="20103"/>
    <x v="3"/>
    <x v="0"/>
    <n v="5208.1899999999996"/>
    <n v="4.38"/>
    <n v="0"/>
    <n v="0"/>
    <x v="14"/>
    <s v="40/40 Coton fabric"/>
    <n v="25110000"/>
    <x v="0"/>
    <n v="4519800"/>
    <x v="0"/>
    <m/>
    <m/>
    <x v="0"/>
    <x v="0"/>
    <x v="0"/>
    <x v="0"/>
    <x v="0"/>
    <x v="0"/>
    <m/>
    <x v="0"/>
    <x v="1"/>
    <x v="0"/>
    <x v="0"/>
    <x v="0"/>
    <x v="2"/>
    <n v="1249.0673033875541"/>
    <n v="224.83211460975974"/>
    <n v="0"/>
    <d v="2024-07-30T00:00:00"/>
    <x v="0"/>
  </r>
  <r>
    <x v="836"/>
    <d v="2024-06-30T00:00:00"/>
    <x v="1131"/>
    <d v="2024-07-08T00:00:00"/>
    <x v="0"/>
    <x v="1"/>
    <n v="3686"/>
    <x v="3"/>
    <x v="0"/>
    <n v="5208.1899999999996"/>
    <n v="4.3499999999999996"/>
    <n v="3686"/>
    <n v="3686"/>
    <x v="14"/>
    <s v="40/40 Coton fabric"/>
    <n v="4570000"/>
    <x v="0"/>
    <n v="822600"/>
    <x v="0"/>
    <m/>
    <m/>
    <x v="0"/>
    <x v="0"/>
    <x v="0"/>
    <x v="0"/>
    <x v="0"/>
    <x v="0"/>
    <m/>
    <x v="0"/>
    <x v="1"/>
    <x v="0"/>
    <x v="0"/>
    <x v="0"/>
    <x v="2"/>
    <n v="1239.8263700488335"/>
    <n v="223.16874660879003"/>
    <n v="822600"/>
    <d v="2024-07-30T00:00:00"/>
    <x v="0"/>
  </r>
  <r>
    <x v="836"/>
    <d v="2024-06-30T00:00:00"/>
    <x v="1132"/>
    <d v="2024-07-08T00:00:00"/>
    <x v="0"/>
    <x v="1"/>
    <n v="6106"/>
    <x v="3"/>
    <x v="0"/>
    <n v="5208.1899999999996"/>
    <n v="4.3600000000000003"/>
    <n v="6106"/>
    <n v="6106"/>
    <x v="14"/>
    <s v="40/40 Coton fabric"/>
    <n v="7580988"/>
    <x v="0"/>
    <n v="1364577.8399999999"/>
    <x v="0"/>
    <m/>
    <m/>
    <x v="0"/>
    <x v="0"/>
    <x v="0"/>
    <x v="0"/>
    <x v="0"/>
    <x v="0"/>
    <m/>
    <x v="0"/>
    <x v="1"/>
    <x v="0"/>
    <x v="0"/>
    <x v="0"/>
    <x v="2"/>
    <n v="1241.5637078283655"/>
    <n v="223.48146740910576"/>
    <n v="1364577.8399999999"/>
    <d v="2024-07-30T00:00:00"/>
    <x v="0"/>
  </r>
  <r>
    <x v="836"/>
    <d v="2024-06-30T00:00:00"/>
    <x v="1133"/>
    <d v="2024-07-08T00:00:00"/>
    <x v="0"/>
    <x v="1"/>
    <n v="22129"/>
    <x v="3"/>
    <x v="0"/>
    <n v="5208.1899999999996"/>
    <n v="4.3499999999999996"/>
    <n v="22129"/>
    <n v="22129"/>
    <x v="14"/>
    <s v="40/40 Coton fabric"/>
    <n v="27420000"/>
    <x v="0"/>
    <n v="4935600"/>
    <x v="0"/>
    <m/>
    <m/>
    <x v="0"/>
    <x v="0"/>
    <x v="0"/>
    <x v="0"/>
    <x v="0"/>
    <x v="0"/>
    <m/>
    <x v="0"/>
    <x v="1"/>
    <x v="0"/>
    <x v="0"/>
    <x v="0"/>
    <x v="2"/>
    <n v="1239.0980161778662"/>
    <n v="223.03764291201591"/>
    <n v="4935600"/>
    <d v="2024-07-30T00:00:00"/>
    <x v="0"/>
  </r>
  <r>
    <x v="836"/>
    <d v="2024-06-30T00:00:00"/>
    <x v="1134"/>
    <d v="2024-07-08T00:00:00"/>
    <x v="0"/>
    <x v="1"/>
    <n v="11163"/>
    <x v="3"/>
    <x v="0"/>
    <n v="5208.1899999999996"/>
    <n v="4.3499999999999996"/>
    <n v="11163"/>
    <n v="11163"/>
    <x v="14"/>
    <s v="40/40 Coton fabric"/>
    <n v="13851670"/>
    <x v="0"/>
    <n v="2493300.6"/>
    <x v="0"/>
    <m/>
    <m/>
    <x v="0"/>
    <x v="0"/>
    <x v="0"/>
    <x v="0"/>
    <x v="0"/>
    <x v="0"/>
    <m/>
    <x v="0"/>
    <x v="1"/>
    <x v="0"/>
    <x v="0"/>
    <x v="0"/>
    <x v="2"/>
    <n v="1240.8555047926184"/>
    <n v="223.35399086267134"/>
    <n v="2493300.6"/>
    <d v="2024-07-30T00:00:00"/>
    <x v="0"/>
  </r>
  <r>
    <x v="836"/>
    <d v="2024-06-30T00:00:00"/>
    <x v="1135"/>
    <d v="2024-07-11T00:00:00"/>
    <x v="0"/>
    <x v="0"/>
    <n v="996.35199999999998"/>
    <x v="3"/>
    <x v="0"/>
    <n v="5508.1"/>
    <n v="11.31"/>
    <n v="0"/>
    <n v="0"/>
    <x v="17"/>
    <s v="Sewing Thread"/>
    <n v="3211235"/>
    <x v="0"/>
    <n v="578022.29999999993"/>
    <x v="0"/>
    <m/>
    <m/>
    <x v="0"/>
    <x v="0"/>
    <x v="0"/>
    <x v="0"/>
    <x v="0"/>
    <x v="0"/>
    <m/>
    <x v="0"/>
    <x v="1"/>
    <x v="0"/>
    <x v="0"/>
    <x v="0"/>
    <x v="3"/>
    <n v="3222.9924765544706"/>
    <n v="580.13864577980462"/>
    <n v="0"/>
    <d v="2024-07-30T00:00:00"/>
    <x v="0"/>
  </r>
  <r>
    <x v="836"/>
    <d v="2024-06-30T00:00:00"/>
    <x v="1136"/>
    <d v="2024-07-11T00:00:00"/>
    <x v="0"/>
    <x v="0"/>
    <n v="135.91800000000001"/>
    <x v="3"/>
    <x v="0"/>
    <n v="5401.1"/>
    <n v="18.100000000000001"/>
    <n v="0"/>
    <n v="0"/>
    <x v="17"/>
    <s v="Sewing Thread"/>
    <n v="701043"/>
    <x v="0"/>
    <n v="126187.73999999999"/>
    <x v="0"/>
    <m/>
    <m/>
    <x v="0"/>
    <x v="0"/>
    <x v="0"/>
    <x v="0"/>
    <x v="0"/>
    <x v="0"/>
    <m/>
    <x v="0"/>
    <x v="1"/>
    <x v="0"/>
    <x v="0"/>
    <x v="0"/>
    <x v="3"/>
    <n v="5157.8378139760734"/>
    <n v="928.41080651569314"/>
    <n v="0"/>
    <d v="2024-07-30T00:00:00"/>
    <x v="0"/>
  </r>
  <r>
    <x v="836"/>
    <d v="2024-06-30T00:00:00"/>
    <x v="1137"/>
    <d v="2024-07-11T00:00:00"/>
    <x v="0"/>
    <x v="2"/>
    <n v="129.54900000000001"/>
    <x v="3"/>
    <x v="0"/>
    <n v="5401.1"/>
    <n v="8.51"/>
    <n v="47.629000000000005"/>
    <n v="129.54900000000001"/>
    <x v="17"/>
    <s v="Sewing Thread"/>
    <n v="314366"/>
    <x v="0"/>
    <n v="56585.88"/>
    <x v="0"/>
    <m/>
    <m/>
    <x v="0"/>
    <x v="0"/>
    <x v="0"/>
    <x v="0"/>
    <x v="0"/>
    <x v="0"/>
    <m/>
    <x v="0"/>
    <x v="1"/>
    <x v="0"/>
    <x v="0"/>
    <x v="0"/>
    <x v="3"/>
    <n v="2426.6184995638714"/>
    <n v="436.79132992149687"/>
    <n v="20803.934252830975"/>
    <d v="2024-07-30T00:00:00"/>
    <x v="0"/>
  </r>
  <r>
    <x v="836"/>
    <d v="2024-06-30T00:00:00"/>
    <x v="1138"/>
    <d v="2024-07-10T00:00:00"/>
    <x v="0"/>
    <x v="1"/>
    <n v="3628.78"/>
    <x v="3"/>
    <x v="0"/>
    <n v="5206.24"/>
    <n v="4.5999999999999996"/>
    <n v="3628.78"/>
    <n v="3628.78"/>
    <x v="3"/>
    <s v="CVC 60:40 YARN"/>
    <n v="4760000"/>
    <x v="0"/>
    <n v="856800"/>
    <x v="0"/>
    <m/>
    <m/>
    <x v="0"/>
    <x v="0"/>
    <x v="0"/>
    <x v="0"/>
    <x v="0"/>
    <x v="0"/>
    <m/>
    <x v="0"/>
    <x v="1"/>
    <x v="0"/>
    <x v="0"/>
    <x v="0"/>
    <x v="3"/>
    <n v="1311.7356246451975"/>
    <n v="236.11241243613554"/>
    <n v="856800"/>
    <d v="2024-07-30T00:00:00"/>
    <x v="0"/>
  </r>
  <r>
    <x v="836"/>
    <d v="2024-06-30T00:00:00"/>
    <x v="1139"/>
    <d v="2024-07-10T00:00:00"/>
    <x v="0"/>
    <x v="1"/>
    <n v="2220.73"/>
    <x v="3"/>
    <x v="0"/>
    <n v="5206.24"/>
    <n v="5.3"/>
    <n v="2220.73"/>
    <n v="2220.73"/>
    <x v="3"/>
    <s v="CVC 60:40 YARN"/>
    <n v="3353644"/>
    <x v="0"/>
    <n v="603655.91999999993"/>
    <x v="0"/>
    <m/>
    <m/>
    <x v="0"/>
    <x v="0"/>
    <x v="0"/>
    <x v="0"/>
    <x v="0"/>
    <x v="0"/>
    <m/>
    <x v="0"/>
    <x v="1"/>
    <x v="0"/>
    <x v="0"/>
    <x v="0"/>
    <x v="3"/>
    <n v="1510.1538683225785"/>
    <n v="271.8276962980641"/>
    <n v="603655.91999999993"/>
    <d v="2024-07-30T00:00:00"/>
    <x v="0"/>
  </r>
  <r>
    <x v="836"/>
    <d v="2024-06-30T00:00:00"/>
    <x v="1140"/>
    <d v="2024-07-11T00:00:00"/>
    <x v="0"/>
    <x v="0"/>
    <n v="18779"/>
    <x v="3"/>
    <x v="0"/>
    <n v="5209.42"/>
    <n v="3.39"/>
    <n v="0"/>
    <n v="0"/>
    <x v="19"/>
    <s v="Denim Fabric 99% 1% "/>
    <n v="18148396"/>
    <x v="0"/>
    <n v="3266711.28"/>
    <x v="0"/>
    <m/>
    <m/>
    <x v="0"/>
    <x v="0"/>
    <x v="0"/>
    <x v="0"/>
    <x v="0"/>
    <x v="0"/>
    <m/>
    <x v="0"/>
    <x v="1"/>
    <x v="0"/>
    <x v="0"/>
    <x v="0"/>
    <x v="2"/>
    <n v="966.41972415996588"/>
    <n v="173.95555034879385"/>
    <n v="0"/>
    <d v="2024-07-30T00:00:00"/>
    <x v="0"/>
  </r>
  <r>
    <x v="836"/>
    <d v="2024-06-30T00:00:00"/>
    <x v="1141"/>
    <d v="2024-07-11T00:00:00"/>
    <x v="0"/>
    <x v="0"/>
    <n v="11028"/>
    <x v="3"/>
    <x v="0"/>
    <n v="5209.42"/>
    <n v="3.41"/>
    <n v="0"/>
    <n v="0"/>
    <x v="19"/>
    <s v="Denim Fabric 99% 1% "/>
    <n v="10722460"/>
    <x v="0"/>
    <n v="1930042.7999999998"/>
    <x v="0"/>
    <m/>
    <m/>
    <x v="0"/>
    <x v="0"/>
    <x v="0"/>
    <x v="0"/>
    <x v="0"/>
    <x v="0"/>
    <m/>
    <x v="0"/>
    <x v="1"/>
    <x v="0"/>
    <x v="0"/>
    <x v="0"/>
    <x v="2"/>
    <n v="972.29416031918754"/>
    <n v="175.01294885745375"/>
    <n v="0"/>
    <d v="2024-07-30T00:00:00"/>
    <x v="0"/>
  </r>
  <r>
    <x v="836"/>
    <d v="2024-06-30T00:00:00"/>
    <x v="1142"/>
    <d v="2024-07-11T00:00:00"/>
    <x v="0"/>
    <x v="1"/>
    <n v="2086.5463"/>
    <x v="3"/>
    <x v="0"/>
    <n v="5205.28"/>
    <n v="6.96"/>
    <n v="2086.5463"/>
    <n v="2086.5463"/>
    <x v="10"/>
    <s v="80/1 Cotton Combed "/>
    <n v="4140000"/>
    <x v="0"/>
    <n v="745200"/>
    <x v="0"/>
    <m/>
    <m/>
    <x v="0"/>
    <x v="0"/>
    <x v="0"/>
    <x v="0"/>
    <x v="0"/>
    <x v="0"/>
    <m/>
    <x v="0"/>
    <x v="1"/>
    <x v="0"/>
    <x v="0"/>
    <x v="0"/>
    <x v="3"/>
    <n v="1984.1400116546658"/>
    <n v="357.14520209783984"/>
    <n v="745200"/>
    <d v="2024-07-30T00:00:00"/>
    <x v="0"/>
  </r>
  <r>
    <x v="836"/>
    <d v="2024-06-30T00:00:00"/>
    <x v="1143"/>
    <d v="2024-07-09T00:00:00"/>
    <x v="0"/>
    <x v="1"/>
    <n v="15067.1324"/>
    <x v="3"/>
    <x v="0"/>
    <n v="5206.12"/>
    <n v="2.09"/>
    <n v="15067.1324"/>
    <n v="15067.1324"/>
    <x v="3"/>
    <s v="PC65:35"/>
    <n v="8968590"/>
    <x v="0"/>
    <n v="1614346.2"/>
    <x v="0"/>
    <m/>
    <m/>
    <x v="0"/>
    <x v="0"/>
    <x v="0"/>
    <x v="0"/>
    <x v="0"/>
    <x v="0"/>
    <m/>
    <x v="0"/>
    <x v="1"/>
    <x v="0"/>
    <x v="0"/>
    <x v="0"/>
    <x v="3"/>
    <n v="595.241998404421"/>
    <n v="107.14355971279578"/>
    <n v="1614346.2"/>
    <d v="2024-07-30T00:00:00"/>
    <x v="0"/>
  </r>
  <r>
    <x v="836"/>
    <d v="2024-06-30T00:00:00"/>
    <x v="1144"/>
    <d v="2024-07-15T00:00:00"/>
    <x v="0"/>
    <x v="2"/>
    <n v="6441.0780000000004"/>
    <x v="3"/>
    <x v="0"/>
    <n v="5205.2299999999996"/>
    <n v="3.4"/>
    <n v="1891.038"/>
    <n v="6441.0780000000004"/>
    <x v="10"/>
    <s v="30/1 Cotton Yarn Combed"/>
    <n v="6248000"/>
    <x v="0"/>
    <n v="1124640"/>
    <x v="0"/>
    <m/>
    <m/>
    <x v="0"/>
    <x v="0"/>
    <x v="0"/>
    <x v="0"/>
    <x v="0"/>
    <x v="0"/>
    <m/>
    <x v="0"/>
    <x v="1"/>
    <x v="0"/>
    <x v="0"/>
    <x v="0"/>
    <x v="3"/>
    <n v="970.02396182750772"/>
    <n v="174.60431312895139"/>
    <n v="330183.39109074598"/>
    <d v="2024-07-30T00:00:00"/>
    <x v="0"/>
  </r>
  <r>
    <x v="836"/>
    <d v="2024-06-30T00:00:00"/>
    <x v="1145"/>
    <d v="2024-07-15T00:00:00"/>
    <x v="0"/>
    <x v="1"/>
    <n v="3265.8989999999999"/>
    <x v="3"/>
    <x v="0"/>
    <n v="5205.12"/>
    <n v="3.02"/>
    <n v="3265.8989999999999"/>
    <n v="3265.8989999999999"/>
    <x v="10"/>
    <s v="24/1 Cotton Yarn Carded"/>
    <n v="2808000"/>
    <x v="0"/>
    <n v="505440"/>
    <x v="0"/>
    <m/>
    <m/>
    <x v="0"/>
    <x v="0"/>
    <x v="0"/>
    <x v="0"/>
    <x v="0"/>
    <x v="0"/>
    <m/>
    <x v="0"/>
    <x v="1"/>
    <x v="0"/>
    <x v="0"/>
    <x v="0"/>
    <x v="3"/>
    <n v="859.79388829844402"/>
    <n v="154.76289989371992"/>
    <n v="505439.99999999994"/>
    <d v="2024-07-30T00:00:00"/>
    <x v="0"/>
  </r>
  <r>
    <x v="836"/>
    <d v="2024-06-30T00:00:00"/>
    <x v="1146"/>
    <d v="2024-07-15T00:00:00"/>
    <x v="0"/>
    <x v="2"/>
    <n v="15694.46"/>
    <x v="3"/>
    <x v="0"/>
    <n v="5206.1400000000003"/>
    <n v="3.21"/>
    <n v="2109.4800000000005"/>
    <n v="15694.46"/>
    <x v="3"/>
    <s v="CVC60:40"/>
    <n v="14359000"/>
    <x v="0"/>
    <n v="2584620"/>
    <x v="0"/>
    <m/>
    <m/>
    <x v="0"/>
    <x v="0"/>
    <x v="0"/>
    <x v="0"/>
    <x v="0"/>
    <x v="0"/>
    <m/>
    <x v="0"/>
    <x v="1"/>
    <x v="0"/>
    <x v="0"/>
    <x v="0"/>
    <x v="3"/>
    <n v="914.90882770098494"/>
    <n v="164.68358898617728"/>
    <n v="347396.73729456135"/>
    <d v="2024-07-30T00:00:00"/>
    <x v="0"/>
  </r>
  <r>
    <x v="836"/>
    <d v="2024-06-30T00:00:00"/>
    <x v="1147"/>
    <d v="2024-07-12T00:00:00"/>
    <x v="0"/>
    <x v="1"/>
    <n v="2313.3447999999999"/>
    <x v="3"/>
    <x v="0"/>
    <n v="5205.12"/>
    <n v="2.86"/>
    <n v="2313.3447999999999"/>
    <n v="2313.3447999999999"/>
    <x v="10"/>
    <s v="24/1 Cotton Yarn Carded"/>
    <n v="1887000"/>
    <x v="0"/>
    <n v="339660"/>
    <x v="0"/>
    <m/>
    <m/>
    <x v="0"/>
    <x v="0"/>
    <x v="0"/>
    <x v="0"/>
    <x v="0"/>
    <x v="0"/>
    <m/>
    <x v="0"/>
    <x v="1"/>
    <x v="0"/>
    <x v="0"/>
    <x v="0"/>
    <x v="3"/>
    <n v="815.70200862404954"/>
    <n v="146.8263615523289"/>
    <n v="339660"/>
    <d v="2024-07-30T00:00:00"/>
    <x v="0"/>
  </r>
  <r>
    <x v="836"/>
    <d v="2024-06-30T00:00:00"/>
    <x v="1148"/>
    <d v="2024-07-12T00:00:00"/>
    <x v="0"/>
    <x v="0"/>
    <n v="2.59"/>
    <x v="3"/>
    <x v="0"/>
    <n v="5401.1"/>
    <n v="12.43"/>
    <n v="0"/>
    <n v="0"/>
    <x v="17"/>
    <s v="Sewing Thread"/>
    <n v="9174"/>
    <x v="0"/>
    <n v="1651.32"/>
    <x v="0"/>
    <m/>
    <m/>
    <x v="0"/>
    <x v="0"/>
    <x v="0"/>
    <x v="0"/>
    <x v="0"/>
    <x v="0"/>
    <m/>
    <x v="0"/>
    <x v="1"/>
    <x v="0"/>
    <x v="0"/>
    <x v="0"/>
    <x v="3"/>
    <n v="3542.0849420849422"/>
    <n v="637.57528957528962"/>
    <n v="0"/>
    <d v="2024-07-30T00:00:00"/>
    <x v="0"/>
  </r>
  <r>
    <x v="836"/>
    <d v="2024-06-30T00:00:00"/>
    <x v="1149"/>
    <d v="2024-07-12T00:00:00"/>
    <x v="0"/>
    <x v="2"/>
    <n v="923.36"/>
    <x v="3"/>
    <x v="0"/>
    <n v="5508.1"/>
    <n v="7.42"/>
    <n v="52.879999999999981"/>
    <n v="923.36"/>
    <x v="17"/>
    <s v="Sewing Thread"/>
    <n v="1953276"/>
    <x v="0"/>
    <n v="351589.68"/>
    <x v="0"/>
    <m/>
    <m/>
    <x v="0"/>
    <x v="0"/>
    <x v="0"/>
    <x v="0"/>
    <x v="0"/>
    <x v="0"/>
    <m/>
    <x v="0"/>
    <x v="1"/>
    <x v="0"/>
    <x v="0"/>
    <x v="0"/>
    <x v="3"/>
    <n v="2115.4002772483104"/>
    <n v="380.7720499046959"/>
    <n v="20135.225998960312"/>
    <d v="2024-07-30T00:00:00"/>
    <x v="0"/>
  </r>
  <r>
    <x v="836"/>
    <d v="2024-06-30T00:00:00"/>
    <x v="1150"/>
    <d v="2024-07-15T00:00:00"/>
    <x v="0"/>
    <x v="0"/>
    <n v="188.18"/>
    <x v="3"/>
    <x v="0"/>
    <n v="5509.53"/>
    <n v="4.49"/>
    <n v="0"/>
    <n v="0"/>
    <x v="3"/>
    <s v="36/1 Carded Viscose 1.2D 100% Unwaxed Weaving MVS"/>
    <n v="240625"/>
    <x v="0"/>
    <n v="43312.5"/>
    <x v="0"/>
    <m/>
    <m/>
    <x v="0"/>
    <x v="0"/>
    <x v="0"/>
    <x v="0"/>
    <x v="0"/>
    <x v="0"/>
    <m/>
    <x v="0"/>
    <x v="1"/>
    <x v="0"/>
    <x v="0"/>
    <x v="0"/>
    <x v="3"/>
    <n v="1278.6959294292699"/>
    <n v="230.16526729726857"/>
    <n v="0"/>
    <d v="2024-07-30T00:00:00"/>
    <x v="0"/>
  </r>
  <r>
    <x v="836"/>
    <d v="2024-06-30T00:00:00"/>
    <x v="1151"/>
    <d v="2024-07-15T00:00:00"/>
    <x v="0"/>
    <x v="0"/>
    <n v="449"/>
    <x v="3"/>
    <x v="0"/>
    <n v="5209.42"/>
    <n v="3.96"/>
    <n v="0"/>
    <n v="0"/>
    <x v="19"/>
    <s v="Denim Fabric 99% 1% "/>
    <n v="506250"/>
    <x v="0"/>
    <n v="91125"/>
    <x v="0"/>
    <m/>
    <m/>
    <x v="0"/>
    <x v="0"/>
    <x v="0"/>
    <x v="0"/>
    <x v="0"/>
    <x v="0"/>
    <m/>
    <x v="0"/>
    <x v="1"/>
    <x v="0"/>
    <x v="0"/>
    <x v="0"/>
    <x v="2"/>
    <n v="1127.5055679287304"/>
    <n v="202.9510022271715"/>
    <n v="0"/>
    <d v="2024-07-30T00:00:00"/>
    <x v="0"/>
  </r>
  <r>
    <x v="836"/>
    <d v="2024-06-30T00:00:00"/>
    <x v="1152"/>
    <d v="2024-07-20T00:00:00"/>
    <x v="0"/>
    <x v="2"/>
    <n v="90.96"/>
    <x v="3"/>
    <x v="0"/>
    <n v="9606.2990000000009"/>
    <n v="28.97"/>
    <n v="10.72"/>
    <n v="90.96"/>
    <x v="9"/>
    <s v="Button / Rivert ( for Aldi )"/>
    <n v="751030"/>
    <x v="0"/>
    <n v="135185.4"/>
    <x v="0"/>
    <m/>
    <m/>
    <x v="0"/>
    <x v="0"/>
    <x v="0"/>
    <x v="0"/>
    <x v="0"/>
    <x v="0"/>
    <m/>
    <x v="0"/>
    <x v="1"/>
    <x v="0"/>
    <x v="0"/>
    <x v="0"/>
    <x v="6"/>
    <n v="8256.7062445030788"/>
    <n v="1486.207124010554"/>
    <n v="15932.140369393141"/>
    <d v="2024-07-30T00:00:00"/>
    <x v="0"/>
  </r>
  <r>
    <x v="836"/>
    <d v="2024-06-30T00:00:00"/>
    <x v="1153"/>
    <d v="2024-06-21T00:00:00"/>
    <x v="0"/>
    <x v="1"/>
    <n v="9072"/>
    <x v="3"/>
    <x v="0"/>
    <n v="5205.2700000000004"/>
    <n v="4.87"/>
    <n v="9072"/>
    <n v="9072"/>
    <x v="10"/>
    <s v="60 Cotton Yarn "/>
    <n v="12600000"/>
    <x v="0"/>
    <n v="2268000"/>
    <x v="0"/>
    <m/>
    <m/>
    <x v="0"/>
    <x v="0"/>
    <x v="0"/>
    <x v="0"/>
    <x v="0"/>
    <x v="0"/>
    <m/>
    <x v="0"/>
    <x v="1"/>
    <x v="0"/>
    <x v="0"/>
    <x v="0"/>
    <x v="3"/>
    <n v="1388.8888888888889"/>
    <n v="250"/>
    <n v="2268000"/>
    <d v="2024-07-30T00:00:00"/>
    <x v="0"/>
  </r>
  <r>
    <x v="836"/>
    <d v="2024-06-30T00:00:00"/>
    <x v="1154"/>
    <d v="2024-05-13T00:00:00"/>
    <x v="0"/>
    <x v="0"/>
    <n v="5615.06"/>
    <x v="3"/>
    <x v="0"/>
    <n v="5209.42"/>
    <n v="3.9"/>
    <n v="0"/>
    <n v="0"/>
    <x v="19"/>
    <s v="Denim Fabric 99% 1%"/>
    <n v="6247500"/>
    <x v="0"/>
    <n v="1124550"/>
    <x v="0"/>
    <m/>
    <m/>
    <x v="0"/>
    <x v="0"/>
    <x v="0"/>
    <x v="0"/>
    <x v="0"/>
    <x v="0"/>
    <m/>
    <x v="0"/>
    <x v="1"/>
    <x v="0"/>
    <x v="0"/>
    <x v="0"/>
    <x v="2"/>
    <n v="1112.6328124721729"/>
    <n v="200.27390624499114"/>
    <n v="0"/>
    <d v="2024-07-30T00:00:00"/>
    <x v="0"/>
  </r>
  <r>
    <x v="836"/>
    <d v="2024-06-30T00:00:00"/>
    <x v="1155"/>
    <d v="2024-05-13T00:00:00"/>
    <x v="0"/>
    <x v="0"/>
    <n v="15721.94"/>
    <x v="3"/>
    <x v="0"/>
    <n v="5209.42"/>
    <n v="3.91"/>
    <n v="0"/>
    <n v="0"/>
    <x v="19"/>
    <s v="Denim Fabric 99% 1%"/>
    <n v="17498125"/>
    <x v="0"/>
    <n v="3149662.5"/>
    <x v="0"/>
    <m/>
    <m/>
    <x v="0"/>
    <x v="0"/>
    <x v="0"/>
    <x v="0"/>
    <x v="0"/>
    <x v="0"/>
    <m/>
    <x v="0"/>
    <x v="1"/>
    <x v="0"/>
    <x v="0"/>
    <x v="0"/>
    <x v="2"/>
    <n v="1112.974925486295"/>
    <n v="200.3354865875331"/>
    <n v="0"/>
    <d v="2024-07-30T00:00:00"/>
    <x v="0"/>
  </r>
  <r>
    <x v="836"/>
    <d v="2024-06-30T00:00:00"/>
    <x v="1156"/>
    <d v="2024-05-13T00:00:00"/>
    <x v="0"/>
    <x v="0"/>
    <n v="15802"/>
    <x v="3"/>
    <x v="0"/>
    <n v="5209.42"/>
    <n v="3.96"/>
    <n v="0"/>
    <n v="0"/>
    <x v="19"/>
    <s v="Denim Fabric 99% 1%"/>
    <n v="17825000"/>
    <x v="0"/>
    <n v="3208500"/>
    <x v="0"/>
    <m/>
    <m/>
    <x v="0"/>
    <x v="0"/>
    <x v="0"/>
    <x v="0"/>
    <x v="0"/>
    <x v="0"/>
    <m/>
    <x v="0"/>
    <x v="1"/>
    <x v="0"/>
    <x v="0"/>
    <x v="0"/>
    <x v="2"/>
    <n v="1128.0217693962788"/>
    <n v="203.0439184913302"/>
    <n v="0"/>
    <d v="2024-07-30T00:00:00"/>
    <x v="0"/>
  </r>
  <r>
    <x v="836"/>
    <d v="2024-06-30T00:00:00"/>
    <x v="1157"/>
    <d v="2024-05-23T00:00:00"/>
    <x v="0"/>
    <x v="0"/>
    <n v="20275"/>
    <x v="3"/>
    <x v="0"/>
    <n v="5209.42"/>
    <n v="3.97"/>
    <n v="0"/>
    <n v="0"/>
    <x v="19"/>
    <s v="Denim Fabric 99% 1%"/>
    <n v="22966251"/>
    <x v="0"/>
    <n v="4133925.1799999997"/>
    <x v="0"/>
    <m/>
    <m/>
    <x v="0"/>
    <x v="0"/>
    <x v="0"/>
    <x v="0"/>
    <x v="0"/>
    <x v="0"/>
    <m/>
    <x v="0"/>
    <x v="1"/>
    <x v="0"/>
    <x v="0"/>
    <x v="0"/>
    <x v="2"/>
    <n v="1132.7374106041923"/>
    <n v="203.89273390875462"/>
    <n v="0"/>
    <d v="2024-07-30T00:00:00"/>
    <x v="0"/>
  </r>
  <r>
    <x v="836"/>
    <d v="2024-06-30T00:00:00"/>
    <x v="1158"/>
    <d v="2024-05-23T00:00:00"/>
    <x v="0"/>
    <x v="0"/>
    <n v="977.21"/>
    <x v="3"/>
    <x v="0"/>
    <n v="5209.42"/>
    <n v="4.0599999999999996"/>
    <n v="0"/>
    <n v="0"/>
    <x v="19"/>
    <s v="Denim Fabric 99% 1%"/>
    <n v="1130625"/>
    <x v="0"/>
    <n v="203512.5"/>
    <x v="0"/>
    <m/>
    <m/>
    <x v="0"/>
    <x v="0"/>
    <x v="0"/>
    <x v="0"/>
    <x v="0"/>
    <x v="0"/>
    <m/>
    <x v="0"/>
    <x v="1"/>
    <x v="0"/>
    <x v="0"/>
    <x v="0"/>
    <x v="2"/>
    <n v="1156.9928674491664"/>
    <n v="208.25871614084997"/>
    <n v="0"/>
    <d v="2024-07-30T00:00:00"/>
    <x v="0"/>
  </r>
  <r>
    <x v="836"/>
    <d v="2024-06-30T00:00:00"/>
    <x v="1159"/>
    <d v="2024-05-23T00:00:00"/>
    <x v="0"/>
    <x v="2"/>
    <n v="19621.79"/>
    <x v="3"/>
    <x v="0"/>
    <n v="5209.42"/>
    <n v="4.0199999999999996"/>
    <n v="3723.2700000000004"/>
    <n v="19621.79"/>
    <x v="19"/>
    <s v="Denim Fabric 99% 1%"/>
    <n v="22496251"/>
    <x v="0"/>
    <n v="4049325.1799999997"/>
    <x v="0"/>
    <m/>
    <m/>
    <x v="0"/>
    <x v="0"/>
    <x v="0"/>
    <x v="0"/>
    <x v="0"/>
    <x v="0"/>
    <m/>
    <x v="0"/>
    <x v="1"/>
    <x v="0"/>
    <x v="0"/>
    <x v="0"/>
    <x v="2"/>
    <n v="1146.4933117722694"/>
    <n v="206.36879611900849"/>
    <n v="768366.74752602086"/>
    <d v="2024-07-30T00:00:00"/>
    <x v="0"/>
  </r>
  <r>
    <x v="836"/>
    <d v="2024-06-30T00:00:00"/>
    <x v="1160"/>
    <d v="2024-05-30T00:00:00"/>
    <x v="0"/>
    <x v="0"/>
    <n v="832"/>
    <x v="3"/>
    <x v="0"/>
    <n v="5209.42"/>
    <n v="3.99"/>
    <n v="0"/>
    <n v="0"/>
    <x v="19"/>
    <s v="Denim Fabric 99% 1%"/>
    <n v="946250"/>
    <x v="0"/>
    <n v="170325"/>
    <x v="0"/>
    <m/>
    <m/>
    <x v="0"/>
    <x v="0"/>
    <x v="0"/>
    <x v="0"/>
    <x v="0"/>
    <x v="0"/>
    <m/>
    <x v="0"/>
    <x v="1"/>
    <x v="0"/>
    <x v="0"/>
    <x v="0"/>
    <x v="2"/>
    <n v="1137.3197115384614"/>
    <n v="204.71754807692307"/>
    <n v="0"/>
    <d v="2024-07-30T00:00:00"/>
    <x v="0"/>
  </r>
  <r>
    <x v="836"/>
    <d v="2024-06-30T00:00:00"/>
    <x v="1161"/>
    <d v="2024-05-30T00:00:00"/>
    <x v="0"/>
    <x v="0"/>
    <n v="5282"/>
    <x v="3"/>
    <x v="0"/>
    <n v="5209.42"/>
    <n v="3.99"/>
    <n v="0"/>
    <n v="0"/>
    <x v="19"/>
    <s v="Denim Fabric 99% 1%"/>
    <n v="6002500"/>
    <x v="0"/>
    <n v="1080450"/>
    <x v="0"/>
    <m/>
    <m/>
    <x v="0"/>
    <x v="0"/>
    <x v="0"/>
    <x v="0"/>
    <x v="0"/>
    <x v="0"/>
    <m/>
    <x v="0"/>
    <x v="1"/>
    <x v="0"/>
    <x v="0"/>
    <x v="0"/>
    <x v="2"/>
    <n v="1136.4066641423703"/>
    <n v="204.55319954562665"/>
    <n v="0"/>
    <d v="2024-07-30T00:00:00"/>
    <x v="0"/>
  </r>
  <r>
    <x v="835"/>
    <d v="2024-07-11T00:00:00"/>
    <x v="1162"/>
    <d v="2024-07-09T00:00:00"/>
    <x v="0"/>
    <x v="1"/>
    <n v="5000"/>
    <x v="3"/>
    <x v="0"/>
    <n v="3402.42"/>
    <n v="1.84"/>
    <n v="5000"/>
    <n v="500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470700"/>
    <d v="2024-08-10T00:00:00"/>
    <x v="0"/>
  </r>
  <r>
    <x v="835"/>
    <d v="2024-07-15T00:00:00"/>
    <x v="1163"/>
    <d v="2024-07-13T00:00:00"/>
    <x v="0"/>
    <x v="1"/>
    <n v="4000"/>
    <x v="3"/>
    <x v="0"/>
    <n v="3402.42"/>
    <n v="1.84"/>
    <n v="4000"/>
    <n v="4000"/>
    <x v="12"/>
    <s v="KIERALON 2010 LIQ 0200"/>
    <n v="2092000"/>
    <x v="0"/>
    <n v="376560"/>
    <x v="0"/>
    <m/>
    <m/>
    <x v="0"/>
    <x v="0"/>
    <x v="0"/>
    <x v="0"/>
    <x v="0"/>
    <x v="0"/>
    <m/>
    <x v="0"/>
    <x v="1"/>
    <x v="0"/>
    <x v="0"/>
    <x v="0"/>
    <x v="5"/>
    <n v="523"/>
    <n v="94.14"/>
    <n v="376560"/>
    <d v="2024-08-14T00:00:00"/>
    <x v="0"/>
  </r>
  <r>
    <x v="835"/>
    <d v="2024-07-15T00:00:00"/>
    <x v="1164"/>
    <d v="2024-07-13T00:00:00"/>
    <x v="0"/>
    <x v="1"/>
    <n v="5000"/>
    <x v="3"/>
    <x v="0"/>
    <n v="3402.42"/>
    <n v="1.84"/>
    <n v="5000"/>
    <n v="500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470700"/>
    <d v="2024-08-14T00:00:00"/>
    <x v="0"/>
  </r>
  <r>
    <x v="835"/>
    <m/>
    <x v="869"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0"/>
    <d v="2024-03-13T00:00:00"/>
    <x v="1165"/>
    <d v="2024-03-13T00:00:00"/>
    <x v="0"/>
    <x v="0"/>
    <n v="25"/>
    <x v="3"/>
    <x v="0"/>
    <n v="3204.16"/>
    <n v="19.55"/>
    <n v="0"/>
    <n v="0"/>
    <x v="5"/>
    <s v="(Dyes Novacron)"/>
    <n v="139351"/>
    <x v="0"/>
    <n v="25083.18"/>
    <x v="0"/>
    <m/>
    <m/>
    <x v="0"/>
    <x v="0"/>
    <x v="0"/>
    <x v="2"/>
    <x v="0"/>
    <x v="0"/>
    <m/>
    <x v="0"/>
    <x v="1"/>
    <x v="0"/>
    <x v="0"/>
    <x v="0"/>
    <x v="4"/>
    <n v="5574.04"/>
    <n v="1003.3272000000001"/>
    <n v="0"/>
    <d v="2024-04-12T00:00:00"/>
    <x v="0"/>
  </r>
  <r>
    <x v="1"/>
    <d v="2024-03-31T00:00:00"/>
    <x v="1166"/>
    <d v="2024-03-26T00:00:00"/>
    <x v="0"/>
    <x v="0"/>
    <n v="25"/>
    <x v="3"/>
    <x v="0"/>
    <n v="3204.16"/>
    <n v="19.633299999999998"/>
    <n v="0"/>
    <n v="0"/>
    <x v="5"/>
    <s v="(Dyes Novacron)"/>
    <n v="139495"/>
    <x v="0"/>
    <n v="25109.1"/>
    <x v="0"/>
    <m/>
    <m/>
    <x v="0"/>
    <x v="0"/>
    <x v="0"/>
    <x v="2"/>
    <x v="0"/>
    <x v="0"/>
    <m/>
    <x v="0"/>
    <x v="1"/>
    <x v="0"/>
    <x v="0"/>
    <x v="0"/>
    <x v="4"/>
    <n v="5579.8"/>
    <n v="1004.3639999999999"/>
    <n v="0"/>
    <d v="2024-04-30T00:00:00"/>
    <x v="0"/>
  </r>
  <r>
    <x v="2"/>
    <d v="2024-05-31T00:00:00"/>
    <x v="1167"/>
    <d v="2024-05-27T00:00:00"/>
    <x v="0"/>
    <x v="0"/>
    <n v="150"/>
    <x v="3"/>
    <x v="0"/>
    <n v="3204.16"/>
    <n v="10.43"/>
    <n v="0"/>
    <n v="0"/>
    <x v="5"/>
    <s v="(Dyes Novacron)"/>
    <n v="1565"/>
    <x v="0"/>
    <n v="281.7"/>
    <x v="0"/>
    <m/>
    <m/>
    <x v="0"/>
    <x v="0"/>
    <x v="0"/>
    <x v="0"/>
    <x v="0"/>
    <x v="0"/>
    <m/>
    <x v="0"/>
    <x v="1"/>
    <x v="0"/>
    <x v="0"/>
    <x v="0"/>
    <x v="4"/>
    <n v="10.433333333333334"/>
    <n v="1.8779999999999999"/>
    <n v="0"/>
    <d v="2024-06-30T00:00:00"/>
    <x v="0"/>
  </r>
  <r>
    <x v="3"/>
    <d v="2024-06-15T00:00:00"/>
    <x v="1168"/>
    <d v="2024-06-14T00:00:00"/>
    <x v="0"/>
    <x v="0"/>
    <n v="50"/>
    <x v="3"/>
    <x v="0"/>
    <n v="3204.16"/>
    <n v="19.633299999999998"/>
    <n v="0"/>
    <n v="0"/>
    <x v="5"/>
    <s v="(Dyes Novacron)"/>
    <n v="982"/>
    <x v="0"/>
    <n v="176.76"/>
    <x v="0"/>
    <m/>
    <m/>
    <x v="0"/>
    <x v="0"/>
    <x v="0"/>
    <x v="0"/>
    <x v="0"/>
    <x v="0"/>
    <m/>
    <x v="0"/>
    <x v="1"/>
    <x v="0"/>
    <x v="0"/>
    <x v="0"/>
    <x v="4"/>
    <n v="19.64"/>
    <n v="3.5351999999999997"/>
    <n v="0"/>
    <d v="2024-07-15T00:00:00"/>
    <x v="0"/>
  </r>
  <r>
    <x v="4"/>
    <d v="2024-08-04T00:00:00"/>
    <x v="1169"/>
    <d v="2024-08-02T00:00:00"/>
    <x v="0"/>
    <x v="1"/>
    <n v="100"/>
    <x v="3"/>
    <x v="0"/>
    <n v="3204.16"/>
    <n v="10.43"/>
    <n v="0"/>
    <n v="0"/>
    <x v="5"/>
    <s v="Novacron BLUE CD"/>
    <n v="1043"/>
    <x v="0"/>
    <n v="187.73999999999998"/>
    <x v="0"/>
    <m/>
    <m/>
    <x v="0"/>
    <x v="0"/>
    <x v="0"/>
    <x v="0"/>
    <x v="0"/>
    <x v="0"/>
    <m/>
    <x v="0"/>
    <x v="1"/>
    <x v="0"/>
    <x v="0"/>
    <x v="0"/>
    <x v="4"/>
    <n v="10.43"/>
    <n v="1.8773999999999997"/>
    <n v="0"/>
    <d v="2024-09-03T00:00:00"/>
    <x v="0"/>
  </r>
  <r>
    <x v="5"/>
    <d v="2024-08-04T00:00:00"/>
    <x v="1170"/>
    <d v="2024-08-02T00:00:00"/>
    <x v="0"/>
    <x v="1"/>
    <n v="50"/>
    <x v="3"/>
    <x v="0"/>
    <n v="3204.16"/>
    <n v="10.43"/>
    <n v="0"/>
    <n v="0"/>
    <x v="5"/>
    <s v="Novacron BLUE CD"/>
    <n v="522"/>
    <x v="0"/>
    <n v="93.96"/>
    <x v="0"/>
    <m/>
    <m/>
    <x v="0"/>
    <x v="0"/>
    <x v="0"/>
    <x v="0"/>
    <x v="0"/>
    <x v="0"/>
    <m/>
    <x v="0"/>
    <x v="1"/>
    <x v="0"/>
    <x v="0"/>
    <x v="0"/>
    <x v="4"/>
    <n v="10.44"/>
    <n v="1.8792"/>
    <n v="0"/>
    <d v="2024-09-03T00:00:00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835"/>
    <m/>
    <x v="869"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7"/>
    <e v="#DIV/0!"/>
    <e v="#DIV/0!"/>
    <e v="#DIV/0!"/>
    <s v=""/>
    <x v="0"/>
  </r>
  <r>
    <x v="0"/>
    <d v="2023-07-25T00:00:00"/>
    <x v="1171"/>
    <d v="2023-07-21T00:00:00"/>
    <x v="0"/>
    <x v="0"/>
    <n v="31000"/>
    <x v="4"/>
    <x v="0"/>
    <n v="5201.009"/>
    <n v="1.66"/>
    <n v="0"/>
    <n v="0"/>
    <x v="0"/>
    <s v="Raw Cotton"/>
    <n v="14908638"/>
    <x v="0"/>
    <n v="2683554.84"/>
    <x v="0"/>
    <m/>
    <m/>
    <x v="0"/>
    <x v="0"/>
    <x v="0"/>
    <x v="4"/>
    <x v="0"/>
    <x v="0"/>
    <m/>
    <x v="0"/>
    <x v="1"/>
    <x v="0"/>
    <x v="0"/>
    <x v="0"/>
    <x v="0"/>
    <n v="480.9238064516129"/>
    <n v="86.566285161290324"/>
    <n v="0"/>
    <d v="2023-08-24T00:00:00"/>
    <x v="0"/>
  </r>
  <r>
    <x v="1"/>
    <d v="2023-07-18T00:00:00"/>
    <x v="1172"/>
    <d v="2023-07-14T00:00:00"/>
    <x v="0"/>
    <x v="0"/>
    <n v="30043"/>
    <x v="4"/>
    <x v="0"/>
    <n v="5201.009"/>
    <n v="1.57"/>
    <n v="0"/>
    <n v="0"/>
    <x v="0"/>
    <s v="Raw Cotton"/>
    <n v="13683716"/>
    <x v="0"/>
    <n v="2463068.88"/>
    <x v="0"/>
    <m/>
    <m/>
    <x v="0"/>
    <x v="0"/>
    <x v="0"/>
    <x v="4"/>
    <x v="0"/>
    <x v="0"/>
    <m/>
    <x v="0"/>
    <x v="1"/>
    <x v="0"/>
    <x v="0"/>
    <x v="0"/>
    <x v="0"/>
    <n v="455.47102486436108"/>
    <n v="81.984784475584988"/>
    <n v="0"/>
    <d v="2023-08-17T00:00:00"/>
    <x v="0"/>
  </r>
  <r>
    <x v="2"/>
    <d v="2023-07-22T00:00:00"/>
    <x v="1173"/>
    <d v="2023-07-18T00:00:00"/>
    <x v="0"/>
    <x v="0"/>
    <n v="28976"/>
    <x v="4"/>
    <x v="0"/>
    <n v="5201.009"/>
    <n v="1.62"/>
    <n v="0"/>
    <n v="0"/>
    <x v="0"/>
    <s v="Raw Cotton"/>
    <n v="13585896"/>
    <x v="0"/>
    <n v="2445461.2799999998"/>
    <x v="0"/>
    <m/>
    <m/>
    <x v="0"/>
    <x v="0"/>
    <x v="0"/>
    <x v="4"/>
    <x v="0"/>
    <x v="0"/>
    <m/>
    <x v="0"/>
    <x v="1"/>
    <x v="0"/>
    <x v="0"/>
    <x v="0"/>
    <x v="0"/>
    <n v="468.8672004417449"/>
    <n v="84.396096079514066"/>
    <n v="0"/>
    <d v="2023-08-21T00:00:00"/>
    <x v="0"/>
  </r>
  <r>
    <x v="3"/>
    <d v="2023-07-22T00:00:00"/>
    <x v="1174"/>
    <d v="2023-07-18T00:00:00"/>
    <x v="0"/>
    <x v="0"/>
    <n v="29089"/>
    <x v="4"/>
    <x v="0"/>
    <n v="5201.009"/>
    <n v="1.56"/>
    <n v="0"/>
    <n v="0"/>
    <x v="0"/>
    <s v="Raw Cotton"/>
    <n v="13171260"/>
    <x v="0"/>
    <n v="2370826.7999999998"/>
    <x v="0"/>
    <m/>
    <m/>
    <x v="0"/>
    <x v="0"/>
    <x v="0"/>
    <x v="4"/>
    <x v="0"/>
    <x v="0"/>
    <m/>
    <x v="0"/>
    <x v="1"/>
    <x v="0"/>
    <x v="0"/>
    <x v="0"/>
    <x v="0"/>
    <n v="452.79177696036305"/>
    <n v="81.502519852865333"/>
    <n v="0"/>
    <d v="2023-08-21T00:00:00"/>
    <x v="0"/>
  </r>
  <r>
    <x v="4"/>
    <d v="2023-07-29T00:00:00"/>
    <x v="1175"/>
    <d v="2023-07-25T00:00:00"/>
    <x v="0"/>
    <x v="0"/>
    <n v="29491"/>
    <x v="4"/>
    <x v="0"/>
    <n v="5201.009"/>
    <n v="1.55"/>
    <n v="0"/>
    <n v="0"/>
    <x v="0"/>
    <s v="Raw Cotton"/>
    <n v="13274269"/>
    <x v="0"/>
    <n v="2389368.42"/>
    <x v="0"/>
    <m/>
    <m/>
    <x v="0"/>
    <x v="0"/>
    <x v="0"/>
    <x v="4"/>
    <x v="0"/>
    <x v="0"/>
    <m/>
    <x v="0"/>
    <x v="1"/>
    <x v="0"/>
    <x v="0"/>
    <x v="0"/>
    <x v="0"/>
    <n v="450.11254280967074"/>
    <n v="81.020257705740732"/>
    <n v="0"/>
    <d v="2023-08-28T00:00:00"/>
    <x v="0"/>
  </r>
  <r>
    <x v="5"/>
    <d v="2023-07-28T00:00:00"/>
    <x v="1176"/>
    <d v="2023-07-24T00:00:00"/>
    <x v="0"/>
    <x v="0"/>
    <n v="12934"/>
    <x v="4"/>
    <x v="0"/>
    <n v="5505.1"/>
    <n v="1.56"/>
    <n v="0"/>
    <n v="0"/>
    <x v="20"/>
    <s v="Comber Noil"/>
    <n v="5859102"/>
    <x v="0"/>
    <n v="1054638.3599999999"/>
    <x v="0"/>
    <m/>
    <m/>
    <x v="0"/>
    <x v="0"/>
    <x v="0"/>
    <x v="4"/>
    <x v="0"/>
    <x v="0"/>
    <m/>
    <x v="0"/>
    <x v="1"/>
    <x v="0"/>
    <x v="0"/>
    <x v="0"/>
    <x v="8"/>
    <n v="453"/>
    <n v="81.539999999999992"/>
    <n v="0"/>
    <d v="2023-08-27T00:00:00"/>
    <x v="0"/>
  </r>
  <r>
    <x v="6"/>
    <d v="2023-07-28T00:00:00"/>
    <x v="1177"/>
    <d v="2023-07-24T00:00:00"/>
    <x v="0"/>
    <x v="0"/>
    <n v="13014"/>
    <x v="4"/>
    <x v="0"/>
    <n v="5505.1"/>
    <n v="1.56"/>
    <n v="0"/>
    <n v="0"/>
    <x v="20"/>
    <s v="Comber Noil"/>
    <n v="5895342"/>
    <x v="0"/>
    <n v="1061161.56"/>
    <x v="0"/>
    <m/>
    <m/>
    <x v="0"/>
    <x v="0"/>
    <x v="0"/>
    <x v="4"/>
    <x v="0"/>
    <x v="0"/>
    <m/>
    <x v="0"/>
    <x v="1"/>
    <x v="0"/>
    <x v="0"/>
    <x v="0"/>
    <x v="8"/>
    <n v="453"/>
    <n v="81.540000000000006"/>
    <n v="0"/>
    <d v="2023-08-27T00:00:00"/>
    <x v="0"/>
  </r>
  <r>
    <x v="7"/>
    <d v="2023-07-29T00:00:00"/>
    <x v="1178"/>
    <d v="2023-07-25T00:00:00"/>
    <x v="0"/>
    <x v="0"/>
    <n v="12655"/>
    <x v="4"/>
    <x v="0"/>
    <n v="5505.1"/>
    <n v="1.56"/>
    <n v="0"/>
    <n v="0"/>
    <x v="20"/>
    <s v="Comber Noil"/>
    <n v="5732715"/>
    <x v="0"/>
    <n v="1031888.7"/>
    <x v="0"/>
    <m/>
    <m/>
    <x v="0"/>
    <x v="0"/>
    <x v="0"/>
    <x v="4"/>
    <x v="0"/>
    <x v="0"/>
    <m/>
    <x v="0"/>
    <x v="1"/>
    <x v="0"/>
    <x v="0"/>
    <x v="0"/>
    <x v="8"/>
    <n v="453"/>
    <n v="81.539999999999992"/>
    <n v="0"/>
    <d v="2023-08-28T00:00:00"/>
    <x v="0"/>
  </r>
  <r>
    <x v="8"/>
    <d v="2023-07-30T00:00:00"/>
    <x v="1179"/>
    <d v="2023-07-26T00:00:00"/>
    <x v="0"/>
    <x v="0"/>
    <n v="9191"/>
    <x v="4"/>
    <x v="0"/>
    <n v="5505.1"/>
    <n v="1.56"/>
    <n v="0"/>
    <n v="0"/>
    <x v="20"/>
    <s v="Comber Noil"/>
    <n v="4163523"/>
    <x v="0"/>
    <n v="749434.14"/>
    <x v="0"/>
    <m/>
    <m/>
    <x v="0"/>
    <x v="0"/>
    <x v="0"/>
    <x v="4"/>
    <x v="0"/>
    <x v="0"/>
    <m/>
    <x v="0"/>
    <x v="1"/>
    <x v="0"/>
    <x v="0"/>
    <x v="0"/>
    <x v="8"/>
    <n v="453"/>
    <n v="81.540000000000006"/>
    <n v="0"/>
    <d v="2023-08-29T00:00:00"/>
    <x v="0"/>
  </r>
  <r>
    <x v="9"/>
    <d v="2023-07-31T00:00:00"/>
    <x v="1180"/>
    <d v="2023-07-27T00:00:00"/>
    <x v="0"/>
    <x v="0"/>
    <n v="12684"/>
    <x v="4"/>
    <x v="0"/>
    <n v="5505.1"/>
    <n v="1.58"/>
    <n v="0"/>
    <n v="0"/>
    <x v="20"/>
    <s v="Comber Noil"/>
    <n v="5809272"/>
    <x v="0"/>
    <n v="1045668.96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8-30T00:00:00"/>
    <x v="0"/>
  </r>
  <r>
    <x v="10"/>
    <d v="2023-07-31T00:00:00"/>
    <x v="1181"/>
    <d v="2023-07-27T00:00:00"/>
    <x v="0"/>
    <x v="0"/>
    <n v="12724"/>
    <x v="4"/>
    <x v="0"/>
    <n v="5505.1"/>
    <n v="1.58"/>
    <n v="0"/>
    <n v="0"/>
    <x v="20"/>
    <s v="Comber Noil"/>
    <n v="5827592"/>
    <x v="0"/>
    <n v="1048966.56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8-30T00:00:00"/>
    <x v="0"/>
  </r>
  <r>
    <x v="11"/>
    <d v="2023-08-04T00:00:00"/>
    <x v="1182"/>
    <d v="2023-07-31T00:00:00"/>
    <x v="0"/>
    <x v="0"/>
    <n v="12784"/>
    <x v="4"/>
    <x v="0"/>
    <n v="5505.1"/>
    <n v="1.58"/>
    <n v="0"/>
    <n v="0"/>
    <x v="20"/>
    <s v="Comber Noil"/>
    <n v="5855072"/>
    <x v="0"/>
    <n v="1053912.96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03T00:00:00"/>
    <x v="0"/>
  </r>
  <r>
    <x v="12"/>
    <d v="2023-08-04T00:00:00"/>
    <x v="1183"/>
    <d v="2023-07-31T00:00:00"/>
    <x v="0"/>
    <x v="0"/>
    <n v="11830"/>
    <x v="4"/>
    <x v="0"/>
    <n v="5505.1"/>
    <n v="1.58"/>
    <n v="0"/>
    <n v="0"/>
    <x v="20"/>
    <s v="Comber Noil"/>
    <n v="5418140"/>
    <x v="0"/>
    <n v="975265.2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03T00:00:00"/>
    <x v="0"/>
  </r>
  <r>
    <x v="13"/>
    <d v="2023-08-11T00:00:00"/>
    <x v="1184"/>
    <d v="2023-08-07T00:00:00"/>
    <x v="0"/>
    <x v="0"/>
    <n v="12764"/>
    <x v="4"/>
    <x v="0"/>
    <n v="5505.1"/>
    <n v="1.58"/>
    <n v="0"/>
    <n v="0"/>
    <x v="20"/>
    <s v="Comber Noil"/>
    <n v="5845912"/>
    <x v="0"/>
    <n v="1052264.1599999999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10T00:00:00"/>
    <x v="0"/>
  </r>
  <r>
    <x v="14"/>
    <d v="2023-08-11T00:00:00"/>
    <x v="1185"/>
    <d v="2023-08-07T00:00:00"/>
    <x v="0"/>
    <x v="0"/>
    <n v="12554"/>
    <x v="4"/>
    <x v="0"/>
    <n v="5505.1"/>
    <n v="1.58"/>
    <n v="0"/>
    <n v="0"/>
    <x v="20"/>
    <s v="Comber Noil"/>
    <n v="5749732"/>
    <x v="0"/>
    <n v="1034951.76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10T00:00:00"/>
    <x v="0"/>
  </r>
  <r>
    <x v="15"/>
    <d v="2023-08-12T00:00:00"/>
    <x v="1186"/>
    <d v="2023-08-08T00:00:00"/>
    <x v="0"/>
    <x v="0"/>
    <n v="12705"/>
    <x v="4"/>
    <x v="0"/>
    <n v="5505.1"/>
    <n v="1.58"/>
    <n v="0"/>
    <n v="0"/>
    <x v="20"/>
    <s v="Comber Noil"/>
    <n v="5818890"/>
    <x v="0"/>
    <n v="1047400.2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11T00:00:00"/>
    <x v="0"/>
  </r>
  <r>
    <x v="16"/>
    <d v="2023-08-12T00:00:00"/>
    <x v="1187"/>
    <d v="2023-08-08T00:00:00"/>
    <x v="0"/>
    <x v="0"/>
    <n v="12170"/>
    <x v="4"/>
    <x v="0"/>
    <n v="5505.1"/>
    <n v="1.58"/>
    <n v="0"/>
    <n v="0"/>
    <x v="20"/>
    <s v="Comber Noil"/>
    <n v="5573860"/>
    <x v="0"/>
    <n v="1003294.7999999999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11T00:00:00"/>
    <x v="0"/>
  </r>
  <r>
    <x v="17"/>
    <d v="2023-08-13T00:00:00"/>
    <x v="1188"/>
    <d v="2023-08-09T00:00:00"/>
    <x v="0"/>
    <x v="0"/>
    <n v="9736"/>
    <x v="4"/>
    <x v="0"/>
    <n v="5505.1"/>
    <n v="1.58"/>
    <n v="0"/>
    <n v="0"/>
    <x v="20"/>
    <s v="Comber Noil"/>
    <n v="4459088"/>
    <x v="0"/>
    <n v="802635.84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12T00:00:00"/>
    <x v="0"/>
  </r>
  <r>
    <x v="18"/>
    <d v="2023-07-22T00:00:00"/>
    <x v="1189"/>
    <d v="2023-07-18T00:00:00"/>
    <x v="0"/>
    <x v="0"/>
    <n v="30090"/>
    <x v="4"/>
    <x v="0"/>
    <n v="5201.009"/>
    <n v="1.56"/>
    <n v="0"/>
    <n v="0"/>
    <x v="0"/>
    <s v="Raw Cotton"/>
    <n v="13624504"/>
    <x v="0"/>
    <n v="2452410.7199999997"/>
    <x v="0"/>
    <m/>
    <m/>
    <x v="0"/>
    <x v="0"/>
    <x v="0"/>
    <x v="4"/>
    <x v="0"/>
    <x v="0"/>
    <m/>
    <x v="0"/>
    <x v="1"/>
    <x v="0"/>
    <x v="0"/>
    <x v="0"/>
    <x v="0"/>
    <n v="452.79175805915588"/>
    <n v="81.502516450648045"/>
    <n v="0"/>
    <d v="2023-08-21T00:00:00"/>
    <x v="0"/>
  </r>
  <r>
    <x v="19"/>
    <d v="2023-07-22T00:00:00"/>
    <x v="1190"/>
    <d v="2023-07-18T00:00:00"/>
    <x v="0"/>
    <x v="0"/>
    <n v="29823"/>
    <x v="4"/>
    <x v="0"/>
    <n v="5201.009"/>
    <n v="1.57"/>
    <n v="0"/>
    <n v="0"/>
    <x v="0"/>
    <s v="Raw Cotton"/>
    <n v="13583512"/>
    <x v="0"/>
    <n v="2445032.1599999997"/>
    <x v="0"/>
    <m/>
    <m/>
    <x v="0"/>
    <x v="0"/>
    <x v="0"/>
    <x v="4"/>
    <x v="0"/>
    <x v="0"/>
    <m/>
    <x v="0"/>
    <x v="1"/>
    <x v="0"/>
    <x v="0"/>
    <x v="0"/>
    <x v="0"/>
    <n v="455.47101230593836"/>
    <n v="81.98478221506889"/>
    <n v="0"/>
    <d v="2023-08-21T00:00:00"/>
    <x v="0"/>
  </r>
  <r>
    <x v="20"/>
    <d v="2023-07-29T00:00:00"/>
    <x v="1191"/>
    <d v="2023-07-25T00:00:00"/>
    <x v="0"/>
    <x v="0"/>
    <n v="9736"/>
    <x v="4"/>
    <x v="0"/>
    <n v="5505.1"/>
    <n v="1.58"/>
    <n v="0"/>
    <n v="0"/>
    <x v="20"/>
    <s v="Comber Noil"/>
    <n v="4459088"/>
    <x v="0"/>
    <n v="802635.84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8-28T00:00:00"/>
    <x v="0"/>
  </r>
  <r>
    <x v="21"/>
    <d v="2023-08-05T00:00:00"/>
    <x v="1192"/>
    <d v="2023-08-01T00:00:00"/>
    <x v="0"/>
    <x v="0"/>
    <n v="9925"/>
    <x v="4"/>
    <x v="0"/>
    <n v="5505.1"/>
    <n v="1.58"/>
    <n v="0"/>
    <n v="0"/>
    <x v="20"/>
    <s v="Comber Noil"/>
    <n v="4545650"/>
    <x v="0"/>
    <n v="818217"/>
    <x v="0"/>
    <m/>
    <m/>
    <x v="0"/>
    <x v="0"/>
    <x v="0"/>
    <x v="4"/>
    <x v="0"/>
    <x v="0"/>
    <m/>
    <x v="0"/>
    <x v="1"/>
    <x v="0"/>
    <x v="0"/>
    <x v="0"/>
    <x v="8"/>
    <n v="458"/>
    <n v="82.44"/>
    <n v="0"/>
    <d v="2023-09-04T00:00:00"/>
    <x v="0"/>
  </r>
  <r>
    <x v="22"/>
    <d v="2023-08-08T00:00:00"/>
    <x v="1193"/>
    <d v="2023-08-04T00:00:00"/>
    <x v="0"/>
    <x v="0"/>
    <n v="39973"/>
    <x v="4"/>
    <x v="0"/>
    <n v="5503.201"/>
    <n v="1.1000000000000001"/>
    <n v="0"/>
    <n v="0"/>
    <x v="1"/>
    <s v="Polyester Staple Fiber"/>
    <n v="12791360"/>
    <x v="0"/>
    <n v="2302444.7999999998"/>
    <x v="0"/>
    <m/>
    <m/>
    <x v="0"/>
    <x v="0"/>
    <x v="0"/>
    <x v="5"/>
    <x v="0"/>
    <x v="0"/>
    <m/>
    <x v="0"/>
    <x v="1"/>
    <x v="0"/>
    <x v="0"/>
    <x v="0"/>
    <x v="1"/>
    <n v="320"/>
    <n v="57.599999999999994"/>
    <n v="0"/>
    <d v="2023-09-07T00:00:00"/>
    <x v="0"/>
  </r>
  <r>
    <x v="23"/>
    <d v="2023-08-15T00:00:00"/>
    <x v="1194"/>
    <d v="2023-08-11T00:00:00"/>
    <x v="0"/>
    <x v="2"/>
    <n v="24103.1"/>
    <x v="4"/>
    <x v="0"/>
    <n v="5503.201"/>
    <n v="1.1000000000000001"/>
    <n v="9.9999999998544808E-2"/>
    <n v="24103.1"/>
    <x v="1"/>
    <s v="Polyester Staple Fiber"/>
    <n v="7712992"/>
    <x v="0"/>
    <n v="1388338.56"/>
    <x v="0"/>
    <m/>
    <m/>
    <x v="0"/>
    <x v="0"/>
    <x v="0"/>
    <x v="5"/>
    <x v="0"/>
    <x v="0"/>
    <m/>
    <x v="0"/>
    <x v="1"/>
    <x v="0"/>
    <x v="0"/>
    <x v="0"/>
    <x v="1"/>
    <n v="320"/>
    <n v="57.600000000000009"/>
    <n v="5.7599999999161815"/>
    <d v="2023-09-14T00:00:00"/>
    <x v="0"/>
  </r>
  <r>
    <x v="24"/>
    <d v="2023-08-15T00:00:00"/>
    <x v="1195"/>
    <d v="2023-08-11T00:00:00"/>
    <x v="0"/>
    <x v="2"/>
    <n v="24485.4"/>
    <x v="4"/>
    <x v="0"/>
    <n v="5503.201"/>
    <n v="1.1000000000000001"/>
    <n v="0.40000000000145519"/>
    <n v="24485.4"/>
    <x v="1"/>
    <s v="Polyester Staple Fiber"/>
    <n v="7835328"/>
    <x v="0"/>
    <n v="1410359.04"/>
    <x v="0"/>
    <m/>
    <m/>
    <x v="0"/>
    <x v="0"/>
    <x v="0"/>
    <x v="5"/>
    <x v="0"/>
    <x v="0"/>
    <m/>
    <x v="0"/>
    <x v="1"/>
    <x v="0"/>
    <x v="0"/>
    <x v="0"/>
    <x v="1"/>
    <n v="320"/>
    <n v="57.6"/>
    <n v="23.040000000083818"/>
    <d v="2023-09-14T00:00:00"/>
    <x v="0"/>
  </r>
  <r>
    <x v="25"/>
    <d v="2023-08-20T00:00:00"/>
    <x v="1196"/>
    <d v="2023-08-16T00:00:00"/>
    <x v="0"/>
    <x v="0"/>
    <n v="21398.7"/>
    <x v="4"/>
    <x v="0"/>
    <n v="5503.201"/>
    <n v="1.1000000000000001"/>
    <n v="0"/>
    <n v="0"/>
    <x v="1"/>
    <s v="Polyester Staple Fiber"/>
    <n v="6847584"/>
    <x v="0"/>
    <n v="1232565.1199999999"/>
    <x v="0"/>
    <m/>
    <m/>
    <x v="0"/>
    <x v="0"/>
    <x v="0"/>
    <x v="5"/>
    <x v="0"/>
    <x v="0"/>
    <m/>
    <x v="0"/>
    <x v="1"/>
    <x v="0"/>
    <x v="0"/>
    <x v="0"/>
    <x v="1"/>
    <n v="320"/>
    <n v="57.599999999999994"/>
    <n v="0"/>
    <d v="2023-09-19T00:00:00"/>
    <x v="0"/>
  </r>
  <r>
    <x v="26"/>
    <d v="2023-07-19T00:00:00"/>
    <x v="1197"/>
    <d v="2023-07-15T00:00:00"/>
    <x v="0"/>
    <x v="0"/>
    <n v="31414"/>
    <x v="4"/>
    <x v="0"/>
    <n v="5201.009"/>
    <n v="1.55"/>
    <n v="0"/>
    <n v="0"/>
    <x v="0"/>
    <s v="Raw Cotton"/>
    <n v="14139835"/>
    <x v="0"/>
    <n v="2545170.2999999998"/>
    <x v="0"/>
    <m/>
    <m/>
    <x v="0"/>
    <x v="0"/>
    <x v="0"/>
    <x v="4"/>
    <x v="0"/>
    <x v="0"/>
    <m/>
    <x v="0"/>
    <x v="1"/>
    <x v="0"/>
    <x v="0"/>
    <x v="0"/>
    <x v="0"/>
    <n v="450.11252944547016"/>
    <n v="81.02025530018463"/>
    <n v="0"/>
    <d v="2023-08-18T00:00:00"/>
    <x v="0"/>
  </r>
  <r>
    <x v="27"/>
    <d v="2023-07-29T00:00:00"/>
    <x v="1198"/>
    <d v="2023-07-25T00:00:00"/>
    <x v="0"/>
    <x v="0"/>
    <n v="31553"/>
    <x v="4"/>
    <x v="0"/>
    <n v="5201.009"/>
    <n v="1.65"/>
    <n v="0"/>
    <n v="0"/>
    <x v="0"/>
    <s v="Raw cotton"/>
    <n v="15132320"/>
    <x v="0"/>
    <n v="2723817.6"/>
    <x v="0"/>
    <m/>
    <m/>
    <x v="0"/>
    <x v="0"/>
    <x v="0"/>
    <x v="4"/>
    <x v="0"/>
    <x v="0"/>
    <m/>
    <x v="0"/>
    <x v="1"/>
    <x v="0"/>
    <x v="0"/>
    <x v="0"/>
    <x v="0"/>
    <n v="479.58419167749503"/>
    <n v="86.3251545019491"/>
    <n v="0"/>
    <d v="2023-08-28T00:00:00"/>
    <x v="0"/>
  </r>
  <r>
    <x v="28"/>
    <d v="2023-08-21T00:00:00"/>
    <x v="1199"/>
    <d v="2023-08-17T00:00:00"/>
    <x v="0"/>
    <x v="0"/>
    <n v="12497"/>
    <x v="4"/>
    <x v="0"/>
    <n v="5505.1"/>
    <n v="1.58"/>
    <n v="0"/>
    <n v="0"/>
    <x v="20"/>
    <s v="Comber Noil"/>
    <n v="5711129"/>
    <x v="0"/>
    <n v="1028003.22"/>
    <x v="0"/>
    <m/>
    <m/>
    <x v="0"/>
    <x v="0"/>
    <x v="0"/>
    <x v="4"/>
    <x v="0"/>
    <x v="0"/>
    <m/>
    <x v="0"/>
    <x v="1"/>
    <x v="0"/>
    <x v="0"/>
    <x v="0"/>
    <x v="8"/>
    <n v="457"/>
    <n v="82.259999999999991"/>
    <n v="0"/>
    <d v="2023-09-20T00:00:00"/>
    <x v="0"/>
  </r>
  <r>
    <x v="29"/>
    <d v="2023-08-21T00:00:00"/>
    <x v="1200"/>
    <d v="2023-08-17T00:00:00"/>
    <x v="0"/>
    <x v="0"/>
    <n v="13124"/>
    <x v="4"/>
    <x v="0"/>
    <n v="5505.1"/>
    <n v="1.58"/>
    <n v="0"/>
    <n v="0"/>
    <x v="20"/>
    <s v="Comber Noil"/>
    <n v="5997668"/>
    <x v="0"/>
    <n v="1079580.24"/>
    <x v="0"/>
    <m/>
    <m/>
    <x v="0"/>
    <x v="0"/>
    <x v="0"/>
    <x v="4"/>
    <x v="0"/>
    <x v="0"/>
    <m/>
    <x v="0"/>
    <x v="1"/>
    <x v="0"/>
    <x v="0"/>
    <x v="0"/>
    <x v="8"/>
    <n v="457"/>
    <n v="82.26"/>
    <n v="0"/>
    <d v="2023-09-20T00:00:00"/>
    <x v="0"/>
  </r>
  <r>
    <x v="30"/>
    <d v="2023-08-22T00:00:00"/>
    <x v="1201"/>
    <d v="2023-08-18T00:00:00"/>
    <x v="0"/>
    <x v="0"/>
    <n v="12705"/>
    <x v="4"/>
    <x v="0"/>
    <n v="5505.1"/>
    <n v="1.58"/>
    <n v="0"/>
    <n v="0"/>
    <x v="20"/>
    <s v="Comber Noil"/>
    <n v="5806185"/>
    <x v="0"/>
    <n v="1045113.2999999999"/>
    <x v="0"/>
    <m/>
    <m/>
    <x v="0"/>
    <x v="0"/>
    <x v="0"/>
    <x v="4"/>
    <x v="0"/>
    <x v="0"/>
    <m/>
    <x v="0"/>
    <x v="1"/>
    <x v="0"/>
    <x v="0"/>
    <x v="0"/>
    <x v="8"/>
    <n v="457"/>
    <n v="82.259999999999991"/>
    <n v="0"/>
    <d v="2023-09-21T00:00:00"/>
    <x v="0"/>
  </r>
  <r>
    <x v="31"/>
    <d v="2023-08-22T00:00:00"/>
    <x v="1202"/>
    <d v="2023-08-18T00:00:00"/>
    <x v="0"/>
    <x v="0"/>
    <n v="12927"/>
    <x v="4"/>
    <x v="0"/>
    <n v="5505.1"/>
    <n v="1.58"/>
    <n v="0"/>
    <n v="0"/>
    <x v="20"/>
    <s v="Comber Noil"/>
    <n v="5907639"/>
    <x v="0"/>
    <n v="1063375.02"/>
    <x v="0"/>
    <m/>
    <m/>
    <x v="0"/>
    <x v="0"/>
    <x v="0"/>
    <x v="4"/>
    <x v="0"/>
    <x v="0"/>
    <m/>
    <x v="0"/>
    <x v="1"/>
    <x v="0"/>
    <x v="0"/>
    <x v="0"/>
    <x v="8"/>
    <n v="457"/>
    <n v="82.26"/>
    <n v="0"/>
    <d v="2023-09-21T00:00:00"/>
    <x v="0"/>
  </r>
  <r>
    <x v="32"/>
    <d v="2023-08-23T00:00:00"/>
    <x v="1203"/>
    <d v="2023-08-19T00:00:00"/>
    <x v="0"/>
    <x v="0"/>
    <n v="8754"/>
    <x v="4"/>
    <x v="0"/>
    <n v="5505.1"/>
    <n v="1.58"/>
    <n v="0"/>
    <n v="0"/>
    <x v="20"/>
    <s v="Comber Noil"/>
    <n v="4000578"/>
    <x v="0"/>
    <n v="720104.03999999992"/>
    <x v="0"/>
    <m/>
    <m/>
    <x v="0"/>
    <x v="0"/>
    <x v="0"/>
    <x v="4"/>
    <x v="0"/>
    <x v="0"/>
    <m/>
    <x v="0"/>
    <x v="1"/>
    <x v="0"/>
    <x v="0"/>
    <x v="0"/>
    <x v="8"/>
    <n v="457"/>
    <n v="82.259999999999991"/>
    <n v="0"/>
    <d v="2023-09-22T00:00:00"/>
    <x v="0"/>
  </r>
  <r>
    <x v="33"/>
    <d v="2023-08-13T00:00:00"/>
    <x v="1204"/>
    <d v="2023-08-09T00:00:00"/>
    <x v="0"/>
    <x v="0"/>
    <n v="31221"/>
    <x v="4"/>
    <x v="0"/>
    <n v="5201.009"/>
    <n v="1.64"/>
    <n v="0"/>
    <n v="0"/>
    <x v="0"/>
    <s v="Raw Cotton"/>
    <n v="14847624"/>
    <x v="0"/>
    <n v="2672572.3199999998"/>
    <x v="0"/>
    <m/>
    <m/>
    <x v="0"/>
    <x v="0"/>
    <x v="0"/>
    <x v="4"/>
    <x v="0"/>
    <x v="0"/>
    <m/>
    <x v="0"/>
    <x v="1"/>
    <x v="0"/>
    <x v="0"/>
    <x v="0"/>
    <x v="0"/>
    <n v="475.56529259152495"/>
    <n v="85.601752666474482"/>
    <n v="0"/>
    <d v="2023-09-12T00:00:00"/>
    <x v="0"/>
  </r>
  <r>
    <x v="34"/>
    <d v="2023-08-14T00:00:00"/>
    <x v="1205"/>
    <d v="2023-08-10T00:00:00"/>
    <x v="0"/>
    <x v="0"/>
    <n v="30913"/>
    <x v="4"/>
    <x v="0"/>
    <n v="5201.009"/>
    <n v="1.64"/>
    <n v="0"/>
    <n v="0"/>
    <x v="0"/>
    <s v="Raw Cotton"/>
    <n v="14742562"/>
    <x v="0"/>
    <n v="2653661.1599999997"/>
    <x v="0"/>
    <m/>
    <m/>
    <x v="0"/>
    <x v="0"/>
    <x v="0"/>
    <x v="4"/>
    <x v="0"/>
    <x v="0"/>
    <m/>
    <x v="0"/>
    <x v="1"/>
    <x v="0"/>
    <x v="0"/>
    <x v="0"/>
    <x v="0"/>
    <n v="476.90492672985476"/>
    <n v="85.842886811373845"/>
    <n v="0"/>
    <d v="2023-09-13T00:00:00"/>
    <x v="0"/>
  </r>
  <r>
    <x v="35"/>
    <d v="2023-08-20T00:00:00"/>
    <x v="1206"/>
    <d v="2023-08-16T00:00:00"/>
    <x v="0"/>
    <x v="0"/>
    <n v="30332"/>
    <x v="4"/>
    <x v="0"/>
    <n v="5201.009"/>
    <n v="1.64"/>
    <n v="0"/>
    <n v="0"/>
    <x v="0"/>
    <s v="Raw Cotton"/>
    <n v="14384214"/>
    <x v="0"/>
    <n v="2589158.52"/>
    <x v="0"/>
    <m/>
    <m/>
    <x v="0"/>
    <x v="0"/>
    <x v="0"/>
    <x v="4"/>
    <x v="0"/>
    <x v="0"/>
    <m/>
    <x v="0"/>
    <x v="1"/>
    <x v="0"/>
    <x v="0"/>
    <x v="0"/>
    <x v="0"/>
    <n v="474.22570222866938"/>
    <n v="85.360626401160488"/>
    <n v="0"/>
    <d v="2023-09-19T00:00:00"/>
    <x v="0"/>
  </r>
  <r>
    <x v="36"/>
    <d v="2023-08-20T00:00:00"/>
    <x v="1207"/>
    <d v="2023-08-16T00:00:00"/>
    <x v="0"/>
    <x v="0"/>
    <n v="30162"/>
    <x v="4"/>
    <x v="0"/>
    <n v="5201.009"/>
    <n v="1.64"/>
    <n v="0"/>
    <n v="0"/>
    <x v="0"/>
    <s v="Raw Cotton"/>
    <n v="14344001"/>
    <x v="0"/>
    <n v="2581920.1799999997"/>
    <x v="0"/>
    <m/>
    <m/>
    <x v="0"/>
    <x v="0"/>
    <x v="0"/>
    <x v="4"/>
    <x v="0"/>
    <x v="0"/>
    <m/>
    <x v="0"/>
    <x v="1"/>
    <x v="0"/>
    <x v="0"/>
    <x v="0"/>
    <x v="0"/>
    <n v="475.56531397122205"/>
    <n v="85.601756514819968"/>
    <n v="0"/>
    <d v="2023-09-19T00:00:00"/>
    <x v="0"/>
  </r>
  <r>
    <x v="37"/>
    <d v="2023-08-12T00:00:00"/>
    <x v="1208"/>
    <d v="2023-08-08T00:00:00"/>
    <x v="0"/>
    <x v="0"/>
    <n v="27969"/>
    <x v="4"/>
    <x v="0"/>
    <n v="5201.009"/>
    <n v="1.63"/>
    <n v="0"/>
    <n v="0"/>
    <x v="0"/>
    <s v="Raw Cotton"/>
    <n v="13226151"/>
    <x v="0"/>
    <n v="2380707.1799999997"/>
    <x v="0"/>
    <m/>
    <m/>
    <x v="0"/>
    <x v="0"/>
    <x v="0"/>
    <x v="4"/>
    <x v="0"/>
    <x v="0"/>
    <m/>
    <x v="0"/>
    <x v="1"/>
    <x v="0"/>
    <x v="0"/>
    <x v="0"/>
    <x v="0"/>
    <n v="472.88608816904429"/>
    <n v="85.119495870427968"/>
    <n v="0"/>
    <d v="2023-09-11T00:00:00"/>
    <x v="0"/>
  </r>
  <r>
    <x v="38"/>
    <d v="2023-08-13T00:00:00"/>
    <x v="1209"/>
    <d v="2023-08-09T00:00:00"/>
    <x v="0"/>
    <x v="0"/>
    <n v="27923"/>
    <x v="4"/>
    <x v="0"/>
    <n v="5201.009"/>
    <n v="1.63"/>
    <n v="0"/>
    <n v="0"/>
    <x v="0"/>
    <s v="Raw Cotton"/>
    <n v="13204398"/>
    <x v="0"/>
    <n v="2376791.64"/>
    <x v="0"/>
    <m/>
    <m/>
    <x v="0"/>
    <x v="0"/>
    <x v="0"/>
    <x v="4"/>
    <x v="0"/>
    <x v="0"/>
    <m/>
    <x v="0"/>
    <x v="1"/>
    <x v="0"/>
    <x v="0"/>
    <x v="0"/>
    <x v="0"/>
    <n v="472.88607957597679"/>
    <n v="85.119494323675823"/>
    <n v="0"/>
    <d v="2023-09-12T00:00:00"/>
    <x v="0"/>
  </r>
  <r>
    <x v="39"/>
    <d v="2023-08-25T00:00:00"/>
    <x v="1210"/>
    <d v="2023-08-21T00:00:00"/>
    <x v="0"/>
    <x v="0"/>
    <n v="31086"/>
    <x v="4"/>
    <x v="0"/>
    <n v="5201.009"/>
    <n v="1.63"/>
    <n v="0"/>
    <n v="0"/>
    <x v="0"/>
    <s v="Raw Cotton"/>
    <n v="14700137"/>
    <x v="0"/>
    <n v="2646024.6599999997"/>
    <x v="0"/>
    <m/>
    <m/>
    <x v="0"/>
    <x v="0"/>
    <x v="0"/>
    <x v="4"/>
    <x v="0"/>
    <x v="0"/>
    <m/>
    <x v="0"/>
    <x v="1"/>
    <x v="0"/>
    <x v="0"/>
    <x v="0"/>
    <x v="0"/>
    <n v="472.88609020137682"/>
    <n v="85.119496236247812"/>
    <n v="0"/>
    <d v="2023-09-24T00:00:00"/>
    <x v="0"/>
  </r>
  <r>
    <x v="40"/>
    <d v="2023-08-17T00:00:00"/>
    <x v="1211"/>
    <d v="2023-08-13T00:00:00"/>
    <x v="0"/>
    <x v="0"/>
    <n v="28560"/>
    <x v="4"/>
    <x v="0"/>
    <n v="5201.009"/>
    <n v="1.64"/>
    <n v="0"/>
    <n v="0"/>
    <x v="0"/>
    <s v="Raw Cotton"/>
    <n v="13620405"/>
    <x v="0"/>
    <n v="2451672.9"/>
    <x v="0"/>
    <m/>
    <m/>
    <x v="0"/>
    <x v="0"/>
    <x v="0"/>
    <x v="4"/>
    <x v="0"/>
    <x v="0"/>
    <m/>
    <x v="0"/>
    <x v="1"/>
    <x v="0"/>
    <x v="0"/>
    <x v="0"/>
    <x v="0"/>
    <n v="476.9049369747899"/>
    <n v="85.842888655462176"/>
    <n v="0"/>
    <d v="2023-09-16T00:00:00"/>
    <x v="0"/>
  </r>
  <r>
    <x v="41"/>
    <d v="2023-08-14T00:00:00"/>
    <x v="1212"/>
    <d v="2023-08-10T00:00:00"/>
    <x v="0"/>
    <x v="0"/>
    <n v="31461"/>
    <x v="4"/>
    <x v="0"/>
    <n v="5201.009"/>
    <n v="1.63"/>
    <n v="0"/>
    <n v="0"/>
    <x v="0"/>
    <s v="Raw Cotton"/>
    <n v="14835323"/>
    <x v="0"/>
    <n v="2670358.14"/>
    <x v="0"/>
    <m/>
    <m/>
    <x v="0"/>
    <x v="0"/>
    <x v="0"/>
    <x v="4"/>
    <x v="0"/>
    <x v="0"/>
    <m/>
    <x v="0"/>
    <x v="1"/>
    <x v="0"/>
    <x v="0"/>
    <x v="0"/>
    <x v="0"/>
    <n v="471.54645434029436"/>
    <n v="84.878361781252977"/>
    <n v="0"/>
    <d v="2023-09-13T00:00:00"/>
    <x v="0"/>
  </r>
  <r>
    <x v="42"/>
    <d v="2023-08-13T00:00:00"/>
    <x v="1213"/>
    <d v="2023-08-09T00:00:00"/>
    <x v="0"/>
    <x v="0"/>
    <n v="31010"/>
    <x v="4"/>
    <x v="0"/>
    <n v="5201.009"/>
    <n v="1.63"/>
    <n v="0"/>
    <n v="0"/>
    <x v="0"/>
    <s v="Raw Cotton"/>
    <n v="14664197"/>
    <x v="0"/>
    <n v="2639555.46"/>
    <x v="0"/>
    <m/>
    <m/>
    <x v="0"/>
    <x v="0"/>
    <x v="0"/>
    <x v="4"/>
    <x v="0"/>
    <x v="0"/>
    <m/>
    <x v="0"/>
    <x v="1"/>
    <x v="0"/>
    <x v="0"/>
    <x v="0"/>
    <x v="0"/>
    <n v="472.88606900999679"/>
    <n v="85.119492421799421"/>
    <n v="0"/>
    <d v="2023-09-12T00:00:00"/>
    <x v="0"/>
  </r>
  <r>
    <x v="43"/>
    <d v="2023-08-26T00:00:00"/>
    <x v="1214"/>
    <d v="2023-08-22T00:00:00"/>
    <x v="0"/>
    <x v="0"/>
    <n v="30497"/>
    <x v="4"/>
    <x v="0"/>
    <n v="5201.009"/>
    <n v="1.64"/>
    <n v="0"/>
    <n v="0"/>
    <x v="0"/>
    <s v="Raw Cotton"/>
    <n v="14544170"/>
    <x v="0"/>
    <n v="2617950.6"/>
    <x v="0"/>
    <m/>
    <m/>
    <x v="0"/>
    <x v="0"/>
    <x v="0"/>
    <x v="4"/>
    <x v="0"/>
    <x v="0"/>
    <m/>
    <x v="0"/>
    <x v="1"/>
    <x v="0"/>
    <x v="0"/>
    <x v="0"/>
    <x v="0"/>
    <n v="476.90494146965273"/>
    <n v="85.842889464537492"/>
    <n v="0"/>
    <d v="2023-09-25T00:00:00"/>
    <x v="0"/>
  </r>
  <r>
    <x v="44"/>
    <d v="2023-08-24T00:00:00"/>
    <x v="1215"/>
    <d v="2023-08-20T00:00:00"/>
    <x v="0"/>
    <x v="0"/>
    <n v="30643"/>
    <x v="4"/>
    <x v="0"/>
    <n v="5201.009"/>
    <n v="1.68"/>
    <n v="0"/>
    <n v="0"/>
    <x v="0"/>
    <s v="Raw Cotton"/>
    <n v="14942198"/>
    <x v="0"/>
    <n v="2689595.64"/>
    <x v="0"/>
    <m/>
    <m/>
    <x v="0"/>
    <x v="0"/>
    <x v="0"/>
    <x v="4"/>
    <x v="0"/>
    <x v="0"/>
    <m/>
    <x v="0"/>
    <x v="1"/>
    <x v="0"/>
    <x v="0"/>
    <x v="0"/>
    <x v="0"/>
    <n v="487.62190386058808"/>
    <n v="87.77194269490586"/>
    <n v="0"/>
    <d v="2023-09-23T00:00:00"/>
    <x v="0"/>
  </r>
  <r>
    <x v="45"/>
    <d v="2023-08-24T00:00:00"/>
    <x v="1216"/>
    <d v="2023-08-20T00:00:00"/>
    <x v="0"/>
    <x v="0"/>
    <n v="30270"/>
    <x v="4"/>
    <x v="0"/>
    <n v="5201.009"/>
    <n v="1.68"/>
    <n v="0"/>
    <n v="0"/>
    <x v="0"/>
    <s v="Raw Cotton"/>
    <n v="14760316"/>
    <x v="0"/>
    <n v="2656856.88"/>
    <x v="0"/>
    <m/>
    <m/>
    <x v="0"/>
    <x v="0"/>
    <x v="0"/>
    <x v="4"/>
    <x v="0"/>
    <x v="0"/>
    <m/>
    <x v="0"/>
    <x v="1"/>
    <x v="0"/>
    <x v="0"/>
    <x v="0"/>
    <x v="0"/>
    <n v="487.62193591014204"/>
    <n v="87.771948463825566"/>
    <n v="0"/>
    <d v="2023-09-23T00:00:00"/>
    <x v="0"/>
  </r>
  <r>
    <x v="46"/>
    <d v="2023-08-30T00:00:00"/>
    <x v="1217"/>
    <d v="2023-08-26T00:00:00"/>
    <x v="0"/>
    <x v="0"/>
    <n v="30456"/>
    <x v="4"/>
    <x v="0"/>
    <n v="5201.009"/>
    <n v="1.58"/>
    <n v="0"/>
    <n v="0"/>
    <x v="0"/>
    <s v="Raw Cotton"/>
    <n v="13953424"/>
    <x v="0"/>
    <n v="2511616.3199999998"/>
    <x v="0"/>
    <m/>
    <m/>
    <x v="0"/>
    <x v="0"/>
    <x v="0"/>
    <x v="4"/>
    <x v="0"/>
    <x v="0"/>
    <m/>
    <x v="0"/>
    <x v="1"/>
    <x v="0"/>
    <x v="0"/>
    <x v="0"/>
    <x v="0"/>
    <n v="458.15024954032049"/>
    <n v="82.467044917257681"/>
    <n v="0"/>
    <d v="2023-09-29T00:00:00"/>
    <x v="0"/>
  </r>
  <r>
    <x v="47"/>
    <d v="2023-08-15T00:00:00"/>
    <x v="1218"/>
    <d v="2023-08-11T00:00:00"/>
    <x v="0"/>
    <x v="0"/>
    <n v="30665"/>
    <x v="4"/>
    <x v="0"/>
    <n v="5201.009"/>
    <n v="1.64"/>
    <n v="0"/>
    <n v="0"/>
    <x v="0"/>
    <s v="Raw Cotton"/>
    <n v="14542131"/>
    <x v="0"/>
    <n v="2617583.58"/>
    <x v="0"/>
    <m/>
    <m/>
    <x v="0"/>
    <x v="0"/>
    <x v="0"/>
    <x v="4"/>
    <x v="0"/>
    <x v="0"/>
    <m/>
    <x v="0"/>
    <x v="1"/>
    <x v="0"/>
    <x v="0"/>
    <x v="0"/>
    <x v="0"/>
    <n v="474.22569704875264"/>
    <n v="85.360625468775481"/>
    <n v="0"/>
    <d v="2023-09-14T00:00:00"/>
    <x v="0"/>
  </r>
  <r>
    <x v="48"/>
    <d v="2023-08-23T00:00:00"/>
    <x v="1219"/>
    <d v="2023-08-19T00:00:00"/>
    <x v="0"/>
    <x v="0"/>
    <n v="29150"/>
    <x v="4"/>
    <x v="0"/>
    <n v="5201.009"/>
    <n v="1.56"/>
    <n v="0"/>
    <n v="0"/>
    <x v="0"/>
    <s v="Raw Cotton"/>
    <n v="13159830"/>
    <x v="0"/>
    <n v="2368769.4"/>
    <x v="0"/>
    <m/>
    <m/>
    <x v="0"/>
    <x v="0"/>
    <x v="0"/>
    <x v="4"/>
    <x v="0"/>
    <x v="0"/>
    <m/>
    <x v="0"/>
    <x v="1"/>
    <x v="0"/>
    <x v="0"/>
    <x v="0"/>
    <x v="0"/>
    <n v="451.45214408233278"/>
    <n v="81.261385934819899"/>
    <n v="0"/>
    <d v="2023-09-22T00:00:00"/>
    <x v="0"/>
  </r>
  <r>
    <x v="49"/>
    <d v="2023-08-24T00:00:00"/>
    <x v="1220"/>
    <d v="2023-08-20T00:00:00"/>
    <x v="0"/>
    <x v="0"/>
    <n v="29012"/>
    <x v="4"/>
    <x v="0"/>
    <n v="5201.009"/>
    <n v="1.59"/>
    <n v="0"/>
    <n v="0"/>
    <x v="0"/>
    <s v="Raw Cotton"/>
    <n v="13408450"/>
    <x v="0"/>
    <n v="2413521"/>
    <x v="0"/>
    <m/>
    <m/>
    <x v="0"/>
    <x v="0"/>
    <x v="0"/>
    <x v="4"/>
    <x v="0"/>
    <x v="0"/>
    <m/>
    <x v="0"/>
    <x v="1"/>
    <x v="0"/>
    <x v="0"/>
    <x v="0"/>
    <x v="0"/>
    <n v="462.1691024403695"/>
    <n v="83.190438439266515"/>
    <n v="0"/>
    <d v="2023-09-23T00:00:00"/>
    <x v="0"/>
  </r>
  <r>
    <x v="50"/>
    <d v="2023-09-02T00:00:00"/>
    <x v="1221"/>
    <d v="2023-08-29T00:00:00"/>
    <x v="0"/>
    <x v="0"/>
    <n v="12804"/>
    <x v="4"/>
    <x v="0"/>
    <n v="5505.1"/>
    <n v="1.59"/>
    <n v="0"/>
    <n v="0"/>
    <x v="20"/>
    <s v="Comber Noil"/>
    <n v="5889840"/>
    <x v="0"/>
    <n v="1060171.2"/>
    <x v="0"/>
    <m/>
    <m/>
    <x v="0"/>
    <x v="0"/>
    <x v="0"/>
    <x v="4"/>
    <x v="0"/>
    <x v="0"/>
    <m/>
    <x v="0"/>
    <x v="1"/>
    <x v="0"/>
    <x v="0"/>
    <x v="0"/>
    <x v="8"/>
    <n v="460"/>
    <n v="82.8"/>
    <n v="0"/>
    <d v="2023-10-02T00:00:00"/>
    <x v="0"/>
  </r>
  <r>
    <x v="51"/>
    <d v="2023-09-03T00:00:00"/>
    <x v="1222"/>
    <d v="2023-08-30T00:00:00"/>
    <x v="0"/>
    <x v="0"/>
    <n v="12894"/>
    <x v="4"/>
    <x v="0"/>
    <n v="5505.1"/>
    <n v="1.59"/>
    <n v="0"/>
    <n v="0"/>
    <x v="20"/>
    <s v="Comber Noil"/>
    <n v="5931240"/>
    <x v="0"/>
    <n v="1067623.2"/>
    <x v="0"/>
    <m/>
    <m/>
    <x v="0"/>
    <x v="0"/>
    <x v="0"/>
    <x v="4"/>
    <x v="0"/>
    <x v="0"/>
    <m/>
    <x v="0"/>
    <x v="1"/>
    <x v="0"/>
    <x v="0"/>
    <x v="0"/>
    <x v="8"/>
    <n v="460"/>
    <n v="82.8"/>
    <n v="0"/>
    <d v="2023-10-03T00:00:00"/>
    <x v="0"/>
  </r>
  <r>
    <x v="52"/>
    <d v="2023-09-04T00:00:00"/>
    <x v="1223"/>
    <d v="2023-08-31T00:00:00"/>
    <x v="0"/>
    <x v="0"/>
    <n v="12120"/>
    <x v="4"/>
    <x v="0"/>
    <n v="5505.1"/>
    <n v="1.59"/>
    <n v="0"/>
    <n v="0"/>
    <x v="20"/>
    <s v="Comber Noil"/>
    <n v="5575200"/>
    <x v="0"/>
    <n v="1003536"/>
    <x v="0"/>
    <m/>
    <m/>
    <x v="0"/>
    <x v="0"/>
    <x v="0"/>
    <x v="4"/>
    <x v="0"/>
    <x v="0"/>
    <m/>
    <x v="0"/>
    <x v="1"/>
    <x v="0"/>
    <x v="0"/>
    <x v="0"/>
    <x v="8"/>
    <n v="460"/>
    <n v="82.8"/>
    <n v="0"/>
    <d v="2023-10-04T00:00:00"/>
    <x v="0"/>
  </r>
  <r>
    <x v="53"/>
    <d v="2023-09-05T00:00:00"/>
    <x v="1224"/>
    <d v="2023-09-01T00:00:00"/>
    <x v="0"/>
    <x v="0"/>
    <n v="12190"/>
    <x v="4"/>
    <x v="0"/>
    <n v="5505.1"/>
    <n v="1.59"/>
    <n v="0"/>
    <n v="0"/>
    <x v="20"/>
    <s v="Comber Noil"/>
    <n v="5607400"/>
    <x v="0"/>
    <n v="1009332"/>
    <x v="0"/>
    <m/>
    <m/>
    <x v="0"/>
    <x v="0"/>
    <x v="0"/>
    <x v="4"/>
    <x v="0"/>
    <x v="0"/>
    <m/>
    <x v="0"/>
    <x v="1"/>
    <x v="0"/>
    <x v="0"/>
    <x v="0"/>
    <x v="8"/>
    <n v="460"/>
    <n v="82.8"/>
    <n v="0"/>
    <d v="2023-10-05T00:00:00"/>
    <x v="0"/>
  </r>
  <r>
    <x v="54"/>
    <d v="2023-09-06T00:00:00"/>
    <x v="1225"/>
    <d v="2023-09-02T00:00:00"/>
    <x v="0"/>
    <x v="0"/>
    <n v="9966"/>
    <x v="4"/>
    <x v="0"/>
    <n v="5505.1"/>
    <n v="1.59"/>
    <n v="0"/>
    <n v="0"/>
    <x v="20"/>
    <s v="Comber Noil"/>
    <n v="4584360"/>
    <x v="0"/>
    <n v="825184.79999999993"/>
    <x v="0"/>
    <m/>
    <m/>
    <x v="0"/>
    <x v="0"/>
    <x v="0"/>
    <x v="4"/>
    <x v="0"/>
    <x v="0"/>
    <m/>
    <x v="0"/>
    <x v="1"/>
    <x v="0"/>
    <x v="0"/>
    <x v="0"/>
    <x v="8"/>
    <n v="460"/>
    <n v="82.8"/>
    <n v="0"/>
    <d v="2023-10-06T00:00:00"/>
    <x v="0"/>
  </r>
  <r>
    <x v="55"/>
    <d v="2023-08-11T00:00:00"/>
    <x v="1226"/>
    <d v="2023-08-07T00:00:00"/>
    <x v="0"/>
    <x v="0"/>
    <n v="31025"/>
    <x v="4"/>
    <x v="0"/>
    <n v="5201.009"/>
    <n v="1.63"/>
    <n v="0"/>
    <n v="0"/>
    <x v="0"/>
    <s v="Raw Cotton"/>
    <n v="14671291"/>
    <x v="0"/>
    <n v="2640832.38"/>
    <x v="0"/>
    <m/>
    <m/>
    <x v="0"/>
    <x v="0"/>
    <x v="0"/>
    <x v="4"/>
    <x v="0"/>
    <x v="0"/>
    <m/>
    <x v="0"/>
    <x v="1"/>
    <x v="0"/>
    <x v="0"/>
    <x v="0"/>
    <x v="0"/>
    <n v="472.88609186140212"/>
    <n v="85.119496535052377"/>
    <n v="0"/>
    <d v="2023-09-10T00:00:00"/>
    <x v="0"/>
  </r>
  <r>
    <x v="56"/>
    <d v="2023-08-30T00:00:00"/>
    <x v="1227"/>
    <d v="2023-08-26T00:00:00"/>
    <x v="0"/>
    <x v="0"/>
    <n v="30702"/>
    <x v="4"/>
    <x v="0"/>
    <n v="5201.009"/>
    <n v="1.56"/>
    <n v="0"/>
    <n v="0"/>
    <x v="0"/>
    <s v="Raw Cotton"/>
    <n v="13901613"/>
    <x v="0"/>
    <n v="2502290.34"/>
    <x v="0"/>
    <m/>
    <m/>
    <x v="0"/>
    <x v="0"/>
    <x v="0"/>
    <x v="4"/>
    <x v="0"/>
    <x v="0"/>
    <m/>
    <x v="0"/>
    <x v="1"/>
    <x v="0"/>
    <x v="0"/>
    <x v="0"/>
    <x v="0"/>
    <n v="452.79177252296267"/>
    <n v="81.502519054133273"/>
    <n v="0"/>
    <d v="2023-09-29T00:00:00"/>
    <x v="0"/>
  </r>
  <r>
    <x v="57"/>
    <d v="2023-09-09T00:00:00"/>
    <x v="1228"/>
    <d v="2023-09-05T00:00:00"/>
    <x v="0"/>
    <x v="0"/>
    <n v="3901"/>
    <x v="4"/>
    <x v="0"/>
    <n v="5201.009"/>
    <n v="2.85"/>
    <n v="0"/>
    <n v="0"/>
    <x v="3"/>
    <s v="CVC60:40 - 40/1 8600 ( LBS"/>
    <n v="3225000"/>
    <x v="0"/>
    <n v="580500"/>
    <x v="0"/>
    <m/>
    <m/>
    <x v="0"/>
    <x v="0"/>
    <x v="0"/>
    <x v="4"/>
    <x v="0"/>
    <x v="0"/>
    <m/>
    <x v="0"/>
    <x v="1"/>
    <x v="0"/>
    <x v="0"/>
    <x v="0"/>
    <x v="3"/>
    <n v="826.71109971802105"/>
    <n v="148.80799794924377"/>
    <n v="0"/>
    <d v="2023-10-09T00:00:00"/>
    <x v="0"/>
  </r>
  <r>
    <x v="58"/>
    <d v="2023-09-09T00:00:00"/>
    <x v="1229"/>
    <d v="2023-09-05T00:00:00"/>
    <x v="0"/>
    <x v="2"/>
    <n v="272"/>
    <x v="4"/>
    <x v="0"/>
    <n v="5205.1099999999997"/>
    <n v="2.7"/>
    <n v="272"/>
    <n v="272"/>
    <x v="10"/>
    <s v="10/1 Cotton Yarn (600 LBS"/>
    <n v="213000"/>
    <x v="0"/>
    <n v="38340"/>
    <x v="0"/>
    <m/>
    <m/>
    <x v="0"/>
    <x v="0"/>
    <x v="0"/>
    <x v="0"/>
    <x v="0"/>
    <x v="0"/>
    <m/>
    <x v="0"/>
    <x v="1"/>
    <x v="0"/>
    <x v="0"/>
    <x v="0"/>
    <x v="3"/>
    <n v="783.08823529411768"/>
    <n v="140.95588235294119"/>
    <n v="38340"/>
    <d v="2023-10-09T00:00:00"/>
    <x v="0"/>
  </r>
  <r>
    <x v="59"/>
    <d v="2023-08-19T00:00:00"/>
    <x v="1230"/>
    <d v="2023-08-15T00:00:00"/>
    <x v="0"/>
    <x v="0"/>
    <n v="29492"/>
    <x v="4"/>
    <x v="0"/>
    <n v="5201.009"/>
    <n v="1.64"/>
    <n v="0"/>
    <n v="0"/>
    <x v="0"/>
    <s v="Raw Cotton"/>
    <n v="14064881"/>
    <x v="0"/>
    <n v="2531678.58"/>
    <x v="0"/>
    <m/>
    <m/>
    <x v="0"/>
    <x v="0"/>
    <x v="0"/>
    <x v="4"/>
    <x v="0"/>
    <x v="0"/>
    <m/>
    <x v="0"/>
    <x v="1"/>
    <x v="0"/>
    <x v="0"/>
    <x v="0"/>
    <x v="0"/>
    <n v="476.90495727654957"/>
    <n v="85.842892309778932"/>
    <n v="0"/>
    <d v="2023-09-18T00:00:00"/>
    <x v="0"/>
  </r>
  <r>
    <x v="60"/>
    <d v="2023-09-11T00:00:00"/>
    <x v="1231"/>
    <d v="2023-09-07T00:00:00"/>
    <x v="0"/>
    <x v="0"/>
    <n v="4808"/>
    <x v="4"/>
    <x v="0"/>
    <n v="5402.39"/>
    <n v="2.4700000000000002"/>
    <n v="0"/>
    <n v="0"/>
    <x v="3"/>
    <s v="PC52:48 - 24/1 ( 10600 LBS"/>
    <n v="3445000"/>
    <x v="0"/>
    <n v="620100"/>
    <x v="0"/>
    <m/>
    <m/>
    <x v="0"/>
    <x v="0"/>
    <x v="0"/>
    <x v="4"/>
    <x v="0"/>
    <x v="0"/>
    <m/>
    <x v="0"/>
    <x v="1"/>
    <x v="0"/>
    <x v="0"/>
    <x v="0"/>
    <x v="3"/>
    <n v="716.51414309484198"/>
    <n v="128.97254575707154"/>
    <n v="0"/>
    <d v="2023-10-11T00:00:00"/>
    <x v="0"/>
  </r>
  <r>
    <x v="61"/>
    <d v="2023-09-12T00:00:00"/>
    <x v="1232"/>
    <d v="2023-09-08T00:00:00"/>
    <x v="0"/>
    <x v="0"/>
    <n v="18144"/>
    <x v="4"/>
    <x v="0"/>
    <n v="5402.39"/>
    <n v="2.42"/>
    <n v="0"/>
    <n v="0"/>
    <x v="3"/>
    <s v="PC52:48 - 24/1 ( 40000 LBS"/>
    <n v="12720000"/>
    <x v="0"/>
    <n v="2289600"/>
    <x v="0"/>
    <m/>
    <m/>
    <x v="0"/>
    <x v="0"/>
    <x v="0"/>
    <x v="4"/>
    <x v="0"/>
    <x v="0"/>
    <m/>
    <x v="0"/>
    <x v="1"/>
    <x v="0"/>
    <x v="0"/>
    <x v="0"/>
    <x v="3"/>
    <n v="701.05820105820101"/>
    <n v="126.19047619047619"/>
    <n v="0"/>
    <d v="2023-10-12T00:00:00"/>
    <x v="0"/>
  </r>
  <r>
    <x v="62"/>
    <d v="2023-09-12T00:00:00"/>
    <x v="1233"/>
    <d v="2023-09-08T00:00:00"/>
    <x v="0"/>
    <x v="0"/>
    <n v="9676"/>
    <x v="4"/>
    <x v="0"/>
    <n v="5505.1"/>
    <n v="1.62"/>
    <n v="0"/>
    <n v="0"/>
    <x v="20"/>
    <s v="Comber Noil"/>
    <n v="4547720"/>
    <x v="0"/>
    <n v="818589.6"/>
    <x v="0"/>
    <m/>
    <m/>
    <x v="0"/>
    <x v="0"/>
    <x v="0"/>
    <x v="4"/>
    <x v="0"/>
    <x v="0"/>
    <m/>
    <x v="0"/>
    <x v="1"/>
    <x v="0"/>
    <x v="0"/>
    <x v="0"/>
    <x v="8"/>
    <n v="470"/>
    <n v="84.6"/>
    <n v="0"/>
    <d v="2023-10-12T00:00:00"/>
    <x v="0"/>
  </r>
  <r>
    <x v="63"/>
    <d v="2023-09-13T00:00:00"/>
    <x v="1234"/>
    <d v="2023-09-09T00:00:00"/>
    <x v="0"/>
    <x v="0"/>
    <n v="12935"/>
    <x v="4"/>
    <x v="0"/>
    <n v="5505.1"/>
    <n v="1.63"/>
    <n v="0"/>
    <n v="0"/>
    <x v="20"/>
    <s v="Comber Noil"/>
    <n v="6105320"/>
    <x v="0"/>
    <n v="1098957.5999999999"/>
    <x v="0"/>
    <m/>
    <m/>
    <x v="0"/>
    <x v="0"/>
    <x v="0"/>
    <x v="4"/>
    <x v="0"/>
    <x v="0"/>
    <m/>
    <x v="0"/>
    <x v="1"/>
    <x v="0"/>
    <x v="0"/>
    <x v="0"/>
    <x v="8"/>
    <n v="472"/>
    <n v="84.96"/>
    <n v="0"/>
    <d v="2023-10-13T00:00:00"/>
    <x v="0"/>
  </r>
  <r>
    <x v="64"/>
    <d v="2023-09-13T00:00:00"/>
    <x v="1235"/>
    <d v="2023-09-09T00:00:00"/>
    <x v="0"/>
    <x v="0"/>
    <n v="12220"/>
    <x v="4"/>
    <x v="0"/>
    <n v="5505.1"/>
    <n v="1.63"/>
    <n v="0"/>
    <n v="0"/>
    <x v="20"/>
    <s v="Comber Noil"/>
    <n v="5767840"/>
    <x v="0"/>
    <n v="1038211.2"/>
    <x v="0"/>
    <m/>
    <m/>
    <x v="0"/>
    <x v="0"/>
    <x v="0"/>
    <x v="4"/>
    <x v="0"/>
    <x v="0"/>
    <m/>
    <x v="0"/>
    <x v="1"/>
    <x v="0"/>
    <x v="0"/>
    <x v="0"/>
    <x v="8"/>
    <n v="472"/>
    <n v="84.96"/>
    <n v="0"/>
    <d v="2023-10-13T00:00:00"/>
    <x v="0"/>
  </r>
  <r>
    <x v="65"/>
    <d v="2023-09-15T00:00:00"/>
    <x v="1236"/>
    <d v="2023-09-11T00:00:00"/>
    <x v="0"/>
    <x v="0"/>
    <n v="12240"/>
    <x v="4"/>
    <x v="0"/>
    <n v="5505.1"/>
    <n v="1.63"/>
    <n v="0"/>
    <n v="0"/>
    <x v="20"/>
    <s v="Comber Noil"/>
    <n v="5777280"/>
    <x v="0"/>
    <n v="1039910.3999999999"/>
    <x v="0"/>
    <m/>
    <m/>
    <x v="0"/>
    <x v="0"/>
    <x v="0"/>
    <x v="4"/>
    <x v="0"/>
    <x v="0"/>
    <m/>
    <x v="0"/>
    <x v="1"/>
    <x v="0"/>
    <x v="0"/>
    <x v="0"/>
    <x v="8"/>
    <n v="472"/>
    <n v="84.96"/>
    <n v="0"/>
    <d v="2023-10-15T00:00:00"/>
    <x v="0"/>
  </r>
  <r>
    <x v="66"/>
    <d v="2023-09-15T00:00:00"/>
    <x v="1237"/>
    <d v="2023-09-11T00:00:00"/>
    <x v="0"/>
    <x v="0"/>
    <n v="12260"/>
    <x v="4"/>
    <x v="0"/>
    <n v="5505.1"/>
    <n v="1.63"/>
    <n v="0"/>
    <n v="0"/>
    <x v="20"/>
    <s v="Comber Noil"/>
    <n v="5786720"/>
    <x v="0"/>
    <n v="1041609.6"/>
    <x v="0"/>
    <m/>
    <m/>
    <x v="0"/>
    <x v="0"/>
    <x v="0"/>
    <x v="4"/>
    <x v="0"/>
    <x v="0"/>
    <m/>
    <x v="0"/>
    <x v="1"/>
    <x v="0"/>
    <x v="0"/>
    <x v="0"/>
    <x v="8"/>
    <n v="472"/>
    <n v="84.96"/>
    <n v="0"/>
    <d v="2023-10-15T00:00:00"/>
    <x v="0"/>
  </r>
  <r>
    <x v="67"/>
    <d v="2023-09-16T00:00:00"/>
    <x v="1238"/>
    <d v="2023-09-12T00:00:00"/>
    <x v="0"/>
    <x v="0"/>
    <n v="10412"/>
    <x v="4"/>
    <x v="0"/>
    <n v="5505.1"/>
    <n v="1.63"/>
    <n v="0"/>
    <n v="0"/>
    <x v="20"/>
    <s v="Comber Noil"/>
    <n v="4914464"/>
    <x v="0"/>
    <n v="884603.52"/>
    <x v="0"/>
    <m/>
    <m/>
    <x v="0"/>
    <x v="0"/>
    <x v="0"/>
    <x v="4"/>
    <x v="0"/>
    <x v="0"/>
    <m/>
    <x v="0"/>
    <x v="1"/>
    <x v="0"/>
    <x v="0"/>
    <x v="0"/>
    <x v="8"/>
    <n v="472"/>
    <n v="84.960000000000008"/>
    <n v="0"/>
    <d v="2023-10-16T00:00:00"/>
    <x v="0"/>
  </r>
  <r>
    <x v="68"/>
    <d v="2023-08-27T00:00:00"/>
    <x v="1239"/>
    <d v="2023-08-23T00:00:00"/>
    <x v="0"/>
    <x v="0"/>
    <n v="31459"/>
    <x v="4"/>
    <x v="0"/>
    <n v="5201.009"/>
    <n v="1.68"/>
    <n v="0"/>
    <n v="0"/>
    <x v="0"/>
    <s v="Raw Cotton"/>
    <n v="15319026"/>
    <x v="0"/>
    <n v="2757424.6799999997"/>
    <x v="0"/>
    <m/>
    <m/>
    <x v="0"/>
    <x v="0"/>
    <x v="0"/>
    <x v="4"/>
    <x v="0"/>
    <x v="0"/>
    <m/>
    <x v="0"/>
    <x v="1"/>
    <x v="0"/>
    <x v="0"/>
    <x v="0"/>
    <x v="0"/>
    <n v="486.95209637941446"/>
    <n v="87.651377348294602"/>
    <n v="0"/>
    <d v="2023-09-26T00:00:00"/>
    <x v="0"/>
  </r>
  <r>
    <x v="69"/>
    <d v="2023-08-10T00:00:00"/>
    <x v="1240"/>
    <d v="2023-08-06T00:00:00"/>
    <x v="0"/>
    <x v="0"/>
    <n v="30038"/>
    <x v="4"/>
    <x v="0"/>
    <n v="5201.009"/>
    <n v="1.63"/>
    <n v="0"/>
    <n v="0"/>
    <x v="0"/>
    <s v="Raw Cotton"/>
    <n v="14224672"/>
    <x v="0"/>
    <n v="2560440.96"/>
    <x v="0"/>
    <m/>
    <m/>
    <x v="0"/>
    <x v="0"/>
    <x v="0"/>
    <x v="4"/>
    <x v="0"/>
    <x v="0"/>
    <m/>
    <x v="0"/>
    <x v="1"/>
    <x v="0"/>
    <x v="0"/>
    <x v="0"/>
    <x v="0"/>
    <n v="473.55589586523735"/>
    <n v="85.240061255742731"/>
    <n v="0"/>
    <d v="2023-09-09T00:00:00"/>
    <x v="0"/>
  </r>
  <r>
    <x v="70"/>
    <d v="2023-08-26T00:00:00"/>
    <x v="1241"/>
    <d v="2023-08-22T00:00:00"/>
    <x v="0"/>
    <x v="0"/>
    <n v="27518"/>
    <x v="4"/>
    <x v="0"/>
    <n v="5201.009"/>
    <n v="1.64"/>
    <n v="0"/>
    <n v="0"/>
    <x v="0"/>
    <s v="Raw Cotton"/>
    <n v="13049743"/>
    <x v="0"/>
    <n v="2348953.7399999998"/>
    <x v="0"/>
    <m/>
    <m/>
    <x v="0"/>
    <x v="0"/>
    <x v="0"/>
    <x v="4"/>
    <x v="0"/>
    <x v="0"/>
    <m/>
    <x v="0"/>
    <x v="1"/>
    <x v="0"/>
    <x v="0"/>
    <x v="0"/>
    <x v="0"/>
    <n v="474.22570681008796"/>
    <n v="85.360627225815819"/>
    <n v="0"/>
    <d v="2023-09-25T00:00:00"/>
    <x v="0"/>
  </r>
  <r>
    <x v="71"/>
    <d v="2023-09-02T00:00:00"/>
    <x v="1242"/>
    <d v="2023-08-29T00:00:00"/>
    <x v="0"/>
    <x v="0"/>
    <n v="47124"/>
    <x v="4"/>
    <x v="0"/>
    <n v="5503.201"/>
    <n v="1.29"/>
    <n v="0"/>
    <n v="0"/>
    <x v="1"/>
    <s v="Polyester Staple Fiber"/>
    <n v="17671500"/>
    <x v="0"/>
    <n v="3180870"/>
    <x v="0"/>
    <m/>
    <m/>
    <x v="0"/>
    <x v="0"/>
    <x v="0"/>
    <x v="5"/>
    <x v="0"/>
    <x v="0"/>
    <m/>
    <x v="0"/>
    <x v="1"/>
    <x v="0"/>
    <x v="0"/>
    <x v="0"/>
    <x v="1"/>
    <n v="375"/>
    <n v="67.5"/>
    <n v="0"/>
    <d v="2023-10-02T00:00:00"/>
    <x v="0"/>
  </r>
  <r>
    <x v="72"/>
    <d v="2023-08-23T00:00:00"/>
    <x v="1243"/>
    <d v="2023-08-19T00:00:00"/>
    <x v="0"/>
    <x v="0"/>
    <n v="28445"/>
    <x v="4"/>
    <x v="0"/>
    <n v="5201.009"/>
    <n v="1.63"/>
    <n v="0"/>
    <n v="0"/>
    <x v="0"/>
    <s v="Raw Cotton"/>
    <n v="13451245"/>
    <x v="0"/>
    <n v="2421224.1"/>
    <x v="0"/>
    <m/>
    <m/>
    <x v="0"/>
    <x v="0"/>
    <x v="0"/>
    <x v="4"/>
    <x v="0"/>
    <x v="0"/>
    <m/>
    <x v="0"/>
    <x v="1"/>
    <x v="0"/>
    <x v="0"/>
    <x v="0"/>
    <x v="0"/>
    <n v="472.88609597468798"/>
    <n v="85.119497275443848"/>
    <n v="0"/>
    <d v="2023-09-22T00:00:00"/>
    <x v="0"/>
  </r>
  <r>
    <x v="73"/>
    <d v="2023-09-10T00:00:00"/>
    <x v="1244"/>
    <d v="2023-09-06T00:00:00"/>
    <x v="0"/>
    <x v="0"/>
    <n v="40394"/>
    <x v="4"/>
    <x v="0"/>
    <n v="5503.201"/>
    <n v="1.29"/>
    <n v="0"/>
    <n v="0"/>
    <x v="1"/>
    <s v="Polyester Staple Fiber"/>
    <n v="15147787.5"/>
    <x v="0"/>
    <n v="2726601.75"/>
    <x v="0"/>
    <m/>
    <m/>
    <x v="0"/>
    <x v="0"/>
    <x v="0"/>
    <x v="5"/>
    <x v="0"/>
    <x v="0"/>
    <m/>
    <x v="0"/>
    <x v="1"/>
    <x v="0"/>
    <x v="0"/>
    <x v="0"/>
    <x v="1"/>
    <n v="375.00092835569637"/>
    <n v="67.500167104025351"/>
    <n v="0"/>
    <d v="2023-10-10T00:00:00"/>
    <x v="0"/>
  </r>
  <r>
    <x v="74"/>
    <d v="2023-09-12T00:00:00"/>
    <x v="1245"/>
    <d v="2023-09-08T00:00:00"/>
    <x v="0"/>
    <x v="0"/>
    <n v="35441"/>
    <x v="4"/>
    <x v="0"/>
    <n v="5503.201"/>
    <n v="1.29"/>
    <n v="0"/>
    <n v="0"/>
    <x v="1"/>
    <s v="Polyester Staple Fiber"/>
    <n v="13290487.5"/>
    <x v="0"/>
    <n v="2392287.75"/>
    <x v="0"/>
    <m/>
    <m/>
    <x v="0"/>
    <x v="0"/>
    <x v="0"/>
    <x v="5"/>
    <x v="0"/>
    <x v="0"/>
    <m/>
    <x v="0"/>
    <x v="1"/>
    <x v="0"/>
    <x v="0"/>
    <x v="0"/>
    <x v="1"/>
    <n v="375.00317428966451"/>
    <n v="67.500571372139618"/>
    <n v="0"/>
    <d v="2023-10-12T00:00:00"/>
    <x v="0"/>
  </r>
  <r>
    <x v="75"/>
    <d v="2023-08-28T00:00:00"/>
    <x v="1246"/>
    <d v="2023-08-24T00:00:00"/>
    <x v="0"/>
    <x v="0"/>
    <n v="29970"/>
    <x v="4"/>
    <x v="0"/>
    <n v="5201.009"/>
    <n v="1.68"/>
    <n v="0"/>
    <n v="0"/>
    <x v="0"/>
    <s v="Raw Cotton"/>
    <n v="14593954"/>
    <x v="0"/>
    <n v="2626911.7199999997"/>
    <x v="0"/>
    <m/>
    <m/>
    <x v="0"/>
    <x v="0"/>
    <x v="0"/>
    <x v="4"/>
    <x v="0"/>
    <x v="0"/>
    <m/>
    <x v="0"/>
    <x v="1"/>
    <x v="0"/>
    <x v="0"/>
    <x v="0"/>
    <x v="0"/>
    <n v="486.95208541875206"/>
    <n v="87.651375375375366"/>
    <n v="0"/>
    <d v="2023-09-27T00:00:00"/>
    <x v="0"/>
  </r>
  <r>
    <x v="76"/>
    <d v="2023-08-20T00:00:00"/>
    <x v="1247"/>
    <d v="2023-08-16T00:00:00"/>
    <x v="0"/>
    <x v="0"/>
    <n v="30696"/>
    <x v="4"/>
    <x v="0"/>
    <n v="5201.009"/>
    <n v="1.64"/>
    <n v="0"/>
    <n v="0"/>
    <x v="0"/>
    <s v="Raw Cotton"/>
    <n v="14556832"/>
    <x v="0"/>
    <n v="2620229.7599999998"/>
    <x v="0"/>
    <m/>
    <m/>
    <x v="0"/>
    <x v="0"/>
    <x v="0"/>
    <x v="4"/>
    <x v="0"/>
    <x v="0"/>
    <m/>
    <x v="0"/>
    <x v="1"/>
    <x v="0"/>
    <x v="0"/>
    <x v="0"/>
    <x v="0"/>
    <n v="474.22569715923896"/>
    <n v="85.360625488663004"/>
    <n v="0"/>
    <d v="2023-09-19T00:00:00"/>
    <x v="0"/>
  </r>
  <r>
    <x v="77"/>
    <d v="2023-09-04T00:00:00"/>
    <x v="1248"/>
    <d v="2023-08-31T00:00:00"/>
    <x v="0"/>
    <x v="0"/>
    <n v="29815"/>
    <x v="4"/>
    <x v="0"/>
    <n v="5201.009"/>
    <n v="1.67"/>
    <n v="0"/>
    <n v="0"/>
    <x v="0"/>
    <s v="Raw Cotton"/>
    <n v="14458866"/>
    <x v="0"/>
    <n v="2602595.88"/>
    <x v="0"/>
    <m/>
    <m/>
    <x v="0"/>
    <x v="0"/>
    <x v="0"/>
    <x v="4"/>
    <x v="0"/>
    <x v="0"/>
    <m/>
    <x v="0"/>
    <x v="1"/>
    <x v="0"/>
    <x v="0"/>
    <x v="0"/>
    <x v="0"/>
    <n v="484.95274190843537"/>
    <n v="87.291493543518357"/>
    <n v="0"/>
    <d v="2023-10-04T00:00:00"/>
    <x v="0"/>
  </r>
  <r>
    <x v="78"/>
    <d v="2023-09-27T00:00:00"/>
    <x v="1249"/>
    <d v="2023-09-23T00:00:00"/>
    <x v="0"/>
    <x v="0"/>
    <n v="30610"/>
    <x v="4"/>
    <x v="0"/>
    <n v="5201.009"/>
    <n v="1.8"/>
    <n v="0"/>
    <n v="0"/>
    <x v="0"/>
    <s v="Raw Cotton"/>
    <n v="15992257"/>
    <x v="0"/>
    <n v="2878606.26"/>
    <x v="0"/>
    <m/>
    <m/>
    <x v="0"/>
    <x v="0"/>
    <x v="0"/>
    <x v="4"/>
    <x v="0"/>
    <x v="0"/>
    <m/>
    <x v="0"/>
    <x v="1"/>
    <x v="0"/>
    <x v="0"/>
    <x v="0"/>
    <x v="0"/>
    <n v="522.45204181639986"/>
    <n v="94.041367526951973"/>
    <n v="0"/>
    <d v="2023-10-27T00:00:00"/>
    <x v="0"/>
  </r>
  <r>
    <x v="79"/>
    <d v="2023-10-06T00:00:00"/>
    <x v="1250"/>
    <d v="2023-10-02T00:00:00"/>
    <x v="0"/>
    <x v="0"/>
    <n v="31332"/>
    <x v="4"/>
    <x v="0"/>
    <n v="5201.009"/>
    <n v="1.72"/>
    <n v="0"/>
    <n v="0"/>
    <x v="0"/>
    <s v="Raw Cotton"/>
    <n v="15613953"/>
    <x v="0"/>
    <n v="2810511.54"/>
    <x v="0"/>
    <m/>
    <m/>
    <x v="0"/>
    <x v="0"/>
    <x v="0"/>
    <x v="4"/>
    <x v="0"/>
    <x v="0"/>
    <m/>
    <x v="0"/>
    <x v="1"/>
    <x v="0"/>
    <x v="0"/>
    <x v="0"/>
    <x v="0"/>
    <n v="498.33885484488701"/>
    <n v="89.700993872079664"/>
    <n v="0"/>
    <d v="2023-11-05T00:00:00"/>
    <x v="0"/>
  </r>
  <r>
    <x v="80"/>
    <d v="2023-09-21T00:00:00"/>
    <x v="1251"/>
    <d v="2023-09-17T00:00:00"/>
    <x v="0"/>
    <x v="0"/>
    <n v="91836"/>
    <x v="4"/>
    <x v="0"/>
    <n v="5201.009"/>
    <n v="1.75"/>
    <n v="0"/>
    <n v="0"/>
    <x v="0"/>
    <s v="Raw Cotton"/>
    <n v="46503601"/>
    <x v="0"/>
    <n v="8370648.1799999997"/>
    <x v="0"/>
    <m/>
    <m/>
    <x v="0"/>
    <x v="0"/>
    <x v="0"/>
    <x v="4"/>
    <x v="0"/>
    <x v="0"/>
    <m/>
    <x v="0"/>
    <x v="1"/>
    <x v="0"/>
    <x v="0"/>
    <x v="0"/>
    <x v="0"/>
    <n v="506.37659523498411"/>
    <n v="91.147787142297133"/>
    <n v="0"/>
    <d v="2023-10-21T00:00:00"/>
    <x v="0"/>
  </r>
  <r>
    <x v="81"/>
    <d v="2023-09-25T00:00:00"/>
    <x v="1252"/>
    <d v="2023-09-21T00:00:00"/>
    <x v="0"/>
    <x v="0"/>
    <n v="90565"/>
    <x v="4"/>
    <x v="0"/>
    <n v="5201.009"/>
    <n v="1.72"/>
    <n v="0"/>
    <n v="0"/>
    <x v="0"/>
    <s v="Raw Cotton"/>
    <n v="45253383"/>
    <x v="0"/>
    <n v="8145608.9399999995"/>
    <x v="0"/>
    <m/>
    <m/>
    <x v="0"/>
    <x v="0"/>
    <x v="0"/>
    <x v="4"/>
    <x v="0"/>
    <x v="0"/>
    <m/>
    <x v="0"/>
    <x v="1"/>
    <x v="0"/>
    <x v="0"/>
    <x v="0"/>
    <x v="0"/>
    <n v="499.6784961077679"/>
    <n v="89.942129299398218"/>
    <n v="0"/>
    <d v="2023-10-25T00:00:00"/>
    <x v="0"/>
  </r>
  <r>
    <x v="82"/>
    <d v="2023-09-29T00:00:00"/>
    <x v="1253"/>
    <d v="2023-09-25T00:00:00"/>
    <x v="0"/>
    <x v="0"/>
    <n v="30939"/>
    <x v="4"/>
    <x v="0"/>
    <n v="5201.009"/>
    <n v="1.72"/>
    <n v="0"/>
    <n v="0"/>
    <x v="0"/>
    <s v="Raw Cotton"/>
    <n v="15418106"/>
    <x v="0"/>
    <n v="2775259.08"/>
    <x v="0"/>
    <m/>
    <m/>
    <x v="0"/>
    <x v="0"/>
    <x v="0"/>
    <x v="4"/>
    <x v="0"/>
    <x v="0"/>
    <m/>
    <x v="0"/>
    <x v="1"/>
    <x v="0"/>
    <x v="0"/>
    <x v="0"/>
    <x v="0"/>
    <n v="498.3388603380846"/>
    <n v="89.700994860855232"/>
    <n v="0"/>
    <d v="2023-10-29T00:00:00"/>
    <x v="0"/>
  </r>
  <r>
    <x v="83"/>
    <d v="2023-09-26T00:00:00"/>
    <x v="1254"/>
    <d v="2023-09-22T00:00:00"/>
    <x v="0"/>
    <x v="0"/>
    <n v="31096"/>
    <x v="4"/>
    <x v="0"/>
    <n v="5201.009"/>
    <n v="1.8"/>
    <n v="0"/>
    <n v="0"/>
    <x v="0"/>
    <s v="Raw Cotton"/>
    <n v="16246168"/>
    <x v="0"/>
    <n v="2924310.2399999998"/>
    <x v="0"/>
    <m/>
    <m/>
    <x v="0"/>
    <x v="0"/>
    <x v="0"/>
    <x v="4"/>
    <x v="0"/>
    <x v="0"/>
    <m/>
    <x v="0"/>
    <x v="1"/>
    <x v="0"/>
    <x v="0"/>
    <x v="0"/>
    <x v="0"/>
    <n v="522.45201955235405"/>
    <n v="94.041363519423712"/>
    <n v="0"/>
    <d v="2023-10-26T00:00:00"/>
    <x v="0"/>
  </r>
  <r>
    <x v="84"/>
    <d v="2023-10-16T00:00:00"/>
    <x v="1255"/>
    <d v="2023-10-12T00:00:00"/>
    <x v="0"/>
    <x v="0"/>
    <n v="34955"/>
    <x v="4"/>
    <x v="0"/>
    <n v="5503.201"/>
    <n v="1.24"/>
    <n v="0"/>
    <n v="0"/>
    <x v="1"/>
    <s v="Polyester Staple Fiber"/>
    <n v="12583944"/>
    <x v="0"/>
    <n v="2265109.92"/>
    <x v="0"/>
    <m/>
    <m/>
    <x v="0"/>
    <x v="0"/>
    <x v="0"/>
    <x v="5"/>
    <x v="0"/>
    <x v="0"/>
    <m/>
    <x v="0"/>
    <x v="1"/>
    <x v="0"/>
    <x v="0"/>
    <x v="0"/>
    <x v="1"/>
    <n v="360.00411958232013"/>
    <n v="64.800741524817624"/>
    <n v="0"/>
    <d v="2023-11-15T00:00:00"/>
    <x v="0"/>
  </r>
  <r>
    <x v="85"/>
    <d v="2023-10-16T00:00:00"/>
    <x v="1256"/>
    <d v="2023-10-12T00:00:00"/>
    <x v="0"/>
    <x v="0"/>
    <n v="35003"/>
    <x v="4"/>
    <x v="0"/>
    <n v="5503.201"/>
    <n v="1.24"/>
    <n v="0"/>
    <n v="0"/>
    <x v="1"/>
    <s v="Polyester Staple Fiber"/>
    <n v="12601152"/>
    <x v="0"/>
    <n v="2268207.36"/>
    <x v="0"/>
    <m/>
    <m/>
    <x v="0"/>
    <x v="0"/>
    <x v="0"/>
    <x v="5"/>
    <x v="0"/>
    <x v="0"/>
    <m/>
    <x v="0"/>
    <x v="1"/>
    <x v="0"/>
    <x v="0"/>
    <x v="0"/>
    <x v="1"/>
    <n v="360.00205696654575"/>
    <n v="64.80037025397823"/>
    <n v="0"/>
    <d v="2023-11-15T00:00:00"/>
    <x v="0"/>
  </r>
  <r>
    <x v="86"/>
    <d v="2023-10-16T00:00:00"/>
    <x v="1257"/>
    <d v="2023-10-12T00:00:00"/>
    <x v="0"/>
    <x v="0"/>
    <n v="34843"/>
    <x v="4"/>
    <x v="0"/>
    <n v="5503.201"/>
    <n v="1.24"/>
    <n v="0"/>
    <n v="0"/>
    <x v="1"/>
    <s v="Polyester Staple Fiber"/>
    <n v="12543480"/>
    <x v="0"/>
    <n v="2257826.4"/>
    <x v="0"/>
    <m/>
    <m/>
    <x v="0"/>
    <x v="0"/>
    <x v="0"/>
    <x v="5"/>
    <x v="0"/>
    <x v="0"/>
    <m/>
    <x v="0"/>
    <x v="1"/>
    <x v="0"/>
    <x v="0"/>
    <x v="0"/>
    <x v="1"/>
    <n v="360"/>
    <n v="64.8"/>
    <n v="0"/>
    <d v="2023-11-15T00:00:00"/>
    <x v="0"/>
  </r>
  <r>
    <x v="87"/>
    <d v="2023-09-27T00:00:00"/>
    <x v="1258"/>
    <d v="2023-09-23T00:00:00"/>
    <x v="0"/>
    <x v="0"/>
    <n v="9600"/>
    <x v="4"/>
    <x v="0"/>
    <n v="5205.2299999999996"/>
    <n v="1.54"/>
    <n v="0"/>
    <n v="0"/>
    <x v="10"/>
    <s v="30/1 Cotton Yarn ( 24500 LBS)"/>
    <n v="4284300"/>
    <x v="0"/>
    <n v="771174"/>
    <x v="0"/>
    <m/>
    <m/>
    <x v="0"/>
    <x v="0"/>
    <x v="0"/>
    <x v="4"/>
    <x v="0"/>
    <x v="0"/>
    <m/>
    <x v="0"/>
    <x v="1"/>
    <x v="0"/>
    <x v="0"/>
    <x v="0"/>
    <x v="3"/>
    <n v="446.28125"/>
    <n v="80.330624999999998"/>
    <n v="0"/>
    <d v="2023-10-27T00:00:00"/>
    <x v="0"/>
  </r>
  <r>
    <x v="88"/>
    <d v="2023-10-06T00:00:00"/>
    <x v="1259"/>
    <d v="2023-10-02T00:00:00"/>
    <x v="0"/>
    <x v="0"/>
    <n v="7000"/>
    <x v="4"/>
    <x v="0"/>
    <n v="1108.1199999999999"/>
    <n v="0.35"/>
    <n v="0"/>
    <n v="0"/>
    <x v="12"/>
    <s v="Maize Starch (Coratex S)"/>
    <n v="714000"/>
    <x v="0"/>
    <n v="128520"/>
    <x v="0"/>
    <m/>
    <m/>
    <x v="0"/>
    <x v="0"/>
    <x v="0"/>
    <x v="4"/>
    <x v="0"/>
    <x v="0"/>
    <m/>
    <x v="0"/>
    <x v="1"/>
    <x v="0"/>
    <x v="0"/>
    <x v="0"/>
    <x v="5"/>
    <n v="102"/>
    <n v="18.36"/>
    <n v="0"/>
    <d v="2023-11-05T00:00:00"/>
    <x v="0"/>
  </r>
  <r>
    <x v="89"/>
    <d v="2023-10-06T00:00:00"/>
    <x v="1260"/>
    <d v="2023-10-02T00:00:00"/>
    <x v="0"/>
    <x v="0"/>
    <n v="30000"/>
    <x v="4"/>
    <x v="0"/>
    <n v="1108.1199999999999"/>
    <n v="0.35"/>
    <n v="0"/>
    <n v="0"/>
    <x v="12"/>
    <s v="Maize Starch (Coratex S)"/>
    <n v="3060000"/>
    <x v="0"/>
    <n v="550800"/>
    <x v="0"/>
    <m/>
    <m/>
    <x v="0"/>
    <x v="0"/>
    <x v="0"/>
    <x v="4"/>
    <x v="0"/>
    <x v="0"/>
    <m/>
    <x v="0"/>
    <x v="1"/>
    <x v="0"/>
    <x v="0"/>
    <x v="0"/>
    <x v="5"/>
    <n v="102"/>
    <n v="18.36"/>
    <n v="0"/>
    <d v="2023-11-05T00:00:00"/>
    <x v="0"/>
  </r>
  <r>
    <x v="90"/>
    <d v="2023-10-06T00:00:00"/>
    <x v="1261"/>
    <d v="2023-10-02T00:00:00"/>
    <x v="0"/>
    <x v="0"/>
    <n v="23000"/>
    <x v="4"/>
    <x v="0"/>
    <n v="1108.1199999999999"/>
    <n v="0.35"/>
    <n v="0"/>
    <n v="0"/>
    <x v="12"/>
    <s v="Maize Starch (Coratex S)"/>
    <n v="2346000"/>
    <x v="0"/>
    <n v="422280"/>
    <x v="0"/>
    <m/>
    <m/>
    <x v="0"/>
    <x v="0"/>
    <x v="0"/>
    <x v="4"/>
    <x v="0"/>
    <x v="0"/>
    <m/>
    <x v="0"/>
    <x v="1"/>
    <x v="0"/>
    <x v="0"/>
    <x v="0"/>
    <x v="5"/>
    <n v="102"/>
    <n v="18.36"/>
    <n v="0"/>
    <d v="2023-11-05T00:00:00"/>
    <x v="0"/>
  </r>
  <r>
    <x v="91"/>
    <d v="2023-10-01T00:00:00"/>
    <x v="1262"/>
    <d v="2023-10-24T00:00:00"/>
    <x v="0"/>
    <x v="0"/>
    <n v="30366"/>
    <x v="4"/>
    <x v="0"/>
    <n v="5201.009"/>
    <n v="1.76"/>
    <n v="0"/>
    <n v="0"/>
    <x v="0"/>
    <s v="Raw Cotton"/>
    <n v="15457989"/>
    <x v="0"/>
    <n v="2782438.02"/>
    <x v="0"/>
    <m/>
    <m/>
    <x v="0"/>
    <x v="0"/>
    <x v="0"/>
    <x v="4"/>
    <x v="0"/>
    <x v="0"/>
    <m/>
    <x v="0"/>
    <x v="1"/>
    <x v="0"/>
    <x v="0"/>
    <x v="0"/>
    <x v="0"/>
    <n v="509.05581900810114"/>
    <n v="91.630047421458215"/>
    <n v="0"/>
    <d v="2023-10-31T00:00:00"/>
    <x v="0"/>
  </r>
  <r>
    <x v="92"/>
    <d v="2023-10-01T00:00:00"/>
    <x v="1263"/>
    <d v="2023-10-26T00:00:00"/>
    <x v="0"/>
    <x v="0"/>
    <n v="11113"/>
    <x v="4"/>
    <x v="0"/>
    <n v="5205.2299999999996"/>
    <n v="3.32"/>
    <n v="0"/>
    <n v="0"/>
    <x v="10"/>
    <s v="30/1 Cotton Yarn ( 24500 LBS)"/>
    <n v="10706500"/>
    <x v="0"/>
    <n v="1927170"/>
    <x v="0"/>
    <m/>
    <m/>
    <x v="0"/>
    <x v="0"/>
    <x v="0"/>
    <x v="4"/>
    <x v="0"/>
    <x v="0"/>
    <m/>
    <x v="0"/>
    <x v="1"/>
    <x v="0"/>
    <x v="0"/>
    <x v="0"/>
    <x v="3"/>
    <n v="963.42121839287324"/>
    <n v="173.41581931071718"/>
    <n v="0"/>
    <d v="2023-10-31T00:00:00"/>
    <x v="0"/>
  </r>
  <r>
    <x v="93"/>
    <d v="2023-10-01T00:00:00"/>
    <x v="1264"/>
    <d v="2023-10-26T00:00:00"/>
    <x v="0"/>
    <x v="0"/>
    <n v="12804"/>
    <x v="4"/>
    <x v="0"/>
    <n v="5505.1"/>
    <n v="1.56"/>
    <n v="0"/>
    <n v="0"/>
    <x v="20"/>
    <s v="Comber Noil"/>
    <n v="5787408"/>
    <x v="0"/>
    <n v="1041733.44"/>
    <x v="0"/>
    <m/>
    <m/>
    <x v="0"/>
    <x v="0"/>
    <x v="0"/>
    <x v="4"/>
    <x v="0"/>
    <x v="0"/>
    <m/>
    <x v="0"/>
    <x v="1"/>
    <x v="0"/>
    <x v="0"/>
    <x v="0"/>
    <x v="8"/>
    <n v="452"/>
    <n v="81.36"/>
    <n v="0"/>
    <d v="2023-10-31T00:00:00"/>
    <x v="0"/>
  </r>
  <r>
    <x v="94"/>
    <d v="2023-10-01T00:00:00"/>
    <x v="1265"/>
    <d v="2023-10-26T00:00:00"/>
    <x v="0"/>
    <x v="0"/>
    <n v="12130"/>
    <x v="4"/>
    <x v="0"/>
    <n v="5505.1"/>
    <n v="1.56"/>
    <n v="0"/>
    <n v="0"/>
    <x v="20"/>
    <s v="Comber Noil"/>
    <n v="5482760"/>
    <x v="0"/>
    <n v="986896.79999999993"/>
    <x v="0"/>
    <m/>
    <m/>
    <x v="0"/>
    <x v="0"/>
    <x v="0"/>
    <x v="4"/>
    <x v="0"/>
    <x v="0"/>
    <m/>
    <x v="0"/>
    <x v="1"/>
    <x v="0"/>
    <x v="0"/>
    <x v="0"/>
    <x v="8"/>
    <n v="452"/>
    <n v="81.36"/>
    <n v="0"/>
    <d v="2023-10-31T00:00:00"/>
    <x v="0"/>
  </r>
  <r>
    <x v="95"/>
    <d v="2023-10-01T00:00:00"/>
    <x v="1266"/>
    <d v="2023-10-26T00:00:00"/>
    <x v="0"/>
    <x v="0"/>
    <n v="11750"/>
    <x v="4"/>
    <x v="0"/>
    <n v="5505.1"/>
    <n v="1.56"/>
    <n v="0"/>
    <n v="0"/>
    <x v="20"/>
    <s v="Comber Noil"/>
    <n v="5311000"/>
    <x v="0"/>
    <n v="955980"/>
    <x v="0"/>
    <m/>
    <m/>
    <x v="0"/>
    <x v="0"/>
    <x v="0"/>
    <x v="4"/>
    <x v="0"/>
    <x v="0"/>
    <m/>
    <x v="0"/>
    <x v="1"/>
    <x v="0"/>
    <x v="0"/>
    <x v="0"/>
    <x v="8"/>
    <n v="452"/>
    <n v="81.36"/>
    <n v="0"/>
    <d v="2023-10-31T00:00:00"/>
    <x v="0"/>
  </r>
  <r>
    <x v="96"/>
    <d v="2023-10-02T00:00:00"/>
    <x v="1267"/>
    <d v="2023-10-26T00:00:00"/>
    <x v="0"/>
    <x v="0"/>
    <n v="11426"/>
    <x v="4"/>
    <x v="0"/>
    <n v="5505.1"/>
    <n v="1.56"/>
    <n v="0"/>
    <n v="0"/>
    <x v="20"/>
    <s v="Comber Noil"/>
    <n v="5164552"/>
    <x v="0"/>
    <n v="929619.36"/>
    <x v="0"/>
    <m/>
    <m/>
    <x v="0"/>
    <x v="0"/>
    <x v="0"/>
    <x v="4"/>
    <x v="0"/>
    <x v="0"/>
    <m/>
    <x v="0"/>
    <x v="1"/>
    <x v="0"/>
    <x v="0"/>
    <x v="0"/>
    <x v="8"/>
    <n v="452"/>
    <n v="81.36"/>
    <n v="0"/>
    <d v="2023-11-01T00:00:00"/>
    <x v="0"/>
  </r>
  <r>
    <x v="97"/>
    <d v="2023-10-03T00:00:00"/>
    <x v="1268"/>
    <d v="2023-10-26T00:00:00"/>
    <x v="0"/>
    <x v="0"/>
    <n v="11870"/>
    <x v="4"/>
    <x v="0"/>
    <n v="5505.1"/>
    <n v="1.56"/>
    <n v="0"/>
    <n v="0"/>
    <x v="20"/>
    <s v="Comber Noil"/>
    <n v="5365240"/>
    <x v="0"/>
    <n v="965743.2"/>
    <x v="0"/>
    <m/>
    <m/>
    <x v="0"/>
    <x v="0"/>
    <x v="0"/>
    <x v="4"/>
    <x v="0"/>
    <x v="0"/>
    <m/>
    <x v="0"/>
    <x v="1"/>
    <x v="0"/>
    <x v="0"/>
    <x v="0"/>
    <x v="8"/>
    <n v="452"/>
    <n v="81.36"/>
    <n v="0"/>
    <d v="2023-11-02T00:00:00"/>
    <x v="0"/>
  </r>
  <r>
    <x v="98"/>
    <d v="2023-10-01T00:00:00"/>
    <x v="1269"/>
    <d v="2023-10-30T00:00:00"/>
    <x v="0"/>
    <x v="0"/>
    <n v="2540"/>
    <x v="4"/>
    <x v="0"/>
    <n v="5206.24"/>
    <n v="4.5599999999999996"/>
    <n v="0"/>
    <n v="0"/>
    <x v="3"/>
    <s v="CVC60:40 - 40/1 (5600 LBS)"/>
    <n v="3360000"/>
    <x v="0"/>
    <n v="604800"/>
    <x v="0"/>
    <m/>
    <m/>
    <x v="0"/>
    <x v="0"/>
    <x v="0"/>
    <x v="4"/>
    <x v="0"/>
    <x v="0"/>
    <m/>
    <x v="0"/>
    <x v="1"/>
    <x v="0"/>
    <x v="0"/>
    <x v="0"/>
    <x v="3"/>
    <n v="1322.8346456692914"/>
    <n v="238.11023622047244"/>
    <n v="0"/>
    <d v="2023-10-31T00:00:00"/>
    <x v="0"/>
  </r>
  <r>
    <x v="99"/>
    <d v="2023-10-01T00:00:00"/>
    <x v="1270"/>
    <d v="2023-10-30T00:00:00"/>
    <x v="0"/>
    <x v="0"/>
    <n v="454"/>
    <x v="4"/>
    <x v="0"/>
    <n v="5205.22"/>
    <n v="3.11"/>
    <n v="0"/>
    <n v="0"/>
    <x v="10"/>
    <s v="24/1 Cotton Yarn (1000 LBS)"/>
    <n v="410000"/>
    <x v="0"/>
    <n v="73800"/>
    <x v="0"/>
    <m/>
    <m/>
    <x v="0"/>
    <x v="0"/>
    <x v="0"/>
    <x v="0"/>
    <x v="0"/>
    <x v="0"/>
    <m/>
    <x v="0"/>
    <x v="1"/>
    <x v="0"/>
    <x v="0"/>
    <x v="0"/>
    <x v="3"/>
    <n v="903.08370044052867"/>
    <n v="162.55506607929516"/>
    <n v="0"/>
    <d v="2023-10-31T00:00:00"/>
    <x v="0"/>
  </r>
  <r>
    <x v="100"/>
    <d v="2023-10-01T00:00:00"/>
    <x v="1271"/>
    <d v="2023-10-30T00:00:00"/>
    <x v="0"/>
    <x v="0"/>
    <n v="8165"/>
    <x v="4"/>
    <x v="0"/>
    <n v="5402.39"/>
    <n v="2.6"/>
    <n v="0"/>
    <n v="0"/>
    <x v="3"/>
    <s v="PC52:48 - 30/1 (18000 LBS)"/>
    <n v="6156000"/>
    <x v="0"/>
    <n v="1108080"/>
    <x v="0"/>
    <m/>
    <m/>
    <x v="0"/>
    <x v="0"/>
    <x v="0"/>
    <x v="4"/>
    <x v="0"/>
    <x v="0"/>
    <m/>
    <x v="0"/>
    <x v="1"/>
    <x v="0"/>
    <x v="0"/>
    <x v="0"/>
    <x v="3"/>
    <n v="753.949785670545"/>
    <n v="135.71096142069811"/>
    <n v="0"/>
    <d v="2023-10-31T00:00:00"/>
    <x v="0"/>
  </r>
  <r>
    <x v="101"/>
    <d v="2023-10-01T00:00:00"/>
    <x v="1272"/>
    <d v="2023-10-30T00:00:00"/>
    <x v="0"/>
    <x v="0"/>
    <n v="1452"/>
    <x v="4"/>
    <x v="0"/>
    <n v="5205.12"/>
    <n v="3.08"/>
    <n v="0"/>
    <n v="0"/>
    <x v="10"/>
    <s v="22/1 Cotton Yarn ( 3200 LBS)"/>
    <n v="1296000"/>
    <x v="0"/>
    <n v="233280"/>
    <x v="0"/>
    <m/>
    <m/>
    <x v="0"/>
    <x v="0"/>
    <x v="0"/>
    <x v="4"/>
    <x v="0"/>
    <x v="0"/>
    <m/>
    <x v="0"/>
    <x v="1"/>
    <x v="0"/>
    <x v="0"/>
    <x v="0"/>
    <x v="3"/>
    <n v="892.56198347107443"/>
    <n v="160.6611570247934"/>
    <n v="0"/>
    <d v="2023-10-31T00:00:00"/>
    <x v="0"/>
  </r>
  <r>
    <x v="102"/>
    <d v="2023-10-05T00:00:00"/>
    <x v="1273"/>
    <d v="2023-10-30T00:00:00"/>
    <x v="0"/>
    <x v="0"/>
    <n v="6350"/>
    <x v="4"/>
    <x v="0"/>
    <n v="5402.39"/>
    <n v="2.6"/>
    <n v="0"/>
    <n v="0"/>
    <x v="3"/>
    <s v="PC52:48 - 30/1 (14000 LBS)"/>
    <n v="4788000"/>
    <x v="0"/>
    <n v="861840"/>
    <x v="0"/>
    <m/>
    <m/>
    <x v="0"/>
    <x v="0"/>
    <x v="0"/>
    <x v="4"/>
    <x v="0"/>
    <x v="0"/>
    <m/>
    <x v="0"/>
    <x v="1"/>
    <x v="0"/>
    <x v="0"/>
    <x v="0"/>
    <x v="3"/>
    <n v="754.01574803149606"/>
    <n v="135.72283464566928"/>
    <n v="0"/>
    <d v="2023-11-04T00:00:00"/>
    <x v="0"/>
  </r>
  <r>
    <x v="103"/>
    <d v="2023-10-01T00:00:00"/>
    <x v="1274"/>
    <d v="2023-10-30T00:00:00"/>
    <x v="0"/>
    <x v="0"/>
    <n v="4128"/>
    <x v="4"/>
    <x v="0"/>
    <n v="5205.13"/>
    <n v="3.15"/>
    <n v="0"/>
    <n v="0"/>
    <x v="10"/>
    <s v="30/1 Cotton Yarn ( 9100 LBS)"/>
    <n v="3776500"/>
    <x v="0"/>
    <n v="679770"/>
    <x v="0"/>
    <m/>
    <m/>
    <x v="0"/>
    <x v="0"/>
    <x v="0"/>
    <x v="4"/>
    <x v="0"/>
    <x v="0"/>
    <m/>
    <x v="0"/>
    <x v="1"/>
    <x v="0"/>
    <x v="0"/>
    <x v="0"/>
    <x v="3"/>
    <n v="914.84980620155034"/>
    <n v="164.67296511627907"/>
    <n v="0"/>
    <d v="2023-10-31T00:00:00"/>
    <x v="0"/>
  </r>
  <r>
    <x v="104"/>
    <d v="2023-10-01T00:00:00"/>
    <x v="1275"/>
    <d v="2023-10-30T00:00:00"/>
    <x v="0"/>
    <x v="0"/>
    <n v="11340"/>
    <x v="4"/>
    <x v="0"/>
    <n v="5402.39"/>
    <n v="2.42"/>
    <n v="0"/>
    <n v="0"/>
    <x v="3"/>
    <s v="PC52:48 - 24/1 ( 25000 LBS"/>
    <n v="7950000"/>
    <x v="0"/>
    <n v="1431000"/>
    <x v="0"/>
    <m/>
    <m/>
    <x v="0"/>
    <x v="0"/>
    <x v="0"/>
    <x v="4"/>
    <x v="0"/>
    <x v="0"/>
    <m/>
    <x v="0"/>
    <x v="1"/>
    <x v="0"/>
    <x v="0"/>
    <x v="0"/>
    <x v="3"/>
    <n v="701.05820105820101"/>
    <n v="126.19047619047619"/>
    <n v="0"/>
    <d v="2023-10-31T00:00:00"/>
    <x v="0"/>
  </r>
  <r>
    <x v="105"/>
    <d v="2023-10-01T00:00:00"/>
    <x v="1276"/>
    <d v="2023-10-30T00:00:00"/>
    <x v="0"/>
    <x v="0"/>
    <n v="2268"/>
    <x v="4"/>
    <x v="0"/>
    <n v="5402.39"/>
    <n v="2.42"/>
    <n v="0"/>
    <n v="0"/>
    <x v="3"/>
    <s v="PC52:48 - 24/1 ( 5000 LBS"/>
    <n v="1590000"/>
    <x v="0"/>
    <n v="286200"/>
    <x v="0"/>
    <m/>
    <m/>
    <x v="0"/>
    <x v="0"/>
    <x v="0"/>
    <x v="4"/>
    <x v="0"/>
    <x v="0"/>
    <m/>
    <x v="0"/>
    <x v="1"/>
    <x v="0"/>
    <x v="0"/>
    <x v="0"/>
    <x v="3"/>
    <n v="701.05820105820101"/>
    <n v="126.19047619047619"/>
    <n v="0"/>
    <d v="2023-10-31T00:00:00"/>
    <x v="0"/>
  </r>
  <r>
    <x v="106"/>
    <d v="2023-10-01T00:00:00"/>
    <x v="1277"/>
    <d v="2023-10-30T00:00:00"/>
    <x v="0"/>
    <x v="0"/>
    <n v="9072"/>
    <x v="4"/>
    <x v="0"/>
    <n v="5206.24"/>
    <n v="2.61"/>
    <n v="0"/>
    <n v="0"/>
    <x v="3"/>
    <s v="CVC60:40 - 24/1 20000 ( LBS"/>
    <n v="6860000"/>
    <x v="0"/>
    <n v="1234800"/>
    <x v="0"/>
    <m/>
    <m/>
    <x v="0"/>
    <x v="0"/>
    <x v="0"/>
    <x v="4"/>
    <x v="0"/>
    <x v="0"/>
    <m/>
    <x v="0"/>
    <x v="1"/>
    <x v="0"/>
    <x v="0"/>
    <x v="0"/>
    <x v="3"/>
    <n v="756.17283950617286"/>
    <n v="136.11111111111111"/>
    <n v="0"/>
    <d v="2023-10-31T00:00:00"/>
    <x v="0"/>
  </r>
  <r>
    <x v="107"/>
    <d v="2023-10-09T00:00:00"/>
    <x v="1278"/>
    <d v="2023-10-30T00:00:00"/>
    <x v="0"/>
    <x v="0"/>
    <n v="3175"/>
    <x v="4"/>
    <x v="0"/>
    <n v="5402.39"/>
    <n v="2.42"/>
    <n v="0"/>
    <n v="0"/>
    <x v="3"/>
    <s v="PC52:48 - 24/1 7000 LBS)"/>
    <n v="2226000"/>
    <x v="0"/>
    <n v="400680"/>
    <x v="0"/>
    <m/>
    <m/>
    <x v="0"/>
    <x v="0"/>
    <x v="0"/>
    <x v="4"/>
    <x v="0"/>
    <x v="0"/>
    <m/>
    <x v="0"/>
    <x v="1"/>
    <x v="0"/>
    <x v="0"/>
    <x v="0"/>
    <x v="3"/>
    <n v="701.10236220472439"/>
    <n v="126.19842519685039"/>
    <n v="0"/>
    <d v="2023-11-08T00:00:00"/>
    <x v="0"/>
  </r>
  <r>
    <x v="108"/>
    <d v="2023-11-01T00:00:00"/>
    <x v="1279"/>
    <d v="2023-11-17T00:00:00"/>
    <x v="0"/>
    <x v="0"/>
    <n v="64115"/>
    <x v="4"/>
    <x v="0"/>
    <n v="5201.009"/>
    <n v="1.52"/>
    <n v="0"/>
    <n v="0"/>
    <x v="0"/>
    <s v="Raw Cotton"/>
    <n v="28171847"/>
    <x v="0"/>
    <n v="5070932.46"/>
    <x v="0"/>
    <m/>
    <m/>
    <x v="0"/>
    <x v="0"/>
    <x v="0"/>
    <x v="6"/>
    <x v="0"/>
    <x v="0"/>
    <m/>
    <x v="0"/>
    <x v="1"/>
    <x v="0"/>
    <x v="0"/>
    <x v="0"/>
    <x v="0"/>
    <n v="439.39557045933088"/>
    <n v="79.091202682679565"/>
    <n v="0"/>
    <d v="2023-12-01T00:00:00"/>
    <x v="0"/>
  </r>
  <r>
    <x v="109"/>
    <d v="2023-11-01T00:00:00"/>
    <x v="1280"/>
    <d v="2023-11-17T00:00:00"/>
    <x v="0"/>
    <x v="0"/>
    <n v="33332"/>
    <x v="4"/>
    <x v="0"/>
    <n v="5201.009"/>
    <n v="1.52"/>
    <n v="0"/>
    <n v="0"/>
    <x v="0"/>
    <s v="Raw Cotton"/>
    <n v="14645933"/>
    <x v="0"/>
    <n v="2636267.94"/>
    <x v="0"/>
    <m/>
    <m/>
    <x v="0"/>
    <x v="0"/>
    <x v="0"/>
    <x v="4"/>
    <x v="0"/>
    <x v="0"/>
    <m/>
    <x v="0"/>
    <x v="1"/>
    <x v="0"/>
    <x v="0"/>
    <x v="0"/>
    <x v="0"/>
    <n v="439.39556582263293"/>
    <n v="79.091201848073922"/>
    <n v="0"/>
    <d v="2023-12-01T00:00:00"/>
    <x v="0"/>
  </r>
  <r>
    <x v="110"/>
    <d v="2023-11-01T00:00:00"/>
    <x v="1281"/>
    <d v="2023-11-17T00:00:00"/>
    <x v="0"/>
    <x v="0"/>
    <n v="31353"/>
    <x v="4"/>
    <x v="0"/>
    <n v="5201.009"/>
    <n v="1.48"/>
    <n v="0"/>
    <n v="0"/>
    <x v="0"/>
    <s v="Raw Cotton"/>
    <n v="13440360"/>
    <x v="0"/>
    <n v="2419264.7999999998"/>
    <x v="0"/>
    <m/>
    <m/>
    <x v="0"/>
    <x v="0"/>
    <x v="0"/>
    <x v="4"/>
    <x v="0"/>
    <x v="0"/>
    <m/>
    <x v="0"/>
    <x v="1"/>
    <x v="0"/>
    <x v="0"/>
    <x v="0"/>
    <x v="0"/>
    <n v="428.67859534972729"/>
    <n v="77.162147162950902"/>
    <n v="0"/>
    <d v="2023-12-01T00:00:00"/>
    <x v="0"/>
  </r>
  <r>
    <x v="111"/>
    <d v="2023-11-01T00:00:00"/>
    <x v="1282"/>
    <d v="2023-11-17T00:00:00"/>
    <x v="0"/>
    <x v="0"/>
    <n v="33500"/>
    <x v="4"/>
    <x v="0"/>
    <n v="5201.009"/>
    <n v="1.52"/>
    <n v="0"/>
    <n v="0"/>
    <x v="0"/>
    <s v="Raw Cotton"/>
    <n v="14719751"/>
    <x v="0"/>
    <n v="2649555.1799999997"/>
    <x v="0"/>
    <m/>
    <m/>
    <x v="0"/>
    <x v="0"/>
    <x v="0"/>
    <x v="4"/>
    <x v="0"/>
    <x v="0"/>
    <m/>
    <x v="0"/>
    <x v="1"/>
    <x v="0"/>
    <x v="0"/>
    <x v="0"/>
    <x v="0"/>
    <n v="439.39555223880598"/>
    <n v="79.091199402985069"/>
    <n v="0"/>
    <d v="2023-12-01T00:00:00"/>
    <x v="0"/>
  </r>
  <r>
    <x v="112"/>
    <d v="2023-11-01T00:00:00"/>
    <x v="1283"/>
    <d v="2023-11-17T00:00:00"/>
    <x v="0"/>
    <x v="0"/>
    <n v="29076"/>
    <x v="4"/>
    <x v="0"/>
    <n v="5201.009"/>
    <n v="1.61"/>
    <n v="0"/>
    <n v="0"/>
    <x v="0"/>
    <s v="Raw Cotton"/>
    <n v="13593832"/>
    <x v="0"/>
    <n v="2446889.7599999998"/>
    <x v="0"/>
    <m/>
    <m/>
    <x v="0"/>
    <x v="0"/>
    <x v="0"/>
    <x v="4"/>
    <x v="0"/>
    <x v="0"/>
    <m/>
    <x v="0"/>
    <x v="1"/>
    <x v="0"/>
    <x v="0"/>
    <x v="0"/>
    <x v="0"/>
    <n v="467.5275828862292"/>
    <n v="84.154964919521248"/>
    <n v="0"/>
    <d v="2023-12-01T00:00:00"/>
    <x v="0"/>
  </r>
  <r>
    <x v="113"/>
    <d v="2023-11-01T00:00:00"/>
    <x v="1284"/>
    <d v="2023-11-17T00:00:00"/>
    <x v="0"/>
    <x v="0"/>
    <n v="31681"/>
    <x v="4"/>
    <x v="0"/>
    <n v="5201.009"/>
    <n v="1.5"/>
    <n v="0"/>
    <n v="0"/>
    <x v="0"/>
    <s v="Raw Cotton"/>
    <n v="13750729"/>
    <x v="0"/>
    <n v="2475131.2199999997"/>
    <x v="0"/>
    <m/>
    <m/>
    <x v="0"/>
    <x v="0"/>
    <x v="0"/>
    <x v="4"/>
    <x v="0"/>
    <x v="0"/>
    <m/>
    <x v="0"/>
    <x v="1"/>
    <x v="0"/>
    <x v="0"/>
    <x v="0"/>
    <x v="0"/>
    <n v="434.03708847574256"/>
    <n v="78.126675925633648"/>
    <n v="0"/>
    <d v="2023-12-01T00:00:00"/>
    <x v="0"/>
  </r>
  <r>
    <x v="114"/>
    <d v="2023-11-01T00:00:00"/>
    <x v="1285"/>
    <d v="2023-11-17T00:00:00"/>
    <x v="0"/>
    <x v="0"/>
    <n v="27672"/>
    <x v="4"/>
    <x v="0"/>
    <n v="5201.009"/>
    <n v="1.72"/>
    <n v="0"/>
    <n v="0"/>
    <x v="0"/>
    <s v="Raw Cotton"/>
    <n v="13790033"/>
    <x v="0"/>
    <n v="2482205.94"/>
    <x v="0"/>
    <m/>
    <m/>
    <x v="0"/>
    <x v="0"/>
    <x v="0"/>
    <x v="4"/>
    <x v="0"/>
    <x v="0"/>
    <m/>
    <x v="0"/>
    <x v="1"/>
    <x v="0"/>
    <x v="0"/>
    <x v="0"/>
    <x v="0"/>
    <n v="498.33886238797339"/>
    <n v="89.700995229835215"/>
    <n v="0"/>
    <d v="2023-12-01T00:00:00"/>
    <x v="0"/>
  </r>
  <r>
    <x v="115"/>
    <d v="2023-11-01T00:00:00"/>
    <x v="1286"/>
    <d v="2023-11-17T00:00:00"/>
    <x v="0"/>
    <x v="0"/>
    <n v="31471"/>
    <x v="4"/>
    <x v="0"/>
    <n v="5201.009"/>
    <n v="1.61"/>
    <n v="0"/>
    <n v="0"/>
    <x v="0"/>
    <s v="Raw Cotton"/>
    <n v="14713561"/>
    <x v="0"/>
    <n v="2648440.98"/>
    <x v="0"/>
    <m/>
    <m/>
    <x v="0"/>
    <x v="0"/>
    <x v="0"/>
    <x v="4"/>
    <x v="0"/>
    <x v="0"/>
    <m/>
    <x v="0"/>
    <x v="1"/>
    <x v="0"/>
    <x v="0"/>
    <x v="0"/>
    <x v="0"/>
    <n v="467.52759683518161"/>
    <n v="84.15496743033269"/>
    <n v="0"/>
    <d v="2023-12-01T00:00:00"/>
    <x v="0"/>
  </r>
  <r>
    <x v="116"/>
    <d v="2023-11-01T00:00:00"/>
    <x v="1287"/>
    <d v="2023-11-17T00:00:00"/>
    <x v="0"/>
    <x v="0"/>
    <n v="153145"/>
    <x v="4"/>
    <x v="0"/>
    <n v="5201.009"/>
    <n v="1.65"/>
    <n v="0"/>
    <n v="0"/>
    <x v="0"/>
    <s v="Raw Cotton"/>
    <n v="73445920"/>
    <x v="0"/>
    <n v="13220265.6"/>
    <x v="0"/>
    <m/>
    <m/>
    <x v="0"/>
    <x v="0"/>
    <x v="0"/>
    <x v="0"/>
    <x v="0"/>
    <x v="0"/>
    <m/>
    <x v="0"/>
    <x v="1"/>
    <x v="0"/>
    <x v="0"/>
    <x v="0"/>
    <x v="0"/>
    <n v="479.5841849227856"/>
    <n v="86.325153286101411"/>
    <n v="0"/>
    <d v="2023-12-01T00:00:00"/>
    <x v="0"/>
  </r>
  <r>
    <x v="117"/>
    <d v="2023-11-01T00:00:00"/>
    <x v="1288"/>
    <d v="2023-11-17T00:00:00"/>
    <x v="0"/>
    <x v="0"/>
    <n v="31070"/>
    <x v="4"/>
    <x v="0"/>
    <n v="5201.009"/>
    <n v="1.6"/>
    <n v="0"/>
    <n v="0"/>
    <x v="0"/>
    <s v="Raw Cotton"/>
    <n v="14401216"/>
    <x v="0"/>
    <n v="2592218.88"/>
    <x v="0"/>
    <m/>
    <m/>
    <x v="0"/>
    <x v="0"/>
    <x v="0"/>
    <x v="4"/>
    <x v="0"/>
    <x v="0"/>
    <m/>
    <x v="0"/>
    <x v="1"/>
    <x v="0"/>
    <x v="0"/>
    <x v="0"/>
    <x v="0"/>
    <n v="463.508722240103"/>
    <n v="83.431570003218539"/>
    <n v="0"/>
    <d v="2023-12-01T00:00:00"/>
    <x v="0"/>
  </r>
  <r>
    <x v="118"/>
    <d v="2023-11-01T00:00:00"/>
    <x v="1289"/>
    <d v="2023-11-17T00:00:00"/>
    <x v="0"/>
    <x v="0"/>
    <n v="152492"/>
    <x v="4"/>
    <x v="0"/>
    <n v="5201.009"/>
    <n v="1.65"/>
    <n v="0"/>
    <n v="0"/>
    <x v="0"/>
    <s v="Raw Cotton"/>
    <n v="73132751"/>
    <x v="0"/>
    <n v="13163895.18"/>
    <x v="0"/>
    <m/>
    <m/>
    <x v="0"/>
    <x v="0"/>
    <x v="0"/>
    <x v="0"/>
    <x v="0"/>
    <x v="0"/>
    <m/>
    <x v="0"/>
    <x v="1"/>
    <x v="0"/>
    <x v="0"/>
    <x v="0"/>
    <x v="0"/>
    <n v="479.58418146525719"/>
    <n v="86.325152663746294"/>
    <n v="0"/>
    <d v="2023-12-01T00:00:00"/>
    <x v="0"/>
  </r>
  <r>
    <x v="119"/>
    <d v="2023-11-01T00:00:00"/>
    <x v="1290"/>
    <d v="2023-11-17T00:00:00"/>
    <x v="0"/>
    <x v="0"/>
    <n v="60620"/>
    <x v="4"/>
    <x v="0"/>
    <n v="5201.009"/>
    <n v="1.39"/>
    <n v="0"/>
    <n v="0"/>
    <x v="0"/>
    <s v="Raw Cotton"/>
    <n v="24362341"/>
    <x v="0"/>
    <n v="4385221.38"/>
    <x v="0"/>
    <m/>
    <m/>
    <x v="0"/>
    <x v="0"/>
    <x v="0"/>
    <x v="4"/>
    <x v="0"/>
    <x v="0"/>
    <m/>
    <x v="0"/>
    <x v="1"/>
    <x v="0"/>
    <x v="0"/>
    <x v="0"/>
    <x v="0"/>
    <n v="401.88619267568458"/>
    <n v="72.339514681623228"/>
    <n v="0"/>
    <d v="2023-12-01T00:00:00"/>
    <x v="0"/>
  </r>
  <r>
    <x v="120"/>
    <d v="2023-11-01T00:00:00"/>
    <x v="1291"/>
    <d v="2023-11-17T00:00:00"/>
    <x v="0"/>
    <x v="0"/>
    <n v="32442"/>
    <x v="4"/>
    <x v="0"/>
    <n v="5201.009"/>
    <n v="1.62"/>
    <n v="0"/>
    <n v="0"/>
    <x v="0"/>
    <s v="Raw Cotton"/>
    <n v="15210990"/>
    <x v="0"/>
    <n v="2737978.1999999997"/>
    <x v="0"/>
    <m/>
    <m/>
    <x v="0"/>
    <x v="0"/>
    <x v="0"/>
    <x v="4"/>
    <x v="0"/>
    <x v="0"/>
    <m/>
    <x v="0"/>
    <x v="1"/>
    <x v="0"/>
    <x v="0"/>
    <x v="0"/>
    <x v="0"/>
    <n v="468.86720917329387"/>
    <n v="84.396097651192889"/>
    <n v="0"/>
    <d v="2023-12-01T00:00:00"/>
    <x v="0"/>
  </r>
  <r>
    <x v="121"/>
    <d v="2023-11-01T00:00:00"/>
    <x v="1292"/>
    <d v="2023-11-17T00:00:00"/>
    <x v="0"/>
    <x v="0"/>
    <n v="61947"/>
    <x v="4"/>
    <x v="0"/>
    <n v="5201.009"/>
    <n v="1.4"/>
    <n v="0"/>
    <n v="0"/>
    <x v="0"/>
    <s v="Raw Cotton"/>
    <n v="25061615"/>
    <x v="0"/>
    <n v="4511090.7"/>
    <x v="0"/>
    <m/>
    <m/>
    <x v="0"/>
    <x v="0"/>
    <x v="0"/>
    <x v="4"/>
    <x v="0"/>
    <x v="0"/>
    <m/>
    <x v="0"/>
    <x v="1"/>
    <x v="0"/>
    <x v="0"/>
    <x v="0"/>
    <x v="0"/>
    <n v="404.56543496860218"/>
    <n v="72.821778294348391"/>
    <n v="0"/>
    <d v="2023-12-01T00:00:00"/>
    <x v="0"/>
  </r>
  <r>
    <x v="122"/>
    <d v="2023-11-01T00:00:00"/>
    <x v="1293"/>
    <d v="2023-11-17T00:00:00"/>
    <x v="0"/>
    <x v="0"/>
    <n v="31486"/>
    <x v="4"/>
    <x v="0"/>
    <n v="5201.009"/>
    <n v="1.62"/>
    <n v="0"/>
    <n v="0"/>
    <x v="0"/>
    <s v="Raw Cotton"/>
    <n v="14762753"/>
    <x v="0"/>
    <n v="2657295.54"/>
    <x v="0"/>
    <m/>
    <m/>
    <x v="0"/>
    <x v="0"/>
    <x v="0"/>
    <x v="4"/>
    <x v="0"/>
    <x v="0"/>
    <m/>
    <x v="0"/>
    <x v="1"/>
    <x v="0"/>
    <x v="0"/>
    <x v="0"/>
    <x v="0"/>
    <n v="468.86721082385822"/>
    <n v="84.396097948294482"/>
    <n v="0"/>
    <d v="2023-12-01T00:00:00"/>
    <x v="0"/>
  </r>
  <r>
    <x v="123"/>
    <d v="2023-11-01T00:00:00"/>
    <x v="1294"/>
    <d v="2023-11-17T00:00:00"/>
    <x v="0"/>
    <x v="0"/>
    <n v="30307"/>
    <x v="4"/>
    <x v="0"/>
    <n v="5201.009"/>
    <n v="1.61"/>
    <n v="0"/>
    <n v="0"/>
    <x v="0"/>
    <s v="Raw Cotton"/>
    <n v="14169359"/>
    <x v="0"/>
    <n v="2550484.62"/>
    <x v="0"/>
    <m/>
    <m/>
    <x v="0"/>
    <x v="0"/>
    <x v="0"/>
    <x v="4"/>
    <x v="0"/>
    <x v="0"/>
    <m/>
    <x v="0"/>
    <x v="1"/>
    <x v="0"/>
    <x v="0"/>
    <x v="0"/>
    <x v="0"/>
    <n v="467.52760088428414"/>
    <n v="84.154968159171148"/>
    <n v="0"/>
    <d v="2023-12-01T00:00:00"/>
    <x v="0"/>
  </r>
  <r>
    <x v="124"/>
    <d v="2023-11-01T00:00:00"/>
    <x v="1295"/>
    <d v="2023-11-17T00:00:00"/>
    <x v="0"/>
    <x v="0"/>
    <n v="30869"/>
    <x v="4"/>
    <x v="0"/>
    <n v="5201.009"/>
    <n v="1.62"/>
    <n v="0"/>
    <n v="0"/>
    <x v="0"/>
    <s v="Raw Cotton"/>
    <n v="14473462"/>
    <x v="0"/>
    <n v="2605223.1599999997"/>
    <x v="0"/>
    <m/>
    <m/>
    <x v="0"/>
    <x v="0"/>
    <x v="0"/>
    <x v="4"/>
    <x v="0"/>
    <x v="0"/>
    <m/>
    <x v="0"/>
    <x v="1"/>
    <x v="0"/>
    <x v="0"/>
    <x v="0"/>
    <x v="0"/>
    <n v="468.86721306164759"/>
    <n v="84.396098351096555"/>
    <n v="0"/>
    <d v="2023-12-01T00:00:00"/>
    <x v="0"/>
  </r>
  <r>
    <x v="125"/>
    <d v="2023-11-01T00:00:00"/>
    <x v="1296"/>
    <d v="2023-11-17T00:00:00"/>
    <x v="0"/>
    <x v="0"/>
    <n v="32050"/>
    <x v="4"/>
    <x v="0"/>
    <n v="5201.009"/>
    <n v="1.62"/>
    <n v="0"/>
    <n v="0"/>
    <x v="0"/>
    <s v="Raw Cotton"/>
    <n v="15027194"/>
    <x v="0"/>
    <n v="2704894.92"/>
    <x v="0"/>
    <m/>
    <m/>
    <x v="0"/>
    <x v="0"/>
    <x v="0"/>
    <x v="4"/>
    <x v="0"/>
    <x v="0"/>
    <m/>
    <x v="0"/>
    <x v="1"/>
    <x v="0"/>
    <x v="0"/>
    <x v="0"/>
    <x v="0"/>
    <n v="468.86720748829953"/>
    <n v="84.396097347893914"/>
    <n v="0"/>
    <d v="2023-12-01T00:00:00"/>
    <x v="0"/>
  </r>
  <r>
    <x v="126"/>
    <d v="2023-11-01T00:00:00"/>
    <x v="1297"/>
    <d v="2023-11-17T00:00:00"/>
    <x v="0"/>
    <x v="0"/>
    <n v="33107"/>
    <x v="4"/>
    <x v="0"/>
    <n v="5201.009"/>
    <n v="1.62"/>
    <n v="0"/>
    <n v="0"/>
    <x v="0"/>
    <s v="Raw Cotton"/>
    <n v="15522787"/>
    <x v="0"/>
    <n v="2794101.6599999997"/>
    <x v="0"/>
    <m/>
    <m/>
    <x v="0"/>
    <x v="0"/>
    <x v="0"/>
    <x v="4"/>
    <x v="0"/>
    <x v="0"/>
    <m/>
    <x v="0"/>
    <x v="1"/>
    <x v="0"/>
    <x v="0"/>
    <x v="0"/>
    <x v="0"/>
    <n v="468.86721841302443"/>
    <n v="84.396099314344383"/>
    <n v="0"/>
    <d v="2023-12-01T00:00:00"/>
    <x v="0"/>
  </r>
  <r>
    <x v="127"/>
    <d v="2023-11-02T00:00:00"/>
    <x v="1298"/>
    <d v="2023-11-17T00:00:00"/>
    <x v="0"/>
    <x v="0"/>
    <n v="31034"/>
    <x v="4"/>
    <x v="0"/>
    <n v="5201.009"/>
    <n v="1.39"/>
    <n v="0"/>
    <n v="0"/>
    <x v="0"/>
    <s v="Raw Cotton"/>
    <n v="12472136"/>
    <x v="0"/>
    <n v="2244984.48"/>
    <x v="0"/>
    <m/>
    <m/>
    <x v="0"/>
    <x v="0"/>
    <x v="0"/>
    <x v="6"/>
    <x v="0"/>
    <x v="0"/>
    <m/>
    <x v="0"/>
    <x v="1"/>
    <x v="0"/>
    <x v="0"/>
    <x v="0"/>
    <x v="0"/>
    <n v="401.88618934072309"/>
    <n v="72.339514081330151"/>
    <n v="0"/>
    <d v="2023-12-02T00:00:00"/>
    <x v="0"/>
  </r>
  <r>
    <x v="128"/>
    <d v="2023-11-07T00:00:00"/>
    <x v="1299"/>
    <d v="2023-11-17T00:00:00"/>
    <x v="0"/>
    <x v="0"/>
    <n v="31430"/>
    <x v="4"/>
    <x v="0"/>
    <n v="5201.009"/>
    <n v="1.39"/>
    <n v="0"/>
    <n v="0"/>
    <x v="0"/>
    <s v="Raw Cotton"/>
    <n v="12631283"/>
    <x v="0"/>
    <n v="2273630.94"/>
    <x v="0"/>
    <m/>
    <m/>
    <x v="0"/>
    <x v="0"/>
    <x v="0"/>
    <x v="6"/>
    <x v="0"/>
    <x v="0"/>
    <m/>
    <x v="0"/>
    <x v="1"/>
    <x v="0"/>
    <x v="0"/>
    <x v="0"/>
    <x v="0"/>
    <n v="401.88619153674836"/>
    <n v="72.339514476614696"/>
    <n v="0"/>
    <d v="2023-12-07T00:00:00"/>
    <x v="0"/>
  </r>
  <r>
    <x v="129"/>
    <d v="2023-11-01T00:00:00"/>
    <x v="1300"/>
    <d v="2023-11-17T00:00:00"/>
    <x v="0"/>
    <x v="0"/>
    <n v="30035"/>
    <x v="4"/>
    <x v="0"/>
    <n v="5201.009"/>
    <n v="1.61"/>
    <n v="0"/>
    <n v="0"/>
    <x v="0"/>
    <s v="Raw Cotton"/>
    <n v="14042191"/>
    <x v="0"/>
    <n v="2527594.38"/>
    <x v="0"/>
    <m/>
    <m/>
    <x v="0"/>
    <x v="0"/>
    <x v="0"/>
    <x v="4"/>
    <x v="0"/>
    <x v="0"/>
    <m/>
    <x v="0"/>
    <x v="1"/>
    <x v="0"/>
    <x v="0"/>
    <x v="0"/>
    <x v="0"/>
    <n v="467.52758448476777"/>
    <n v="84.154965207258201"/>
    <n v="0"/>
    <d v="2023-12-01T00:00:00"/>
    <x v="0"/>
  </r>
  <r>
    <x v="130"/>
    <d v="2023-11-01T00:00:00"/>
    <x v="1301"/>
    <d v="2023-11-17T00:00:00"/>
    <x v="0"/>
    <x v="0"/>
    <n v="31067"/>
    <x v="4"/>
    <x v="0"/>
    <n v="5201.009"/>
    <n v="1.62"/>
    <n v="0"/>
    <n v="0"/>
    <x v="0"/>
    <s v="Raw Cotton"/>
    <n v="14566298"/>
    <x v="0"/>
    <n v="2621933.64"/>
    <x v="0"/>
    <m/>
    <m/>
    <x v="0"/>
    <x v="0"/>
    <x v="0"/>
    <x v="4"/>
    <x v="0"/>
    <x v="0"/>
    <m/>
    <x v="0"/>
    <x v="1"/>
    <x v="0"/>
    <x v="0"/>
    <x v="0"/>
    <x v="0"/>
    <n v="468.86722245469468"/>
    <n v="84.396100041845045"/>
    <n v="0"/>
    <d v="2023-12-01T00:00:00"/>
    <x v="0"/>
  </r>
  <r>
    <x v="131"/>
    <d v="2023-11-01T00:00:00"/>
    <x v="1302"/>
    <d v="2023-11-17T00:00:00"/>
    <x v="0"/>
    <x v="0"/>
    <n v="183838"/>
    <x v="4"/>
    <x v="0"/>
    <n v="5201.009"/>
    <n v="1.64"/>
    <n v="0"/>
    <n v="0"/>
    <x v="0"/>
    <s v="Raw Cotton"/>
    <n v="87673250"/>
    <x v="0"/>
    <n v="15781185"/>
    <x v="0"/>
    <m/>
    <m/>
    <x v="0"/>
    <x v="0"/>
    <x v="0"/>
    <x v="6"/>
    <x v="0"/>
    <x v="0"/>
    <m/>
    <x v="0"/>
    <x v="1"/>
    <x v="0"/>
    <x v="0"/>
    <x v="0"/>
    <x v="0"/>
    <n v="476.90493804327724"/>
    <n v="85.842888847789908"/>
    <n v="0"/>
    <d v="2023-12-01T00:00:00"/>
    <x v="0"/>
  </r>
  <r>
    <x v="132"/>
    <d v="2023-11-01T00:00:00"/>
    <x v="1303"/>
    <d v="2023-11-17T00:00:00"/>
    <x v="0"/>
    <x v="0"/>
    <n v="92651"/>
    <x v="4"/>
    <x v="0"/>
    <n v="5201.009"/>
    <n v="1.39"/>
    <n v="0"/>
    <n v="0"/>
    <x v="0"/>
    <s v="Raw Cotton"/>
    <n v="37235157"/>
    <x v="0"/>
    <n v="6702328.2599999998"/>
    <x v="0"/>
    <m/>
    <m/>
    <x v="0"/>
    <x v="0"/>
    <x v="0"/>
    <x v="6"/>
    <x v="0"/>
    <x v="0"/>
    <m/>
    <x v="0"/>
    <x v="1"/>
    <x v="0"/>
    <x v="0"/>
    <x v="0"/>
    <x v="0"/>
    <n v="401.88618579400116"/>
    <n v="72.339513442920207"/>
    <n v="0"/>
    <d v="2023-12-01T00:00:00"/>
    <x v="0"/>
  </r>
  <r>
    <x v="133"/>
    <d v="2023-11-01T00:00:00"/>
    <x v="1304"/>
    <d v="2023-11-17T00:00:00"/>
    <x v="0"/>
    <x v="0"/>
    <n v="123873"/>
    <x v="4"/>
    <x v="0"/>
    <n v="5201.009"/>
    <n v="1.64"/>
    <n v="0"/>
    <n v="0"/>
    <x v="0"/>
    <s v="Raw Cotton"/>
    <n v="59075646"/>
    <x v="0"/>
    <n v="10633616.279999999"/>
    <x v="0"/>
    <m/>
    <m/>
    <x v="0"/>
    <x v="0"/>
    <x v="0"/>
    <x v="6"/>
    <x v="0"/>
    <x v="0"/>
    <m/>
    <x v="0"/>
    <x v="1"/>
    <x v="0"/>
    <x v="0"/>
    <x v="0"/>
    <x v="0"/>
    <n v="476.90494296577947"/>
    <n v="85.842889733840295"/>
    <n v="0"/>
    <d v="2023-12-01T00:00:00"/>
    <x v="0"/>
  </r>
  <r>
    <x v="134"/>
    <d v="2023-11-01T00:00:00"/>
    <x v="1305"/>
    <d v="2023-11-17T00:00:00"/>
    <x v="0"/>
    <x v="0"/>
    <n v="29798"/>
    <x v="4"/>
    <x v="0"/>
    <n v="5201.009"/>
    <n v="1.63"/>
    <n v="0"/>
    <n v="0"/>
    <x v="0"/>
    <s v="Raw Cotton"/>
    <n v="14051141"/>
    <x v="0"/>
    <n v="2529205.38"/>
    <x v="0"/>
    <m/>
    <m/>
    <x v="0"/>
    <x v="0"/>
    <x v="0"/>
    <x v="4"/>
    <x v="0"/>
    <x v="0"/>
    <m/>
    <x v="0"/>
    <x v="1"/>
    <x v="0"/>
    <x v="0"/>
    <x v="0"/>
    <x v="0"/>
    <n v="471.54644607020606"/>
    <n v="84.878360292637083"/>
    <n v="0"/>
    <d v="2023-12-01T00:00:00"/>
    <x v="0"/>
  </r>
  <r>
    <x v="135"/>
    <d v="2023-11-01T00:00:00"/>
    <x v="1306"/>
    <d v="2023-11-17T00:00:00"/>
    <x v="0"/>
    <x v="0"/>
    <n v="32759"/>
    <x v="4"/>
    <x v="0"/>
    <n v="5201.009"/>
    <n v="1.68"/>
    <n v="0"/>
    <n v="0"/>
    <x v="0"/>
    <s v="Raw Cotton"/>
    <n v="15974006"/>
    <x v="0"/>
    <n v="2875321.08"/>
    <x v="0"/>
    <m/>
    <m/>
    <x v="0"/>
    <x v="0"/>
    <x v="0"/>
    <x v="4"/>
    <x v="0"/>
    <x v="0"/>
    <m/>
    <x v="0"/>
    <x v="1"/>
    <x v="0"/>
    <x v="0"/>
    <x v="0"/>
    <x v="0"/>
    <n v="487.62190543056869"/>
    <n v="87.771942977502363"/>
    <n v="0"/>
    <d v="2023-12-01T00:00:00"/>
    <x v="0"/>
  </r>
  <r>
    <x v="136"/>
    <d v="2023-11-01T00:00:00"/>
    <x v="1307"/>
    <d v="2023-11-17T00:00:00"/>
    <x v="0"/>
    <x v="0"/>
    <n v="30368"/>
    <x v="4"/>
    <x v="0"/>
    <n v="5201.009"/>
    <n v="1.6"/>
    <n v="0"/>
    <n v="0"/>
    <x v="0"/>
    <s v="Raw Cotton"/>
    <n v="14075833"/>
    <x v="0"/>
    <n v="2533649.94"/>
    <x v="0"/>
    <m/>
    <m/>
    <x v="0"/>
    <x v="0"/>
    <x v="0"/>
    <x v="4"/>
    <x v="0"/>
    <x v="0"/>
    <m/>
    <x v="0"/>
    <x v="1"/>
    <x v="0"/>
    <x v="0"/>
    <x v="0"/>
    <x v="0"/>
    <n v="463.50872629083244"/>
    <n v="83.43157073234984"/>
    <n v="0"/>
    <d v="2023-12-01T00:00:00"/>
    <x v="0"/>
  </r>
  <r>
    <x v="137"/>
    <d v="2023-11-01T00:00:00"/>
    <x v="1308"/>
    <d v="2023-11-17T00:00:00"/>
    <x v="0"/>
    <x v="0"/>
    <n v="30480"/>
    <x v="4"/>
    <x v="0"/>
    <n v="5201.009"/>
    <n v="1.6"/>
    <n v="0"/>
    <n v="0"/>
    <x v="0"/>
    <s v="Raw Cotton"/>
    <n v="14127746"/>
    <x v="0"/>
    <n v="2542994.2799999998"/>
    <x v="0"/>
    <m/>
    <m/>
    <x v="0"/>
    <x v="0"/>
    <x v="0"/>
    <x v="4"/>
    <x v="0"/>
    <x v="0"/>
    <m/>
    <x v="0"/>
    <x v="1"/>
    <x v="0"/>
    <x v="0"/>
    <x v="0"/>
    <x v="0"/>
    <n v="463.50872703412074"/>
    <n v="83.431570866141726"/>
    <n v="0"/>
    <d v="2023-12-01T00:00:00"/>
    <x v="0"/>
  </r>
  <r>
    <x v="138"/>
    <d v="2023-11-01T00:00:00"/>
    <x v="1309"/>
    <d v="2023-11-17T00:00:00"/>
    <x v="0"/>
    <x v="0"/>
    <n v="30645"/>
    <x v="4"/>
    <x v="0"/>
    <n v="5201.009"/>
    <n v="1.58"/>
    <n v="0"/>
    <n v="0"/>
    <x v="0"/>
    <s v="Raw Cotton"/>
    <n v="14040014"/>
    <x v="0"/>
    <n v="2527202.52"/>
    <x v="0"/>
    <m/>
    <m/>
    <x v="0"/>
    <x v="0"/>
    <x v="0"/>
    <x v="4"/>
    <x v="0"/>
    <x v="0"/>
    <m/>
    <x v="0"/>
    <x v="1"/>
    <x v="0"/>
    <x v="0"/>
    <x v="0"/>
    <x v="0"/>
    <n v="458.15023658019254"/>
    <n v="82.467042584434651"/>
    <n v="0"/>
    <d v="2023-12-01T00:00:00"/>
    <x v="0"/>
  </r>
  <r>
    <x v="139"/>
    <d v="2023-11-01T00:00:00"/>
    <x v="1310"/>
    <d v="2023-11-17T00:00:00"/>
    <x v="0"/>
    <x v="0"/>
    <n v="31050"/>
    <x v="4"/>
    <x v="0"/>
    <n v="5201.009"/>
    <n v="1.39"/>
    <n v="0"/>
    <n v="0"/>
    <x v="0"/>
    <s v="Raw Cotton"/>
    <n v="12478566"/>
    <x v="0"/>
    <n v="2246141.88"/>
    <x v="0"/>
    <m/>
    <m/>
    <x v="0"/>
    <x v="0"/>
    <x v="0"/>
    <x v="4"/>
    <x v="0"/>
    <x v="0"/>
    <m/>
    <x v="0"/>
    <x v="1"/>
    <x v="0"/>
    <x v="0"/>
    <x v="0"/>
    <x v="0"/>
    <n v="401.88618357487923"/>
    <n v="72.339513043478263"/>
    <n v="0"/>
    <d v="2023-12-01T00:00:00"/>
    <x v="0"/>
  </r>
  <r>
    <x v="140"/>
    <d v="2023-11-01T00:00:00"/>
    <x v="1311"/>
    <d v="2023-11-17T00:00:00"/>
    <x v="0"/>
    <x v="0"/>
    <n v="29698"/>
    <x v="4"/>
    <x v="0"/>
    <n v="5201.009"/>
    <n v="1.39"/>
    <n v="0"/>
    <n v="0"/>
    <x v="0"/>
    <s v="Raw Cotton"/>
    <n v="11935216"/>
    <x v="0"/>
    <n v="2148338.88"/>
    <x v="0"/>
    <m/>
    <m/>
    <x v="0"/>
    <x v="0"/>
    <x v="0"/>
    <x v="4"/>
    <x v="0"/>
    <x v="0"/>
    <m/>
    <x v="0"/>
    <x v="1"/>
    <x v="0"/>
    <x v="0"/>
    <x v="0"/>
    <x v="0"/>
    <n v="401.8861876220621"/>
    <n v="72.33951377197117"/>
    <n v="0"/>
    <d v="2023-12-01T00:00:00"/>
    <x v="0"/>
  </r>
  <r>
    <x v="141"/>
    <d v="2023-11-01T00:00:00"/>
    <x v="1312"/>
    <d v="2023-11-18T00:00:00"/>
    <x v="0"/>
    <x v="0"/>
    <n v="18144"/>
    <x v="4"/>
    <x v="0"/>
    <n v="5205.13"/>
    <n v="3.06"/>
    <n v="0"/>
    <n v="0"/>
    <x v="10"/>
    <s v="30/1 Cotton Yarn( 40000 LBS)"/>
    <n v="16100000"/>
    <x v="0"/>
    <n v="2898000"/>
    <x v="0"/>
    <m/>
    <m/>
    <x v="0"/>
    <x v="0"/>
    <x v="0"/>
    <x v="4"/>
    <x v="0"/>
    <x v="0"/>
    <m/>
    <x v="0"/>
    <x v="1"/>
    <x v="0"/>
    <x v="0"/>
    <x v="0"/>
    <x v="3"/>
    <n v="887.34567901234573"/>
    <n v="159.72222222222223"/>
    <n v="0"/>
    <d v="2023-12-01T00:00:00"/>
    <x v="0"/>
  </r>
  <r>
    <x v="142"/>
    <d v="2023-11-01T00:00:00"/>
    <x v="1313"/>
    <d v="2023-11-18T00:00:00"/>
    <x v="0"/>
    <x v="0"/>
    <n v="18144"/>
    <x v="4"/>
    <x v="0"/>
    <n v="5205.13"/>
    <n v="3.06"/>
    <n v="0"/>
    <n v="0"/>
    <x v="10"/>
    <s v="30/1 Cotton Yarn( 40000 LBS)"/>
    <n v="16100000"/>
    <x v="0"/>
    <n v="2898000"/>
    <x v="0"/>
    <m/>
    <m/>
    <x v="0"/>
    <x v="0"/>
    <x v="0"/>
    <x v="4"/>
    <x v="0"/>
    <x v="0"/>
    <m/>
    <x v="0"/>
    <x v="1"/>
    <x v="0"/>
    <x v="0"/>
    <x v="0"/>
    <x v="3"/>
    <n v="887.34567901234573"/>
    <n v="159.72222222222223"/>
    <n v="0"/>
    <d v="2023-12-01T00:00:00"/>
    <x v="0"/>
  </r>
  <r>
    <x v="143"/>
    <d v="2023-11-01T00:00:00"/>
    <x v="1314"/>
    <d v="2023-11-18T00:00:00"/>
    <x v="0"/>
    <x v="0"/>
    <n v="18144"/>
    <x v="4"/>
    <x v="0"/>
    <n v="5205.13"/>
    <n v="3.06"/>
    <n v="0"/>
    <n v="0"/>
    <x v="10"/>
    <s v="30/1 Cotton Yarn( 40000 LBS)"/>
    <n v="16100000"/>
    <x v="0"/>
    <n v="2898000"/>
    <x v="0"/>
    <m/>
    <m/>
    <x v="0"/>
    <x v="0"/>
    <x v="0"/>
    <x v="4"/>
    <x v="0"/>
    <x v="0"/>
    <m/>
    <x v="0"/>
    <x v="1"/>
    <x v="0"/>
    <x v="0"/>
    <x v="0"/>
    <x v="3"/>
    <n v="887.34567901234573"/>
    <n v="159.72222222222223"/>
    <n v="0"/>
    <d v="2023-12-01T00:00:00"/>
    <x v="0"/>
  </r>
  <r>
    <x v="144"/>
    <d v="2023-11-04T00:00:00"/>
    <x v="1315"/>
    <d v="2023-11-20T00:00:00"/>
    <x v="0"/>
    <x v="0"/>
    <n v="18144"/>
    <x v="4"/>
    <x v="0"/>
    <n v="5205.13"/>
    <n v="2.88"/>
    <n v="0"/>
    <n v="0"/>
    <x v="10"/>
    <s v="30/1 Cotton Yarn( 40000 LBS)"/>
    <n v="15162500"/>
    <x v="0"/>
    <n v="2729250"/>
    <x v="0"/>
    <m/>
    <m/>
    <x v="0"/>
    <x v="0"/>
    <x v="0"/>
    <x v="4"/>
    <x v="0"/>
    <x v="0"/>
    <m/>
    <x v="0"/>
    <x v="1"/>
    <x v="0"/>
    <x v="0"/>
    <x v="0"/>
    <x v="3"/>
    <n v="835.67570546737215"/>
    <n v="150.42162698412699"/>
    <n v="0"/>
    <d v="2023-12-04T00:00:00"/>
    <x v="0"/>
  </r>
  <r>
    <x v="145"/>
    <d v="2023-11-08T00:00:00"/>
    <x v="1316"/>
    <d v="2023-11-20T00:00:00"/>
    <x v="0"/>
    <x v="0"/>
    <n v="18144"/>
    <x v="4"/>
    <x v="0"/>
    <n v="5205.13"/>
    <n v="2.77"/>
    <n v="0"/>
    <n v="0"/>
    <x v="10"/>
    <s v="30/1 Cotton Yarn( 40000 LBS)"/>
    <n v="14600000"/>
    <x v="0"/>
    <n v="2628000"/>
    <x v="0"/>
    <m/>
    <m/>
    <x v="0"/>
    <x v="0"/>
    <x v="0"/>
    <x v="4"/>
    <x v="0"/>
    <x v="0"/>
    <m/>
    <x v="0"/>
    <x v="1"/>
    <x v="0"/>
    <x v="0"/>
    <x v="0"/>
    <x v="3"/>
    <n v="804.67372134038806"/>
    <n v="144.84126984126985"/>
    <n v="0"/>
    <d v="2023-12-08T00:00:00"/>
    <x v="0"/>
  </r>
  <r>
    <x v="146"/>
    <d v="2023-11-01T00:00:00"/>
    <x v="1317"/>
    <d v="2023-11-20T00:00:00"/>
    <x v="0"/>
    <x v="0"/>
    <n v="9843"/>
    <x v="4"/>
    <x v="0"/>
    <n v="5205.12"/>
    <n v="3.12"/>
    <n v="0"/>
    <n v="0"/>
    <x v="10"/>
    <s v="20/1 Cotton Yarn( 21700 LBS)"/>
    <n v="8897000"/>
    <x v="0"/>
    <n v="1601460"/>
    <x v="0"/>
    <m/>
    <m/>
    <x v="0"/>
    <x v="0"/>
    <x v="0"/>
    <x v="4"/>
    <x v="0"/>
    <x v="0"/>
    <m/>
    <x v="0"/>
    <x v="1"/>
    <x v="0"/>
    <x v="0"/>
    <x v="0"/>
    <x v="3"/>
    <n v="903.89109011480241"/>
    <n v="162.70039622066443"/>
    <n v="0"/>
    <d v="2023-12-01T00:00:00"/>
    <x v="0"/>
  </r>
  <r>
    <x v="147"/>
    <d v="2023-11-01T00:00:00"/>
    <x v="1318"/>
    <d v="2023-11-20T00:00:00"/>
    <x v="0"/>
    <x v="0"/>
    <n v="14062"/>
    <x v="4"/>
    <x v="0"/>
    <n v="5205.22"/>
    <n v="3.27"/>
    <n v="0"/>
    <n v="0"/>
    <x v="10"/>
    <s v="24/1 Cotton Yarn( 31000 LBS)"/>
    <n v="13330000"/>
    <x v="0"/>
    <n v="2399400"/>
    <x v="0"/>
    <m/>
    <m/>
    <x v="0"/>
    <x v="0"/>
    <x v="0"/>
    <x v="0"/>
    <x v="0"/>
    <x v="0"/>
    <m/>
    <x v="0"/>
    <x v="1"/>
    <x v="0"/>
    <x v="0"/>
    <x v="0"/>
    <x v="3"/>
    <n v="947.94481581567345"/>
    <n v="170.63006684682122"/>
    <n v="0"/>
    <d v="2023-12-01T00:00:00"/>
    <x v="0"/>
  </r>
  <r>
    <x v="148"/>
    <d v="2023-11-01T00:00:00"/>
    <x v="1319"/>
    <d v="2023-11-20T00:00:00"/>
    <x v="0"/>
    <x v="1"/>
    <n v="2268"/>
    <x v="4"/>
    <x v="0"/>
    <n v="5205.2700000000004"/>
    <n v="4.83"/>
    <n v="2268"/>
    <n v="2268"/>
    <x v="10"/>
    <s v="60/1 Cotton Yarn( 5000 LBS)"/>
    <n v="3175000"/>
    <x v="0"/>
    <n v="571500"/>
    <x v="0"/>
    <m/>
    <m/>
    <x v="0"/>
    <x v="0"/>
    <x v="0"/>
    <x v="0"/>
    <x v="0"/>
    <x v="0"/>
    <m/>
    <x v="0"/>
    <x v="1"/>
    <x v="0"/>
    <x v="0"/>
    <x v="0"/>
    <x v="3"/>
    <n v="1399.9118165784832"/>
    <n v="251.98412698412699"/>
    <n v="571500"/>
    <d v="2023-12-01T00:00:00"/>
    <x v="0"/>
  </r>
  <r>
    <x v="149"/>
    <d v="2023-11-01T00:00:00"/>
    <x v="1320"/>
    <d v="2023-11-20T00:00:00"/>
    <x v="0"/>
    <x v="0"/>
    <n v="8437"/>
    <x v="4"/>
    <x v="0"/>
    <n v="5205.13"/>
    <n v="3.12"/>
    <n v="0"/>
    <n v="0"/>
    <x v="10"/>
    <s v="30/1 Cotton Yarn( 18600 LBS)"/>
    <n v="7626000"/>
    <x v="0"/>
    <n v="1372680"/>
    <x v="0"/>
    <m/>
    <m/>
    <x v="0"/>
    <x v="0"/>
    <x v="0"/>
    <x v="4"/>
    <x v="0"/>
    <x v="0"/>
    <m/>
    <x v="0"/>
    <x v="1"/>
    <x v="0"/>
    <x v="0"/>
    <x v="0"/>
    <x v="3"/>
    <n v="903.87578523171749"/>
    <n v="162.69764134170913"/>
    <n v="0"/>
    <d v="2023-12-01T00:00:00"/>
    <x v="0"/>
  </r>
  <r>
    <x v="150"/>
    <d v="2023-11-01T00:00:00"/>
    <x v="1321"/>
    <d v="2023-11-20T00:00:00"/>
    <x v="0"/>
    <x v="0"/>
    <n v="4536"/>
    <x v="4"/>
    <x v="0"/>
    <n v="5205.12"/>
    <n v="3.12"/>
    <n v="0"/>
    <n v="0"/>
    <x v="10"/>
    <s v="20/1 Cotton Yarn( 10000 LBS)"/>
    <n v="4100000"/>
    <x v="0"/>
    <n v="738000"/>
    <x v="0"/>
    <m/>
    <m/>
    <x v="0"/>
    <x v="0"/>
    <x v="0"/>
    <x v="4"/>
    <x v="0"/>
    <x v="0"/>
    <m/>
    <x v="0"/>
    <x v="1"/>
    <x v="0"/>
    <x v="0"/>
    <x v="0"/>
    <x v="3"/>
    <n v="903.88007054673722"/>
    <n v="162.69841269841271"/>
    <n v="0"/>
    <d v="2023-12-01T00:00:00"/>
    <x v="0"/>
  </r>
  <r>
    <x v="151"/>
    <d v="2023-11-01T00:00:00"/>
    <x v="1322"/>
    <d v="2023-11-20T00:00:00"/>
    <x v="0"/>
    <x v="1"/>
    <n v="2268"/>
    <x v="4"/>
    <x v="0"/>
    <n v="5205.2700000000004"/>
    <n v="4.83"/>
    <n v="2268"/>
    <n v="2268"/>
    <x v="10"/>
    <s v="60/1 Cotton Yarn( 5000 LBS)"/>
    <n v="3175000"/>
    <x v="0"/>
    <n v="571500"/>
    <x v="0"/>
    <m/>
    <m/>
    <x v="0"/>
    <x v="0"/>
    <x v="0"/>
    <x v="0"/>
    <x v="0"/>
    <x v="0"/>
    <m/>
    <x v="0"/>
    <x v="1"/>
    <x v="0"/>
    <x v="0"/>
    <x v="0"/>
    <x v="3"/>
    <n v="1399.9118165784832"/>
    <n v="251.98412698412699"/>
    <n v="571500"/>
    <d v="2023-12-01T00:00:00"/>
    <x v="0"/>
  </r>
  <r>
    <x v="152"/>
    <d v="2023-11-01T00:00:00"/>
    <x v="1323"/>
    <d v="2023-11-20T00:00:00"/>
    <x v="0"/>
    <x v="0"/>
    <n v="9410"/>
    <x v="4"/>
    <x v="0"/>
    <n v="5205.22"/>
    <n v="3.27"/>
    <n v="0"/>
    <n v="0"/>
    <x v="10"/>
    <s v="24/1 Cotton Yarn( 20746  LBS)"/>
    <n v="8920780"/>
    <x v="0"/>
    <n v="1605740.4"/>
    <x v="0"/>
    <m/>
    <m/>
    <x v="0"/>
    <x v="0"/>
    <x v="0"/>
    <x v="0"/>
    <x v="0"/>
    <x v="0"/>
    <m/>
    <x v="0"/>
    <x v="1"/>
    <x v="0"/>
    <x v="0"/>
    <x v="0"/>
    <x v="3"/>
    <n v="948.01062699256113"/>
    <n v="170.64191285866099"/>
    <n v="0"/>
    <d v="2023-12-01T00:00:00"/>
    <x v="0"/>
  </r>
  <r>
    <x v="153"/>
    <d v="2023-11-01T00:00:00"/>
    <x v="1324"/>
    <d v="2023-11-20T00:00:00"/>
    <x v="0"/>
    <x v="0"/>
    <n v="2994"/>
    <x v="4"/>
    <x v="0"/>
    <n v="5205.12"/>
    <n v="3.12"/>
    <n v="0"/>
    <n v="0"/>
    <x v="10"/>
    <s v="20/1 Cotton Yarn( 6600 LBS)"/>
    <n v="2706000"/>
    <x v="0"/>
    <n v="487080"/>
    <x v="0"/>
    <m/>
    <m/>
    <x v="0"/>
    <x v="0"/>
    <x v="0"/>
    <x v="4"/>
    <x v="0"/>
    <x v="0"/>
    <m/>
    <x v="0"/>
    <x v="1"/>
    <x v="0"/>
    <x v="0"/>
    <x v="0"/>
    <x v="3"/>
    <n v="903.8076152304609"/>
    <n v="162.68537074148296"/>
    <n v="0"/>
    <d v="2023-12-01T00:00:00"/>
    <x v="0"/>
  </r>
  <r>
    <x v="154"/>
    <d v="2023-11-03T00:00:00"/>
    <x v="1325"/>
    <d v="2023-11-20T00:00:00"/>
    <x v="0"/>
    <x v="0"/>
    <n v="4445"/>
    <x v="4"/>
    <x v="0"/>
    <n v="5205.12"/>
    <n v="3.12"/>
    <n v="0"/>
    <n v="0"/>
    <x v="10"/>
    <s v="20/1 Cotton Yarn( 9800 LBS)"/>
    <n v="4018000"/>
    <x v="0"/>
    <n v="723240"/>
    <x v="0"/>
    <m/>
    <m/>
    <x v="0"/>
    <x v="0"/>
    <x v="0"/>
    <x v="4"/>
    <x v="0"/>
    <x v="0"/>
    <m/>
    <x v="0"/>
    <x v="1"/>
    <x v="0"/>
    <x v="0"/>
    <x v="0"/>
    <x v="3"/>
    <n v="903.93700787401576"/>
    <n v="162.70866141732284"/>
    <n v="0"/>
    <d v="2023-12-03T00:00:00"/>
    <x v="0"/>
  </r>
  <r>
    <x v="155"/>
    <d v="2023-11-08T00:00:00"/>
    <x v="1326"/>
    <d v="2023-11-20T00:00:00"/>
    <x v="0"/>
    <x v="0"/>
    <n v="4536"/>
    <x v="4"/>
    <x v="0"/>
    <n v="5205.12"/>
    <n v="3.12"/>
    <n v="0"/>
    <n v="0"/>
    <x v="10"/>
    <s v="20/1 Cotton Yarn( 10000 LBS)"/>
    <n v="4100000"/>
    <x v="0"/>
    <n v="738000"/>
    <x v="0"/>
    <m/>
    <m/>
    <x v="0"/>
    <x v="0"/>
    <x v="0"/>
    <x v="4"/>
    <x v="0"/>
    <x v="0"/>
    <m/>
    <x v="0"/>
    <x v="1"/>
    <x v="0"/>
    <x v="0"/>
    <x v="0"/>
    <x v="3"/>
    <n v="903.88007054673722"/>
    <n v="162.69841269841271"/>
    <n v="0"/>
    <d v="2023-12-08T00:00:00"/>
    <x v="0"/>
  </r>
  <r>
    <x v="156"/>
    <d v="2023-11-01T00:00:00"/>
    <x v="1327"/>
    <d v="2023-11-17T00:00:00"/>
    <x v="0"/>
    <x v="0"/>
    <n v="89659"/>
    <x v="4"/>
    <x v="0"/>
    <n v="5201.009"/>
    <n v="1.39"/>
    <n v="0"/>
    <n v="0"/>
    <x v="0"/>
    <s v="Raw Cotton"/>
    <n v="36032714"/>
    <x v="0"/>
    <n v="6485888.5199999996"/>
    <x v="0"/>
    <m/>
    <m/>
    <x v="0"/>
    <x v="0"/>
    <x v="0"/>
    <x v="4"/>
    <x v="0"/>
    <x v="0"/>
    <m/>
    <x v="0"/>
    <x v="1"/>
    <x v="0"/>
    <x v="0"/>
    <x v="0"/>
    <x v="0"/>
    <n v="401.88619101261446"/>
    <n v="72.339514382270593"/>
    <n v="0"/>
    <d v="2023-12-01T00:00:00"/>
    <x v="0"/>
  </r>
  <r>
    <x v="157"/>
    <d v="2023-11-01T00:00:00"/>
    <x v="1328"/>
    <d v="2023-11-17T00:00:00"/>
    <x v="0"/>
    <x v="0"/>
    <n v="29930"/>
    <x v="4"/>
    <x v="0"/>
    <n v="5201.009"/>
    <n v="1.71"/>
    <n v="0"/>
    <n v="0"/>
    <x v="0"/>
    <s v="Raw Cotton"/>
    <n v="14835093"/>
    <x v="0"/>
    <n v="2670316.7399999998"/>
    <x v="0"/>
    <m/>
    <m/>
    <x v="0"/>
    <x v="0"/>
    <x v="0"/>
    <x v="4"/>
    <x v="0"/>
    <x v="0"/>
    <m/>
    <x v="0"/>
    <x v="1"/>
    <x v="0"/>
    <x v="0"/>
    <x v="0"/>
    <x v="0"/>
    <n v="495.65963915803542"/>
    <n v="89.218735048446362"/>
    <n v="0"/>
    <d v="2023-12-01T00:00:00"/>
    <x v="0"/>
  </r>
  <r>
    <x v="158"/>
    <d v="2023-11-01T00:00:00"/>
    <x v="1329"/>
    <d v="2023-11-17T00:00:00"/>
    <x v="0"/>
    <x v="0"/>
    <n v="30775"/>
    <x v="4"/>
    <x v="0"/>
    <n v="5201.009"/>
    <n v="1.71"/>
    <n v="0"/>
    <n v="0"/>
    <x v="0"/>
    <s v="Raw Cotton"/>
    <n v="15253925"/>
    <x v="0"/>
    <n v="2745706.5"/>
    <x v="0"/>
    <m/>
    <m/>
    <x v="0"/>
    <x v="0"/>
    <x v="0"/>
    <x v="4"/>
    <x v="0"/>
    <x v="0"/>
    <m/>
    <x v="0"/>
    <x v="1"/>
    <x v="0"/>
    <x v="0"/>
    <x v="0"/>
    <x v="0"/>
    <n v="495.659626320065"/>
    <n v="89.218732737611703"/>
    <n v="0"/>
    <d v="2023-12-01T00:00:00"/>
    <x v="0"/>
  </r>
  <r>
    <x v="159"/>
    <d v="2023-11-01T00:00:00"/>
    <x v="1330"/>
    <d v="2023-11-17T00:00:00"/>
    <x v="0"/>
    <x v="0"/>
    <n v="60860"/>
    <x v="4"/>
    <x v="0"/>
    <n v="5201.009"/>
    <n v="1.66"/>
    <n v="0"/>
    <n v="0"/>
    <x v="0"/>
    <s v="Raw Cotton"/>
    <n v="29309787"/>
    <x v="0"/>
    <n v="5275761.66"/>
    <x v="0"/>
    <m/>
    <m/>
    <x v="0"/>
    <x v="0"/>
    <x v="0"/>
    <x v="4"/>
    <x v="0"/>
    <x v="0"/>
    <m/>
    <x v="0"/>
    <x v="1"/>
    <x v="0"/>
    <x v="0"/>
    <x v="0"/>
    <x v="0"/>
    <n v="481.59360828130133"/>
    <n v="86.686849490634245"/>
    <n v="0"/>
    <d v="2023-12-01T00:00:00"/>
    <x v="0"/>
  </r>
  <r>
    <x v="160"/>
    <d v="2023-11-03T00:00:00"/>
    <x v="1331"/>
    <d v="2023-11-17T00:00:00"/>
    <x v="0"/>
    <x v="0"/>
    <n v="30816"/>
    <x v="4"/>
    <x v="0"/>
    <n v="5201.009"/>
    <n v="1.58"/>
    <n v="0"/>
    <n v="0"/>
    <x v="0"/>
    <s v="Raw Cotton"/>
    <n v="14118358"/>
    <x v="0"/>
    <n v="2541304.44"/>
    <x v="0"/>
    <m/>
    <m/>
    <x v="0"/>
    <x v="0"/>
    <x v="0"/>
    <x v="6"/>
    <x v="0"/>
    <x v="0"/>
    <m/>
    <x v="0"/>
    <x v="1"/>
    <x v="0"/>
    <x v="0"/>
    <x v="0"/>
    <x v="0"/>
    <n v="458.1502466251298"/>
    <n v="82.467044392523363"/>
    <n v="0"/>
    <d v="2023-12-03T00:00:00"/>
    <x v="0"/>
  </r>
  <r>
    <x v="161"/>
    <d v="2023-11-05T00:00:00"/>
    <x v="1332"/>
    <d v="2023-11-27T00:00:00"/>
    <x v="0"/>
    <x v="1"/>
    <n v="4627"/>
    <x v="4"/>
    <x v="0"/>
    <n v="5205.2700000000004"/>
    <n v="5"/>
    <n v="4627"/>
    <n v="4627"/>
    <x v="10"/>
    <s v="60/1 Cotton Yarn( 10200 LBS)"/>
    <n v="6477000"/>
    <x v="0"/>
    <n v="1165860"/>
    <x v="0"/>
    <m/>
    <m/>
    <x v="0"/>
    <x v="0"/>
    <x v="0"/>
    <x v="0"/>
    <x v="0"/>
    <x v="0"/>
    <m/>
    <x v="0"/>
    <x v="1"/>
    <x v="0"/>
    <x v="0"/>
    <x v="0"/>
    <x v="3"/>
    <n v="1399.8271017938189"/>
    <n v="251.96887832288741"/>
    <n v="1165860"/>
    <d v="2023-12-05T00:00:00"/>
    <x v="0"/>
  </r>
  <r>
    <x v="162"/>
    <d v="2023-11-06T00:00:00"/>
    <x v="1333"/>
    <d v="2023-11-27T00:00:00"/>
    <x v="0"/>
    <x v="0"/>
    <n v="4854"/>
    <x v="4"/>
    <x v="0"/>
    <n v="5205.12"/>
    <n v="3.23"/>
    <n v="0"/>
    <n v="0"/>
    <x v="10"/>
    <s v="20/1 Cotton Yarn( 10700 LBS)"/>
    <n v="4387000"/>
    <x v="0"/>
    <n v="789660"/>
    <x v="0"/>
    <m/>
    <m/>
    <x v="0"/>
    <x v="0"/>
    <x v="0"/>
    <x v="4"/>
    <x v="0"/>
    <x v="0"/>
    <m/>
    <x v="0"/>
    <x v="1"/>
    <x v="0"/>
    <x v="0"/>
    <x v="0"/>
    <x v="3"/>
    <n v="903.790688092295"/>
    <n v="162.6823238566131"/>
    <n v="0"/>
    <d v="2023-12-06T00:00:00"/>
    <x v="0"/>
  </r>
  <r>
    <x v="163"/>
    <d v="2023-11-06T00:00:00"/>
    <x v="1334"/>
    <d v="2023-11-27T00:00:00"/>
    <x v="0"/>
    <x v="0"/>
    <n v="1769"/>
    <x v="4"/>
    <x v="0"/>
    <n v="5205.12"/>
    <n v="2.64"/>
    <n v="0"/>
    <n v="0"/>
    <x v="10"/>
    <s v="16/1 Cotton Yarn 3900 LBS)"/>
    <n v="1306500"/>
    <x v="0"/>
    <n v="235170"/>
    <x v="0"/>
    <m/>
    <m/>
    <x v="0"/>
    <x v="0"/>
    <x v="0"/>
    <x v="0"/>
    <x v="0"/>
    <x v="0"/>
    <m/>
    <x v="0"/>
    <x v="1"/>
    <x v="0"/>
    <x v="0"/>
    <x v="0"/>
    <x v="3"/>
    <n v="738.5528547201809"/>
    <n v="132.93951384963256"/>
    <n v="0"/>
    <d v="2023-12-06T00:00:00"/>
    <x v="0"/>
  </r>
  <r>
    <x v="164"/>
    <d v="2023-11-18T00:00:00"/>
    <x v="1335"/>
    <d v="2023-11-27T00:00:00"/>
    <x v="0"/>
    <x v="0"/>
    <n v="6804"/>
    <x v="4"/>
    <x v="0"/>
    <n v="5205.12"/>
    <n v="2.97"/>
    <n v="0"/>
    <n v="0"/>
    <x v="10"/>
    <s v="10/1 Cotton Yarn (15000 LBS)"/>
    <n v="5655000"/>
    <x v="0"/>
    <n v="1017900"/>
    <x v="0"/>
    <m/>
    <m/>
    <x v="0"/>
    <x v="0"/>
    <x v="0"/>
    <x v="0"/>
    <x v="0"/>
    <x v="0"/>
    <m/>
    <x v="0"/>
    <x v="1"/>
    <x v="0"/>
    <x v="0"/>
    <x v="0"/>
    <x v="3"/>
    <n v="831.12874779541448"/>
    <n v="149.60317460317461"/>
    <n v="0"/>
    <d v="2023-12-18T00:00:00"/>
    <x v="0"/>
  </r>
  <r>
    <x v="165"/>
    <d v="2023-11-21T00:00:00"/>
    <x v="1336"/>
    <d v="2023-11-27T00:00:00"/>
    <x v="0"/>
    <x v="0"/>
    <n v="726"/>
    <x v="4"/>
    <x v="0"/>
    <n v="5205.12"/>
    <n v="2.48"/>
    <n v="0"/>
    <n v="0"/>
    <x v="10"/>
    <s v="10/1 Cotton Yarn ( 1600 LBS)"/>
    <n v="504000"/>
    <x v="0"/>
    <n v="90720"/>
    <x v="0"/>
    <m/>
    <m/>
    <x v="0"/>
    <x v="0"/>
    <x v="0"/>
    <x v="0"/>
    <x v="0"/>
    <x v="0"/>
    <m/>
    <x v="0"/>
    <x v="1"/>
    <x v="0"/>
    <x v="0"/>
    <x v="0"/>
    <x v="3"/>
    <n v="694.21487603305786"/>
    <n v="124.95867768595042"/>
    <n v="0"/>
    <d v="2023-12-21T00:00:00"/>
    <x v="0"/>
  </r>
  <r>
    <x v="166"/>
    <d v="2023-09-25T00:00:00"/>
    <x v="1337"/>
    <d v="2023-11-27T00:00:00"/>
    <x v="0"/>
    <x v="0"/>
    <n v="62395"/>
    <x v="4"/>
    <x v="0"/>
    <n v="5201.009"/>
    <n v="1.81"/>
    <n v="0"/>
    <n v="0"/>
    <x v="0"/>
    <s v="Raw Cotton"/>
    <n v="31595368"/>
    <x v="0"/>
    <n v="5687166.2400000002"/>
    <x v="0"/>
    <m/>
    <m/>
    <x v="0"/>
    <x v="0"/>
    <x v="0"/>
    <x v="4"/>
    <x v="0"/>
    <x v="0"/>
    <m/>
    <x v="0"/>
    <x v="1"/>
    <x v="0"/>
    <x v="0"/>
    <x v="0"/>
    <x v="0"/>
    <n v="506.37660068915778"/>
    <n v="91.147788124048404"/>
    <n v="0"/>
    <d v="2023-10-25T00:00:00"/>
    <x v="0"/>
  </r>
  <r>
    <x v="167"/>
    <d v="2023-11-01T00:00:00"/>
    <x v="1338"/>
    <d v="2023-12-04T00:00:00"/>
    <x v="0"/>
    <x v="0"/>
    <n v="150"/>
    <x v="4"/>
    <x v="0"/>
    <n v="3809.9189999999999"/>
    <n v="3.66"/>
    <n v="0"/>
    <n v="0"/>
    <x v="12"/>
    <s v="PROFIX ICY"/>
    <n v="153750"/>
    <x v="0"/>
    <n v="27675"/>
    <x v="0"/>
    <m/>
    <m/>
    <x v="0"/>
    <x v="0"/>
    <x v="0"/>
    <x v="4"/>
    <x v="0"/>
    <x v="0"/>
    <m/>
    <x v="0"/>
    <x v="1"/>
    <x v="0"/>
    <x v="0"/>
    <x v="0"/>
    <x v="5"/>
    <n v="1025"/>
    <n v="184.5"/>
    <n v="0"/>
    <d v="2023-12-01T00:00:00"/>
    <x v="0"/>
  </r>
  <r>
    <x v="168"/>
    <d v="2023-11-01T00:00:00"/>
    <x v="1339"/>
    <d v="2023-12-04T00:00:00"/>
    <x v="0"/>
    <x v="0"/>
    <n v="250"/>
    <x v="4"/>
    <x v="0"/>
    <n v="3507.9"/>
    <n v="12.5"/>
    <n v="0"/>
    <n v="0"/>
    <x v="12"/>
    <s v="AQUAZYM AD"/>
    <n v="875000"/>
    <x v="0"/>
    <n v="157500"/>
    <x v="0"/>
    <m/>
    <m/>
    <x v="0"/>
    <x v="0"/>
    <x v="0"/>
    <x v="4"/>
    <x v="0"/>
    <x v="0"/>
    <m/>
    <x v="0"/>
    <x v="1"/>
    <x v="0"/>
    <x v="0"/>
    <x v="0"/>
    <x v="5"/>
    <n v="3500"/>
    <n v="630"/>
    <n v="0"/>
    <d v="2023-12-01T00:00:00"/>
    <x v="0"/>
  </r>
  <r>
    <x v="169"/>
    <d v="2023-11-01T00:00:00"/>
    <x v="1340"/>
    <d v="2023-12-04T00:00:00"/>
    <x v="0"/>
    <x v="0"/>
    <n v="2520"/>
    <x v="4"/>
    <x v="0"/>
    <n v="3809.9189999999999"/>
    <n v="2.57"/>
    <n v="0"/>
    <n v="0"/>
    <x v="12"/>
    <s v="ALKASOFT PEN"/>
    <n v="1814400"/>
    <x v="0"/>
    <n v="326592"/>
    <x v="0"/>
    <m/>
    <m/>
    <x v="0"/>
    <x v="0"/>
    <x v="0"/>
    <x v="4"/>
    <x v="0"/>
    <x v="0"/>
    <m/>
    <x v="0"/>
    <x v="1"/>
    <x v="0"/>
    <x v="0"/>
    <x v="0"/>
    <x v="5"/>
    <n v="720"/>
    <n v="129.6"/>
    <n v="0"/>
    <d v="2023-12-01T00:00:00"/>
    <x v="0"/>
  </r>
  <r>
    <x v="170"/>
    <d v="2023-11-04T00:00:00"/>
    <x v="1341"/>
    <d v="2023-12-04T00:00:00"/>
    <x v="0"/>
    <x v="0"/>
    <n v="8000"/>
    <x v="4"/>
    <x v="0"/>
    <n v="3204.16"/>
    <n v="1.79"/>
    <n v="0"/>
    <n v="0"/>
    <x v="5"/>
    <s v="DRIMAREN"/>
    <n v="4005000"/>
    <x v="0"/>
    <n v="720900"/>
    <x v="0"/>
    <m/>
    <m/>
    <x v="0"/>
    <x v="0"/>
    <x v="0"/>
    <x v="4"/>
    <x v="0"/>
    <x v="0"/>
    <m/>
    <x v="0"/>
    <x v="1"/>
    <x v="0"/>
    <x v="0"/>
    <x v="0"/>
    <x v="4"/>
    <n v="500.625"/>
    <n v="90.112499999999997"/>
    <n v="0"/>
    <d v="2023-12-04T00:00:00"/>
    <x v="0"/>
  </r>
  <r>
    <x v="171"/>
    <d v="2023-11-01T00:00:00"/>
    <x v="1342"/>
    <d v="2023-12-04T00:00:00"/>
    <x v="0"/>
    <x v="0"/>
    <n v="4200"/>
    <x v="4"/>
    <x v="0"/>
    <n v="3204.2"/>
    <n v="1.8"/>
    <n v="0"/>
    <n v="0"/>
    <x v="5"/>
    <s v="LEUCOPHOR BMF LIQUID"/>
    <n v="2121000"/>
    <x v="0"/>
    <n v="3817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3-12-01T00:00:00"/>
    <x v="0"/>
  </r>
  <r>
    <x v="172"/>
    <d v="2023-11-01T00:00:00"/>
    <x v="1343"/>
    <d v="2023-12-04T00:00:00"/>
    <x v="0"/>
    <x v="0"/>
    <n v="3080"/>
    <x v="4"/>
    <x v="0"/>
    <n v="2931.9090000000001"/>
    <n v="1.92"/>
    <n v="0"/>
    <n v="0"/>
    <x v="12"/>
    <s v="LUFIBROL ANTOX LIQ"/>
    <n v="1657040"/>
    <x v="0"/>
    <n v="298267.2"/>
    <x v="0"/>
    <m/>
    <m/>
    <x v="0"/>
    <x v="0"/>
    <x v="0"/>
    <x v="4"/>
    <x v="0"/>
    <x v="0"/>
    <m/>
    <x v="0"/>
    <x v="1"/>
    <x v="0"/>
    <x v="0"/>
    <x v="0"/>
    <x v="5"/>
    <n v="538"/>
    <n v="96.84"/>
    <n v="0"/>
    <d v="2023-12-01T00:00:00"/>
    <x v="0"/>
  </r>
  <r>
    <x v="173"/>
    <d v="2023-11-01T00:00:00"/>
    <x v="1344"/>
    <d v="2023-12-04T00:00:00"/>
    <x v="0"/>
    <x v="0"/>
    <n v="1600"/>
    <x v="4"/>
    <x v="0"/>
    <n v="3204.2"/>
    <n v="1.8"/>
    <n v="0"/>
    <n v="0"/>
    <x v="5"/>
    <s v="LEUCOPHOR BMF LIQUID"/>
    <n v="808000"/>
    <x v="0"/>
    <n v="14544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3-12-01T00:00:00"/>
    <x v="0"/>
  </r>
  <r>
    <x v="174"/>
    <d v="2023-11-01T00:00:00"/>
    <x v="1345"/>
    <d v="2023-12-04T00:00:00"/>
    <x v="0"/>
    <x v="0"/>
    <n v="2200"/>
    <x v="4"/>
    <x v="0"/>
    <n v="3204.2"/>
    <n v="1.8"/>
    <n v="0"/>
    <n v="0"/>
    <x v="5"/>
    <s v="LEUCOPHOR BMF LIQUID"/>
    <n v="1111000"/>
    <x v="0"/>
    <n v="1999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3-12-01T00:00:00"/>
    <x v="0"/>
  </r>
  <r>
    <x v="174"/>
    <d v="2023-11-01T00:00:00"/>
    <x v="1345"/>
    <d v="2023-12-04T00:00:00"/>
    <x v="0"/>
    <x v="0"/>
    <n v="1980"/>
    <x v="4"/>
    <x v="0"/>
    <n v="2931.9090000000001"/>
    <n v="1.92"/>
    <n v="0"/>
    <n v="0"/>
    <x v="12"/>
    <s v="LUFIBROL ANTOX LIQ"/>
    <n v="1065240"/>
    <x v="0"/>
    <n v="191743.19999999998"/>
    <x v="0"/>
    <m/>
    <m/>
    <x v="0"/>
    <x v="0"/>
    <x v="0"/>
    <x v="4"/>
    <x v="0"/>
    <x v="0"/>
    <m/>
    <x v="0"/>
    <x v="1"/>
    <x v="0"/>
    <x v="0"/>
    <x v="0"/>
    <x v="5"/>
    <n v="538"/>
    <n v="96.839999999999989"/>
    <n v="0"/>
    <d v="2023-12-01T00:00:00"/>
    <x v="0"/>
  </r>
  <r>
    <x v="175"/>
    <d v="2023-11-01T00:00:00"/>
    <x v="1346"/>
    <d v="2023-12-04T00:00:00"/>
    <x v="0"/>
    <x v="0"/>
    <n v="540"/>
    <x v="4"/>
    <x v="0"/>
    <n v="3910"/>
    <n v="2.59"/>
    <n v="0"/>
    <n v="0"/>
    <x v="12"/>
    <s v="SOLUSOFT MW PK LIQ"/>
    <n v="391500"/>
    <x v="0"/>
    <n v="70470"/>
    <x v="0"/>
    <m/>
    <m/>
    <x v="0"/>
    <x v="0"/>
    <x v="0"/>
    <x v="4"/>
    <x v="0"/>
    <x v="0"/>
    <m/>
    <x v="0"/>
    <x v="1"/>
    <x v="0"/>
    <x v="0"/>
    <x v="0"/>
    <x v="5"/>
    <n v="725"/>
    <n v="130.5"/>
    <n v="0"/>
    <d v="2023-12-01T00:00:00"/>
    <x v="0"/>
  </r>
  <r>
    <x v="176"/>
    <d v="2023-11-01T00:00:00"/>
    <x v="1347"/>
    <d v="2023-12-04T00:00:00"/>
    <x v="0"/>
    <x v="0"/>
    <n v="200"/>
    <x v="4"/>
    <x v="0"/>
    <n v="3204.9"/>
    <n v="2.78"/>
    <n v="0"/>
    <n v="0"/>
    <x v="5"/>
    <s v="KIERALON UH LIQ"/>
    <n v="155800"/>
    <x v="0"/>
    <n v="28044"/>
    <x v="0"/>
    <m/>
    <m/>
    <x v="0"/>
    <x v="0"/>
    <x v="0"/>
    <x v="4"/>
    <x v="0"/>
    <x v="0"/>
    <m/>
    <x v="0"/>
    <x v="1"/>
    <x v="0"/>
    <x v="0"/>
    <x v="0"/>
    <x v="4"/>
    <n v="779"/>
    <n v="140.22"/>
    <n v="0"/>
    <d v="2023-12-01T00:00:00"/>
    <x v="0"/>
  </r>
  <r>
    <x v="176"/>
    <d v="2023-11-01T00:00:00"/>
    <x v="1347"/>
    <d v="2023-12-04T00:00:00"/>
    <x v="0"/>
    <x v="0"/>
    <n v="400"/>
    <x v="4"/>
    <x v="0"/>
    <n v="2904.2089999999998"/>
    <n v="0.94"/>
    <n v="0"/>
    <n v="0"/>
    <x v="12"/>
    <s v="REVATOL S LIQUID"/>
    <n v="105600"/>
    <x v="0"/>
    <n v="19008"/>
    <x v="0"/>
    <m/>
    <m/>
    <x v="0"/>
    <x v="0"/>
    <x v="0"/>
    <x v="4"/>
    <x v="0"/>
    <x v="0"/>
    <m/>
    <x v="0"/>
    <x v="1"/>
    <x v="0"/>
    <x v="0"/>
    <x v="0"/>
    <x v="5"/>
    <n v="264"/>
    <n v="47.52"/>
    <n v="0"/>
    <d v="2023-12-01T00:00:00"/>
    <x v="0"/>
  </r>
  <r>
    <x v="177"/>
    <d v="2023-11-01T00:00:00"/>
    <x v="1348"/>
    <d v="2023-12-04T00:00:00"/>
    <x v="0"/>
    <x v="0"/>
    <n v="25"/>
    <x v="4"/>
    <x v="0"/>
    <n v="3204.1190000000001"/>
    <n v="21.07"/>
    <n v="0"/>
    <n v="0"/>
    <x v="5"/>
    <s v="TERESIL RED GFF"/>
    <n v="147500"/>
    <x v="0"/>
    <n v="26550"/>
    <x v="0"/>
    <m/>
    <m/>
    <x v="0"/>
    <x v="0"/>
    <x v="0"/>
    <x v="4"/>
    <x v="0"/>
    <x v="0"/>
    <m/>
    <x v="0"/>
    <x v="1"/>
    <x v="0"/>
    <x v="0"/>
    <x v="0"/>
    <x v="4"/>
    <n v="5900"/>
    <n v="1062"/>
    <n v="0"/>
    <d v="2023-12-01T00:00:00"/>
    <x v="0"/>
  </r>
  <r>
    <x v="178"/>
    <d v="2023-11-01T00:00:00"/>
    <x v="1349"/>
    <d v="2023-12-04T00:00:00"/>
    <x v="0"/>
    <x v="0"/>
    <n v="400"/>
    <x v="4"/>
    <x v="0"/>
    <n v="3809.9110000000001"/>
    <n v="0.82"/>
    <n v="0"/>
    <n v="0"/>
    <x v="12"/>
    <s v="IMACOL C LIQ"/>
    <n v="92000"/>
    <x v="0"/>
    <n v="16560"/>
    <x v="0"/>
    <m/>
    <m/>
    <x v="0"/>
    <x v="0"/>
    <x v="0"/>
    <x v="4"/>
    <x v="0"/>
    <x v="0"/>
    <m/>
    <x v="0"/>
    <x v="1"/>
    <x v="0"/>
    <x v="0"/>
    <x v="0"/>
    <x v="5"/>
    <n v="230"/>
    <n v="41.4"/>
    <n v="0"/>
    <d v="2023-12-01T00:00:00"/>
    <x v="0"/>
  </r>
  <r>
    <x v="179"/>
    <d v="2023-11-01T00:00:00"/>
    <x v="1350"/>
    <d v="2023-12-04T00:00:00"/>
    <x v="0"/>
    <x v="0"/>
    <n v="2500"/>
    <x v="4"/>
    <x v="0"/>
    <n v="3204.172"/>
    <n v="1.23"/>
    <n v="0"/>
    <n v="0"/>
    <x v="5"/>
    <s v="PRINTOFIX BLACK FF-RT"/>
    <n v="862500"/>
    <x v="0"/>
    <n v="155250"/>
    <x v="0"/>
    <m/>
    <m/>
    <x v="0"/>
    <x v="0"/>
    <x v="0"/>
    <x v="4"/>
    <x v="0"/>
    <x v="0"/>
    <m/>
    <x v="0"/>
    <x v="1"/>
    <x v="0"/>
    <x v="0"/>
    <x v="0"/>
    <x v="4"/>
    <n v="345"/>
    <n v="62.1"/>
    <n v="0"/>
    <d v="2023-12-01T00:00:00"/>
    <x v="0"/>
  </r>
  <r>
    <x v="180"/>
    <d v="2023-11-04T00:00:00"/>
    <x v="1351"/>
    <d v="2023-12-04T00:00:00"/>
    <x v="0"/>
    <x v="0"/>
    <n v="260"/>
    <x v="4"/>
    <x v="0"/>
    <n v="3809.9189999999999"/>
    <n v="1.54"/>
    <n v="0"/>
    <n v="0"/>
    <x v="12"/>
    <s v="CONTAVAN ICE"/>
    <n v="111800"/>
    <x v="0"/>
    <n v="20124"/>
    <x v="0"/>
    <m/>
    <m/>
    <x v="0"/>
    <x v="0"/>
    <x v="0"/>
    <x v="4"/>
    <x v="0"/>
    <x v="0"/>
    <m/>
    <x v="0"/>
    <x v="1"/>
    <x v="0"/>
    <x v="0"/>
    <x v="0"/>
    <x v="5"/>
    <n v="430"/>
    <n v="77.400000000000006"/>
    <n v="0"/>
    <d v="2023-12-04T00:00:00"/>
    <x v="0"/>
  </r>
  <r>
    <x v="181"/>
    <d v="2023-11-04T00:00:00"/>
    <x v="1352"/>
    <d v="2023-12-04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3-12-04T00:00:00"/>
    <x v="0"/>
  </r>
  <r>
    <x v="182"/>
    <d v="2023-11-03T00:00:00"/>
    <x v="1353"/>
    <d v="2023-12-07T00:00:00"/>
    <x v="0"/>
    <x v="0"/>
    <n v="5000"/>
    <x v="4"/>
    <x v="0"/>
    <n v="3906.9090000000001"/>
    <n v="0.7"/>
    <n v="0"/>
    <n v="0"/>
    <x v="12"/>
    <s v="TUBIFAST ACL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03T00:00:00"/>
    <x v="0"/>
  </r>
  <r>
    <x v="183"/>
    <d v="2023-11-01T00:00:00"/>
    <x v="1354"/>
    <d v="2023-12-14T00:00:00"/>
    <x v="0"/>
    <x v="0"/>
    <n v="5000"/>
    <x v="4"/>
    <x v="0"/>
    <n v="3906.9090000000001"/>
    <n v="0.5"/>
    <n v="0"/>
    <n v="0"/>
    <x v="12"/>
    <s v="TUBIFAST ACL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01T00:00:00"/>
    <x v="0"/>
  </r>
  <r>
    <x v="184"/>
    <d v="2023-11-01T00:00:00"/>
    <x v="1355"/>
    <d v="2023-12-21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01T00:00:00"/>
    <x v="0"/>
  </r>
  <r>
    <x v="185"/>
    <d v="2023-11-01T00:00:00"/>
    <x v="1356"/>
    <d v="2023-12-23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01T00:00:00"/>
    <x v="0"/>
  </r>
  <r>
    <x v="186"/>
    <d v="2023-12-01T00:00:00"/>
    <x v="1357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87"/>
    <d v="2023-12-01T00:00:00"/>
    <x v="1358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88"/>
    <d v="2023-12-01T00:00:00"/>
    <x v="1359"/>
    <d v="2023-12-26T00:00:00"/>
    <x v="0"/>
    <x v="0"/>
    <n v="3000"/>
    <x v="4"/>
    <x v="0"/>
    <n v="3906.9090000000001"/>
    <n v="0.68"/>
    <n v="0"/>
    <n v="0"/>
    <x v="12"/>
    <s v="TUBIFAST ACL / ACE"/>
    <n v="573000"/>
    <x v="0"/>
    <n v="103140"/>
    <x v="0"/>
    <m/>
    <m/>
    <x v="0"/>
    <x v="0"/>
    <x v="0"/>
    <x v="4"/>
    <x v="0"/>
    <x v="0"/>
    <m/>
    <x v="0"/>
    <x v="1"/>
    <x v="0"/>
    <x v="0"/>
    <x v="0"/>
    <x v="5"/>
    <n v="191"/>
    <n v="34.380000000000003"/>
    <n v="0"/>
    <d v="2023-12-31T00:00:00"/>
    <x v="0"/>
  </r>
  <r>
    <x v="189"/>
    <d v="2023-12-01T00:00:00"/>
    <x v="1360"/>
    <d v="2023-12-26T00:00:00"/>
    <x v="0"/>
    <x v="0"/>
    <n v="4000"/>
    <x v="4"/>
    <x v="0"/>
    <n v="3906.9090000000001"/>
    <n v="0.57999999999999996"/>
    <n v="0"/>
    <n v="0"/>
    <x v="12"/>
    <s v="TUBIFAST ACL"/>
    <n v="652000"/>
    <x v="0"/>
    <n v="11736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90"/>
    <d v="2023-12-01T00:00:00"/>
    <x v="1361"/>
    <d v="2023-12-26T00:00:00"/>
    <x v="0"/>
    <x v="0"/>
    <n v="5000"/>
    <x v="4"/>
    <x v="0"/>
    <n v="3906.9090000000001"/>
    <n v="0.73"/>
    <n v="0"/>
    <n v="0"/>
    <x v="12"/>
    <s v="TUBIFAST ACE"/>
    <n v="1025000"/>
    <x v="0"/>
    <n v="184500"/>
    <x v="0"/>
    <m/>
    <m/>
    <x v="0"/>
    <x v="0"/>
    <x v="0"/>
    <x v="4"/>
    <x v="0"/>
    <x v="0"/>
    <m/>
    <x v="0"/>
    <x v="1"/>
    <x v="0"/>
    <x v="0"/>
    <x v="0"/>
    <x v="5"/>
    <n v="205"/>
    <n v="36.9"/>
    <n v="0"/>
    <d v="2023-12-31T00:00:00"/>
    <x v="0"/>
  </r>
  <r>
    <x v="191"/>
    <d v="2023-12-01T00:00:00"/>
    <x v="1362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92"/>
    <d v="2023-12-01T00:00:00"/>
    <x v="1363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93"/>
    <d v="2023-12-01T00:00:00"/>
    <x v="1364"/>
    <d v="2023-12-26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31T00:00:00"/>
    <x v="0"/>
  </r>
  <r>
    <x v="194"/>
    <d v="2023-12-01T00:00:00"/>
    <x v="1365"/>
    <d v="2023-12-26T00:00:00"/>
    <x v="0"/>
    <x v="0"/>
    <n v="1000"/>
    <x v="4"/>
    <x v="0"/>
    <n v="3906.9090000000001"/>
    <n v="0.73"/>
    <n v="0"/>
    <n v="0"/>
    <x v="12"/>
    <s v="TUBIFAST ACE"/>
    <n v="205000"/>
    <x v="0"/>
    <n v="36900"/>
    <x v="0"/>
    <m/>
    <m/>
    <x v="0"/>
    <x v="0"/>
    <x v="0"/>
    <x v="4"/>
    <x v="0"/>
    <x v="0"/>
    <m/>
    <x v="0"/>
    <x v="1"/>
    <x v="0"/>
    <x v="0"/>
    <x v="0"/>
    <x v="5"/>
    <n v="205"/>
    <n v="36.9"/>
    <n v="0"/>
    <d v="2023-12-31T00:00:00"/>
    <x v="0"/>
  </r>
  <r>
    <x v="195"/>
    <d v="2023-12-01T00:00:00"/>
    <x v="1366"/>
    <d v="2023-12-26T00:00:00"/>
    <x v="0"/>
    <x v="0"/>
    <n v="3000"/>
    <x v="4"/>
    <x v="0"/>
    <n v="3906.9090000000001"/>
    <n v="0.57999999999999996"/>
    <n v="0"/>
    <n v="0"/>
    <x v="12"/>
    <s v="TUBIFAST ACL"/>
    <n v="489000"/>
    <x v="0"/>
    <n v="8802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96"/>
    <d v="2023-12-01T00:00:00"/>
    <x v="1367"/>
    <d v="2023-12-26T00:00:00"/>
    <x v="0"/>
    <x v="0"/>
    <n v="4000"/>
    <x v="4"/>
    <x v="0"/>
    <n v="3906.9090000000001"/>
    <n v="0.57999999999999996"/>
    <n v="0"/>
    <n v="0"/>
    <x v="12"/>
    <s v="TUBIFAST ACL"/>
    <n v="652000"/>
    <x v="0"/>
    <n v="11736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x v="197"/>
    <d v="2023-12-01T00:00:00"/>
    <x v="1368"/>
    <d v="2023-12-26T00:00:00"/>
    <x v="0"/>
    <x v="0"/>
    <n v="4000"/>
    <x v="4"/>
    <x v="0"/>
    <n v="3906.9090000000001"/>
    <n v="0.62"/>
    <n v="0"/>
    <n v="0"/>
    <x v="12"/>
    <s v="TUBIFAST ACL / ACE"/>
    <n v="694000"/>
    <x v="0"/>
    <n v="124920"/>
    <x v="0"/>
    <m/>
    <m/>
    <x v="0"/>
    <x v="0"/>
    <x v="0"/>
    <x v="4"/>
    <x v="0"/>
    <x v="0"/>
    <m/>
    <x v="0"/>
    <x v="1"/>
    <x v="0"/>
    <x v="0"/>
    <x v="0"/>
    <x v="5"/>
    <n v="173.5"/>
    <n v="31.23"/>
    <n v="0"/>
    <d v="2023-12-31T00:00:00"/>
    <x v="0"/>
  </r>
  <r>
    <x v="198"/>
    <d v="2023-12-01T00:00:00"/>
    <x v="1369"/>
    <d v="2023-12-26T00:00:00"/>
    <x v="0"/>
    <x v="0"/>
    <n v="4000"/>
    <x v="4"/>
    <x v="0"/>
    <n v="3906.9090000000001"/>
    <n v="0.73"/>
    <n v="0"/>
    <n v="0"/>
    <x v="12"/>
    <s v="TUBIFAST ACE"/>
    <n v="820000"/>
    <x v="0"/>
    <n v="147600"/>
    <x v="0"/>
    <m/>
    <m/>
    <x v="0"/>
    <x v="0"/>
    <x v="0"/>
    <x v="4"/>
    <x v="0"/>
    <x v="0"/>
    <m/>
    <x v="0"/>
    <x v="1"/>
    <x v="0"/>
    <x v="0"/>
    <x v="0"/>
    <x v="5"/>
    <n v="205"/>
    <n v="36.9"/>
    <n v="0"/>
    <d v="2023-12-31T00:00:00"/>
    <x v="0"/>
  </r>
  <r>
    <x v="199"/>
    <d v="2023-12-01T00:00:00"/>
    <x v="1370"/>
    <d v="2023-12-26T00:00:00"/>
    <x v="0"/>
    <x v="0"/>
    <n v="25"/>
    <x v="4"/>
    <x v="0"/>
    <n v="3204.16"/>
    <n v="8.39"/>
    <n v="0"/>
    <n v="0"/>
    <x v="5"/>
    <s v="SUNZOL NAVY BLUE GRB"/>
    <n v="58750"/>
    <x v="0"/>
    <n v="10575"/>
    <x v="0"/>
    <m/>
    <m/>
    <x v="0"/>
    <x v="0"/>
    <x v="0"/>
    <x v="4"/>
    <x v="0"/>
    <x v="0"/>
    <m/>
    <x v="0"/>
    <x v="1"/>
    <x v="0"/>
    <x v="0"/>
    <x v="0"/>
    <x v="4"/>
    <n v="2350"/>
    <n v="423"/>
    <n v="0"/>
    <d v="2023-12-31T00:00:00"/>
    <x v="0"/>
  </r>
  <r>
    <x v="200"/>
    <d v="2023-12-01T00:00:00"/>
    <x v="1371"/>
    <d v="2023-12-26T00:00:00"/>
    <x v="0"/>
    <x v="0"/>
    <n v="1500"/>
    <x v="4"/>
    <x v="0"/>
    <n v="3809.9189999999999"/>
    <n v="3.57"/>
    <n v="0"/>
    <n v="0"/>
    <x v="12"/>
    <s v="REPRINT SWE"/>
    <n v="1500000"/>
    <x v="0"/>
    <n v="270000"/>
    <x v="0"/>
    <m/>
    <m/>
    <x v="0"/>
    <x v="0"/>
    <x v="0"/>
    <x v="4"/>
    <x v="0"/>
    <x v="0"/>
    <m/>
    <x v="0"/>
    <x v="1"/>
    <x v="0"/>
    <x v="0"/>
    <x v="0"/>
    <x v="5"/>
    <n v="1000"/>
    <n v="180"/>
    <n v="0"/>
    <d v="2023-12-31T00:00:00"/>
    <x v="0"/>
  </r>
  <r>
    <x v="201"/>
    <d v="2023-12-01T00:00:00"/>
    <x v="1372"/>
    <d v="2023-12-26T00:00:00"/>
    <x v="0"/>
    <x v="0"/>
    <n v="33710"/>
    <x v="4"/>
    <x v="0"/>
    <n v="5201.009"/>
    <n v="1.6"/>
    <n v="0"/>
    <n v="0"/>
    <x v="0"/>
    <s v="Raw Cotton"/>
    <n v="15128135"/>
    <x v="0"/>
    <n v="2723064.3"/>
    <x v="0"/>
    <m/>
    <m/>
    <x v="0"/>
    <x v="0"/>
    <x v="0"/>
    <x v="6"/>
    <x v="0"/>
    <x v="0"/>
    <m/>
    <x v="0"/>
    <x v="1"/>
    <x v="0"/>
    <x v="0"/>
    <x v="0"/>
    <x v="0"/>
    <n v="448.77291604865025"/>
    <n v="80.779124888757039"/>
    <n v="0"/>
    <d v="2023-12-31T00:00:00"/>
    <x v="0"/>
  </r>
  <r>
    <x v="202"/>
    <d v="2023-12-01T00:00:00"/>
    <x v="1373"/>
    <d v="2023-12-26T00:00:00"/>
    <x v="0"/>
    <x v="0"/>
    <n v="34304"/>
    <x v="4"/>
    <x v="0"/>
    <n v="5201.009"/>
    <n v="0.16"/>
    <n v="0"/>
    <n v="0"/>
    <x v="0"/>
    <s v="Raw Cotton"/>
    <n v="1544660"/>
    <x v="0"/>
    <n v="278038.8"/>
    <x v="0"/>
    <m/>
    <m/>
    <x v="0"/>
    <x v="0"/>
    <x v="0"/>
    <x v="6"/>
    <x v="0"/>
    <x v="0"/>
    <m/>
    <x v="0"/>
    <x v="1"/>
    <x v="0"/>
    <x v="0"/>
    <x v="0"/>
    <x v="0"/>
    <n v="45.028568097014926"/>
    <n v="8.1051422574626866"/>
    <n v="0"/>
    <d v="2023-12-31T00:00:00"/>
    <x v="0"/>
  </r>
  <r>
    <x v="203"/>
    <d v="2023-12-01T00:00:00"/>
    <x v="1374"/>
    <d v="2023-12-26T00:00:00"/>
    <x v="0"/>
    <x v="0"/>
    <n v="30663"/>
    <x v="4"/>
    <x v="0"/>
    <n v="5201.009"/>
    <n v="1.52"/>
    <n v="0"/>
    <n v="0"/>
    <x v="0"/>
    <s v="Raw Cotton"/>
    <n v="13062418"/>
    <x v="0"/>
    <n v="2351235.2399999998"/>
    <x v="0"/>
    <m/>
    <m/>
    <x v="0"/>
    <x v="0"/>
    <x v="0"/>
    <x v="6"/>
    <x v="0"/>
    <x v="0"/>
    <m/>
    <x v="0"/>
    <x v="1"/>
    <x v="0"/>
    <x v="0"/>
    <x v="0"/>
    <x v="0"/>
    <n v="425.99934774810032"/>
    <n v="76.679882594658054"/>
    <n v="0"/>
    <d v="2023-12-31T00:00:00"/>
    <x v="0"/>
  </r>
  <r>
    <x v="204"/>
    <d v="2023-12-01T00:00:00"/>
    <x v="1375"/>
    <d v="2023-12-26T00:00:00"/>
    <x v="0"/>
    <x v="0"/>
    <n v="61842"/>
    <x v="4"/>
    <x v="0"/>
    <n v="5201.009"/>
    <n v="1.51"/>
    <n v="0"/>
    <n v="0"/>
    <x v="0"/>
    <s v="Raw Cotton"/>
    <n v="26096118"/>
    <x v="0"/>
    <n v="4697301.24"/>
    <x v="0"/>
    <m/>
    <m/>
    <x v="0"/>
    <x v="0"/>
    <x v="0"/>
    <x v="6"/>
    <x v="0"/>
    <x v="0"/>
    <m/>
    <x v="0"/>
    <x v="1"/>
    <x v="0"/>
    <x v="0"/>
    <x v="0"/>
    <x v="0"/>
    <n v="421.98049869021054"/>
    <n v="75.956489764237901"/>
    <n v="0"/>
    <d v="2023-12-31T00:00:00"/>
    <x v="0"/>
  </r>
  <r>
    <x v="205"/>
    <d v="2023-12-01T00:00:00"/>
    <x v="1376"/>
    <d v="2023-12-26T00:00:00"/>
    <x v="0"/>
    <x v="0"/>
    <n v="61260"/>
    <x v="4"/>
    <x v="0"/>
    <n v="5201.009"/>
    <n v="1.76"/>
    <n v="0"/>
    <n v="0"/>
    <x v="0"/>
    <s v="Raw Cotton"/>
    <n v="30199979"/>
    <x v="0"/>
    <n v="5435996.2199999997"/>
    <x v="0"/>
    <m/>
    <m/>
    <x v="0"/>
    <x v="0"/>
    <x v="0"/>
    <x v="6"/>
    <x v="0"/>
    <x v="0"/>
    <m/>
    <x v="0"/>
    <x v="1"/>
    <x v="0"/>
    <x v="0"/>
    <x v="0"/>
    <x v="0"/>
    <n v="492.98039503754489"/>
    <n v="88.736471106758074"/>
    <n v="0"/>
    <d v="2023-12-31T00:00:00"/>
    <x v="0"/>
  </r>
  <r>
    <x v="206"/>
    <d v="2023-12-01T00:00:00"/>
    <x v="1377"/>
    <d v="2023-12-26T00:00:00"/>
    <x v="0"/>
    <x v="0"/>
    <n v="30610"/>
    <x v="4"/>
    <x v="0"/>
    <n v="5201.009"/>
    <n v="1.72"/>
    <n v="0"/>
    <n v="0"/>
    <x v="0"/>
    <s v="Raw Cotton"/>
    <n v="14762083"/>
    <x v="0"/>
    <n v="2657174.94"/>
    <x v="0"/>
    <m/>
    <m/>
    <x v="0"/>
    <x v="0"/>
    <x v="0"/>
    <x v="6"/>
    <x v="0"/>
    <x v="0"/>
    <m/>
    <x v="0"/>
    <x v="1"/>
    <x v="0"/>
    <x v="0"/>
    <x v="0"/>
    <x v="0"/>
    <n v="482.26341065011434"/>
    <n v="86.807413917020583"/>
    <n v="0"/>
    <d v="2023-12-31T00:00:00"/>
    <x v="0"/>
  </r>
  <r>
    <x v="207"/>
    <d v="2023-12-01T00:00:00"/>
    <x v="1378"/>
    <d v="2023-12-26T00:00:00"/>
    <x v="0"/>
    <x v="0"/>
    <n v="32365"/>
    <x v="4"/>
    <x v="0"/>
    <n v="5201.009"/>
    <n v="1.61"/>
    <n v="0"/>
    <n v="0"/>
    <x v="0"/>
    <s v="Raw Cotton"/>
    <n v="14567892"/>
    <x v="0"/>
    <n v="2622220.56"/>
    <x v="0"/>
    <m/>
    <m/>
    <x v="0"/>
    <x v="0"/>
    <x v="0"/>
    <x v="6"/>
    <x v="0"/>
    <x v="0"/>
    <m/>
    <x v="0"/>
    <x v="1"/>
    <x v="0"/>
    <x v="0"/>
    <x v="0"/>
    <x v="0"/>
    <n v="450.11252896647613"/>
    <n v="81.020255213965712"/>
    <n v="0"/>
    <d v="2023-12-31T00:00:00"/>
    <x v="0"/>
  </r>
  <r>
    <x v="208"/>
    <d v="2023-12-01T00:00:00"/>
    <x v="1379"/>
    <d v="2023-12-26T00:00:00"/>
    <x v="0"/>
    <x v="0"/>
    <n v="31510"/>
    <x v="4"/>
    <x v="0"/>
    <n v="5201.009"/>
    <n v="1.65"/>
    <n v="0"/>
    <n v="0"/>
    <x v="0"/>
    <s v="Raw Cotton"/>
    <n v="14520737"/>
    <x v="0"/>
    <n v="2613732.6599999997"/>
    <x v="0"/>
    <m/>
    <m/>
    <x v="0"/>
    <x v="0"/>
    <x v="0"/>
    <x v="6"/>
    <x v="0"/>
    <x v="0"/>
    <m/>
    <x v="0"/>
    <x v="1"/>
    <x v="0"/>
    <x v="0"/>
    <x v="0"/>
    <x v="0"/>
    <n v="460.82948270390352"/>
    <n v="82.94930688670263"/>
    <n v="0"/>
    <d v="2023-12-31T00:00:00"/>
    <x v="0"/>
  </r>
  <r>
    <x v="209"/>
    <d v="2023-12-01T00:00:00"/>
    <x v="1380"/>
    <d v="2023-12-26T00:00:00"/>
    <x v="0"/>
    <x v="0"/>
    <n v="30961"/>
    <x v="4"/>
    <x v="0"/>
    <n v="5201.009"/>
    <n v="1.6"/>
    <n v="0"/>
    <n v="0"/>
    <x v="0"/>
    <s v="Raw Cotton"/>
    <n v="13894458"/>
    <x v="0"/>
    <n v="2501002.44"/>
    <x v="0"/>
    <m/>
    <m/>
    <x v="0"/>
    <x v="0"/>
    <x v="0"/>
    <x v="6"/>
    <x v="0"/>
    <x v="0"/>
    <m/>
    <x v="0"/>
    <x v="1"/>
    <x v="0"/>
    <x v="0"/>
    <x v="0"/>
    <x v="0"/>
    <n v="448.77290785181356"/>
    <n v="80.779123413326445"/>
    <n v="0"/>
    <d v="2023-12-31T00:00:00"/>
    <x v="0"/>
  </r>
  <r>
    <x v="210"/>
    <d v="2023-12-01T00:00:00"/>
    <x v="1381"/>
    <d v="2023-12-26T00:00:00"/>
    <x v="0"/>
    <x v="0"/>
    <n v="31020"/>
    <x v="4"/>
    <x v="0"/>
    <n v="5201.009"/>
    <n v="1.6"/>
    <n v="0"/>
    <n v="0"/>
    <x v="0"/>
    <s v="Raw Cotton"/>
    <n v="13920936"/>
    <x v="0"/>
    <n v="2505768.48"/>
    <x v="0"/>
    <m/>
    <m/>
    <x v="0"/>
    <x v="0"/>
    <x v="0"/>
    <x v="6"/>
    <x v="0"/>
    <x v="0"/>
    <m/>
    <x v="0"/>
    <x v="1"/>
    <x v="0"/>
    <x v="0"/>
    <x v="0"/>
    <x v="0"/>
    <n v="448.77292069632495"/>
    <n v="80.779125725338488"/>
    <n v="0"/>
    <d v="2023-12-31T00:00:00"/>
    <x v="0"/>
  </r>
  <r>
    <x v="211"/>
    <d v="2023-12-01T00:00:00"/>
    <x v="1382"/>
    <d v="2023-12-26T00:00:00"/>
    <x v="0"/>
    <x v="0"/>
    <n v="31390"/>
    <x v="4"/>
    <x v="0"/>
    <n v="5201.009"/>
    <n v="1.6"/>
    <n v="0"/>
    <n v="0"/>
    <x v="0"/>
    <s v="Raw Cotton"/>
    <n v="14086981"/>
    <x v="0"/>
    <n v="2535656.58"/>
    <x v="0"/>
    <m/>
    <m/>
    <x v="0"/>
    <x v="0"/>
    <x v="0"/>
    <x v="6"/>
    <x v="0"/>
    <x v="0"/>
    <m/>
    <x v="0"/>
    <x v="1"/>
    <x v="0"/>
    <x v="0"/>
    <x v="0"/>
    <x v="0"/>
    <n v="448.77288945524054"/>
    <n v="80.779120101943292"/>
    <n v="0"/>
    <d v="2023-12-31T00:00:00"/>
    <x v="0"/>
  </r>
  <r>
    <x v="212"/>
    <d v="2023-12-01T00:00:00"/>
    <x v="1383"/>
    <d v="2023-12-26T00:00:00"/>
    <x v="0"/>
    <x v="0"/>
    <n v="31566"/>
    <x v="4"/>
    <x v="0"/>
    <n v="5201.009"/>
    <n v="1.64"/>
    <n v="0"/>
    <n v="0"/>
    <x v="0"/>
    <s v="Raw Cotton"/>
    <n v="14461971"/>
    <x v="0"/>
    <n v="2603154.7799999998"/>
    <x v="0"/>
    <m/>
    <m/>
    <x v="0"/>
    <x v="0"/>
    <x v="0"/>
    <x v="6"/>
    <x v="0"/>
    <x v="0"/>
    <m/>
    <x v="0"/>
    <x v="1"/>
    <x v="0"/>
    <x v="0"/>
    <x v="0"/>
    <x v="0"/>
    <n v="458.15025660520814"/>
    <n v="82.467046188937459"/>
    <n v="0"/>
    <d v="2023-12-31T00:00:00"/>
    <x v="0"/>
  </r>
  <r>
    <x v="213"/>
    <d v="2023-12-01T00:00:00"/>
    <x v="1384"/>
    <d v="2023-12-26T00:00:00"/>
    <x v="0"/>
    <x v="0"/>
    <n v="31315"/>
    <x v="4"/>
    <x v="0"/>
    <n v="5201.009"/>
    <n v="1.6"/>
    <n v="0"/>
    <n v="0"/>
    <x v="0"/>
    <s v="Raw Cotton"/>
    <n v="14011373"/>
    <x v="0"/>
    <n v="2522047.14"/>
    <x v="0"/>
    <m/>
    <m/>
    <x v="0"/>
    <x v="0"/>
    <x v="0"/>
    <x v="6"/>
    <x v="0"/>
    <x v="0"/>
    <m/>
    <x v="0"/>
    <x v="1"/>
    <x v="0"/>
    <x v="0"/>
    <x v="0"/>
    <x v="0"/>
    <n v="447.43327478844003"/>
    <n v="80.53798946191921"/>
    <n v="0"/>
    <d v="2023-12-31T00:00:00"/>
    <x v="0"/>
  </r>
  <r>
    <x v="214"/>
    <d v="2023-12-01T00:00:00"/>
    <x v="1385"/>
    <d v="2023-12-26T00:00:00"/>
    <x v="0"/>
    <x v="0"/>
    <n v="30994"/>
    <x v="4"/>
    <x v="0"/>
    <n v="5201.009"/>
    <n v="1.6"/>
    <n v="0"/>
    <n v="0"/>
    <x v="0"/>
    <s v="Raw Cotton"/>
    <n v="13867747"/>
    <x v="0"/>
    <n v="2496194.46"/>
    <x v="0"/>
    <m/>
    <m/>
    <x v="0"/>
    <x v="0"/>
    <x v="0"/>
    <x v="6"/>
    <x v="0"/>
    <x v="0"/>
    <m/>
    <x v="0"/>
    <x v="1"/>
    <x v="0"/>
    <x v="0"/>
    <x v="0"/>
    <x v="0"/>
    <n v="447.43327740853067"/>
    <n v="80.537989933535528"/>
    <n v="0"/>
    <d v="2023-12-31T00:00:00"/>
    <x v="0"/>
  </r>
  <r>
    <x v="215"/>
    <d v="2023-12-01T00:00:00"/>
    <x v="1386"/>
    <d v="2023-12-26T00:00:00"/>
    <x v="0"/>
    <x v="0"/>
    <n v="32380"/>
    <x v="4"/>
    <x v="0"/>
    <n v="5201.009"/>
    <n v="1.6"/>
    <n v="0"/>
    <n v="0"/>
    <x v="0"/>
    <s v="Raw Cotton"/>
    <n v="14531267"/>
    <x v="0"/>
    <n v="2615628.06"/>
    <x v="0"/>
    <m/>
    <m/>
    <x v="0"/>
    <x v="0"/>
    <x v="0"/>
    <x v="6"/>
    <x v="0"/>
    <x v="0"/>
    <m/>
    <x v="0"/>
    <x v="1"/>
    <x v="0"/>
    <x v="0"/>
    <x v="0"/>
    <x v="0"/>
    <n v="448.77291537986412"/>
    <n v="80.779124768375539"/>
    <n v="0"/>
    <d v="2023-12-31T00:00:00"/>
    <x v="0"/>
  </r>
  <r>
    <x v="216"/>
    <d v="2023-12-01T00:00:00"/>
    <x v="1387"/>
    <d v="2023-12-26T00:00:00"/>
    <x v="0"/>
    <x v="0"/>
    <n v="92297"/>
    <x v="4"/>
    <x v="0"/>
    <n v="5201.009"/>
    <n v="1.51"/>
    <n v="0"/>
    <n v="0"/>
    <x v="0"/>
    <s v="Raw Cotton"/>
    <n v="38947534"/>
    <x v="0"/>
    <n v="7010556.1200000001"/>
    <x v="0"/>
    <m/>
    <m/>
    <x v="0"/>
    <x v="0"/>
    <x v="0"/>
    <x v="6"/>
    <x v="0"/>
    <x v="0"/>
    <m/>
    <x v="0"/>
    <x v="1"/>
    <x v="0"/>
    <x v="0"/>
    <x v="0"/>
    <x v="0"/>
    <n v="421.98049774098831"/>
    <n v="75.956489593377896"/>
    <n v="0"/>
    <d v="2023-12-31T00:00:00"/>
    <x v="0"/>
  </r>
  <r>
    <x v="217"/>
    <d v="2023-12-01T00:00:00"/>
    <x v="1388"/>
    <d v="2023-12-26T00:00:00"/>
    <x v="0"/>
    <x v="0"/>
    <n v="92763"/>
    <x v="4"/>
    <x v="0"/>
    <n v="5201.009"/>
    <n v="1.5"/>
    <n v="0"/>
    <n v="0"/>
    <x v="0"/>
    <s v="Raw Cotton"/>
    <n v="39019909"/>
    <x v="0"/>
    <n v="7023583.6200000001"/>
    <x v="0"/>
    <m/>
    <m/>
    <x v="0"/>
    <x v="0"/>
    <x v="0"/>
    <x v="5"/>
    <x v="0"/>
    <x v="0"/>
    <m/>
    <x v="0"/>
    <x v="1"/>
    <x v="0"/>
    <x v="0"/>
    <x v="0"/>
    <x v="0"/>
    <n v="420.6408697433244"/>
    <n v="75.715356553798387"/>
    <n v="0"/>
    <d v="2023-12-31T00:00:00"/>
    <x v="0"/>
  </r>
  <r>
    <x v="218"/>
    <d v="2023-12-01T00:00:00"/>
    <x v="1389"/>
    <d v="2023-12-26T00:00:00"/>
    <x v="0"/>
    <x v="0"/>
    <n v="31010"/>
    <x v="4"/>
    <x v="0"/>
    <n v="5201.009"/>
    <n v="1.65"/>
    <n v="0"/>
    <n v="0"/>
    <x v="0"/>
    <s v="Raw Cotton"/>
    <n v="14290323"/>
    <x v="0"/>
    <n v="2572258.14"/>
    <x v="0"/>
    <m/>
    <m/>
    <x v="0"/>
    <x v="0"/>
    <x v="0"/>
    <x v="6"/>
    <x v="0"/>
    <x v="0"/>
    <m/>
    <x v="0"/>
    <x v="1"/>
    <x v="0"/>
    <x v="0"/>
    <x v="0"/>
    <x v="0"/>
    <n v="460.82950661077069"/>
    <n v="82.94931118993874"/>
    <n v="0"/>
    <d v="2023-12-31T00:00:00"/>
    <x v="0"/>
  </r>
  <r>
    <x v="219"/>
    <d v="2023-12-01T00:00:00"/>
    <x v="1390"/>
    <d v="2023-12-26T00:00:00"/>
    <x v="0"/>
    <x v="0"/>
    <n v="30729"/>
    <x v="4"/>
    <x v="0"/>
    <n v="5201.009"/>
    <n v="1.65"/>
    <n v="0"/>
    <n v="0"/>
    <x v="0"/>
    <s v="Raw Cotton"/>
    <n v="14160829"/>
    <x v="0"/>
    <n v="2548949.2199999997"/>
    <x v="0"/>
    <m/>
    <m/>
    <x v="0"/>
    <x v="0"/>
    <x v="0"/>
    <x v="5"/>
    <x v="0"/>
    <x v="0"/>
    <m/>
    <x v="0"/>
    <x v="1"/>
    <x v="0"/>
    <x v="0"/>
    <x v="0"/>
    <x v="0"/>
    <n v="460.82947704123143"/>
    <n v="82.949305867421643"/>
    <n v="0"/>
    <d v="2023-12-31T00:00:00"/>
    <x v="0"/>
  </r>
  <r>
    <x v="220"/>
    <d v="2023-12-01T00:00:00"/>
    <x v="1391"/>
    <d v="2023-12-26T00:00:00"/>
    <x v="0"/>
    <x v="0"/>
    <n v="30314"/>
    <x v="4"/>
    <x v="0"/>
    <n v="5201.009"/>
    <n v="1.48"/>
    <n v="0"/>
    <n v="0"/>
    <x v="0"/>
    <s v="Raw Cotton"/>
    <n v="12588870"/>
    <x v="0"/>
    <n v="2265996.6"/>
    <x v="0"/>
    <m/>
    <m/>
    <x v="0"/>
    <x v="0"/>
    <x v="0"/>
    <x v="5"/>
    <x v="0"/>
    <x v="0"/>
    <m/>
    <x v="0"/>
    <x v="1"/>
    <x v="0"/>
    <x v="0"/>
    <x v="0"/>
    <x v="0"/>
    <n v="415.28237777924392"/>
    <n v="74.750828000263908"/>
    <n v="0"/>
    <d v="2023-12-31T00:00:00"/>
    <x v="0"/>
  </r>
  <r>
    <x v="221"/>
    <d v="2023-12-01T00:00:00"/>
    <x v="1392"/>
    <d v="2023-12-26T00:00:00"/>
    <x v="0"/>
    <x v="0"/>
    <n v="30965"/>
    <x v="4"/>
    <x v="0"/>
    <n v="5201.009"/>
    <n v="1.6"/>
    <n v="0"/>
    <n v="0"/>
    <x v="0"/>
    <s v="Raw Cotton"/>
    <n v="13854772"/>
    <x v="0"/>
    <n v="2493858.96"/>
    <x v="0"/>
    <m/>
    <m/>
    <x v="0"/>
    <x v="0"/>
    <x v="0"/>
    <x v="5"/>
    <x v="0"/>
    <x v="0"/>
    <m/>
    <x v="0"/>
    <x v="1"/>
    <x v="0"/>
    <x v="0"/>
    <x v="0"/>
    <x v="0"/>
    <n v="447.43329565638624"/>
    <n v="80.537993218149523"/>
    <n v="0"/>
    <d v="2023-12-31T00:00:00"/>
    <x v="0"/>
  </r>
  <r>
    <x v="222"/>
    <d v="2023-12-01T00:00:00"/>
    <x v="1393"/>
    <d v="2023-12-26T00:00:00"/>
    <x v="0"/>
    <x v="0"/>
    <n v="31340"/>
    <x v="4"/>
    <x v="0"/>
    <n v="5201.009"/>
    <n v="1.61"/>
    <n v="0"/>
    <n v="0"/>
    <x v="0"/>
    <s v="Raw Cotton"/>
    <n v="14106527"/>
    <x v="0"/>
    <n v="2539174.86"/>
    <x v="0"/>
    <m/>
    <m/>
    <x v="0"/>
    <x v="0"/>
    <x v="0"/>
    <x v="5"/>
    <x v="0"/>
    <x v="0"/>
    <m/>
    <x v="0"/>
    <x v="1"/>
    <x v="0"/>
    <x v="0"/>
    <x v="0"/>
    <x v="0"/>
    <n v="450.11253988513084"/>
    <n v="81.020257179323551"/>
    <n v="0"/>
    <d v="2023-12-31T00:00:00"/>
    <x v="0"/>
  </r>
  <r>
    <x v="223"/>
    <d v="2023-12-01T00:00:00"/>
    <x v="1394"/>
    <d v="2023-12-27T00:00:00"/>
    <x v="0"/>
    <x v="0"/>
    <n v="31280"/>
    <x v="4"/>
    <x v="0"/>
    <n v="5201.009"/>
    <n v="1.61"/>
    <n v="0"/>
    <n v="0"/>
    <x v="0"/>
    <s v="Raw Cotton"/>
    <n v="14079520"/>
    <x v="0"/>
    <n v="2534313.6"/>
    <x v="0"/>
    <m/>
    <m/>
    <x v="0"/>
    <x v="0"/>
    <x v="0"/>
    <x v="5"/>
    <x v="0"/>
    <x v="0"/>
    <m/>
    <x v="0"/>
    <x v="1"/>
    <x v="0"/>
    <x v="0"/>
    <x v="0"/>
    <x v="0"/>
    <n v="450.11253196930949"/>
    <n v="81.020255754475713"/>
    <n v="0"/>
    <d v="2023-12-31T00:00:00"/>
    <x v="0"/>
  </r>
  <r>
    <x v="224"/>
    <d v="2023-12-01T00:00:00"/>
    <x v="1395"/>
    <d v="2023-12-27T00:00:00"/>
    <x v="0"/>
    <x v="0"/>
    <n v="32020"/>
    <x v="4"/>
    <x v="0"/>
    <n v="5201.009"/>
    <n v="1.6"/>
    <n v="0"/>
    <n v="0"/>
    <x v="0"/>
    <s v="Raw Cotton"/>
    <n v="14326814"/>
    <x v="0"/>
    <n v="2578826.52"/>
    <x v="0"/>
    <m/>
    <m/>
    <x v="0"/>
    <x v="0"/>
    <x v="0"/>
    <x v="5"/>
    <x v="0"/>
    <x v="0"/>
    <m/>
    <x v="0"/>
    <x v="1"/>
    <x v="0"/>
    <x v="0"/>
    <x v="0"/>
    <x v="0"/>
    <n v="447.43329169269208"/>
    <n v="80.537992504684567"/>
    <n v="0"/>
    <d v="2023-12-31T00:00:00"/>
    <x v="0"/>
  </r>
  <r>
    <x v="225"/>
    <d v="2023-12-01T00:00:00"/>
    <x v="1396"/>
    <d v="2023-12-27T00:00:00"/>
    <x v="0"/>
    <x v="0"/>
    <n v="31120"/>
    <x v="4"/>
    <x v="0"/>
    <n v="5201.009"/>
    <n v="1.89"/>
    <n v="0"/>
    <n v="0"/>
    <x v="0"/>
    <s v="Raw Cotton"/>
    <n v="16430466"/>
    <x v="0"/>
    <n v="2957483.88"/>
    <x v="0"/>
    <m/>
    <m/>
    <x v="0"/>
    <x v="0"/>
    <x v="0"/>
    <x v="5"/>
    <x v="0"/>
    <x v="0"/>
    <m/>
    <x v="0"/>
    <x v="1"/>
    <x v="0"/>
    <x v="0"/>
    <x v="0"/>
    <x v="0"/>
    <n v="527.97127249357322"/>
    <n v="95.034829048843179"/>
    <n v="0"/>
    <d v="2023-12-31T00:00:00"/>
    <x v="0"/>
  </r>
  <r>
    <x v="226"/>
    <d v="2023-12-01T00:00:00"/>
    <x v="1397"/>
    <d v="2023-12-27T00:00:00"/>
    <x v="0"/>
    <x v="0"/>
    <n v="31895"/>
    <x v="4"/>
    <x v="0"/>
    <n v="5201.009"/>
    <n v="1.86"/>
    <n v="0"/>
    <n v="0"/>
    <x v="0"/>
    <s v="Raw Cotton"/>
    <n v="16637971"/>
    <x v="0"/>
    <n v="2994834.78"/>
    <x v="0"/>
    <m/>
    <m/>
    <x v="0"/>
    <x v="0"/>
    <x v="0"/>
    <x v="5"/>
    <x v="0"/>
    <x v="0"/>
    <m/>
    <x v="0"/>
    <x v="1"/>
    <x v="0"/>
    <x v="0"/>
    <x v="0"/>
    <x v="0"/>
    <n v="521.64825207712806"/>
    <n v="93.896685373883045"/>
    <n v="0"/>
    <d v="2023-12-31T00:00:00"/>
    <x v="0"/>
  </r>
  <r>
    <x v="227"/>
    <d v="2023-12-01T00:00:00"/>
    <x v="1398"/>
    <d v="2023-12-27T00:00:00"/>
    <x v="0"/>
    <x v="0"/>
    <n v="31962"/>
    <x v="4"/>
    <x v="0"/>
    <n v="5201.009"/>
    <n v="1.86"/>
    <n v="0"/>
    <n v="0"/>
    <x v="0"/>
    <s v="Raw Cotton"/>
    <n v="16672921"/>
    <x v="0"/>
    <n v="3001125.78"/>
    <x v="0"/>
    <m/>
    <m/>
    <x v="0"/>
    <x v="0"/>
    <x v="0"/>
    <x v="5"/>
    <x v="0"/>
    <x v="0"/>
    <m/>
    <x v="0"/>
    <x v="1"/>
    <x v="0"/>
    <x v="0"/>
    <x v="0"/>
    <x v="0"/>
    <n v="521.64823853325822"/>
    <n v="93.896682935986476"/>
    <n v="0"/>
    <d v="2023-12-31T00:00:00"/>
    <x v="0"/>
  </r>
  <r>
    <x v="228"/>
    <d v="2023-12-01T00:00:00"/>
    <x v="1399"/>
    <d v="2023-12-27T00:00:00"/>
    <x v="0"/>
    <x v="0"/>
    <n v="31305"/>
    <x v="4"/>
    <x v="0"/>
    <n v="5201.009"/>
    <n v="1.87"/>
    <n v="0"/>
    <n v="0"/>
    <x v="0"/>
    <s v="Raw Cotton"/>
    <n v="16429169"/>
    <x v="0"/>
    <n v="2957250.42"/>
    <x v="0"/>
    <m/>
    <m/>
    <x v="0"/>
    <x v="0"/>
    <x v="0"/>
    <x v="5"/>
    <x v="0"/>
    <x v="0"/>
    <m/>
    <x v="0"/>
    <x v="1"/>
    <x v="0"/>
    <x v="0"/>
    <x v="0"/>
    <x v="0"/>
    <n v="524.80974285257946"/>
    <n v="94.465753713464295"/>
    <n v="0"/>
    <d v="2023-12-31T00:00:00"/>
    <x v="0"/>
  </r>
  <r>
    <x v="229"/>
    <d v="2023-12-01T00:00:00"/>
    <x v="1400"/>
    <d v="2023-12-27T00:00:00"/>
    <x v="0"/>
    <x v="0"/>
    <n v="31700"/>
    <x v="4"/>
    <x v="0"/>
    <n v="5201.009"/>
    <n v="1.89"/>
    <n v="0"/>
    <n v="0"/>
    <x v="0"/>
    <s v="Raw Cotton"/>
    <n v="16736689"/>
    <x v="0"/>
    <n v="3012604.02"/>
    <x v="0"/>
    <m/>
    <m/>
    <x v="0"/>
    <x v="0"/>
    <x v="0"/>
    <x v="0"/>
    <x v="0"/>
    <x v="0"/>
    <m/>
    <x v="0"/>
    <x v="1"/>
    <x v="0"/>
    <x v="0"/>
    <x v="0"/>
    <x v="0"/>
    <n v="527.97126182965303"/>
    <n v="95.034827129337543"/>
    <n v="0"/>
    <d v="2023-12-31T00:00:00"/>
    <x v="0"/>
  </r>
  <r>
    <x v="230"/>
    <d v="2023-12-01T00:00:00"/>
    <x v="1401"/>
    <d v="2023-12-27T00:00:00"/>
    <x v="0"/>
    <x v="0"/>
    <n v="31615"/>
    <x v="4"/>
    <x v="0"/>
    <n v="5201.009"/>
    <n v="1.89"/>
    <n v="0"/>
    <n v="0"/>
    <x v="0"/>
    <s v="Raw Cotton"/>
    <n v="16691811"/>
    <x v="0"/>
    <n v="3004525.98"/>
    <x v="0"/>
    <m/>
    <m/>
    <x v="0"/>
    <x v="0"/>
    <x v="0"/>
    <x v="0"/>
    <x v="0"/>
    <x v="0"/>
    <m/>
    <x v="0"/>
    <x v="1"/>
    <x v="0"/>
    <x v="0"/>
    <x v="0"/>
    <x v="0"/>
    <n v="527.97124782539936"/>
    <n v="95.034824608571881"/>
    <n v="0"/>
    <d v="2023-12-31T00:00:00"/>
    <x v="0"/>
  </r>
  <r>
    <x v="231"/>
    <d v="2023-12-01T00:00:00"/>
    <x v="1402"/>
    <d v="2023-12-27T00:00:00"/>
    <x v="0"/>
    <x v="0"/>
    <n v="31208"/>
    <x v="4"/>
    <x v="0"/>
    <n v="5201.009"/>
    <n v="1.89"/>
    <n v="0"/>
    <n v="0"/>
    <x v="0"/>
    <s v="Raw Cotton"/>
    <n v="16476927"/>
    <x v="0"/>
    <n v="2965846.86"/>
    <x v="0"/>
    <m/>
    <m/>
    <x v="0"/>
    <x v="0"/>
    <x v="0"/>
    <x v="5"/>
    <x v="0"/>
    <x v="0"/>
    <m/>
    <x v="0"/>
    <x v="1"/>
    <x v="0"/>
    <x v="0"/>
    <x v="0"/>
    <x v="0"/>
    <n v="527.97125736990517"/>
    <n v="95.03482632658293"/>
    <n v="0"/>
    <d v="2023-12-31T00:00:00"/>
    <x v="0"/>
  </r>
  <r>
    <x v="232"/>
    <d v="2023-12-01T00:00:00"/>
    <x v="1403"/>
    <d v="2023-12-27T00:00:00"/>
    <x v="0"/>
    <x v="0"/>
    <n v="32381"/>
    <x v="4"/>
    <x v="0"/>
    <n v="5201.009"/>
    <n v="1.61"/>
    <n v="0"/>
    <n v="0"/>
    <x v="0"/>
    <s v="Raw Cotton"/>
    <n v="14575094"/>
    <x v="0"/>
    <n v="2623516.92"/>
    <x v="0"/>
    <m/>
    <m/>
    <x v="0"/>
    <x v="0"/>
    <x v="0"/>
    <x v="5"/>
    <x v="0"/>
    <x v="0"/>
    <m/>
    <x v="0"/>
    <x v="1"/>
    <x v="0"/>
    <x v="0"/>
    <x v="0"/>
    <x v="0"/>
    <n v="450.11253512862481"/>
    <n v="81.020256323152466"/>
    <n v="0"/>
    <d v="2023-12-31T00:00:00"/>
    <x v="0"/>
  </r>
  <r>
    <x v="233"/>
    <d v="2023-12-01T00:00:00"/>
    <x v="1404"/>
    <d v="2023-12-27T00:00:00"/>
    <x v="0"/>
    <x v="0"/>
    <n v="32030"/>
    <x v="4"/>
    <x v="0"/>
    <n v="5201.009"/>
    <n v="1.6"/>
    <n v="0"/>
    <n v="0"/>
    <x v="0"/>
    <s v="Raw Cotton"/>
    <n v="14374196"/>
    <x v="0"/>
    <n v="2587355.2799999998"/>
    <x v="0"/>
    <m/>
    <m/>
    <x v="0"/>
    <x v="0"/>
    <x v="0"/>
    <x v="5"/>
    <x v="0"/>
    <x v="0"/>
    <m/>
    <x v="0"/>
    <x v="1"/>
    <x v="0"/>
    <x v="0"/>
    <x v="0"/>
    <x v="0"/>
    <n v="448.77290040586951"/>
    <n v="80.779122073056499"/>
    <n v="0"/>
    <d v="2023-12-31T00:00:00"/>
    <x v="0"/>
  </r>
  <r>
    <x v="234"/>
    <d v="2023-12-01T00:00:00"/>
    <x v="1405"/>
    <d v="2023-12-27T00:00:00"/>
    <x v="0"/>
    <x v="0"/>
    <n v="31229"/>
    <x v="4"/>
    <x v="0"/>
    <n v="5201.009"/>
    <n v="1.6"/>
    <n v="0"/>
    <n v="0"/>
    <x v="0"/>
    <s v="Raw Cotton"/>
    <n v="13972894"/>
    <x v="0"/>
    <n v="2515120.92"/>
    <x v="0"/>
    <m/>
    <m/>
    <x v="0"/>
    <x v="0"/>
    <x v="0"/>
    <x v="5"/>
    <x v="0"/>
    <x v="0"/>
    <m/>
    <x v="0"/>
    <x v="1"/>
    <x v="0"/>
    <x v="0"/>
    <x v="0"/>
    <x v="0"/>
    <n v="447.43328316628777"/>
    <n v="80.537990969931798"/>
    <n v="0"/>
    <d v="2023-12-31T00:00:00"/>
    <x v="0"/>
  </r>
  <r>
    <x v="235"/>
    <d v="2023-12-01T00:00:00"/>
    <x v="1406"/>
    <d v="2023-12-27T00:00:00"/>
    <x v="0"/>
    <x v="0"/>
    <n v="31896"/>
    <x v="4"/>
    <x v="0"/>
    <n v="5201.009"/>
    <n v="1.6"/>
    <n v="0"/>
    <n v="0"/>
    <x v="0"/>
    <s v="Raw Cotton"/>
    <n v="14271332"/>
    <x v="0"/>
    <n v="2568839.7599999998"/>
    <x v="0"/>
    <m/>
    <m/>
    <x v="0"/>
    <x v="0"/>
    <x v="0"/>
    <x v="5"/>
    <x v="0"/>
    <x v="0"/>
    <m/>
    <x v="0"/>
    <x v="1"/>
    <x v="0"/>
    <x v="0"/>
    <x v="0"/>
    <x v="0"/>
    <n v="447.43328317030347"/>
    <n v="80.537990970654619"/>
    <n v="0"/>
    <d v="2023-12-31T00:00:00"/>
    <x v="0"/>
  </r>
  <r>
    <x v="236"/>
    <d v="2023-12-01T00:00:00"/>
    <x v="1407"/>
    <d v="2023-12-27T00:00:00"/>
    <x v="0"/>
    <x v="0"/>
    <n v="30954"/>
    <x v="4"/>
    <x v="0"/>
    <n v="5201.009"/>
    <n v="1.6"/>
    <n v="0"/>
    <n v="0"/>
    <x v="0"/>
    <s v="Raw Cotton"/>
    <n v="13849850"/>
    <x v="0"/>
    <n v="2492973"/>
    <x v="0"/>
    <m/>
    <m/>
    <x v="0"/>
    <x v="0"/>
    <x v="0"/>
    <x v="5"/>
    <x v="0"/>
    <x v="0"/>
    <m/>
    <x v="0"/>
    <x v="1"/>
    <x v="0"/>
    <x v="0"/>
    <x v="0"/>
    <x v="0"/>
    <n v="447.43328810492989"/>
    <n v="80.537991858887381"/>
    <n v="0"/>
    <d v="2023-12-31T00:00:00"/>
    <x v="0"/>
  </r>
  <r>
    <x v="237"/>
    <d v="2023-12-01T00:00:00"/>
    <x v="1408"/>
    <d v="2023-12-27T00:00:00"/>
    <x v="0"/>
    <x v="0"/>
    <n v="29890"/>
    <x v="4"/>
    <x v="0"/>
    <n v="5201.009"/>
    <n v="1.68"/>
    <n v="0"/>
    <n v="0"/>
    <x v="0"/>
    <s v="Raw Cotton"/>
    <n v="14094524"/>
    <x v="0"/>
    <n v="2537014.3199999998"/>
    <x v="0"/>
    <m/>
    <m/>
    <x v="0"/>
    <x v="0"/>
    <x v="0"/>
    <x v="5"/>
    <x v="0"/>
    <x v="0"/>
    <m/>
    <x v="0"/>
    <x v="1"/>
    <x v="0"/>
    <x v="0"/>
    <x v="0"/>
    <x v="0"/>
    <n v="471.54647039143526"/>
    <n v="84.878364670458339"/>
    <n v="0"/>
    <d v="2023-12-31T00:00:00"/>
    <x v="0"/>
  </r>
  <r>
    <x v="238"/>
    <d v="2023-12-01T00:00:00"/>
    <x v="1409"/>
    <d v="2023-12-27T00:00:00"/>
    <x v="0"/>
    <x v="0"/>
    <n v="29860"/>
    <x v="4"/>
    <x v="0"/>
    <n v="5201.009"/>
    <n v="1.68"/>
    <n v="0"/>
    <n v="0"/>
    <x v="0"/>
    <s v="Raw Cotton"/>
    <n v="14080377"/>
    <x v="0"/>
    <n v="2534467.86"/>
    <x v="0"/>
    <m/>
    <m/>
    <x v="0"/>
    <x v="0"/>
    <x v="0"/>
    <x v="0"/>
    <x v="0"/>
    <x v="0"/>
    <m/>
    <x v="0"/>
    <x v="1"/>
    <x v="0"/>
    <x v="0"/>
    <x v="0"/>
    <x v="0"/>
    <n v="471.54645010046886"/>
    <n v="84.878361018084391"/>
    <n v="0"/>
    <d v="2023-12-31T00:00:00"/>
    <x v="0"/>
  </r>
  <r>
    <x v="239"/>
    <d v="2023-12-01T00:00:00"/>
    <x v="1410"/>
    <d v="2023-12-27T00:00:00"/>
    <x v="0"/>
    <x v="0"/>
    <n v="89032"/>
    <x v="4"/>
    <x v="0"/>
    <n v="5201.009"/>
    <n v="1.68"/>
    <n v="0"/>
    <n v="0"/>
    <x v="0"/>
    <s v="Raw Cotton"/>
    <n v="41982724"/>
    <x v="0"/>
    <n v="7556890.3199999994"/>
    <x v="0"/>
    <m/>
    <m/>
    <x v="0"/>
    <x v="0"/>
    <x v="0"/>
    <x v="5"/>
    <x v="0"/>
    <x v="0"/>
    <m/>
    <x v="0"/>
    <x v="1"/>
    <x v="0"/>
    <x v="0"/>
    <x v="0"/>
    <x v="0"/>
    <n v="471.54645520711654"/>
    <n v="84.878361937280971"/>
    <n v="0"/>
    <d v="2023-12-31T00:00:00"/>
    <x v="0"/>
  </r>
  <r>
    <x v="240"/>
    <d v="2023-12-01T00:00:00"/>
    <x v="1411"/>
    <d v="2023-12-27T00:00:00"/>
    <x v="0"/>
    <x v="0"/>
    <n v="184463"/>
    <x v="4"/>
    <x v="0"/>
    <n v="5201.009"/>
    <n v="1.72"/>
    <n v="0"/>
    <n v="0"/>
    <x v="0"/>
    <s v="Raw Cotton"/>
    <n v="88836203"/>
    <x v="0"/>
    <n v="15990516.539999999"/>
    <x v="0"/>
    <m/>
    <m/>
    <x v="0"/>
    <x v="0"/>
    <x v="0"/>
    <x v="5"/>
    <x v="0"/>
    <x v="0"/>
    <m/>
    <x v="0"/>
    <x v="1"/>
    <x v="0"/>
    <x v="0"/>
    <x v="0"/>
    <x v="0"/>
    <n v="481.5936149796978"/>
    <n v="86.686850696345601"/>
    <n v="0"/>
    <d v="2023-12-31T00:00:00"/>
    <x v="0"/>
  </r>
  <r>
    <x v="241"/>
    <d v="2023-12-01T00:00:00"/>
    <x v="1412"/>
    <d v="2023-12-27T00:00:00"/>
    <x v="0"/>
    <x v="0"/>
    <n v="32370"/>
    <x v="4"/>
    <x v="0"/>
    <n v="5201.009"/>
    <n v="1.6"/>
    <n v="0"/>
    <n v="0"/>
    <x v="0"/>
    <s v="Raw Cotton"/>
    <n v="14526779"/>
    <x v="0"/>
    <n v="2614820.2199999997"/>
    <x v="0"/>
    <m/>
    <m/>
    <x v="0"/>
    <x v="0"/>
    <x v="0"/>
    <x v="0"/>
    <x v="0"/>
    <x v="0"/>
    <m/>
    <x v="0"/>
    <x v="1"/>
    <x v="0"/>
    <x v="0"/>
    <x v="0"/>
    <x v="0"/>
    <n v="448.77290701266605"/>
    <n v="80.779123262279882"/>
    <n v="0"/>
    <d v="2023-12-31T00:00:00"/>
    <x v="0"/>
  </r>
  <r>
    <x v="242"/>
    <d v="2023-12-01T00:00:00"/>
    <x v="1413"/>
    <d v="2023-12-27T00:00:00"/>
    <x v="0"/>
    <x v="0"/>
    <n v="30708"/>
    <x v="4"/>
    <x v="0"/>
    <n v="5201.009"/>
    <n v="1.49"/>
    <n v="0"/>
    <n v="0"/>
    <x v="0"/>
    <s v="Raw Cotton"/>
    <n v="12834766"/>
    <x v="0"/>
    <n v="2310257.88"/>
    <x v="0"/>
    <m/>
    <m/>
    <x v="0"/>
    <x v="0"/>
    <x v="0"/>
    <x v="0"/>
    <x v="0"/>
    <x v="0"/>
    <m/>
    <x v="0"/>
    <x v="1"/>
    <x v="0"/>
    <x v="0"/>
    <x v="0"/>
    <x v="0"/>
    <n v="417.96163866093525"/>
    <n v="75.233094958968337"/>
    <n v="0"/>
    <d v="2023-12-31T00:00:00"/>
    <x v="0"/>
  </r>
  <r>
    <x v="243"/>
    <d v="2023-12-01T00:00:00"/>
    <x v="1414"/>
    <d v="2023-12-27T00:00:00"/>
    <x v="0"/>
    <x v="0"/>
    <n v="31348"/>
    <x v="4"/>
    <x v="0"/>
    <n v="5201.009"/>
    <n v="1.5"/>
    <n v="0"/>
    <n v="0"/>
    <x v="0"/>
    <s v="Raw Cotton"/>
    <n v="13186250"/>
    <x v="0"/>
    <n v="2373525"/>
    <x v="0"/>
    <m/>
    <m/>
    <x v="0"/>
    <x v="0"/>
    <x v="0"/>
    <x v="0"/>
    <x v="0"/>
    <x v="0"/>
    <m/>
    <x v="0"/>
    <x v="1"/>
    <x v="0"/>
    <x v="0"/>
    <x v="0"/>
    <x v="0"/>
    <n v="420.64087023095573"/>
    <n v="75.715356641572029"/>
    <n v="0"/>
    <d v="2023-12-31T00:00:00"/>
    <x v="0"/>
  </r>
  <r>
    <x v="244"/>
    <d v="2023-12-01T00:00:00"/>
    <x v="1415"/>
    <d v="2023-12-27T00:00:00"/>
    <x v="0"/>
    <x v="0"/>
    <n v="31355"/>
    <x v="4"/>
    <x v="0"/>
    <n v="5201.009"/>
    <n v="1.5"/>
    <n v="0"/>
    <n v="0"/>
    <x v="0"/>
    <s v="Raw Cotton"/>
    <n v="13189195"/>
    <x v="0"/>
    <n v="2374055.1"/>
    <x v="0"/>
    <m/>
    <m/>
    <x v="0"/>
    <x v="0"/>
    <x v="0"/>
    <x v="0"/>
    <x v="0"/>
    <x v="0"/>
    <m/>
    <x v="0"/>
    <x v="1"/>
    <x v="0"/>
    <x v="0"/>
    <x v="0"/>
    <x v="0"/>
    <n v="420.64088662095361"/>
    <n v="75.715359591771644"/>
    <n v="0"/>
    <d v="2023-12-31T00:00:00"/>
    <x v="0"/>
  </r>
  <r>
    <x v="245"/>
    <d v="2023-12-01T00:00:00"/>
    <x v="1416"/>
    <d v="2023-12-27T00:00:00"/>
    <x v="0"/>
    <x v="0"/>
    <n v="91452"/>
    <x v="4"/>
    <x v="0"/>
    <n v="5201.009"/>
    <n v="1.51"/>
    <n v="0"/>
    <n v="0"/>
    <x v="0"/>
    <s v="Raw Cotton"/>
    <n v="38590960"/>
    <x v="0"/>
    <n v="6946372.7999999998"/>
    <x v="0"/>
    <m/>
    <m/>
    <x v="0"/>
    <x v="0"/>
    <x v="0"/>
    <x v="0"/>
    <x v="0"/>
    <x v="0"/>
    <m/>
    <x v="0"/>
    <x v="1"/>
    <x v="0"/>
    <x v="0"/>
    <x v="0"/>
    <x v="0"/>
    <n v="421.98049249879716"/>
    <n v="75.956488649783495"/>
    <n v="0"/>
    <d v="2023-12-31T00:00:00"/>
    <x v="0"/>
  </r>
  <r>
    <x v="246"/>
    <d v="2023-12-01T00:00:00"/>
    <x v="1417"/>
    <d v="2023-12-27T00:00:00"/>
    <x v="0"/>
    <x v="0"/>
    <n v="29681"/>
    <x v="4"/>
    <x v="0"/>
    <n v="5201.009"/>
    <n v="1.6"/>
    <n v="0"/>
    <n v="0"/>
    <x v="0"/>
    <s v="Raw Cotton"/>
    <n v="13280267"/>
    <x v="0"/>
    <n v="2390448.06"/>
    <x v="0"/>
    <m/>
    <m/>
    <x v="0"/>
    <x v="0"/>
    <x v="0"/>
    <x v="0"/>
    <x v="0"/>
    <x v="0"/>
    <m/>
    <x v="0"/>
    <x v="1"/>
    <x v="0"/>
    <x v="0"/>
    <x v="0"/>
    <x v="0"/>
    <n v="447.43327381152926"/>
    <n v="80.537989286075273"/>
    <n v="0"/>
    <d v="2023-12-31T00:00:00"/>
    <x v="0"/>
  </r>
  <r>
    <x v="247"/>
    <d v="2023-12-01T00:00:00"/>
    <x v="1418"/>
    <d v="2023-12-27T00:00:00"/>
    <x v="0"/>
    <x v="0"/>
    <n v="59309"/>
    <x v="4"/>
    <x v="0"/>
    <n v="5503.201"/>
    <n v="1.29"/>
    <n v="0"/>
    <n v="0"/>
    <x v="1"/>
    <s v="Polyester Staple Fiber"/>
    <n v="21351240"/>
    <x v="0"/>
    <n v="3843223.1999999997"/>
    <x v="0"/>
    <m/>
    <m/>
    <x v="0"/>
    <x v="0"/>
    <x v="0"/>
    <x v="0"/>
    <x v="0"/>
    <x v="0"/>
    <m/>
    <x v="0"/>
    <x v="1"/>
    <x v="0"/>
    <x v="0"/>
    <x v="0"/>
    <x v="1"/>
    <n v="360"/>
    <n v="64.8"/>
    <n v="0"/>
    <d v="2023-12-31T00:00:00"/>
    <x v="0"/>
  </r>
  <r>
    <x v="248"/>
    <d v="2023-12-04T00:00:00"/>
    <x v="1419"/>
    <d v="2023-12-27T00:00:00"/>
    <x v="0"/>
    <x v="0"/>
    <n v="22219"/>
    <x v="4"/>
    <x v="0"/>
    <n v="5503.201"/>
    <n v="1.29"/>
    <n v="0"/>
    <n v="0"/>
    <x v="1"/>
    <s v="Polyester Staple Fiber"/>
    <n v="7998660"/>
    <x v="0"/>
    <n v="1439758.8"/>
    <x v="0"/>
    <m/>
    <m/>
    <x v="0"/>
    <x v="0"/>
    <x v="0"/>
    <x v="0"/>
    <x v="0"/>
    <x v="0"/>
    <m/>
    <x v="0"/>
    <x v="1"/>
    <x v="0"/>
    <x v="0"/>
    <x v="0"/>
    <x v="1"/>
    <n v="359.99189882532966"/>
    <n v="64.798541788559348"/>
    <n v="0"/>
    <d v="2024-01-03T00:00:00"/>
    <x v="0"/>
  </r>
  <r>
    <x v="249"/>
    <d v="2023-12-01T00:00:00"/>
    <x v="1420"/>
    <d v="2023-12-27T00:00:00"/>
    <x v="0"/>
    <x v="0"/>
    <n v="12811"/>
    <x v="4"/>
    <x v="0"/>
    <n v="5503.201"/>
    <n v="1.29"/>
    <n v="0"/>
    <n v="0"/>
    <x v="1"/>
    <s v="Polyester Staple Fiber"/>
    <n v="4611816"/>
    <x v="0"/>
    <n v="830126.88"/>
    <x v="0"/>
    <m/>
    <m/>
    <x v="0"/>
    <x v="0"/>
    <x v="0"/>
    <x v="0"/>
    <x v="0"/>
    <x v="0"/>
    <m/>
    <x v="0"/>
    <x v="1"/>
    <x v="0"/>
    <x v="0"/>
    <x v="0"/>
    <x v="1"/>
    <n v="359.98875965966749"/>
    <n v="64.797976738740147"/>
    <n v="0"/>
    <d v="2023-12-31T00:00:00"/>
    <x v="0"/>
  </r>
  <r>
    <x v="250"/>
    <d v="2023-12-01T00:00:00"/>
    <x v="1421"/>
    <d v="2023-12-27T00:00:00"/>
    <x v="0"/>
    <x v="0"/>
    <n v="1364"/>
    <x v="4"/>
    <x v="0"/>
    <n v="5503.201"/>
    <n v="1.48"/>
    <n v="0"/>
    <n v="0"/>
    <x v="1"/>
    <s v="Polyester Staple Fiber"/>
    <n v="565852.5"/>
    <x v="0"/>
    <n v="101853.45"/>
    <x v="0"/>
    <m/>
    <m/>
    <x v="0"/>
    <x v="0"/>
    <x v="0"/>
    <x v="0"/>
    <x v="0"/>
    <x v="0"/>
    <m/>
    <x v="0"/>
    <x v="1"/>
    <x v="0"/>
    <x v="0"/>
    <x v="0"/>
    <x v="1"/>
    <n v="414.84787390029328"/>
    <n v="74.672617302052785"/>
    <n v="0"/>
    <d v="2023-12-31T00:00:00"/>
    <x v="0"/>
  </r>
  <r>
    <x v="251"/>
    <d v="2023-12-01T00:00:00"/>
    <x v="1422"/>
    <d v="2023-12-27T00:00:00"/>
    <x v="0"/>
    <x v="0"/>
    <n v="12864"/>
    <x v="4"/>
    <x v="0"/>
    <n v="5505.1"/>
    <n v="1.37"/>
    <n v="0"/>
    <n v="0"/>
    <x v="20"/>
    <s v="Comber Noil"/>
    <n v="4926912"/>
    <x v="0"/>
    <n v="886844.15999999992"/>
    <x v="0"/>
    <m/>
    <m/>
    <x v="0"/>
    <x v="0"/>
    <x v="0"/>
    <x v="4"/>
    <x v="0"/>
    <x v="0"/>
    <m/>
    <x v="0"/>
    <x v="1"/>
    <x v="0"/>
    <x v="0"/>
    <x v="0"/>
    <x v="8"/>
    <n v="383"/>
    <n v="68.94"/>
    <n v="0"/>
    <d v="2023-12-31T00:00:00"/>
    <x v="0"/>
  </r>
  <r>
    <x v="252"/>
    <d v="2023-12-01T00:00:00"/>
    <x v="1423"/>
    <d v="2023-12-27T00:00:00"/>
    <x v="0"/>
    <x v="0"/>
    <n v="11920"/>
    <x v="4"/>
    <x v="0"/>
    <n v="5505.1"/>
    <n v="1.37"/>
    <n v="0"/>
    <n v="0"/>
    <x v="20"/>
    <s v="Comber Noil"/>
    <n v="4565360"/>
    <x v="0"/>
    <n v="821764.79999999993"/>
    <x v="0"/>
    <m/>
    <m/>
    <x v="0"/>
    <x v="0"/>
    <x v="0"/>
    <x v="4"/>
    <x v="0"/>
    <x v="0"/>
    <m/>
    <x v="0"/>
    <x v="1"/>
    <x v="0"/>
    <x v="0"/>
    <x v="0"/>
    <x v="8"/>
    <n v="383"/>
    <n v="68.94"/>
    <n v="0"/>
    <d v="2023-12-31T00:00:00"/>
    <x v="0"/>
  </r>
  <r>
    <x v="253"/>
    <d v="2023-12-01T00:00:00"/>
    <x v="1424"/>
    <d v="2023-12-27T00:00:00"/>
    <x v="0"/>
    <x v="0"/>
    <n v="12884"/>
    <x v="4"/>
    <x v="0"/>
    <n v="5505.1"/>
    <n v="1.37"/>
    <n v="0"/>
    <n v="0"/>
    <x v="20"/>
    <s v="Comber Noil"/>
    <n v="4934572"/>
    <x v="0"/>
    <n v="888222.96"/>
    <x v="0"/>
    <m/>
    <m/>
    <x v="0"/>
    <x v="0"/>
    <x v="0"/>
    <x v="4"/>
    <x v="0"/>
    <x v="0"/>
    <m/>
    <x v="0"/>
    <x v="1"/>
    <x v="0"/>
    <x v="0"/>
    <x v="0"/>
    <x v="8"/>
    <n v="383"/>
    <n v="68.94"/>
    <n v="0"/>
    <d v="2023-12-31T00:00:00"/>
    <x v="0"/>
  </r>
  <r>
    <x v="254"/>
    <d v="2023-12-01T00:00:00"/>
    <x v="1425"/>
    <d v="2023-12-27T00:00:00"/>
    <x v="0"/>
    <x v="0"/>
    <n v="12050"/>
    <x v="4"/>
    <x v="0"/>
    <n v="5505.1"/>
    <n v="1.37"/>
    <n v="0"/>
    <n v="0"/>
    <x v="20"/>
    <s v="Comber Noil"/>
    <n v="4615150"/>
    <x v="0"/>
    <n v="830727"/>
    <x v="0"/>
    <m/>
    <m/>
    <x v="0"/>
    <x v="0"/>
    <x v="0"/>
    <x v="4"/>
    <x v="0"/>
    <x v="0"/>
    <m/>
    <x v="0"/>
    <x v="1"/>
    <x v="0"/>
    <x v="0"/>
    <x v="0"/>
    <x v="8"/>
    <n v="383"/>
    <n v="68.94"/>
    <n v="0"/>
    <d v="2023-12-31T00:00:00"/>
    <x v="0"/>
  </r>
  <r>
    <x v="255"/>
    <d v="2023-12-01T00:00:00"/>
    <x v="1426"/>
    <d v="2023-12-27T00:00:00"/>
    <x v="0"/>
    <x v="0"/>
    <n v="10282"/>
    <x v="4"/>
    <x v="0"/>
    <n v="5505.1"/>
    <n v="1.37"/>
    <n v="0"/>
    <n v="0"/>
    <x v="20"/>
    <s v="Comber Noil"/>
    <n v="3938006"/>
    <x v="0"/>
    <n v="708841.08"/>
    <x v="0"/>
    <m/>
    <m/>
    <x v="0"/>
    <x v="0"/>
    <x v="0"/>
    <x v="4"/>
    <x v="0"/>
    <x v="0"/>
    <m/>
    <x v="0"/>
    <x v="1"/>
    <x v="0"/>
    <x v="0"/>
    <x v="0"/>
    <x v="8"/>
    <n v="383"/>
    <n v="68.94"/>
    <n v="0"/>
    <d v="2023-12-31T00:00:00"/>
    <x v="0"/>
  </r>
  <r>
    <x v="256"/>
    <d v="2023-12-06T00:00:00"/>
    <x v="1427"/>
    <d v="2023-12-27T00:00:00"/>
    <x v="0"/>
    <x v="0"/>
    <n v="12357"/>
    <x v="4"/>
    <x v="0"/>
    <n v="5505.1"/>
    <n v="1.3"/>
    <n v="0"/>
    <n v="0"/>
    <x v="20"/>
    <s v="Comber Noil"/>
    <n v="4485591"/>
    <x v="0"/>
    <n v="807406.38"/>
    <x v="0"/>
    <m/>
    <m/>
    <x v="0"/>
    <x v="0"/>
    <x v="0"/>
    <x v="4"/>
    <x v="0"/>
    <x v="0"/>
    <m/>
    <x v="0"/>
    <x v="1"/>
    <x v="0"/>
    <x v="0"/>
    <x v="0"/>
    <x v="8"/>
    <n v="363"/>
    <n v="65.34"/>
    <n v="0"/>
    <d v="2024-01-05T00:00:00"/>
    <x v="0"/>
  </r>
  <r>
    <x v="257"/>
    <d v="2023-12-06T00:00:00"/>
    <x v="1428"/>
    <d v="2023-12-27T00:00:00"/>
    <x v="0"/>
    <x v="0"/>
    <n v="11970"/>
    <x v="4"/>
    <x v="0"/>
    <n v="5505.1"/>
    <n v="1.3"/>
    <n v="0"/>
    <n v="0"/>
    <x v="20"/>
    <s v="Comber Noil"/>
    <n v="4345110"/>
    <x v="0"/>
    <n v="782119.79999999993"/>
    <x v="0"/>
    <m/>
    <m/>
    <x v="0"/>
    <x v="0"/>
    <x v="0"/>
    <x v="4"/>
    <x v="0"/>
    <x v="0"/>
    <m/>
    <x v="0"/>
    <x v="1"/>
    <x v="0"/>
    <x v="0"/>
    <x v="0"/>
    <x v="8"/>
    <n v="363"/>
    <n v="65.339999999999989"/>
    <n v="0"/>
    <d v="2024-01-05T00:00:00"/>
    <x v="0"/>
  </r>
  <r>
    <x v="258"/>
    <d v="2023-12-01T00:00:00"/>
    <x v="1429"/>
    <d v="2023-12-27T00:00:00"/>
    <x v="0"/>
    <x v="0"/>
    <n v="5670"/>
    <x v="4"/>
    <x v="0"/>
    <n v="5206.12"/>
    <n v="2.17"/>
    <n v="0"/>
    <n v="0"/>
    <x v="3"/>
    <s v="CVC60:40 - 14/1  (12500  LBS"/>
    <n v="3450000"/>
    <x v="0"/>
    <n v="621000"/>
    <x v="0"/>
    <m/>
    <m/>
    <x v="0"/>
    <x v="0"/>
    <x v="0"/>
    <x v="4"/>
    <x v="0"/>
    <x v="0"/>
    <m/>
    <x v="0"/>
    <x v="1"/>
    <x v="0"/>
    <x v="0"/>
    <x v="0"/>
    <x v="3"/>
    <n v="608.46560846560851"/>
    <n v="109.52380952380952"/>
    <n v="0"/>
    <d v="2023-12-31T00:00:00"/>
    <x v="0"/>
  </r>
  <r>
    <x v="259"/>
    <d v="2023-12-01T00:00:00"/>
    <x v="1430"/>
    <d v="2023-12-27T00:00:00"/>
    <x v="0"/>
    <x v="0"/>
    <n v="7666"/>
    <x v="4"/>
    <x v="0"/>
    <n v="5206.1400000000003"/>
    <n v="2.7"/>
    <n v="0"/>
    <n v="0"/>
    <x v="3"/>
    <s v="CVC60:40 - 40/1 ( 16900 LBS)"/>
    <n v="5796700"/>
    <x v="0"/>
    <n v="1043406"/>
    <x v="0"/>
    <m/>
    <m/>
    <x v="0"/>
    <x v="0"/>
    <x v="0"/>
    <x v="4"/>
    <x v="0"/>
    <x v="0"/>
    <m/>
    <x v="0"/>
    <x v="1"/>
    <x v="0"/>
    <x v="0"/>
    <x v="0"/>
    <x v="3"/>
    <n v="756.15705713540308"/>
    <n v="136.10827028437257"/>
    <n v="0"/>
    <d v="2023-12-31T00:00:00"/>
    <x v="0"/>
  </r>
  <r>
    <x v="260"/>
    <d v="2023-12-01T00:00:00"/>
    <x v="1431"/>
    <d v="2023-12-27T00:00:00"/>
    <x v="0"/>
    <x v="0"/>
    <n v="5534"/>
    <x v="4"/>
    <x v="0"/>
    <n v="5206.12"/>
    <n v="2.7"/>
    <n v="0"/>
    <n v="0"/>
    <x v="3"/>
    <s v="CVC60:40 - 24/1 ( 12200 LBS)"/>
    <n v="4184600"/>
    <x v="0"/>
    <n v="753228"/>
    <x v="0"/>
    <m/>
    <m/>
    <x v="0"/>
    <x v="0"/>
    <x v="0"/>
    <x v="4"/>
    <x v="0"/>
    <x v="0"/>
    <m/>
    <x v="0"/>
    <x v="1"/>
    <x v="0"/>
    <x v="0"/>
    <x v="0"/>
    <x v="3"/>
    <n v="756.16190820383088"/>
    <n v="136.10914347668955"/>
    <n v="0"/>
    <d v="2023-12-31T00:00:00"/>
    <x v="0"/>
  </r>
  <r>
    <x v="261"/>
    <d v="2023-12-01T00:00:00"/>
    <x v="1432"/>
    <d v="2023-12-27T00:00:00"/>
    <x v="0"/>
    <x v="0"/>
    <n v="4854"/>
    <x v="4"/>
    <x v="0"/>
    <n v="5206.1400000000003"/>
    <n v="2.7"/>
    <n v="0"/>
    <n v="0"/>
    <x v="3"/>
    <s v="CVC60:40 - 40/1 ( 10700 LBS)"/>
    <n v="3670100"/>
    <x v="0"/>
    <n v="660618"/>
    <x v="0"/>
    <m/>
    <m/>
    <x v="0"/>
    <x v="0"/>
    <x v="0"/>
    <x v="4"/>
    <x v="0"/>
    <x v="0"/>
    <m/>
    <x v="0"/>
    <x v="1"/>
    <x v="0"/>
    <x v="0"/>
    <x v="0"/>
    <x v="3"/>
    <n v="756.09806345282243"/>
    <n v="136.09765142150803"/>
    <n v="0"/>
    <d v="2023-12-31T00:00:00"/>
    <x v="0"/>
  </r>
  <r>
    <x v="262"/>
    <d v="2023-12-08T00:00:00"/>
    <x v="1433"/>
    <d v="2024-01-02T00:00:00"/>
    <x v="0"/>
    <x v="0"/>
    <n v="12120"/>
    <x v="4"/>
    <x v="0"/>
    <n v="5505.1"/>
    <n v="1.3"/>
    <n v="0"/>
    <n v="0"/>
    <x v="20"/>
    <s v="Comber Noil"/>
    <n v="4399560"/>
    <x v="0"/>
    <n v="791920.79999999993"/>
    <x v="0"/>
    <m/>
    <m/>
    <x v="0"/>
    <x v="0"/>
    <x v="0"/>
    <x v="4"/>
    <x v="0"/>
    <x v="0"/>
    <m/>
    <x v="0"/>
    <x v="1"/>
    <x v="0"/>
    <x v="0"/>
    <x v="0"/>
    <x v="8"/>
    <n v="363"/>
    <n v="65.339999999999989"/>
    <n v="0"/>
    <d v="2024-01-07T00:00:00"/>
    <x v="0"/>
  </r>
  <r>
    <x v="263"/>
    <d v="2023-12-08T00:00:00"/>
    <x v="1434"/>
    <d v="2024-01-02T00:00:00"/>
    <x v="0"/>
    <x v="0"/>
    <n v="12734"/>
    <x v="4"/>
    <x v="0"/>
    <n v="5505.1"/>
    <n v="1.3"/>
    <n v="0"/>
    <n v="0"/>
    <x v="20"/>
    <s v="Comber Noil"/>
    <n v="4622442"/>
    <x v="0"/>
    <n v="832039.55999999994"/>
    <x v="0"/>
    <m/>
    <m/>
    <x v="0"/>
    <x v="0"/>
    <x v="0"/>
    <x v="4"/>
    <x v="0"/>
    <x v="0"/>
    <m/>
    <x v="0"/>
    <x v="1"/>
    <x v="0"/>
    <x v="0"/>
    <x v="0"/>
    <x v="8"/>
    <n v="363"/>
    <n v="65.339999999999989"/>
    <n v="0"/>
    <d v="2024-01-07T00:00:00"/>
    <x v="0"/>
  </r>
  <r>
    <x v="264"/>
    <d v="2023-12-11T00:00:00"/>
    <x v="1435"/>
    <d v="2024-01-02T00:00:00"/>
    <x v="0"/>
    <x v="0"/>
    <n v="12654"/>
    <x v="4"/>
    <x v="0"/>
    <n v="5505.1"/>
    <n v="1.3"/>
    <n v="0"/>
    <n v="0"/>
    <x v="20"/>
    <s v="Comber Noil"/>
    <n v="4593402"/>
    <x v="0"/>
    <n v="826812.36"/>
    <x v="0"/>
    <m/>
    <m/>
    <x v="0"/>
    <x v="0"/>
    <x v="0"/>
    <x v="4"/>
    <x v="0"/>
    <x v="0"/>
    <m/>
    <x v="0"/>
    <x v="1"/>
    <x v="0"/>
    <x v="0"/>
    <x v="0"/>
    <x v="8"/>
    <n v="363"/>
    <n v="65.34"/>
    <n v="0"/>
    <d v="2024-01-10T00:00:00"/>
    <x v="0"/>
  </r>
  <r>
    <x v="265"/>
    <d v="2023-12-11T00:00:00"/>
    <x v="1436"/>
    <d v="2024-01-02T00:00:00"/>
    <x v="0"/>
    <x v="0"/>
    <n v="12050"/>
    <x v="4"/>
    <x v="0"/>
    <n v="5505.1"/>
    <n v="1.3"/>
    <n v="0"/>
    <n v="0"/>
    <x v="20"/>
    <s v="Comber Noil"/>
    <n v="4374150"/>
    <x v="0"/>
    <n v="787347"/>
    <x v="0"/>
    <m/>
    <m/>
    <x v="0"/>
    <x v="0"/>
    <x v="0"/>
    <x v="4"/>
    <x v="0"/>
    <x v="0"/>
    <m/>
    <x v="0"/>
    <x v="1"/>
    <x v="0"/>
    <x v="0"/>
    <x v="0"/>
    <x v="8"/>
    <n v="363"/>
    <n v="65.34"/>
    <n v="0"/>
    <d v="2024-01-10T00:00:00"/>
    <x v="0"/>
  </r>
  <r>
    <x v="266"/>
    <d v="2023-12-01T00:00:00"/>
    <x v="1437"/>
    <d v="2024-01-02T00:00:00"/>
    <x v="0"/>
    <x v="0"/>
    <n v="11794"/>
    <x v="4"/>
    <x v="0"/>
    <n v="5206.12"/>
    <n v="2.44"/>
    <n v="0"/>
    <n v="0"/>
    <x v="3"/>
    <s v="PC52:48 - 24/1 ( 26000 LBS"/>
    <n v="8060000"/>
    <x v="0"/>
    <n v="1450800"/>
    <x v="0"/>
    <m/>
    <m/>
    <x v="0"/>
    <x v="0"/>
    <x v="0"/>
    <x v="4"/>
    <x v="0"/>
    <x v="0"/>
    <m/>
    <x v="0"/>
    <x v="1"/>
    <x v="0"/>
    <x v="0"/>
    <x v="0"/>
    <x v="3"/>
    <n v="683.39833813803625"/>
    <n v="123.01170086484653"/>
    <n v="0"/>
    <d v="2023-12-31T00:00:00"/>
    <x v="0"/>
  </r>
  <r>
    <x v="267"/>
    <d v="2023-12-01T00:00:00"/>
    <x v="1438"/>
    <d v="2024-01-02T00:00:00"/>
    <x v="0"/>
    <x v="0"/>
    <n v="6577"/>
    <x v="4"/>
    <x v="0"/>
    <n v="5206.12"/>
    <n v="2.2400000000000002"/>
    <n v="0"/>
    <n v="0"/>
    <x v="3"/>
    <s v="PC65:35 - 24/1 (14500 LBS)"/>
    <n v="4132500"/>
    <x v="0"/>
    <n v="743850"/>
    <x v="0"/>
    <m/>
    <m/>
    <x v="0"/>
    <x v="0"/>
    <x v="0"/>
    <x v="4"/>
    <x v="0"/>
    <x v="0"/>
    <m/>
    <x v="0"/>
    <x v="1"/>
    <x v="0"/>
    <x v="0"/>
    <x v="0"/>
    <x v="3"/>
    <n v="628.32598449140949"/>
    <n v="113.09867720845371"/>
    <n v="0"/>
    <d v="2023-12-31T00:00:00"/>
    <x v="0"/>
  </r>
  <r>
    <x v="268"/>
    <d v="2023-12-01T00:00:00"/>
    <x v="1439"/>
    <d v="2024-01-02T00:00:00"/>
    <x v="0"/>
    <x v="0"/>
    <n v="9072"/>
    <x v="4"/>
    <x v="0"/>
    <n v="5206.12"/>
    <n v="2.44"/>
    <n v="0"/>
    <n v="0"/>
    <x v="3"/>
    <s v="PC52:48 - 24/1 (20000 LBS)"/>
    <n v="6200000"/>
    <x v="0"/>
    <n v="1116000"/>
    <x v="0"/>
    <m/>
    <m/>
    <x v="0"/>
    <x v="0"/>
    <x v="0"/>
    <x v="4"/>
    <x v="0"/>
    <x v="0"/>
    <m/>
    <x v="0"/>
    <x v="1"/>
    <x v="0"/>
    <x v="0"/>
    <x v="0"/>
    <x v="3"/>
    <n v="683.42151675485013"/>
    <n v="123.01587301587301"/>
    <n v="0"/>
    <d v="2023-12-31T00:00:00"/>
    <x v="0"/>
  </r>
  <r>
    <x v="269"/>
    <d v="2023-12-01T00:00:00"/>
    <x v="1440"/>
    <d v="2024-01-02T00:00:00"/>
    <x v="0"/>
    <x v="0"/>
    <n v="6350"/>
    <x v="4"/>
    <x v="0"/>
    <n v="5206.12"/>
    <n v="2.5"/>
    <n v="0"/>
    <n v="0"/>
    <x v="3"/>
    <s v="PC52:48 - 24/1 (14000 LBS)"/>
    <n v="4452000"/>
    <x v="0"/>
    <n v="801360"/>
    <x v="0"/>
    <m/>
    <m/>
    <x v="0"/>
    <x v="0"/>
    <x v="0"/>
    <x v="4"/>
    <x v="0"/>
    <x v="0"/>
    <m/>
    <x v="0"/>
    <x v="1"/>
    <x v="0"/>
    <x v="0"/>
    <x v="0"/>
    <x v="3"/>
    <n v="701.10236220472439"/>
    <n v="126.19842519685039"/>
    <n v="0"/>
    <d v="2023-12-31T00:00:00"/>
    <x v="0"/>
  </r>
  <r>
    <x v="270"/>
    <d v="2023-12-01T00:00:00"/>
    <x v="1441"/>
    <d v="2024-01-02T00:00:00"/>
    <x v="0"/>
    <x v="0"/>
    <n v="8119"/>
    <x v="4"/>
    <x v="0"/>
    <n v="5206.2299999999996"/>
    <n v="2.69"/>
    <n v="0"/>
    <n v="0"/>
    <x v="3"/>
    <s v="PC52:48 - 30/1 (17900 LBS)"/>
    <n v="6121800"/>
    <x v="0"/>
    <n v="1101924"/>
    <x v="0"/>
    <m/>
    <m/>
    <x v="0"/>
    <x v="0"/>
    <x v="0"/>
    <x v="4"/>
    <x v="0"/>
    <x v="0"/>
    <m/>
    <x v="0"/>
    <x v="1"/>
    <x v="0"/>
    <x v="0"/>
    <x v="0"/>
    <x v="3"/>
    <n v="754.00911442295853"/>
    <n v="135.72164059613252"/>
    <n v="0"/>
    <d v="2023-12-31T00:00:00"/>
    <x v="0"/>
  </r>
  <r>
    <x v="271"/>
    <d v="2023-12-01T00:00:00"/>
    <x v="1442"/>
    <d v="2024-01-02T00:00:00"/>
    <x v="0"/>
    <x v="0"/>
    <n v="5625"/>
    <x v="4"/>
    <x v="0"/>
    <n v="5206.12"/>
    <n v="2.5"/>
    <n v="0"/>
    <n v="0"/>
    <x v="3"/>
    <s v="PC52:48 - 40/1 (12400 LBS)"/>
    <n v="3943200"/>
    <x v="0"/>
    <n v="709776"/>
    <x v="0"/>
    <m/>
    <m/>
    <x v="0"/>
    <x v="0"/>
    <x v="0"/>
    <x v="4"/>
    <x v="0"/>
    <x v="0"/>
    <m/>
    <x v="0"/>
    <x v="1"/>
    <x v="0"/>
    <x v="0"/>
    <x v="0"/>
    <x v="3"/>
    <n v="701.01333333333332"/>
    <n v="126.1824"/>
    <n v="0"/>
    <d v="2023-12-31T00:00:00"/>
    <x v="0"/>
  </r>
  <r>
    <x v="272"/>
    <d v="2023-12-04T00:00:00"/>
    <x v="1443"/>
    <d v="2024-01-02T00:00:00"/>
    <x v="0"/>
    <x v="0"/>
    <n v="6804"/>
    <x v="4"/>
    <x v="0"/>
    <n v="5206.12"/>
    <n v="2"/>
    <n v="0"/>
    <n v="0"/>
    <x v="3"/>
    <s v="PC65:35 18/1 (15000 LBS)"/>
    <n v="3810000"/>
    <x v="0"/>
    <n v="685800"/>
    <x v="0"/>
    <m/>
    <m/>
    <x v="0"/>
    <x v="0"/>
    <x v="0"/>
    <x v="4"/>
    <x v="0"/>
    <x v="0"/>
    <m/>
    <x v="0"/>
    <x v="1"/>
    <x v="0"/>
    <x v="0"/>
    <x v="0"/>
    <x v="3"/>
    <n v="559.96472663139332"/>
    <n v="100.7936507936508"/>
    <n v="0"/>
    <d v="2024-01-03T00:00:00"/>
    <x v="0"/>
  </r>
  <r>
    <x v="273"/>
    <d v="2023-12-04T00:00:00"/>
    <x v="1444"/>
    <d v="2024-01-02T00:00:00"/>
    <x v="0"/>
    <x v="0"/>
    <n v="8618"/>
    <x v="4"/>
    <x v="0"/>
    <n v="5206.12"/>
    <n v="2"/>
    <n v="0"/>
    <n v="0"/>
    <x v="3"/>
    <s v="PC65:35 18/1 19000 LBS)"/>
    <n v="4826000"/>
    <x v="0"/>
    <n v="868680"/>
    <x v="0"/>
    <m/>
    <m/>
    <x v="0"/>
    <x v="0"/>
    <x v="0"/>
    <x v="4"/>
    <x v="0"/>
    <x v="0"/>
    <m/>
    <x v="0"/>
    <x v="1"/>
    <x v="0"/>
    <x v="0"/>
    <x v="0"/>
    <x v="3"/>
    <n v="559.99071710373642"/>
    <n v="100.79832907867255"/>
    <n v="0"/>
    <d v="2024-01-03T00:00:00"/>
    <x v="0"/>
  </r>
  <r>
    <x v="274"/>
    <d v="2023-12-04T00:00:00"/>
    <x v="1445"/>
    <d v="2024-01-02T00:00:00"/>
    <x v="0"/>
    <x v="0"/>
    <n v="2722"/>
    <x v="4"/>
    <x v="0"/>
    <n v="5206.12"/>
    <n v="2.1"/>
    <n v="0"/>
    <n v="0"/>
    <x v="3"/>
    <s v="PC65:35 24/1 (6000 LBS)"/>
    <n v="1602000"/>
    <x v="0"/>
    <n v="288360"/>
    <x v="0"/>
    <m/>
    <m/>
    <x v="0"/>
    <x v="0"/>
    <x v="0"/>
    <x v="6"/>
    <x v="0"/>
    <x v="0"/>
    <m/>
    <x v="0"/>
    <x v="1"/>
    <x v="0"/>
    <x v="0"/>
    <x v="0"/>
    <x v="3"/>
    <n v="588.53783982365906"/>
    <n v="105.93681116825863"/>
    <n v="0"/>
    <d v="2024-01-03T00:00:00"/>
    <x v="0"/>
  </r>
  <r>
    <x v="275"/>
    <d v="2023-12-01T00:00:00"/>
    <x v="1446"/>
    <d v="2024-01-02T00:00:00"/>
    <x v="0"/>
    <x v="0"/>
    <n v="9072"/>
    <x v="4"/>
    <x v="0"/>
    <n v="5206.12"/>
    <n v="2.1"/>
    <n v="0"/>
    <n v="0"/>
    <x v="3"/>
    <s v="PC65:35 24/1 (20000 LBS)"/>
    <n v="5340000"/>
    <x v="0"/>
    <n v="961200"/>
    <x v="0"/>
    <m/>
    <m/>
    <x v="0"/>
    <x v="0"/>
    <x v="0"/>
    <x v="4"/>
    <x v="0"/>
    <x v="0"/>
    <m/>
    <x v="0"/>
    <x v="1"/>
    <x v="0"/>
    <x v="0"/>
    <x v="0"/>
    <x v="3"/>
    <n v="588.62433862433863"/>
    <n v="105.95238095238095"/>
    <n v="0"/>
    <d v="2023-12-31T00:00:00"/>
    <x v="0"/>
  </r>
  <r>
    <x v="276"/>
    <d v="2023-12-01T00:00:00"/>
    <x v="1447"/>
    <d v="2024-01-02T00:00:00"/>
    <x v="0"/>
    <x v="0"/>
    <n v="9072"/>
    <x v="4"/>
    <x v="0"/>
    <n v="5206.12"/>
    <n v="2"/>
    <n v="0"/>
    <n v="0"/>
    <x v="3"/>
    <s v="PC65:35 18/1 (20000 LBS)"/>
    <n v="5080000"/>
    <x v="0"/>
    <n v="914400"/>
    <x v="0"/>
    <m/>
    <m/>
    <x v="0"/>
    <x v="0"/>
    <x v="0"/>
    <x v="4"/>
    <x v="0"/>
    <x v="0"/>
    <m/>
    <x v="0"/>
    <x v="1"/>
    <x v="0"/>
    <x v="0"/>
    <x v="0"/>
    <x v="3"/>
    <n v="559.96472663139332"/>
    <n v="100.7936507936508"/>
    <n v="0"/>
    <d v="2023-12-31T00:00:00"/>
    <x v="0"/>
  </r>
  <r>
    <x v="277"/>
    <d v="2023-12-06T00:00:00"/>
    <x v="1448"/>
    <d v="2024-01-02T00:00:00"/>
    <x v="0"/>
    <x v="0"/>
    <n v="4510"/>
    <x v="4"/>
    <x v="0"/>
    <s v="2931.9090 / 3809.9190"/>
    <s v="1.92 / 0.41"/>
    <n v="0"/>
    <n v="0"/>
    <x v="12"/>
    <s v="LUFIBROL ANTOX LIQ"/>
    <n v="565180"/>
    <x v="0"/>
    <n v="101732.4"/>
    <x v="0"/>
    <m/>
    <m/>
    <x v="0"/>
    <x v="0"/>
    <x v="0"/>
    <x v="4"/>
    <x v="0"/>
    <x v="0"/>
    <m/>
    <x v="0"/>
    <x v="1"/>
    <x v="0"/>
    <x v="0"/>
    <x v="0"/>
    <x v="5"/>
    <n v="125.3170731707317"/>
    <n v="22.557073170731705"/>
    <n v="0"/>
    <d v="2024-01-05T00:00:00"/>
    <x v="0"/>
  </r>
  <r>
    <x v="278"/>
    <d v="2023-12-06T00:00:00"/>
    <x v="1449"/>
    <d v="2024-01-02T00:00:00"/>
    <x v="0"/>
    <x v="0"/>
    <n v="2200"/>
    <x v="4"/>
    <x v="0"/>
    <n v="3204.2"/>
    <n v="1.8"/>
    <n v="0"/>
    <n v="0"/>
    <x v="5"/>
    <s v="LEUCOPHOR BMF LIQUID"/>
    <n v="1111000"/>
    <x v="0"/>
    <n v="1999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05T00:00:00"/>
    <x v="0"/>
  </r>
  <r>
    <x v="279"/>
    <d v="2023-12-09T00:00:00"/>
    <x v="1450"/>
    <d v="2024-01-02T00:00:00"/>
    <x v="0"/>
    <x v="0"/>
    <n v="1540"/>
    <x v="4"/>
    <x v="0"/>
    <n v="3809.9189999999999"/>
    <n v="0.41"/>
    <n v="0"/>
    <n v="0"/>
    <x v="12"/>
    <s v="PRESTOGEN F-PL LIQ"/>
    <n v="177100"/>
    <x v="0"/>
    <n v="31878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08T00:00:00"/>
    <x v="0"/>
  </r>
  <r>
    <x v="280"/>
    <d v="2023-12-09T00:00:00"/>
    <x v="1451"/>
    <d v="2024-01-02T00:00:00"/>
    <x v="0"/>
    <x v="0"/>
    <n v="600"/>
    <x v="4"/>
    <x v="0"/>
    <n v="3204.2"/>
    <n v="1.8"/>
    <n v="0"/>
    <n v="0"/>
    <x v="5"/>
    <s v="LEUCOPHOR BMF LIQUID"/>
    <n v="303000"/>
    <x v="0"/>
    <n v="5454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08T00:00:00"/>
    <x v="0"/>
  </r>
  <r>
    <x v="281"/>
    <d v="2023-12-15T00:00:00"/>
    <x v="1452"/>
    <d v="2024-01-02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4T00:00:00"/>
    <x v="0"/>
  </r>
  <r>
    <x v="282"/>
    <d v="2023-12-15T00:00:00"/>
    <x v="1453"/>
    <d v="2024-01-02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4T00:00:00"/>
    <x v="0"/>
  </r>
  <r>
    <x v="283"/>
    <d v="2023-12-15T00:00:00"/>
    <x v="1454"/>
    <d v="2024-01-02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4T00:00:00"/>
    <x v="0"/>
  </r>
  <r>
    <x v="284"/>
    <d v="2023-12-15T00:00:00"/>
    <x v="1455"/>
    <d v="2024-01-02T00:00:00"/>
    <x v="0"/>
    <x v="0"/>
    <n v="2000"/>
    <x v="4"/>
    <x v="0"/>
    <n v="3906.9090000000001"/>
    <n v="0.7"/>
    <n v="0"/>
    <n v="0"/>
    <x v="12"/>
    <s v="TUBIFAST ACL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14T00:00:00"/>
    <x v="0"/>
  </r>
  <r>
    <x v="285"/>
    <d v="2023-12-15T00:00:00"/>
    <x v="1456"/>
    <d v="2024-01-02T00:00:00"/>
    <x v="0"/>
    <x v="0"/>
    <n v="1000"/>
    <x v="4"/>
    <x v="0"/>
    <n v="3906.9090000000001"/>
    <n v="0.7"/>
    <n v="0"/>
    <n v="0"/>
    <x v="12"/>
    <s v="TUBIFAST ACL"/>
    <n v="195000"/>
    <x v="0"/>
    <n v="351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14T00:00:00"/>
    <x v="0"/>
  </r>
  <r>
    <x v="286"/>
    <d v="2023-12-15T00:00:00"/>
    <x v="1457"/>
    <d v="2024-01-02T00:00:00"/>
    <x v="0"/>
    <x v="0"/>
    <n v="2000"/>
    <x v="4"/>
    <x v="0"/>
    <n v="3906.9090000000001"/>
    <n v="0.7"/>
    <n v="0"/>
    <n v="0"/>
    <x v="12"/>
    <s v="TUBIFAST ACL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14T00:00:00"/>
    <x v="0"/>
  </r>
  <r>
    <x v="287"/>
    <d v="2023-12-12T00:00:00"/>
    <x v="1458"/>
    <d v="2024-01-02T00:00:00"/>
    <x v="0"/>
    <x v="0"/>
    <n v="10000"/>
    <x v="4"/>
    <x v="0"/>
    <n v="3906.9090000000001"/>
    <n v="0.6"/>
    <n v="0"/>
    <n v="0"/>
    <x v="12"/>
    <s v="TUBIFAST ACL / ACE"/>
    <n v="1675000"/>
    <x v="0"/>
    <n v="301500"/>
    <x v="0"/>
    <m/>
    <m/>
    <x v="0"/>
    <x v="0"/>
    <x v="0"/>
    <x v="4"/>
    <x v="0"/>
    <x v="0"/>
    <m/>
    <x v="0"/>
    <x v="1"/>
    <x v="0"/>
    <x v="0"/>
    <x v="0"/>
    <x v="5"/>
    <n v="167.5"/>
    <n v="30.15"/>
    <n v="0"/>
    <d v="2024-01-11T00:00:00"/>
    <x v="0"/>
  </r>
  <r>
    <x v="288"/>
    <d v="2023-12-08T00:00:00"/>
    <x v="1459"/>
    <d v="2024-01-02T00:00:00"/>
    <x v="0"/>
    <x v="0"/>
    <n v="19810"/>
    <x v="4"/>
    <x v="0"/>
    <n v="2815.12"/>
    <n v="0.27"/>
    <n v="0"/>
    <n v="0"/>
    <x v="12"/>
    <s v="CAUSTIC SODA LIQUID"/>
    <n v="1510512.5"/>
    <x v="0"/>
    <n v="271892.25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07T00:00:00"/>
    <x v="0"/>
  </r>
  <r>
    <x v="289"/>
    <d v="2023-12-10T00:00:00"/>
    <x v="1460"/>
    <d v="2024-01-02T00:00:00"/>
    <x v="0"/>
    <x v="0"/>
    <n v="29760"/>
    <x v="4"/>
    <x v="0"/>
    <n v="2815.12"/>
    <n v="0.27"/>
    <n v="0"/>
    <n v="0"/>
    <x v="12"/>
    <s v="CAUSTIC SODA LIQUID"/>
    <n v="2269200"/>
    <x v="0"/>
    <n v="408456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09T00:00:00"/>
    <x v="0"/>
  </r>
  <r>
    <x v="290"/>
    <d v="2023-12-16T00:00:00"/>
    <x v="1461"/>
    <d v="2024-01-02T00:00:00"/>
    <x v="0"/>
    <x v="0"/>
    <n v="19410"/>
    <x v="4"/>
    <x v="0"/>
    <n v="2815.12"/>
    <n v="0.27"/>
    <n v="0"/>
    <n v="0"/>
    <x v="12"/>
    <s v="CAUSTIC SODA LIQUID"/>
    <n v="1480012.5"/>
    <x v="0"/>
    <n v="266402.25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15T00:00:00"/>
    <x v="0"/>
  </r>
  <r>
    <x v="291"/>
    <d v="2023-12-16T00:00:00"/>
    <x v="1462"/>
    <d v="2024-01-02T00:00:00"/>
    <x v="0"/>
    <x v="0"/>
    <n v="17070"/>
    <x v="4"/>
    <x v="0"/>
    <n v="2815.12"/>
    <n v="0.27"/>
    <n v="0"/>
    <n v="0"/>
    <x v="12"/>
    <s v="CAUSTIC SODA LIQUID"/>
    <n v="1301587.5"/>
    <x v="0"/>
    <n v="234285.75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15T00:00:00"/>
    <x v="0"/>
  </r>
  <r>
    <x v="292"/>
    <d v="2023-12-01T00:00:00"/>
    <x v="1463"/>
    <d v="2024-01-02T00:00:00"/>
    <x v="0"/>
    <x v="0"/>
    <n v="74"/>
    <x v="4"/>
    <x v="0"/>
    <n v="3204.12"/>
    <n v="33.06"/>
    <n v="0"/>
    <n v="0"/>
    <x v="5"/>
    <s v="ASUDEL RED MGR / YELLOW GL / OLIVE GWL"/>
    <n v="684900"/>
    <x v="0"/>
    <n v="123282"/>
    <x v="0"/>
    <m/>
    <m/>
    <x v="0"/>
    <x v="0"/>
    <x v="0"/>
    <x v="4"/>
    <x v="0"/>
    <x v="0"/>
    <m/>
    <x v="0"/>
    <x v="1"/>
    <x v="0"/>
    <x v="0"/>
    <x v="0"/>
    <x v="4"/>
    <n v="9255.405405405405"/>
    <n v="1665.9729729729729"/>
    <n v="0"/>
    <d v="2023-12-31T00:00:00"/>
    <x v="0"/>
  </r>
  <r>
    <x v="293"/>
    <d v="2023-12-01T00:00:00"/>
    <x v="1464"/>
    <d v="2024-01-03T00:00:00"/>
    <x v="0"/>
    <x v="0"/>
    <n v="5000"/>
    <x v="4"/>
    <x v="0"/>
    <n v="3809.9189999999999"/>
    <n v="1.61"/>
    <n v="0"/>
    <n v="0"/>
    <x v="12"/>
    <s v="OPTISIZE SP 100"/>
    <n v="2250000"/>
    <x v="0"/>
    <n v="405000"/>
    <x v="0"/>
    <m/>
    <m/>
    <x v="0"/>
    <x v="0"/>
    <x v="0"/>
    <x v="4"/>
    <x v="0"/>
    <x v="0"/>
    <m/>
    <x v="0"/>
    <x v="1"/>
    <x v="0"/>
    <x v="0"/>
    <x v="0"/>
    <x v="5"/>
    <n v="450"/>
    <n v="81"/>
    <n v="0"/>
    <d v="2023-12-31T00:00:00"/>
    <x v="0"/>
  </r>
  <r>
    <x v="294"/>
    <d v="2023-12-01T00:00:00"/>
    <x v="1465"/>
    <d v="2024-01-03T00:00:00"/>
    <x v="0"/>
    <x v="0"/>
    <n v="22434"/>
    <x v="4"/>
    <x v="0"/>
    <n v="5208.1899999999996"/>
    <n v="4.17"/>
    <n v="0"/>
    <n v="0"/>
    <x v="14"/>
    <s v="40/1 Cotton Fabric Grey ( 60000 Mtr)"/>
    <n v="26220000"/>
    <x v="0"/>
    <n v="4719600"/>
    <x v="0"/>
    <m/>
    <m/>
    <x v="0"/>
    <x v="0"/>
    <x v="0"/>
    <x v="4"/>
    <x v="0"/>
    <x v="0"/>
    <m/>
    <x v="0"/>
    <x v="1"/>
    <x v="0"/>
    <x v="0"/>
    <x v="0"/>
    <x v="2"/>
    <n v="1168.7617009895694"/>
    <n v="210.37710617812249"/>
    <n v="0"/>
    <d v="2023-12-31T00:00:00"/>
    <x v="0"/>
  </r>
  <r>
    <x v="295"/>
    <d v="2023-12-01T00:00:00"/>
    <x v="1466"/>
    <d v="2024-01-03T00:00:00"/>
    <x v="0"/>
    <x v="0"/>
    <n v="9964"/>
    <x v="4"/>
    <x v="0"/>
    <n v="5210.1099999999997"/>
    <n v="3.51"/>
    <n v="0"/>
    <n v="0"/>
    <x v="2"/>
    <s v="CVC60:40 - 40/1 Fabric (29805 Mtr)"/>
    <n v="9797920"/>
    <x v="0"/>
    <n v="1763625.5999999999"/>
    <x v="0"/>
    <m/>
    <m/>
    <x v="0"/>
    <x v="0"/>
    <x v="0"/>
    <x v="4"/>
    <x v="0"/>
    <x v="0"/>
    <m/>
    <x v="0"/>
    <x v="1"/>
    <x v="0"/>
    <x v="0"/>
    <x v="0"/>
    <x v="2"/>
    <n v="983.33199518265758"/>
    <n v="176.99975913287835"/>
    <n v="0"/>
    <d v="2023-12-31T00:00:00"/>
    <x v="0"/>
  </r>
  <r>
    <x v="296"/>
    <d v="2023-12-01T00:00:00"/>
    <x v="1467"/>
    <d v="2024-01-03T00:00:00"/>
    <x v="0"/>
    <x v="0"/>
    <n v="10460"/>
    <x v="4"/>
    <x v="0"/>
    <n v="5210.1099999999997"/>
    <n v="3.48"/>
    <n v="0"/>
    <n v="0"/>
    <x v="2"/>
    <s v="CVC60:40 - 40/1 Fabric (30126 Mtr)"/>
    <n v="10187606"/>
    <x v="0"/>
    <n v="1833769.0799999998"/>
    <x v="0"/>
    <m/>
    <m/>
    <x v="0"/>
    <x v="0"/>
    <x v="0"/>
    <x v="4"/>
    <x v="0"/>
    <x v="0"/>
    <m/>
    <x v="0"/>
    <x v="1"/>
    <x v="0"/>
    <x v="0"/>
    <x v="0"/>
    <x v="2"/>
    <n v="973.95850860420649"/>
    <n v="175.31253154875716"/>
    <n v="0"/>
    <d v="2023-12-31T00:00:00"/>
    <x v="0"/>
  </r>
  <r>
    <x v="297"/>
    <d v="2023-12-01T00:00:00"/>
    <x v="1468"/>
    <d v="2024-01-03T00:00:00"/>
    <x v="0"/>
    <x v="0"/>
    <n v="25563"/>
    <x v="4"/>
    <x v="0"/>
    <n v="5210.1099999999997"/>
    <n v="4.4000000000000004"/>
    <n v="0"/>
    <n v="0"/>
    <x v="2"/>
    <s v="CVC60:40 - 40/1 Fabric (76576 Mtr)"/>
    <n v="31522483"/>
    <x v="0"/>
    <n v="5674046.9399999995"/>
    <x v="0"/>
    <m/>
    <m/>
    <x v="0"/>
    <x v="0"/>
    <x v="0"/>
    <x v="4"/>
    <x v="0"/>
    <x v="0"/>
    <m/>
    <x v="0"/>
    <x v="1"/>
    <x v="0"/>
    <x v="0"/>
    <x v="0"/>
    <x v="2"/>
    <n v="1233.1292493056371"/>
    <n v="221.96326487501466"/>
    <n v="0"/>
    <d v="2023-12-31T00:00:00"/>
    <x v="0"/>
  </r>
  <r>
    <x v="298"/>
    <d v="2023-12-01T00:00:00"/>
    <x v="1469"/>
    <d v="2024-01-03T00:00:00"/>
    <x v="0"/>
    <x v="0"/>
    <n v="9224"/>
    <x v="4"/>
    <x v="0"/>
    <n v="5210.1099999999997"/>
    <n v="3.49"/>
    <n v="0"/>
    <n v="0"/>
    <x v="2"/>
    <s v="CVC60:40 - 40/1 Fabric (26658 Mtr)"/>
    <n v="9018398"/>
    <x v="0"/>
    <n v="1623311.64"/>
    <x v="0"/>
    <m/>
    <m/>
    <x v="0"/>
    <x v="0"/>
    <x v="0"/>
    <x v="4"/>
    <x v="0"/>
    <x v="0"/>
    <m/>
    <x v="0"/>
    <x v="1"/>
    <x v="0"/>
    <x v="0"/>
    <x v="0"/>
    <x v="2"/>
    <n v="977.71010407632264"/>
    <n v="175.98781873373807"/>
    <n v="0"/>
    <d v="2023-12-31T00:00:00"/>
    <x v="0"/>
  </r>
  <r>
    <x v="299"/>
    <d v="2023-12-01T00:00:00"/>
    <x v="1470"/>
    <d v="2024-01-03T00:00:00"/>
    <x v="0"/>
    <x v="0"/>
    <n v="18130"/>
    <x v="4"/>
    <x v="0"/>
    <n v="5208.1899999999996"/>
    <n v="4.18"/>
    <n v="0"/>
    <n v="0"/>
    <x v="14"/>
    <s v="40/1 Cotton Fabric Grey ( 48556 Mtr)"/>
    <n v="21218972"/>
    <x v="0"/>
    <n v="3819414.96"/>
    <x v="0"/>
    <m/>
    <m/>
    <x v="0"/>
    <x v="0"/>
    <x v="0"/>
    <x v="6"/>
    <x v="0"/>
    <x v="0"/>
    <m/>
    <x v="0"/>
    <x v="1"/>
    <x v="0"/>
    <x v="0"/>
    <x v="0"/>
    <x v="2"/>
    <n v="1170.3790402647546"/>
    <n v="210.66822724765581"/>
    <n v="0"/>
    <d v="2023-12-31T00:00:00"/>
    <x v="0"/>
  </r>
  <r>
    <x v="300"/>
    <d v="2023-12-01T00:00:00"/>
    <x v="1471"/>
    <d v="2024-01-03T00:00:00"/>
    <x v="0"/>
    <x v="0"/>
    <n v="22417"/>
    <x v="4"/>
    <x v="0"/>
    <n v="5208.1899999999996"/>
    <n v="4.1900000000000004"/>
    <n v="0"/>
    <n v="0"/>
    <x v="14"/>
    <s v="40/1 Cotton Fabric Grey ( 60210 Mtr)"/>
    <n v="26311770"/>
    <x v="0"/>
    <n v="4736118.5999999996"/>
    <x v="0"/>
    <m/>
    <m/>
    <x v="0"/>
    <x v="0"/>
    <x v="0"/>
    <x v="6"/>
    <x v="0"/>
    <x v="0"/>
    <m/>
    <x v="0"/>
    <x v="1"/>
    <x v="0"/>
    <x v="0"/>
    <x v="0"/>
    <x v="2"/>
    <n v="1173.7418030958647"/>
    <n v="211.27352455725563"/>
    <n v="0"/>
    <d v="2023-12-31T00:00:00"/>
    <x v="0"/>
  </r>
  <r>
    <x v="301"/>
    <d v="2023-12-04T00:00:00"/>
    <x v="1472"/>
    <d v="2024-01-03T00:00:00"/>
    <x v="0"/>
    <x v="0"/>
    <n v="12879"/>
    <x v="4"/>
    <x v="0"/>
    <n v="5208.1899999999996"/>
    <n v="4.26"/>
    <n v="0"/>
    <n v="0"/>
    <x v="14"/>
    <s v="40/1 Cotton Fabric Grey ( 35000 Mtr)"/>
    <n v="15365000"/>
    <x v="0"/>
    <n v="2765700"/>
    <x v="0"/>
    <m/>
    <m/>
    <x v="0"/>
    <x v="0"/>
    <x v="0"/>
    <x v="0"/>
    <x v="0"/>
    <x v="0"/>
    <m/>
    <x v="0"/>
    <x v="1"/>
    <x v="0"/>
    <x v="0"/>
    <x v="0"/>
    <x v="2"/>
    <n v="1193.0274089603231"/>
    <n v="214.74493361285815"/>
    <n v="0"/>
    <d v="2024-01-03T00:00:00"/>
    <x v="0"/>
  </r>
  <r>
    <x v="302"/>
    <d v="2023-12-04T00:00:00"/>
    <x v="1473"/>
    <d v="2024-01-03T00:00:00"/>
    <x v="0"/>
    <x v="0"/>
    <n v="8996"/>
    <x v="4"/>
    <x v="0"/>
    <n v="5208.1899999999996"/>
    <n v="4.24"/>
    <n v="0"/>
    <n v="0"/>
    <x v="14"/>
    <s v="40/1 Cotton Fabric Grey ( 25121 Mtr)"/>
    <n v="10676425"/>
    <x v="0"/>
    <n v="1921756.5"/>
    <x v="0"/>
    <m/>
    <m/>
    <x v="0"/>
    <x v="0"/>
    <x v="0"/>
    <x v="0"/>
    <x v="0"/>
    <x v="0"/>
    <m/>
    <x v="0"/>
    <x v="1"/>
    <x v="0"/>
    <x v="0"/>
    <x v="0"/>
    <x v="2"/>
    <n v="1186.7969097376613"/>
    <n v="213.62344375277902"/>
    <n v="0"/>
    <d v="2024-01-03T00:00:00"/>
    <x v="0"/>
  </r>
  <r>
    <x v="303"/>
    <d v="2023-12-04T00:00:00"/>
    <x v="1474"/>
    <d v="2024-01-03T00:00:00"/>
    <x v="0"/>
    <x v="0"/>
    <n v="6850"/>
    <x v="4"/>
    <x v="0"/>
    <n v="5208.1899999999996"/>
    <n v="4.3600000000000003"/>
    <n v="0"/>
    <n v="0"/>
    <x v="14"/>
    <s v="40/1 Cotton Fabric Grey ( 21984 Mtr)"/>
    <n v="8353920"/>
    <x v="0"/>
    <n v="1503705.5999999999"/>
    <x v="0"/>
    <m/>
    <m/>
    <x v="0"/>
    <x v="0"/>
    <x v="0"/>
    <x v="0"/>
    <x v="0"/>
    <x v="0"/>
    <m/>
    <x v="0"/>
    <x v="1"/>
    <x v="0"/>
    <x v="0"/>
    <x v="0"/>
    <x v="2"/>
    <n v="1219.5503649635036"/>
    <n v="219.51906569343063"/>
    <n v="0"/>
    <d v="2024-01-03T00:00:00"/>
    <x v="0"/>
  </r>
  <r>
    <x v="304"/>
    <d v="2023-12-04T00:00:00"/>
    <x v="1475"/>
    <d v="2024-01-03T00:00:00"/>
    <x v="0"/>
    <x v="0"/>
    <n v="11532"/>
    <x v="4"/>
    <x v="0"/>
    <n v="5208.1899999999996"/>
    <n v="4.2300000000000004"/>
    <n v="0"/>
    <n v="0"/>
    <x v="14"/>
    <s v="40/1 Cotton Fabric Grey ( 31234 Mtr)"/>
    <n v="13649258"/>
    <x v="0"/>
    <n v="2456866.44"/>
    <x v="0"/>
    <m/>
    <m/>
    <x v="0"/>
    <x v="0"/>
    <x v="0"/>
    <x v="0"/>
    <x v="0"/>
    <x v="0"/>
    <m/>
    <x v="0"/>
    <x v="1"/>
    <x v="0"/>
    <x v="0"/>
    <x v="0"/>
    <x v="2"/>
    <n v="1183.5985084980923"/>
    <n v="213.0477315296566"/>
    <n v="0"/>
    <d v="2024-01-03T00:00:00"/>
    <x v="0"/>
  </r>
  <r>
    <x v="305"/>
    <d v="2023-12-04T00:00:00"/>
    <x v="1476"/>
    <d v="2024-01-03T00:00:00"/>
    <x v="0"/>
    <x v="0"/>
    <n v="1652"/>
    <x v="4"/>
    <x v="0"/>
    <n v="5208.1899999999996"/>
    <n v="6"/>
    <n v="0"/>
    <n v="0"/>
    <x v="14"/>
    <s v="40/1 Cotton Fabric Grey ( 4511 Mtr)"/>
    <n v="2774265"/>
    <x v="0"/>
    <n v="499367.69999999995"/>
    <x v="0"/>
    <m/>
    <m/>
    <x v="0"/>
    <x v="0"/>
    <x v="0"/>
    <x v="0"/>
    <x v="0"/>
    <x v="0"/>
    <m/>
    <x v="0"/>
    <x v="1"/>
    <x v="0"/>
    <x v="0"/>
    <x v="0"/>
    <x v="2"/>
    <n v="1679.3371670702179"/>
    <n v="302.28069007263917"/>
    <n v="0"/>
    <d v="2024-01-03T00:00:00"/>
    <x v="0"/>
  </r>
  <r>
    <x v="306"/>
    <d v="2023-12-04T00:00:00"/>
    <x v="1477"/>
    <d v="2024-01-03T00:00:00"/>
    <x v="0"/>
    <x v="0"/>
    <n v="1249"/>
    <x v="4"/>
    <x v="0"/>
    <n v="5208.1899999999996"/>
    <n v="5.78"/>
    <n v="0"/>
    <n v="0"/>
    <x v="14"/>
    <s v="40/1 Cotton Fabric Grey ( 3015 Mtr)"/>
    <n v="2020050"/>
    <x v="0"/>
    <n v="363609"/>
    <x v="0"/>
    <m/>
    <m/>
    <x v="0"/>
    <x v="0"/>
    <x v="0"/>
    <x v="0"/>
    <x v="0"/>
    <x v="0"/>
    <m/>
    <x v="0"/>
    <x v="1"/>
    <x v="0"/>
    <x v="0"/>
    <x v="0"/>
    <x v="2"/>
    <n v="1617.3338670936751"/>
    <n v="291.1200960768615"/>
    <n v="0"/>
    <d v="2024-01-03T00:00:00"/>
    <x v="0"/>
  </r>
  <r>
    <x v="307"/>
    <d v="2023-12-02T00:00:00"/>
    <x v="1478"/>
    <d v="2024-01-03T00:00:00"/>
    <x v="0"/>
    <x v="0"/>
    <n v="93010"/>
    <x v="4"/>
    <x v="0"/>
    <n v="5201.009"/>
    <n v="1.77"/>
    <n v="0"/>
    <n v="0"/>
    <x v="0"/>
    <s v="Raw Cotton"/>
    <n v="46101302"/>
    <x v="0"/>
    <n v="8298234.3599999994"/>
    <x v="0"/>
    <m/>
    <m/>
    <x v="0"/>
    <x v="0"/>
    <x v="0"/>
    <x v="5"/>
    <x v="0"/>
    <x v="0"/>
    <m/>
    <x v="0"/>
    <x v="1"/>
    <x v="0"/>
    <x v="0"/>
    <x v="0"/>
    <x v="0"/>
    <n v="495.65962799698957"/>
    <n v="89.218733039458115"/>
    <n v="0"/>
    <d v="2024-01-01T00:00:00"/>
    <x v="0"/>
  </r>
  <r>
    <x v="308"/>
    <d v="2023-12-01T00:00:00"/>
    <x v="1479"/>
    <d v="2024-01-03T00:00:00"/>
    <x v="0"/>
    <x v="0"/>
    <n v="31144"/>
    <x v="4"/>
    <x v="0"/>
    <n v="5201.009"/>
    <n v="1.68"/>
    <n v="0"/>
    <n v="0"/>
    <x v="0"/>
    <s v="Raw Cotton"/>
    <n v="14685842.890000001"/>
    <x v="0"/>
    <n v="2643451.7201999999"/>
    <x v="0"/>
    <m/>
    <m/>
    <x v="0"/>
    <x v="0"/>
    <x v="0"/>
    <x v="0"/>
    <x v="0"/>
    <x v="0"/>
    <m/>
    <x v="0"/>
    <x v="1"/>
    <x v="0"/>
    <x v="0"/>
    <x v="0"/>
    <x v="0"/>
    <n v="471.54645806575905"/>
    <n v="84.878362451836622"/>
    <n v="0"/>
    <d v="2023-12-31T00:00:00"/>
    <x v="0"/>
  </r>
  <r>
    <x v="309"/>
    <d v="2023-12-02T00:00:00"/>
    <x v="1480"/>
    <d v="2024-01-03T00:00:00"/>
    <x v="0"/>
    <x v="0"/>
    <n v="32139"/>
    <x v="4"/>
    <x v="0"/>
    <n v="5201.009"/>
    <n v="1.52"/>
    <n v="0"/>
    <n v="0"/>
    <x v="0"/>
    <s v="Raw Cotton"/>
    <n v="13691193"/>
    <x v="0"/>
    <n v="2464414.7399999998"/>
    <x v="0"/>
    <m/>
    <m/>
    <x v="0"/>
    <x v="0"/>
    <x v="0"/>
    <x v="0"/>
    <x v="0"/>
    <x v="0"/>
    <m/>
    <x v="0"/>
    <x v="1"/>
    <x v="0"/>
    <x v="0"/>
    <x v="0"/>
    <x v="0"/>
    <n v="425.99934658825725"/>
    <n v="76.679882385886302"/>
    <n v="0"/>
    <d v="2024-01-01T00:00:00"/>
    <x v="0"/>
  </r>
  <r>
    <x v="310"/>
    <d v="2023-12-08T00:00:00"/>
    <x v="1481"/>
    <d v="2024-01-03T00:00:00"/>
    <x v="0"/>
    <x v="0"/>
    <n v="30817"/>
    <x v="4"/>
    <x v="0"/>
    <n v="5201.009"/>
    <n v="1.59"/>
    <n v="0"/>
    <n v="0"/>
    <x v="0"/>
    <s v="Raw Cotton"/>
    <n v="13747269"/>
    <x v="0"/>
    <n v="2474508.42"/>
    <x v="0"/>
    <m/>
    <m/>
    <x v="0"/>
    <x v="0"/>
    <x v="0"/>
    <x v="0"/>
    <x v="0"/>
    <x v="0"/>
    <m/>
    <x v="0"/>
    <x v="1"/>
    <x v="0"/>
    <x v="0"/>
    <x v="0"/>
    <x v="0"/>
    <n v="446.09368205860403"/>
    <n v="80.296862770548714"/>
    <n v="0"/>
    <d v="2024-01-07T00:00:00"/>
    <x v="0"/>
  </r>
  <r>
    <x v="311"/>
    <d v="2023-12-01T00:00:00"/>
    <x v="1482"/>
    <d v="2024-01-03T00:00:00"/>
    <x v="0"/>
    <x v="0"/>
    <n v="31363"/>
    <x v="4"/>
    <x v="0"/>
    <n v="5201.009"/>
    <n v="1.55"/>
    <n v="0"/>
    <n v="0"/>
    <x v="0"/>
    <s v="Raw Cotton"/>
    <n v="13612705"/>
    <x v="0"/>
    <n v="2450286.9"/>
    <x v="0"/>
    <m/>
    <m/>
    <x v="0"/>
    <x v="0"/>
    <x v="0"/>
    <x v="0"/>
    <x v="0"/>
    <x v="0"/>
    <m/>
    <x v="0"/>
    <x v="1"/>
    <x v="0"/>
    <x v="0"/>
    <x v="0"/>
    <x v="0"/>
    <n v="434.03708191180692"/>
    <n v="78.126674744125239"/>
    <n v="0"/>
    <d v="2023-12-31T00:00:00"/>
    <x v="0"/>
  </r>
  <r>
    <x v="312"/>
    <d v="2023-12-02T00:00:00"/>
    <x v="1483"/>
    <d v="2024-01-03T00:00:00"/>
    <x v="0"/>
    <x v="0"/>
    <n v="31337"/>
    <x v="4"/>
    <x v="0"/>
    <n v="5201.009"/>
    <n v="1.55"/>
    <n v="0"/>
    <n v="0"/>
    <x v="0"/>
    <s v="Raw Cotton"/>
    <n v="13601420"/>
    <x v="0"/>
    <n v="2448255.6"/>
    <x v="0"/>
    <m/>
    <m/>
    <x v="0"/>
    <x v="0"/>
    <x v="0"/>
    <x v="0"/>
    <x v="0"/>
    <x v="0"/>
    <m/>
    <x v="0"/>
    <x v="1"/>
    <x v="0"/>
    <x v="0"/>
    <x v="0"/>
    <x v="0"/>
    <n v="434.03708076714429"/>
    <n v="78.126674538085965"/>
    <n v="0"/>
    <d v="2024-01-01T00:00:00"/>
    <x v="0"/>
  </r>
  <r>
    <x v="313"/>
    <d v="2023-12-01T00:00:00"/>
    <x v="1484"/>
    <d v="2024-01-03T00:00:00"/>
    <x v="0"/>
    <x v="0"/>
    <n v="31705"/>
    <x v="4"/>
    <x v="0"/>
    <n v="5201.009"/>
    <n v="1.48"/>
    <n v="0"/>
    <n v="0"/>
    <x v="0"/>
    <s v="Raw Cotton"/>
    <n v="13166528"/>
    <x v="0"/>
    <n v="2369975.04"/>
    <x v="0"/>
    <m/>
    <m/>
    <x v="0"/>
    <x v="0"/>
    <x v="0"/>
    <x v="0"/>
    <x v="0"/>
    <x v="0"/>
    <m/>
    <x v="0"/>
    <x v="1"/>
    <x v="0"/>
    <x v="0"/>
    <x v="0"/>
    <x v="0"/>
    <n v="415.28238448194293"/>
    <n v="74.750829206749728"/>
    <n v="0"/>
    <d v="2023-12-31T00:00:00"/>
    <x v="0"/>
  </r>
  <r>
    <x v="314"/>
    <d v="2023-12-09T00:00:00"/>
    <x v="1485"/>
    <d v="2024-01-03T00:00:00"/>
    <x v="0"/>
    <x v="0"/>
    <n v="10879"/>
    <x v="4"/>
    <x v="0"/>
    <n v="5505.1"/>
    <n v="1.3"/>
    <n v="0"/>
    <n v="0"/>
    <x v="20"/>
    <s v="Comber Noil"/>
    <n v="3949077"/>
    <x v="0"/>
    <n v="710833.86"/>
    <x v="0"/>
    <m/>
    <m/>
    <x v="0"/>
    <x v="0"/>
    <x v="0"/>
    <x v="4"/>
    <x v="0"/>
    <x v="0"/>
    <m/>
    <x v="0"/>
    <x v="1"/>
    <x v="0"/>
    <x v="0"/>
    <x v="0"/>
    <x v="8"/>
    <n v="363"/>
    <n v="65.34"/>
    <n v="0"/>
    <d v="2024-01-08T00:00:00"/>
    <x v="0"/>
  </r>
  <r>
    <x v="315"/>
    <d v="2023-12-13T00:00:00"/>
    <x v="1486"/>
    <d v="2024-01-03T00:00:00"/>
    <x v="0"/>
    <x v="0"/>
    <n v="12247"/>
    <x v="4"/>
    <x v="0"/>
    <n v="5505.1"/>
    <n v="1.3"/>
    <n v="0"/>
    <n v="0"/>
    <x v="20"/>
    <s v="Comber Noil"/>
    <n v="4445661"/>
    <x v="0"/>
    <n v="800218.98"/>
    <x v="0"/>
    <m/>
    <m/>
    <x v="0"/>
    <x v="0"/>
    <x v="0"/>
    <x v="4"/>
    <x v="0"/>
    <x v="0"/>
    <m/>
    <x v="0"/>
    <x v="1"/>
    <x v="0"/>
    <x v="0"/>
    <x v="0"/>
    <x v="8"/>
    <n v="363"/>
    <n v="65.34"/>
    <n v="0"/>
    <d v="2024-01-12T00:00:00"/>
    <x v="0"/>
  </r>
  <r>
    <x v="316"/>
    <d v="2023-12-13T00:00:00"/>
    <x v="1487"/>
    <d v="2024-01-03T00:00:00"/>
    <x v="0"/>
    <x v="0"/>
    <n v="12280"/>
    <x v="4"/>
    <x v="0"/>
    <n v="5505.1"/>
    <n v="1.3"/>
    <n v="0"/>
    <n v="0"/>
    <x v="20"/>
    <s v="Comber Noil"/>
    <n v="4457640"/>
    <x v="0"/>
    <n v="802375.2"/>
    <x v="0"/>
    <m/>
    <m/>
    <x v="0"/>
    <x v="0"/>
    <x v="0"/>
    <x v="4"/>
    <x v="0"/>
    <x v="0"/>
    <m/>
    <x v="0"/>
    <x v="1"/>
    <x v="0"/>
    <x v="0"/>
    <x v="0"/>
    <x v="8"/>
    <n v="363"/>
    <n v="65.339999999999989"/>
    <n v="0"/>
    <d v="2024-01-12T00:00:00"/>
    <x v="0"/>
  </r>
  <r>
    <x v="317"/>
    <d v="2023-12-15T00:00:00"/>
    <x v="1488"/>
    <d v="2024-01-03T00:00:00"/>
    <x v="0"/>
    <x v="0"/>
    <n v="10779"/>
    <x v="4"/>
    <x v="0"/>
    <n v="5505.1"/>
    <n v="1.3"/>
    <n v="0"/>
    <n v="0"/>
    <x v="20"/>
    <s v="Comber Noil"/>
    <n v="3912777"/>
    <x v="0"/>
    <n v="704299.86"/>
    <x v="0"/>
    <m/>
    <m/>
    <x v="0"/>
    <x v="0"/>
    <x v="0"/>
    <x v="4"/>
    <x v="0"/>
    <x v="0"/>
    <m/>
    <x v="0"/>
    <x v="1"/>
    <x v="0"/>
    <x v="0"/>
    <x v="0"/>
    <x v="8"/>
    <n v="363"/>
    <n v="65.34"/>
    <n v="0"/>
    <d v="2024-01-14T00:00:00"/>
    <x v="0"/>
  </r>
  <r>
    <x v="318"/>
    <d v="2023-12-19T00:00:00"/>
    <x v="1489"/>
    <d v="2024-01-03T00:00:00"/>
    <x v="0"/>
    <x v="0"/>
    <n v="12057"/>
    <x v="4"/>
    <x v="0"/>
    <n v="5505.1"/>
    <n v="1.29"/>
    <n v="0"/>
    <n v="0"/>
    <x v="20"/>
    <s v="Comber Noil"/>
    <n v="4340520"/>
    <x v="0"/>
    <n v="781293.6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1-18T00:00:00"/>
    <x v="0"/>
  </r>
  <r>
    <x v="319"/>
    <d v="2023-12-19T00:00:00"/>
    <x v="1490"/>
    <d v="2024-01-03T00:00:00"/>
    <x v="0"/>
    <x v="0"/>
    <n v="11950"/>
    <x v="4"/>
    <x v="0"/>
    <n v="5505.1"/>
    <n v="1.29"/>
    <n v="0"/>
    <n v="0"/>
    <x v="20"/>
    <s v="Comber Noil"/>
    <n v="4302000"/>
    <x v="0"/>
    <n v="774360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1-18T00:00:00"/>
    <x v="0"/>
  </r>
  <r>
    <x v="320"/>
    <d v="2023-12-20T00:00:00"/>
    <x v="1491"/>
    <d v="2024-01-03T00:00:00"/>
    <x v="0"/>
    <x v="0"/>
    <n v="12764"/>
    <x v="4"/>
    <x v="0"/>
    <n v="5505.1"/>
    <n v="1.29"/>
    <n v="0"/>
    <n v="0"/>
    <x v="20"/>
    <s v="Comber Noil"/>
    <n v="4595040"/>
    <x v="0"/>
    <n v="827107.2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1-19T00:00:00"/>
    <x v="0"/>
  </r>
  <r>
    <x v="321"/>
    <d v="2023-12-22T00:00:00"/>
    <x v="1492"/>
    <d v="2024-01-03T00:00:00"/>
    <x v="0"/>
    <x v="0"/>
    <n v="11990"/>
    <x v="4"/>
    <x v="0"/>
    <n v="5505.1"/>
    <n v="1.29"/>
    <n v="0"/>
    <n v="0"/>
    <x v="20"/>
    <s v="Comber Noil"/>
    <n v="4316400"/>
    <x v="0"/>
    <n v="776952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1-21T00:00:00"/>
    <x v="0"/>
  </r>
  <r>
    <x v="322"/>
    <d v="2023-12-22T00:00:00"/>
    <x v="1493"/>
    <d v="2024-01-03T00:00:00"/>
    <x v="0"/>
    <x v="0"/>
    <n v="11314"/>
    <x v="4"/>
    <x v="0"/>
    <n v="5505.1"/>
    <n v="1.29"/>
    <n v="0"/>
    <n v="0"/>
    <x v="20"/>
    <s v="Comber Noil"/>
    <n v="4073040"/>
    <x v="0"/>
    <n v="733147.2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1-21T00:00:00"/>
    <x v="0"/>
  </r>
  <r>
    <x v="323"/>
    <d v="2023-12-26T00:00:00"/>
    <x v="1494"/>
    <d v="2024-01-03T00:00:00"/>
    <x v="0"/>
    <x v="0"/>
    <n v="12354"/>
    <x v="4"/>
    <x v="0"/>
    <n v="5505.1"/>
    <n v="1.28"/>
    <n v="0"/>
    <n v="0"/>
    <x v="20"/>
    <s v="Comber Noil"/>
    <n v="4422732"/>
    <x v="0"/>
    <n v="796091.76"/>
    <x v="0"/>
    <m/>
    <m/>
    <x v="0"/>
    <x v="0"/>
    <x v="0"/>
    <x v="4"/>
    <x v="0"/>
    <x v="0"/>
    <m/>
    <x v="0"/>
    <x v="1"/>
    <x v="0"/>
    <x v="0"/>
    <x v="0"/>
    <x v="8"/>
    <n v="358"/>
    <n v="64.44"/>
    <n v="0"/>
    <d v="2024-01-25T00:00:00"/>
    <x v="0"/>
  </r>
  <r>
    <x v="324"/>
    <d v="2023-12-26T00:00:00"/>
    <x v="1495"/>
    <d v="2024-01-03T00:00:00"/>
    <x v="0"/>
    <x v="0"/>
    <n v="11710"/>
    <x v="4"/>
    <x v="0"/>
    <n v="5505.1"/>
    <n v="1.28"/>
    <n v="0"/>
    <n v="0"/>
    <x v="20"/>
    <s v="Comber Noil"/>
    <n v="4192180"/>
    <x v="0"/>
    <n v="754592.4"/>
    <x v="0"/>
    <m/>
    <m/>
    <x v="0"/>
    <x v="0"/>
    <x v="0"/>
    <x v="4"/>
    <x v="0"/>
    <x v="0"/>
    <m/>
    <x v="0"/>
    <x v="1"/>
    <x v="0"/>
    <x v="0"/>
    <x v="0"/>
    <x v="8"/>
    <n v="358"/>
    <n v="64.44"/>
    <n v="0"/>
    <d v="2024-01-25T00:00:00"/>
    <x v="0"/>
  </r>
  <r>
    <x v="325"/>
    <d v="2023-12-27T00:00:00"/>
    <x v="1496"/>
    <d v="2024-01-03T00:00:00"/>
    <x v="0"/>
    <x v="0"/>
    <n v="12107"/>
    <x v="4"/>
    <x v="0"/>
    <n v="5505.1"/>
    <n v="1.28"/>
    <n v="0"/>
    <n v="0"/>
    <x v="20"/>
    <s v="Comber Noil"/>
    <n v="4334306"/>
    <x v="0"/>
    <n v="780175.08"/>
    <x v="0"/>
    <m/>
    <m/>
    <x v="0"/>
    <x v="0"/>
    <x v="0"/>
    <x v="4"/>
    <x v="0"/>
    <x v="0"/>
    <m/>
    <x v="0"/>
    <x v="1"/>
    <x v="0"/>
    <x v="0"/>
    <x v="0"/>
    <x v="8"/>
    <n v="358"/>
    <n v="64.44"/>
    <n v="0"/>
    <d v="2024-01-26T00:00:00"/>
    <x v="0"/>
  </r>
  <r>
    <x v="326"/>
    <d v="2023-12-27T00:00:00"/>
    <x v="1497"/>
    <d v="2024-01-03T00:00:00"/>
    <x v="0"/>
    <x v="0"/>
    <n v="12904"/>
    <x v="4"/>
    <x v="0"/>
    <n v="5505.1"/>
    <n v="1.28"/>
    <n v="0"/>
    <n v="0"/>
    <x v="20"/>
    <s v="Comber Noil"/>
    <n v="4619632"/>
    <x v="0"/>
    <n v="831533.76"/>
    <x v="0"/>
    <m/>
    <m/>
    <x v="0"/>
    <x v="0"/>
    <x v="0"/>
    <x v="4"/>
    <x v="0"/>
    <x v="0"/>
    <m/>
    <x v="0"/>
    <x v="1"/>
    <x v="0"/>
    <x v="0"/>
    <x v="0"/>
    <x v="8"/>
    <n v="358"/>
    <n v="64.44"/>
    <n v="0"/>
    <d v="2024-01-26T00:00:00"/>
    <x v="0"/>
  </r>
  <r>
    <x v="327"/>
    <d v="2023-12-30T00:00:00"/>
    <x v="1498"/>
    <d v="2024-01-03T00:00:00"/>
    <x v="0"/>
    <x v="0"/>
    <n v="11087"/>
    <x v="4"/>
    <x v="0"/>
    <n v="5505.1"/>
    <n v="1.28"/>
    <n v="0"/>
    <n v="0"/>
    <x v="20"/>
    <s v="Comber Noil"/>
    <n v="3969146"/>
    <x v="0"/>
    <n v="714446.28"/>
    <x v="0"/>
    <m/>
    <m/>
    <x v="0"/>
    <x v="0"/>
    <x v="0"/>
    <x v="4"/>
    <x v="0"/>
    <x v="0"/>
    <m/>
    <x v="0"/>
    <x v="1"/>
    <x v="0"/>
    <x v="0"/>
    <x v="0"/>
    <x v="8"/>
    <n v="358"/>
    <n v="64.44"/>
    <n v="0"/>
    <d v="2024-01-29T00:00:00"/>
    <x v="0"/>
  </r>
  <r>
    <x v="328"/>
    <d v="2023-12-23T00:00:00"/>
    <x v="1499"/>
    <d v="2024-01-03T00:00:00"/>
    <x v="0"/>
    <x v="0"/>
    <n v="29983"/>
    <x v="4"/>
    <x v="0"/>
    <n v="5503.201"/>
    <n v="1.41"/>
    <n v="0"/>
    <n v="0"/>
    <x v="1"/>
    <s v="Polyester Staple Fiber"/>
    <n v="11843364"/>
    <x v="0"/>
    <n v="2131805.52"/>
    <x v="0"/>
    <m/>
    <m/>
    <x v="0"/>
    <x v="0"/>
    <x v="0"/>
    <x v="0"/>
    <x v="0"/>
    <x v="0"/>
    <m/>
    <x v="0"/>
    <x v="1"/>
    <x v="0"/>
    <x v="0"/>
    <x v="0"/>
    <x v="1"/>
    <n v="395.00263482640162"/>
    <n v="71.100474268752293"/>
    <n v="0"/>
    <d v="2024-01-22T00:00:00"/>
    <x v="0"/>
  </r>
  <r>
    <x v="329"/>
    <d v="2023-12-16T00:00:00"/>
    <x v="1500"/>
    <d v="2024-01-03T00:00:00"/>
    <x v="0"/>
    <x v="0"/>
    <n v="2904"/>
    <x v="4"/>
    <x v="0"/>
    <s v="5205.2200 / 5205.2300"/>
    <s v="2.95 / 3.20"/>
    <n v="0"/>
    <n v="0"/>
    <x v="10"/>
    <s v="20/1 &amp; 30/1 COTTON YARN 5700 LBS"/>
    <n v="2422400"/>
    <x v="0"/>
    <n v="436032"/>
    <x v="0"/>
    <m/>
    <m/>
    <x v="0"/>
    <x v="0"/>
    <x v="0"/>
    <x v="0"/>
    <x v="0"/>
    <x v="0"/>
    <m/>
    <x v="0"/>
    <x v="1"/>
    <x v="0"/>
    <x v="0"/>
    <x v="0"/>
    <x v="3"/>
    <n v="834.15977961432509"/>
    <n v="150.14876033057851"/>
    <n v="0"/>
    <d v="2024-01-15T00:00:00"/>
    <x v="0"/>
  </r>
  <r>
    <x v="330"/>
    <d v="2023-12-13T00:00:00"/>
    <x v="1501"/>
    <d v="2024-01-03T00:00:00"/>
    <x v="0"/>
    <x v="0"/>
    <n v="2200"/>
    <x v="4"/>
    <x v="0"/>
    <n v="3809.9189999999999"/>
    <n v="0.41"/>
    <n v="0"/>
    <n v="0"/>
    <x v="12"/>
    <s v="PRESTOGEN F-PL LIQ"/>
    <n v="253000"/>
    <x v="0"/>
    <n v="45540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12T00:00:00"/>
    <x v="0"/>
  </r>
  <r>
    <x v="330"/>
    <d v="2023-12-13T00:00:00"/>
    <x v="1501"/>
    <d v="2024-01-03T00:00:00"/>
    <x v="0"/>
    <x v="0"/>
    <n v="900"/>
    <x v="4"/>
    <x v="0"/>
    <n v="3204.2"/>
    <n v="1.8"/>
    <n v="0"/>
    <n v="0"/>
    <x v="5"/>
    <s v="LEUCOPHOR BMF LIQUID"/>
    <n v="454500"/>
    <x v="0"/>
    <n v="8181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12T00:00:00"/>
    <x v="0"/>
  </r>
  <r>
    <x v="331"/>
    <d v="2023-12-18T00:00:00"/>
    <x v="1502"/>
    <d v="2024-01-03T00:00:00"/>
    <x v="0"/>
    <x v="0"/>
    <n v="2000"/>
    <x v="4"/>
    <x v="0"/>
    <n v="3906.902"/>
    <n v="1.34"/>
    <n v="0"/>
    <n v="0"/>
    <x v="12"/>
    <s v="OLIMPRINT BINDER PD 30"/>
    <n v="750000"/>
    <x v="0"/>
    <n v="135000"/>
    <x v="0"/>
    <m/>
    <m/>
    <x v="0"/>
    <x v="0"/>
    <x v="0"/>
    <x v="4"/>
    <x v="0"/>
    <x v="0"/>
    <m/>
    <x v="0"/>
    <x v="1"/>
    <x v="0"/>
    <x v="0"/>
    <x v="0"/>
    <x v="5"/>
    <n v="375"/>
    <n v="67.5"/>
    <n v="0"/>
    <d v="2024-01-17T00:00:00"/>
    <x v="0"/>
  </r>
  <r>
    <x v="332"/>
    <d v="2023-12-22T00:00:00"/>
    <x v="1503"/>
    <d v="2024-01-03T00:00:00"/>
    <x v="0"/>
    <x v="0"/>
    <n v="960"/>
    <x v="4"/>
    <x v="0"/>
    <n v="3906.902"/>
    <n v="1.34"/>
    <n v="0"/>
    <n v="0"/>
    <x v="12"/>
    <s v="OLIMPRINT BINDER PD 30"/>
    <n v="360000"/>
    <x v="0"/>
    <n v="64800"/>
    <x v="0"/>
    <m/>
    <m/>
    <x v="0"/>
    <x v="0"/>
    <x v="0"/>
    <x v="6"/>
    <x v="0"/>
    <x v="0"/>
    <m/>
    <x v="0"/>
    <x v="1"/>
    <x v="0"/>
    <x v="0"/>
    <x v="0"/>
    <x v="5"/>
    <n v="375"/>
    <n v="67.5"/>
    <n v="0"/>
    <d v="2024-01-21T00:00:00"/>
    <x v="0"/>
  </r>
  <r>
    <x v="333"/>
    <d v="2023-12-22T00:00:00"/>
    <x v="1504"/>
    <d v="2024-01-03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1T00:00:00"/>
    <x v="0"/>
  </r>
  <r>
    <x v="334"/>
    <d v="2023-12-17T00:00:00"/>
    <x v="1505"/>
    <d v="2024-01-03T00:00:00"/>
    <x v="0"/>
    <x v="0"/>
    <n v="4000"/>
    <x v="4"/>
    <x v="0"/>
    <n v="3906.9090000000001"/>
    <n v="0.5"/>
    <n v="0"/>
    <n v="0"/>
    <x v="12"/>
    <s v="TUBIFAST ACL"/>
    <n v="560000"/>
    <x v="0"/>
    <n v="1008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6T00:00:00"/>
    <x v="0"/>
  </r>
  <r>
    <x v="335"/>
    <d v="2023-12-22T00:00:00"/>
    <x v="1506"/>
    <d v="2024-01-03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1T00:00:00"/>
    <x v="0"/>
  </r>
  <r>
    <x v="336"/>
    <d v="2023-12-22T00:00:00"/>
    <x v="1507"/>
    <d v="2024-01-03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1T00:00:00"/>
    <x v="0"/>
  </r>
  <r>
    <x v="337"/>
    <d v="2023-12-22T00:00:00"/>
    <x v="1508"/>
    <d v="2024-01-03T00:00:00"/>
    <x v="0"/>
    <x v="0"/>
    <n v="2000"/>
    <x v="4"/>
    <x v="0"/>
    <n v="3906.9090000000001"/>
    <n v="0.7"/>
    <n v="0"/>
    <n v="0"/>
    <x v="12"/>
    <s v="TUBIFAST ACE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1T00:00:00"/>
    <x v="0"/>
  </r>
  <r>
    <x v="338"/>
    <d v="2023-12-22T00:00:00"/>
    <x v="1509"/>
    <d v="2024-01-03T00:00:00"/>
    <x v="0"/>
    <x v="0"/>
    <n v="3000"/>
    <x v="4"/>
    <x v="0"/>
    <n v="3906.9090000000001"/>
    <n v="0.7"/>
    <n v="0"/>
    <n v="0"/>
    <x v="12"/>
    <s v="TUBIFAST ACE"/>
    <n v="585000"/>
    <x v="0"/>
    <n v="1053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1T00:00:00"/>
    <x v="0"/>
  </r>
  <r>
    <x v="339"/>
    <d v="2023-12-23T00:00:00"/>
    <x v="1510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2T00:00:00"/>
    <x v="0"/>
  </r>
  <r>
    <x v="340"/>
    <d v="2023-12-18T00:00:00"/>
    <x v="1511"/>
    <d v="2024-01-03T00:00:00"/>
    <x v="0"/>
    <x v="0"/>
    <n v="19410"/>
    <x v="4"/>
    <x v="0"/>
    <n v="2815.12"/>
    <n v="0.27"/>
    <n v="0"/>
    <n v="0"/>
    <x v="12"/>
    <s v="CAUSTIC SODA LIQUID"/>
    <n v="1480012.5"/>
    <x v="0"/>
    <n v="266402.25"/>
    <x v="0"/>
    <m/>
    <m/>
    <x v="0"/>
    <x v="0"/>
    <x v="0"/>
    <x v="6"/>
    <x v="0"/>
    <x v="0"/>
    <m/>
    <x v="0"/>
    <x v="1"/>
    <x v="0"/>
    <x v="0"/>
    <x v="0"/>
    <x v="5"/>
    <n v="76.25"/>
    <n v="13.725"/>
    <n v="0"/>
    <d v="2024-01-17T00:00:00"/>
    <x v="0"/>
  </r>
  <r>
    <x v="341"/>
    <d v="2023-12-19T00:00:00"/>
    <x v="1512"/>
    <d v="2024-01-03T00:00:00"/>
    <x v="0"/>
    <x v="0"/>
    <n v="29400"/>
    <x v="4"/>
    <x v="0"/>
    <n v="2815.12"/>
    <n v="0.27"/>
    <n v="0"/>
    <n v="0"/>
    <x v="12"/>
    <s v="CAUSTIC SODA LIQUID"/>
    <n v="2241750"/>
    <x v="0"/>
    <n v="403515"/>
    <x v="0"/>
    <m/>
    <m/>
    <x v="0"/>
    <x v="0"/>
    <x v="0"/>
    <x v="5"/>
    <x v="0"/>
    <x v="0"/>
    <m/>
    <x v="0"/>
    <x v="1"/>
    <x v="0"/>
    <x v="0"/>
    <x v="0"/>
    <x v="5"/>
    <n v="76.25"/>
    <n v="13.725"/>
    <n v="0"/>
    <d v="2024-01-18T00:00:00"/>
    <x v="0"/>
  </r>
  <r>
    <x v="342"/>
    <d v="2023-12-17T00:00:00"/>
    <x v="1513"/>
    <d v="2024-01-03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4"/>
    <x v="0"/>
    <x v="0"/>
    <m/>
    <x v="0"/>
    <x v="1"/>
    <x v="0"/>
    <x v="0"/>
    <x v="0"/>
    <x v="5"/>
    <n v="675"/>
    <n v="121.5"/>
    <n v="0"/>
    <d v="2024-01-16T00:00:00"/>
    <x v="0"/>
  </r>
  <r>
    <x v="343"/>
    <d v="2023-12-22T00:00:00"/>
    <x v="1514"/>
    <d v="2024-01-03T00:00:00"/>
    <x v="0"/>
    <x v="0"/>
    <n v="400"/>
    <x v="4"/>
    <x v="0"/>
    <n v="2904.2089999999998"/>
    <n v="3.75"/>
    <n v="0"/>
    <n v="0"/>
    <x v="12"/>
    <s v="CHEMITOL WS GRANULES"/>
    <n v="420000"/>
    <x v="0"/>
    <n v="75600"/>
    <x v="0"/>
    <m/>
    <m/>
    <x v="0"/>
    <x v="0"/>
    <x v="0"/>
    <x v="4"/>
    <x v="0"/>
    <x v="0"/>
    <m/>
    <x v="0"/>
    <x v="1"/>
    <x v="0"/>
    <x v="0"/>
    <x v="0"/>
    <x v="5"/>
    <n v="1050"/>
    <n v="189"/>
    <n v="0"/>
    <d v="2024-01-21T00:00:00"/>
    <x v="0"/>
  </r>
  <r>
    <x v="344"/>
    <d v="2023-12-17T00:00:00"/>
    <x v="1515"/>
    <d v="2024-01-03T00:00:00"/>
    <x v="0"/>
    <x v="0"/>
    <n v="1200"/>
    <x v="4"/>
    <x v="0"/>
    <n v="3809.9189999999999"/>
    <n v="1.63"/>
    <n v="0"/>
    <n v="0"/>
    <x v="12"/>
    <s v="DRIMAGEN"/>
    <n v="546000"/>
    <x v="0"/>
    <n v="98280"/>
    <x v="0"/>
    <m/>
    <m/>
    <x v="0"/>
    <x v="0"/>
    <x v="0"/>
    <x v="4"/>
    <x v="0"/>
    <x v="0"/>
    <m/>
    <x v="0"/>
    <x v="1"/>
    <x v="0"/>
    <x v="0"/>
    <x v="0"/>
    <x v="5"/>
    <n v="455"/>
    <n v="81.900000000000006"/>
    <n v="0"/>
    <d v="2024-01-16T00:00:00"/>
    <x v="0"/>
  </r>
  <r>
    <x v="345"/>
    <d v="2023-12-17T00:00:00"/>
    <x v="1516"/>
    <d v="2024-01-03T00:00:00"/>
    <x v="0"/>
    <x v="0"/>
    <n v="2600"/>
    <x v="4"/>
    <x v="0"/>
    <s v="3402.4200 / 3809.9110"/>
    <s v="2.41 / 0.82"/>
    <n v="0"/>
    <n v="0"/>
    <x v="12"/>
    <s v="KIERALON 2010 LIQ / IMACOL C LIQ"/>
    <n v="1132000"/>
    <x v="0"/>
    <n v="203760"/>
    <x v="0"/>
    <m/>
    <m/>
    <x v="0"/>
    <x v="0"/>
    <x v="0"/>
    <x v="4"/>
    <x v="0"/>
    <x v="0"/>
    <m/>
    <x v="0"/>
    <x v="1"/>
    <x v="0"/>
    <x v="0"/>
    <x v="0"/>
    <x v="5"/>
    <n v="435.38461538461536"/>
    <n v="78.369230769230768"/>
    <n v="0"/>
    <d v="2024-01-16T00:00:00"/>
    <x v="0"/>
  </r>
  <r>
    <x v="346"/>
    <d v="2023-12-15T00:00:00"/>
    <x v="1517"/>
    <d v="2024-01-03T00:00:00"/>
    <x v="0"/>
    <x v="0"/>
    <n v="660"/>
    <x v="4"/>
    <x v="0"/>
    <n v="3809.9189999999999"/>
    <n v="0.41"/>
    <n v="0"/>
    <n v="0"/>
    <x v="12"/>
    <s v="PRESTOGEN F-PL LIQ"/>
    <n v="75900"/>
    <x v="0"/>
    <n v="13662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14T00:00:00"/>
    <x v="0"/>
  </r>
  <r>
    <x v="346"/>
    <d v="2023-12-15T00:00:00"/>
    <x v="1517"/>
    <d v="2024-01-03T00:00:00"/>
    <x v="0"/>
    <x v="0"/>
    <n v="300"/>
    <x v="4"/>
    <x v="0"/>
    <n v="3204.2"/>
    <n v="1.8"/>
    <n v="0"/>
    <n v="0"/>
    <x v="5"/>
    <s v="LEUCOPHOR BMF LIQUID"/>
    <n v="151500"/>
    <x v="0"/>
    <n v="2727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14T00:00:00"/>
    <x v="0"/>
  </r>
  <r>
    <x v="347"/>
    <d v="2023-12-18T00:00:00"/>
    <x v="1518"/>
    <d v="2024-01-03T00:00:00"/>
    <x v="0"/>
    <x v="0"/>
    <n v="1600"/>
    <x v="4"/>
    <x v="0"/>
    <n v="3809.9110000000001"/>
    <n v="0.82"/>
    <n v="0"/>
    <n v="0"/>
    <x v="12"/>
    <s v="IMACOL C LIQ"/>
    <n v="368000"/>
    <x v="0"/>
    <n v="66240"/>
    <x v="0"/>
    <m/>
    <m/>
    <x v="0"/>
    <x v="0"/>
    <x v="0"/>
    <x v="4"/>
    <x v="0"/>
    <x v="0"/>
    <m/>
    <x v="0"/>
    <x v="1"/>
    <x v="0"/>
    <x v="0"/>
    <x v="0"/>
    <x v="5"/>
    <n v="230"/>
    <n v="41.4"/>
    <n v="0"/>
    <d v="2024-01-17T00:00:00"/>
    <x v="0"/>
  </r>
  <r>
    <x v="348"/>
    <d v="2023-12-23T00:00:00"/>
    <x v="1519"/>
    <d v="2024-01-03T00:00:00"/>
    <x v="0"/>
    <x v="0"/>
    <n v="5040"/>
    <x v="4"/>
    <x v="0"/>
    <n v="3809.9189999999999"/>
    <n v="2.57"/>
    <n v="0"/>
    <n v="0"/>
    <x v="12"/>
    <s v="ALKASOFT PEN"/>
    <n v="3628800"/>
    <x v="0"/>
    <n v="653184"/>
    <x v="0"/>
    <m/>
    <m/>
    <x v="0"/>
    <x v="0"/>
    <x v="0"/>
    <x v="4"/>
    <x v="0"/>
    <x v="0"/>
    <m/>
    <x v="0"/>
    <x v="1"/>
    <x v="0"/>
    <x v="0"/>
    <x v="0"/>
    <x v="5"/>
    <n v="720"/>
    <n v="129.6"/>
    <n v="0"/>
    <d v="2024-01-22T00:00:00"/>
    <x v="0"/>
  </r>
  <r>
    <x v="349"/>
    <d v="2023-12-25T00:00:00"/>
    <x v="1520"/>
    <d v="2024-01-03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4T00:00:00"/>
    <x v="0"/>
  </r>
  <r>
    <x v="350"/>
    <d v="2023-12-19T00:00:00"/>
    <x v="1521"/>
    <d v="2024-01-03T00:00:00"/>
    <x v="0"/>
    <x v="0"/>
    <n v="440"/>
    <x v="4"/>
    <x v="0"/>
    <n v="3809.9189999999999"/>
    <n v="0.41"/>
    <n v="0"/>
    <n v="0"/>
    <x v="12"/>
    <s v="PRESTOGEN F-PL LIQ"/>
    <n v="50600"/>
    <x v="0"/>
    <n v="9108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18T00:00:00"/>
    <x v="0"/>
  </r>
  <r>
    <x v="350"/>
    <d v="2023-12-19T00:00:00"/>
    <x v="1521"/>
    <d v="2024-01-03T00:00:00"/>
    <x v="0"/>
    <x v="0"/>
    <n v="500"/>
    <x v="4"/>
    <x v="0"/>
    <n v="3204.2"/>
    <n v="1.8"/>
    <n v="0"/>
    <n v="0"/>
    <x v="5"/>
    <s v="LEUCOPHOR BMF LIQUID"/>
    <n v="252500"/>
    <x v="0"/>
    <n v="4545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18T00:00:00"/>
    <x v="0"/>
  </r>
  <r>
    <x v="351"/>
    <d v="2023-12-06T00:00:00"/>
    <x v="1522"/>
    <d v="2024-01-03T00:00:00"/>
    <x v="0"/>
    <x v="0"/>
    <n v="25"/>
    <x v="4"/>
    <x v="0"/>
    <n v="3204.16"/>
    <n v="22.68"/>
    <n v="0"/>
    <n v="0"/>
    <x v="5"/>
    <s v="NOVACRON "/>
    <n v="158750"/>
    <x v="0"/>
    <n v="28575"/>
    <x v="0"/>
    <m/>
    <m/>
    <x v="0"/>
    <x v="0"/>
    <x v="0"/>
    <x v="6"/>
    <x v="0"/>
    <x v="0"/>
    <m/>
    <x v="0"/>
    <x v="1"/>
    <x v="0"/>
    <x v="0"/>
    <x v="0"/>
    <x v="4"/>
    <n v="6350"/>
    <n v="1143"/>
    <n v="0"/>
    <d v="2024-01-05T00:00:00"/>
    <x v="0"/>
  </r>
  <r>
    <x v="352"/>
    <d v="2023-12-31T00:00:00"/>
    <x v="1523"/>
    <d v="2024-01-03T00:00:00"/>
    <x v="0"/>
    <x v="0"/>
    <n v="600"/>
    <x v="4"/>
    <x v="0"/>
    <n v="3906.902"/>
    <n v="1.34"/>
    <n v="0"/>
    <n v="0"/>
    <x v="12"/>
    <s v="OLIMPRINT BINDER PD 30"/>
    <n v="225000"/>
    <x v="0"/>
    <n v="40500"/>
    <x v="0"/>
    <m/>
    <m/>
    <x v="0"/>
    <x v="0"/>
    <x v="0"/>
    <x v="5"/>
    <x v="0"/>
    <x v="0"/>
    <m/>
    <x v="0"/>
    <x v="1"/>
    <x v="0"/>
    <x v="0"/>
    <x v="0"/>
    <x v="5"/>
    <n v="375"/>
    <n v="67.5"/>
    <n v="0"/>
    <d v="2024-01-30T00:00:00"/>
    <x v="0"/>
  </r>
  <r>
    <x v="353"/>
    <d v="2023-12-23T00:00:00"/>
    <x v="1524"/>
    <d v="2024-01-03T00:00:00"/>
    <x v="0"/>
    <x v="0"/>
    <n v="600"/>
    <x v="4"/>
    <x v="0"/>
    <n v="2904.2089999999998"/>
    <n v="0.94"/>
    <n v="0"/>
    <n v="0"/>
    <x v="12"/>
    <s v="REVATOL S LIQUID"/>
    <n v="158400"/>
    <x v="0"/>
    <n v="28512"/>
    <x v="0"/>
    <m/>
    <m/>
    <x v="0"/>
    <x v="0"/>
    <x v="0"/>
    <x v="4"/>
    <x v="0"/>
    <x v="0"/>
    <m/>
    <x v="0"/>
    <x v="1"/>
    <x v="0"/>
    <x v="0"/>
    <x v="0"/>
    <x v="5"/>
    <n v="264"/>
    <n v="47.52"/>
    <n v="0"/>
    <d v="2024-01-22T00:00:00"/>
    <x v="0"/>
  </r>
  <r>
    <x v="353"/>
    <d v="2023-12-23T00:00:00"/>
    <x v="1524"/>
    <d v="2024-01-03T00:00:00"/>
    <x v="0"/>
    <x v="0"/>
    <n v="1100"/>
    <x v="4"/>
    <x v="0"/>
    <n v="2931.9090000000001"/>
    <n v="1.92"/>
    <n v="0"/>
    <n v="0"/>
    <x v="12"/>
    <s v="LUFIBROL ANTOX LIQ"/>
    <n v="591800"/>
    <x v="0"/>
    <n v="106524"/>
    <x v="0"/>
    <m/>
    <m/>
    <x v="0"/>
    <x v="0"/>
    <x v="0"/>
    <x v="4"/>
    <x v="0"/>
    <x v="0"/>
    <m/>
    <x v="0"/>
    <x v="1"/>
    <x v="0"/>
    <x v="0"/>
    <x v="0"/>
    <x v="5"/>
    <n v="538"/>
    <n v="96.84"/>
    <n v="0"/>
    <d v="2024-01-22T00:00:00"/>
    <x v="0"/>
  </r>
  <r>
    <x v="353"/>
    <d v="2023-12-23T00:00:00"/>
    <x v="1524"/>
    <d v="2024-01-03T00:00:00"/>
    <x v="0"/>
    <x v="0"/>
    <n v="1100"/>
    <x v="4"/>
    <x v="0"/>
    <n v="3204.2"/>
    <n v="1.8"/>
    <n v="0"/>
    <n v="0"/>
    <x v="5"/>
    <s v="LEUCOPHOR BMF LIQUID"/>
    <n v="555500"/>
    <x v="0"/>
    <n v="9999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22T00:00:00"/>
    <x v="0"/>
  </r>
  <r>
    <x v="353"/>
    <d v="2023-12-23T00:00:00"/>
    <x v="1524"/>
    <d v="2024-01-03T00:00:00"/>
    <x v="0"/>
    <x v="0"/>
    <n v="240"/>
    <x v="4"/>
    <x v="0"/>
    <n v="3204.172"/>
    <n v="5.14"/>
    <n v="0"/>
    <n v="0"/>
    <x v="5"/>
    <s v="PRINTOFIX BLUE HG"/>
    <n v="345600"/>
    <x v="0"/>
    <n v="62208"/>
    <x v="0"/>
    <m/>
    <m/>
    <x v="0"/>
    <x v="0"/>
    <x v="0"/>
    <x v="4"/>
    <x v="0"/>
    <x v="0"/>
    <m/>
    <x v="0"/>
    <x v="1"/>
    <x v="0"/>
    <x v="0"/>
    <x v="0"/>
    <x v="4"/>
    <n v="1440"/>
    <n v="259.2"/>
    <n v="0"/>
    <d v="2024-01-22T00:00:00"/>
    <x v="0"/>
  </r>
  <r>
    <x v="354"/>
    <d v="2023-12-22T00:00:00"/>
    <x v="1525"/>
    <d v="2024-01-03T00:00:00"/>
    <x v="0"/>
    <x v="0"/>
    <n v="840"/>
    <x v="4"/>
    <x v="0"/>
    <n v="3809.9189999999999"/>
    <n v="5"/>
    <n v="0"/>
    <n v="0"/>
    <x v="12"/>
    <s v="PRODER M.A.C NUEVO"/>
    <n v="1176000"/>
    <x v="0"/>
    <n v="211680"/>
    <x v="0"/>
    <m/>
    <m/>
    <x v="0"/>
    <x v="0"/>
    <x v="0"/>
    <x v="4"/>
    <x v="0"/>
    <x v="0"/>
    <m/>
    <x v="0"/>
    <x v="1"/>
    <x v="0"/>
    <x v="0"/>
    <x v="0"/>
    <x v="5"/>
    <n v="1400"/>
    <n v="252"/>
    <n v="0"/>
    <d v="2024-01-21T00:00:00"/>
    <x v="0"/>
  </r>
  <r>
    <x v="355"/>
    <d v="2023-12-31T00:00:00"/>
    <x v="1526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30T00:00:00"/>
    <x v="0"/>
  </r>
  <r>
    <x v="356"/>
    <d v="2023-12-25T00:00:00"/>
    <x v="1527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4T00:00:00"/>
    <x v="0"/>
  </r>
  <r>
    <x v="357"/>
    <d v="2023-12-30T00:00:00"/>
    <x v="1528"/>
    <d v="2024-01-03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9T00:00:00"/>
    <x v="0"/>
  </r>
  <r>
    <x v="358"/>
    <d v="2023-12-30T00:00:00"/>
    <x v="1529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9T00:00:00"/>
    <x v="0"/>
  </r>
  <r>
    <x v="359"/>
    <d v="2023-12-17T00:00:00"/>
    <x v="1530"/>
    <d v="2024-01-03T00:00:00"/>
    <x v="0"/>
    <x v="0"/>
    <n v="420"/>
    <x v="4"/>
    <x v="0"/>
    <n v="3507.9"/>
    <n v="1.64"/>
    <n v="0"/>
    <n v="0"/>
    <x v="12"/>
    <s v="ECOZYME BT -88"/>
    <n v="193200"/>
    <x v="0"/>
    <n v="34776"/>
    <x v="0"/>
    <m/>
    <m/>
    <x v="0"/>
    <x v="0"/>
    <x v="0"/>
    <x v="4"/>
    <x v="0"/>
    <x v="0"/>
    <m/>
    <x v="0"/>
    <x v="1"/>
    <x v="0"/>
    <x v="0"/>
    <x v="0"/>
    <x v="5"/>
    <n v="460"/>
    <n v="82.8"/>
    <n v="0"/>
    <d v="2024-01-16T00:00:00"/>
    <x v="0"/>
  </r>
  <r>
    <x v="360"/>
    <d v="2024-01-01T00:00:00"/>
    <x v="1531"/>
    <d v="2024-01-16T00:00:00"/>
    <x v="0"/>
    <x v="0"/>
    <n v="30814"/>
    <x v="4"/>
    <x v="0"/>
    <n v="5201.009"/>
    <n v="1.53"/>
    <n v="0"/>
    <n v="0"/>
    <x v="0"/>
    <s v="Raw Cotton"/>
    <n v="13209302"/>
    <x v="0"/>
    <n v="2377674.36"/>
    <x v="0"/>
    <m/>
    <m/>
    <x v="0"/>
    <x v="0"/>
    <x v="0"/>
    <x v="0"/>
    <x v="0"/>
    <x v="0"/>
    <m/>
    <x v="0"/>
    <x v="1"/>
    <x v="0"/>
    <x v="0"/>
    <x v="0"/>
    <x v="0"/>
    <n v="428.67858765496203"/>
    <n v="77.162145777893159"/>
    <n v="0"/>
    <d v="2024-01-31T00:00:00"/>
    <x v="0"/>
  </r>
  <r>
    <x v="361"/>
    <d v="2024-01-01T00:00:00"/>
    <x v="1532"/>
    <d v="2024-01-16T00:00:00"/>
    <x v="0"/>
    <x v="0"/>
    <n v="61149"/>
    <x v="4"/>
    <x v="0"/>
    <n v="5201.009"/>
    <n v="1.5"/>
    <n v="0"/>
    <n v="0"/>
    <x v="0"/>
    <s v="Raw Cotton"/>
    <n v="25721769"/>
    <x v="0"/>
    <n v="4629918.42"/>
    <x v="0"/>
    <m/>
    <m/>
    <x v="0"/>
    <x v="0"/>
    <x v="0"/>
    <x v="0"/>
    <x v="0"/>
    <x v="0"/>
    <m/>
    <x v="0"/>
    <x v="1"/>
    <x v="0"/>
    <x v="0"/>
    <x v="0"/>
    <x v="0"/>
    <n v="420.64087720158955"/>
    <n v="75.715357896286122"/>
    <n v="0"/>
    <d v="2024-01-31T00:00:00"/>
    <x v="0"/>
  </r>
  <r>
    <x v="362"/>
    <d v="2024-01-01T00:00:00"/>
    <x v="1533"/>
    <d v="2024-01-16T00:00:00"/>
    <x v="0"/>
    <x v="0"/>
    <n v="31330"/>
    <x v="4"/>
    <x v="0"/>
    <n v="5201.009"/>
    <n v="1.48"/>
    <n v="0"/>
    <n v="0"/>
    <x v="0"/>
    <s v="Raw Cotton"/>
    <n v="13010797"/>
    <x v="0"/>
    <n v="2341943.46"/>
    <x v="0"/>
    <m/>
    <m/>
    <x v="0"/>
    <x v="0"/>
    <x v="0"/>
    <x v="0"/>
    <x v="0"/>
    <x v="0"/>
    <m/>
    <x v="0"/>
    <x v="1"/>
    <x v="0"/>
    <x v="0"/>
    <x v="0"/>
    <x v="0"/>
    <n v="415.2823811043728"/>
    <n v="74.750828598787109"/>
    <n v="0"/>
    <d v="2024-01-31T00:00:00"/>
    <x v="0"/>
  </r>
  <r>
    <x v="363"/>
    <d v="2024-01-01T00:00:00"/>
    <x v="1534"/>
    <d v="2024-01-16T00:00:00"/>
    <x v="0"/>
    <x v="0"/>
    <n v="30884"/>
    <x v="4"/>
    <x v="0"/>
    <n v="5201.009"/>
    <n v="1.53"/>
    <n v="0"/>
    <n v="0"/>
    <x v="0"/>
    <s v="Raw Cotton"/>
    <n v="13239310"/>
    <x v="0"/>
    <n v="2383075.7999999998"/>
    <x v="0"/>
    <m/>
    <m/>
    <x v="0"/>
    <x v="0"/>
    <x v="0"/>
    <x v="0"/>
    <x v="0"/>
    <x v="0"/>
    <m/>
    <x v="0"/>
    <x v="1"/>
    <x v="0"/>
    <x v="0"/>
    <x v="0"/>
    <x v="0"/>
    <n v="428.67860380779689"/>
    <n v="77.162148685403437"/>
    <n v="0"/>
    <d v="2024-01-31T00:00:00"/>
    <x v="0"/>
  </r>
  <r>
    <x v="364"/>
    <d v="2024-01-01T00:00:00"/>
    <x v="1535"/>
    <d v="2024-01-16T00:00:00"/>
    <x v="0"/>
    <x v="0"/>
    <n v="18144"/>
    <x v="4"/>
    <x v="0"/>
    <n v="5205.13"/>
    <n v="2.85"/>
    <n v="0"/>
    <n v="0"/>
    <x v="10"/>
    <s v="30/1 Cotton Yarn ( 40000 LBS)"/>
    <n v="14500000"/>
    <x v="0"/>
    <n v="2610000"/>
    <x v="0"/>
    <m/>
    <m/>
    <x v="0"/>
    <x v="0"/>
    <x v="0"/>
    <x v="5"/>
    <x v="0"/>
    <x v="0"/>
    <m/>
    <x v="0"/>
    <x v="1"/>
    <x v="0"/>
    <x v="0"/>
    <x v="0"/>
    <x v="3"/>
    <n v="799.16225749559078"/>
    <n v="143.84920634920636"/>
    <n v="0"/>
    <d v="2024-01-31T00:00:00"/>
    <x v="0"/>
  </r>
  <r>
    <x v="365"/>
    <d v="2024-01-01T00:00:00"/>
    <x v="1536"/>
    <d v="2024-01-16T00:00:00"/>
    <x v="0"/>
    <x v="0"/>
    <n v="321"/>
    <x v="4"/>
    <x v="0"/>
    <n v="5205.12"/>
    <s v="7.89 / 8.68"/>
    <n v="0"/>
    <n v="0"/>
    <x v="10"/>
    <s v="16/1 Cotton Yarn 371 LBS / 20/1 Cotton Yarn 338 LBS)"/>
    <n v="742800"/>
    <x v="0"/>
    <n v="133704"/>
    <x v="0"/>
    <m/>
    <m/>
    <x v="0"/>
    <x v="0"/>
    <x v="0"/>
    <x v="4"/>
    <x v="0"/>
    <x v="0"/>
    <m/>
    <x v="0"/>
    <x v="1"/>
    <x v="0"/>
    <x v="0"/>
    <x v="0"/>
    <x v="3"/>
    <n v="2314.0186915887853"/>
    <n v="416.52336448598129"/>
    <n v="0"/>
    <d v="2024-01-31T00:00:00"/>
    <x v="0"/>
  </r>
  <r>
    <x v="365"/>
    <d v="2024-01-01T00:00:00"/>
    <x v="1536"/>
    <d v="2024-01-16T00:00:00"/>
    <x v="0"/>
    <x v="0"/>
    <n v="6974"/>
    <x v="4"/>
    <x v="0"/>
    <n v="5205.13"/>
    <n v="3.29"/>
    <n v="0"/>
    <n v="0"/>
    <x v="10"/>
    <s v="30/1 Cotton Yarn ( 15375 LBS)"/>
    <n v="6426750"/>
    <x v="0"/>
    <n v="1156815"/>
    <x v="0"/>
    <m/>
    <m/>
    <x v="0"/>
    <x v="0"/>
    <x v="0"/>
    <x v="4"/>
    <x v="0"/>
    <x v="0"/>
    <m/>
    <x v="0"/>
    <x v="1"/>
    <x v="0"/>
    <x v="0"/>
    <x v="0"/>
    <x v="3"/>
    <n v="921.52996845425866"/>
    <n v="165.87539432176655"/>
    <n v="0"/>
    <d v="2024-01-31T00:00:00"/>
    <x v="0"/>
  </r>
  <r>
    <x v="366"/>
    <d v="2024-01-01T00:00:00"/>
    <x v="1537"/>
    <d v="2024-01-16T00:00:00"/>
    <x v="0"/>
    <x v="1"/>
    <n v="590"/>
    <x v="4"/>
    <x v="0"/>
    <n v="5205.24"/>
    <n v="3.03"/>
    <n v="590"/>
    <n v="590"/>
    <x v="10"/>
    <s v="24/1 Cotton Yarn (1300 LBS)"/>
    <n v="500500"/>
    <x v="0"/>
    <n v="90090"/>
    <x v="0"/>
    <m/>
    <m/>
    <x v="0"/>
    <x v="0"/>
    <x v="0"/>
    <x v="0"/>
    <x v="0"/>
    <x v="0"/>
    <m/>
    <x v="0"/>
    <x v="1"/>
    <x v="0"/>
    <x v="0"/>
    <x v="0"/>
    <x v="3"/>
    <n v="848.30508474576266"/>
    <n v="152.69491525423729"/>
    <n v="90090"/>
    <d v="2024-01-31T00:00:00"/>
    <x v="0"/>
  </r>
  <r>
    <x v="367"/>
    <d v="2024-01-01T00:00:00"/>
    <x v="1538"/>
    <d v="2024-01-16T00:00:00"/>
    <x v="0"/>
    <x v="0"/>
    <n v="408"/>
    <x v="4"/>
    <x v="0"/>
    <n v="5205.22"/>
    <n v="2.95"/>
    <n v="0"/>
    <n v="0"/>
    <x v="10"/>
    <s v="20/1 Cotton Yarn 900 LBS)"/>
    <n v="337500"/>
    <x v="0"/>
    <n v="60750"/>
    <x v="0"/>
    <m/>
    <m/>
    <x v="0"/>
    <x v="0"/>
    <x v="0"/>
    <x v="0"/>
    <x v="0"/>
    <x v="0"/>
    <m/>
    <x v="0"/>
    <x v="1"/>
    <x v="0"/>
    <x v="0"/>
    <x v="0"/>
    <x v="3"/>
    <n v="827.20588235294122"/>
    <n v="148.89705882352942"/>
    <n v="0"/>
    <d v="2024-01-31T00:00:00"/>
    <x v="0"/>
  </r>
  <r>
    <x v="368"/>
    <d v="2024-01-05T00:00:00"/>
    <x v="1539"/>
    <d v="2024-01-16T00:00:00"/>
    <x v="0"/>
    <x v="0"/>
    <n v="12180"/>
    <x v="4"/>
    <x v="0"/>
    <n v="5505.1"/>
    <n v="1.29"/>
    <n v="0"/>
    <n v="0"/>
    <x v="20"/>
    <s v="Comber Noil"/>
    <n v="4384800"/>
    <x v="0"/>
    <n v="789264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2-04T00:00:00"/>
    <x v="0"/>
  </r>
  <r>
    <x v="369"/>
    <d v="2024-01-05T00:00:00"/>
    <x v="1540"/>
    <d v="2024-01-16T00:00:00"/>
    <x v="0"/>
    <x v="0"/>
    <n v="13034"/>
    <x v="4"/>
    <x v="0"/>
    <n v="5505.1"/>
    <n v="1.29"/>
    <n v="0"/>
    <n v="0"/>
    <x v="20"/>
    <s v="Comber Noil"/>
    <n v="4692240"/>
    <x v="0"/>
    <n v="844603.2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2-04T00:00:00"/>
    <x v="0"/>
  </r>
  <r>
    <x v="370"/>
    <d v="2024-01-06T00:00:00"/>
    <x v="1541"/>
    <d v="2024-01-16T00:00:00"/>
    <x v="0"/>
    <x v="0"/>
    <n v="12060"/>
    <x v="4"/>
    <x v="0"/>
    <n v="5505.1"/>
    <n v="1.29"/>
    <n v="0"/>
    <n v="0"/>
    <x v="20"/>
    <s v="Comber Noil"/>
    <n v="4341600"/>
    <x v="0"/>
    <n v="781488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2-05T00:00:00"/>
    <x v="0"/>
  </r>
  <r>
    <x v="371"/>
    <d v="2024-01-06T00:00:00"/>
    <x v="1542"/>
    <d v="2024-01-16T00:00:00"/>
    <x v="0"/>
    <x v="0"/>
    <n v="13234"/>
    <x v="4"/>
    <x v="0"/>
    <n v="5505.1"/>
    <n v="1.29"/>
    <n v="0"/>
    <n v="0"/>
    <x v="20"/>
    <s v="Comber Noil"/>
    <n v="4764240"/>
    <x v="0"/>
    <n v="857563.2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2-05T00:00:00"/>
    <x v="0"/>
  </r>
  <r>
    <x v="372"/>
    <d v="2024-01-07T00:00:00"/>
    <x v="1543"/>
    <d v="2024-01-17T00:00:00"/>
    <x v="0"/>
    <x v="0"/>
    <n v="9551"/>
    <x v="4"/>
    <x v="0"/>
    <n v="5505.1"/>
    <n v="1.29"/>
    <n v="0"/>
    <n v="0"/>
    <x v="20"/>
    <s v="Comber Noil"/>
    <n v="3438360"/>
    <x v="0"/>
    <n v="618904.79999999993"/>
    <x v="0"/>
    <m/>
    <m/>
    <x v="0"/>
    <x v="0"/>
    <x v="0"/>
    <x v="4"/>
    <x v="0"/>
    <x v="0"/>
    <m/>
    <x v="0"/>
    <x v="1"/>
    <x v="0"/>
    <x v="0"/>
    <x v="0"/>
    <x v="8"/>
    <n v="360"/>
    <n v="64.8"/>
    <n v="0"/>
    <d v="2024-02-06T00:00:00"/>
    <x v="0"/>
  </r>
  <r>
    <x v="373"/>
    <d v="2024-01-01T00:00:00"/>
    <x v="1544"/>
    <d v="2024-01-17T00:00:00"/>
    <x v="0"/>
    <x v="0"/>
    <n v="26785"/>
    <x v="4"/>
    <x v="0"/>
    <n v="5503.201"/>
    <n v="1.3"/>
    <n v="0"/>
    <n v="0"/>
    <x v="1"/>
    <s v="Polyester Staple Fiber"/>
    <n v="9776343"/>
    <x v="0"/>
    <n v="1759741.74"/>
    <x v="0"/>
    <m/>
    <m/>
    <x v="0"/>
    <x v="0"/>
    <x v="0"/>
    <x v="0"/>
    <x v="0"/>
    <x v="0"/>
    <m/>
    <x v="0"/>
    <x v="1"/>
    <x v="0"/>
    <x v="0"/>
    <x v="0"/>
    <x v="1"/>
    <n v="364.99320515213736"/>
    <n v="65.698776927384728"/>
    <n v="0"/>
    <d v="2024-01-31T00:00:00"/>
    <x v="0"/>
  </r>
  <r>
    <x v="374"/>
    <d v="2024-01-01T00:00:00"/>
    <x v="1545"/>
    <d v="2024-01-17T00:00:00"/>
    <x v="0"/>
    <x v="0"/>
    <n v="25772"/>
    <x v="4"/>
    <x v="0"/>
    <n v="5503.201"/>
    <n v="1.3"/>
    <n v="0"/>
    <n v="0"/>
    <x v="1"/>
    <s v="Polyester Staple Fiber"/>
    <n v="9406853"/>
    <x v="0"/>
    <n v="1693233.54"/>
    <x v="0"/>
    <m/>
    <m/>
    <x v="0"/>
    <x v="0"/>
    <x v="0"/>
    <x v="0"/>
    <x v="0"/>
    <x v="0"/>
    <m/>
    <x v="0"/>
    <x v="1"/>
    <x v="0"/>
    <x v="0"/>
    <x v="0"/>
    <x v="1"/>
    <n v="365.00283253142948"/>
    <n v="65.700509855657302"/>
    <n v="0"/>
    <d v="2024-01-31T00:00:00"/>
    <x v="0"/>
  </r>
  <r>
    <x v="375"/>
    <d v="2024-01-01T00:00:00"/>
    <x v="1546"/>
    <d v="2024-01-17T00:00:00"/>
    <x v="0"/>
    <x v="0"/>
    <n v="26944"/>
    <x v="4"/>
    <x v="0"/>
    <n v="5503.201"/>
    <n v="1.3"/>
    <n v="0"/>
    <n v="0"/>
    <x v="1"/>
    <s v="Polyester Staple Fiber"/>
    <n v="9834706"/>
    <x v="0"/>
    <n v="1770247.0799999998"/>
    <x v="0"/>
    <m/>
    <m/>
    <x v="0"/>
    <x v="0"/>
    <x v="0"/>
    <x v="0"/>
    <x v="0"/>
    <x v="0"/>
    <m/>
    <x v="0"/>
    <x v="1"/>
    <x v="0"/>
    <x v="0"/>
    <x v="0"/>
    <x v="1"/>
    <n v="365.00541864608078"/>
    <n v="65.700975356294535"/>
    <n v="0"/>
    <d v="2024-01-31T00:00:00"/>
    <x v="0"/>
  </r>
  <r>
    <x v="376"/>
    <d v="2024-01-01T00:00:00"/>
    <x v="1547"/>
    <d v="2024-01-17T00:00:00"/>
    <x v="0"/>
    <x v="0"/>
    <n v="37983"/>
    <x v="4"/>
    <x v="0"/>
    <n v="5503.201"/>
    <n v="1.29"/>
    <n v="0"/>
    <n v="0"/>
    <x v="1"/>
    <s v="Polyester Staple Fiber"/>
    <n v="13674024"/>
    <x v="0"/>
    <n v="2461324.3199999998"/>
    <x v="0"/>
    <m/>
    <m/>
    <x v="0"/>
    <x v="0"/>
    <x v="0"/>
    <x v="0"/>
    <x v="0"/>
    <x v="0"/>
    <m/>
    <x v="0"/>
    <x v="1"/>
    <x v="0"/>
    <x v="0"/>
    <x v="0"/>
    <x v="1"/>
    <n v="360.0037911697338"/>
    <n v="64.800682410552085"/>
    <n v="0"/>
    <d v="2024-01-31T00:00:00"/>
    <x v="0"/>
  </r>
  <r>
    <x v="377"/>
    <d v="2024-01-01T00:00:00"/>
    <x v="1548"/>
    <d v="2024-01-18T00:00:00"/>
    <x v="0"/>
    <x v="0"/>
    <n v="4899"/>
    <x v="4"/>
    <x v="0"/>
    <n v="5509.53"/>
    <n v="2.48"/>
    <n v="0"/>
    <n v="0"/>
    <x v="3"/>
    <s v="PC52:48 - 40/1 (10800 LBS)"/>
    <n v="3402000"/>
    <x v="0"/>
    <n v="612360"/>
    <x v="0"/>
    <m/>
    <m/>
    <x v="0"/>
    <x v="0"/>
    <x v="0"/>
    <x v="4"/>
    <x v="0"/>
    <x v="0"/>
    <m/>
    <x v="0"/>
    <x v="1"/>
    <x v="0"/>
    <x v="0"/>
    <x v="0"/>
    <x v="3"/>
    <n v="694.42743417023883"/>
    <n v="124.99693815064299"/>
    <n v="0"/>
    <d v="2024-01-31T00:00:00"/>
    <x v="0"/>
  </r>
  <r>
    <x v="378"/>
    <d v="2024-01-01T00:00:00"/>
    <x v="1549"/>
    <d v="2024-01-18T00:00:00"/>
    <x v="0"/>
    <x v="0"/>
    <n v="5000"/>
    <x v="4"/>
    <x v="0"/>
    <n v="2836.2"/>
    <n v="0.34"/>
    <n v="0"/>
    <n v="0"/>
    <x v="12"/>
    <s v="LIGHT ASH"/>
    <n v="477500"/>
    <x v="0"/>
    <n v="85950"/>
    <x v="0"/>
    <m/>
    <m/>
    <x v="0"/>
    <x v="0"/>
    <x v="0"/>
    <x v="5"/>
    <x v="0"/>
    <x v="0"/>
    <m/>
    <x v="0"/>
    <x v="1"/>
    <x v="0"/>
    <x v="0"/>
    <x v="0"/>
    <x v="5"/>
    <n v="95.5"/>
    <n v="17.190000000000001"/>
    <n v="0"/>
    <d v="2024-01-31T00:00:00"/>
    <x v="0"/>
  </r>
  <r>
    <x v="379"/>
    <d v="2024-01-01T00:00:00"/>
    <x v="1550"/>
    <d v="2024-01-18T00:00:00"/>
    <x v="0"/>
    <x v="0"/>
    <n v="29480"/>
    <x v="4"/>
    <x v="0"/>
    <n v="2815.12"/>
    <n v="0.27"/>
    <n v="0"/>
    <n v="0"/>
    <x v="12"/>
    <s v="CAUSTIC SODA LIQUID"/>
    <n v="2247850"/>
    <x v="0"/>
    <n v="404613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31T00:00:00"/>
    <x v="0"/>
  </r>
  <r>
    <x v="380"/>
    <d v="2024-01-01T00:00:00"/>
    <x v="1551"/>
    <d v="2024-01-18T00:00:00"/>
    <x v="0"/>
    <x v="0"/>
    <n v="29380"/>
    <x v="4"/>
    <x v="0"/>
    <n v="2815.12"/>
    <n v="0.27"/>
    <n v="0"/>
    <n v="0"/>
    <x v="12"/>
    <s v="CAUSTIC SODA LIQUID"/>
    <n v="2240225"/>
    <x v="0"/>
    <n v="403240.5"/>
    <x v="0"/>
    <m/>
    <m/>
    <x v="0"/>
    <x v="0"/>
    <x v="0"/>
    <x v="6"/>
    <x v="0"/>
    <x v="0"/>
    <m/>
    <x v="0"/>
    <x v="1"/>
    <x v="0"/>
    <x v="0"/>
    <x v="0"/>
    <x v="5"/>
    <n v="76.25"/>
    <n v="13.725"/>
    <n v="0"/>
    <d v="2024-01-31T00:00:00"/>
    <x v="0"/>
  </r>
  <r>
    <x v="381"/>
    <d v="2024-01-01T00:00:00"/>
    <x v="1552"/>
    <d v="2024-01-18T00:00:00"/>
    <x v="0"/>
    <x v="0"/>
    <n v="29380"/>
    <x v="4"/>
    <x v="0"/>
    <n v="2815.12"/>
    <n v="0.27"/>
    <n v="0"/>
    <n v="0"/>
    <x v="12"/>
    <s v="CAUSTIC SODA LIQUID"/>
    <n v="2240225"/>
    <x v="0"/>
    <n v="403240.5"/>
    <x v="0"/>
    <m/>
    <m/>
    <x v="0"/>
    <x v="0"/>
    <x v="0"/>
    <x v="6"/>
    <x v="0"/>
    <x v="0"/>
    <m/>
    <x v="0"/>
    <x v="1"/>
    <x v="0"/>
    <x v="0"/>
    <x v="0"/>
    <x v="5"/>
    <n v="76.25"/>
    <n v="13.725"/>
    <n v="0"/>
    <d v="2024-01-31T00:00:00"/>
    <x v="0"/>
  </r>
  <r>
    <x v="382"/>
    <d v="2024-01-01T00:00:00"/>
    <x v="1553"/>
    <d v="2024-01-18T00:00:00"/>
    <x v="0"/>
    <x v="0"/>
    <n v="29530"/>
    <x v="4"/>
    <x v="0"/>
    <n v="2815.12"/>
    <n v="0.27"/>
    <n v="0"/>
    <n v="0"/>
    <x v="12"/>
    <s v="CAUSTIC SODA LIQUID"/>
    <n v="2251662.5"/>
    <x v="0"/>
    <n v="405299.25"/>
    <x v="0"/>
    <m/>
    <m/>
    <x v="0"/>
    <x v="0"/>
    <x v="0"/>
    <x v="5"/>
    <x v="0"/>
    <x v="0"/>
    <m/>
    <x v="0"/>
    <x v="1"/>
    <x v="0"/>
    <x v="0"/>
    <x v="0"/>
    <x v="5"/>
    <n v="76.25"/>
    <n v="13.725"/>
    <n v="0"/>
    <d v="2024-01-31T00:00:00"/>
    <x v="0"/>
  </r>
  <r>
    <x v="383"/>
    <d v="2024-01-01T00:00:00"/>
    <x v="1554"/>
    <d v="2024-01-18T00:00:00"/>
    <x v="0"/>
    <x v="0"/>
    <n v="1100"/>
    <x v="4"/>
    <x v="0"/>
    <n v="2931.9090000000001"/>
    <n v="1.92"/>
    <n v="0"/>
    <n v="0"/>
    <x v="12"/>
    <s v="LUFIBROL ANTOX LIQ"/>
    <n v="591800"/>
    <x v="0"/>
    <n v="106524"/>
    <x v="0"/>
    <m/>
    <m/>
    <x v="0"/>
    <x v="0"/>
    <x v="0"/>
    <x v="4"/>
    <x v="0"/>
    <x v="0"/>
    <m/>
    <x v="0"/>
    <x v="1"/>
    <x v="0"/>
    <x v="0"/>
    <x v="0"/>
    <x v="5"/>
    <n v="538"/>
    <n v="96.84"/>
    <n v="0"/>
    <d v="2024-01-31T00:00:00"/>
    <x v="0"/>
  </r>
  <r>
    <x v="384"/>
    <d v="2024-01-01T00:00:00"/>
    <x v="1555"/>
    <d v="2024-01-18T00:00:00"/>
    <x v="0"/>
    <x v="0"/>
    <n v="2500"/>
    <x v="4"/>
    <x v="0"/>
    <n v="3204.2"/>
    <n v="1.8"/>
    <n v="0"/>
    <n v="0"/>
    <x v="5"/>
    <s v="LEUCOPHOR BMF LIQUID"/>
    <n v="1262500"/>
    <x v="0"/>
    <n v="22725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31T00:00:00"/>
    <x v="0"/>
  </r>
  <r>
    <x v="385"/>
    <d v="2024-01-01T00:00:00"/>
    <x v="1556"/>
    <d v="2024-01-18T00:00:00"/>
    <x v="0"/>
    <x v="0"/>
    <n v="29490"/>
    <x v="4"/>
    <x v="0"/>
    <n v="2815.12"/>
    <n v="0.27"/>
    <n v="0"/>
    <n v="0"/>
    <x v="12"/>
    <s v="CAUSTIC SODA LIQUID"/>
    <n v="2248612.5"/>
    <x v="0"/>
    <n v="404750.25"/>
    <x v="0"/>
    <m/>
    <m/>
    <x v="0"/>
    <x v="0"/>
    <x v="0"/>
    <x v="0"/>
    <x v="0"/>
    <x v="0"/>
    <m/>
    <x v="0"/>
    <x v="1"/>
    <x v="0"/>
    <x v="0"/>
    <x v="0"/>
    <x v="5"/>
    <n v="76.25"/>
    <n v="13.725"/>
    <n v="0"/>
    <d v="2024-01-31T00:00:00"/>
    <x v="0"/>
  </r>
  <r>
    <x v="386"/>
    <d v="2024-01-01T00:00:00"/>
    <x v="1557"/>
    <d v="2024-01-18T00:00:00"/>
    <x v="0"/>
    <x v="0"/>
    <n v="480"/>
    <x v="4"/>
    <x v="0"/>
    <n v="3809.9189999999999"/>
    <n v="5"/>
    <n v="0"/>
    <n v="0"/>
    <x v="12"/>
    <s v="PRODER M.A.C NUEVO"/>
    <n v="672000"/>
    <x v="0"/>
    <n v="120960"/>
    <x v="0"/>
    <m/>
    <m/>
    <x v="0"/>
    <x v="0"/>
    <x v="0"/>
    <x v="4"/>
    <x v="0"/>
    <x v="0"/>
    <m/>
    <x v="0"/>
    <x v="1"/>
    <x v="0"/>
    <x v="0"/>
    <x v="0"/>
    <x v="5"/>
    <n v="1400"/>
    <n v="252"/>
    <n v="0"/>
    <d v="2024-01-31T00:00:00"/>
    <x v="0"/>
  </r>
  <r>
    <x v="387"/>
    <d v="2024-01-02T00:00:00"/>
    <x v="1558"/>
    <d v="2024-01-18T00:00:00"/>
    <x v="0"/>
    <x v="0"/>
    <n v="3000"/>
    <x v="4"/>
    <x v="0"/>
    <n v="2836.2"/>
    <n v="0.34"/>
    <n v="0"/>
    <n v="0"/>
    <x v="12"/>
    <s v="LIGHT ASH"/>
    <n v="286500"/>
    <x v="0"/>
    <n v="51570"/>
    <x v="0"/>
    <m/>
    <m/>
    <x v="0"/>
    <x v="0"/>
    <x v="0"/>
    <x v="5"/>
    <x v="0"/>
    <x v="0"/>
    <m/>
    <x v="0"/>
    <x v="1"/>
    <x v="0"/>
    <x v="0"/>
    <x v="0"/>
    <x v="5"/>
    <n v="95.5"/>
    <n v="17.190000000000001"/>
    <n v="0"/>
    <d v="2024-02-01T00:00:00"/>
    <x v="0"/>
  </r>
  <r>
    <x v="388"/>
    <d v="2024-01-01T00:00:00"/>
    <x v="1559"/>
    <d v="2024-01-18T00:00:00"/>
    <x v="0"/>
    <x v="0"/>
    <n v="1800"/>
    <x v="4"/>
    <x v="0"/>
    <n v="3204.2"/>
    <n v="1.8"/>
    <n v="0"/>
    <n v="0"/>
    <x v="5"/>
    <s v="LEUCOPHOR BMF LIQUID"/>
    <n v="909000"/>
    <x v="0"/>
    <n v="16362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31T00:00:00"/>
    <x v="0"/>
  </r>
  <r>
    <x v="389"/>
    <d v="2024-01-01T00:00:00"/>
    <x v="1560"/>
    <d v="2024-01-18T00:00:00"/>
    <x v="0"/>
    <x v="0"/>
    <n v="600"/>
    <x v="4"/>
    <x v="0"/>
    <n v="3204.2"/>
    <n v="1.8"/>
    <n v="0"/>
    <n v="0"/>
    <x v="5"/>
    <s v="LEUCOPHOR BMF LIQUID"/>
    <n v="303000"/>
    <x v="0"/>
    <n v="5454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31T00:00:00"/>
    <x v="0"/>
  </r>
  <r>
    <x v="390"/>
    <d v="2024-01-03T00:00:00"/>
    <x v="1561"/>
    <d v="2024-01-18T00:00:00"/>
    <x v="0"/>
    <x v="0"/>
    <n v="1020"/>
    <x v="4"/>
    <x v="0"/>
    <n v="3204.172"/>
    <n v="5.14"/>
    <n v="0"/>
    <n v="0"/>
    <x v="5"/>
    <s v="PRINTOFIX BLUE HG"/>
    <n v="1468800"/>
    <x v="0"/>
    <n v="264384"/>
    <x v="0"/>
    <m/>
    <m/>
    <x v="0"/>
    <x v="0"/>
    <x v="0"/>
    <x v="4"/>
    <x v="0"/>
    <x v="0"/>
    <m/>
    <x v="0"/>
    <x v="1"/>
    <x v="0"/>
    <x v="0"/>
    <x v="0"/>
    <x v="4"/>
    <n v="1440"/>
    <n v="259.2"/>
    <n v="0"/>
    <d v="2024-02-02T00:00:00"/>
    <x v="0"/>
  </r>
  <r>
    <x v="391"/>
    <d v="2024-01-01T00:00:00"/>
    <x v="1562"/>
    <d v="2024-01-18T00:00:00"/>
    <x v="0"/>
    <x v="0"/>
    <n v="720"/>
    <x v="4"/>
    <x v="0"/>
    <n v="3204.172"/>
    <n v="9.6999999999999993"/>
    <n v="0"/>
    <n v="0"/>
    <x v="5"/>
    <s v="FAVOPRINT YELLOW AF-3GN / VIOLET AF-HS"/>
    <n v="1956000"/>
    <x v="0"/>
    <n v="352080"/>
    <x v="0"/>
    <m/>
    <m/>
    <x v="0"/>
    <x v="0"/>
    <x v="0"/>
    <x v="4"/>
    <x v="0"/>
    <x v="0"/>
    <m/>
    <x v="0"/>
    <x v="1"/>
    <x v="0"/>
    <x v="0"/>
    <x v="0"/>
    <x v="4"/>
    <n v="2716.6666666666665"/>
    <n v="489"/>
    <n v="0"/>
    <d v="2024-01-31T00:00:00"/>
    <x v="0"/>
  </r>
  <r>
    <x v="392"/>
    <d v="2024-01-01T00:00:00"/>
    <x v="1563"/>
    <d v="2024-01-18T00:00:00"/>
    <x v="0"/>
    <x v="0"/>
    <n v="1424"/>
    <x v="4"/>
    <x v="0"/>
    <n v="3204.172"/>
    <n v="4.34"/>
    <n v="0"/>
    <n v="0"/>
    <x v="5"/>
    <s v="FAVOPRINT BLUE AFFR"/>
    <n v="1730172"/>
    <x v="0"/>
    <n v="311430.95999999996"/>
    <x v="0"/>
    <m/>
    <m/>
    <x v="0"/>
    <x v="0"/>
    <x v="0"/>
    <x v="4"/>
    <x v="0"/>
    <x v="0"/>
    <m/>
    <x v="0"/>
    <x v="1"/>
    <x v="0"/>
    <x v="0"/>
    <x v="0"/>
    <x v="4"/>
    <n v="1215.0084269662921"/>
    <n v="218.70151685393256"/>
    <n v="0"/>
    <d v="2024-01-31T00:00:00"/>
    <x v="0"/>
  </r>
  <r>
    <x v="393"/>
    <d v="2024-01-01T00:00:00"/>
    <x v="1564"/>
    <d v="2024-01-18T00:00:00"/>
    <x v="0"/>
    <x v="0"/>
    <n v="840"/>
    <x v="4"/>
    <x v="0"/>
    <n v="3204.172"/>
    <n v="4.34"/>
    <n v="0"/>
    <n v="0"/>
    <x v="5"/>
    <s v="FAVOPRINT BLUE AFFR"/>
    <n v="1020600"/>
    <x v="0"/>
    <n v="183708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1-31T00:00:00"/>
    <x v="0"/>
  </r>
  <r>
    <x v="394"/>
    <d v="2024-01-01T00:00:00"/>
    <x v="1565"/>
    <d v="2024-01-18T00:00:00"/>
    <x v="0"/>
    <x v="0"/>
    <n v="300"/>
    <x v="4"/>
    <x v="0"/>
    <n v="3204.172"/>
    <n v="4.34"/>
    <n v="0"/>
    <n v="0"/>
    <x v="5"/>
    <s v="FAVOPRINT BLUE AFFR"/>
    <n v="364500"/>
    <x v="0"/>
    <n v="65610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1-31T00:00:00"/>
    <x v="0"/>
  </r>
  <r>
    <x v="395"/>
    <d v="2024-01-03T00:00:00"/>
    <x v="1566"/>
    <d v="2024-01-18T00:00:00"/>
    <x v="0"/>
    <x v="0"/>
    <n v="1020"/>
    <x v="4"/>
    <x v="0"/>
    <n v="3204.172"/>
    <n v="4.34"/>
    <n v="0"/>
    <n v="0"/>
    <x v="5"/>
    <s v="FAVOPRINT BLUE AFFR"/>
    <n v="1239300"/>
    <x v="0"/>
    <n v="223074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2-02T00:00:00"/>
    <x v="0"/>
  </r>
  <r>
    <x v="396"/>
    <d v="2024-01-01T00:00:00"/>
    <x v="1567"/>
    <d v="2024-01-18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31T00:00:00"/>
    <x v="0"/>
  </r>
  <r>
    <x v="397"/>
    <d v="2024-01-02T00:00:00"/>
    <x v="1568"/>
    <d v="2024-01-18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1T00:00:00"/>
    <x v="0"/>
  </r>
  <r>
    <x v="398"/>
    <d v="2024-01-03T00:00:00"/>
    <x v="1569"/>
    <d v="2024-01-18T00:00:00"/>
    <x v="0"/>
    <x v="0"/>
    <n v="1050"/>
    <x v="4"/>
    <x v="0"/>
    <n v="3204.172"/>
    <n v="5.34"/>
    <n v="0"/>
    <n v="0"/>
    <x v="5"/>
    <s v="PIGMASOL YELLOW MRP"/>
    <n v="1569750"/>
    <x v="0"/>
    <n v="282555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2-02T00:00:00"/>
    <x v="0"/>
  </r>
  <r>
    <x v="399"/>
    <d v="2024-01-03T00:00:00"/>
    <x v="1570"/>
    <d v="2024-01-18T00:00:00"/>
    <x v="0"/>
    <x v="0"/>
    <n v="1050"/>
    <x v="4"/>
    <x v="0"/>
    <n v="3204.172"/>
    <n v="5.34"/>
    <n v="0"/>
    <n v="0"/>
    <x v="5"/>
    <s v="PIGMASOL YELLOW MRP"/>
    <n v="1569750"/>
    <x v="0"/>
    <n v="282555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2-02T00:00:00"/>
    <x v="0"/>
  </r>
  <r>
    <x v="400"/>
    <d v="2024-01-03T00:00:00"/>
    <x v="1571"/>
    <d v="2024-01-18T00:00:00"/>
    <x v="0"/>
    <x v="0"/>
    <n v="900"/>
    <x v="4"/>
    <x v="0"/>
    <n v="3204.172"/>
    <n v="5.34"/>
    <n v="0"/>
    <n v="0"/>
    <x v="5"/>
    <s v="PIGMASOL YELLOW MRP"/>
    <n v="1345500"/>
    <x v="0"/>
    <n v="242190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2-02T00:00:00"/>
    <x v="0"/>
  </r>
  <r>
    <x v="401"/>
    <d v="2024-01-02T00:00:00"/>
    <x v="1572"/>
    <d v="2024-01-18T00:00:00"/>
    <x v="0"/>
    <x v="0"/>
    <n v="70"/>
    <x v="4"/>
    <x v="0"/>
    <n v="3204.172"/>
    <n v="15.36"/>
    <n v="0"/>
    <n v="0"/>
    <x v="5"/>
    <s v="IMPERON BRILLIANT PINK K3BL"/>
    <n v="301000"/>
    <x v="0"/>
    <n v="54180"/>
    <x v="0"/>
    <m/>
    <m/>
    <x v="0"/>
    <x v="0"/>
    <x v="0"/>
    <x v="4"/>
    <x v="0"/>
    <x v="0"/>
    <m/>
    <x v="0"/>
    <x v="1"/>
    <x v="0"/>
    <x v="0"/>
    <x v="0"/>
    <x v="4"/>
    <n v="4300"/>
    <n v="774"/>
    <n v="0"/>
    <d v="2024-02-01T00:00:00"/>
    <x v="0"/>
  </r>
  <r>
    <x v="402"/>
    <d v="2024-01-03T00:00:00"/>
    <x v="1573"/>
    <d v="2024-01-18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2T00:00:00"/>
    <x v="0"/>
  </r>
  <r>
    <x v="403"/>
    <d v="2024-01-01T00:00:00"/>
    <x v="1574"/>
    <d v="2024-01-23T00:00:00"/>
    <x v="0"/>
    <x v="0"/>
    <n v="31714"/>
    <x v="4"/>
    <x v="0"/>
    <n v="5201.009"/>
    <n v="1.69"/>
    <n v="0"/>
    <n v="0"/>
    <x v="0"/>
    <s v="Raw Cotton"/>
    <n v="15039594"/>
    <x v="0"/>
    <n v="2707126.92"/>
    <x v="0"/>
    <m/>
    <m/>
    <x v="0"/>
    <x v="0"/>
    <x v="0"/>
    <x v="0"/>
    <x v="0"/>
    <x v="0"/>
    <m/>
    <x v="0"/>
    <x v="1"/>
    <x v="0"/>
    <x v="0"/>
    <x v="0"/>
    <x v="0"/>
    <n v="474.22570473607868"/>
    <n v="85.360626852494164"/>
    <n v="0"/>
    <d v="2024-01-31T00:00:00"/>
    <x v="0"/>
  </r>
  <r>
    <x v="404"/>
    <d v="2024-01-01T00:00:00"/>
    <x v="1575"/>
    <d v="2024-01-23T00:00:00"/>
    <x v="0"/>
    <x v="0"/>
    <n v="31435"/>
    <x v="4"/>
    <x v="0"/>
    <n v="5201.009"/>
    <n v="1.69"/>
    <n v="0"/>
    <n v="0"/>
    <x v="0"/>
    <s v="Raw Cotton"/>
    <n v="14907285"/>
    <x v="0"/>
    <n v="2683311.2999999998"/>
    <x v="0"/>
    <m/>
    <m/>
    <x v="0"/>
    <x v="0"/>
    <x v="0"/>
    <x v="0"/>
    <x v="0"/>
    <x v="0"/>
    <m/>
    <x v="0"/>
    <x v="1"/>
    <x v="0"/>
    <x v="0"/>
    <x v="0"/>
    <x v="0"/>
    <n v="474.2257038333068"/>
    <n v="85.360626689995229"/>
    <n v="0"/>
    <d v="2024-01-31T00:00:00"/>
    <x v="0"/>
  </r>
  <r>
    <x v="405"/>
    <d v="2024-01-01T00:00:00"/>
    <x v="1576"/>
    <d v="2024-01-23T00:00:00"/>
    <x v="0"/>
    <x v="0"/>
    <n v="31461"/>
    <x v="4"/>
    <x v="0"/>
    <n v="5201.009"/>
    <n v="1.53"/>
    <n v="0"/>
    <n v="0"/>
    <x v="0"/>
    <s v="Raw Cotton"/>
    <n v="13486657"/>
    <x v="0"/>
    <n v="2427598.2599999998"/>
    <x v="0"/>
    <m/>
    <m/>
    <x v="0"/>
    <x v="0"/>
    <x v="0"/>
    <x v="0"/>
    <x v="0"/>
    <x v="0"/>
    <m/>
    <x v="0"/>
    <x v="1"/>
    <x v="0"/>
    <x v="0"/>
    <x v="0"/>
    <x v="0"/>
    <n v="428.67858618607164"/>
    <n v="77.162145513492888"/>
    <n v="0"/>
    <d v="2024-01-31T00:00:00"/>
    <x v="0"/>
  </r>
  <r>
    <x v="406"/>
    <d v="2024-01-01T00:00:00"/>
    <x v="1577"/>
    <d v="2024-01-23T00:00:00"/>
    <x v="0"/>
    <x v="0"/>
    <n v="30784"/>
    <x v="4"/>
    <x v="0"/>
    <n v="5201.009"/>
    <n v="1.53"/>
    <n v="0"/>
    <n v="0"/>
    <x v="0"/>
    <s v="Raw Cotton"/>
    <n v="13196442"/>
    <x v="0"/>
    <n v="2375359.56"/>
    <x v="0"/>
    <m/>
    <m/>
    <x v="0"/>
    <x v="0"/>
    <x v="0"/>
    <x v="0"/>
    <x v="0"/>
    <x v="0"/>
    <m/>
    <x v="0"/>
    <x v="1"/>
    <x v="0"/>
    <x v="0"/>
    <x v="0"/>
    <x v="0"/>
    <n v="428.67859927234929"/>
    <n v="77.162147869022874"/>
    <n v="0"/>
    <d v="2024-01-31T00:00:00"/>
    <x v="0"/>
  </r>
  <r>
    <x v="407"/>
    <d v="2024-01-01T00:00:00"/>
    <x v="1578"/>
    <d v="2024-01-23T00:00:00"/>
    <x v="0"/>
    <x v="0"/>
    <n v="31540"/>
    <x v="4"/>
    <x v="0"/>
    <n v="5201.009"/>
    <n v="1.53"/>
    <n v="0"/>
    <n v="0"/>
    <x v="0"/>
    <s v="Raw Cotton"/>
    <n v="13512072"/>
    <x v="0"/>
    <n v="2432172.96"/>
    <x v="0"/>
    <m/>
    <m/>
    <x v="0"/>
    <x v="0"/>
    <x v="0"/>
    <x v="0"/>
    <x v="0"/>
    <x v="0"/>
    <m/>
    <x v="0"/>
    <x v="1"/>
    <x v="0"/>
    <x v="0"/>
    <x v="0"/>
    <x v="0"/>
    <n v="428.41065313887128"/>
    <n v="77.113917564996825"/>
    <n v="0"/>
    <d v="2024-01-31T00:00:00"/>
    <x v="0"/>
  </r>
  <r>
    <x v="408"/>
    <d v="2024-01-01T00:00:00"/>
    <x v="1579"/>
    <d v="2024-01-23T00:00:00"/>
    <x v="0"/>
    <x v="0"/>
    <n v="31545"/>
    <x v="4"/>
    <x v="0"/>
    <n v="5201.009"/>
    <n v="1.53"/>
    <n v="0"/>
    <n v="0"/>
    <x v="0"/>
    <s v="Raw Cotton"/>
    <n v="13514214"/>
    <x v="0"/>
    <n v="2432558.52"/>
    <x v="0"/>
    <m/>
    <m/>
    <x v="0"/>
    <x v="0"/>
    <x v="0"/>
    <x v="0"/>
    <x v="0"/>
    <x v="0"/>
    <m/>
    <x v="0"/>
    <x v="1"/>
    <x v="0"/>
    <x v="0"/>
    <x v="0"/>
    <x v="0"/>
    <n v="428.4106514503091"/>
    <n v="77.113917261055633"/>
    <n v="0"/>
    <d v="2024-01-31T00:00:00"/>
    <x v="0"/>
  </r>
  <r>
    <x v="409"/>
    <d v="2024-01-01T00:00:00"/>
    <x v="1580"/>
    <d v="2024-01-23T00:00:00"/>
    <x v="0"/>
    <x v="0"/>
    <n v="32379"/>
    <x v="4"/>
    <x v="0"/>
    <n v="5201.009"/>
    <n v="1.53"/>
    <n v="0"/>
    <n v="0"/>
    <x v="0"/>
    <s v="Raw Cotton"/>
    <n v="13880184"/>
    <x v="0"/>
    <n v="2498433.12"/>
    <x v="0"/>
    <m/>
    <m/>
    <x v="0"/>
    <x v="0"/>
    <x v="0"/>
    <x v="0"/>
    <x v="0"/>
    <x v="0"/>
    <m/>
    <x v="0"/>
    <x v="1"/>
    <x v="0"/>
    <x v="0"/>
    <x v="0"/>
    <x v="0"/>
    <n v="428.67858797368666"/>
    <n v="77.162145835263601"/>
    <n v="0"/>
    <d v="2024-01-31T00:00:00"/>
    <x v="0"/>
  </r>
  <r>
    <x v="410"/>
    <d v="2024-01-01T00:00:00"/>
    <x v="1581"/>
    <d v="2024-01-23T00:00:00"/>
    <x v="0"/>
    <x v="0"/>
    <n v="32175"/>
    <x v="4"/>
    <x v="0"/>
    <n v="5201.009"/>
    <n v="1.53"/>
    <n v="0"/>
    <n v="0"/>
    <x v="0"/>
    <s v="Raw Cotton"/>
    <n v="13792734"/>
    <x v="0"/>
    <n v="2482692.12"/>
    <x v="0"/>
    <m/>
    <m/>
    <x v="0"/>
    <x v="0"/>
    <x v="0"/>
    <x v="0"/>
    <x v="0"/>
    <x v="0"/>
    <m/>
    <x v="0"/>
    <x v="1"/>
    <x v="0"/>
    <x v="0"/>
    <x v="0"/>
    <x v="0"/>
    <n v="428.67860139860142"/>
    <n v="77.162148251748249"/>
    <n v="0"/>
    <d v="2024-01-31T00:00:00"/>
    <x v="0"/>
  </r>
  <r>
    <x v="411"/>
    <d v="2024-01-01T00:00:00"/>
    <x v="1582"/>
    <d v="2024-01-23T00:00:00"/>
    <x v="0"/>
    <x v="0"/>
    <n v="61430"/>
    <x v="4"/>
    <x v="0"/>
    <n v="5201.009"/>
    <n v="1.77"/>
    <n v="0"/>
    <n v="0"/>
    <x v="0"/>
    <s v="Raw Cotton"/>
    <n v="30448371"/>
    <x v="0"/>
    <n v="5480706.7800000003"/>
    <x v="0"/>
    <m/>
    <m/>
    <x v="0"/>
    <x v="0"/>
    <x v="0"/>
    <x v="0"/>
    <x v="0"/>
    <x v="0"/>
    <m/>
    <x v="0"/>
    <x v="1"/>
    <x v="0"/>
    <x v="0"/>
    <x v="0"/>
    <x v="0"/>
    <n v="495.65962884584081"/>
    <n v="89.218733192251349"/>
    <n v="0"/>
    <d v="2024-01-31T00:00:00"/>
    <x v="0"/>
  </r>
  <r>
    <x v="412"/>
    <d v="2024-01-08T00:00:00"/>
    <x v="1583"/>
    <d v="2024-01-23T00:00:00"/>
    <x v="0"/>
    <x v="1"/>
    <n v="32257"/>
    <x v="4"/>
    <x v="0"/>
    <n v="5201.009"/>
    <n v="1.63"/>
    <n v="32257"/>
    <n v="32257"/>
    <x v="0"/>
    <s v="Raw Cotton"/>
    <n v="14692128"/>
    <x v="0"/>
    <n v="2644583.04"/>
    <x v="0"/>
    <m/>
    <m/>
    <x v="0"/>
    <x v="0"/>
    <x v="0"/>
    <x v="0"/>
    <x v="0"/>
    <x v="0"/>
    <m/>
    <x v="0"/>
    <x v="1"/>
    <x v="0"/>
    <x v="0"/>
    <x v="0"/>
    <x v="0"/>
    <n v="455.47099854295192"/>
    <n v="81.984779737731344"/>
    <n v="2644583.04"/>
    <d v="2024-02-07T00:00:00"/>
    <x v="0"/>
  </r>
  <r>
    <x v="413"/>
    <d v="2024-01-08T00:00:00"/>
    <x v="1584"/>
    <d v="2024-01-23T00:00:00"/>
    <x v="0"/>
    <x v="1"/>
    <n v="30934"/>
    <x v="4"/>
    <x v="0"/>
    <n v="5201.009"/>
    <n v="1.63"/>
    <n v="30934"/>
    <n v="30934"/>
    <x v="0"/>
    <s v="Raw Cotton"/>
    <n v="14089540"/>
    <x v="0"/>
    <n v="2536117.1999999997"/>
    <x v="0"/>
    <m/>
    <m/>
    <x v="0"/>
    <x v="0"/>
    <x v="0"/>
    <x v="0"/>
    <x v="0"/>
    <x v="0"/>
    <m/>
    <x v="0"/>
    <x v="1"/>
    <x v="0"/>
    <x v="0"/>
    <x v="0"/>
    <x v="0"/>
    <n v="455.47100278011249"/>
    <n v="81.984780500420243"/>
    <n v="2536117.1999999997"/>
    <d v="2024-02-07T00:00:00"/>
    <x v="0"/>
  </r>
  <r>
    <x v="414"/>
    <d v="2024-01-01T00:00:00"/>
    <x v="1585"/>
    <d v="2024-01-23T00:00:00"/>
    <x v="0"/>
    <x v="0"/>
    <n v="63000"/>
    <x v="4"/>
    <x v="0"/>
    <n v="5201.009"/>
    <n v="1.77"/>
    <n v="0"/>
    <n v="0"/>
    <x v="0"/>
    <s v="Raw Cotton"/>
    <n v="31226557"/>
    <x v="0"/>
    <n v="5620780.2599999998"/>
    <x v="0"/>
    <m/>
    <m/>
    <x v="0"/>
    <x v="0"/>
    <x v="0"/>
    <x v="0"/>
    <x v="0"/>
    <x v="0"/>
    <m/>
    <x v="0"/>
    <x v="1"/>
    <x v="0"/>
    <x v="0"/>
    <x v="0"/>
    <x v="0"/>
    <n v="495.65963492063491"/>
    <n v="89.218734285714277"/>
    <n v="0"/>
    <d v="2024-01-31T00:00:00"/>
    <x v="0"/>
  </r>
  <r>
    <x v="415"/>
    <d v="2024-01-01T00:00:00"/>
    <x v="1586"/>
    <d v="2024-01-23T00:00:00"/>
    <x v="0"/>
    <x v="2"/>
    <n v="90625"/>
    <x v="4"/>
    <x v="0"/>
    <n v="5201.009"/>
    <n v="1.76"/>
    <n v="1634"/>
    <n v="90625"/>
    <x v="0"/>
    <s v="Raw Cotton"/>
    <n v="44676348"/>
    <x v="0"/>
    <n v="8041742.6399999997"/>
    <x v="0"/>
    <m/>
    <m/>
    <x v="0"/>
    <x v="0"/>
    <x v="0"/>
    <x v="0"/>
    <x v="0"/>
    <x v="0"/>
    <m/>
    <x v="0"/>
    <x v="1"/>
    <x v="0"/>
    <x v="0"/>
    <x v="0"/>
    <x v="0"/>
    <n v="492.98039172413792"/>
    <n v="88.73647051034483"/>
    <n v="144995.39281390345"/>
    <d v="2024-01-31T00:00:00"/>
    <x v="0"/>
  </r>
  <r>
    <x v="416"/>
    <d v="2024-01-01T00:00:00"/>
    <x v="1587"/>
    <d v="2024-01-23T00:00:00"/>
    <x v="0"/>
    <x v="0"/>
    <n v="30640"/>
    <x v="4"/>
    <x v="0"/>
    <n v="5201.009"/>
    <n v="1.76"/>
    <n v="0"/>
    <n v="0"/>
    <x v="0"/>
    <s v="Raw Cotton"/>
    <n v="15104919"/>
    <x v="0"/>
    <n v="2718885.42"/>
    <x v="0"/>
    <m/>
    <m/>
    <x v="0"/>
    <x v="0"/>
    <x v="0"/>
    <x v="0"/>
    <x v="0"/>
    <x v="0"/>
    <m/>
    <x v="0"/>
    <x v="1"/>
    <x v="0"/>
    <x v="0"/>
    <x v="0"/>
    <x v="0"/>
    <n v="492.98038511749348"/>
    <n v="88.736469321148817"/>
    <n v="0"/>
    <d v="2024-01-31T00:00:00"/>
    <x v="0"/>
  </r>
  <r>
    <x v="417"/>
    <d v="2024-01-01T00:00:00"/>
    <x v="1588"/>
    <d v="2024-01-23T00:00:00"/>
    <x v="0"/>
    <x v="0"/>
    <n v="30807"/>
    <x v="4"/>
    <x v="0"/>
    <n v="5201.009"/>
    <n v="1.63"/>
    <n v="0"/>
    <n v="0"/>
    <x v="0"/>
    <s v="Raw Cotton"/>
    <n v="14031695"/>
    <x v="0"/>
    <n v="2525705.1"/>
    <x v="0"/>
    <m/>
    <m/>
    <x v="0"/>
    <x v="0"/>
    <x v="0"/>
    <x v="0"/>
    <x v="0"/>
    <x v="0"/>
    <m/>
    <x v="0"/>
    <x v="1"/>
    <x v="0"/>
    <x v="0"/>
    <x v="0"/>
    <x v="0"/>
    <n v="455.47099685136493"/>
    <n v="81.984779433245691"/>
    <n v="0"/>
    <d v="2024-01-31T00:00:00"/>
    <x v="0"/>
  </r>
  <r>
    <x v="418"/>
    <d v="2024-01-01T00:00:00"/>
    <x v="1589"/>
    <d v="2024-01-23T00:00:00"/>
    <x v="0"/>
    <x v="2"/>
    <n v="30438"/>
    <x v="4"/>
    <x v="0"/>
    <n v="5201.009"/>
    <n v="1.63"/>
    <n v="17451"/>
    <n v="30438"/>
    <x v="0"/>
    <s v="Raw Cotton"/>
    <n v="13863627"/>
    <x v="0"/>
    <n v="2495452.86"/>
    <x v="0"/>
    <m/>
    <m/>
    <x v="0"/>
    <x v="0"/>
    <x v="0"/>
    <x v="0"/>
    <x v="0"/>
    <x v="0"/>
    <m/>
    <x v="0"/>
    <x v="1"/>
    <x v="0"/>
    <x v="0"/>
    <x v="0"/>
    <x v="0"/>
    <n v="455.47102306327616"/>
    <n v="81.984784151389704"/>
    <n v="1430716.4682259017"/>
    <d v="2024-01-31T00:00:00"/>
    <x v="0"/>
  </r>
  <r>
    <x v="419"/>
    <d v="2024-01-10T00:00:00"/>
    <x v="1590"/>
    <d v="2024-01-23T00:00:00"/>
    <x v="0"/>
    <x v="1"/>
    <n v="30488"/>
    <x v="4"/>
    <x v="0"/>
    <n v="5201.009"/>
    <n v="1.61"/>
    <n v="30488"/>
    <n v="30488"/>
    <x v="0"/>
    <s v="Raw Cotton"/>
    <n v="13723031"/>
    <x v="0"/>
    <n v="2470145.58"/>
    <x v="0"/>
    <m/>
    <m/>
    <x v="0"/>
    <x v="0"/>
    <x v="0"/>
    <x v="0"/>
    <x v="0"/>
    <x v="0"/>
    <m/>
    <x v="0"/>
    <x v="1"/>
    <x v="0"/>
    <x v="0"/>
    <x v="0"/>
    <x v="0"/>
    <n v="450.11253607976909"/>
    <n v="81.020256494358435"/>
    <n v="2470145.58"/>
    <d v="2024-02-09T00:00:00"/>
    <x v="0"/>
  </r>
  <r>
    <x v="420"/>
    <d v="2024-01-10T00:00:00"/>
    <x v="1591"/>
    <d v="2024-01-23T00:00:00"/>
    <x v="0"/>
    <x v="1"/>
    <n v="30835"/>
    <x v="4"/>
    <x v="0"/>
    <n v="5201.009"/>
    <n v="1.61"/>
    <n v="30835"/>
    <n v="30835"/>
    <x v="0"/>
    <s v="Raw Cotton"/>
    <n v="13879220"/>
    <x v="0"/>
    <n v="2498259.6"/>
    <x v="0"/>
    <m/>
    <m/>
    <x v="0"/>
    <x v="0"/>
    <x v="0"/>
    <x v="0"/>
    <x v="0"/>
    <x v="0"/>
    <m/>
    <x v="0"/>
    <x v="1"/>
    <x v="0"/>
    <x v="0"/>
    <x v="0"/>
    <x v="0"/>
    <n v="450.11253445759689"/>
    <n v="81.020256202367449"/>
    <n v="2498259.6"/>
    <d v="2024-02-09T00:00:00"/>
    <x v="0"/>
  </r>
  <r>
    <x v="421"/>
    <d v="2024-01-14T00:00:00"/>
    <x v="1592"/>
    <d v="2024-01-23T00:00:00"/>
    <x v="0"/>
    <x v="0"/>
    <n v="5115"/>
    <x v="4"/>
    <x v="0"/>
    <n v="5402.33"/>
    <n v="1.85"/>
    <n v="0"/>
    <n v="0"/>
    <x v="6"/>
    <s v="150/48 DTY POLYESTER YARN"/>
    <n v="2654975"/>
    <x v="0"/>
    <n v="477895.5"/>
    <x v="0"/>
    <m/>
    <m/>
    <x v="0"/>
    <x v="0"/>
    <x v="0"/>
    <x v="0"/>
    <x v="0"/>
    <x v="0"/>
    <m/>
    <x v="0"/>
    <x v="1"/>
    <x v="0"/>
    <x v="0"/>
    <x v="0"/>
    <x v="3"/>
    <n v="519.05669599217981"/>
    <n v="93.430205278592382"/>
    <n v="0"/>
    <d v="2024-02-13T00:00:00"/>
    <x v="0"/>
  </r>
  <r>
    <x v="422"/>
    <d v="2024-01-14T00:00:00"/>
    <x v="1593"/>
    <d v="2024-01-23T00:00:00"/>
    <x v="0"/>
    <x v="0"/>
    <n v="5115"/>
    <x v="4"/>
    <x v="0"/>
    <n v="5402.33"/>
    <n v="1.85"/>
    <n v="0"/>
    <n v="0"/>
    <x v="6"/>
    <s v="150/48 DTY POLYESTER YARN"/>
    <n v="2654975"/>
    <x v="0"/>
    <n v="477895.5"/>
    <x v="0"/>
    <m/>
    <m/>
    <x v="0"/>
    <x v="0"/>
    <x v="0"/>
    <x v="0"/>
    <x v="0"/>
    <x v="0"/>
    <m/>
    <x v="0"/>
    <x v="1"/>
    <x v="0"/>
    <x v="0"/>
    <x v="0"/>
    <x v="3"/>
    <n v="519.05669599217981"/>
    <n v="93.430205278592382"/>
    <n v="0"/>
    <d v="2024-02-13T00:00:00"/>
    <x v="0"/>
  </r>
  <r>
    <x v="423"/>
    <d v="2024-01-12T00:00:00"/>
    <x v="1594"/>
    <d v="2024-01-23T00:00:00"/>
    <x v="0"/>
    <x v="0"/>
    <n v="12497"/>
    <x v="4"/>
    <x v="0"/>
    <n v="5505.1"/>
    <n v="1.3"/>
    <n v="0"/>
    <n v="0"/>
    <x v="20"/>
    <s v="Comber Noil"/>
    <n v="4548908"/>
    <x v="0"/>
    <n v="818803.44"/>
    <x v="0"/>
    <m/>
    <m/>
    <x v="0"/>
    <x v="0"/>
    <x v="0"/>
    <x v="4"/>
    <x v="0"/>
    <x v="0"/>
    <m/>
    <x v="0"/>
    <x v="1"/>
    <x v="0"/>
    <x v="0"/>
    <x v="0"/>
    <x v="8"/>
    <n v="364"/>
    <n v="65.52"/>
    <n v="0"/>
    <d v="2024-02-11T00:00:00"/>
    <x v="0"/>
  </r>
  <r>
    <x v="424"/>
    <d v="2024-01-12T00:00:00"/>
    <x v="1595"/>
    <d v="2024-01-23T00:00:00"/>
    <x v="0"/>
    <x v="0"/>
    <n v="13174"/>
    <x v="4"/>
    <x v="0"/>
    <n v="5505.1"/>
    <n v="1.3"/>
    <n v="0"/>
    <n v="0"/>
    <x v="20"/>
    <s v="Comber Noil"/>
    <n v="4795336"/>
    <x v="0"/>
    <n v="863160.48"/>
    <x v="0"/>
    <m/>
    <m/>
    <x v="0"/>
    <x v="0"/>
    <x v="0"/>
    <x v="4"/>
    <x v="0"/>
    <x v="0"/>
    <m/>
    <x v="0"/>
    <x v="1"/>
    <x v="0"/>
    <x v="0"/>
    <x v="0"/>
    <x v="8"/>
    <n v="364"/>
    <n v="65.52"/>
    <n v="0"/>
    <d v="2024-02-11T00:00:00"/>
    <x v="0"/>
  </r>
  <r>
    <x v="425"/>
    <d v="2024-01-13T00:00:00"/>
    <x v="1596"/>
    <d v="2024-01-23T00:00:00"/>
    <x v="0"/>
    <x v="0"/>
    <n v="12714"/>
    <x v="4"/>
    <x v="0"/>
    <n v="5505.1"/>
    <n v="1.3"/>
    <n v="0"/>
    <n v="0"/>
    <x v="20"/>
    <s v="Comber Noil"/>
    <n v="4627896"/>
    <x v="0"/>
    <n v="833021.27999999991"/>
    <x v="0"/>
    <m/>
    <m/>
    <x v="0"/>
    <x v="0"/>
    <x v="0"/>
    <x v="4"/>
    <x v="0"/>
    <x v="0"/>
    <m/>
    <x v="0"/>
    <x v="1"/>
    <x v="0"/>
    <x v="0"/>
    <x v="0"/>
    <x v="8"/>
    <n v="364"/>
    <n v="65.52"/>
    <n v="0"/>
    <d v="2024-02-12T00:00:00"/>
    <x v="0"/>
  </r>
  <r>
    <x v="426"/>
    <d v="2024-01-14T00:00:00"/>
    <x v="1597"/>
    <d v="2024-01-23T00:00:00"/>
    <x v="0"/>
    <x v="0"/>
    <n v="9192"/>
    <x v="4"/>
    <x v="0"/>
    <n v="5505.1"/>
    <n v="1.3"/>
    <n v="0"/>
    <n v="0"/>
    <x v="20"/>
    <s v="Comber Noil"/>
    <n v="3345888"/>
    <x v="0"/>
    <n v="602259.84"/>
    <x v="0"/>
    <m/>
    <m/>
    <x v="0"/>
    <x v="0"/>
    <x v="0"/>
    <x v="4"/>
    <x v="0"/>
    <x v="0"/>
    <m/>
    <x v="0"/>
    <x v="1"/>
    <x v="0"/>
    <x v="0"/>
    <x v="0"/>
    <x v="8"/>
    <n v="364"/>
    <n v="65.52"/>
    <n v="0"/>
    <d v="2024-02-13T00:00:00"/>
    <x v="0"/>
  </r>
  <r>
    <x v="427"/>
    <d v="2024-01-13T00:00:00"/>
    <x v="1598"/>
    <d v="2024-01-23T00:00:00"/>
    <x v="0"/>
    <x v="0"/>
    <n v="12547"/>
    <x v="4"/>
    <x v="0"/>
    <n v="5505.1"/>
    <n v="1.3"/>
    <n v="0"/>
    <n v="0"/>
    <x v="20"/>
    <s v="Comber Noil"/>
    <n v="4567108"/>
    <x v="0"/>
    <n v="822079.44"/>
    <x v="0"/>
    <m/>
    <m/>
    <x v="0"/>
    <x v="0"/>
    <x v="0"/>
    <x v="4"/>
    <x v="0"/>
    <x v="0"/>
    <m/>
    <x v="0"/>
    <x v="1"/>
    <x v="0"/>
    <x v="0"/>
    <x v="0"/>
    <x v="8"/>
    <n v="364"/>
    <n v="65.52"/>
    <n v="0"/>
    <d v="2024-02-12T00:00:00"/>
    <x v="0"/>
  </r>
  <r>
    <x v="428"/>
    <d v="2024-01-13T00:00:00"/>
    <x v="1599"/>
    <d v="2024-01-23T00:00:00"/>
    <x v="0"/>
    <x v="0"/>
    <n v="5579"/>
    <x v="4"/>
    <x v="0"/>
    <n v="5205.2299999999996"/>
    <n v="3.19"/>
    <n v="0"/>
    <n v="0"/>
    <x v="10"/>
    <s v="30/1 Cotton Yarn ( 12300 LBS)"/>
    <n v="4981500"/>
    <x v="0"/>
    <n v="896670"/>
    <x v="0"/>
    <m/>
    <m/>
    <x v="0"/>
    <x v="0"/>
    <x v="0"/>
    <x v="6"/>
    <x v="0"/>
    <x v="0"/>
    <m/>
    <x v="0"/>
    <x v="1"/>
    <x v="0"/>
    <x v="0"/>
    <x v="0"/>
    <x v="3"/>
    <n v="892.90195375515327"/>
    <n v="160.7223516759276"/>
    <n v="0"/>
    <d v="2024-02-12T00:00:00"/>
    <x v="0"/>
  </r>
  <r>
    <x v="429"/>
    <d v="2024-01-05T00:00:00"/>
    <x v="1600"/>
    <d v="2024-01-23T00:00:00"/>
    <x v="0"/>
    <x v="0"/>
    <n v="20412"/>
    <x v="4"/>
    <x v="0"/>
    <n v="5205.13"/>
    <n v="2.83"/>
    <n v="0"/>
    <n v="0"/>
    <x v="10"/>
    <s v="30/1 Cotton Yarn ( 45000 LBS)"/>
    <n v="16200000"/>
    <x v="0"/>
    <n v="2916000"/>
    <x v="0"/>
    <m/>
    <m/>
    <x v="0"/>
    <x v="0"/>
    <x v="0"/>
    <x v="4"/>
    <x v="0"/>
    <x v="0"/>
    <m/>
    <x v="0"/>
    <x v="1"/>
    <x v="0"/>
    <x v="0"/>
    <x v="0"/>
    <x v="3"/>
    <n v="793.65079365079362"/>
    <n v="142.85714285714286"/>
    <n v="0"/>
    <d v="2024-02-04T00:00:00"/>
    <x v="0"/>
  </r>
  <r>
    <x v="430"/>
    <d v="2024-01-01T00:00:00"/>
    <x v="1601"/>
    <d v="2024-01-23T00:00:00"/>
    <x v="0"/>
    <x v="0"/>
    <n v="19340"/>
    <x v="4"/>
    <x v="0"/>
    <n v="5210.1099999999997"/>
    <n v="4.01"/>
    <n v="0"/>
    <n v="0"/>
    <x v="2"/>
    <s v="CVC60:40 - 58661 (MTR)"/>
    <n v="21723639"/>
    <x v="0"/>
    <n v="3910255.02"/>
    <x v="0"/>
    <m/>
    <m/>
    <x v="0"/>
    <x v="0"/>
    <x v="0"/>
    <x v="4"/>
    <x v="0"/>
    <x v="0"/>
    <m/>
    <x v="0"/>
    <x v="1"/>
    <x v="0"/>
    <x v="0"/>
    <x v="0"/>
    <x v="2"/>
    <n v="1123.2491726990693"/>
    <n v="202.18485108583246"/>
    <n v="0"/>
    <d v="2024-01-31T00:00:00"/>
    <x v="0"/>
  </r>
  <r>
    <x v="431"/>
    <d v="2024-01-01T00:00:00"/>
    <x v="1602"/>
    <d v="2024-01-23T00:00:00"/>
    <x v="0"/>
    <x v="0"/>
    <n v="2060"/>
    <x v="4"/>
    <x v="0"/>
    <n v="5208.1899999999996"/>
    <n v="16.38"/>
    <n v="0"/>
    <n v="0"/>
    <x v="14"/>
    <s v="80/1 COTTON FABRIC"/>
    <n v="9450336"/>
    <x v="0"/>
    <n v="1701060.48"/>
    <x v="0"/>
    <m/>
    <m/>
    <x v="0"/>
    <x v="0"/>
    <x v="0"/>
    <x v="0"/>
    <x v="0"/>
    <x v="0"/>
    <m/>
    <x v="0"/>
    <x v="1"/>
    <x v="0"/>
    <x v="0"/>
    <x v="0"/>
    <x v="2"/>
    <n v="4587.5417475728154"/>
    <n v="825.75751456310684"/>
    <n v="0"/>
    <d v="2024-01-31T00:00:00"/>
    <x v="0"/>
  </r>
  <r>
    <x v="432"/>
    <d v="2024-01-01T00:00:00"/>
    <x v="1603"/>
    <d v="2024-01-23T00:00:00"/>
    <x v="0"/>
    <x v="1"/>
    <n v="2706"/>
    <x v="4"/>
    <x v="0"/>
    <n v="5208.1899999999996"/>
    <n v="12.38"/>
    <n v="2706"/>
    <n v="2706"/>
    <x v="14"/>
    <s v="80/1 COTTON FABRIC"/>
    <n v="9382912"/>
    <x v="0"/>
    <n v="1688924.1599999999"/>
    <x v="0"/>
    <m/>
    <m/>
    <x v="0"/>
    <x v="0"/>
    <x v="0"/>
    <x v="0"/>
    <x v="0"/>
    <x v="0"/>
    <m/>
    <x v="0"/>
    <x v="1"/>
    <x v="0"/>
    <x v="0"/>
    <x v="0"/>
    <x v="2"/>
    <n v="3467.4471544715448"/>
    <n v="624.14048780487803"/>
    <n v="1688924.1599999999"/>
    <d v="2024-01-31T00:00:00"/>
    <x v="0"/>
  </r>
  <r>
    <x v="433"/>
    <d v="2024-01-01T00:00:00"/>
    <x v="1604"/>
    <d v="2024-01-23T00:00:00"/>
    <x v="0"/>
    <x v="0"/>
    <n v="2884"/>
    <x v="4"/>
    <x v="0"/>
    <n v="5210.1099999999997"/>
    <n v="3.64"/>
    <n v="0"/>
    <n v="0"/>
    <x v="2"/>
    <s v="CVC60:40 - (9088 MTR)"/>
    <n v="2939901"/>
    <x v="0"/>
    <n v="529182.17999999993"/>
    <x v="0"/>
    <m/>
    <m/>
    <x v="0"/>
    <x v="0"/>
    <x v="0"/>
    <x v="4"/>
    <x v="0"/>
    <x v="0"/>
    <m/>
    <x v="0"/>
    <x v="1"/>
    <x v="0"/>
    <x v="0"/>
    <x v="0"/>
    <x v="2"/>
    <n v="1019.3831484049931"/>
    <n v="183.48896671289873"/>
    <n v="0"/>
    <d v="2024-01-31T00:00:00"/>
    <x v="0"/>
  </r>
  <r>
    <x v="434"/>
    <d v="2024-01-01T00:00:00"/>
    <x v="1605"/>
    <d v="2024-01-23T00:00:00"/>
    <x v="0"/>
    <x v="0"/>
    <n v="9199"/>
    <x v="4"/>
    <x v="0"/>
    <n v="5208.1899999999996"/>
    <n v="4.26"/>
    <n v="0"/>
    <n v="0"/>
    <x v="14"/>
    <s v="40/1 Cotton Fabric Grey ( 25822 Mtr)"/>
    <n v="10974350"/>
    <x v="0"/>
    <n v="1975383"/>
    <x v="0"/>
    <m/>
    <m/>
    <x v="0"/>
    <x v="0"/>
    <x v="0"/>
    <x v="0"/>
    <x v="0"/>
    <x v="0"/>
    <m/>
    <x v="0"/>
    <x v="1"/>
    <x v="0"/>
    <x v="0"/>
    <x v="0"/>
    <x v="2"/>
    <n v="1192.9938036743124"/>
    <n v="214.73888466137623"/>
    <n v="0"/>
    <d v="2024-01-31T00:00:00"/>
    <x v="0"/>
  </r>
  <r>
    <x v="435"/>
    <d v="2024-01-01T00:00:00"/>
    <x v="1606"/>
    <d v="2024-01-23T00:00:00"/>
    <x v="0"/>
    <x v="0"/>
    <n v="4741"/>
    <x v="4"/>
    <x v="0"/>
    <n v="5208.1899999999996"/>
    <n v="4.29"/>
    <n v="0"/>
    <n v="0"/>
    <x v="14"/>
    <s v="40/1 Cotton Fabric Grey ( 12968 Mtr)"/>
    <n v="5692952"/>
    <x v="0"/>
    <n v="1024731.36"/>
    <x v="0"/>
    <m/>
    <m/>
    <x v="0"/>
    <x v="0"/>
    <x v="0"/>
    <x v="0"/>
    <x v="0"/>
    <x v="0"/>
    <m/>
    <x v="0"/>
    <x v="1"/>
    <x v="0"/>
    <x v="0"/>
    <x v="0"/>
    <x v="2"/>
    <n v="1200.7913942206285"/>
    <n v="216.14245095971313"/>
    <n v="0"/>
    <d v="2024-01-31T00:00:00"/>
    <x v="0"/>
  </r>
  <r>
    <x v="436"/>
    <d v="2024-01-01T00:00:00"/>
    <x v="1607"/>
    <d v="2024-01-23T00:00:00"/>
    <x v="0"/>
    <x v="1"/>
    <n v="1253"/>
    <x v="4"/>
    <x v="0"/>
    <n v="5208.1899999999996"/>
    <n v="5.77"/>
    <n v="1253"/>
    <n v="1253"/>
    <x v="14"/>
    <s v="60/1 Cotton Fabric Grey ( 3020 Mtr)"/>
    <n v="2023400"/>
    <x v="0"/>
    <n v="364212"/>
    <x v="0"/>
    <m/>
    <m/>
    <x v="0"/>
    <x v="0"/>
    <x v="0"/>
    <x v="0"/>
    <x v="0"/>
    <x v="0"/>
    <m/>
    <x v="0"/>
    <x v="1"/>
    <x v="0"/>
    <x v="0"/>
    <x v="0"/>
    <x v="2"/>
    <n v="1614.8443735035914"/>
    <n v="290.67198723064644"/>
    <n v="364212"/>
    <d v="2024-01-31T00:00:00"/>
    <x v="0"/>
  </r>
  <r>
    <x v="437"/>
    <d v="2024-01-01T00:00:00"/>
    <x v="1608"/>
    <d v="2024-01-23T00:00:00"/>
    <x v="0"/>
    <x v="1"/>
    <n v="390"/>
    <x v="4"/>
    <x v="0"/>
    <n v="5208.1899999999996"/>
    <n v="6.1"/>
    <n v="390"/>
    <n v="390"/>
    <x v="14"/>
    <s v="60/1 Cotton Fabric Grey ( 1084 Mtr)"/>
    <n v="666660"/>
    <x v="0"/>
    <n v="119998.79999999999"/>
    <x v="0"/>
    <m/>
    <m/>
    <x v="0"/>
    <x v="0"/>
    <x v="0"/>
    <x v="0"/>
    <x v="0"/>
    <x v="0"/>
    <m/>
    <x v="0"/>
    <x v="1"/>
    <x v="0"/>
    <x v="0"/>
    <x v="0"/>
    <x v="2"/>
    <n v="1709.3846153846155"/>
    <n v="307.68923076923073"/>
    <n v="119998.79999999999"/>
    <d v="2024-01-31T00:00:00"/>
    <x v="0"/>
  </r>
  <r>
    <x v="438"/>
    <d v="2024-01-01T00:00:00"/>
    <x v="1609"/>
    <d v="2024-01-23T00:00:00"/>
    <x v="0"/>
    <x v="0"/>
    <n v="8774"/>
    <x v="4"/>
    <x v="0"/>
    <n v="5208.1899999999996"/>
    <n v="4.37"/>
    <n v="0"/>
    <n v="0"/>
    <x v="14"/>
    <s v="40/1 Cotton Fabric Grey ( 28281 Mtr)"/>
    <n v="10746780"/>
    <x v="0"/>
    <n v="1934420.4"/>
    <x v="0"/>
    <m/>
    <m/>
    <x v="0"/>
    <x v="0"/>
    <x v="0"/>
    <x v="0"/>
    <x v="0"/>
    <x v="0"/>
    <m/>
    <x v="0"/>
    <x v="1"/>
    <x v="0"/>
    <x v="0"/>
    <x v="0"/>
    <x v="2"/>
    <n v="1224.8438568497834"/>
    <n v="220.47189423296101"/>
    <n v="0"/>
    <d v="2024-01-31T00:00:00"/>
    <x v="0"/>
  </r>
  <r>
    <x v="439"/>
    <d v="2024-01-07T00:00:00"/>
    <x v="1610"/>
    <d v="2024-01-23T00:00:00"/>
    <x v="0"/>
    <x v="0"/>
    <n v="29620"/>
    <x v="4"/>
    <x v="0"/>
    <n v="2815.12"/>
    <n v="0.28000000000000003"/>
    <n v="0"/>
    <n v="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6T00:00:00"/>
    <x v="0"/>
  </r>
  <r>
    <x v="440"/>
    <d v="2024-01-07T00:00:00"/>
    <x v="1611"/>
    <d v="2024-01-23T00:00:00"/>
    <x v="0"/>
    <x v="0"/>
    <n v="29520"/>
    <x v="4"/>
    <x v="0"/>
    <n v="2815.12"/>
    <n v="0.28000000000000003"/>
    <n v="0"/>
    <n v="0"/>
    <x v="12"/>
    <s v="CAUSTIC SODA LIQUID"/>
    <n v="2317320"/>
    <x v="0"/>
    <n v="417117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6T00:00:00"/>
    <x v="0"/>
  </r>
  <r>
    <x v="441"/>
    <d v="2024-01-05T00:00:00"/>
    <x v="1612"/>
    <d v="2024-01-23T00:00:00"/>
    <x v="0"/>
    <x v="0"/>
    <n v="29520"/>
    <x v="4"/>
    <x v="0"/>
    <n v="2815.12"/>
    <n v="0.28000000000000003"/>
    <n v="0"/>
    <n v="0"/>
    <x v="12"/>
    <s v="CAUSTIC SODA LIQUID"/>
    <n v="2317320"/>
    <x v="0"/>
    <n v="417117.6"/>
    <x v="0"/>
    <m/>
    <m/>
    <x v="0"/>
    <x v="0"/>
    <x v="0"/>
    <x v="5"/>
    <x v="0"/>
    <x v="0"/>
    <m/>
    <x v="0"/>
    <x v="1"/>
    <x v="0"/>
    <x v="0"/>
    <x v="0"/>
    <x v="5"/>
    <n v="78.5"/>
    <n v="14.129999999999999"/>
    <n v="0"/>
    <d v="2024-02-04T00:00:00"/>
    <x v="0"/>
  </r>
  <r>
    <x v="442"/>
    <d v="2024-01-09T00:00:00"/>
    <x v="1613"/>
    <d v="2024-01-23T00:00:00"/>
    <x v="0"/>
    <x v="0"/>
    <n v="29410"/>
    <x v="4"/>
    <x v="0"/>
    <n v="2815.12"/>
    <n v="0.28000000000000003"/>
    <n v="0"/>
    <n v="0"/>
    <x v="12"/>
    <s v="CAUSTIC SODA LIQUID"/>
    <n v="2308685"/>
    <x v="0"/>
    <n v="415563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8T00:00:00"/>
    <x v="0"/>
  </r>
  <r>
    <x v="443"/>
    <d v="2024-01-10T00:00:00"/>
    <x v="1614"/>
    <d v="2024-01-23T00:00:00"/>
    <x v="0"/>
    <x v="2"/>
    <n v="29580"/>
    <x v="4"/>
    <x v="0"/>
    <n v="2815.12"/>
    <n v="0.28000000000000003"/>
    <n v="0"/>
    <n v="29580"/>
    <x v="12"/>
    <s v="CAUSTIC SODA LIQUID"/>
    <n v="2322030"/>
    <x v="0"/>
    <n v="417965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9T00:00:00"/>
    <x v="0"/>
  </r>
  <r>
    <x v="444"/>
    <d v="2024-01-13T00:00:00"/>
    <x v="1615"/>
    <d v="2024-01-23T00:00:00"/>
    <x v="0"/>
    <x v="2"/>
    <n v="29600"/>
    <x v="4"/>
    <x v="0"/>
    <n v="2815.12"/>
    <n v="0.28000000000000003"/>
    <n v="7130"/>
    <n v="29600"/>
    <x v="12"/>
    <s v="CAUSTIC SODA LIQUID"/>
    <n v="2323600"/>
    <x v="0"/>
    <n v="418248"/>
    <x v="0"/>
    <m/>
    <m/>
    <x v="0"/>
    <x v="0"/>
    <x v="0"/>
    <x v="0"/>
    <x v="0"/>
    <x v="0"/>
    <m/>
    <x v="0"/>
    <x v="1"/>
    <x v="0"/>
    <x v="0"/>
    <x v="0"/>
    <x v="5"/>
    <n v="78.5"/>
    <n v="14.13"/>
    <n v="100746.90000000001"/>
    <d v="2024-02-12T00:00:00"/>
    <x v="0"/>
  </r>
  <r>
    <x v="445"/>
    <d v="2024-01-07T00:00:00"/>
    <x v="1616"/>
    <d v="2024-01-2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6T00:00:00"/>
    <x v="0"/>
  </r>
  <r>
    <x v="446"/>
    <d v="2024-01-09T00:00:00"/>
    <x v="1617"/>
    <d v="2024-01-2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8T00:00:00"/>
    <x v="0"/>
  </r>
  <r>
    <x v="447"/>
    <d v="2024-01-15T00:00:00"/>
    <x v="1618"/>
    <d v="2024-01-2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14T00:00:00"/>
    <x v="0"/>
  </r>
  <r>
    <x v="448"/>
    <d v="2024-01-12T00:00:00"/>
    <x v="1619"/>
    <d v="2024-01-23T00:00:00"/>
    <x v="0"/>
    <x v="0"/>
    <n v="2000"/>
    <x v="4"/>
    <x v="0"/>
    <n v="3402.42"/>
    <n v="2.41"/>
    <n v="0"/>
    <n v="0"/>
    <x v="12"/>
    <s v="KIERALON 2010 LIQ"/>
    <n v="1350000"/>
    <x v="0"/>
    <n v="243000"/>
    <x v="0"/>
    <m/>
    <m/>
    <x v="0"/>
    <x v="0"/>
    <x v="0"/>
    <x v="5"/>
    <x v="0"/>
    <x v="0"/>
    <m/>
    <x v="0"/>
    <x v="1"/>
    <x v="0"/>
    <x v="0"/>
    <x v="0"/>
    <x v="5"/>
    <n v="675"/>
    <n v="121.5"/>
    <n v="0"/>
    <d v="2024-02-11T00:00:00"/>
    <x v="0"/>
  </r>
  <r>
    <x v="449"/>
    <d v="2024-01-08T00:00:00"/>
    <x v="1620"/>
    <d v="2024-01-23T00:00:00"/>
    <x v="0"/>
    <x v="0"/>
    <n v="2200"/>
    <x v="4"/>
    <x v="0"/>
    <n v="3906.902"/>
    <n v="1.34"/>
    <n v="0"/>
    <n v="0"/>
    <x v="12"/>
    <s v="OLIMPRINT BINDER PD 30"/>
    <n v="825000"/>
    <x v="0"/>
    <n v="148500"/>
    <x v="0"/>
    <m/>
    <m/>
    <x v="0"/>
    <x v="0"/>
    <x v="0"/>
    <x v="5"/>
    <x v="0"/>
    <x v="0"/>
    <m/>
    <x v="0"/>
    <x v="1"/>
    <x v="0"/>
    <x v="0"/>
    <x v="0"/>
    <x v="5"/>
    <n v="375"/>
    <n v="67.5"/>
    <n v="0"/>
    <d v="2024-02-07T00:00:00"/>
    <x v="0"/>
  </r>
  <r>
    <x v="450"/>
    <d v="2024-01-12T00:00:00"/>
    <x v="1621"/>
    <d v="2024-01-23T00:00:00"/>
    <x v="0"/>
    <x v="0"/>
    <n v="360"/>
    <x v="4"/>
    <x v="0"/>
    <n v="3809.9189999999999"/>
    <n v="2.41"/>
    <n v="0"/>
    <n v="0"/>
    <x v="12"/>
    <s v="PERLAVIN SRD"/>
    <n v="243000"/>
    <x v="0"/>
    <n v="43740"/>
    <x v="0"/>
    <m/>
    <m/>
    <x v="0"/>
    <x v="0"/>
    <x v="0"/>
    <x v="4"/>
    <x v="0"/>
    <x v="0"/>
    <m/>
    <x v="0"/>
    <x v="1"/>
    <x v="0"/>
    <x v="0"/>
    <x v="0"/>
    <x v="5"/>
    <n v="675"/>
    <n v="121.5"/>
    <n v="0"/>
    <d v="2024-02-11T00:00:00"/>
    <x v="0"/>
  </r>
  <r>
    <x v="451"/>
    <d v="2024-01-08T00:00:00"/>
    <x v="1622"/>
    <d v="2024-01-23T00:00:00"/>
    <x v="0"/>
    <x v="0"/>
    <n v="3000"/>
    <x v="4"/>
    <x v="0"/>
    <n v="3809.9189999999999"/>
    <n v="0.46"/>
    <n v="0"/>
    <n v="0"/>
    <x v="12"/>
    <s v="AVPOLYSOFT-PE-H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30"/>
    <n v="23.4"/>
    <n v="0"/>
    <d v="2024-02-07T00:00:00"/>
    <x v="0"/>
  </r>
  <r>
    <x v="452"/>
    <d v="2024-01-10T00:00:00"/>
    <x v="1623"/>
    <d v="2024-01-23T00:00:00"/>
    <x v="0"/>
    <x v="0"/>
    <n v="360"/>
    <x v="4"/>
    <x v="0"/>
    <n v="3809.9189999999999"/>
    <n v="7.14"/>
    <n v="0"/>
    <n v="0"/>
    <x v="12"/>
    <s v="BASE MORDIENTE M.NEW"/>
    <n v="720000"/>
    <x v="0"/>
    <n v="129600"/>
    <x v="0"/>
    <m/>
    <m/>
    <x v="0"/>
    <x v="0"/>
    <x v="0"/>
    <x v="4"/>
    <x v="0"/>
    <x v="0"/>
    <m/>
    <x v="0"/>
    <x v="1"/>
    <x v="0"/>
    <x v="0"/>
    <x v="0"/>
    <x v="5"/>
    <n v="2000"/>
    <n v="360"/>
    <n v="0"/>
    <d v="2024-02-09T00:00:00"/>
    <x v="0"/>
  </r>
  <r>
    <x v="453"/>
    <d v="2024-01-24T00:00:00"/>
    <x v="1624"/>
    <d v="2024-01-31T00:00:00"/>
    <x v="0"/>
    <x v="0"/>
    <n v="2800"/>
    <x v="4"/>
    <x v="0"/>
    <n v="3204.2"/>
    <n v="1.8"/>
    <n v="0"/>
    <n v="0"/>
    <x v="5"/>
    <s v="LEUCOPHOR BMF LIQUID"/>
    <n v="1414000"/>
    <x v="0"/>
    <n v="25452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2-23T00:00:00"/>
    <x v="0"/>
  </r>
  <r>
    <x v="454"/>
    <d v="2024-01-20T00:00:00"/>
    <x v="1625"/>
    <d v="2024-01-31T00:00:00"/>
    <x v="0"/>
    <x v="0"/>
    <n v="2200"/>
    <x v="4"/>
    <x v="0"/>
    <n v="2931.9090000000001"/>
    <n v="1.92"/>
    <n v="0"/>
    <n v="0"/>
    <x v="12"/>
    <s v="LUFIBROL ANTOX LIQ"/>
    <n v="1183600"/>
    <x v="0"/>
    <n v="213048"/>
    <x v="0"/>
    <m/>
    <m/>
    <x v="0"/>
    <x v="0"/>
    <x v="0"/>
    <x v="6"/>
    <x v="0"/>
    <x v="0"/>
    <m/>
    <x v="0"/>
    <x v="1"/>
    <x v="0"/>
    <x v="0"/>
    <x v="0"/>
    <x v="5"/>
    <n v="538"/>
    <n v="96.84"/>
    <n v="0"/>
    <d v="2024-02-19T00:00:00"/>
    <x v="0"/>
  </r>
  <r>
    <x v="454"/>
    <d v="2024-01-20T00:00:00"/>
    <x v="1625"/>
    <d v="2024-01-31T00:00:00"/>
    <x v="0"/>
    <x v="0"/>
    <n v="3080"/>
    <x v="4"/>
    <x v="0"/>
    <n v="3809.9189999999999"/>
    <n v="0.41"/>
    <n v="0"/>
    <n v="0"/>
    <x v="12"/>
    <s v="PRESTOGEN F-PL LIQ"/>
    <n v="354200"/>
    <x v="0"/>
    <n v="63756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2-19T00:00:00"/>
    <x v="0"/>
  </r>
  <r>
    <x v="454"/>
    <d v="2024-01-20T00:00:00"/>
    <x v="1625"/>
    <d v="2024-01-31T00:00:00"/>
    <x v="0"/>
    <x v="0"/>
    <n v="400"/>
    <x v="4"/>
    <x v="0"/>
    <n v="2904.2089999999998"/>
    <n v="0.89"/>
    <n v="0"/>
    <n v="0"/>
    <x v="12"/>
    <s v="REVATOL S LIQUID"/>
    <n v="100000"/>
    <x v="0"/>
    <n v="18000"/>
    <x v="0"/>
    <m/>
    <m/>
    <x v="0"/>
    <x v="0"/>
    <x v="0"/>
    <x v="6"/>
    <x v="0"/>
    <x v="0"/>
    <m/>
    <x v="0"/>
    <x v="1"/>
    <x v="0"/>
    <x v="0"/>
    <x v="0"/>
    <x v="5"/>
    <n v="250"/>
    <n v="45"/>
    <n v="0"/>
    <d v="2024-02-19T00:00:00"/>
    <x v="0"/>
  </r>
  <r>
    <x v="455"/>
    <d v="2024-01-20T00:00:00"/>
    <x v="1626"/>
    <d v="2024-01-31T00:00:00"/>
    <x v="0"/>
    <x v="0"/>
    <n v="1900"/>
    <x v="4"/>
    <x v="0"/>
    <n v="3204.172"/>
    <n v="1.23"/>
    <n v="0"/>
    <n v="0"/>
    <x v="5"/>
    <s v="PRINTOFIX BLACK FF-RT"/>
    <n v="655500"/>
    <x v="0"/>
    <n v="117990"/>
    <x v="0"/>
    <m/>
    <m/>
    <x v="0"/>
    <x v="0"/>
    <x v="0"/>
    <x v="4"/>
    <x v="0"/>
    <x v="0"/>
    <m/>
    <x v="0"/>
    <x v="1"/>
    <x v="0"/>
    <x v="0"/>
    <x v="0"/>
    <x v="4"/>
    <n v="345"/>
    <n v="62.1"/>
    <n v="0"/>
    <d v="2024-02-19T00:00:00"/>
    <x v="0"/>
  </r>
  <r>
    <x v="455"/>
    <d v="2024-01-20T00:00:00"/>
    <x v="1626"/>
    <d v="2024-01-31T00:00:00"/>
    <x v="0"/>
    <x v="0"/>
    <n v="600"/>
    <x v="4"/>
    <x v="0"/>
    <n v="3809.9110000000001"/>
    <n v="1.2"/>
    <n v="0"/>
    <n v="0"/>
    <x v="12"/>
    <s v="SIRRIX NE LIQ NEW 0120 "/>
    <n v="201000"/>
    <x v="0"/>
    <n v="36180"/>
    <x v="0"/>
    <m/>
    <m/>
    <x v="0"/>
    <x v="0"/>
    <x v="0"/>
    <x v="4"/>
    <x v="0"/>
    <x v="0"/>
    <m/>
    <x v="0"/>
    <x v="1"/>
    <x v="0"/>
    <x v="0"/>
    <x v="0"/>
    <x v="5"/>
    <n v="335"/>
    <n v="60.3"/>
    <n v="0"/>
    <d v="2024-02-19T00:00:00"/>
    <x v="0"/>
  </r>
  <r>
    <x v="456"/>
    <d v="2024-01-20T00:00:00"/>
    <x v="1627"/>
    <d v="2024-01-31T00:00:00"/>
    <x v="0"/>
    <x v="1"/>
    <n v="360"/>
    <x v="4"/>
    <x v="0"/>
    <n v="3402.4189999999999"/>
    <n v="3.56"/>
    <n v="360"/>
    <n v="360"/>
    <x v="12"/>
    <s v="LYOGEN WD LIQ"/>
    <n v="359280"/>
    <x v="0"/>
    <n v="64670.399999999994"/>
    <x v="0"/>
    <m/>
    <m/>
    <x v="0"/>
    <x v="0"/>
    <x v="0"/>
    <x v="0"/>
    <x v="0"/>
    <x v="0"/>
    <m/>
    <x v="0"/>
    <x v="1"/>
    <x v="0"/>
    <x v="0"/>
    <x v="0"/>
    <x v="5"/>
    <n v="998"/>
    <n v="179.64"/>
    <n v="64670.399999999994"/>
    <d v="2024-02-19T00:00:00"/>
    <x v="0"/>
  </r>
  <r>
    <x v="457"/>
    <d v="2024-01-17T00:00:00"/>
    <x v="1628"/>
    <d v="2024-01-31T00:00:00"/>
    <x v="0"/>
    <x v="0"/>
    <n v="60"/>
    <x v="4"/>
    <x v="0"/>
    <n v="3204.172"/>
    <n v="7.05"/>
    <n v="0"/>
    <n v="0"/>
    <x v="5"/>
    <s v="PRINTOFIX BRILLIANT ORANGE  FF-RT"/>
    <n v="118500"/>
    <x v="0"/>
    <n v="21330"/>
    <x v="0"/>
    <m/>
    <m/>
    <x v="0"/>
    <x v="0"/>
    <x v="0"/>
    <x v="4"/>
    <x v="0"/>
    <x v="0"/>
    <m/>
    <x v="0"/>
    <x v="1"/>
    <x v="0"/>
    <x v="0"/>
    <x v="0"/>
    <x v="4"/>
    <n v="1975"/>
    <n v="355.5"/>
    <n v="0"/>
    <d v="2024-02-16T00:00:00"/>
    <x v="0"/>
  </r>
  <r>
    <x v="458"/>
    <d v="2024-01-21T00:00:00"/>
    <x v="1629"/>
    <d v="2024-01-31T00:00:00"/>
    <x v="0"/>
    <x v="0"/>
    <n v="1760"/>
    <x v="4"/>
    <x v="0"/>
    <n v="2931.9090000000001"/>
    <n v="1.92"/>
    <n v="0"/>
    <n v="0"/>
    <x v="12"/>
    <s v="LUFIBROL ANTOX LIQ"/>
    <n v="946880"/>
    <x v="0"/>
    <n v="170438.39999999999"/>
    <x v="0"/>
    <m/>
    <m/>
    <x v="0"/>
    <x v="0"/>
    <x v="0"/>
    <x v="6"/>
    <x v="0"/>
    <x v="0"/>
    <m/>
    <x v="0"/>
    <x v="1"/>
    <x v="0"/>
    <x v="0"/>
    <x v="0"/>
    <x v="5"/>
    <n v="538"/>
    <n v="96.84"/>
    <n v="0"/>
    <d v="2024-02-20T00:00:00"/>
    <x v="0"/>
  </r>
  <r>
    <x v="458"/>
    <d v="2024-01-21T00:00:00"/>
    <x v="1629"/>
    <d v="2024-01-31T00:00:00"/>
    <x v="0"/>
    <x v="0"/>
    <n v="100"/>
    <x v="4"/>
    <x v="0"/>
    <n v="3204.172"/>
    <n v="1.23"/>
    <n v="0"/>
    <n v="0"/>
    <x v="5"/>
    <s v="PRINTOFIX BLACK FF-RT"/>
    <n v="34500"/>
    <x v="0"/>
    <n v="621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2-20T00:00:00"/>
    <x v="0"/>
  </r>
  <r>
    <x v="459"/>
    <d v="2024-01-21T00:00:00"/>
    <x v="1630"/>
    <d v="2024-01-31T00:00:00"/>
    <x v="0"/>
    <x v="0"/>
    <n v="6380"/>
    <x v="4"/>
    <x v="0"/>
    <n v="3809.9189999999999"/>
    <n v="0.41"/>
    <n v="0"/>
    <n v="0"/>
    <x v="12"/>
    <s v="PRESTOGEN F-PL LIQ"/>
    <n v="733700"/>
    <x v="0"/>
    <n v="132066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2-20T00:00:00"/>
    <x v="0"/>
  </r>
  <r>
    <x v="460"/>
    <d v="2024-01-22T00:00:00"/>
    <x v="1631"/>
    <d v="2024-01-31T00:00:00"/>
    <x v="0"/>
    <x v="0"/>
    <n v="4200"/>
    <x v="4"/>
    <x v="0"/>
    <n v="3204.2"/>
    <n v="1.8"/>
    <n v="0"/>
    <n v="0"/>
    <x v="5"/>
    <s v="LEUCOPHOR BMF LIQUID"/>
    <n v="2121000"/>
    <x v="0"/>
    <n v="3817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2-21T00:00:00"/>
    <x v="0"/>
  </r>
  <r>
    <x v="461"/>
    <d v="2024-01-23T00:00:00"/>
    <x v="1632"/>
    <d v="2024-01-31T00:00:00"/>
    <x v="0"/>
    <x v="0"/>
    <n v="5500"/>
    <x v="4"/>
    <x v="0"/>
    <n v="3809.9189999999999"/>
    <n v="0.41"/>
    <n v="0"/>
    <n v="0"/>
    <x v="12"/>
    <s v="PRESTOGEN F-PL LIQ"/>
    <n v="632500"/>
    <x v="0"/>
    <n v="113850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2-22T00:00:00"/>
    <x v="0"/>
  </r>
  <r>
    <x v="462"/>
    <d v="2024-01-19T00:00:00"/>
    <x v="1633"/>
    <d v="2024-01-31T00:00:00"/>
    <x v="0"/>
    <x v="0"/>
    <n v="100"/>
    <x v="4"/>
    <x v="0"/>
    <n v="3204.16"/>
    <n v="8.39"/>
    <n v="0"/>
    <n v="0"/>
    <x v="5"/>
    <s v="SUNZOL NAVY BLUE GRB"/>
    <n v="235000"/>
    <x v="0"/>
    <n v="42300"/>
    <x v="0"/>
    <m/>
    <m/>
    <x v="0"/>
    <x v="0"/>
    <x v="0"/>
    <x v="6"/>
    <x v="0"/>
    <x v="0"/>
    <m/>
    <x v="0"/>
    <x v="1"/>
    <x v="0"/>
    <x v="0"/>
    <x v="0"/>
    <x v="4"/>
    <n v="2350"/>
    <n v="423"/>
    <n v="0"/>
    <d v="2024-02-18T00:00:00"/>
    <x v="0"/>
  </r>
  <r>
    <x v="463"/>
    <d v="2024-01-19T00:00:00"/>
    <x v="1634"/>
    <d v="2024-01-31T00:00:00"/>
    <x v="0"/>
    <x v="0"/>
    <n v="150"/>
    <x v="4"/>
    <x v="0"/>
    <n v="2904.2089999999998"/>
    <n v="3.75"/>
    <n v="0"/>
    <n v="0"/>
    <x v="12"/>
    <s v="CHEMITOL WS GRANULES"/>
    <n v="157500"/>
    <x v="0"/>
    <n v="28350"/>
    <x v="0"/>
    <m/>
    <m/>
    <x v="0"/>
    <x v="0"/>
    <x v="0"/>
    <x v="4"/>
    <x v="0"/>
    <x v="0"/>
    <m/>
    <x v="0"/>
    <x v="1"/>
    <x v="0"/>
    <x v="0"/>
    <x v="0"/>
    <x v="5"/>
    <n v="1050"/>
    <n v="189"/>
    <n v="0"/>
    <d v="2024-02-18T00:00:00"/>
    <x v="0"/>
  </r>
  <r>
    <x v="464"/>
    <d v="2024-01-26T00:00:00"/>
    <x v="1635"/>
    <d v="2024-01-31T00:00:00"/>
    <x v="0"/>
    <x v="0"/>
    <n v="467"/>
    <x v="4"/>
    <x v="0"/>
    <n v="3809.9189999999999"/>
    <n v="0.8"/>
    <n v="0"/>
    <n v="0"/>
    <x v="12"/>
    <s v="DRYBAG"/>
    <n v="105075"/>
    <x v="0"/>
    <n v="18913.5"/>
    <x v="0"/>
    <m/>
    <m/>
    <x v="0"/>
    <x v="0"/>
    <x v="0"/>
    <x v="4"/>
    <x v="0"/>
    <x v="0"/>
    <m/>
    <x v="0"/>
    <x v="1"/>
    <x v="0"/>
    <x v="0"/>
    <x v="0"/>
    <x v="5"/>
    <n v="225"/>
    <n v="40.5"/>
    <n v="0"/>
    <d v="2024-02-25T00:00:00"/>
    <x v="0"/>
  </r>
  <r>
    <x v="465"/>
    <d v="2024-01-01T00:00:00"/>
    <x v="1636"/>
    <d v="2024-01-31T00:00:00"/>
    <x v="0"/>
    <x v="0"/>
    <n v="120"/>
    <x v="4"/>
    <x v="0"/>
    <n v="3809.9189999999999"/>
    <n v="4.2699999999999996"/>
    <n v="0"/>
    <n v="0"/>
    <x v="12"/>
    <s v="SARABID VAT"/>
    <n v="143400"/>
    <x v="0"/>
    <n v="25812"/>
    <x v="0"/>
    <m/>
    <m/>
    <x v="0"/>
    <x v="0"/>
    <x v="0"/>
    <x v="4"/>
    <x v="0"/>
    <x v="0"/>
    <m/>
    <x v="0"/>
    <x v="1"/>
    <x v="0"/>
    <x v="0"/>
    <x v="0"/>
    <x v="5"/>
    <n v="1195"/>
    <n v="215.1"/>
    <n v="0"/>
    <d v="2024-01-31T00:00:00"/>
    <x v="0"/>
  </r>
  <r>
    <x v="466"/>
    <d v="2024-01-26T00:00:00"/>
    <x v="1637"/>
    <d v="2024-01-31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25T00:00:00"/>
    <x v="0"/>
  </r>
  <r>
    <x v="467"/>
    <d v="2024-01-23T00:00:00"/>
    <x v="1638"/>
    <d v="2024-01-31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2-22T00:00:00"/>
    <x v="0"/>
  </r>
  <r>
    <x v="468"/>
    <d v="2024-01-26T00:00:00"/>
    <x v="1639"/>
    <d v="2024-01-31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6"/>
    <x v="0"/>
    <x v="0"/>
    <m/>
    <x v="0"/>
    <x v="1"/>
    <x v="0"/>
    <x v="0"/>
    <x v="0"/>
    <x v="5"/>
    <n v="195"/>
    <n v="35.1"/>
    <n v="0"/>
    <d v="2024-02-25T00:00:00"/>
    <x v="0"/>
  </r>
  <r>
    <x v="469"/>
    <d v="2024-01-23T00:00:00"/>
    <x v="1640"/>
    <d v="2024-01-31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2-22T00:00:00"/>
    <x v="0"/>
  </r>
  <r>
    <x v="470"/>
    <d v="2024-01-21T00:00:00"/>
    <x v="1641"/>
    <d v="2024-01-31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20T00:00:00"/>
    <x v="0"/>
  </r>
  <r>
    <x v="471"/>
    <d v="2024-01-21T00:00:00"/>
    <x v="1642"/>
    <d v="2024-01-31T00:00:00"/>
    <x v="0"/>
    <x v="1"/>
    <n v="28580"/>
    <x v="4"/>
    <x v="0"/>
    <n v="2815.12"/>
    <n v="0.28000000000000003"/>
    <n v="28580"/>
    <n v="28580"/>
    <x v="12"/>
    <s v="CAUSTIC SODA LIQUID"/>
    <n v="2243530"/>
    <x v="0"/>
    <n v="403835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03835.39999999997"/>
    <d v="2024-02-20T00:00:00"/>
    <x v="0"/>
  </r>
  <r>
    <x v="472"/>
    <d v="2024-01-22T00:00:00"/>
    <x v="1643"/>
    <d v="2024-01-31T00:00:00"/>
    <x v="0"/>
    <x v="1"/>
    <n v="29630"/>
    <x v="4"/>
    <x v="0"/>
    <n v="2815.12"/>
    <n v="0.28000000000000003"/>
    <n v="29630"/>
    <n v="29630"/>
    <x v="12"/>
    <s v="CAUSTIC SODA LIQUID"/>
    <n v="2325955"/>
    <x v="0"/>
    <n v="418671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671.89999999997"/>
    <d v="2024-02-21T00:00:00"/>
    <x v="0"/>
  </r>
  <r>
    <x v="473"/>
    <d v="2024-01-23T00:00:00"/>
    <x v="1644"/>
    <d v="2024-01-31T00:00:00"/>
    <x v="0"/>
    <x v="1"/>
    <n v="29610"/>
    <x v="4"/>
    <x v="0"/>
    <n v="2815.12"/>
    <n v="0.28000000000000003"/>
    <n v="29610"/>
    <n v="29610"/>
    <x v="12"/>
    <s v="CAUSTIC SODA LIQUID"/>
    <n v="2324385"/>
    <x v="0"/>
    <n v="418389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389.3"/>
    <d v="2024-02-22T00:00:00"/>
    <x v="0"/>
  </r>
  <r>
    <x v="474"/>
    <d v="2024-01-19T00:00:00"/>
    <x v="1645"/>
    <d v="2024-01-31T00:00:00"/>
    <x v="0"/>
    <x v="0"/>
    <n v="360"/>
    <x v="4"/>
    <x v="0"/>
    <n v="3809.9189999999999"/>
    <n v="5"/>
    <n v="0"/>
    <n v="0"/>
    <x v="12"/>
    <s v="PRODER M.A.C NUEVO"/>
    <n v="504000"/>
    <x v="0"/>
    <n v="90720"/>
    <x v="0"/>
    <m/>
    <m/>
    <x v="0"/>
    <x v="0"/>
    <x v="0"/>
    <x v="4"/>
    <x v="0"/>
    <x v="0"/>
    <m/>
    <x v="0"/>
    <x v="1"/>
    <x v="0"/>
    <x v="0"/>
    <x v="0"/>
    <x v="5"/>
    <n v="1400"/>
    <n v="252"/>
    <n v="0"/>
    <d v="2024-02-18T00:00:00"/>
    <x v="0"/>
  </r>
  <r>
    <x v="475"/>
    <d v="2024-01-19T00:00:00"/>
    <x v="1646"/>
    <d v="2024-01-31T00:00:00"/>
    <x v="0"/>
    <x v="0"/>
    <n v="200"/>
    <x v="4"/>
    <x v="0"/>
    <n v="3507.9"/>
    <n v="12.5"/>
    <n v="0"/>
    <n v="200"/>
    <x v="12"/>
    <s v="AQUAZYM AD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2-18T00:00:00"/>
    <x v="0"/>
  </r>
  <r>
    <x v="476"/>
    <d v="2024-01-31T00:00:00"/>
    <x v="1647"/>
    <d v="2024-01-31T00:00:00"/>
    <x v="0"/>
    <x v="0"/>
    <n v="10125"/>
    <x v="4"/>
    <x v="0"/>
    <n v="5505.1"/>
    <n v="1.44"/>
    <n v="0"/>
    <n v="0"/>
    <x v="20"/>
    <s v="Comber Noil"/>
    <n v="4080375"/>
    <x v="0"/>
    <n v="734467.5"/>
    <x v="0"/>
    <m/>
    <m/>
    <x v="0"/>
    <x v="0"/>
    <x v="0"/>
    <x v="6"/>
    <x v="0"/>
    <x v="0"/>
    <m/>
    <x v="0"/>
    <x v="1"/>
    <x v="0"/>
    <x v="0"/>
    <x v="0"/>
    <x v="8"/>
    <n v="403"/>
    <n v="72.540000000000006"/>
    <n v="0"/>
    <d v="2024-03-01T00:00:00"/>
    <x v="0"/>
  </r>
  <r>
    <x v="477"/>
    <d v="2024-01-22T00:00:00"/>
    <x v="1648"/>
    <d v="2024-01-31T00:00:00"/>
    <x v="0"/>
    <x v="0"/>
    <n v="12130"/>
    <x v="4"/>
    <x v="0"/>
    <n v="5505.1"/>
    <n v="1.39"/>
    <n v="0"/>
    <n v="0"/>
    <x v="20"/>
    <s v="Comber Noil"/>
    <n v="4730700"/>
    <x v="0"/>
    <n v="851526"/>
    <x v="0"/>
    <m/>
    <m/>
    <x v="0"/>
    <x v="0"/>
    <x v="0"/>
    <x v="4"/>
    <x v="0"/>
    <x v="0"/>
    <m/>
    <x v="0"/>
    <x v="1"/>
    <x v="0"/>
    <x v="0"/>
    <x v="0"/>
    <x v="8"/>
    <n v="390"/>
    <n v="70.2"/>
    <n v="0"/>
    <d v="2024-02-21T00:00:00"/>
    <x v="0"/>
  </r>
  <r>
    <x v="478"/>
    <d v="2024-01-22T00:00:00"/>
    <x v="1649"/>
    <d v="2024-01-31T00:00:00"/>
    <x v="0"/>
    <x v="0"/>
    <n v="13044"/>
    <x v="4"/>
    <x v="0"/>
    <n v="5505.1"/>
    <n v="1.39"/>
    <n v="0"/>
    <n v="0"/>
    <x v="20"/>
    <s v="Comber Noil"/>
    <n v="5087160"/>
    <x v="0"/>
    <n v="915688.79999999993"/>
    <x v="0"/>
    <m/>
    <m/>
    <x v="0"/>
    <x v="0"/>
    <x v="0"/>
    <x v="6"/>
    <x v="0"/>
    <x v="0"/>
    <m/>
    <x v="0"/>
    <x v="1"/>
    <x v="0"/>
    <x v="0"/>
    <x v="0"/>
    <x v="8"/>
    <n v="390"/>
    <n v="70.199999999999989"/>
    <n v="0"/>
    <d v="2024-02-21T00:00:00"/>
    <x v="0"/>
  </r>
  <r>
    <x v="479"/>
    <d v="2024-01-24T00:00:00"/>
    <x v="1650"/>
    <d v="2024-01-31T00:00:00"/>
    <x v="0"/>
    <x v="0"/>
    <n v="12644"/>
    <x v="4"/>
    <x v="0"/>
    <n v="5505.1"/>
    <n v="1.39"/>
    <n v="0"/>
    <n v="0"/>
    <x v="20"/>
    <s v="Comber Noil"/>
    <n v="4931160"/>
    <x v="0"/>
    <n v="887608.79999999993"/>
    <x v="0"/>
    <m/>
    <m/>
    <x v="0"/>
    <x v="0"/>
    <x v="0"/>
    <x v="6"/>
    <x v="0"/>
    <x v="0"/>
    <m/>
    <x v="0"/>
    <x v="1"/>
    <x v="0"/>
    <x v="0"/>
    <x v="0"/>
    <x v="8"/>
    <n v="390"/>
    <n v="70.199999999999989"/>
    <n v="0"/>
    <d v="2024-02-23T00:00:00"/>
    <x v="0"/>
  </r>
  <r>
    <x v="480"/>
    <d v="2024-01-24T00:00:00"/>
    <x v="1651"/>
    <d v="2024-01-31T00:00:00"/>
    <x v="0"/>
    <x v="0"/>
    <n v="12280"/>
    <x v="4"/>
    <x v="0"/>
    <n v="5505.1"/>
    <n v="1.39"/>
    <n v="0"/>
    <n v="0"/>
    <x v="20"/>
    <s v="Comber Noil"/>
    <n v="4789200"/>
    <x v="0"/>
    <n v="862056"/>
    <x v="0"/>
    <m/>
    <m/>
    <x v="0"/>
    <x v="0"/>
    <x v="0"/>
    <x v="6"/>
    <x v="0"/>
    <x v="0"/>
    <m/>
    <x v="0"/>
    <x v="1"/>
    <x v="0"/>
    <x v="0"/>
    <x v="0"/>
    <x v="8"/>
    <n v="390"/>
    <n v="70.2"/>
    <n v="0"/>
    <d v="2024-02-23T00:00:00"/>
    <x v="0"/>
  </r>
  <r>
    <x v="481"/>
    <d v="2024-01-26T00:00:00"/>
    <x v="1652"/>
    <d v="2024-01-31T00:00:00"/>
    <x v="0"/>
    <x v="0"/>
    <n v="9816"/>
    <x v="4"/>
    <x v="0"/>
    <n v="5505.1"/>
    <n v="1.39"/>
    <n v="0"/>
    <n v="0"/>
    <x v="20"/>
    <s v="Comber Noil"/>
    <n v="3828240"/>
    <x v="0"/>
    <n v="689083.2"/>
    <x v="0"/>
    <m/>
    <m/>
    <x v="0"/>
    <x v="0"/>
    <x v="0"/>
    <x v="6"/>
    <x v="0"/>
    <x v="0"/>
    <m/>
    <x v="0"/>
    <x v="1"/>
    <x v="0"/>
    <x v="0"/>
    <x v="0"/>
    <x v="8"/>
    <n v="390"/>
    <n v="70.199999999999989"/>
    <n v="0"/>
    <d v="2024-02-25T00:00:00"/>
    <x v="0"/>
  </r>
  <r>
    <x v="482"/>
    <d v="2024-01-28T00:00:00"/>
    <x v="1653"/>
    <d v="2024-01-31T00:00:00"/>
    <x v="0"/>
    <x v="0"/>
    <n v="10425"/>
    <x v="4"/>
    <x v="0"/>
    <n v="5505.1"/>
    <n v="1.44"/>
    <n v="0"/>
    <n v="0"/>
    <x v="20"/>
    <s v="Comber Noil"/>
    <n v="4201275"/>
    <x v="0"/>
    <n v="756229.5"/>
    <x v="0"/>
    <m/>
    <m/>
    <x v="0"/>
    <x v="0"/>
    <x v="0"/>
    <x v="6"/>
    <x v="0"/>
    <x v="0"/>
    <m/>
    <x v="0"/>
    <x v="1"/>
    <x v="0"/>
    <x v="0"/>
    <x v="0"/>
    <x v="8"/>
    <n v="403"/>
    <n v="72.540000000000006"/>
    <n v="0"/>
    <d v="2024-02-27T00:00:00"/>
    <x v="0"/>
  </r>
  <r>
    <x v="483"/>
    <d v="2024-01-29T00:00:00"/>
    <x v="1654"/>
    <d v="2024-01-31T00:00:00"/>
    <x v="0"/>
    <x v="0"/>
    <n v="10115"/>
    <x v="4"/>
    <x v="0"/>
    <n v="5505.1"/>
    <n v="1.44"/>
    <n v="0"/>
    <n v="0"/>
    <x v="20"/>
    <s v="Comber Noil"/>
    <n v="4076345"/>
    <x v="0"/>
    <n v="733742.1"/>
    <x v="0"/>
    <m/>
    <m/>
    <x v="0"/>
    <x v="0"/>
    <x v="0"/>
    <x v="6"/>
    <x v="0"/>
    <x v="0"/>
    <m/>
    <x v="0"/>
    <x v="1"/>
    <x v="0"/>
    <x v="0"/>
    <x v="0"/>
    <x v="8"/>
    <n v="403"/>
    <n v="72.539999999999992"/>
    <n v="0"/>
    <d v="2024-02-28T00:00:00"/>
    <x v="0"/>
  </r>
  <r>
    <x v="484"/>
    <d v="2024-01-31T00:00:00"/>
    <x v="1655"/>
    <d v="2024-01-31T00:00:00"/>
    <x v="0"/>
    <x v="0"/>
    <n v="9955"/>
    <x v="4"/>
    <x v="0"/>
    <n v="5505.1"/>
    <n v="1.44"/>
    <n v="0"/>
    <n v="0"/>
    <x v="20"/>
    <s v="Comber Noil"/>
    <n v="4011865"/>
    <x v="0"/>
    <n v="722135.7"/>
    <x v="0"/>
    <m/>
    <m/>
    <x v="0"/>
    <x v="0"/>
    <x v="0"/>
    <x v="6"/>
    <x v="0"/>
    <x v="0"/>
    <m/>
    <x v="0"/>
    <x v="1"/>
    <x v="0"/>
    <x v="0"/>
    <x v="0"/>
    <x v="8"/>
    <n v="403"/>
    <n v="72.539999999999992"/>
    <n v="0"/>
    <d v="2024-03-01T00:00:00"/>
    <x v="0"/>
  </r>
  <r>
    <x v="485"/>
    <d v="2024-01-14T00:00:00"/>
    <x v="1656"/>
    <d v="2024-01-31T00:00:00"/>
    <x v="0"/>
    <x v="0"/>
    <n v="20412"/>
    <x v="4"/>
    <x v="0"/>
    <n v="5205.13"/>
    <n v="2.83"/>
    <n v="0"/>
    <n v="0"/>
    <x v="10"/>
    <s v="30/1 Cotton Yarn ( 45000 LBS)"/>
    <n v="16200000"/>
    <x v="0"/>
    <n v="2916000"/>
    <x v="0"/>
    <m/>
    <m/>
    <x v="0"/>
    <x v="0"/>
    <x v="0"/>
    <x v="4"/>
    <x v="0"/>
    <x v="0"/>
    <m/>
    <x v="0"/>
    <x v="1"/>
    <x v="0"/>
    <x v="0"/>
    <x v="0"/>
    <x v="3"/>
    <n v="793.65079365079362"/>
    <n v="142.85714285714286"/>
    <n v="0"/>
    <d v="2024-02-13T00:00:00"/>
    <x v="0"/>
  </r>
  <r>
    <x v="486"/>
    <d v="2024-01-14T00:00:00"/>
    <x v="1657"/>
    <d v="2024-01-31T00:00:00"/>
    <x v="0"/>
    <x v="0"/>
    <n v="11340"/>
    <x v="4"/>
    <x v="0"/>
    <n v="5205.13"/>
    <n v="2.83"/>
    <n v="0"/>
    <n v="0"/>
    <x v="10"/>
    <s v="30/1 Cotton Yarn ( 25000 LBS)"/>
    <n v="9000000"/>
    <x v="0"/>
    <n v="1620000"/>
    <x v="0"/>
    <m/>
    <m/>
    <x v="0"/>
    <x v="0"/>
    <x v="0"/>
    <x v="4"/>
    <x v="0"/>
    <x v="0"/>
    <m/>
    <x v="0"/>
    <x v="1"/>
    <x v="0"/>
    <x v="0"/>
    <x v="0"/>
    <x v="3"/>
    <n v="793.65079365079362"/>
    <n v="142.85714285714286"/>
    <n v="0"/>
    <d v="2024-02-13T00:00:00"/>
    <x v="0"/>
  </r>
  <r>
    <x v="487"/>
    <d v="2024-02-02T00:00:00"/>
    <x v="1658"/>
    <d v="2024-02-20T00:00:00"/>
    <x v="0"/>
    <x v="0"/>
    <n v="4000"/>
    <x v="4"/>
    <x v="0"/>
    <n v="3906.9090000000001"/>
    <n v="0.5"/>
    <n v="0"/>
    <n v="0"/>
    <x v="12"/>
    <s v="TUBIFAST ACL"/>
    <n v="560000"/>
    <x v="0"/>
    <n v="1008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3-03T00:00:00"/>
    <x v="0"/>
  </r>
  <r>
    <x v="488"/>
    <d v="2024-02-02T00:00:00"/>
    <x v="1659"/>
    <d v="2024-02-20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3-03T00:00:00"/>
    <x v="0"/>
  </r>
  <r>
    <x v="489"/>
    <d v="2024-02-01T00:00:00"/>
    <x v="1660"/>
    <d v="2024-02-20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3-02T00:00:00"/>
    <x v="0"/>
  </r>
  <r>
    <x v="490"/>
    <d v="2024-02-01T00:00:00"/>
    <x v="1661"/>
    <d v="2024-02-20T00:00:00"/>
    <x v="0"/>
    <x v="1"/>
    <n v="19290"/>
    <x v="4"/>
    <x v="0"/>
    <n v="2815.12"/>
    <n v="0.28000000000000003"/>
    <n v="19290"/>
    <n v="19290"/>
    <x v="12"/>
    <s v="CAUSTIC SODA LIQUID"/>
    <n v="1514265"/>
    <x v="0"/>
    <n v="272567.7"/>
    <x v="0"/>
    <m/>
    <m/>
    <x v="0"/>
    <x v="0"/>
    <x v="0"/>
    <x v="0"/>
    <x v="0"/>
    <x v="0"/>
    <m/>
    <x v="0"/>
    <x v="1"/>
    <x v="0"/>
    <x v="0"/>
    <x v="0"/>
    <x v="5"/>
    <n v="78.5"/>
    <n v="14.13"/>
    <n v="272567.7"/>
    <d v="2024-03-02T00:00:00"/>
    <x v="0"/>
  </r>
  <r>
    <x v="491"/>
    <d v="2024-02-01T00:00:00"/>
    <x v="1662"/>
    <d v="2024-02-20T00:00:00"/>
    <x v="0"/>
    <x v="1"/>
    <n v="19500"/>
    <x v="4"/>
    <x v="0"/>
    <n v="2815.12"/>
    <n v="0.28000000000000003"/>
    <n v="19500"/>
    <n v="19500"/>
    <x v="12"/>
    <s v="CAUSTIC SODA LIQUID"/>
    <n v="1530750"/>
    <x v="0"/>
    <n v="275535"/>
    <x v="0"/>
    <m/>
    <m/>
    <x v="0"/>
    <x v="0"/>
    <x v="0"/>
    <x v="0"/>
    <x v="0"/>
    <x v="0"/>
    <m/>
    <x v="0"/>
    <x v="1"/>
    <x v="0"/>
    <x v="0"/>
    <x v="0"/>
    <x v="5"/>
    <n v="78.5"/>
    <n v="14.13"/>
    <n v="275535"/>
    <d v="2024-03-02T00:00:00"/>
    <x v="0"/>
  </r>
  <r>
    <x v="492"/>
    <d v="2024-02-01T00:00:00"/>
    <x v="1663"/>
    <d v="2024-02-20T00:00:00"/>
    <x v="0"/>
    <x v="1"/>
    <n v="29570"/>
    <x v="4"/>
    <x v="0"/>
    <n v="2815.12"/>
    <n v="0.28000000000000003"/>
    <n v="29570"/>
    <n v="29570"/>
    <x v="12"/>
    <s v="CAUSTIC SODA LIQUID"/>
    <n v="2321245"/>
    <x v="0"/>
    <n v="417824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7824.1"/>
    <d v="2024-03-02T00:00:00"/>
    <x v="0"/>
  </r>
  <r>
    <x v="493"/>
    <d v="2024-02-04T00:00:00"/>
    <x v="1664"/>
    <d v="2024-02-20T00:00:00"/>
    <x v="0"/>
    <x v="1"/>
    <n v="29670"/>
    <x v="4"/>
    <x v="0"/>
    <n v="2815.12"/>
    <n v="0.28000000000000003"/>
    <n v="29670"/>
    <n v="29670"/>
    <x v="12"/>
    <s v="CAUSTIC SODA LIQUID"/>
    <n v="2329095"/>
    <x v="0"/>
    <n v="419237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9237.1"/>
    <d v="2024-03-05T00:00:00"/>
    <x v="0"/>
  </r>
  <r>
    <x v="494"/>
    <d v="2024-02-01T00:00:00"/>
    <x v="1665"/>
    <d v="2024-02-20T00:00:00"/>
    <x v="0"/>
    <x v="1"/>
    <n v="29380"/>
    <x v="4"/>
    <x v="0"/>
    <n v="2815.12"/>
    <n v="0.28000000000000003"/>
    <n v="29380"/>
    <n v="29380"/>
    <x v="12"/>
    <s v="CAUSTIC SODA LIQUID"/>
    <n v="2306330"/>
    <x v="0"/>
    <n v="415139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5139.39999999997"/>
    <d v="2024-03-02T00:00:00"/>
    <x v="0"/>
  </r>
  <r>
    <x v="495"/>
    <d v="2024-02-01T00:00:00"/>
    <x v="1666"/>
    <d v="2024-02-20T00:00:00"/>
    <x v="0"/>
    <x v="1"/>
    <n v="29580"/>
    <x v="4"/>
    <x v="0"/>
    <n v="2815.12"/>
    <n v="0.28000000000000003"/>
    <n v="29580"/>
    <n v="29580"/>
    <x v="12"/>
    <s v="CAUSTIC SODA LIQUID"/>
    <n v="2322030"/>
    <x v="0"/>
    <n v="417965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7965.39999999997"/>
    <d v="2024-03-02T00:00:00"/>
    <x v="0"/>
  </r>
  <r>
    <x v="496"/>
    <d v="2024-02-01T00:00:00"/>
    <x v="1667"/>
    <d v="2024-02-20T00:00:00"/>
    <x v="0"/>
    <x v="0"/>
    <n v="2"/>
    <x v="4"/>
    <x v="0"/>
    <n v="3215.1190000000001"/>
    <n v="13.21"/>
    <n v="0"/>
    <n v="0"/>
    <x v="12"/>
    <s v="RAROPRINT AL"/>
    <n v="7400"/>
    <x v="0"/>
    <n v="1332"/>
    <x v="0"/>
    <m/>
    <m/>
    <x v="0"/>
    <x v="0"/>
    <x v="0"/>
    <x v="5"/>
    <x v="0"/>
    <x v="0"/>
    <m/>
    <x v="0"/>
    <x v="1"/>
    <x v="0"/>
    <x v="0"/>
    <x v="0"/>
    <x v="5"/>
    <n v="3700"/>
    <n v="666"/>
    <n v="0"/>
    <d v="2024-03-02T00:00:00"/>
    <x v="0"/>
  </r>
  <r>
    <x v="497"/>
    <d v="2024-02-01T00:00:00"/>
    <x v="1668"/>
    <d v="2024-02-20T00:00:00"/>
    <x v="0"/>
    <x v="0"/>
    <n v="8"/>
    <x v="4"/>
    <x v="0"/>
    <n v="3215.1190000000001"/>
    <n v="13.21"/>
    <n v="0"/>
    <n v="0"/>
    <x v="12"/>
    <s v="RAROPRINT AL"/>
    <n v="29600"/>
    <x v="0"/>
    <n v="5328"/>
    <x v="0"/>
    <m/>
    <m/>
    <x v="0"/>
    <x v="0"/>
    <x v="0"/>
    <x v="5"/>
    <x v="0"/>
    <x v="0"/>
    <m/>
    <x v="0"/>
    <x v="1"/>
    <x v="0"/>
    <x v="0"/>
    <x v="0"/>
    <x v="5"/>
    <n v="3700"/>
    <n v="666"/>
    <n v="0"/>
    <d v="2024-03-02T00:00:00"/>
    <x v="0"/>
  </r>
  <r>
    <x v="498"/>
    <d v="2024-02-03T00:00:00"/>
    <x v="1669"/>
    <d v="2024-02-20T00:00:00"/>
    <x v="0"/>
    <x v="0"/>
    <n v="1000"/>
    <x v="4"/>
    <x v="0"/>
    <n v="3906.902"/>
    <n v="1.34"/>
    <n v="0"/>
    <n v="0"/>
    <x v="12"/>
    <s v="OLIMPRINT BINDER PD 30"/>
    <n v="375000"/>
    <x v="0"/>
    <n v="67500"/>
    <x v="0"/>
    <m/>
    <m/>
    <x v="0"/>
    <x v="0"/>
    <x v="0"/>
    <x v="0"/>
    <x v="0"/>
    <x v="0"/>
    <m/>
    <x v="0"/>
    <x v="1"/>
    <x v="0"/>
    <x v="0"/>
    <x v="0"/>
    <x v="5"/>
    <n v="375"/>
    <n v="67.5"/>
    <n v="0"/>
    <d v="2024-03-04T00:00:00"/>
    <x v="0"/>
  </r>
  <r>
    <x v="499"/>
    <d v="2024-02-01T00:00:00"/>
    <x v="1670"/>
    <d v="2024-02-20T00:00:00"/>
    <x v="0"/>
    <x v="0"/>
    <n v="510"/>
    <x v="4"/>
    <x v="0"/>
    <n v="3204.172"/>
    <n v="4.07"/>
    <n v="0"/>
    <n v="0"/>
    <x v="5"/>
    <s v="FAVOPRINT BLUE AFFR"/>
    <n v="581400"/>
    <x v="0"/>
    <n v="104652"/>
    <x v="0"/>
    <m/>
    <m/>
    <x v="0"/>
    <x v="0"/>
    <x v="0"/>
    <x v="4"/>
    <x v="0"/>
    <x v="0"/>
    <m/>
    <x v="0"/>
    <x v="1"/>
    <x v="0"/>
    <x v="0"/>
    <x v="0"/>
    <x v="4"/>
    <n v="1140"/>
    <n v="205.2"/>
    <n v="0"/>
    <d v="2024-03-02T00:00:00"/>
    <x v="0"/>
  </r>
  <r>
    <x v="500"/>
    <d v="2024-02-01T00:00:00"/>
    <x v="1671"/>
    <d v="2024-02-20T00:00:00"/>
    <x v="0"/>
    <x v="0"/>
    <n v="2010"/>
    <x v="4"/>
    <x v="0"/>
    <n v="3204.172"/>
    <n v="4.07"/>
    <n v="0"/>
    <n v="0"/>
    <x v="5"/>
    <s v="FAVOPRINT BLUE AFFR"/>
    <n v="2291400"/>
    <x v="0"/>
    <n v="412452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3-02T00:00:00"/>
    <x v="0"/>
  </r>
  <r>
    <x v="501"/>
    <d v="2024-02-01T00:00:00"/>
    <x v="1672"/>
    <d v="2024-02-20T00:00:00"/>
    <x v="0"/>
    <x v="0"/>
    <n v="2010"/>
    <x v="4"/>
    <x v="0"/>
    <n v="3204.172"/>
    <n v="4.07"/>
    <n v="0"/>
    <n v="0"/>
    <x v="5"/>
    <s v="FAVOPRINT BLUE AFFR"/>
    <n v="2291400"/>
    <x v="0"/>
    <n v="412452"/>
    <x v="0"/>
    <m/>
    <m/>
    <x v="0"/>
    <x v="0"/>
    <x v="0"/>
    <x v="4"/>
    <x v="0"/>
    <x v="0"/>
    <m/>
    <x v="0"/>
    <x v="1"/>
    <x v="0"/>
    <x v="0"/>
    <x v="0"/>
    <x v="4"/>
    <n v="1140"/>
    <n v="205.2"/>
    <n v="0"/>
    <d v="2024-03-02T00:00:00"/>
    <x v="0"/>
  </r>
  <r>
    <x v="502"/>
    <d v="2024-02-01T00:00:00"/>
    <x v="1673"/>
    <d v="2024-02-20T00:00:00"/>
    <x v="0"/>
    <x v="0"/>
    <n v="780"/>
    <x v="4"/>
    <x v="0"/>
    <n v="3204.172"/>
    <n v="4.34"/>
    <n v="0"/>
    <n v="0"/>
    <x v="5"/>
    <s v="FAVOPRINT BLUE AFFR"/>
    <n v="947700"/>
    <x v="0"/>
    <n v="170586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3-02T00:00:00"/>
    <x v="0"/>
  </r>
  <r>
    <x v="503"/>
    <d v="2024-02-02T00:00:00"/>
    <x v="1674"/>
    <d v="2024-02-20T00:00:00"/>
    <x v="0"/>
    <x v="0"/>
    <n v="960"/>
    <x v="4"/>
    <x v="0"/>
    <n v="3204.172"/>
    <n v="4.07"/>
    <n v="0"/>
    <n v="0"/>
    <x v="5"/>
    <s v="FAVOPRINT BLUE AFFR"/>
    <n v="1094400"/>
    <x v="0"/>
    <n v="196992"/>
    <x v="0"/>
    <m/>
    <m/>
    <x v="0"/>
    <x v="0"/>
    <x v="0"/>
    <x v="4"/>
    <x v="0"/>
    <x v="0"/>
    <m/>
    <x v="0"/>
    <x v="1"/>
    <x v="0"/>
    <x v="0"/>
    <x v="0"/>
    <x v="4"/>
    <n v="1140"/>
    <n v="205.2"/>
    <n v="0"/>
    <d v="2024-03-03T00:00:00"/>
    <x v="0"/>
  </r>
  <r>
    <x v="504"/>
    <d v="2024-02-03T00:00:00"/>
    <x v="1675"/>
    <d v="2024-02-20T00:00:00"/>
    <x v="0"/>
    <x v="0"/>
    <n v="120"/>
    <x v="4"/>
    <x v="0"/>
    <n v="3809.9189999999999"/>
    <n v="7.14"/>
    <n v="0"/>
    <n v="0"/>
    <x v="12"/>
    <s v="BASE MORDIENTE M.NEW"/>
    <n v="240000"/>
    <x v="0"/>
    <n v="43200"/>
    <x v="0"/>
    <m/>
    <m/>
    <x v="0"/>
    <x v="0"/>
    <x v="0"/>
    <x v="4"/>
    <x v="0"/>
    <x v="0"/>
    <m/>
    <x v="0"/>
    <x v="1"/>
    <x v="0"/>
    <x v="0"/>
    <x v="0"/>
    <x v="5"/>
    <n v="2000"/>
    <n v="360"/>
    <n v="0"/>
    <d v="2024-03-04T00:00:00"/>
    <x v="0"/>
  </r>
  <r>
    <x v="505"/>
    <d v="2024-02-01T00:00:00"/>
    <x v="1676"/>
    <d v="2024-02-20T00:00:00"/>
    <x v="0"/>
    <x v="0"/>
    <n v="3000"/>
    <x v="4"/>
    <x v="0"/>
    <n v="3809.9189999999999"/>
    <n v="2.57"/>
    <n v="0"/>
    <n v="0"/>
    <x v="12"/>
    <s v="ALKASOFT PEN"/>
    <n v="2160000"/>
    <x v="0"/>
    <n v="388800"/>
    <x v="0"/>
    <m/>
    <m/>
    <x v="0"/>
    <x v="0"/>
    <x v="0"/>
    <x v="4"/>
    <x v="0"/>
    <x v="0"/>
    <m/>
    <x v="0"/>
    <x v="1"/>
    <x v="0"/>
    <x v="0"/>
    <x v="0"/>
    <x v="5"/>
    <n v="720"/>
    <n v="129.6"/>
    <n v="0"/>
    <d v="2024-03-02T00:00:00"/>
    <x v="0"/>
  </r>
  <r>
    <x v="506"/>
    <d v="2024-02-02T00:00:00"/>
    <x v="1677"/>
    <d v="2024-02-26T00:00:00"/>
    <x v="0"/>
    <x v="0"/>
    <n v="10275"/>
    <x v="4"/>
    <x v="0"/>
    <n v="5505.1"/>
    <n v="1.44"/>
    <n v="0"/>
    <n v="0"/>
    <x v="20"/>
    <s v="Comber Noil"/>
    <n v="4140825"/>
    <x v="0"/>
    <n v="745348.5"/>
    <x v="0"/>
    <m/>
    <m/>
    <x v="0"/>
    <x v="0"/>
    <x v="0"/>
    <x v="6"/>
    <x v="0"/>
    <x v="0"/>
    <m/>
    <x v="0"/>
    <x v="1"/>
    <x v="0"/>
    <x v="0"/>
    <x v="0"/>
    <x v="8"/>
    <n v="403"/>
    <n v="72.540000000000006"/>
    <n v="0"/>
    <d v="2024-03-03T00:00:00"/>
    <x v="0"/>
  </r>
  <r>
    <x v="507"/>
    <d v="2024-02-09T00:00:00"/>
    <x v="1678"/>
    <d v="2024-02-26T00:00:00"/>
    <x v="0"/>
    <x v="0"/>
    <n v="9221"/>
    <x v="4"/>
    <x v="0"/>
    <n v="5505.1"/>
    <n v="1.44"/>
    <n v="0"/>
    <n v="0"/>
    <x v="20"/>
    <s v="Comber Noil"/>
    <n v="3716063"/>
    <x v="0"/>
    <n v="668891.34"/>
    <x v="0"/>
    <m/>
    <m/>
    <x v="0"/>
    <x v="0"/>
    <x v="0"/>
    <x v="6"/>
    <x v="0"/>
    <x v="0"/>
    <m/>
    <x v="0"/>
    <x v="1"/>
    <x v="0"/>
    <x v="0"/>
    <x v="0"/>
    <x v="8"/>
    <n v="403"/>
    <n v="72.539999999999992"/>
    <n v="0"/>
    <d v="2024-03-10T00:00:00"/>
    <x v="0"/>
  </r>
  <r>
    <x v="508"/>
    <d v="2024-02-11T00:00:00"/>
    <x v="1679"/>
    <d v="2024-02-26T00:00:00"/>
    <x v="0"/>
    <x v="0"/>
    <n v="13124"/>
    <x v="4"/>
    <x v="0"/>
    <n v="5505.1"/>
    <n v="1.51"/>
    <n v="0"/>
    <n v="0"/>
    <x v="20"/>
    <s v="Comber Noil"/>
    <n v="5538328"/>
    <x v="0"/>
    <n v="996899.03999999992"/>
    <x v="0"/>
    <m/>
    <m/>
    <x v="0"/>
    <x v="0"/>
    <x v="0"/>
    <x v="6"/>
    <x v="0"/>
    <x v="0"/>
    <m/>
    <x v="0"/>
    <x v="1"/>
    <x v="0"/>
    <x v="0"/>
    <x v="0"/>
    <x v="8"/>
    <n v="422"/>
    <n v="75.959999999999994"/>
    <n v="0"/>
    <d v="2024-03-12T00:00:00"/>
    <x v="0"/>
  </r>
  <r>
    <x v="509"/>
    <d v="2024-02-11T00:00:00"/>
    <x v="1680"/>
    <d v="2024-02-26T00:00:00"/>
    <x v="0"/>
    <x v="0"/>
    <n v="12050"/>
    <x v="4"/>
    <x v="0"/>
    <n v="5505.1"/>
    <n v="1.51"/>
    <n v="0"/>
    <n v="0"/>
    <x v="20"/>
    <s v="Comber Noil"/>
    <n v="5085100"/>
    <x v="0"/>
    <n v="915318"/>
    <x v="0"/>
    <m/>
    <m/>
    <x v="0"/>
    <x v="0"/>
    <x v="0"/>
    <x v="6"/>
    <x v="0"/>
    <x v="0"/>
    <m/>
    <x v="0"/>
    <x v="1"/>
    <x v="0"/>
    <x v="0"/>
    <x v="0"/>
    <x v="8"/>
    <n v="422"/>
    <n v="75.959999999999994"/>
    <n v="0"/>
    <d v="2024-03-12T00:00:00"/>
    <x v="0"/>
  </r>
  <r>
    <x v="510"/>
    <d v="2024-02-13T00:00:00"/>
    <x v="1681"/>
    <d v="2024-02-26T00:00:00"/>
    <x v="0"/>
    <x v="0"/>
    <n v="12160"/>
    <x v="4"/>
    <x v="0"/>
    <n v="5505.1"/>
    <n v="1.51"/>
    <n v="0"/>
    <n v="0"/>
    <x v="20"/>
    <s v="Comber Noil"/>
    <n v="5131520"/>
    <x v="0"/>
    <n v="923673.59999999998"/>
    <x v="0"/>
    <m/>
    <m/>
    <x v="0"/>
    <x v="0"/>
    <x v="0"/>
    <x v="5"/>
    <x v="0"/>
    <x v="0"/>
    <m/>
    <x v="0"/>
    <x v="1"/>
    <x v="0"/>
    <x v="0"/>
    <x v="0"/>
    <x v="8"/>
    <n v="422"/>
    <n v="75.959999999999994"/>
    <n v="0"/>
    <d v="2024-03-14T00:00:00"/>
    <x v="0"/>
  </r>
  <r>
    <x v="511"/>
    <d v="2024-02-13T00:00:00"/>
    <x v="1682"/>
    <d v="2024-02-26T00:00:00"/>
    <x v="0"/>
    <x v="0"/>
    <n v="13054"/>
    <x v="4"/>
    <x v="0"/>
    <n v="5505.1"/>
    <n v="1.51"/>
    <n v="0"/>
    <n v="0"/>
    <x v="20"/>
    <s v="Comber Noil"/>
    <n v="5508788"/>
    <x v="0"/>
    <n v="991581.84"/>
    <x v="0"/>
    <m/>
    <m/>
    <x v="0"/>
    <x v="0"/>
    <x v="0"/>
    <x v="6"/>
    <x v="0"/>
    <x v="0"/>
    <m/>
    <x v="0"/>
    <x v="1"/>
    <x v="0"/>
    <x v="0"/>
    <x v="0"/>
    <x v="8"/>
    <n v="422"/>
    <n v="75.959999999999994"/>
    <n v="0"/>
    <d v="2024-03-14T00:00:00"/>
    <x v="0"/>
  </r>
  <r>
    <x v="512"/>
    <d v="2024-02-16T00:00:00"/>
    <x v="1683"/>
    <d v="2024-02-26T00:00:00"/>
    <x v="0"/>
    <x v="0"/>
    <n v="9688"/>
    <x v="4"/>
    <x v="0"/>
    <n v="5505.1"/>
    <n v="1.51"/>
    <n v="0"/>
    <n v="0"/>
    <x v="20"/>
    <s v="Comber Noil"/>
    <n v="4088336"/>
    <x v="0"/>
    <n v="735900.48"/>
    <x v="0"/>
    <m/>
    <m/>
    <x v="0"/>
    <x v="0"/>
    <x v="0"/>
    <x v="5"/>
    <x v="0"/>
    <x v="0"/>
    <m/>
    <x v="0"/>
    <x v="1"/>
    <x v="0"/>
    <x v="0"/>
    <x v="0"/>
    <x v="8"/>
    <n v="422"/>
    <n v="75.959999999999994"/>
    <n v="0"/>
    <d v="2024-03-17T00:00:00"/>
    <x v="0"/>
  </r>
  <r>
    <x v="513"/>
    <d v="2024-02-17T00:00:00"/>
    <x v="1684"/>
    <d v="2024-02-26T00:00:00"/>
    <x v="0"/>
    <x v="0"/>
    <n v="7970"/>
    <x v="4"/>
    <x v="0"/>
    <n v="5505.1"/>
    <n v="1.52"/>
    <n v="0"/>
    <n v="0"/>
    <x v="20"/>
    <s v="Comber Noil"/>
    <n v="3387250"/>
    <x v="0"/>
    <n v="609705"/>
    <x v="0"/>
    <m/>
    <m/>
    <x v="0"/>
    <x v="0"/>
    <x v="0"/>
    <x v="5"/>
    <x v="0"/>
    <x v="0"/>
    <m/>
    <x v="0"/>
    <x v="1"/>
    <x v="0"/>
    <x v="0"/>
    <x v="0"/>
    <x v="8"/>
    <n v="425"/>
    <n v="76.5"/>
    <n v="0"/>
    <d v="2024-03-18T00:00:00"/>
    <x v="0"/>
  </r>
  <r>
    <x v="514"/>
    <d v="2024-02-17T00:00:00"/>
    <x v="1685"/>
    <d v="2024-02-26T00:00:00"/>
    <x v="0"/>
    <x v="0"/>
    <n v="7017"/>
    <x v="4"/>
    <x v="0"/>
    <n v="5505.1"/>
    <n v="1.52"/>
    <n v="0"/>
    <n v="0"/>
    <x v="20"/>
    <s v="Comber Noil"/>
    <n v="2982225"/>
    <x v="0"/>
    <n v="536800.5"/>
    <x v="0"/>
    <m/>
    <m/>
    <x v="0"/>
    <x v="0"/>
    <x v="0"/>
    <x v="5"/>
    <x v="0"/>
    <x v="0"/>
    <m/>
    <x v="0"/>
    <x v="1"/>
    <x v="0"/>
    <x v="0"/>
    <x v="0"/>
    <x v="8"/>
    <n v="425"/>
    <n v="76.5"/>
    <n v="0"/>
    <d v="2024-03-18T00:00:00"/>
    <x v="0"/>
  </r>
  <r>
    <x v="515"/>
    <d v="2024-02-19T00:00:00"/>
    <x v="1686"/>
    <d v="2024-02-26T00:00:00"/>
    <x v="0"/>
    <x v="0"/>
    <n v="7017"/>
    <x v="4"/>
    <x v="0"/>
    <n v="5505.1"/>
    <n v="1.52"/>
    <n v="0"/>
    <n v="0"/>
    <x v="20"/>
    <s v="Comber Noil"/>
    <n v="2982225"/>
    <x v="0"/>
    <n v="536800.5"/>
    <x v="0"/>
    <m/>
    <m/>
    <x v="0"/>
    <x v="0"/>
    <x v="0"/>
    <x v="0"/>
    <x v="0"/>
    <x v="0"/>
    <m/>
    <x v="0"/>
    <x v="1"/>
    <x v="0"/>
    <x v="0"/>
    <x v="0"/>
    <x v="8"/>
    <n v="425"/>
    <n v="76.5"/>
    <n v="0"/>
    <d v="2024-03-20T00:00:00"/>
    <x v="0"/>
  </r>
  <r>
    <x v="516"/>
    <d v="2024-02-19T00:00:00"/>
    <x v="1687"/>
    <d v="2024-02-26T00:00:00"/>
    <x v="0"/>
    <x v="0"/>
    <n v="7630"/>
    <x v="4"/>
    <x v="0"/>
    <n v="5505.1"/>
    <n v="1.52"/>
    <n v="0"/>
    <n v="0"/>
    <x v="20"/>
    <s v="Comber Noil"/>
    <n v="3242750"/>
    <x v="0"/>
    <n v="583695"/>
    <x v="0"/>
    <m/>
    <m/>
    <x v="0"/>
    <x v="0"/>
    <x v="0"/>
    <x v="0"/>
    <x v="0"/>
    <x v="0"/>
    <m/>
    <x v="0"/>
    <x v="1"/>
    <x v="0"/>
    <x v="0"/>
    <x v="0"/>
    <x v="8"/>
    <n v="425"/>
    <n v="76.5"/>
    <n v="0"/>
    <d v="2024-03-20T00:00:00"/>
    <x v="0"/>
  </r>
  <r>
    <x v="517"/>
    <d v="2024-02-20T00:00:00"/>
    <x v="1688"/>
    <d v="2024-02-26T00:00:00"/>
    <x v="0"/>
    <x v="0"/>
    <n v="10543"/>
    <x v="4"/>
    <x v="0"/>
    <n v="5505.1"/>
    <n v="1.52"/>
    <n v="0"/>
    <n v="0"/>
    <x v="20"/>
    <s v="Comber Noil"/>
    <n v="4480775"/>
    <x v="0"/>
    <n v="806539.5"/>
    <x v="0"/>
    <m/>
    <m/>
    <x v="0"/>
    <x v="0"/>
    <x v="0"/>
    <x v="0"/>
    <x v="0"/>
    <x v="0"/>
    <m/>
    <x v="0"/>
    <x v="1"/>
    <x v="0"/>
    <x v="0"/>
    <x v="0"/>
    <x v="8"/>
    <n v="425"/>
    <n v="76.5"/>
    <n v="0"/>
    <d v="2024-03-21T00:00:00"/>
    <x v="0"/>
  </r>
  <r>
    <x v="518"/>
    <d v="2024-02-22T00:00:00"/>
    <x v="1689"/>
    <d v="2024-02-26T00:00:00"/>
    <x v="0"/>
    <x v="0"/>
    <n v="10035"/>
    <x v="4"/>
    <x v="0"/>
    <n v="5505.1"/>
    <n v="1.52"/>
    <n v="0"/>
    <n v="0"/>
    <x v="20"/>
    <s v="Comber Noil"/>
    <n v="4264875"/>
    <x v="0"/>
    <n v="767677.5"/>
    <x v="0"/>
    <m/>
    <m/>
    <x v="0"/>
    <x v="0"/>
    <x v="0"/>
    <x v="0"/>
    <x v="0"/>
    <x v="0"/>
    <m/>
    <x v="0"/>
    <x v="1"/>
    <x v="0"/>
    <x v="0"/>
    <x v="0"/>
    <x v="8"/>
    <n v="425"/>
    <n v="76.5"/>
    <n v="0"/>
    <d v="2024-03-23T00:00:00"/>
    <x v="0"/>
  </r>
  <r>
    <x v="519"/>
    <d v="2024-02-23T00:00:00"/>
    <x v="1690"/>
    <d v="2024-02-26T00:00:00"/>
    <x v="0"/>
    <x v="0"/>
    <n v="9788"/>
    <x v="4"/>
    <x v="0"/>
    <n v="5505.1"/>
    <n v="1.52"/>
    <n v="0"/>
    <n v="0"/>
    <x v="20"/>
    <s v="Comber Noil"/>
    <n v="4159900"/>
    <x v="0"/>
    <n v="748782"/>
    <x v="0"/>
    <m/>
    <m/>
    <x v="0"/>
    <x v="0"/>
    <x v="0"/>
    <x v="0"/>
    <x v="0"/>
    <x v="0"/>
    <m/>
    <x v="0"/>
    <x v="1"/>
    <x v="0"/>
    <x v="0"/>
    <x v="0"/>
    <x v="8"/>
    <n v="425"/>
    <n v="76.5"/>
    <n v="0"/>
    <d v="2024-03-24T00:00:00"/>
    <x v="0"/>
  </r>
  <r>
    <x v="520"/>
    <d v="2024-02-25T00:00:00"/>
    <x v="1691"/>
    <d v="2024-02-26T00:00:00"/>
    <x v="0"/>
    <x v="0"/>
    <n v="7783"/>
    <x v="4"/>
    <x v="0"/>
    <n v="5505.1"/>
    <n v="1.55"/>
    <n v="0"/>
    <n v="0"/>
    <x v="20"/>
    <s v="Comber Noil"/>
    <n v="3385605"/>
    <x v="0"/>
    <n v="609408.9"/>
    <x v="0"/>
    <m/>
    <m/>
    <x v="0"/>
    <x v="0"/>
    <x v="0"/>
    <x v="0"/>
    <x v="0"/>
    <x v="0"/>
    <m/>
    <x v="0"/>
    <x v="1"/>
    <x v="0"/>
    <x v="0"/>
    <x v="0"/>
    <x v="8"/>
    <n v="435"/>
    <n v="78.3"/>
    <n v="0"/>
    <d v="2024-03-26T00:00:00"/>
    <x v="0"/>
  </r>
  <r>
    <x v="521"/>
    <d v="2024-02-25T00:00:00"/>
    <x v="1692"/>
    <d v="2024-02-26T00:00:00"/>
    <x v="0"/>
    <x v="0"/>
    <n v="7404"/>
    <x v="4"/>
    <x v="0"/>
    <n v="5505.1"/>
    <n v="1.55"/>
    <n v="0"/>
    <n v="0"/>
    <x v="20"/>
    <s v="Comber Noil"/>
    <n v="3220740"/>
    <x v="0"/>
    <n v="579733.19999999995"/>
    <x v="0"/>
    <m/>
    <m/>
    <x v="0"/>
    <x v="0"/>
    <x v="0"/>
    <x v="0"/>
    <x v="0"/>
    <x v="0"/>
    <m/>
    <x v="0"/>
    <x v="1"/>
    <x v="0"/>
    <x v="0"/>
    <x v="0"/>
    <x v="8"/>
    <n v="435"/>
    <n v="78.3"/>
    <n v="0"/>
    <d v="2024-03-26T00:00:00"/>
    <x v="0"/>
  </r>
  <r>
    <x v="522"/>
    <d v="2024-02-26T00:00:00"/>
    <x v="1693"/>
    <d v="2024-02-26T00:00:00"/>
    <x v="0"/>
    <x v="0"/>
    <n v="7683"/>
    <x v="4"/>
    <x v="0"/>
    <n v="5505.1"/>
    <n v="1.55"/>
    <n v="0"/>
    <n v="0"/>
    <x v="20"/>
    <s v="Comber Noil"/>
    <n v="3342105"/>
    <x v="0"/>
    <n v="601578.9"/>
    <x v="0"/>
    <m/>
    <m/>
    <x v="0"/>
    <x v="0"/>
    <x v="0"/>
    <x v="0"/>
    <x v="0"/>
    <x v="0"/>
    <m/>
    <x v="0"/>
    <x v="1"/>
    <x v="0"/>
    <x v="0"/>
    <x v="0"/>
    <x v="8"/>
    <n v="435"/>
    <n v="78.3"/>
    <n v="0"/>
    <d v="2024-03-27T00:00:00"/>
    <x v="0"/>
  </r>
  <r>
    <x v="523"/>
    <d v="2024-02-26T00:00:00"/>
    <x v="1694"/>
    <d v="2024-02-26T00:00:00"/>
    <x v="0"/>
    <x v="0"/>
    <n v="7156"/>
    <x v="4"/>
    <x v="0"/>
    <n v="5505.1"/>
    <n v="1.55"/>
    <n v="0"/>
    <n v="0"/>
    <x v="20"/>
    <s v="Comber Noil"/>
    <n v="3112860"/>
    <x v="0"/>
    <n v="560314.79999999993"/>
    <x v="0"/>
    <m/>
    <m/>
    <x v="0"/>
    <x v="0"/>
    <x v="0"/>
    <x v="0"/>
    <x v="0"/>
    <x v="0"/>
    <m/>
    <x v="0"/>
    <x v="1"/>
    <x v="0"/>
    <x v="0"/>
    <x v="0"/>
    <x v="8"/>
    <n v="435"/>
    <n v="78.3"/>
    <n v="0"/>
    <d v="2024-03-27T00:00:00"/>
    <x v="0"/>
  </r>
  <r>
    <x v="524"/>
    <d v="2024-02-29T00:00:00"/>
    <x v="1695"/>
    <d v="2024-02-26T00:00:00"/>
    <x v="0"/>
    <x v="0"/>
    <n v="7086"/>
    <x v="4"/>
    <x v="0"/>
    <n v="5505.1"/>
    <n v="1.55"/>
    <n v="0"/>
    <n v="0"/>
    <x v="20"/>
    <s v="Comber Noil"/>
    <n v="3082410"/>
    <x v="0"/>
    <n v="554833.79999999993"/>
    <x v="0"/>
    <m/>
    <m/>
    <x v="0"/>
    <x v="0"/>
    <x v="0"/>
    <x v="0"/>
    <x v="0"/>
    <x v="0"/>
    <m/>
    <x v="0"/>
    <x v="1"/>
    <x v="0"/>
    <x v="0"/>
    <x v="0"/>
    <x v="8"/>
    <n v="435"/>
    <n v="78.3"/>
    <n v="0"/>
    <d v="2024-03-30T00:00:00"/>
    <x v="0"/>
  </r>
  <r>
    <x v="525"/>
    <d v="2024-02-29T00:00:00"/>
    <x v="1696"/>
    <d v="2024-02-26T00:00:00"/>
    <x v="0"/>
    <x v="0"/>
    <n v="7553"/>
    <x v="4"/>
    <x v="0"/>
    <n v="5505.1"/>
    <n v="1.55"/>
    <n v="0"/>
    <n v="0"/>
    <x v="20"/>
    <s v="Comber Noil"/>
    <n v="3285555"/>
    <x v="0"/>
    <n v="591399.9"/>
    <x v="0"/>
    <m/>
    <m/>
    <x v="0"/>
    <x v="0"/>
    <x v="0"/>
    <x v="0"/>
    <x v="0"/>
    <x v="0"/>
    <m/>
    <x v="0"/>
    <x v="1"/>
    <x v="0"/>
    <x v="0"/>
    <x v="0"/>
    <x v="8"/>
    <n v="435"/>
    <n v="78.3"/>
    <n v="0"/>
    <d v="2024-03-30T00:00:00"/>
    <x v="0"/>
  </r>
  <r>
    <x v="526"/>
    <d v="2024-02-18T00:00:00"/>
    <x v="1697"/>
    <d v="2024-02-27T00:00:00"/>
    <x v="0"/>
    <x v="1"/>
    <n v="29770"/>
    <x v="4"/>
    <x v="0"/>
    <n v="2815.12"/>
    <n v="0.28000000000000003"/>
    <n v="29770"/>
    <n v="29770"/>
    <x v="12"/>
    <s v="CAUSTIC SODA LIQUID"/>
    <n v="2336945"/>
    <x v="0"/>
    <n v="420650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20650.1"/>
    <d v="2024-03-19T00:00:00"/>
    <x v="0"/>
  </r>
  <r>
    <x v="527"/>
    <d v="2024-02-24T00:00:00"/>
    <x v="1698"/>
    <d v="2024-02-27T00:00:00"/>
    <x v="0"/>
    <x v="1"/>
    <n v="19930"/>
    <x v="4"/>
    <x v="0"/>
    <n v="2815.12"/>
    <n v="0.28000000000000003"/>
    <n v="19930"/>
    <n v="19930"/>
    <x v="12"/>
    <s v="CAUSTIC SODA LIQUID"/>
    <n v="1564505"/>
    <x v="0"/>
    <n v="2816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610.89999999997"/>
    <d v="2024-03-25T00:00:00"/>
    <x v="0"/>
  </r>
  <r>
    <x v="528"/>
    <d v="2024-02-25T00:00:00"/>
    <x v="1699"/>
    <d v="2024-02-27T00:00:00"/>
    <x v="0"/>
    <x v="1"/>
    <n v="19930"/>
    <x v="4"/>
    <x v="0"/>
    <n v="2815.12"/>
    <n v="0.28000000000000003"/>
    <n v="19930"/>
    <n v="19930"/>
    <x v="12"/>
    <s v="CAUSTIC SODA LIQUID"/>
    <n v="1564505"/>
    <x v="0"/>
    <n v="2816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610.89999999997"/>
    <d v="2024-03-26T00:00:00"/>
    <x v="0"/>
  </r>
  <r>
    <x v="529"/>
    <d v="2024-02-17T00:00:00"/>
    <x v="1700"/>
    <d v="2024-02-27T00:00:00"/>
    <x v="0"/>
    <x v="1"/>
    <n v="29630"/>
    <x v="4"/>
    <x v="0"/>
    <n v="2815.12"/>
    <n v="0.28000000000000003"/>
    <n v="29630"/>
    <n v="29630"/>
    <x v="12"/>
    <s v="CAUSTIC SODA LIQUID"/>
    <n v="2325955"/>
    <x v="0"/>
    <n v="418671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671.89999999997"/>
    <d v="2024-03-18T00:00:00"/>
    <x v="0"/>
  </r>
  <r>
    <x v="530"/>
    <d v="2024-02-21T00:00:00"/>
    <x v="1701"/>
    <d v="2024-02-27T00:00:00"/>
    <x v="0"/>
    <x v="1"/>
    <n v="19880"/>
    <x v="4"/>
    <x v="0"/>
    <n v="2815.12"/>
    <n v="0.28000000000000003"/>
    <n v="19880"/>
    <n v="19880"/>
    <x v="12"/>
    <s v="CAUSTIC SODA LIQUID"/>
    <n v="1560580"/>
    <x v="0"/>
    <n v="280904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0904.39999999997"/>
    <d v="2024-03-22T00:00:00"/>
    <x v="0"/>
  </r>
  <r>
    <x v="531"/>
    <d v="2024-02-16T00:00:00"/>
    <x v="1702"/>
    <d v="2024-02-27T00:00:00"/>
    <x v="0"/>
    <x v="1"/>
    <n v="9730"/>
    <x v="4"/>
    <x v="0"/>
    <n v="2815.12"/>
    <n v="0.28000000000000003"/>
    <n v="9730"/>
    <n v="9730"/>
    <x v="12"/>
    <s v="CAUSTIC SODA LIQUID"/>
    <n v="763805"/>
    <x v="0"/>
    <n v="137484.9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137484.9"/>
    <d v="2024-03-17T00:00:00"/>
    <x v="0"/>
  </r>
  <r>
    <x v="532"/>
    <d v="2024-02-14T00:00:00"/>
    <x v="1703"/>
    <d v="2024-02-27T00:00:00"/>
    <x v="0"/>
    <x v="1"/>
    <n v="19530"/>
    <x v="4"/>
    <x v="0"/>
    <n v="2815.12"/>
    <n v="0.28000000000000003"/>
    <n v="19530"/>
    <n v="19530"/>
    <x v="12"/>
    <s v="CAUSTIC SODA LIQUID"/>
    <n v="1533105"/>
    <x v="0"/>
    <n v="275958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75958.89999999997"/>
    <d v="2024-03-15T00:00:00"/>
    <x v="0"/>
  </r>
  <r>
    <x v="533"/>
    <d v="2024-02-11T00:00:00"/>
    <x v="1704"/>
    <d v="2024-02-27T00:00:00"/>
    <x v="0"/>
    <x v="1"/>
    <n v="19470"/>
    <x v="4"/>
    <x v="0"/>
    <n v="2815.12"/>
    <n v="0.28000000000000003"/>
    <n v="19470"/>
    <n v="19470"/>
    <x v="12"/>
    <s v="CAUSTIC SODA LIQUID"/>
    <n v="1528395"/>
    <x v="0"/>
    <n v="275111.0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75111.09999999998"/>
    <d v="2024-03-12T00:00:00"/>
    <x v="0"/>
  </r>
  <r>
    <x v="534"/>
    <d v="2024-02-07T00:00:00"/>
    <x v="1705"/>
    <d v="2024-02-27T00:00:00"/>
    <x v="0"/>
    <x v="1"/>
    <n v="29370"/>
    <x v="4"/>
    <x v="0"/>
    <n v="2815.12"/>
    <n v="0.28000000000000003"/>
    <n v="29370"/>
    <n v="29370"/>
    <x v="12"/>
    <s v="CAUSTIC SODA LIQUID"/>
    <n v="2305545"/>
    <x v="0"/>
    <n v="414998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998.1"/>
    <d v="2024-03-08T00:00:00"/>
    <x v="0"/>
  </r>
  <r>
    <x v="535"/>
    <d v="2024-02-05T00:00:00"/>
    <x v="1706"/>
    <d v="2024-02-27T00:00:00"/>
    <x v="0"/>
    <x v="1"/>
    <n v="29210"/>
    <x v="4"/>
    <x v="0"/>
    <n v="2815.12"/>
    <n v="0.28000000000000003"/>
    <n v="29210"/>
    <n v="29210"/>
    <x v="12"/>
    <s v="CAUSTIC SODA LIQUID"/>
    <n v="2292985"/>
    <x v="0"/>
    <n v="412737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2737.3"/>
    <d v="2024-03-06T00:00:00"/>
    <x v="0"/>
  </r>
  <r>
    <x v="536"/>
    <d v="2024-02-05T00:00:00"/>
    <x v="1707"/>
    <d v="2024-02-27T00:00:00"/>
    <x v="0"/>
    <x v="1"/>
    <n v="29440"/>
    <x v="4"/>
    <x v="0"/>
    <n v="2815.12"/>
    <n v="0.28000000000000003"/>
    <n v="29440"/>
    <n v="29440"/>
    <x v="12"/>
    <s v="CAUSTIC SODA LIQUID"/>
    <n v="2311040"/>
    <x v="0"/>
    <n v="415987.20000000001"/>
    <x v="0"/>
    <m/>
    <m/>
    <x v="0"/>
    <x v="0"/>
    <x v="0"/>
    <x v="0"/>
    <x v="0"/>
    <x v="0"/>
    <m/>
    <x v="0"/>
    <x v="1"/>
    <x v="0"/>
    <x v="0"/>
    <x v="0"/>
    <x v="5"/>
    <n v="78.5"/>
    <n v="14.13"/>
    <n v="415987.20000000001"/>
    <d v="2024-03-06T00:00:00"/>
    <x v="0"/>
  </r>
  <r>
    <x v="537"/>
    <d v="2024-02-11T00:00:00"/>
    <x v="1708"/>
    <d v="2024-02-27T00:00:00"/>
    <x v="0"/>
    <x v="0"/>
    <n v="500"/>
    <x v="4"/>
    <x v="0"/>
    <n v="3204.2"/>
    <n v="1.8"/>
    <n v="0"/>
    <n v="0"/>
    <x v="5"/>
    <s v="LEUCOPHOR BMF LIQUID"/>
    <n v="252500"/>
    <x v="0"/>
    <n v="4545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3-12T00:00:00"/>
    <x v="0"/>
  </r>
  <r>
    <x v="537"/>
    <d v="2024-02-11T00:00:00"/>
    <x v="1708"/>
    <d v="2024-02-27T00:00:00"/>
    <x v="0"/>
    <x v="0"/>
    <n v="400"/>
    <x v="4"/>
    <x v="0"/>
    <n v="2904.2089999999998"/>
    <n v="0.89"/>
    <n v="0"/>
    <n v="0"/>
    <x v="12"/>
    <s v="REVATOL S LIQUID"/>
    <n v="100000"/>
    <x v="0"/>
    <n v="18000"/>
    <x v="0"/>
    <m/>
    <m/>
    <x v="0"/>
    <x v="0"/>
    <x v="0"/>
    <x v="5"/>
    <x v="0"/>
    <x v="0"/>
    <m/>
    <x v="0"/>
    <x v="1"/>
    <x v="0"/>
    <x v="0"/>
    <x v="0"/>
    <x v="5"/>
    <n v="250"/>
    <n v="45"/>
    <n v="0"/>
    <d v="2024-03-12T00:00:00"/>
    <x v="0"/>
  </r>
  <r>
    <x v="537"/>
    <d v="2024-02-11T00:00:00"/>
    <x v="1708"/>
    <d v="2024-02-27T00:00:00"/>
    <x v="0"/>
    <x v="0"/>
    <n v="990"/>
    <x v="4"/>
    <x v="0"/>
    <n v="2931.9090000000001"/>
    <n v="1.92"/>
    <n v="0"/>
    <n v="0"/>
    <x v="12"/>
    <s v="LUFIBROL ANTOX LIQ"/>
    <n v="532620"/>
    <x v="0"/>
    <n v="95871.599999999991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3-12T00:00:00"/>
    <x v="0"/>
  </r>
  <r>
    <x v="538"/>
    <d v="2024-02-16T00:00:00"/>
    <x v="1709"/>
    <d v="2024-02-27T00:00:00"/>
    <x v="0"/>
    <x v="0"/>
    <n v="2640"/>
    <x v="4"/>
    <x v="0"/>
    <n v="2931.9090000000001"/>
    <n v="1.92"/>
    <n v="0"/>
    <n v="0"/>
    <x v="12"/>
    <s v="LUFIBROL ANTOX LIQ"/>
    <n v="1420320"/>
    <x v="0"/>
    <n v="255657.59999999998"/>
    <x v="0"/>
    <m/>
    <m/>
    <x v="0"/>
    <x v="0"/>
    <x v="0"/>
    <x v="6"/>
    <x v="0"/>
    <x v="0"/>
    <m/>
    <x v="0"/>
    <x v="1"/>
    <x v="0"/>
    <x v="0"/>
    <x v="0"/>
    <x v="5"/>
    <n v="538"/>
    <n v="96.839999999999989"/>
    <n v="0"/>
    <d v="2024-03-17T00:00:00"/>
    <x v="0"/>
  </r>
  <r>
    <x v="538"/>
    <d v="2024-02-16T00:00:00"/>
    <x v="1709"/>
    <d v="2024-02-27T00:00:00"/>
    <x v="0"/>
    <x v="0"/>
    <n v="1540"/>
    <x v="4"/>
    <x v="0"/>
    <n v="3809.9189999999999"/>
    <n v="0.41"/>
    <n v="0"/>
    <n v="0"/>
    <x v="12"/>
    <s v="PRESTOGEN F-PL LIQ"/>
    <n v="177100"/>
    <x v="0"/>
    <n v="31878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7T00:00:00"/>
    <x v="0"/>
  </r>
  <r>
    <x v="538"/>
    <d v="2024-02-16T00:00:00"/>
    <x v="1709"/>
    <d v="2024-02-27T00:00:00"/>
    <x v="0"/>
    <x v="0"/>
    <n v="900"/>
    <x v="4"/>
    <x v="0"/>
    <n v="3204.2"/>
    <n v="1.8"/>
    <n v="0"/>
    <n v="0"/>
    <x v="5"/>
    <s v="LEUCOPHOR BMF LIQUID"/>
    <n v="454500"/>
    <x v="0"/>
    <n v="8181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3-17T00:00:00"/>
    <x v="0"/>
  </r>
  <r>
    <x v="539"/>
    <d v="2024-02-13T00:00:00"/>
    <x v="1710"/>
    <d v="2024-02-27T00:00:00"/>
    <x v="0"/>
    <x v="0"/>
    <n v="1980"/>
    <x v="4"/>
    <x v="0"/>
    <n v="2931.9090000000001"/>
    <n v="1.92"/>
    <n v="0"/>
    <n v="0"/>
    <x v="12"/>
    <s v="LUFIBROL ANTOX LIQ"/>
    <n v="1065240"/>
    <x v="0"/>
    <n v="191743.19999999998"/>
    <x v="0"/>
    <m/>
    <m/>
    <x v="0"/>
    <x v="0"/>
    <x v="0"/>
    <x v="6"/>
    <x v="0"/>
    <x v="0"/>
    <m/>
    <x v="0"/>
    <x v="1"/>
    <x v="0"/>
    <x v="0"/>
    <x v="0"/>
    <x v="5"/>
    <n v="538"/>
    <n v="96.839999999999989"/>
    <n v="0"/>
    <d v="2024-03-14T00:00:00"/>
    <x v="0"/>
  </r>
  <r>
    <x v="539"/>
    <d v="2024-02-13T00:00:00"/>
    <x v="1710"/>
    <d v="2024-02-27T00:00:00"/>
    <x v="0"/>
    <x v="0"/>
    <n v="1320"/>
    <x v="4"/>
    <x v="0"/>
    <n v="3809.9189999999999"/>
    <n v="0.41"/>
    <n v="0"/>
    <n v="0"/>
    <x v="12"/>
    <s v="PRESTOGEN F-PL LIQ"/>
    <n v="151800"/>
    <x v="0"/>
    <n v="27324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4T00:00:00"/>
    <x v="0"/>
  </r>
  <r>
    <x v="539"/>
    <d v="2024-02-13T00:00:00"/>
    <x v="1710"/>
    <d v="2024-02-27T00:00:00"/>
    <x v="0"/>
    <x v="0"/>
    <n v="720"/>
    <x v="4"/>
    <x v="0"/>
    <n v="3809.9110000000001"/>
    <n v="1.2"/>
    <n v="0"/>
    <n v="0"/>
    <x v="12"/>
    <s v="SIRRIX NE LIQ NEW 0120 "/>
    <n v="241200"/>
    <x v="0"/>
    <n v="43416"/>
    <x v="0"/>
    <m/>
    <m/>
    <x v="0"/>
    <x v="0"/>
    <x v="0"/>
    <x v="6"/>
    <x v="0"/>
    <x v="0"/>
    <m/>
    <x v="0"/>
    <x v="1"/>
    <x v="0"/>
    <x v="0"/>
    <x v="0"/>
    <x v="5"/>
    <n v="335"/>
    <n v="60.3"/>
    <n v="0"/>
    <d v="2024-03-14T00:00:00"/>
    <x v="0"/>
  </r>
  <r>
    <x v="540"/>
    <d v="2024-02-14T00:00:00"/>
    <x v="1711"/>
    <d v="2024-02-27T00:00:00"/>
    <x v="0"/>
    <x v="0"/>
    <n v="4200"/>
    <x v="4"/>
    <x v="0"/>
    <n v="3204.2"/>
    <n v="1.8"/>
    <n v="0"/>
    <n v="0"/>
    <x v="5"/>
    <s v="LEUCOPHOR BMF LIQUID"/>
    <n v="2121000"/>
    <x v="0"/>
    <n v="38178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3-15T00:00:00"/>
    <x v="0"/>
  </r>
  <r>
    <x v="541"/>
    <d v="2024-02-14T00:00:00"/>
    <x v="1712"/>
    <d v="2024-02-27T00:00:00"/>
    <x v="0"/>
    <x v="0"/>
    <n v="5280"/>
    <x v="4"/>
    <x v="0"/>
    <n v="3809.9189999999999"/>
    <n v="0.41"/>
    <n v="0"/>
    <n v="0"/>
    <x v="12"/>
    <s v="PRESTOGEN F-PL LIQ"/>
    <n v="607200"/>
    <x v="0"/>
    <n v="109296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5T00:00:00"/>
    <x v="0"/>
  </r>
  <r>
    <x v="542"/>
    <d v="2024-02-18T00:00:00"/>
    <x v="1713"/>
    <d v="2024-02-27T00:00:00"/>
    <x v="0"/>
    <x v="0"/>
    <n v="1210"/>
    <x v="4"/>
    <x v="0"/>
    <n v="2931.9090000000001"/>
    <n v="1.92"/>
    <n v="0"/>
    <n v="0"/>
    <x v="12"/>
    <s v="LUFIBROL ANTOX LIQ"/>
    <n v="650980"/>
    <x v="0"/>
    <n v="117176.4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3-19T00:00:00"/>
    <x v="0"/>
  </r>
  <r>
    <x v="542"/>
    <d v="2024-02-18T00:00:00"/>
    <x v="1713"/>
    <d v="2024-02-27T00:00:00"/>
    <x v="0"/>
    <x v="0"/>
    <n v="1200"/>
    <x v="4"/>
    <x v="0"/>
    <n v="3204.2"/>
    <n v="1.8"/>
    <n v="0"/>
    <n v="0"/>
    <x v="5"/>
    <s v="LEUCOPHOR BMF LIQUID"/>
    <n v="606000"/>
    <x v="0"/>
    <n v="10908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3-19T00:00:00"/>
    <x v="0"/>
  </r>
  <r>
    <x v="543"/>
    <d v="2024-02-18T00:00:00"/>
    <x v="1714"/>
    <d v="2024-02-27T00:00:00"/>
    <x v="0"/>
    <x v="0"/>
    <n v="3520"/>
    <x v="4"/>
    <x v="0"/>
    <n v="3809.9189999999999"/>
    <n v="0.41"/>
    <n v="0"/>
    <n v="0"/>
    <x v="12"/>
    <s v="PRESTOGEN F-PL LIQ"/>
    <n v="404800"/>
    <x v="0"/>
    <n v="72864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9T00:00:00"/>
    <x v="0"/>
  </r>
  <r>
    <x v="544"/>
    <d v="2024-02-10T00:00:00"/>
    <x v="1715"/>
    <d v="2024-02-27T00:00:00"/>
    <x v="0"/>
    <x v="0"/>
    <n v="900"/>
    <x v="4"/>
    <x v="0"/>
    <n v="3204.172"/>
    <n v="5.34"/>
    <n v="0"/>
    <n v="0"/>
    <x v="5"/>
    <s v="PIGMASOL YELLOW MRP"/>
    <n v="1345500"/>
    <x v="0"/>
    <n v="242190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3-11T00:00:00"/>
    <x v="0"/>
  </r>
  <r>
    <x v="545"/>
    <d v="2024-02-10T00:00:00"/>
    <x v="1716"/>
    <d v="2024-02-27T00:00:00"/>
    <x v="0"/>
    <x v="0"/>
    <n v="750"/>
    <x v="4"/>
    <x v="0"/>
    <n v="3204.172"/>
    <n v="5.34"/>
    <n v="0"/>
    <n v="0"/>
    <x v="5"/>
    <s v="PIGMASOL YELLOW MRP"/>
    <n v="1121250"/>
    <x v="0"/>
    <n v="201825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3-11T00:00:00"/>
    <x v="0"/>
  </r>
  <r>
    <x v="546"/>
    <d v="2024-02-01T00:00:00"/>
    <x v="1717"/>
    <d v="2024-02-27T00:00:00"/>
    <x v="0"/>
    <x v="0"/>
    <n v="120"/>
    <x v="4"/>
    <x v="0"/>
    <n v="3809.9189999999999"/>
    <n v="1.52"/>
    <n v="0"/>
    <n v="0"/>
    <x v="12"/>
    <s v="SUBLICORE ARC PLUS "/>
    <n v="51000"/>
    <x v="0"/>
    <n v="9180"/>
    <x v="0"/>
    <m/>
    <m/>
    <x v="0"/>
    <x v="0"/>
    <x v="0"/>
    <x v="0"/>
    <x v="0"/>
    <x v="0"/>
    <m/>
    <x v="0"/>
    <x v="1"/>
    <x v="0"/>
    <x v="0"/>
    <x v="0"/>
    <x v="5"/>
    <n v="425"/>
    <n v="76.5"/>
    <n v="0"/>
    <d v="2024-03-02T00:00:00"/>
    <x v="0"/>
  </r>
  <r>
    <x v="547"/>
    <d v="2024-02-01T00:00:00"/>
    <x v="1718"/>
    <d v="2024-02-27T00:00:00"/>
    <x v="0"/>
    <x v="0"/>
    <n v="2000"/>
    <x v="4"/>
    <x v="0"/>
    <n v="3507.9"/>
    <n v="1.64"/>
    <n v="0"/>
    <n v="0"/>
    <x v="12"/>
    <s v="ENZIMA NB PLUS"/>
    <n v="920000"/>
    <x v="0"/>
    <n v="165600"/>
    <x v="0"/>
    <m/>
    <m/>
    <x v="0"/>
    <x v="0"/>
    <x v="0"/>
    <x v="6"/>
    <x v="0"/>
    <x v="0"/>
    <m/>
    <x v="0"/>
    <x v="1"/>
    <x v="0"/>
    <x v="0"/>
    <x v="0"/>
    <x v="5"/>
    <n v="460"/>
    <n v="82.8"/>
    <n v="0"/>
    <d v="2024-03-02T00:00:00"/>
    <x v="0"/>
  </r>
  <r>
    <x v="548"/>
    <d v="2024-02-04T00:00:00"/>
    <x v="1719"/>
    <d v="2024-02-27T00:00:00"/>
    <x v="0"/>
    <x v="0"/>
    <n v="12000"/>
    <x v="4"/>
    <x v="0"/>
    <n v="2836.3"/>
    <n v="0.35"/>
    <n v="0"/>
    <n v="0"/>
    <x v="12"/>
    <s v="REFINED SODIUM BICARBONATE"/>
    <n v="1170000"/>
    <x v="0"/>
    <n v="210600"/>
    <x v="0"/>
    <m/>
    <m/>
    <x v="0"/>
    <x v="0"/>
    <x v="0"/>
    <x v="5"/>
    <x v="0"/>
    <x v="0"/>
    <m/>
    <x v="0"/>
    <x v="1"/>
    <x v="0"/>
    <x v="0"/>
    <x v="0"/>
    <x v="5"/>
    <n v="97.5"/>
    <n v="17.55"/>
    <n v="0"/>
    <d v="2024-03-05T00:00:00"/>
    <x v="0"/>
  </r>
  <r>
    <x v="549"/>
    <d v="2024-02-05T00:00:00"/>
    <x v="1720"/>
    <d v="2024-02-27T00:00:00"/>
    <x v="0"/>
    <x v="0"/>
    <n v="240"/>
    <x v="4"/>
    <x v="0"/>
    <n v="3809.9189999999999"/>
    <n v="5"/>
    <n v="0"/>
    <n v="0"/>
    <x v="12"/>
    <s v="PRODER M.A.C NUEVO"/>
    <n v="336000"/>
    <x v="0"/>
    <n v="60480"/>
    <x v="0"/>
    <m/>
    <m/>
    <x v="0"/>
    <x v="0"/>
    <x v="0"/>
    <x v="0"/>
    <x v="0"/>
    <x v="0"/>
    <m/>
    <x v="0"/>
    <x v="1"/>
    <x v="0"/>
    <x v="0"/>
    <x v="0"/>
    <x v="5"/>
    <n v="1400"/>
    <n v="252"/>
    <n v="0"/>
    <d v="2024-03-06T00:00:00"/>
    <x v="0"/>
  </r>
  <r>
    <x v="550"/>
    <d v="2024-02-14T00:00:00"/>
    <x v="1721"/>
    <d v="2024-02-27T00:00:00"/>
    <x v="0"/>
    <x v="0"/>
    <n v="250"/>
    <x v="4"/>
    <x v="0"/>
    <n v="3507.9"/>
    <n v="12.5"/>
    <n v="0"/>
    <n v="0"/>
    <x v="12"/>
    <s v="AQUAZYM AD"/>
    <n v="875000"/>
    <x v="0"/>
    <n v="1575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3-15T00:00:00"/>
    <x v="0"/>
  </r>
  <r>
    <x v="551"/>
    <d v="2024-02-18T00:00:00"/>
    <x v="1722"/>
    <d v="2024-02-28T00:00:00"/>
    <x v="0"/>
    <x v="0"/>
    <n v="960"/>
    <x v="4"/>
    <x v="0"/>
    <n v="3809.9189999999999"/>
    <n v="0.64"/>
    <n v="0"/>
    <n v="0"/>
    <x v="12"/>
    <s v="CROSCOLOR NLD 30802"/>
    <n v="172800"/>
    <x v="0"/>
    <n v="31104"/>
    <x v="0"/>
    <m/>
    <m/>
    <x v="0"/>
    <x v="0"/>
    <x v="0"/>
    <x v="0"/>
    <x v="0"/>
    <x v="0"/>
    <m/>
    <x v="0"/>
    <x v="1"/>
    <x v="0"/>
    <x v="0"/>
    <x v="0"/>
    <x v="5"/>
    <n v="180"/>
    <n v="32.4"/>
    <n v="0"/>
    <d v="2024-03-19T00:00:00"/>
    <x v="0"/>
  </r>
  <r>
    <x v="552"/>
    <d v="2024-02-13T00:00:00"/>
    <x v="1723"/>
    <d v="2024-02-28T00:00:00"/>
    <x v="0"/>
    <x v="0"/>
    <n v="300"/>
    <x v="4"/>
    <x v="0"/>
    <n v="2904.2089999999998"/>
    <n v="3.13"/>
    <n v="0"/>
    <n v="0"/>
    <x v="12"/>
    <s v="CHEMITOL WS GRANULES"/>
    <n v="262500"/>
    <x v="0"/>
    <n v="47250"/>
    <x v="0"/>
    <m/>
    <m/>
    <x v="0"/>
    <x v="0"/>
    <x v="0"/>
    <x v="5"/>
    <x v="0"/>
    <x v="0"/>
    <m/>
    <x v="0"/>
    <x v="1"/>
    <x v="0"/>
    <x v="0"/>
    <x v="0"/>
    <x v="5"/>
    <n v="875"/>
    <n v="157.5"/>
    <n v="0"/>
    <d v="2024-03-14T00:00:00"/>
    <x v="0"/>
  </r>
  <r>
    <x v="553"/>
    <d v="2024-02-13T00:00:00"/>
    <x v="1724"/>
    <d v="2024-02-28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6"/>
    <x v="0"/>
    <x v="0"/>
    <m/>
    <x v="0"/>
    <x v="1"/>
    <x v="0"/>
    <x v="0"/>
    <x v="0"/>
    <x v="5"/>
    <n v="675"/>
    <n v="121.5"/>
    <n v="0"/>
    <d v="2024-03-14T00:00:00"/>
    <x v="0"/>
  </r>
  <r>
    <x v="554"/>
    <d v="2024-02-21T00:00:00"/>
    <x v="1725"/>
    <d v="2024-02-28T00:00:00"/>
    <x v="0"/>
    <x v="0"/>
    <n v="150"/>
    <x v="4"/>
    <x v="0"/>
    <n v="3204.16"/>
    <n v="8.39"/>
    <n v="0"/>
    <n v="0"/>
    <x v="5"/>
    <s v="SUNZOL NAVY BLUE GRB"/>
    <n v="352500"/>
    <x v="0"/>
    <n v="63450"/>
    <x v="0"/>
    <m/>
    <m/>
    <x v="0"/>
    <x v="0"/>
    <x v="0"/>
    <x v="6"/>
    <x v="0"/>
    <x v="0"/>
    <m/>
    <x v="0"/>
    <x v="1"/>
    <x v="0"/>
    <x v="0"/>
    <x v="0"/>
    <x v="4"/>
    <n v="2350"/>
    <n v="423"/>
    <n v="0"/>
    <d v="2024-03-22T00:00:00"/>
    <x v="0"/>
  </r>
  <r>
    <x v="555"/>
    <d v="2024-02-01T00:00:00"/>
    <x v="1726"/>
    <d v="2024-03-04T00:00:00"/>
    <x v="0"/>
    <x v="0"/>
    <n v="10183"/>
    <x v="4"/>
    <x v="0"/>
    <n v="5210.1099999999997"/>
    <n v="3.52"/>
    <n v="0"/>
    <n v="0"/>
    <x v="2"/>
    <s v="CVC60:40 - 40/1 Fabric"/>
    <n v="10024000"/>
    <x v="0"/>
    <n v="1804320"/>
    <x v="0"/>
    <m/>
    <m/>
    <x v="0"/>
    <x v="0"/>
    <x v="0"/>
    <x v="5"/>
    <x v="0"/>
    <x v="0"/>
    <m/>
    <x v="0"/>
    <x v="1"/>
    <x v="0"/>
    <x v="0"/>
    <x v="0"/>
    <x v="2"/>
    <n v="984.38574094078365"/>
    <n v="177.18943336934106"/>
    <n v="0"/>
    <d v="2024-03-02T00:00:00"/>
    <x v="0"/>
  </r>
  <r>
    <x v="556"/>
    <d v="2024-02-01T00:00:00"/>
    <x v="1727"/>
    <d v="2024-03-04T00:00:00"/>
    <x v="0"/>
    <x v="0"/>
    <n v="9885"/>
    <x v="4"/>
    <x v="0"/>
    <n v="5210.1099999999997"/>
    <n v="3.55"/>
    <n v="0"/>
    <n v="0"/>
    <x v="2"/>
    <s v="CVC60:40 - 40/1 Fabric"/>
    <n v="9834950"/>
    <x v="0"/>
    <n v="1770291"/>
    <x v="0"/>
    <m/>
    <m/>
    <x v="0"/>
    <x v="0"/>
    <x v="0"/>
    <x v="5"/>
    <x v="0"/>
    <x v="0"/>
    <m/>
    <x v="0"/>
    <x v="1"/>
    <x v="0"/>
    <x v="0"/>
    <x v="0"/>
    <x v="2"/>
    <n v="994.93677288821448"/>
    <n v="179.08861911987862"/>
    <n v="0"/>
    <d v="2024-03-02T00:00:00"/>
    <x v="0"/>
  </r>
  <r>
    <x v="557"/>
    <d v="2024-02-13T00:00:00"/>
    <x v="1728"/>
    <d v="2024-03-08T00:00:00"/>
    <x v="0"/>
    <x v="0"/>
    <n v="420"/>
    <x v="4"/>
    <x v="0"/>
    <n v="3507.9"/>
    <n v="3.13"/>
    <n v="0"/>
    <n v="0"/>
    <x v="12"/>
    <s v="PROMOLAZE HT CONC"/>
    <n v="367500"/>
    <x v="0"/>
    <n v="66150"/>
    <x v="0"/>
    <m/>
    <m/>
    <x v="0"/>
    <x v="0"/>
    <x v="0"/>
    <x v="6"/>
    <x v="0"/>
    <x v="0"/>
    <m/>
    <x v="0"/>
    <x v="1"/>
    <x v="0"/>
    <x v="0"/>
    <x v="0"/>
    <x v="5"/>
    <n v="875"/>
    <n v="157.5"/>
    <n v="0"/>
    <d v="2024-03-14T00:00:00"/>
    <x v="0"/>
  </r>
  <r>
    <x v="558"/>
    <d v="2024-02-29T00:00:00"/>
    <x v="1729"/>
    <d v="2024-03-08T00:00:00"/>
    <x v="0"/>
    <x v="0"/>
    <n v="360"/>
    <x v="4"/>
    <x v="0"/>
    <n v="3507.9"/>
    <n v="3.13"/>
    <n v="0"/>
    <n v="0"/>
    <x v="12"/>
    <s v="PROMOLAZE HT CONC"/>
    <n v="315000"/>
    <x v="0"/>
    <n v="56700"/>
    <x v="0"/>
    <m/>
    <m/>
    <x v="0"/>
    <x v="0"/>
    <x v="0"/>
    <x v="6"/>
    <x v="0"/>
    <x v="0"/>
    <m/>
    <x v="0"/>
    <x v="1"/>
    <x v="0"/>
    <x v="0"/>
    <x v="0"/>
    <x v="5"/>
    <n v="875"/>
    <n v="157.5"/>
    <n v="0"/>
    <d v="2024-03-30T00:00:00"/>
    <x v="0"/>
  </r>
  <r>
    <x v="559"/>
    <d v="2024-02-18T00:00:00"/>
    <x v="1730"/>
    <d v="2024-03-08T00:00:00"/>
    <x v="0"/>
    <x v="1"/>
    <n v="29620"/>
    <x v="4"/>
    <x v="0"/>
    <n v="2815.12"/>
    <n v="0.28000000000000003"/>
    <n v="29620"/>
    <n v="2962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530.6"/>
    <d v="2024-03-19T00:00:00"/>
    <x v="0"/>
  </r>
  <r>
    <x v="560"/>
    <d v="2024-02-18T00:00:00"/>
    <x v="1731"/>
    <d v="2024-03-08T00:00:00"/>
    <x v="0"/>
    <x v="1"/>
    <n v="29620"/>
    <x v="4"/>
    <x v="0"/>
    <n v="2815.12"/>
    <n v="0.28000000000000003"/>
    <n v="29620"/>
    <n v="2962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530.6"/>
    <d v="2024-03-19T00:00:00"/>
    <x v="0"/>
  </r>
  <r>
    <x v="561"/>
    <d v="2024-02-20T00:00:00"/>
    <x v="1732"/>
    <d v="2024-03-08T00:00:00"/>
    <x v="0"/>
    <x v="1"/>
    <n v="19920"/>
    <x v="4"/>
    <x v="0"/>
    <n v="2815.12"/>
    <n v="0.28000000000000003"/>
    <n v="19920"/>
    <n v="19920"/>
    <x v="12"/>
    <s v="CAUSTIC SODA LIQUID"/>
    <n v="1563720"/>
    <x v="0"/>
    <n v="281469.5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469.59999999998"/>
    <d v="2024-03-21T00:00:00"/>
    <x v="0"/>
  </r>
  <r>
    <x v="562"/>
    <d v="2024-02-29T00:00:00"/>
    <x v="1733"/>
    <d v="2024-03-08T00:00:00"/>
    <x v="0"/>
    <x v="1"/>
    <n v="29930"/>
    <x v="4"/>
    <x v="0"/>
    <n v="2815.12"/>
    <n v="0.28000000000000003"/>
    <n v="29930"/>
    <n v="29930"/>
    <x v="12"/>
    <s v="CAUSTIC SODA LIQUID"/>
    <n v="2349505"/>
    <x v="0"/>
    <n v="4229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22910.89999999997"/>
    <d v="2024-03-30T00:00:00"/>
    <x v="0"/>
  </r>
  <r>
    <x v="563"/>
    <d v="2024-02-29T00:00:00"/>
    <x v="1734"/>
    <d v="2024-03-08T00:00:00"/>
    <x v="0"/>
    <x v="1"/>
    <n v="29940"/>
    <x v="4"/>
    <x v="0"/>
    <n v="2815.12"/>
    <n v="0.28000000000000003"/>
    <n v="29940"/>
    <n v="29940"/>
    <x v="12"/>
    <s v="CAUSTIC SODA LIQUID"/>
    <n v="2350290"/>
    <x v="0"/>
    <n v="423052.2"/>
    <x v="0"/>
    <m/>
    <m/>
    <x v="0"/>
    <x v="0"/>
    <x v="0"/>
    <x v="0"/>
    <x v="0"/>
    <x v="0"/>
    <m/>
    <x v="0"/>
    <x v="1"/>
    <x v="0"/>
    <x v="0"/>
    <x v="0"/>
    <x v="5"/>
    <n v="78.5"/>
    <n v="14.13"/>
    <n v="423052.2"/>
    <d v="2024-03-30T00:00:00"/>
    <x v="0"/>
  </r>
  <r>
    <x v="564"/>
    <d v="2024-02-10T00:00:00"/>
    <x v="1735"/>
    <d v="2024-03-08T00:00:00"/>
    <x v="0"/>
    <x v="0"/>
    <n v="2520"/>
    <x v="4"/>
    <x v="0"/>
    <n v="3809.9189999999999"/>
    <n v="2.57"/>
    <n v="0"/>
    <n v="0"/>
    <x v="12"/>
    <s v="ALKASOFT PEN"/>
    <n v="1814400"/>
    <x v="0"/>
    <n v="326592"/>
    <x v="0"/>
    <m/>
    <m/>
    <x v="0"/>
    <x v="0"/>
    <x v="0"/>
    <x v="0"/>
    <x v="0"/>
    <x v="0"/>
    <m/>
    <x v="0"/>
    <x v="1"/>
    <x v="0"/>
    <x v="0"/>
    <x v="0"/>
    <x v="5"/>
    <n v="720"/>
    <n v="129.6"/>
    <n v="0"/>
    <d v="2024-03-11T00:00:00"/>
    <x v="0"/>
  </r>
  <r>
    <x v="565"/>
    <d v="2024-02-16T00:00:00"/>
    <x v="1736"/>
    <d v="2024-03-08T00:00:00"/>
    <x v="0"/>
    <x v="0"/>
    <n v="480"/>
    <x v="4"/>
    <x v="0"/>
    <n v="3809.9189999999999"/>
    <n v="2.57"/>
    <n v="0"/>
    <n v="0"/>
    <x v="12"/>
    <s v="ALKASOFT PEN"/>
    <n v="345600"/>
    <x v="0"/>
    <n v="62208"/>
    <x v="0"/>
    <m/>
    <m/>
    <x v="0"/>
    <x v="0"/>
    <x v="0"/>
    <x v="6"/>
    <x v="0"/>
    <x v="0"/>
    <m/>
    <x v="0"/>
    <x v="1"/>
    <x v="0"/>
    <x v="0"/>
    <x v="0"/>
    <x v="5"/>
    <n v="720"/>
    <n v="129.6"/>
    <n v="0"/>
    <d v="2024-03-17T00:00:00"/>
    <x v="0"/>
  </r>
  <r>
    <x v="566"/>
    <d v="2024-02-17T00:00:00"/>
    <x v="1737"/>
    <d v="2024-03-08T00:00:00"/>
    <x v="0"/>
    <x v="0"/>
    <n v="4920"/>
    <x v="4"/>
    <x v="0"/>
    <n v="3809.9189999999999"/>
    <n v="2.57"/>
    <n v="0"/>
    <n v="0"/>
    <x v="12"/>
    <s v="ALKASOFT PEN"/>
    <n v="3542400"/>
    <x v="0"/>
    <n v="637632"/>
    <x v="0"/>
    <m/>
    <m/>
    <x v="0"/>
    <x v="0"/>
    <x v="0"/>
    <x v="6"/>
    <x v="0"/>
    <x v="0"/>
    <m/>
    <x v="0"/>
    <x v="1"/>
    <x v="0"/>
    <x v="0"/>
    <x v="0"/>
    <x v="5"/>
    <n v="720"/>
    <n v="129.6"/>
    <n v="0"/>
    <d v="2024-03-18T00:00:00"/>
    <x v="0"/>
  </r>
  <r>
    <x v="567"/>
    <d v="2024-02-23T00:00:00"/>
    <x v="1738"/>
    <d v="2024-03-08T00:00:00"/>
    <x v="0"/>
    <x v="0"/>
    <n v="1210"/>
    <x v="4"/>
    <x v="0"/>
    <n v="2931.9090000000001"/>
    <n v="1.92"/>
    <n v="0"/>
    <n v="0"/>
    <x v="12"/>
    <s v="LUFIBROL ANTOX LIQ"/>
    <n v="650980"/>
    <x v="0"/>
    <n v="117176.4"/>
    <x v="0"/>
    <m/>
    <m/>
    <x v="0"/>
    <x v="0"/>
    <x v="0"/>
    <x v="6"/>
    <x v="0"/>
    <x v="0"/>
    <m/>
    <x v="0"/>
    <x v="1"/>
    <x v="0"/>
    <x v="0"/>
    <x v="0"/>
    <x v="5"/>
    <n v="538"/>
    <n v="96.839999999999989"/>
    <n v="0"/>
    <d v="2024-03-24T00:00:00"/>
    <x v="0"/>
  </r>
  <r>
    <x v="567"/>
    <d v="2024-02-23T00:00:00"/>
    <x v="1738"/>
    <d v="2024-03-08T00:00:00"/>
    <x v="0"/>
    <x v="0"/>
    <n v="1320"/>
    <x v="4"/>
    <x v="0"/>
    <n v="3809.9189999999999"/>
    <n v="0.41"/>
    <n v="0"/>
    <n v="0"/>
    <x v="12"/>
    <s v="PRESTOGEN F-PL LIQ"/>
    <n v="151800"/>
    <x v="0"/>
    <n v="27324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24T00:00:00"/>
    <x v="0"/>
  </r>
  <r>
    <x v="567"/>
    <d v="2024-02-23T00:00:00"/>
    <x v="1738"/>
    <d v="2024-03-08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3-24T00:00:00"/>
    <x v="0"/>
  </r>
  <r>
    <x v="568"/>
    <d v="2024-03-01T00:00:00"/>
    <x v="1739"/>
    <d v="2024-03-08T00:00:00"/>
    <x v="0"/>
    <x v="0"/>
    <n v="1"/>
    <x v="4"/>
    <x v="0"/>
    <n v="3204.1590000000001"/>
    <n v="78.040000000000006"/>
    <n v="0"/>
    <n v="0"/>
    <x v="5"/>
    <s v="BEZATHREN GOLDEN ORANGE 3G EPS"/>
    <n v="21850"/>
    <x v="0"/>
    <n v="3933"/>
    <x v="0"/>
    <m/>
    <m/>
    <x v="0"/>
    <x v="0"/>
    <x v="0"/>
    <x v="5"/>
    <x v="0"/>
    <x v="0"/>
    <m/>
    <x v="0"/>
    <x v="1"/>
    <x v="0"/>
    <x v="0"/>
    <x v="0"/>
    <x v="4"/>
    <n v="21850"/>
    <n v="3933"/>
    <n v="0"/>
    <d v="2024-03-31T00:00:00"/>
    <x v="0"/>
  </r>
  <r>
    <x v="569"/>
    <d v="2024-03-01T00:00:00"/>
    <x v="1740"/>
    <d v="2024-03-08T00:00:00"/>
    <x v="0"/>
    <x v="0"/>
    <n v="2"/>
    <x v="4"/>
    <x v="0"/>
    <n v="3204.1590000000001"/>
    <n v="78.040000000000006"/>
    <n v="0"/>
    <n v="0"/>
    <x v="5"/>
    <s v="BEZATHREN GOLDEN ORANGE 3G EPS"/>
    <n v="43700"/>
    <x v="0"/>
    <n v="7866"/>
    <x v="0"/>
    <m/>
    <m/>
    <x v="0"/>
    <x v="0"/>
    <x v="0"/>
    <x v="5"/>
    <x v="0"/>
    <x v="0"/>
    <m/>
    <x v="0"/>
    <x v="1"/>
    <x v="0"/>
    <x v="0"/>
    <x v="0"/>
    <x v="4"/>
    <n v="21850"/>
    <n v="3933"/>
    <n v="0"/>
    <d v="2024-03-31T00:00:00"/>
    <x v="0"/>
  </r>
  <r>
    <x v="570"/>
    <d v="2024-03-01T00:00:00"/>
    <x v="1741"/>
    <d v="2024-03-08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6"/>
    <x v="0"/>
    <x v="0"/>
    <m/>
    <x v="0"/>
    <x v="1"/>
    <x v="0"/>
    <x v="0"/>
    <x v="0"/>
    <x v="5"/>
    <n v="195"/>
    <n v="35.1"/>
    <n v="0"/>
    <d v="2024-03-31T00:00:00"/>
    <x v="0"/>
  </r>
  <r>
    <x v="571"/>
    <d v="2024-03-01T00:00:00"/>
    <x v="1742"/>
    <d v="2024-03-08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6"/>
    <x v="0"/>
    <x v="0"/>
    <m/>
    <x v="0"/>
    <x v="1"/>
    <x v="0"/>
    <x v="0"/>
    <x v="0"/>
    <x v="5"/>
    <n v="193"/>
    <n v="34.74"/>
    <n v="0"/>
    <d v="2024-03-31T00:00:00"/>
    <x v="0"/>
  </r>
  <r>
    <x v="572"/>
    <d v="2024-03-01T00:00:00"/>
    <x v="1743"/>
    <d v="2024-03-08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3-31T00:00:00"/>
    <x v="0"/>
  </r>
  <r>
    <x v="573"/>
    <d v="2024-03-01T00:00:00"/>
    <x v="1744"/>
    <d v="2024-03-13T00:00:00"/>
    <x v="0"/>
    <x v="0"/>
    <n v="35046"/>
    <x v="4"/>
    <x v="0"/>
    <n v="5503.201"/>
    <n v="1.3"/>
    <n v="0"/>
    <n v="0"/>
    <x v="1"/>
    <s v="Polyester Staple Fiber"/>
    <n v="12791717"/>
    <x v="0"/>
    <n v="2302509.06"/>
    <x v="0"/>
    <m/>
    <m/>
    <x v="0"/>
    <x v="0"/>
    <x v="0"/>
    <x v="0"/>
    <x v="0"/>
    <x v="0"/>
    <m/>
    <x v="0"/>
    <x v="1"/>
    <x v="0"/>
    <x v="0"/>
    <x v="0"/>
    <x v="1"/>
    <n v="364.99791702334073"/>
    <n v="65.699625064201342"/>
    <n v="0"/>
    <d v="2024-03-31T00:00:00"/>
    <x v="0"/>
  </r>
  <r>
    <x v="574"/>
    <d v="2024-03-01T00:00:00"/>
    <x v="1745"/>
    <d v="2024-03-13T00:00:00"/>
    <x v="0"/>
    <x v="0"/>
    <n v="35052"/>
    <x v="4"/>
    <x v="0"/>
    <n v="5503.201"/>
    <n v="1.3"/>
    <n v="0"/>
    <n v="0"/>
    <x v="1"/>
    <s v="Polyester Staple Fiber"/>
    <n v="12794089.5"/>
    <x v="0"/>
    <n v="2302936.11"/>
    <x v="0"/>
    <m/>
    <m/>
    <x v="0"/>
    <x v="0"/>
    <x v="0"/>
    <x v="0"/>
    <x v="0"/>
    <x v="0"/>
    <m/>
    <x v="0"/>
    <x v="1"/>
    <x v="0"/>
    <x v="0"/>
    <x v="0"/>
    <x v="1"/>
    <n v="365.00312393016088"/>
    <n v="65.700562307428953"/>
    <n v="0"/>
    <d v="2024-03-31T00:00:00"/>
    <x v="0"/>
  </r>
  <r>
    <x v="575"/>
    <d v="2024-03-01T00:00:00"/>
    <x v="1746"/>
    <d v="2024-03-13T00:00:00"/>
    <x v="0"/>
    <x v="0"/>
    <n v="28785"/>
    <x v="4"/>
    <x v="0"/>
    <n v="5503.201"/>
    <n v="1.3"/>
    <n v="0"/>
    <n v="0"/>
    <x v="1"/>
    <s v="Polyester Staple Fiber"/>
    <n v="10506342.5"/>
    <x v="0"/>
    <n v="1891141.65"/>
    <x v="0"/>
    <m/>
    <m/>
    <x v="0"/>
    <x v="0"/>
    <x v="0"/>
    <x v="0"/>
    <x v="0"/>
    <x v="0"/>
    <m/>
    <x v="0"/>
    <x v="1"/>
    <x v="0"/>
    <x v="0"/>
    <x v="0"/>
    <x v="1"/>
    <n v="364.993659892305"/>
    <n v="65.698858780614898"/>
    <n v="0"/>
    <d v="2024-03-31T00:00:00"/>
    <x v="0"/>
  </r>
  <r>
    <x v="576"/>
    <d v="2024-03-01T00:00:00"/>
    <x v="1747"/>
    <d v="2024-03-13T00:00:00"/>
    <x v="0"/>
    <x v="0"/>
    <n v="27542"/>
    <x v="4"/>
    <x v="0"/>
    <n v="5503.201"/>
    <n v="1.3"/>
    <n v="0"/>
    <n v="0"/>
    <x v="1"/>
    <s v="Polyester Staple Fiber"/>
    <n v="10052830"/>
    <x v="0"/>
    <n v="1809509.4"/>
    <x v="0"/>
    <m/>
    <m/>
    <x v="0"/>
    <x v="0"/>
    <x v="0"/>
    <x v="0"/>
    <x v="0"/>
    <x v="0"/>
    <m/>
    <x v="0"/>
    <x v="1"/>
    <x v="0"/>
    <x v="0"/>
    <x v="0"/>
    <x v="1"/>
    <n v="365"/>
    <n v="65.7"/>
    <n v="0"/>
    <d v="2024-03-31T00:00:00"/>
    <x v="0"/>
  </r>
  <r>
    <x v="577"/>
    <d v="2024-03-01T00:00:00"/>
    <x v="1748"/>
    <d v="2024-03-11T00:00:00"/>
    <x v="0"/>
    <x v="0"/>
    <n v="7463"/>
    <x v="4"/>
    <x v="0"/>
    <n v="5505.1"/>
    <n v="1.63"/>
    <n v="0"/>
    <n v="0"/>
    <x v="20"/>
    <s v="Comber Noil"/>
    <n v="3395665"/>
    <x v="0"/>
    <n v="611219.69999999995"/>
    <x v="0"/>
    <m/>
    <m/>
    <x v="0"/>
    <x v="0"/>
    <x v="0"/>
    <x v="0"/>
    <x v="0"/>
    <x v="0"/>
    <m/>
    <x v="0"/>
    <x v="1"/>
    <x v="0"/>
    <x v="0"/>
    <x v="0"/>
    <x v="8"/>
    <n v="455"/>
    <n v="81.899999999999991"/>
    <n v="0"/>
    <d v="2024-03-31T00:00:00"/>
    <x v="0"/>
  </r>
  <r>
    <x v="578"/>
    <d v="2024-03-01T00:00:00"/>
    <x v="1749"/>
    <d v="2024-03-11T00:00:00"/>
    <x v="0"/>
    <x v="0"/>
    <n v="7683"/>
    <x v="4"/>
    <x v="0"/>
    <n v="5505.1"/>
    <n v="1.63"/>
    <n v="0"/>
    <n v="0"/>
    <x v="20"/>
    <s v="Comber Noil"/>
    <n v="3495765"/>
    <x v="0"/>
    <n v="629237.69999999995"/>
    <x v="0"/>
    <m/>
    <m/>
    <x v="0"/>
    <x v="0"/>
    <x v="0"/>
    <x v="0"/>
    <x v="0"/>
    <x v="0"/>
    <m/>
    <x v="0"/>
    <x v="1"/>
    <x v="0"/>
    <x v="0"/>
    <x v="0"/>
    <x v="8"/>
    <n v="455"/>
    <n v="81.899999999999991"/>
    <n v="0"/>
    <d v="2024-03-31T00:00:00"/>
    <x v="0"/>
  </r>
  <r>
    <x v="579"/>
    <d v="2024-03-01T00:00:00"/>
    <x v="1750"/>
    <d v="2024-03-11T00:00:00"/>
    <x v="0"/>
    <x v="0"/>
    <n v="7423"/>
    <x v="4"/>
    <x v="0"/>
    <n v="5505.1"/>
    <n v="1.63"/>
    <n v="0"/>
    <n v="0"/>
    <x v="20"/>
    <s v="Comber Noil"/>
    <n v="3377465"/>
    <x v="0"/>
    <n v="607943.69999999995"/>
    <x v="0"/>
    <m/>
    <m/>
    <x v="0"/>
    <x v="0"/>
    <x v="0"/>
    <x v="0"/>
    <x v="0"/>
    <x v="0"/>
    <m/>
    <x v="0"/>
    <x v="1"/>
    <x v="0"/>
    <x v="0"/>
    <x v="0"/>
    <x v="8"/>
    <n v="455"/>
    <n v="81.899999999999991"/>
    <n v="0"/>
    <d v="2024-03-31T00:00:00"/>
    <x v="0"/>
  </r>
  <r>
    <x v="580"/>
    <d v="2024-03-01T00:00:00"/>
    <x v="1751"/>
    <d v="2024-03-11T00:00:00"/>
    <x v="0"/>
    <x v="0"/>
    <n v="7473"/>
    <x v="4"/>
    <x v="0"/>
    <n v="5505.1"/>
    <n v="1.63"/>
    <n v="0"/>
    <n v="0"/>
    <x v="20"/>
    <s v="Comber Noil"/>
    <n v="3400215"/>
    <x v="0"/>
    <n v="612038.69999999995"/>
    <x v="0"/>
    <m/>
    <m/>
    <x v="0"/>
    <x v="0"/>
    <x v="0"/>
    <x v="0"/>
    <x v="0"/>
    <x v="0"/>
    <m/>
    <x v="0"/>
    <x v="1"/>
    <x v="0"/>
    <x v="0"/>
    <x v="0"/>
    <x v="8"/>
    <n v="455"/>
    <n v="81.899999999999991"/>
    <n v="0"/>
    <d v="2024-03-31T00:00:00"/>
    <x v="0"/>
  </r>
  <r>
    <x v="581"/>
    <d v="2024-03-01T00:00:00"/>
    <x v="1752"/>
    <d v="2024-03-11T00:00:00"/>
    <x v="0"/>
    <x v="0"/>
    <n v="7653"/>
    <x v="4"/>
    <x v="0"/>
    <n v="5505.1"/>
    <n v="1.63"/>
    <n v="0"/>
    <n v="0"/>
    <x v="20"/>
    <s v="Comber Noil"/>
    <n v="3482115"/>
    <x v="0"/>
    <n v="626780.69999999995"/>
    <x v="0"/>
    <m/>
    <m/>
    <x v="0"/>
    <x v="0"/>
    <x v="0"/>
    <x v="0"/>
    <x v="0"/>
    <x v="0"/>
    <m/>
    <x v="0"/>
    <x v="1"/>
    <x v="0"/>
    <x v="0"/>
    <x v="0"/>
    <x v="8"/>
    <n v="455"/>
    <n v="81.899999999999991"/>
    <n v="0"/>
    <d v="2024-03-31T00:00:00"/>
    <x v="0"/>
  </r>
  <r>
    <x v="582"/>
    <d v="2024-03-01T00:00:00"/>
    <x v="1753"/>
    <d v="2024-03-11T00:00:00"/>
    <x v="0"/>
    <x v="0"/>
    <n v="7431"/>
    <x v="4"/>
    <x v="0"/>
    <n v="5505.1"/>
    <n v="1.63"/>
    <n v="0"/>
    <n v="0"/>
    <x v="20"/>
    <s v="Comber Noil"/>
    <n v="3381105"/>
    <x v="0"/>
    <n v="608598.9"/>
    <x v="0"/>
    <m/>
    <m/>
    <x v="0"/>
    <x v="0"/>
    <x v="0"/>
    <x v="0"/>
    <x v="0"/>
    <x v="0"/>
    <m/>
    <x v="0"/>
    <x v="1"/>
    <x v="0"/>
    <x v="0"/>
    <x v="0"/>
    <x v="8"/>
    <n v="455"/>
    <n v="81.900000000000006"/>
    <n v="0"/>
    <d v="2024-03-31T00:00:00"/>
    <x v="0"/>
  </r>
  <r>
    <x v="583"/>
    <d v="2024-03-01T00:00:00"/>
    <x v="1754"/>
    <d v="2024-03-11T00:00:00"/>
    <x v="0"/>
    <x v="0"/>
    <n v="7690"/>
    <x v="4"/>
    <x v="0"/>
    <n v="5505.1"/>
    <n v="1.63"/>
    <n v="0"/>
    <n v="0"/>
    <x v="20"/>
    <s v="Comber Noil"/>
    <n v="3498950"/>
    <x v="0"/>
    <n v="629811"/>
    <x v="0"/>
    <m/>
    <m/>
    <x v="0"/>
    <x v="0"/>
    <x v="0"/>
    <x v="0"/>
    <x v="0"/>
    <x v="0"/>
    <m/>
    <x v="0"/>
    <x v="1"/>
    <x v="0"/>
    <x v="0"/>
    <x v="0"/>
    <x v="8"/>
    <n v="455"/>
    <n v="81.900000000000006"/>
    <n v="0"/>
    <d v="2024-03-31T00:00:00"/>
    <x v="0"/>
  </r>
  <r>
    <x v="584"/>
    <d v="2024-03-01T00:00:00"/>
    <x v="1755"/>
    <d v="2024-03-11T00:00:00"/>
    <x v="0"/>
    <x v="0"/>
    <n v="7126"/>
    <x v="4"/>
    <x v="0"/>
    <n v="5505.1"/>
    <n v="1.63"/>
    <n v="0"/>
    <n v="0"/>
    <x v="20"/>
    <s v="Comber Noil"/>
    <n v="3242330"/>
    <x v="0"/>
    <n v="583619.4"/>
    <x v="0"/>
    <m/>
    <m/>
    <x v="0"/>
    <x v="0"/>
    <x v="0"/>
    <x v="0"/>
    <x v="0"/>
    <x v="0"/>
    <m/>
    <x v="0"/>
    <x v="1"/>
    <x v="0"/>
    <x v="0"/>
    <x v="0"/>
    <x v="8"/>
    <n v="455"/>
    <n v="81.900000000000006"/>
    <n v="0"/>
    <d v="2024-03-31T00:00:00"/>
    <x v="0"/>
  </r>
  <r>
    <x v="585"/>
    <d v="2024-03-02T00:00:00"/>
    <x v="1756"/>
    <d v="2024-03-11T00:00:00"/>
    <x v="0"/>
    <x v="0"/>
    <n v="7503"/>
    <x v="4"/>
    <x v="0"/>
    <n v="5505.1"/>
    <n v="1.66"/>
    <n v="0"/>
    <n v="0"/>
    <x v="20"/>
    <s v="Comber Noil"/>
    <n v="3488895"/>
    <x v="0"/>
    <n v="628001.1"/>
    <x v="0"/>
    <m/>
    <m/>
    <x v="0"/>
    <x v="0"/>
    <x v="0"/>
    <x v="0"/>
    <x v="0"/>
    <x v="0"/>
    <m/>
    <x v="0"/>
    <x v="1"/>
    <x v="0"/>
    <x v="0"/>
    <x v="0"/>
    <x v="8"/>
    <n v="465"/>
    <n v="83.7"/>
    <n v="0"/>
    <d v="2024-04-01T00:00:00"/>
    <x v="0"/>
  </r>
  <r>
    <x v="586"/>
    <d v="2024-03-02T00:00:00"/>
    <x v="1757"/>
    <d v="2024-03-11T00:00:00"/>
    <x v="0"/>
    <x v="0"/>
    <n v="7643"/>
    <x v="4"/>
    <x v="0"/>
    <n v="5505.1"/>
    <n v="1.66"/>
    <n v="0"/>
    <n v="0"/>
    <x v="20"/>
    <s v="Comber Noil"/>
    <n v="3553995"/>
    <x v="0"/>
    <n v="639719.1"/>
    <x v="0"/>
    <m/>
    <m/>
    <x v="0"/>
    <x v="0"/>
    <x v="0"/>
    <x v="0"/>
    <x v="0"/>
    <x v="0"/>
    <m/>
    <x v="0"/>
    <x v="1"/>
    <x v="0"/>
    <x v="0"/>
    <x v="0"/>
    <x v="8"/>
    <n v="465"/>
    <n v="83.7"/>
    <n v="0"/>
    <d v="2024-04-01T00:00:00"/>
    <x v="0"/>
  </r>
  <r>
    <x v="587"/>
    <d v="2024-03-05T00:00:00"/>
    <x v="1758"/>
    <d v="2024-03-13T00:00:00"/>
    <x v="0"/>
    <x v="0"/>
    <n v="7730"/>
    <x v="4"/>
    <x v="0"/>
    <n v="5505.1"/>
    <n v="1.66"/>
    <n v="0"/>
    <n v="0"/>
    <x v="20"/>
    <s v="Comber Noil"/>
    <n v="3594450"/>
    <x v="0"/>
    <n v="647001"/>
    <x v="0"/>
    <m/>
    <m/>
    <x v="0"/>
    <x v="0"/>
    <x v="0"/>
    <x v="0"/>
    <x v="0"/>
    <x v="0"/>
    <m/>
    <x v="0"/>
    <x v="1"/>
    <x v="0"/>
    <x v="0"/>
    <x v="0"/>
    <x v="8"/>
    <n v="465"/>
    <n v="83.7"/>
    <n v="0"/>
    <d v="2024-04-04T00:00:00"/>
    <x v="0"/>
  </r>
  <r>
    <x v="588"/>
    <d v="2024-03-05T00:00:00"/>
    <x v="1759"/>
    <d v="2024-03-13T00:00:00"/>
    <x v="0"/>
    <x v="0"/>
    <n v="7096"/>
    <x v="4"/>
    <x v="0"/>
    <n v="5505.1"/>
    <n v="1.66"/>
    <n v="0"/>
    <n v="0"/>
    <x v="20"/>
    <s v="Comber Noil"/>
    <n v="3299640"/>
    <x v="0"/>
    <n v="593935.19999999995"/>
    <x v="0"/>
    <m/>
    <m/>
    <x v="0"/>
    <x v="0"/>
    <x v="0"/>
    <x v="0"/>
    <x v="0"/>
    <x v="0"/>
    <m/>
    <x v="0"/>
    <x v="1"/>
    <x v="0"/>
    <x v="0"/>
    <x v="0"/>
    <x v="8"/>
    <n v="465"/>
    <n v="83.699999999999989"/>
    <n v="0"/>
    <d v="2024-04-04T00:00:00"/>
    <x v="0"/>
  </r>
  <r>
    <x v="589"/>
    <d v="2024-03-06T00:00:00"/>
    <x v="1760"/>
    <d v="2024-03-13T00:00:00"/>
    <x v="0"/>
    <x v="0"/>
    <n v="7653"/>
    <x v="4"/>
    <x v="0"/>
    <n v="5505.1"/>
    <n v="1.66"/>
    <n v="0"/>
    <n v="0"/>
    <x v="20"/>
    <s v="Comber Noil"/>
    <n v="3558645"/>
    <x v="0"/>
    <n v="640556.1"/>
    <x v="0"/>
    <m/>
    <m/>
    <x v="0"/>
    <x v="0"/>
    <x v="0"/>
    <x v="0"/>
    <x v="0"/>
    <x v="0"/>
    <m/>
    <x v="0"/>
    <x v="1"/>
    <x v="0"/>
    <x v="0"/>
    <x v="0"/>
    <x v="8"/>
    <n v="465"/>
    <n v="83.7"/>
    <n v="0"/>
    <d v="2024-04-05T00:00:00"/>
    <x v="0"/>
  </r>
  <r>
    <x v="590"/>
    <d v="2024-03-06T00:00:00"/>
    <x v="1761"/>
    <d v="2024-03-13T00:00:00"/>
    <x v="0"/>
    <x v="0"/>
    <n v="7216"/>
    <x v="4"/>
    <x v="0"/>
    <n v="5505.1"/>
    <n v="1.66"/>
    <n v="0"/>
    <n v="0"/>
    <x v="20"/>
    <s v="Comber Noil"/>
    <n v="3355440"/>
    <x v="0"/>
    <n v="603979.19999999995"/>
    <x v="0"/>
    <m/>
    <m/>
    <x v="0"/>
    <x v="0"/>
    <x v="0"/>
    <x v="0"/>
    <x v="0"/>
    <x v="0"/>
    <m/>
    <x v="0"/>
    <x v="1"/>
    <x v="0"/>
    <x v="0"/>
    <x v="0"/>
    <x v="8"/>
    <n v="465"/>
    <n v="83.699999999999989"/>
    <n v="0"/>
    <d v="2024-04-05T00:00:00"/>
    <x v="0"/>
  </r>
  <r>
    <x v="591"/>
    <d v="2024-03-09T00:00:00"/>
    <x v="1762"/>
    <d v="2024-03-13T00:00:00"/>
    <x v="0"/>
    <x v="0"/>
    <n v="7730"/>
    <x v="4"/>
    <x v="0"/>
    <n v="5505.1"/>
    <n v="1.66"/>
    <n v="0"/>
    <n v="0"/>
    <x v="20"/>
    <s v="Comber Noil"/>
    <n v="3594450"/>
    <x v="0"/>
    <n v="647001"/>
    <x v="0"/>
    <m/>
    <m/>
    <x v="0"/>
    <x v="0"/>
    <x v="0"/>
    <x v="0"/>
    <x v="0"/>
    <x v="0"/>
    <m/>
    <x v="0"/>
    <x v="1"/>
    <x v="0"/>
    <x v="0"/>
    <x v="0"/>
    <x v="8"/>
    <n v="465"/>
    <n v="83.7"/>
    <n v="0"/>
    <d v="2024-04-08T00:00:00"/>
    <x v="0"/>
  </r>
  <r>
    <x v="592"/>
    <d v="2024-03-09T00:00:00"/>
    <x v="1763"/>
    <d v="2024-03-13T00:00:00"/>
    <x v="0"/>
    <x v="0"/>
    <n v="7294"/>
    <x v="4"/>
    <x v="0"/>
    <n v="5505.1"/>
    <n v="1.66"/>
    <n v="0"/>
    <n v="0"/>
    <x v="20"/>
    <s v="Comber Noil"/>
    <n v="3391710"/>
    <x v="0"/>
    <n v="610507.79999999993"/>
    <x v="0"/>
    <m/>
    <m/>
    <x v="0"/>
    <x v="0"/>
    <x v="0"/>
    <x v="0"/>
    <x v="0"/>
    <x v="0"/>
    <m/>
    <x v="0"/>
    <x v="1"/>
    <x v="0"/>
    <x v="0"/>
    <x v="0"/>
    <x v="8"/>
    <n v="465"/>
    <n v="83.699999999999989"/>
    <n v="0"/>
    <d v="2024-04-08T00:00:00"/>
    <x v="0"/>
  </r>
  <r>
    <x v="593"/>
    <d v="2024-03-01T00:00:00"/>
    <x v="1764"/>
    <d v="2024-03-16T00:00:00"/>
    <x v="0"/>
    <x v="0"/>
    <n v="600"/>
    <x v="4"/>
    <x v="0"/>
    <n v="3809.9189999999999"/>
    <n v="1.88"/>
    <n v="0"/>
    <n v="0"/>
    <x v="12"/>
    <s v="RUCOFIN SIQ"/>
    <n v="315000"/>
    <x v="0"/>
    <n v="56700"/>
    <x v="0"/>
    <m/>
    <m/>
    <x v="0"/>
    <x v="0"/>
    <x v="0"/>
    <x v="6"/>
    <x v="0"/>
    <x v="0"/>
    <m/>
    <x v="0"/>
    <x v="1"/>
    <x v="0"/>
    <x v="0"/>
    <x v="0"/>
    <x v="5"/>
    <n v="525"/>
    <n v="94.5"/>
    <n v="0"/>
    <d v="2024-03-31T00:00:00"/>
    <x v="0"/>
  </r>
  <r>
    <x v="594"/>
    <d v="2024-03-01T00:00:00"/>
    <x v="1765"/>
    <d v="2024-03-16T00:00:00"/>
    <x v="0"/>
    <x v="1"/>
    <n v="19910"/>
    <x v="4"/>
    <x v="0"/>
    <n v="2815.12"/>
    <n v="0.28000000000000003"/>
    <n v="19910"/>
    <n v="19910"/>
    <x v="12"/>
    <s v="CAUSTIC SODA LIQUID"/>
    <n v="1562935"/>
    <x v="0"/>
    <n v="281328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328.3"/>
    <d v="2024-03-31T00:00:00"/>
    <x v="0"/>
  </r>
  <r>
    <x v="595"/>
    <d v="2024-03-01T00:00:00"/>
    <x v="1766"/>
    <d v="2024-03-16T00:00:00"/>
    <x v="0"/>
    <x v="1"/>
    <n v="19920"/>
    <x v="4"/>
    <x v="0"/>
    <n v="2815.12"/>
    <n v="0.28000000000000003"/>
    <n v="19920"/>
    <n v="19920"/>
    <x v="12"/>
    <s v="CAUSTIC SODA LIQUID"/>
    <n v="1563720"/>
    <x v="0"/>
    <n v="281469.5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469.59999999998"/>
    <d v="2024-03-31T00:00:00"/>
    <x v="0"/>
  </r>
  <r>
    <x v="596"/>
    <d v="2024-03-01T00:00:00"/>
    <x v="1767"/>
    <d v="2024-03-16T00:00:00"/>
    <x v="0"/>
    <x v="1"/>
    <n v="29900"/>
    <x v="4"/>
    <x v="0"/>
    <n v="2815.12"/>
    <n v="0.28000000000000003"/>
    <n v="29900"/>
    <n v="29900"/>
    <x v="12"/>
    <s v="CAUSTIC SODA LIQUID"/>
    <n v="2347150"/>
    <x v="0"/>
    <n v="422487"/>
    <x v="0"/>
    <m/>
    <m/>
    <x v="0"/>
    <x v="0"/>
    <x v="0"/>
    <x v="0"/>
    <x v="0"/>
    <x v="0"/>
    <m/>
    <x v="0"/>
    <x v="1"/>
    <x v="0"/>
    <x v="0"/>
    <x v="0"/>
    <x v="5"/>
    <n v="78.5"/>
    <n v="14.13"/>
    <n v="422487"/>
    <d v="2024-03-31T00:00:00"/>
    <x v="0"/>
  </r>
  <r>
    <x v="597"/>
    <d v="2024-03-04T00:00:00"/>
    <x v="1768"/>
    <d v="2024-03-16T00:00:00"/>
    <x v="0"/>
    <x v="1"/>
    <n v="29890"/>
    <x v="4"/>
    <x v="0"/>
    <n v="2815.12"/>
    <n v="0.28000000000000003"/>
    <n v="29890"/>
    <n v="29890"/>
    <x v="12"/>
    <s v="CAUSTIC SODA LIQUID"/>
    <n v="2346365"/>
    <x v="0"/>
    <n v="422345.7"/>
    <x v="0"/>
    <m/>
    <m/>
    <x v="0"/>
    <x v="0"/>
    <x v="0"/>
    <x v="0"/>
    <x v="0"/>
    <x v="0"/>
    <m/>
    <x v="0"/>
    <x v="1"/>
    <x v="0"/>
    <x v="0"/>
    <x v="0"/>
    <x v="5"/>
    <n v="78.5"/>
    <n v="14.13"/>
    <n v="422345.7"/>
    <d v="2024-04-03T00:00:00"/>
    <x v="0"/>
  </r>
  <r>
    <x v="598"/>
    <d v="2024-03-04T00:00:00"/>
    <x v="1769"/>
    <d v="2024-03-16T00:00:00"/>
    <x v="0"/>
    <x v="1"/>
    <n v="29890"/>
    <x v="4"/>
    <x v="0"/>
    <n v="2815.12"/>
    <n v="0.28000000000000003"/>
    <n v="29890"/>
    <n v="29890"/>
    <x v="12"/>
    <s v="CAUSTIC SODA LIQUID"/>
    <n v="2346365"/>
    <x v="0"/>
    <n v="422345.7"/>
    <x v="0"/>
    <m/>
    <m/>
    <x v="0"/>
    <x v="0"/>
    <x v="0"/>
    <x v="0"/>
    <x v="0"/>
    <x v="0"/>
    <m/>
    <x v="0"/>
    <x v="1"/>
    <x v="0"/>
    <x v="0"/>
    <x v="0"/>
    <x v="5"/>
    <n v="78.5"/>
    <n v="14.13"/>
    <n v="422345.7"/>
    <d v="2024-04-03T00:00:00"/>
    <x v="0"/>
  </r>
  <r>
    <x v="599"/>
    <d v="2024-03-01T00:00:00"/>
    <x v="1770"/>
    <d v="2024-03-16T00:00:00"/>
    <x v="0"/>
    <x v="0"/>
    <n v="600"/>
    <x v="4"/>
    <x v="0"/>
    <n v="2904.2089999999998"/>
    <n v="0.89"/>
    <n v="0"/>
    <n v="0"/>
    <x v="12"/>
    <s v="REVATOL S LIQUID"/>
    <n v="150000"/>
    <x v="0"/>
    <n v="27000"/>
    <x v="0"/>
    <m/>
    <m/>
    <x v="0"/>
    <x v="0"/>
    <x v="0"/>
    <x v="0"/>
    <x v="0"/>
    <x v="0"/>
    <m/>
    <x v="0"/>
    <x v="1"/>
    <x v="0"/>
    <x v="0"/>
    <x v="0"/>
    <x v="5"/>
    <n v="250"/>
    <n v="45"/>
    <n v="0"/>
    <d v="2024-03-31T00:00:00"/>
    <x v="0"/>
  </r>
  <r>
    <x v="600"/>
    <d v="2024-03-01T00:00:00"/>
    <x v="1771"/>
    <d v="2024-03-16T00:00:00"/>
    <x v="0"/>
    <x v="0"/>
    <n v="60"/>
    <x v="4"/>
    <x v="0"/>
    <n v="3204.172"/>
    <n v="10.18"/>
    <n v="0"/>
    <n v="0"/>
    <x v="5"/>
    <s v="PRINTOFIX PINK H-5BL"/>
    <n v="171000"/>
    <x v="0"/>
    <n v="30780"/>
    <x v="0"/>
    <m/>
    <m/>
    <x v="0"/>
    <x v="0"/>
    <x v="0"/>
    <x v="4"/>
    <x v="0"/>
    <x v="0"/>
    <m/>
    <x v="0"/>
    <x v="1"/>
    <x v="0"/>
    <x v="0"/>
    <x v="0"/>
    <x v="4"/>
    <n v="2850"/>
    <n v="513"/>
    <n v="0"/>
    <d v="2024-03-31T00:00:00"/>
    <x v="0"/>
  </r>
  <r>
    <x v="601"/>
    <d v="2024-03-02T00:00:00"/>
    <x v="1772"/>
    <d v="2024-03-16T00:00:00"/>
    <x v="0"/>
    <x v="0"/>
    <n v="1500"/>
    <x v="4"/>
    <x v="0"/>
    <n v="3204.2"/>
    <n v="1.8"/>
    <n v="0"/>
    <n v="0"/>
    <x v="5"/>
    <s v="LEUCOPHOR BMF LIQUID"/>
    <n v="757500"/>
    <x v="0"/>
    <n v="13635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4-01T00:00:00"/>
    <x v="0"/>
  </r>
  <r>
    <x v="602"/>
    <d v="2024-03-03T00:00:00"/>
    <x v="1773"/>
    <d v="2024-03-16T00:00:00"/>
    <x v="0"/>
    <x v="0"/>
    <n v="1200"/>
    <x v="4"/>
    <x v="0"/>
    <n v="3204.2"/>
    <n v="1.8"/>
    <n v="0"/>
    <n v="0"/>
    <x v="5"/>
    <s v="LEUCOPHOR BMF LIQUID"/>
    <n v="606000"/>
    <x v="0"/>
    <n v="10908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4-02T00:00:00"/>
    <x v="0"/>
  </r>
  <r>
    <x v="603"/>
    <d v="2024-03-03T00:00:00"/>
    <x v="1774"/>
    <d v="2024-03-16T00:00:00"/>
    <x v="0"/>
    <x v="0"/>
    <n v="500"/>
    <x v="4"/>
    <x v="0"/>
    <n v="3204.2"/>
    <n v="1.8"/>
    <n v="0"/>
    <n v="0"/>
    <x v="5"/>
    <s v="LEUCOPHOR BMF LIQUID"/>
    <n v="252500"/>
    <x v="0"/>
    <n v="4545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4-02T00:00:00"/>
    <x v="0"/>
  </r>
  <r>
    <x v="604"/>
    <d v="2024-03-01T00:00:00"/>
    <x v="1775"/>
    <d v="2024-03-16T00:00:00"/>
    <x v="0"/>
    <x v="0"/>
    <n v="1020"/>
    <x v="4"/>
    <x v="0"/>
    <n v="3204.172"/>
    <n v="4.07"/>
    <n v="0"/>
    <n v="0"/>
    <x v="5"/>
    <s v="FAVOPRINT BLUE AFFR"/>
    <n v="1162800"/>
    <x v="0"/>
    <n v="209304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3-31T00:00:00"/>
    <x v="0"/>
  </r>
  <r>
    <x v="605"/>
    <d v="2024-03-01T00:00:00"/>
    <x v="1776"/>
    <d v="2024-03-16T00:00:00"/>
    <x v="0"/>
    <x v="0"/>
    <n v="300"/>
    <x v="4"/>
    <x v="0"/>
    <n v="3204.172"/>
    <n v="4.07"/>
    <n v="0"/>
    <n v="0"/>
    <x v="5"/>
    <s v="FAVOPRINT BLUE AFFR"/>
    <n v="342000"/>
    <x v="0"/>
    <n v="61560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3-31T00:00:00"/>
    <x v="0"/>
  </r>
  <r>
    <x v="606"/>
    <d v="2024-03-01T00:00:00"/>
    <x v="1777"/>
    <d v="2024-03-16T00:00:00"/>
    <x v="0"/>
    <x v="0"/>
    <n v="250"/>
    <x v="4"/>
    <x v="0"/>
    <n v="3507.9"/>
    <n v="12.5"/>
    <n v="0"/>
    <n v="0"/>
    <x v="12"/>
    <s v="AQUAZYM AD"/>
    <n v="875000"/>
    <x v="0"/>
    <n v="1575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3-31T00:00:00"/>
    <x v="0"/>
  </r>
  <r>
    <x v="607"/>
    <d v="2024-03-01T00:00:00"/>
    <x v="1778"/>
    <d v="2024-03-16T00:00:00"/>
    <x v="0"/>
    <x v="0"/>
    <n v="480"/>
    <x v="4"/>
    <x v="0"/>
    <n v="3809.9189999999999"/>
    <n v="5"/>
    <n v="0"/>
    <n v="0"/>
    <x v="12"/>
    <s v="PRODER M.A.C NUEVO"/>
    <n v="672000"/>
    <x v="0"/>
    <n v="120960"/>
    <x v="0"/>
    <m/>
    <m/>
    <x v="0"/>
    <x v="0"/>
    <x v="0"/>
    <x v="6"/>
    <x v="0"/>
    <x v="0"/>
    <m/>
    <x v="0"/>
    <x v="1"/>
    <x v="0"/>
    <x v="0"/>
    <x v="0"/>
    <x v="5"/>
    <n v="1400"/>
    <n v="252"/>
    <n v="0"/>
    <d v="2024-03-31T00:00:00"/>
    <x v="0"/>
  </r>
  <r>
    <x v="608"/>
    <d v="2024-03-01T00:00:00"/>
    <x v="1779"/>
    <d v="2024-03-16T00:00:00"/>
    <x v="0"/>
    <x v="0"/>
    <n v="12500"/>
    <x v="4"/>
    <x v="0"/>
    <n v="2501.009"/>
    <n v="0.03"/>
    <n v="0"/>
    <n v="0"/>
    <x v="12"/>
    <s v="REFINED LAKE SALT"/>
    <n v="105625"/>
    <x v="0"/>
    <n v="19012.5"/>
    <x v="0"/>
    <m/>
    <m/>
    <x v="0"/>
    <x v="0"/>
    <x v="0"/>
    <x v="0"/>
    <x v="0"/>
    <x v="0"/>
    <m/>
    <x v="0"/>
    <x v="1"/>
    <x v="0"/>
    <x v="0"/>
    <x v="0"/>
    <x v="5"/>
    <n v="8.4499999999999993"/>
    <n v="1.5209999999999999"/>
    <n v="0"/>
    <d v="2024-03-31T00:00:00"/>
    <x v="0"/>
  </r>
  <r>
    <x v="609"/>
    <d v="2024-03-01T00:00:00"/>
    <x v="1780"/>
    <d v="2024-03-16T00:00:00"/>
    <x v="0"/>
    <x v="0"/>
    <n v="7500"/>
    <x v="4"/>
    <x v="0"/>
    <n v="2501.009"/>
    <n v="0.03"/>
    <n v="0"/>
    <n v="0"/>
    <x v="12"/>
    <s v="REFINED LAKE SALT"/>
    <n v="63375"/>
    <x v="0"/>
    <n v="11407.5"/>
    <x v="0"/>
    <m/>
    <m/>
    <x v="0"/>
    <x v="0"/>
    <x v="0"/>
    <x v="5"/>
    <x v="0"/>
    <x v="0"/>
    <m/>
    <x v="0"/>
    <x v="1"/>
    <x v="0"/>
    <x v="0"/>
    <x v="0"/>
    <x v="5"/>
    <n v="8.4499999999999993"/>
    <n v="1.5209999999999999"/>
    <n v="0"/>
    <d v="2024-03-31T00:00:00"/>
    <x v="0"/>
  </r>
  <r>
    <x v="610"/>
    <d v="2024-03-01T00:00:00"/>
    <x v="1781"/>
    <d v="2024-03-1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3-31T00:00:00"/>
    <x v="0"/>
  </r>
  <r>
    <x v="611"/>
    <d v="2024-03-01T00:00:00"/>
    <x v="1782"/>
    <d v="2024-03-1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3-31T00:00:00"/>
    <x v="0"/>
  </r>
  <r>
    <x v="612"/>
    <d v="2024-03-03T00:00:00"/>
    <x v="1783"/>
    <d v="2024-03-1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4-02T00:00:00"/>
    <x v="0"/>
  </r>
  <r>
    <x v="613"/>
    <d v="2024-03-12T00:00:00"/>
    <x v="1784"/>
    <d v="2024-03-29T00:00:00"/>
    <x v="0"/>
    <x v="0"/>
    <n v="14010"/>
    <x v="4"/>
    <x v="0"/>
    <n v="5208.1899999999996"/>
    <n v="4.49"/>
    <n v="0"/>
    <n v="0"/>
    <x v="14"/>
    <s v="40/1 Cotton Fabric Grey"/>
    <n v="17623590"/>
    <x v="0"/>
    <n v="3172246.1999999997"/>
    <x v="0"/>
    <m/>
    <m/>
    <x v="0"/>
    <x v="0"/>
    <x v="0"/>
    <x v="0"/>
    <x v="0"/>
    <x v="0"/>
    <m/>
    <x v="0"/>
    <x v="1"/>
    <x v="0"/>
    <x v="0"/>
    <x v="0"/>
    <x v="2"/>
    <n v="1257.9293361884368"/>
    <n v="226.42728051391862"/>
    <n v="0"/>
    <d v="2024-04-11T00:00:00"/>
    <x v="0"/>
  </r>
  <r>
    <x v="614"/>
    <d v="2024-03-24T00:00:00"/>
    <x v="1785"/>
    <d v="2024-03-29T00:00:00"/>
    <x v="0"/>
    <x v="0"/>
    <n v="10973"/>
    <x v="4"/>
    <x v="0"/>
    <n v="5208.1899999999996"/>
    <n v="4.4400000000000004"/>
    <n v="0"/>
    <n v="0"/>
    <x v="14"/>
    <s v="40/1 Cotton Fabric Grey"/>
    <n v="13653030"/>
    <x v="0"/>
    <n v="2457545.4"/>
    <x v="0"/>
    <m/>
    <m/>
    <x v="0"/>
    <x v="0"/>
    <x v="0"/>
    <x v="0"/>
    <x v="0"/>
    <x v="0"/>
    <m/>
    <x v="0"/>
    <x v="1"/>
    <x v="0"/>
    <x v="0"/>
    <x v="0"/>
    <x v="2"/>
    <n v="1244.2385856192473"/>
    <n v="223.96294541146449"/>
    <n v="0"/>
    <d v="2024-04-23T00:00:00"/>
    <x v="0"/>
  </r>
  <r>
    <x v="615"/>
    <d v="2024-03-01T00:00:00"/>
    <x v="1786"/>
    <d v="2024-03-29T00:00:00"/>
    <x v="0"/>
    <x v="0"/>
    <n v="12558"/>
    <x v="4"/>
    <x v="0"/>
    <n v="5208.1899999999996"/>
    <n v="4.51"/>
    <n v="0"/>
    <n v="0"/>
    <x v="14"/>
    <s v="40/1 Cotton Fabric Grey"/>
    <n v="15862148"/>
    <x v="0"/>
    <n v="2855186.6399999997"/>
    <x v="0"/>
    <m/>
    <m/>
    <x v="0"/>
    <x v="0"/>
    <x v="0"/>
    <x v="0"/>
    <x v="0"/>
    <x v="0"/>
    <m/>
    <x v="0"/>
    <x v="1"/>
    <x v="0"/>
    <x v="0"/>
    <x v="0"/>
    <x v="2"/>
    <n v="1263.1110049370918"/>
    <n v="227.35998088867652"/>
    <n v="0"/>
    <d v="2024-03-31T00:00:00"/>
    <x v="0"/>
  </r>
  <r>
    <x v="616"/>
    <d v="2024-03-07T00:00:00"/>
    <x v="1787"/>
    <d v="2024-03-29T00:00:00"/>
    <x v="0"/>
    <x v="0"/>
    <n v="10931"/>
    <x v="4"/>
    <x v="0"/>
    <n v="5210.1099999999997"/>
    <n v="3.59"/>
    <n v="0"/>
    <n v="0"/>
    <x v="2"/>
    <s v="CVC60:40 - 40/1 Fabric"/>
    <n v="10980000"/>
    <x v="0"/>
    <n v="1976400"/>
    <x v="0"/>
    <m/>
    <m/>
    <x v="0"/>
    <x v="0"/>
    <x v="0"/>
    <x v="5"/>
    <x v="0"/>
    <x v="0"/>
    <m/>
    <x v="0"/>
    <x v="1"/>
    <x v="0"/>
    <x v="0"/>
    <x v="0"/>
    <x v="2"/>
    <n v="1004.4826639831672"/>
    <n v="180.8068795169701"/>
    <n v="0"/>
    <d v="2024-04-06T00:00:00"/>
    <x v="0"/>
  </r>
  <r>
    <x v="617"/>
    <d v="2024-03-15T00:00:00"/>
    <x v="1788"/>
    <d v="2024-03-29T00:00:00"/>
    <x v="0"/>
    <x v="0"/>
    <n v="1769"/>
    <x v="4"/>
    <x v="0"/>
    <n v="5205.22"/>
    <n v="3.23"/>
    <n v="0"/>
    <n v="0"/>
    <x v="10"/>
    <s v="20/1 Cotton Yarn 3900LBS)"/>
    <n v="1599000"/>
    <x v="0"/>
    <n v="287820"/>
    <x v="0"/>
    <m/>
    <m/>
    <x v="0"/>
    <x v="0"/>
    <x v="0"/>
    <x v="0"/>
    <x v="0"/>
    <x v="0"/>
    <m/>
    <x v="0"/>
    <x v="1"/>
    <x v="0"/>
    <x v="0"/>
    <x v="0"/>
    <x v="3"/>
    <n v="903.90050876201246"/>
    <n v="162.70209157716224"/>
    <n v="0"/>
    <d v="2024-04-14T00:00:00"/>
    <x v="0"/>
  </r>
  <r>
    <x v="618"/>
    <d v="2024-03-29T00:00:00"/>
    <x v="1789"/>
    <d v="2024-03-29T00:00:00"/>
    <x v="0"/>
    <x v="2"/>
    <n v="5280"/>
    <x v="4"/>
    <x v="0"/>
    <n v="5402.33"/>
    <n v="1.61"/>
    <n v="393"/>
    <n v="5280"/>
    <x v="6"/>
    <s v="200/48 DTY POLYESTER YARN"/>
    <n v="2387100"/>
    <x v="0"/>
    <n v="429678"/>
    <x v="0"/>
    <m/>
    <m/>
    <x v="0"/>
    <x v="0"/>
    <x v="0"/>
    <x v="0"/>
    <x v="0"/>
    <x v="0"/>
    <m/>
    <x v="0"/>
    <x v="1"/>
    <x v="0"/>
    <x v="0"/>
    <x v="0"/>
    <x v="3"/>
    <n v="452.10227272727275"/>
    <n v="81.378409090909088"/>
    <n v="31981.714772727271"/>
    <d v="2024-04-28T00:00:00"/>
    <x v="0"/>
  </r>
  <r>
    <x v="619"/>
    <d v="2024-03-09T00:00:00"/>
    <x v="1790"/>
    <d v="2024-03-29T00:00:00"/>
    <x v="0"/>
    <x v="0"/>
    <n v="3992"/>
    <x v="4"/>
    <x v="0"/>
    <n v="5206.12"/>
    <n v="1.82"/>
    <n v="0"/>
    <n v="0"/>
    <x v="3"/>
    <s v="PC65:35 16/1 (8800 LBS)"/>
    <n v="2032800"/>
    <x v="0"/>
    <n v="365904"/>
    <x v="0"/>
    <m/>
    <m/>
    <x v="0"/>
    <x v="0"/>
    <x v="0"/>
    <x v="0"/>
    <x v="0"/>
    <x v="0"/>
    <m/>
    <x v="0"/>
    <x v="1"/>
    <x v="0"/>
    <x v="0"/>
    <x v="0"/>
    <x v="3"/>
    <n v="509.21843687374752"/>
    <n v="91.659318637274552"/>
    <n v="0"/>
    <d v="2024-04-08T00:00:00"/>
    <x v="0"/>
  </r>
  <r>
    <x v="620"/>
    <d v="2024-03-09T00:00:00"/>
    <x v="1791"/>
    <d v="2024-03-29T00:00:00"/>
    <x v="0"/>
    <x v="0"/>
    <n v="862"/>
    <x v="4"/>
    <x v="0"/>
    <n v="5206.12"/>
    <n v="1.97"/>
    <n v="0"/>
    <n v="0"/>
    <x v="3"/>
    <s v="PC65:35 20/1 (1900 LBS)"/>
    <n v="475000"/>
    <x v="0"/>
    <n v="85500"/>
    <x v="0"/>
    <m/>
    <m/>
    <x v="0"/>
    <x v="0"/>
    <x v="0"/>
    <x v="0"/>
    <x v="0"/>
    <x v="0"/>
    <m/>
    <x v="0"/>
    <x v="1"/>
    <x v="0"/>
    <x v="0"/>
    <x v="0"/>
    <x v="3"/>
    <n v="551.04408352668213"/>
    <n v="99.187935034802791"/>
    <n v="0"/>
    <d v="2024-04-08T00:00:00"/>
    <x v="0"/>
  </r>
  <r>
    <x v="621"/>
    <d v="2024-03-01T00:00:00"/>
    <x v="1792"/>
    <d v="2024-03-29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6"/>
    <x v="0"/>
    <x v="0"/>
    <m/>
    <x v="0"/>
    <x v="1"/>
    <x v="0"/>
    <x v="0"/>
    <x v="0"/>
    <x v="3"/>
    <n v="509.25925925925924"/>
    <n v="91.666666666666671"/>
    <n v="0"/>
    <d v="2024-03-31T00:00:00"/>
    <x v="0"/>
  </r>
  <r>
    <x v="622"/>
    <d v="2024-03-01T00:00:00"/>
    <x v="1793"/>
    <d v="2024-03-29T00:00:00"/>
    <x v="0"/>
    <x v="0"/>
    <n v="4536"/>
    <x v="4"/>
    <x v="0"/>
    <n v="5206.12"/>
    <n v="1.91"/>
    <n v="0"/>
    <n v="0"/>
    <x v="3"/>
    <s v="PC65:35 20/1 (10000 LBS)"/>
    <n v="2430000"/>
    <x v="0"/>
    <n v="437400"/>
    <x v="0"/>
    <m/>
    <m/>
    <x v="0"/>
    <x v="0"/>
    <x v="0"/>
    <x v="0"/>
    <x v="0"/>
    <x v="0"/>
    <m/>
    <x v="0"/>
    <x v="1"/>
    <x v="0"/>
    <x v="0"/>
    <x v="0"/>
    <x v="3"/>
    <n v="535.71428571428567"/>
    <n v="96.428571428571431"/>
    <n v="0"/>
    <d v="2024-03-31T00:00:00"/>
    <x v="0"/>
  </r>
  <r>
    <x v="623"/>
    <d v="2024-03-01T00:00:00"/>
    <x v="1794"/>
    <d v="2024-03-29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3-31T00:00:00"/>
    <x v="0"/>
  </r>
  <r>
    <x v="624"/>
    <d v="2024-03-01T00:00:00"/>
    <x v="1795"/>
    <d v="2024-03-29T00:00:00"/>
    <x v="0"/>
    <x v="0"/>
    <n v="3221"/>
    <x v="4"/>
    <x v="0"/>
    <n v="5206.12"/>
    <n v="1.91"/>
    <n v="0"/>
    <n v="0"/>
    <x v="3"/>
    <s v="PC65:35 20/1 (7100 LBS)"/>
    <n v="1725300"/>
    <x v="0"/>
    <n v="310554"/>
    <x v="0"/>
    <m/>
    <m/>
    <x v="0"/>
    <x v="0"/>
    <x v="0"/>
    <x v="0"/>
    <x v="0"/>
    <x v="0"/>
    <m/>
    <x v="0"/>
    <x v="1"/>
    <x v="0"/>
    <x v="0"/>
    <x v="0"/>
    <x v="3"/>
    <n v="535.6411052468178"/>
    <n v="96.415398944427196"/>
    <n v="0"/>
    <d v="2024-03-31T00:00:00"/>
    <x v="0"/>
  </r>
  <r>
    <x v="625"/>
    <d v="2024-03-01T00:00:00"/>
    <x v="1796"/>
    <d v="2024-03-29T00:00:00"/>
    <x v="0"/>
    <x v="0"/>
    <n v="1315"/>
    <x v="4"/>
    <x v="0"/>
    <n v="5206.12"/>
    <n v="1.97"/>
    <n v="0"/>
    <n v="0"/>
    <x v="3"/>
    <s v="PC65:35 20/1 (2900 LBS)"/>
    <n v="725000"/>
    <x v="0"/>
    <n v="130500"/>
    <x v="0"/>
    <m/>
    <m/>
    <x v="0"/>
    <x v="0"/>
    <x v="0"/>
    <x v="0"/>
    <x v="0"/>
    <x v="0"/>
    <m/>
    <x v="0"/>
    <x v="1"/>
    <x v="0"/>
    <x v="0"/>
    <x v="0"/>
    <x v="3"/>
    <n v="551.33079847908743"/>
    <n v="99.239543726235738"/>
    <n v="0"/>
    <d v="2024-03-31T00:00:00"/>
    <x v="0"/>
  </r>
  <r>
    <x v="626"/>
    <d v="2024-03-04T00:00:00"/>
    <x v="1797"/>
    <d v="2024-03-29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4-03T00:00:00"/>
    <x v="0"/>
  </r>
  <r>
    <x v="627"/>
    <d v="2024-03-04T00:00:00"/>
    <x v="1798"/>
    <d v="2024-03-29T00:00:00"/>
    <x v="0"/>
    <x v="0"/>
    <n v="4536"/>
    <x v="4"/>
    <x v="0"/>
    <n v="5206.12"/>
    <n v="1.97"/>
    <n v="0"/>
    <n v="0"/>
    <x v="3"/>
    <s v="PC65:35 20/1 (10000 LBS)"/>
    <n v="2500000"/>
    <x v="0"/>
    <n v="450000"/>
    <x v="0"/>
    <m/>
    <m/>
    <x v="0"/>
    <x v="0"/>
    <x v="0"/>
    <x v="0"/>
    <x v="0"/>
    <x v="0"/>
    <m/>
    <x v="0"/>
    <x v="1"/>
    <x v="0"/>
    <x v="0"/>
    <x v="0"/>
    <x v="3"/>
    <n v="551.14638447971777"/>
    <n v="99.206349206349202"/>
    <n v="0"/>
    <d v="2024-04-03T00:00:00"/>
    <x v="0"/>
  </r>
  <r>
    <x v="628"/>
    <d v="2024-03-01T00:00:00"/>
    <x v="1799"/>
    <d v="2024-03-29T00:00:00"/>
    <x v="0"/>
    <x v="1"/>
    <n v="47262"/>
    <x v="4"/>
    <x v="0"/>
    <n v="5201.009"/>
    <n v="1.86"/>
    <n v="47262"/>
    <n v="47262"/>
    <x v="0"/>
    <s v="Raw Cotton"/>
    <n v="24660472"/>
    <x v="0"/>
    <n v="4438884.96"/>
    <x v="0"/>
    <m/>
    <m/>
    <x v="0"/>
    <x v="0"/>
    <x v="0"/>
    <x v="0"/>
    <x v="0"/>
    <x v="0"/>
    <m/>
    <x v="0"/>
    <x v="1"/>
    <x v="0"/>
    <x v="0"/>
    <x v="0"/>
    <x v="0"/>
    <n v="521.7822351995261"/>
    <n v="93.920802335914686"/>
    <n v="4438884.96"/>
    <d v="2024-03-31T00:00:00"/>
    <x v="0"/>
  </r>
  <r>
    <x v="629"/>
    <d v="2024-03-08T00:00:00"/>
    <x v="1800"/>
    <d v="2024-03-29T00:00:00"/>
    <x v="0"/>
    <x v="1"/>
    <n v="46801"/>
    <x v="4"/>
    <x v="0"/>
    <n v="5201.009"/>
    <n v="2"/>
    <n v="46801"/>
    <n v="46801"/>
    <x v="0"/>
    <s v="Raw Cotton"/>
    <n v="26206754"/>
    <x v="0"/>
    <n v="4717215.72"/>
    <x v="0"/>
    <m/>
    <m/>
    <x v="0"/>
    <x v="0"/>
    <x v="0"/>
    <x v="0"/>
    <x v="0"/>
    <x v="0"/>
    <m/>
    <x v="0"/>
    <x v="1"/>
    <x v="0"/>
    <x v="0"/>
    <x v="0"/>
    <x v="0"/>
    <n v="559.96141108095981"/>
    <n v="100.79305399457276"/>
    <n v="4717215.72"/>
    <d v="2024-04-07T00:00:00"/>
    <x v="0"/>
  </r>
  <r>
    <x v="630"/>
    <d v="2024-03-30T00:00:00"/>
    <x v="1801"/>
    <d v="2024-03-29T00:00:00"/>
    <x v="0"/>
    <x v="1"/>
    <n v="7333"/>
    <x v="4"/>
    <x v="0"/>
    <n v="5505.1"/>
    <n v="1.71"/>
    <n v="7333"/>
    <n v="7333"/>
    <x v="20"/>
    <s v="Comber Noil"/>
    <n v="3519840"/>
    <x v="0"/>
    <n v="633571.19999999995"/>
    <x v="0"/>
    <m/>
    <m/>
    <x v="0"/>
    <x v="0"/>
    <x v="0"/>
    <x v="0"/>
    <x v="0"/>
    <x v="0"/>
    <m/>
    <x v="0"/>
    <x v="1"/>
    <x v="0"/>
    <x v="0"/>
    <x v="0"/>
    <x v="8"/>
    <n v="480"/>
    <n v="86.399999999999991"/>
    <n v="633571.19999999995"/>
    <d v="2024-04-29T00:00:00"/>
    <x v="0"/>
  </r>
  <r>
    <x v="631"/>
    <d v="2024-03-30T00:00:00"/>
    <x v="1802"/>
    <d v="2024-03-29T00:00:00"/>
    <x v="0"/>
    <x v="1"/>
    <n v="7850"/>
    <x v="4"/>
    <x v="0"/>
    <n v="5505.1"/>
    <n v="1.71"/>
    <n v="7850"/>
    <n v="7850"/>
    <x v="20"/>
    <s v="Comber Noil"/>
    <n v="3768000"/>
    <x v="0"/>
    <n v="678240"/>
    <x v="0"/>
    <m/>
    <m/>
    <x v="0"/>
    <x v="0"/>
    <x v="0"/>
    <x v="0"/>
    <x v="0"/>
    <x v="0"/>
    <m/>
    <x v="0"/>
    <x v="1"/>
    <x v="0"/>
    <x v="0"/>
    <x v="0"/>
    <x v="8"/>
    <n v="480"/>
    <n v="86.4"/>
    <n v="678240"/>
    <d v="2024-04-29T00:00:00"/>
    <x v="0"/>
  </r>
  <r>
    <x v="632"/>
    <d v="2024-03-31T00:00:00"/>
    <x v="1803"/>
    <d v="2024-03-29T00:00:00"/>
    <x v="0"/>
    <x v="1"/>
    <n v="8010"/>
    <x v="4"/>
    <x v="0"/>
    <n v="5505.1"/>
    <n v="1.71"/>
    <n v="8010"/>
    <n v="8010"/>
    <x v="20"/>
    <s v="Comber Noil"/>
    <n v="3844800"/>
    <x v="0"/>
    <n v="692064"/>
    <x v="0"/>
    <m/>
    <m/>
    <x v="0"/>
    <x v="0"/>
    <x v="0"/>
    <x v="0"/>
    <x v="0"/>
    <x v="0"/>
    <m/>
    <x v="0"/>
    <x v="1"/>
    <x v="0"/>
    <x v="0"/>
    <x v="0"/>
    <x v="8"/>
    <n v="480"/>
    <n v="86.4"/>
    <n v="692064"/>
    <d v="2024-04-30T00:00:00"/>
    <x v="0"/>
  </r>
  <r>
    <x v="633"/>
    <d v="2024-03-31T00:00:00"/>
    <x v="1804"/>
    <d v="2024-03-29T00:00:00"/>
    <x v="0"/>
    <x v="1"/>
    <n v="6679"/>
    <x v="4"/>
    <x v="0"/>
    <n v="5505.1"/>
    <n v="1.71"/>
    <n v="6679"/>
    <n v="6679"/>
    <x v="20"/>
    <s v="Comber Noil"/>
    <n v="3205920"/>
    <x v="0"/>
    <n v="577065.6"/>
    <x v="0"/>
    <m/>
    <m/>
    <x v="0"/>
    <x v="0"/>
    <x v="0"/>
    <x v="0"/>
    <x v="0"/>
    <x v="0"/>
    <m/>
    <x v="0"/>
    <x v="1"/>
    <x v="0"/>
    <x v="0"/>
    <x v="0"/>
    <x v="8"/>
    <n v="480"/>
    <n v="86.399999999999991"/>
    <n v="577065.6"/>
    <d v="2024-04-30T00:00:00"/>
    <x v="0"/>
  </r>
  <r>
    <x v="634"/>
    <d v="2024-03-13T00:00:00"/>
    <x v="1805"/>
    <d v="2024-03-29T00:00:00"/>
    <x v="0"/>
    <x v="0"/>
    <n v="7890"/>
    <x v="4"/>
    <x v="0"/>
    <n v="5505.1"/>
    <n v="1.71"/>
    <n v="0"/>
    <n v="0"/>
    <x v="20"/>
    <s v="Comber Noil"/>
    <n v="3787200"/>
    <x v="0"/>
    <n v="681696"/>
    <x v="0"/>
    <m/>
    <m/>
    <x v="0"/>
    <x v="0"/>
    <x v="0"/>
    <x v="0"/>
    <x v="0"/>
    <x v="0"/>
    <m/>
    <x v="0"/>
    <x v="1"/>
    <x v="0"/>
    <x v="0"/>
    <x v="0"/>
    <x v="8"/>
    <n v="480"/>
    <n v="86.4"/>
    <n v="0"/>
    <d v="2024-04-12T00:00:00"/>
    <x v="0"/>
  </r>
  <r>
    <x v="635"/>
    <d v="2024-03-13T00:00:00"/>
    <x v="1806"/>
    <d v="2024-03-29T00:00:00"/>
    <x v="0"/>
    <x v="0"/>
    <n v="7613"/>
    <x v="4"/>
    <x v="0"/>
    <n v="5505.1"/>
    <n v="1.71"/>
    <n v="0"/>
    <n v="0"/>
    <x v="20"/>
    <s v="Comber Noil"/>
    <n v="3654240"/>
    <x v="0"/>
    <n v="657763.19999999995"/>
    <x v="0"/>
    <m/>
    <m/>
    <x v="0"/>
    <x v="0"/>
    <x v="0"/>
    <x v="0"/>
    <x v="0"/>
    <x v="0"/>
    <m/>
    <x v="0"/>
    <x v="1"/>
    <x v="0"/>
    <x v="0"/>
    <x v="0"/>
    <x v="8"/>
    <n v="480"/>
    <n v="86.399999999999991"/>
    <n v="0"/>
    <d v="2024-04-12T00:00:00"/>
    <x v="0"/>
  </r>
  <r>
    <x v="636"/>
    <d v="2024-03-15T00:00:00"/>
    <x v="1807"/>
    <d v="2024-03-29T00:00:00"/>
    <x v="0"/>
    <x v="0"/>
    <n v="7196"/>
    <x v="4"/>
    <x v="0"/>
    <n v="5505.1"/>
    <n v="1.71"/>
    <n v="0"/>
    <n v="0"/>
    <x v="20"/>
    <s v="Comber Noil"/>
    <n v="3454080"/>
    <x v="0"/>
    <n v="621734.40000000002"/>
    <x v="0"/>
    <m/>
    <m/>
    <x v="0"/>
    <x v="0"/>
    <x v="0"/>
    <x v="0"/>
    <x v="0"/>
    <x v="0"/>
    <m/>
    <x v="0"/>
    <x v="1"/>
    <x v="0"/>
    <x v="0"/>
    <x v="0"/>
    <x v="8"/>
    <n v="480"/>
    <n v="86.4"/>
    <n v="0"/>
    <d v="2024-04-14T00:00:00"/>
    <x v="0"/>
  </r>
  <r>
    <x v="637"/>
    <d v="2024-03-15T00:00:00"/>
    <x v="1808"/>
    <d v="2024-03-29T00:00:00"/>
    <x v="0"/>
    <x v="0"/>
    <n v="7363"/>
    <x v="4"/>
    <x v="0"/>
    <n v="5505.1"/>
    <n v="1.71"/>
    <n v="0"/>
    <n v="0"/>
    <x v="20"/>
    <s v="Comber Noil"/>
    <n v="3534240"/>
    <x v="0"/>
    <n v="636163.19999999995"/>
    <x v="0"/>
    <m/>
    <m/>
    <x v="0"/>
    <x v="0"/>
    <x v="0"/>
    <x v="0"/>
    <x v="0"/>
    <x v="0"/>
    <m/>
    <x v="0"/>
    <x v="1"/>
    <x v="0"/>
    <x v="0"/>
    <x v="0"/>
    <x v="8"/>
    <n v="480"/>
    <n v="86.399999999999991"/>
    <n v="0"/>
    <d v="2024-04-14T00:00:00"/>
    <x v="0"/>
  </r>
  <r>
    <x v="638"/>
    <d v="2024-03-16T00:00:00"/>
    <x v="1809"/>
    <d v="2024-03-29T00:00:00"/>
    <x v="0"/>
    <x v="0"/>
    <n v="7613"/>
    <x v="4"/>
    <x v="0"/>
    <n v="5505.1"/>
    <n v="1.71"/>
    <n v="0"/>
    <n v="0"/>
    <x v="20"/>
    <s v="Comber Noil"/>
    <n v="3654240"/>
    <x v="0"/>
    <n v="657763.19999999995"/>
    <x v="0"/>
    <m/>
    <m/>
    <x v="0"/>
    <x v="0"/>
    <x v="0"/>
    <x v="0"/>
    <x v="0"/>
    <x v="0"/>
    <m/>
    <x v="0"/>
    <x v="1"/>
    <x v="0"/>
    <x v="0"/>
    <x v="0"/>
    <x v="8"/>
    <n v="480"/>
    <n v="86.399999999999991"/>
    <n v="0"/>
    <d v="2024-04-15T00:00:00"/>
    <x v="0"/>
  </r>
  <r>
    <x v="639"/>
    <d v="2024-03-16T00:00:00"/>
    <x v="1810"/>
    <d v="2024-03-29T00:00:00"/>
    <x v="0"/>
    <x v="0"/>
    <n v="7453"/>
    <x v="4"/>
    <x v="0"/>
    <n v="5505.1"/>
    <n v="1.71"/>
    <n v="0"/>
    <n v="0"/>
    <x v="20"/>
    <s v="Comber Noil"/>
    <n v="3577440"/>
    <x v="0"/>
    <n v="643939.19999999995"/>
    <x v="0"/>
    <m/>
    <m/>
    <x v="0"/>
    <x v="0"/>
    <x v="0"/>
    <x v="0"/>
    <x v="0"/>
    <x v="0"/>
    <m/>
    <x v="0"/>
    <x v="1"/>
    <x v="0"/>
    <x v="0"/>
    <x v="0"/>
    <x v="8"/>
    <n v="480"/>
    <n v="86.399999999999991"/>
    <n v="0"/>
    <d v="2024-04-15T00:00:00"/>
    <x v="0"/>
  </r>
  <r>
    <x v="640"/>
    <d v="2024-03-18T00:00:00"/>
    <x v="1811"/>
    <d v="2024-03-29T00:00:00"/>
    <x v="0"/>
    <x v="0"/>
    <n v="7840"/>
    <x v="4"/>
    <x v="0"/>
    <n v="5505.1"/>
    <n v="1.75"/>
    <n v="0"/>
    <n v="0"/>
    <x v="20"/>
    <s v="Comber Noil"/>
    <n v="3841600"/>
    <x v="0"/>
    <n v="691488"/>
    <x v="0"/>
    <m/>
    <m/>
    <x v="0"/>
    <x v="0"/>
    <x v="0"/>
    <x v="0"/>
    <x v="0"/>
    <x v="0"/>
    <m/>
    <x v="0"/>
    <x v="1"/>
    <x v="0"/>
    <x v="0"/>
    <x v="0"/>
    <x v="8"/>
    <n v="490"/>
    <n v="88.2"/>
    <n v="0"/>
    <d v="2024-04-17T00:00:00"/>
    <x v="0"/>
  </r>
  <r>
    <x v="641"/>
    <d v="2024-03-19T00:00:00"/>
    <x v="1812"/>
    <d v="2024-03-29T00:00:00"/>
    <x v="0"/>
    <x v="0"/>
    <n v="8030"/>
    <x v="4"/>
    <x v="0"/>
    <n v="5505.1"/>
    <n v="1.75"/>
    <n v="0"/>
    <n v="0"/>
    <x v="20"/>
    <s v="Comber Noil"/>
    <n v="3934700"/>
    <x v="0"/>
    <n v="708246"/>
    <x v="0"/>
    <m/>
    <m/>
    <x v="0"/>
    <x v="0"/>
    <x v="0"/>
    <x v="0"/>
    <x v="0"/>
    <x v="0"/>
    <m/>
    <x v="0"/>
    <x v="1"/>
    <x v="0"/>
    <x v="0"/>
    <x v="0"/>
    <x v="8"/>
    <n v="490"/>
    <n v="88.2"/>
    <n v="0"/>
    <d v="2024-04-18T00:00:00"/>
    <x v="0"/>
  </r>
  <r>
    <x v="642"/>
    <d v="2024-03-19T00:00:00"/>
    <x v="1813"/>
    <d v="2024-03-29T00:00:00"/>
    <x v="0"/>
    <x v="0"/>
    <n v="6946"/>
    <x v="4"/>
    <x v="0"/>
    <n v="5505.1"/>
    <n v="1.75"/>
    <n v="0"/>
    <n v="0"/>
    <x v="20"/>
    <s v="Comber Noil"/>
    <n v="3403540"/>
    <x v="0"/>
    <n v="612637.19999999995"/>
    <x v="0"/>
    <m/>
    <m/>
    <x v="0"/>
    <x v="0"/>
    <x v="0"/>
    <x v="0"/>
    <x v="0"/>
    <x v="0"/>
    <m/>
    <x v="0"/>
    <x v="1"/>
    <x v="0"/>
    <x v="0"/>
    <x v="0"/>
    <x v="8"/>
    <n v="490"/>
    <n v="88.199999999999989"/>
    <n v="0"/>
    <d v="2024-04-18T00:00:00"/>
    <x v="0"/>
  </r>
  <r>
    <x v="643"/>
    <d v="2024-03-20T00:00:00"/>
    <x v="1814"/>
    <d v="2024-03-29T00:00:00"/>
    <x v="0"/>
    <x v="0"/>
    <n v="7740"/>
    <x v="4"/>
    <x v="0"/>
    <n v="5505.1"/>
    <n v="1.75"/>
    <n v="0"/>
    <n v="0"/>
    <x v="20"/>
    <s v="Comber Noil"/>
    <n v="3792600"/>
    <x v="0"/>
    <n v="682668"/>
    <x v="0"/>
    <m/>
    <m/>
    <x v="0"/>
    <x v="0"/>
    <x v="0"/>
    <x v="0"/>
    <x v="0"/>
    <x v="0"/>
    <m/>
    <x v="0"/>
    <x v="1"/>
    <x v="0"/>
    <x v="0"/>
    <x v="0"/>
    <x v="8"/>
    <n v="490"/>
    <n v="88.2"/>
    <n v="0"/>
    <d v="2024-04-19T00:00:00"/>
    <x v="0"/>
  </r>
  <r>
    <x v="644"/>
    <d v="2024-03-20T00:00:00"/>
    <x v="1815"/>
    <d v="2024-03-29T00:00:00"/>
    <x v="0"/>
    <x v="0"/>
    <n v="7006"/>
    <x v="4"/>
    <x v="0"/>
    <n v="5505.1"/>
    <n v="1.75"/>
    <n v="0"/>
    <n v="0"/>
    <x v="20"/>
    <s v="Comber Noil"/>
    <n v="3432940"/>
    <x v="0"/>
    <n v="617929.19999999995"/>
    <x v="0"/>
    <m/>
    <m/>
    <x v="0"/>
    <x v="0"/>
    <x v="0"/>
    <x v="0"/>
    <x v="0"/>
    <x v="0"/>
    <m/>
    <x v="0"/>
    <x v="1"/>
    <x v="0"/>
    <x v="0"/>
    <x v="0"/>
    <x v="8"/>
    <n v="490"/>
    <n v="88.199999999999989"/>
    <n v="0"/>
    <d v="2024-04-19T00:00:00"/>
    <x v="0"/>
  </r>
  <r>
    <x v="645"/>
    <d v="2024-03-22T00:00:00"/>
    <x v="1816"/>
    <d v="2024-03-29T00:00:00"/>
    <x v="0"/>
    <x v="2"/>
    <n v="7900"/>
    <x v="4"/>
    <x v="0"/>
    <n v="5505.1"/>
    <n v="1.75"/>
    <n v="111"/>
    <n v="7900"/>
    <x v="20"/>
    <s v="Comber Noil"/>
    <n v="3871000"/>
    <x v="0"/>
    <n v="696780"/>
    <x v="0"/>
    <m/>
    <m/>
    <x v="0"/>
    <x v="0"/>
    <x v="0"/>
    <x v="0"/>
    <x v="0"/>
    <x v="0"/>
    <m/>
    <x v="0"/>
    <x v="1"/>
    <x v="0"/>
    <x v="0"/>
    <x v="0"/>
    <x v="8"/>
    <n v="490"/>
    <n v="88.2"/>
    <n v="9790.2000000000007"/>
    <d v="2024-04-21T00:00:00"/>
    <x v="0"/>
  </r>
  <r>
    <x v="646"/>
    <d v="2024-03-23T00:00:00"/>
    <x v="1817"/>
    <d v="2024-03-29T00:00:00"/>
    <x v="0"/>
    <x v="2"/>
    <n v="7670"/>
    <x v="4"/>
    <x v="0"/>
    <n v="5505.1"/>
    <n v="1.75"/>
    <n v="0"/>
    <n v="7670"/>
    <x v="20"/>
    <s v="Comber Noil"/>
    <n v="3758300"/>
    <x v="0"/>
    <n v="676494"/>
    <x v="0"/>
    <m/>
    <m/>
    <x v="0"/>
    <x v="0"/>
    <x v="0"/>
    <x v="0"/>
    <x v="0"/>
    <x v="0"/>
    <m/>
    <x v="0"/>
    <x v="1"/>
    <x v="0"/>
    <x v="0"/>
    <x v="0"/>
    <x v="8"/>
    <n v="490"/>
    <n v="88.2"/>
    <n v="0"/>
    <d v="2024-04-22T00:00:00"/>
    <x v="0"/>
  </r>
  <r>
    <x v="647"/>
    <d v="2024-03-23T00:00:00"/>
    <x v="1818"/>
    <d v="2024-03-29T00:00:00"/>
    <x v="0"/>
    <x v="2"/>
    <n v="7533"/>
    <x v="4"/>
    <x v="0"/>
    <n v="5505.1"/>
    <n v="1.75"/>
    <n v="589"/>
    <n v="7533"/>
    <x v="20"/>
    <s v="Comber Noil"/>
    <n v="3691170"/>
    <x v="0"/>
    <n v="664410.6"/>
    <x v="0"/>
    <m/>
    <m/>
    <x v="0"/>
    <x v="0"/>
    <x v="0"/>
    <x v="0"/>
    <x v="0"/>
    <x v="0"/>
    <m/>
    <x v="0"/>
    <x v="1"/>
    <x v="0"/>
    <x v="0"/>
    <x v="0"/>
    <x v="8"/>
    <n v="490"/>
    <n v="88.2"/>
    <n v="51949.8"/>
    <d v="2024-04-22T00:00:00"/>
    <x v="0"/>
  </r>
  <r>
    <x v="648"/>
    <d v="2024-03-18T00:00:00"/>
    <x v="1819"/>
    <d v="2024-03-29T00:00:00"/>
    <x v="0"/>
    <x v="0"/>
    <n v="7186"/>
    <x v="4"/>
    <x v="0"/>
    <n v="5505.1"/>
    <n v="1.75"/>
    <n v="0"/>
    <n v="0"/>
    <x v="20"/>
    <s v="Comber Noil"/>
    <n v="3521140"/>
    <x v="0"/>
    <n v="633805.19999999995"/>
    <x v="0"/>
    <m/>
    <m/>
    <x v="0"/>
    <x v="0"/>
    <x v="0"/>
    <x v="0"/>
    <x v="0"/>
    <x v="0"/>
    <m/>
    <x v="0"/>
    <x v="1"/>
    <x v="0"/>
    <x v="0"/>
    <x v="0"/>
    <x v="8"/>
    <n v="490"/>
    <n v="88.199999999999989"/>
    <n v="0"/>
    <d v="2024-04-17T00:00:00"/>
    <x v="0"/>
  </r>
  <r>
    <x v="649"/>
    <d v="2024-04-01T00:00:00"/>
    <x v="1820"/>
    <d v="2024-04-16T00:00:00"/>
    <x v="0"/>
    <x v="1"/>
    <n v="9650"/>
    <x v="4"/>
    <x v="0"/>
    <n v="2815.12"/>
    <n v="0.28000000000000003"/>
    <n v="9650"/>
    <n v="9650"/>
    <x v="12"/>
    <s v="CAUSTIC SODA LIQUID"/>
    <n v="757525"/>
    <x v="0"/>
    <n v="136354.5"/>
    <x v="0"/>
    <m/>
    <m/>
    <x v="0"/>
    <x v="0"/>
    <x v="0"/>
    <x v="0"/>
    <x v="0"/>
    <x v="0"/>
    <m/>
    <x v="0"/>
    <x v="1"/>
    <x v="0"/>
    <x v="0"/>
    <x v="0"/>
    <x v="5"/>
    <n v="78.5"/>
    <n v="14.13"/>
    <n v="136354.5"/>
    <d v="2024-05-01T00:00:00"/>
    <x v="0"/>
  </r>
  <r>
    <x v="650"/>
    <d v="2024-04-01T00:00:00"/>
    <x v="1821"/>
    <d v="2024-04-16T00:00:00"/>
    <x v="0"/>
    <x v="1"/>
    <n v="29478"/>
    <x v="4"/>
    <x v="0"/>
    <n v="2815.12"/>
    <n v="0.28000000000000003"/>
    <n v="29478"/>
    <n v="29478"/>
    <x v="12"/>
    <s v="CAUSTIC SODA LIQUID"/>
    <n v="2314023"/>
    <x v="0"/>
    <n v="416524.1399999999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6524.13999999996"/>
    <d v="2024-05-01T00:00:00"/>
    <x v="0"/>
  </r>
  <r>
    <x v="651"/>
    <d v="2024-04-01T00:00:00"/>
    <x v="1822"/>
    <d v="2024-04-16T00:00:00"/>
    <x v="0"/>
    <x v="1"/>
    <n v="29448"/>
    <x v="4"/>
    <x v="0"/>
    <n v="2815.12"/>
    <n v="0.28000000000000003"/>
    <n v="29448"/>
    <n v="29448"/>
    <x v="12"/>
    <s v="CAUSTIC SODA LIQUID"/>
    <n v="2311668"/>
    <x v="0"/>
    <n v="416100.24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6100.24"/>
    <d v="2024-05-01T00:00:00"/>
    <x v="0"/>
  </r>
  <r>
    <x v="652"/>
    <d v="2024-04-01T00:00:00"/>
    <x v="1823"/>
    <d v="2024-04-16T00:00:00"/>
    <x v="0"/>
    <x v="1"/>
    <n v="29458"/>
    <x v="4"/>
    <x v="0"/>
    <n v="2815.12"/>
    <n v="0.28000000000000003"/>
    <n v="29458"/>
    <n v="29458"/>
    <x v="12"/>
    <s v="CAUSTIC SODA LIQUID"/>
    <n v="2312453"/>
    <x v="0"/>
    <n v="416241.54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6241.54"/>
    <d v="2024-05-01T00:00:00"/>
    <x v="0"/>
  </r>
  <r>
    <x v="653"/>
    <d v="2024-04-01T00:00:00"/>
    <x v="1824"/>
    <d v="2024-04-16T00:00:00"/>
    <x v="0"/>
    <x v="1"/>
    <n v="29270"/>
    <x v="4"/>
    <x v="0"/>
    <n v="2815.12"/>
    <n v="0.28000000000000003"/>
    <n v="29270"/>
    <n v="29270"/>
    <x v="12"/>
    <s v="CAUSTIC SODA LIQUID"/>
    <n v="2297695"/>
    <x v="0"/>
    <n v="413585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3585.1"/>
    <d v="2024-05-01T00:00:00"/>
    <x v="0"/>
  </r>
  <r>
    <x v="654"/>
    <d v="2024-04-01T00:00:00"/>
    <x v="1825"/>
    <d v="2024-04-16T00:00:00"/>
    <x v="0"/>
    <x v="1"/>
    <n v="29290"/>
    <x v="4"/>
    <x v="0"/>
    <n v="2815.12"/>
    <n v="0.28000000000000003"/>
    <n v="29290"/>
    <n v="29290"/>
    <x v="12"/>
    <s v="CAUSTIC SODA LIQUID"/>
    <n v="2299265"/>
    <x v="0"/>
    <n v="413867.7"/>
    <x v="0"/>
    <m/>
    <m/>
    <x v="0"/>
    <x v="0"/>
    <x v="0"/>
    <x v="0"/>
    <x v="0"/>
    <x v="0"/>
    <m/>
    <x v="0"/>
    <x v="1"/>
    <x v="0"/>
    <x v="0"/>
    <x v="0"/>
    <x v="5"/>
    <n v="78.5"/>
    <n v="14.13"/>
    <n v="413867.7"/>
    <d v="2024-05-01T00:00:00"/>
    <x v="0"/>
  </r>
  <r>
    <x v="655"/>
    <d v="2024-04-01T00:00:00"/>
    <x v="1826"/>
    <d v="2024-04-16T00:00:00"/>
    <x v="0"/>
    <x v="1"/>
    <n v="29310"/>
    <x v="4"/>
    <x v="0"/>
    <n v="2815.12"/>
    <n v="0.28000000000000003"/>
    <n v="29310"/>
    <n v="29310"/>
    <x v="12"/>
    <s v="CAUSTIC SODA LIQUID"/>
    <n v="2300835"/>
    <x v="0"/>
    <n v="414150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150.3"/>
    <d v="2024-05-01T00:00:00"/>
    <x v="0"/>
  </r>
  <r>
    <x v="656"/>
    <d v="2024-04-01T00:00:00"/>
    <x v="1827"/>
    <d v="2024-04-16T00:00:00"/>
    <x v="0"/>
    <x v="1"/>
    <n v="29330"/>
    <x v="4"/>
    <x v="0"/>
    <n v="2815.12"/>
    <n v="0.28000000000000003"/>
    <n v="29330"/>
    <n v="29330"/>
    <x v="12"/>
    <s v="CAUSTIC SODA LIQUID"/>
    <n v="2302405"/>
    <x v="0"/>
    <n v="414432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432.89999999997"/>
    <d v="2024-05-01T00:00:00"/>
    <x v="0"/>
  </r>
  <r>
    <x v="657"/>
    <d v="2024-04-01T00:00:00"/>
    <x v="1828"/>
    <d v="2024-04-16T00:00:00"/>
    <x v="0"/>
    <x v="1"/>
    <n v="29330"/>
    <x v="4"/>
    <x v="0"/>
    <n v="2815.12"/>
    <n v="0.28000000000000003"/>
    <n v="29330"/>
    <n v="29330"/>
    <x v="12"/>
    <s v="CAUSTIC SODA LIQUID"/>
    <n v="2302405"/>
    <x v="0"/>
    <n v="414432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432.89999999997"/>
    <d v="2024-05-01T00:00:00"/>
    <x v="0"/>
  </r>
  <r>
    <x v="658"/>
    <d v="2024-04-01T00:00:00"/>
    <x v="1829"/>
    <d v="2024-04-16T00:00:00"/>
    <x v="0"/>
    <x v="1"/>
    <n v="29500"/>
    <x v="4"/>
    <x v="0"/>
    <n v="2815.12"/>
    <n v="0.28000000000000003"/>
    <n v="29500"/>
    <n v="29500"/>
    <x v="12"/>
    <s v="CAUSTIC SODA LIQUID"/>
    <n v="2315750"/>
    <x v="0"/>
    <n v="416835"/>
    <x v="0"/>
    <m/>
    <m/>
    <x v="0"/>
    <x v="0"/>
    <x v="0"/>
    <x v="0"/>
    <x v="0"/>
    <x v="0"/>
    <m/>
    <x v="0"/>
    <x v="1"/>
    <x v="0"/>
    <x v="0"/>
    <x v="0"/>
    <x v="5"/>
    <n v="78.5"/>
    <n v="14.13"/>
    <n v="416835"/>
    <d v="2024-05-01T00:00:00"/>
    <x v="0"/>
  </r>
  <r>
    <x v="659"/>
    <d v="2024-04-01T00:00:00"/>
    <x v="1830"/>
    <d v="2024-04-16T00:00:00"/>
    <x v="0"/>
    <x v="1"/>
    <n v="29930"/>
    <x v="4"/>
    <x v="0"/>
    <n v="2815.12"/>
    <n v="0.28000000000000003"/>
    <n v="29930"/>
    <n v="29930"/>
    <x v="12"/>
    <s v="CAUSTIC SODA LIQUID"/>
    <n v="2349505"/>
    <x v="0"/>
    <n v="4229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22910.89999999997"/>
    <d v="2024-05-01T00:00:00"/>
    <x v="0"/>
  </r>
  <r>
    <x v="660"/>
    <d v="2024-04-01T00:00:00"/>
    <x v="1831"/>
    <d v="2024-04-16T00:00:00"/>
    <x v="0"/>
    <x v="1"/>
    <n v="19910"/>
    <x v="4"/>
    <x v="0"/>
    <n v="2815.12"/>
    <n v="0.28000000000000003"/>
    <n v="19910"/>
    <n v="19910"/>
    <x v="12"/>
    <s v="CAUSTIC SODA LIQUID"/>
    <n v="1562935"/>
    <x v="0"/>
    <n v="281328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328.3"/>
    <d v="2024-05-01T00:00:00"/>
    <x v="0"/>
  </r>
  <r>
    <x v="661"/>
    <d v="2024-04-01T00:00:00"/>
    <x v="1832"/>
    <d v="2024-04-16T00:00:00"/>
    <x v="0"/>
    <x v="1"/>
    <n v="29740"/>
    <x v="4"/>
    <x v="0"/>
    <n v="2815.12"/>
    <n v="0.28000000000000003"/>
    <n v="29740"/>
    <n v="29740"/>
    <x v="12"/>
    <s v="CAUSTIC SODA LIQUID"/>
    <n v="2334590"/>
    <x v="0"/>
    <n v="420226.2"/>
    <x v="0"/>
    <m/>
    <m/>
    <x v="0"/>
    <x v="0"/>
    <x v="0"/>
    <x v="0"/>
    <x v="0"/>
    <x v="0"/>
    <m/>
    <x v="0"/>
    <x v="1"/>
    <x v="0"/>
    <x v="0"/>
    <x v="0"/>
    <x v="5"/>
    <n v="78.5"/>
    <n v="14.13"/>
    <n v="420226.2"/>
    <d v="2024-05-01T00:00:00"/>
    <x v="0"/>
  </r>
  <r>
    <x v="662"/>
    <d v="2024-04-01T00:00:00"/>
    <x v="1833"/>
    <d v="2024-04-16T00:00:00"/>
    <x v="0"/>
    <x v="1"/>
    <n v="29900"/>
    <x v="4"/>
    <x v="0"/>
    <n v="2815.12"/>
    <n v="0.28000000000000003"/>
    <n v="29900"/>
    <n v="29900"/>
    <x v="12"/>
    <s v="CAUSTIC SODA LIQUID"/>
    <n v="2347150"/>
    <x v="0"/>
    <n v="422487"/>
    <x v="0"/>
    <m/>
    <m/>
    <x v="0"/>
    <x v="0"/>
    <x v="0"/>
    <x v="0"/>
    <x v="0"/>
    <x v="0"/>
    <m/>
    <x v="0"/>
    <x v="1"/>
    <x v="0"/>
    <x v="0"/>
    <x v="0"/>
    <x v="5"/>
    <n v="78.5"/>
    <n v="14.13"/>
    <n v="422487"/>
    <d v="2024-05-01T00:00:00"/>
    <x v="0"/>
  </r>
  <r>
    <x v="663"/>
    <d v="2024-04-01T00:00:00"/>
    <x v="1834"/>
    <d v="2024-04-16T00:00:00"/>
    <x v="0"/>
    <x v="0"/>
    <n v="30"/>
    <x v="4"/>
    <x v="0"/>
    <n v="3204.172"/>
    <n v="10.18"/>
    <n v="0"/>
    <n v="0"/>
    <x v="5"/>
    <s v="PRINTOFIX PINK H-5BL"/>
    <n v="85500"/>
    <x v="0"/>
    <n v="15390"/>
    <x v="0"/>
    <m/>
    <m/>
    <x v="0"/>
    <x v="0"/>
    <x v="0"/>
    <x v="6"/>
    <x v="0"/>
    <x v="0"/>
    <m/>
    <x v="0"/>
    <x v="1"/>
    <x v="0"/>
    <x v="0"/>
    <x v="0"/>
    <x v="4"/>
    <n v="2850"/>
    <n v="513"/>
    <n v="0"/>
    <d v="2024-05-01T00:00:00"/>
    <x v="0"/>
  </r>
  <r>
    <x v="664"/>
    <d v="2024-04-01T00:00:00"/>
    <x v="1835"/>
    <d v="2024-04-16T00:00:00"/>
    <x v="0"/>
    <x v="0"/>
    <n v="30"/>
    <x v="4"/>
    <x v="0"/>
    <n v="3204.172"/>
    <n v="10.18"/>
    <n v="0"/>
    <n v="0"/>
    <x v="5"/>
    <s v="PRINTOFIX PINK H-5BL"/>
    <n v="85500"/>
    <x v="0"/>
    <n v="15390"/>
    <x v="0"/>
    <m/>
    <m/>
    <x v="0"/>
    <x v="0"/>
    <x v="0"/>
    <x v="6"/>
    <x v="0"/>
    <x v="0"/>
    <m/>
    <x v="0"/>
    <x v="1"/>
    <x v="0"/>
    <x v="0"/>
    <x v="0"/>
    <x v="4"/>
    <n v="2850"/>
    <n v="513"/>
    <n v="0"/>
    <d v="2024-05-01T00:00:00"/>
    <x v="0"/>
  </r>
  <r>
    <x v="665"/>
    <d v="2024-04-01T00:00:00"/>
    <x v="1836"/>
    <d v="2024-04-16T00:00:00"/>
    <x v="0"/>
    <x v="0"/>
    <n v="990"/>
    <x v="4"/>
    <x v="0"/>
    <n v="2931.9090000000001"/>
    <n v="1.92"/>
    <n v="0"/>
    <n v="0"/>
    <x v="12"/>
    <s v="LUFIBROL ANTOX LIQ"/>
    <n v="532620"/>
    <x v="0"/>
    <n v="95871.599999999991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5-01T00:00:00"/>
    <x v="0"/>
  </r>
  <r>
    <x v="665"/>
    <d v="2024-04-01T00:00:00"/>
    <x v="1836"/>
    <d v="2024-04-16T00:00:00"/>
    <x v="0"/>
    <x v="0"/>
    <n v="880"/>
    <x v="4"/>
    <x v="0"/>
    <n v="3809.9189999999999"/>
    <n v="0.41"/>
    <n v="0"/>
    <n v="0"/>
    <x v="12"/>
    <s v="PRESTOGEN F-PL LIQ"/>
    <n v="101200"/>
    <x v="0"/>
    <n v="18216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1T00:00:00"/>
    <x v="0"/>
  </r>
  <r>
    <x v="665"/>
    <d v="2024-04-01T00:00:00"/>
    <x v="1836"/>
    <d v="2024-04-16T00:00:00"/>
    <x v="0"/>
    <x v="0"/>
    <n v="600"/>
    <x v="4"/>
    <x v="0"/>
    <n v="3204.2"/>
    <n v="1.8"/>
    <n v="0"/>
    <n v="0"/>
    <x v="5"/>
    <s v="LEUCOPHOR BMF LIQUID"/>
    <n v="303000"/>
    <x v="0"/>
    <n v="5454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5-01T00:00:00"/>
    <x v="0"/>
  </r>
  <r>
    <x v="665"/>
    <d v="2024-04-01T00:00:00"/>
    <x v="1836"/>
    <d v="2024-04-16T00:00:00"/>
    <x v="0"/>
    <x v="0"/>
    <n v="400"/>
    <x v="4"/>
    <x v="0"/>
    <n v="2904.2089999999998"/>
    <n v="0.89"/>
    <n v="0"/>
    <n v="0"/>
    <x v="12"/>
    <s v="REVATOL S LIQUID"/>
    <n v="100000"/>
    <x v="0"/>
    <n v="18000"/>
    <x v="0"/>
    <m/>
    <m/>
    <x v="0"/>
    <x v="0"/>
    <x v="0"/>
    <x v="5"/>
    <x v="0"/>
    <x v="0"/>
    <m/>
    <x v="0"/>
    <x v="1"/>
    <x v="0"/>
    <x v="0"/>
    <x v="0"/>
    <x v="5"/>
    <n v="250"/>
    <n v="45"/>
    <n v="0"/>
    <d v="2024-05-01T00:00:00"/>
    <x v="0"/>
  </r>
  <r>
    <x v="666"/>
    <d v="2024-04-01T00:00:00"/>
    <x v="1837"/>
    <d v="2024-04-16T00:00:00"/>
    <x v="0"/>
    <x v="0"/>
    <n v="510"/>
    <x v="4"/>
    <x v="0"/>
    <n v="3809.9110000000001"/>
    <n v="1.84"/>
    <n v="0"/>
    <n v="0"/>
    <x v="12"/>
    <s v="SIRRIX NE LIQ NEW 0120 "/>
    <n v="262350"/>
    <x v="0"/>
    <n v="47223"/>
    <x v="0"/>
    <m/>
    <m/>
    <x v="0"/>
    <x v="0"/>
    <x v="0"/>
    <x v="5"/>
    <x v="0"/>
    <x v="0"/>
    <m/>
    <x v="0"/>
    <x v="1"/>
    <x v="0"/>
    <x v="0"/>
    <x v="0"/>
    <x v="5"/>
    <n v="514.41176470588232"/>
    <n v="92.594117647058823"/>
    <n v="0"/>
    <d v="2024-05-01T00:00:00"/>
    <x v="0"/>
  </r>
  <r>
    <x v="666"/>
    <d v="2024-04-01T00:00:00"/>
    <x v="1837"/>
    <d v="2024-04-16T00:00:00"/>
    <x v="0"/>
    <x v="0"/>
    <n v="500"/>
    <x v="4"/>
    <x v="0"/>
    <n v="3204.172"/>
    <n v="1.23"/>
    <n v="0"/>
    <n v="0"/>
    <x v="5"/>
    <s v="PRINTOFIX BLACK FF-RT"/>
    <n v="172500"/>
    <x v="0"/>
    <n v="31050"/>
    <x v="0"/>
    <m/>
    <m/>
    <x v="0"/>
    <x v="0"/>
    <x v="0"/>
    <x v="5"/>
    <x v="0"/>
    <x v="0"/>
    <m/>
    <x v="0"/>
    <x v="1"/>
    <x v="0"/>
    <x v="0"/>
    <x v="0"/>
    <x v="4"/>
    <n v="345"/>
    <n v="62.1"/>
    <n v="0"/>
    <d v="2024-05-01T00:00:00"/>
    <x v="0"/>
  </r>
  <r>
    <x v="667"/>
    <d v="2024-04-01T00:00:00"/>
    <x v="1838"/>
    <d v="2024-04-17T00:00:00"/>
    <x v="0"/>
    <x v="0"/>
    <n v="200"/>
    <x v="4"/>
    <x v="0"/>
    <n v="3402.42"/>
    <n v="2.41"/>
    <n v="0"/>
    <n v="0"/>
    <x v="12"/>
    <s v="KIERALON 2010 LIQ"/>
    <n v="135000"/>
    <x v="0"/>
    <n v="24300"/>
    <x v="0"/>
    <m/>
    <m/>
    <x v="0"/>
    <x v="0"/>
    <x v="0"/>
    <x v="6"/>
    <x v="0"/>
    <x v="0"/>
    <m/>
    <x v="0"/>
    <x v="1"/>
    <x v="0"/>
    <x v="0"/>
    <x v="0"/>
    <x v="5"/>
    <n v="675"/>
    <n v="121.5"/>
    <n v="0"/>
    <d v="2024-05-01T00:00:00"/>
    <x v="0"/>
  </r>
  <r>
    <x v="668"/>
    <d v="2024-04-01T00:00:00"/>
    <x v="1839"/>
    <d v="2024-04-17T00:00:00"/>
    <x v="0"/>
    <x v="0"/>
    <n v="400"/>
    <x v="4"/>
    <x v="0"/>
    <n v="3402.42"/>
    <n v="2.41"/>
    <n v="400"/>
    <n v="400"/>
    <x v="12"/>
    <s v="KIERALON 2010 LIQ"/>
    <n v="270000"/>
    <x v="0"/>
    <n v="48600"/>
    <x v="0"/>
    <m/>
    <m/>
    <x v="0"/>
    <x v="0"/>
    <x v="0"/>
    <x v="6"/>
    <x v="0"/>
    <x v="0"/>
    <m/>
    <x v="0"/>
    <x v="1"/>
    <x v="0"/>
    <x v="0"/>
    <x v="0"/>
    <x v="5"/>
    <n v="675"/>
    <n v="121.5"/>
    <n v="48600"/>
    <d v="2024-05-01T00:00:00"/>
    <x v="0"/>
  </r>
  <r>
    <x v="669"/>
    <d v="2024-04-01T00:00:00"/>
    <x v="1840"/>
    <d v="2024-04-17T00:00:00"/>
    <x v="0"/>
    <x v="0"/>
    <n v="3080"/>
    <x v="4"/>
    <x v="0"/>
    <n v="2931.9090000000001"/>
    <n v="1.92"/>
    <n v="0"/>
    <n v="0"/>
    <x v="12"/>
    <s v="LUFIBROL ANTOX LIQ"/>
    <n v="1657040"/>
    <x v="0"/>
    <n v="298267.2"/>
    <x v="0"/>
    <m/>
    <m/>
    <x v="0"/>
    <x v="0"/>
    <x v="0"/>
    <x v="0"/>
    <x v="0"/>
    <x v="0"/>
    <m/>
    <x v="0"/>
    <x v="1"/>
    <x v="0"/>
    <x v="0"/>
    <x v="0"/>
    <x v="5"/>
    <n v="538"/>
    <n v="96.84"/>
    <n v="0"/>
    <d v="2024-05-01T00:00:00"/>
    <x v="0"/>
  </r>
  <r>
    <x v="669"/>
    <d v="2024-04-01T00:00:00"/>
    <x v="1840"/>
    <d v="2024-04-17T00:00:00"/>
    <x v="0"/>
    <x v="0"/>
    <n v="3080"/>
    <x v="4"/>
    <x v="0"/>
    <n v="3809.9189999999999"/>
    <n v="0.41"/>
    <n v="0"/>
    <n v="0"/>
    <x v="12"/>
    <s v="PRESTOGEN F-PL LIQ"/>
    <n v="354200"/>
    <x v="0"/>
    <n v="63756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5-01T00:00:00"/>
    <x v="0"/>
  </r>
  <r>
    <x v="670"/>
    <d v="2024-04-01T00:00:00"/>
    <x v="1841"/>
    <d v="2024-04-17T00:00:00"/>
    <x v="0"/>
    <x v="0"/>
    <n v="400"/>
    <x v="4"/>
    <x v="0"/>
    <n v="3402.42"/>
    <n v="2.41"/>
    <n v="0"/>
    <n v="0"/>
    <x v="12"/>
    <s v="KIERALON 2010 LIQ"/>
    <n v="270000"/>
    <x v="0"/>
    <n v="48600"/>
    <x v="0"/>
    <m/>
    <m/>
    <x v="0"/>
    <x v="0"/>
    <x v="0"/>
    <x v="5"/>
    <x v="0"/>
    <x v="0"/>
    <m/>
    <x v="0"/>
    <x v="1"/>
    <x v="0"/>
    <x v="0"/>
    <x v="0"/>
    <x v="5"/>
    <n v="675"/>
    <n v="121.5"/>
    <n v="0"/>
    <d v="2024-05-01T00:00:00"/>
    <x v="0"/>
  </r>
  <r>
    <x v="671"/>
    <d v="2024-04-01T00:00:00"/>
    <x v="1842"/>
    <d v="2024-04-17T00:00:00"/>
    <x v="0"/>
    <x v="0"/>
    <n v="1400"/>
    <x v="4"/>
    <x v="0"/>
    <n v="3204.2"/>
    <n v="1.8"/>
    <n v="0"/>
    <n v="0"/>
    <x v="5"/>
    <s v="LEUCOPHOR BMF LIQUID"/>
    <n v="707000"/>
    <x v="0"/>
    <n v="12726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1T00:00:00"/>
    <x v="0"/>
  </r>
  <r>
    <x v="671"/>
    <d v="2024-04-01T00:00:00"/>
    <x v="1842"/>
    <d v="2024-04-17T00:00:00"/>
    <x v="0"/>
    <x v="0"/>
    <n v="840"/>
    <x v="4"/>
    <x v="0"/>
    <n v="3809.9110000000001"/>
    <n v="1.2"/>
    <n v="0"/>
    <n v="0"/>
    <x v="12"/>
    <s v="SIRRIX NE LIQ NEW 0120 "/>
    <n v="281400"/>
    <x v="0"/>
    <n v="50652"/>
    <x v="0"/>
    <m/>
    <m/>
    <x v="0"/>
    <x v="0"/>
    <x v="0"/>
    <x v="6"/>
    <x v="0"/>
    <x v="0"/>
    <m/>
    <x v="0"/>
    <x v="1"/>
    <x v="0"/>
    <x v="0"/>
    <x v="0"/>
    <x v="5"/>
    <n v="335"/>
    <n v="60.3"/>
    <n v="0"/>
    <d v="2024-05-01T00:00:00"/>
    <x v="0"/>
  </r>
  <r>
    <x v="671"/>
    <d v="2024-04-01T00:00:00"/>
    <x v="1842"/>
    <d v="2024-04-17T00:00:00"/>
    <x v="0"/>
    <x v="0"/>
    <n v="900"/>
    <x v="4"/>
    <x v="0"/>
    <n v="3204.172"/>
    <n v="1.23"/>
    <n v="0"/>
    <n v="0"/>
    <x v="5"/>
    <s v="PRINTOFIX BLACK FF-RT"/>
    <n v="310500"/>
    <x v="0"/>
    <n v="5589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5-01T00:00:00"/>
    <x v="0"/>
  </r>
  <r>
    <x v="672"/>
    <d v="2024-04-01T00:00:00"/>
    <x v="1843"/>
    <d v="2024-04-17T00:00:00"/>
    <x v="0"/>
    <x v="1"/>
    <n v="180"/>
    <x v="4"/>
    <x v="0"/>
    <n v="3402.4189999999999"/>
    <n v="3.56"/>
    <n v="180"/>
    <n v="180"/>
    <x v="12"/>
    <s v="LYOGEN WD LIQ"/>
    <n v="179640"/>
    <x v="0"/>
    <n v="32335.199999999997"/>
    <x v="0"/>
    <m/>
    <m/>
    <x v="0"/>
    <x v="0"/>
    <x v="0"/>
    <x v="0"/>
    <x v="0"/>
    <x v="0"/>
    <m/>
    <x v="0"/>
    <x v="1"/>
    <x v="0"/>
    <x v="0"/>
    <x v="0"/>
    <x v="5"/>
    <n v="998"/>
    <n v="179.64"/>
    <n v="32335.199999999997"/>
    <d v="2024-05-01T00:00:00"/>
    <x v="0"/>
  </r>
  <r>
    <x v="673"/>
    <d v="2024-04-01T00:00:00"/>
    <x v="1844"/>
    <d v="2024-04-17T00:00:00"/>
    <x v="0"/>
    <x v="0"/>
    <n v="1870"/>
    <x v="4"/>
    <x v="0"/>
    <n v="2931.9090000000001"/>
    <n v="1.92"/>
    <n v="0"/>
    <n v="0"/>
    <x v="12"/>
    <s v="LUFIBROL ANTOX LIQ"/>
    <n v="1006060"/>
    <x v="0"/>
    <n v="181090.8"/>
    <x v="0"/>
    <m/>
    <m/>
    <x v="0"/>
    <x v="0"/>
    <x v="0"/>
    <x v="0"/>
    <x v="0"/>
    <x v="0"/>
    <m/>
    <x v="0"/>
    <x v="1"/>
    <x v="0"/>
    <x v="0"/>
    <x v="0"/>
    <x v="5"/>
    <n v="538"/>
    <n v="96.839999999999989"/>
    <n v="0"/>
    <d v="2024-05-01T00:00:00"/>
    <x v="0"/>
  </r>
  <r>
    <x v="673"/>
    <d v="2024-04-01T00:00:00"/>
    <x v="1844"/>
    <d v="2024-04-17T00:00:00"/>
    <x v="0"/>
    <x v="0"/>
    <n v="2860"/>
    <x v="4"/>
    <x v="0"/>
    <n v="3809.9189999999999"/>
    <n v="0.41"/>
    <n v="0"/>
    <n v="0"/>
    <x v="12"/>
    <s v="PRESTOGEN F-PL LIQ"/>
    <n v="328900"/>
    <x v="0"/>
    <n v="59202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5-01T00:00:00"/>
    <x v="0"/>
  </r>
  <r>
    <x v="673"/>
    <d v="2024-04-01T00:00:00"/>
    <x v="1844"/>
    <d v="2024-04-17T00:00:00"/>
    <x v="0"/>
    <x v="0"/>
    <n v="400"/>
    <x v="4"/>
    <x v="0"/>
    <n v="3204.172"/>
    <n v="1.23"/>
    <n v="0"/>
    <n v="0"/>
    <x v="5"/>
    <s v="PRINTOFIX BLACK FF-RT"/>
    <n v="138000"/>
    <x v="0"/>
    <n v="24840"/>
    <x v="0"/>
    <m/>
    <m/>
    <x v="0"/>
    <x v="0"/>
    <x v="0"/>
    <x v="0"/>
    <x v="0"/>
    <x v="0"/>
    <m/>
    <x v="0"/>
    <x v="1"/>
    <x v="0"/>
    <x v="0"/>
    <x v="0"/>
    <x v="4"/>
    <n v="345"/>
    <n v="62.1"/>
    <n v="0"/>
    <d v="2024-05-01T00:00:00"/>
    <x v="0"/>
  </r>
  <r>
    <x v="674"/>
    <d v="2024-04-01T00:00:00"/>
    <x v="1845"/>
    <d v="2024-04-17T00:00:00"/>
    <x v="0"/>
    <x v="0"/>
    <n v="130"/>
    <x v="4"/>
    <x v="0"/>
    <n v="3809.9189999999999"/>
    <n v="3.14"/>
    <n v="0"/>
    <n v="0"/>
    <x v="12"/>
    <s v="FORNAX W"/>
    <n v="114400"/>
    <x v="0"/>
    <n v="20592"/>
    <x v="0"/>
    <m/>
    <m/>
    <x v="0"/>
    <x v="0"/>
    <x v="0"/>
    <x v="0"/>
    <x v="0"/>
    <x v="0"/>
    <m/>
    <x v="0"/>
    <x v="1"/>
    <x v="0"/>
    <x v="0"/>
    <x v="0"/>
    <x v="5"/>
    <n v="880"/>
    <n v="158.4"/>
    <n v="0"/>
    <d v="2024-05-01T00:00:00"/>
    <x v="0"/>
  </r>
  <r>
    <x v="675"/>
    <d v="2024-04-01T00:00:00"/>
    <x v="1846"/>
    <d v="2024-04-17T00:00:00"/>
    <x v="0"/>
    <x v="0"/>
    <n v="2640"/>
    <x v="4"/>
    <x v="0"/>
    <n v="3809.9189999999999"/>
    <n v="0.41"/>
    <n v="0"/>
    <n v="0"/>
    <x v="12"/>
    <s v="PRESTOGEN F-PL LIQ"/>
    <n v="303600"/>
    <x v="0"/>
    <n v="54648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1T00:00:00"/>
    <x v="0"/>
  </r>
  <r>
    <x v="675"/>
    <d v="2024-04-01T00:00:00"/>
    <x v="1846"/>
    <d v="2024-04-17T00:00:00"/>
    <x v="0"/>
    <x v="0"/>
    <n v="200"/>
    <x v="4"/>
    <x v="0"/>
    <n v="3204.172"/>
    <n v="1.23"/>
    <n v="0"/>
    <n v="0"/>
    <x v="5"/>
    <s v="PRINTOFIX BLACK FF-RT"/>
    <n v="69000"/>
    <x v="0"/>
    <n v="12420"/>
    <x v="0"/>
    <m/>
    <m/>
    <x v="0"/>
    <x v="0"/>
    <x v="0"/>
    <x v="5"/>
    <x v="0"/>
    <x v="0"/>
    <m/>
    <x v="0"/>
    <x v="1"/>
    <x v="0"/>
    <x v="0"/>
    <x v="0"/>
    <x v="4"/>
    <n v="345"/>
    <n v="62.1"/>
    <n v="0"/>
    <d v="2024-05-01T00:00:00"/>
    <x v="0"/>
  </r>
  <r>
    <x v="676"/>
    <d v="2024-04-01T00:00:00"/>
    <x v="1847"/>
    <d v="2024-04-17T00:00:00"/>
    <x v="0"/>
    <x v="0"/>
    <n v="25"/>
    <x v="4"/>
    <x v="0"/>
    <n v="3204.16"/>
    <n v="25.89"/>
    <n v="0"/>
    <n v="0"/>
    <x v="5"/>
    <s v="NOVACRON BROWN EC -NC"/>
    <n v="181250"/>
    <x v="0"/>
    <n v="32625"/>
    <x v="0"/>
    <m/>
    <m/>
    <x v="0"/>
    <x v="0"/>
    <x v="0"/>
    <x v="5"/>
    <x v="0"/>
    <x v="0"/>
    <m/>
    <x v="0"/>
    <x v="1"/>
    <x v="0"/>
    <x v="0"/>
    <x v="0"/>
    <x v="4"/>
    <n v="7250"/>
    <n v="1305"/>
    <n v="0"/>
    <d v="2024-05-01T00:00:00"/>
    <x v="0"/>
  </r>
  <r>
    <x v="677"/>
    <d v="2024-04-01T00:00:00"/>
    <x v="1848"/>
    <d v="2024-04-17T00:00:00"/>
    <x v="0"/>
    <x v="0"/>
    <n v="2200"/>
    <x v="4"/>
    <x v="0"/>
    <n v="3809.9189999999999"/>
    <n v="0.41"/>
    <n v="0"/>
    <n v="0"/>
    <x v="12"/>
    <s v="PRESTOGEN F-PL LIQ"/>
    <n v="253000"/>
    <x v="0"/>
    <n v="45540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5-01T00:00:00"/>
    <x v="0"/>
  </r>
  <r>
    <x v="677"/>
    <d v="2024-04-01T00:00:00"/>
    <x v="1848"/>
    <d v="2024-04-17T00:00:00"/>
    <x v="0"/>
    <x v="0"/>
    <n v="1000"/>
    <x v="4"/>
    <x v="0"/>
    <n v="3204.2"/>
    <n v="1.8"/>
    <n v="0"/>
    <n v="0"/>
    <x v="5"/>
    <s v="LEUCOPHOR BMF LIQUID"/>
    <n v="505000"/>
    <x v="0"/>
    <n v="9090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1T00:00:00"/>
    <x v="0"/>
  </r>
  <r>
    <x v="678"/>
    <d v="2024-04-01T00:00:00"/>
    <x v="1849"/>
    <d v="2024-04-17T00:00:00"/>
    <x v="0"/>
    <x v="0"/>
    <n v="2420"/>
    <x v="4"/>
    <x v="0"/>
    <n v="3809.9189999999999"/>
    <n v="0.41"/>
    <n v="0"/>
    <n v="0"/>
    <x v="12"/>
    <s v="PRESTOGEN F-PL LIQ"/>
    <n v="278300"/>
    <x v="0"/>
    <n v="50094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1T00:00:00"/>
    <x v="0"/>
  </r>
  <r>
    <x v="679"/>
    <d v="2024-04-01T00:00:00"/>
    <x v="1850"/>
    <d v="2024-04-17T00:00:00"/>
    <x v="0"/>
    <x v="0"/>
    <n v="90"/>
    <x v="4"/>
    <x v="0"/>
    <n v="3910"/>
    <n v="2.59"/>
    <n v="0"/>
    <n v="0"/>
    <x v="12"/>
    <s v="SOLUSOFT MW PK LIQ"/>
    <n v="65250"/>
    <x v="0"/>
    <n v="11745"/>
    <x v="0"/>
    <m/>
    <m/>
    <x v="0"/>
    <x v="0"/>
    <x v="0"/>
    <x v="5"/>
    <x v="0"/>
    <x v="0"/>
    <m/>
    <x v="0"/>
    <x v="1"/>
    <x v="0"/>
    <x v="0"/>
    <x v="0"/>
    <x v="5"/>
    <n v="725"/>
    <n v="130.5"/>
    <n v="0"/>
    <d v="2024-05-01T00:00:00"/>
    <x v="0"/>
  </r>
  <r>
    <x v="680"/>
    <d v="2024-04-01T00:00:00"/>
    <x v="1851"/>
    <d v="2024-04-17T00:00:00"/>
    <x v="0"/>
    <x v="0"/>
    <n v="120"/>
    <x v="4"/>
    <x v="0"/>
    <n v="3809.9189999999999"/>
    <n v="2.68"/>
    <n v="0"/>
    <n v="0"/>
    <x v="12"/>
    <s v="SOLIDOKOLL DPR LIQ "/>
    <n v="90000"/>
    <x v="0"/>
    <n v="16200"/>
    <x v="0"/>
    <m/>
    <m/>
    <x v="0"/>
    <x v="0"/>
    <x v="0"/>
    <x v="5"/>
    <x v="0"/>
    <x v="0"/>
    <m/>
    <x v="0"/>
    <x v="1"/>
    <x v="0"/>
    <x v="0"/>
    <x v="0"/>
    <x v="5"/>
    <n v="750"/>
    <n v="135"/>
    <n v="0"/>
    <d v="2024-05-01T00:00:00"/>
    <x v="0"/>
  </r>
  <r>
    <x v="681"/>
    <d v="2024-04-01T00:00:00"/>
    <x v="1852"/>
    <d v="2024-04-17T00:00:00"/>
    <x v="0"/>
    <x v="0"/>
    <n v="800"/>
    <x v="4"/>
    <x v="0"/>
    <n v="3204.2"/>
    <n v="1.8"/>
    <n v="0"/>
    <n v="0"/>
    <x v="5"/>
    <s v="LEUCOPHOR BMF LIQUID"/>
    <n v="404000"/>
    <x v="0"/>
    <n v="7272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1T00:00:00"/>
    <x v="0"/>
  </r>
  <r>
    <x v="682"/>
    <d v="2024-04-01T00:00:00"/>
    <x v="1853"/>
    <d v="2024-04-17T00:00:00"/>
    <x v="0"/>
    <x v="1"/>
    <n v="180"/>
    <x v="4"/>
    <x v="0"/>
    <n v="3402.4189999999999"/>
    <n v="3.56"/>
    <n v="180"/>
    <n v="180"/>
    <x v="12"/>
    <s v="LYOGEN WD LIQ"/>
    <n v="179640"/>
    <x v="0"/>
    <n v="32335.199999999997"/>
    <x v="0"/>
    <m/>
    <m/>
    <x v="0"/>
    <x v="0"/>
    <x v="0"/>
    <x v="0"/>
    <x v="0"/>
    <x v="0"/>
    <m/>
    <x v="0"/>
    <x v="1"/>
    <x v="0"/>
    <x v="0"/>
    <x v="0"/>
    <x v="5"/>
    <n v="998"/>
    <n v="179.64"/>
    <n v="32335.199999999997"/>
    <d v="2024-05-01T00:00:00"/>
    <x v="0"/>
  </r>
  <r>
    <x v="683"/>
    <d v="2024-04-01T00:00:00"/>
    <x v="1854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5-01T00:00:00"/>
    <x v="0"/>
  </r>
  <r>
    <x v="684"/>
    <d v="2024-04-01T00:00:00"/>
    <x v="1855"/>
    <d v="2024-04-17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6"/>
    <x v="0"/>
    <x v="0"/>
    <m/>
    <x v="0"/>
    <x v="1"/>
    <x v="0"/>
    <x v="0"/>
    <x v="0"/>
    <x v="5"/>
    <n v="193"/>
    <n v="34.74"/>
    <n v="0"/>
    <d v="2024-05-01T00:00:00"/>
    <x v="0"/>
  </r>
  <r>
    <x v="685"/>
    <d v="2024-04-01T00:00:00"/>
    <x v="1856"/>
    <d v="2024-04-17T00:00:00"/>
    <x v="0"/>
    <x v="0"/>
    <n v="1300"/>
    <x v="4"/>
    <x v="0"/>
    <n v="3809.9189999999999"/>
    <n v="0.66"/>
    <n v="0"/>
    <n v="0"/>
    <x v="12"/>
    <s v="PESOFIX WM"/>
    <n v="240500"/>
    <x v="0"/>
    <n v="43290"/>
    <x v="0"/>
    <m/>
    <m/>
    <x v="0"/>
    <x v="0"/>
    <x v="0"/>
    <x v="5"/>
    <x v="0"/>
    <x v="0"/>
    <m/>
    <x v="0"/>
    <x v="1"/>
    <x v="0"/>
    <x v="0"/>
    <x v="0"/>
    <x v="5"/>
    <n v="185"/>
    <n v="33.299999999999997"/>
    <n v="0"/>
    <d v="2024-05-01T00:00:00"/>
    <x v="0"/>
  </r>
  <r>
    <x v="686"/>
    <d v="2024-04-01T00:00:00"/>
    <x v="1857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5-01T00:00:00"/>
    <x v="0"/>
  </r>
  <r>
    <x v="687"/>
    <d v="2024-04-01T00:00:00"/>
    <x v="1858"/>
    <d v="2024-04-17T00:00:00"/>
    <x v="0"/>
    <x v="0"/>
    <n v="5000"/>
    <x v="4"/>
    <x v="0"/>
    <n v="3906.9090000000001"/>
    <n v="0.5"/>
    <n v="5000"/>
    <n v="5000"/>
    <x v="12"/>
    <s v="TUBIFAST ACE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125100"/>
    <d v="2024-05-01T00:00:00"/>
    <x v="0"/>
  </r>
  <r>
    <x v="688"/>
    <d v="2024-04-01T00:00:00"/>
    <x v="1859"/>
    <d v="2024-04-17T00:00:00"/>
    <x v="0"/>
    <x v="0"/>
    <n v="5000"/>
    <x v="4"/>
    <x v="0"/>
    <n v="3906.9090000000001"/>
    <n v="0.5"/>
    <n v="5000"/>
    <n v="500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125100"/>
    <d v="2024-05-01T00:00:00"/>
    <x v="0"/>
  </r>
  <r>
    <x v="689"/>
    <d v="2024-04-01T00:00:00"/>
    <x v="1860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5-01T00:00:0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"/>
    <x v="0"/>
    <s v="KAPE-FS-11946-17-08-2023"/>
    <n v="2"/>
    <n v="4403977"/>
    <n v="1321193"/>
    <s v="8479.8920  "/>
    <x v="0"/>
  </r>
  <r>
    <n v="2"/>
    <x v="0"/>
    <s v="KAPS-FS-39339-12-10-2023"/>
    <n v="24"/>
    <n v="84048736"/>
    <n v="25214622"/>
    <s v="8452.2100  / 8452.9090  "/>
    <x v="0"/>
  </r>
  <r>
    <n v="3"/>
    <x v="0"/>
    <s v="KAPS-FS-39341-12-10-2023"/>
    <n v="8"/>
    <n v="43374690"/>
    <n v="13012408"/>
    <s v="8452.2100  / 8452.9090  "/>
    <x v="0"/>
  </r>
  <r>
    <n v="4"/>
    <x v="0"/>
    <s v="KAPS-FS-51542-15-11-2023"/>
    <n v="2"/>
    <n v="18886947"/>
    <n v="5666084"/>
    <s v="8452.2900  "/>
    <x v="0"/>
  </r>
  <r>
    <n v="5"/>
    <x v="0"/>
    <s v="KAPE-FS-34418-15-11-2023"/>
    <n v="118"/>
    <n v="21143246"/>
    <n v="6342974"/>
    <s v="8452.2900  "/>
    <x v="0"/>
  </r>
  <r>
    <n v="6"/>
    <x v="0"/>
    <s v="KPAF-FS-24307-21-11-2023"/>
    <n v="2"/>
    <n v="2692068"/>
    <n v="807620"/>
    <s v="8452.2100  "/>
    <x v="0"/>
  </r>
  <r>
    <n v="7"/>
    <x v="0"/>
    <s v="KAPE-FS-37625-28-11-2023"/>
    <n v="12"/>
    <n v="4000692"/>
    <n v="1200207"/>
    <s v="8452.2900  "/>
    <x v="0"/>
  </r>
  <r>
    <n v="8"/>
    <x v="0"/>
    <s v="KAPE-FS-37624-28-11-2023"/>
    <n v="20"/>
    <n v="26173620"/>
    <n v="7852085"/>
    <s v="8452.2900  "/>
    <x v="0"/>
  </r>
  <r>
    <n v="9"/>
    <x v="0"/>
    <s v="KPAF-FS-26988-06-12-2023"/>
    <n v="1"/>
    <n v="1181811"/>
    <n v="354543"/>
    <s v="8452.2900  "/>
    <x v="0"/>
  </r>
  <r>
    <n v="10"/>
    <x v="0"/>
    <s v="KAPE-FS-40657-08-12-2023"/>
    <n v="2"/>
    <n v="998702"/>
    <n v="299610"/>
    <s v="8452.2900  "/>
    <x v="0"/>
  </r>
  <r>
    <n v="11"/>
    <x v="0"/>
    <s v="KAPS-FS-67286-21-12-2023"/>
    <n v="1"/>
    <n v="91370561"/>
    <n v="27411168"/>
    <s v="8451.4030  "/>
    <x v="0"/>
  </r>
  <r>
    <n v="12"/>
    <x v="0"/>
    <s v="KAPW-FS-92395-21-12-2023"/>
    <n v="6"/>
    <n v="2235109"/>
    <n v="670533"/>
    <s v="8452.2900  "/>
    <x v="0"/>
  </r>
  <r>
    <n v="13"/>
    <x v="0"/>
    <s v="KAPW-FS-95246-28-12-2023"/>
    <n v="1"/>
    <n v="8741074"/>
    <n v="2622322"/>
    <s v="8452.2900  "/>
    <x v="0"/>
  </r>
  <r>
    <n v="14"/>
    <x v="0"/>
    <s v="KPAF-FS-32849-10-01-2024"/>
    <n v="2"/>
    <n v="416749"/>
    <n v="125025"/>
    <s v="8445.4090  "/>
    <x v="0"/>
  </r>
  <r>
    <n v="15"/>
    <x v="0"/>
    <s v="KPAF-FS-32850-10-01-2024"/>
    <n v="1"/>
    <n v="1149653"/>
    <n v="344896"/>
    <s v="9024.8000  "/>
    <x v="0"/>
  </r>
  <r>
    <n v="16"/>
    <x v="0"/>
    <s v="KAPS-FS-76128-11-01-2024"/>
    <n v="6"/>
    <n v="589092449"/>
    <n v="176727735"/>
    <s v="8445.2000  "/>
    <x v="0"/>
  </r>
  <r>
    <n v="17"/>
    <x v="0"/>
    <s v="KAPW-FS-112866-26-01-2024"/>
    <n v="8"/>
    <n v="3034994"/>
    <n v="910498"/>
    <s v="8452.2900  "/>
    <x v="0"/>
  </r>
  <r>
    <n v="18"/>
    <x v="0"/>
    <s v="KAPS-FS-87786-07-02-2024"/>
    <n v="1"/>
    <n v="35618058"/>
    <n v="10685417"/>
    <s v="8486.2000  "/>
    <x v="0"/>
  </r>
  <r>
    <n v="19"/>
    <x v="0"/>
    <s v="KAPW-FS-134063-01-03-2024"/>
    <n v="6"/>
    <n v="20321922"/>
    <n v="6096575"/>
    <s v="8452.2900  "/>
    <x v="0"/>
  </r>
  <r>
    <n v="20"/>
    <x v="0"/>
    <s v="KAPE-FS-63998-30-03-2024"/>
    <n v="1"/>
    <n v="17788789"/>
    <n v="5336637"/>
    <s v="8451.5000  "/>
    <x v="0"/>
  </r>
  <r>
    <n v="21"/>
    <x v="0"/>
    <s v="KAPE-FS-66769-18-04-2024"/>
    <n v="2"/>
    <n v="6155349"/>
    <n v="1846605"/>
    <s v="8452.2900  "/>
    <x v="0"/>
  </r>
  <r>
    <n v="22"/>
    <x v="0"/>
    <s v="KAPS-FS-120630-22-04-2024"/>
    <n v="23"/>
    <n v="472627185"/>
    <n v="141788158"/>
    <s v="8445.1100  / 8445.1200  / 8445.1300  / 8445.1910  "/>
    <x v="0"/>
  </r>
  <r>
    <n v="23"/>
    <x v="0"/>
    <s v="KAPW-FS-165341-29-04-2024"/>
    <n v="1"/>
    <n v="25163317"/>
    <n v="7548995"/>
    <s v="8447.9010  "/>
    <x v="0"/>
  </r>
  <r>
    <n v="24"/>
    <x v="0"/>
    <s v="KAPW-FS-166962-02-05-2024"/>
    <n v="4"/>
    <n v="6389906"/>
    <n v="1916972"/>
    <s v="8452.2900  "/>
    <x v="0"/>
  </r>
  <r>
    <n v="25"/>
    <x v="0"/>
    <s v="KAPW-FS-171617-09-05-2024"/>
    <n v="2"/>
    <n v="6092477"/>
    <n v="1827743"/>
    <s v="9031.8000  "/>
    <x v="0"/>
  </r>
  <r>
    <n v="26"/>
    <x v="0"/>
    <s v="KAPS-FS-135499-21-05-2024"/>
    <n v="1"/>
    <n v="8115120"/>
    <n v="2434541.8417320736"/>
    <s v="8445.409 "/>
    <x v="0"/>
  </r>
  <r>
    <n v="27"/>
    <x v="0"/>
    <s v="KAPW-FS-184682-01-06-2024"/>
    <n v="6"/>
    <n v="9105336"/>
    <n v="2731600"/>
    <s v="8452.2100  "/>
    <x v="0"/>
  </r>
  <r>
    <n v="28"/>
    <x v="0"/>
    <s v="KAPW-FS-185123-03-06-2024"/>
    <n v="1"/>
    <n v="42614678"/>
    <n v="24290367"/>
    <s v="8418.6990  "/>
    <x v="0"/>
  </r>
  <r>
    <n v="29"/>
    <x v="0"/>
    <s v="KAPS-FS-149176-22-06-2024"/>
    <n v="1"/>
    <n v="6830590"/>
    <n v="2049177"/>
    <s v="8445.2000  "/>
    <x v="0"/>
  </r>
  <r>
    <n v="30"/>
    <x v="0"/>
    <s v="KAPW-FS-201907-29-06-2024"/>
    <n v="39"/>
    <n v="20221116"/>
    <n v="6066333"/>
    <s v="8451.5000  / 8452.2900  "/>
    <x v="0"/>
  </r>
  <r>
    <n v="31"/>
    <x v="0"/>
    <s v="KAPS-FS-2069-04-07-2024"/>
    <n v="4"/>
    <n v="50851414"/>
    <n v="15255425"/>
    <s v="8428.3990 "/>
    <x v="0"/>
  </r>
  <r>
    <n v="32"/>
    <x v="0"/>
    <s v="KAPE-FS-1363-09-07-2024"/>
    <n v="2"/>
    <n v="3293397"/>
    <n v="988018"/>
    <s v="8452.2900 "/>
    <x v="0"/>
  </r>
  <r>
    <n v="33"/>
    <x v="0"/>
    <s v="KAPS-FS-5045-10-07-2024"/>
    <n v="2"/>
    <n v="67739955"/>
    <n v="20321987"/>
    <s v="8445.1100 "/>
    <x v="0"/>
  </r>
  <r>
    <n v="34"/>
    <x v="0"/>
    <s v="KPAF-FS-8004-07-08-2024"/>
    <n v="5"/>
    <n v="974993"/>
    <n v="321748"/>
    <s v="8471.7090  "/>
    <x v="0"/>
  </r>
  <r>
    <n v="35"/>
    <x v="0"/>
    <s v="KAPW-FS-19991-07-08-2024"/>
    <n v="1"/>
    <n v="206340728"/>
    <n v="84599698"/>
    <s v="8402.1990  "/>
    <x v="0"/>
  </r>
  <r>
    <n v="36"/>
    <x v="0"/>
    <s v="KAPS-FS-19688-07-08-2024"/>
    <n v="1"/>
    <n v="16576115"/>
    <n v="4972835"/>
    <s v="8448.1900  "/>
    <x v="0"/>
  </r>
  <r>
    <n v="37"/>
    <x v="0"/>
    <s v="KAPS-FS-19695-07-08-2024"/>
    <n v="1"/>
    <n v="35092154"/>
    <n v="10527646"/>
    <s v="8486.2000  "/>
    <x v="0"/>
  </r>
  <r>
    <n v="38"/>
    <x v="0"/>
    <s v="KAPS-FS-23470-13-08-2024"/>
    <n v="1"/>
    <n v="23561311"/>
    <n v="11780655"/>
    <s v="8308.9090  "/>
    <x v="0"/>
  </r>
  <r>
    <n v="39"/>
    <x v="0"/>
    <s v="KAPW-FS-25282-16-08-2024"/>
    <n v="2"/>
    <n v="10562738"/>
    <n v="3168821"/>
    <s v="8451.3000  "/>
    <x v="0"/>
  </r>
  <r>
    <n v="40"/>
    <x v="0"/>
    <s v="KAPW-FS-29071-22-08-2024"/>
    <n v="3"/>
    <n v="11735244"/>
    <n v="3520573"/>
    <s v="8452.2900  / 8452.9090  "/>
    <x v="0"/>
  </r>
  <r>
    <n v="41"/>
    <x v="1"/>
    <s v="KAPE-FS-1774-10-07-2023"/>
    <n v="91340"/>
    <n v="187977016"/>
    <n v="93988500"/>
    <s v="8544.1900  "/>
    <x v="0"/>
  </r>
  <r>
    <n v="42"/>
    <x v="1"/>
    <s v="KPAF-FS-1831-12-07-2023"/>
    <n v="36"/>
    <n v="479353"/>
    <n v="209486"/>
    <s v="7318.1590  / 7318.2300  / 7326.9090  / 8448.4990  / 8501.5290  / 8523.5290  / 8538.9090  / 8544.2000  / 9032.8990  "/>
    <x v="0"/>
  </r>
  <r>
    <n v="43"/>
    <x v="1"/>
    <s v="KAPW-FS-7624-15-07-2023"/>
    <n v="4"/>
    <n v="700981"/>
    <n v="252991"/>
    <s v="8504.4090  / 8543.7090  "/>
    <x v="0"/>
  </r>
  <r>
    <n v="44"/>
    <x v="1"/>
    <s v="KPAF-FS-3735-24-07-2023"/>
    <n v="11"/>
    <n v="1466447"/>
    <n v="676260"/>
    <s v="3403.9990  / 4016.9990  / 8504.4090  "/>
    <x v="0"/>
  </r>
  <r>
    <n v="45"/>
    <x v="1"/>
    <s v="KAPS-FS-9674-24-07-2023"/>
    <n v="252"/>
    <n v="268358440"/>
    <n v="122997620"/>
    <s v="8504.4090  / 9032.8990  "/>
    <x v="0"/>
  </r>
  <r>
    <n v="46"/>
    <x v="1"/>
    <s v="KAPW-FS-12039-24-07-2023"/>
    <n v="1"/>
    <n v="1543294"/>
    <n v="509287"/>
    <s v="8422.4000  "/>
    <x v="0"/>
  </r>
  <r>
    <n v="47"/>
    <x v="1"/>
    <s v="KPAF-FS-5160-02-08-2023"/>
    <n v="1"/>
    <n v="1350134"/>
    <n v="405040"/>
    <s v="8452.2100  "/>
    <x v="0"/>
  </r>
  <r>
    <n v="48"/>
    <x v="1"/>
    <s v="KAPE-FS-8254-03-08-2023"/>
    <n v="144"/>
    <n v="4675297"/>
    <n v="1631159"/>
    <s v="7326.9090  / 8451.9000  "/>
    <x v="0"/>
  </r>
  <r>
    <n v="49"/>
    <x v="1"/>
    <s v="KPFI-FS-4114-04-08-2023"/>
    <n v="1"/>
    <n v="177148"/>
    <n v="72631"/>
    <s v="8538.9090  "/>
    <x v="0"/>
  </r>
  <r>
    <n v="50"/>
    <x v="1"/>
    <s v="KAPW-FS-18744-07-08-2023"/>
    <n v="39"/>
    <n v="5999010"/>
    <n v="2586195"/>
    <s v="4016.9320  / 4016.9990  / 7318.1590  / 8421.3990  / 8481.8090  / 8511.1000  "/>
    <x v="0"/>
  </r>
  <r>
    <n v="51"/>
    <x v="1"/>
    <s v="KPAF-FS-6126-08-08-2023"/>
    <n v="100"/>
    <n v="1574633"/>
    <n v="472390"/>
    <s v="9026.8000  "/>
    <x v="0"/>
  </r>
  <r>
    <n v="52"/>
    <x v="1"/>
    <s v="KPFI-FS-5370-16-08-2023"/>
    <n v="2"/>
    <n v="198708"/>
    <n v="89556"/>
    <s v="8504.4090  / 8538.9090  "/>
    <x v="0"/>
  </r>
  <r>
    <n v="53"/>
    <x v="1"/>
    <s v="KPAF-FS-7253-16-08-2023"/>
    <n v="31"/>
    <n v="3172127"/>
    <n v="1066596"/>
    <s v="3917.3990  / 8479.8990  / 8481.8090  / 8538.9090  / 9031.8000  / 9032.8990  "/>
    <x v="0"/>
  </r>
  <r>
    <n v="54"/>
    <x v="1"/>
    <s v="KPFI-FS-5365-16-08-2023"/>
    <n v="17"/>
    <n v="1245724"/>
    <n v="573964"/>
    <s v="7318.1590  / 7319.9090  / 8448.4990  / 8483.4090  / 8501.5290  "/>
    <x v="0"/>
  </r>
  <r>
    <n v="55"/>
    <x v="1"/>
    <s v="KPAF-FS-7498-17-08-2023"/>
    <n v="2"/>
    <n v="1302258"/>
    <n v="651129"/>
    <s v="8537.1090  "/>
    <x v="0"/>
  </r>
  <r>
    <n v="56"/>
    <x v="1"/>
    <s v="KPAF-FS-7499-17-08-2023"/>
    <n v="68"/>
    <n v="356255"/>
    <n v="177159"/>
    <s v="8448.4990  / 8483.3090  "/>
    <x v="0"/>
  </r>
  <r>
    <n v="57"/>
    <x v="1"/>
    <s v="KAPW-FS-23515-17-08-2023"/>
    <n v="21"/>
    <n v="2591468"/>
    <n v="1257037"/>
    <s v="8483.4090  / 8501.5290  / 8504.4090  / 8537.1090  / 8538.9090  / 9031.8000  "/>
    <x v="0"/>
  </r>
  <r>
    <n v="58"/>
    <x v="1"/>
    <s v="KPAF-FS-10254-01-09-2023"/>
    <n v="4393"/>
    <n v="2689011"/>
    <n v="806703"/>
    <s v="8451.9000  "/>
    <x v="0"/>
  </r>
  <r>
    <n v="59"/>
    <x v="1"/>
    <s v="KPAF-FS-10514-04-09-2023"/>
    <n v="609858"/>
    <n v="345369008"/>
    <n v="158659861"/>
    <s v="7318.1590  / 7320.9090  / 8448.4990  / 8481.8090  / 8501.5290  / 8504.4090  / 8537.1090  / 8538.9090  / 9031.8000  "/>
    <x v="0"/>
  </r>
  <r>
    <n v="60"/>
    <x v="1"/>
    <s v="KAPE-FS-17972-12-09-2023"/>
    <n v="1"/>
    <n v="758359"/>
    <n v="379180"/>
    <s v="8421.3990  "/>
    <x v="0"/>
  </r>
  <r>
    <n v="61"/>
    <x v="1"/>
    <s v="KPAF-FS-12555-14-09-2023"/>
    <n v="120"/>
    <n v="758034"/>
    <n v="331136"/>
    <s v="8448.4990  / 8482.2000  / 8483.4090  "/>
    <x v="0"/>
  </r>
  <r>
    <n v="62"/>
    <x v="1"/>
    <s v="KPAF-FS-12554-14-09-2023"/>
    <n v="6"/>
    <n v="1005916"/>
    <n v="301775"/>
    <s v="9031.8000  "/>
    <x v="0"/>
  </r>
  <r>
    <n v="63"/>
    <x v="1"/>
    <s v="KAPW-FS-38544-15-09-2023"/>
    <n v="1188"/>
    <n v="6012453"/>
    <n v="3006227"/>
    <s v="4010.3990  "/>
    <x v="0"/>
  </r>
  <r>
    <n v="64"/>
    <x v="1"/>
    <s v="KAPW-FS-38543-15-09-2023"/>
    <n v="1188"/>
    <n v="6012489"/>
    <n v="3006245"/>
    <s v="4010.3990  "/>
    <x v="0"/>
  </r>
  <r>
    <n v="65"/>
    <x v="1"/>
    <s v="KPFI-FS-9869-21-09-2023"/>
    <n v="27"/>
    <n v="2266088"/>
    <n v="1030027"/>
    <s v="8448.4990  / 8481.8090  / 8501.5290  "/>
    <x v="0"/>
  </r>
  <r>
    <n v="66"/>
    <x v="1"/>
    <s v="KPAF-FS-14035-22-09-2023"/>
    <n v="2"/>
    <n v="1692940"/>
    <n v="507881"/>
    <s v="8448.3900  "/>
    <x v="0"/>
  </r>
  <r>
    <n v="67"/>
    <x v="1"/>
    <s v="KAPE-FS-21272-25-09-2023"/>
    <n v="2"/>
    <n v="2616783"/>
    <n v="1218945"/>
    <s v="8414.9090  / 8421.3990  "/>
    <x v="0"/>
  </r>
  <r>
    <n v="68"/>
    <x v="1"/>
    <s v="KPAF-FS-16495-06-10-2023"/>
    <n v="97920"/>
    <n v="408255068"/>
    <n v="166544461"/>
    <s v="4016.9320  / 8448.3900  / 8483.4090  "/>
    <x v="0"/>
  </r>
  <r>
    <n v="69"/>
    <x v="1"/>
    <s v="KPFI-FS-11650-06-10-2023"/>
    <n v="1"/>
    <n v="130851"/>
    <n v="60191"/>
    <s v="8504.4090  "/>
    <x v="0"/>
  </r>
  <r>
    <n v="70"/>
    <x v="1"/>
    <s v="KPFI-FS-11651-06-10-2023"/>
    <n v="6"/>
    <n v="1689139"/>
    <n v="506742"/>
    <s v="9024.8000  "/>
    <x v="0"/>
  </r>
  <r>
    <n v="71"/>
    <x v="1"/>
    <s v="KPAF-FS-16368-06-10-2023"/>
    <n v="2"/>
    <n v="1083052"/>
    <n v="477760"/>
    <s v="8448.4990  / 8483.4090  "/>
    <x v="0"/>
  </r>
  <r>
    <n v="72"/>
    <x v="1"/>
    <s v="KPFI-FS-12097-10-10-2023"/>
    <n v="2"/>
    <n v="557581"/>
    <n v="228608"/>
    <s v="8538.9090  "/>
    <x v="0"/>
  </r>
  <r>
    <n v="73"/>
    <x v="1"/>
    <s v="KAPW-FS-52954-13-10-2023"/>
    <n v="1"/>
    <n v="416868"/>
    <n v="137566"/>
    <s v="8479.8990  "/>
    <x v="0"/>
  </r>
  <r>
    <n v="74"/>
    <x v="1"/>
    <s v="KPAF-FS-18178-17-10-2023"/>
    <n v="216"/>
    <n v="511804"/>
    <n v="235429"/>
    <s v="4016.9990  "/>
    <x v="0"/>
  </r>
  <r>
    <n v="75"/>
    <x v="1"/>
    <s v="KPAF-FS-18177-17-10-2023"/>
    <n v="2"/>
    <n v="130450"/>
    <n v="39135"/>
    <s v="8451.9000  "/>
    <x v="0"/>
  </r>
  <r>
    <n v="76"/>
    <x v="1"/>
    <s v="KPAF-FS-18176-17-10-2023"/>
    <n v="1"/>
    <n v="205601"/>
    <n v="61680"/>
    <s v="8445.4090  "/>
    <x v="0"/>
  </r>
  <r>
    <n v="77"/>
    <x v="1"/>
    <s v="KAPW-FS-54642-17-10-2023"/>
    <n v="1010"/>
    <n v="44859406"/>
    <n v="14122371"/>
    <s v="4016.9320  / 4016.9990  / 7318.1590  / 7326.9090  / 8421.3990  / 8451.9000  / 9026.8000  "/>
    <x v="0"/>
  </r>
  <r>
    <n v="78"/>
    <x v="1"/>
    <s v="KPAF-FS-18347-17-10-2023"/>
    <n v="31"/>
    <n v="9672379"/>
    <n v="4333989"/>
    <s v="3917.3990  / 4016.9320  / 7318.1590  / 7319.9090  / 7320.9090  / 8481.8090  / 8483.4090  / 8536.9090  / 9026.8000  / 9031.8000  "/>
    <x v="0"/>
  </r>
  <r>
    <n v="79"/>
    <x v="1"/>
    <s v="KAPW-FS-57668-20-10-2023"/>
    <n v="15"/>
    <n v="11028022"/>
    <n v="5370597"/>
    <s v="3403.9990  / 3926.9099  / 4016.9320  / 7616.1000  / 8421.3990  / 8484.9000  "/>
    <x v="0"/>
  </r>
  <r>
    <n v="80"/>
    <x v="1"/>
    <s v="KPAF-FS-19538-24-10-2023"/>
    <n v="1"/>
    <n v="13406873"/>
    <n v="5496818"/>
    <s v="8538.9090  "/>
    <x v="0"/>
  </r>
  <r>
    <n v="81"/>
    <x v="1"/>
    <s v="KPAF-FS-20254-28-10-2023"/>
    <n v="8100"/>
    <n v="2014665"/>
    <n v="783200"/>
    <s v="4010.3990  / 8448.3900  "/>
    <x v="0"/>
  </r>
  <r>
    <n v="82"/>
    <x v="1"/>
    <s v="KPAF-FS-22177-08-11-2023"/>
    <n v="24480"/>
    <n v="161418978"/>
    <n v="48425690"/>
    <s v="8448.3900  "/>
    <x v="0"/>
  </r>
  <r>
    <n v="83"/>
    <x v="1"/>
    <s v="KPAF-FS-22627-11-11-2023"/>
    <n v="14"/>
    <n v="734242"/>
    <n v="353864"/>
    <s v="8452.9090  / 8501.5290  / 8537.1090  "/>
    <x v="0"/>
  </r>
  <r>
    <n v="84"/>
    <x v="1"/>
    <s v="KPAF-FS-23277-15-11-2023"/>
    <n v="95"/>
    <n v="4825190"/>
    <n v="1978328"/>
    <s v="8448.4990  "/>
    <x v="0"/>
  </r>
  <r>
    <n v="85"/>
    <x v="1"/>
    <s v="KPAF-FS-23276-15-11-2023"/>
    <n v="48"/>
    <n v="121902"/>
    <n v="60950"/>
    <s v="8483.4090  "/>
    <x v="0"/>
  </r>
  <r>
    <n v="86"/>
    <x v="1"/>
    <s v="KAPW-FS-73817-21-11-2023"/>
    <n v="2"/>
    <n v="3133717"/>
    <n v="940115"/>
    <s v="8451.9000  "/>
    <x v="0"/>
  </r>
  <r>
    <n v="87"/>
    <x v="1"/>
    <s v="KPFI-FS-17814-24-11-2023"/>
    <n v="122"/>
    <n v="3462229"/>
    <n v="1459170"/>
    <s v="8208.9090  / 8452.9090  / 8481.8090  / 8501.5290  / 9031.8000  "/>
    <x v="0"/>
  </r>
  <r>
    <n v="88"/>
    <x v="1"/>
    <s v="KPAF-FS-25776-29-11-2023"/>
    <n v="17"/>
    <n v="87666"/>
    <n v="35943"/>
    <s v="8448.4990  "/>
    <x v="0"/>
  </r>
  <r>
    <n v="89"/>
    <x v="1"/>
    <s v="KPAF-FS-25777-29-11-2023"/>
    <n v="1003"/>
    <n v="166151"/>
    <n v="59131"/>
    <s v="7318.1590  / 9026.9000  "/>
    <x v="0"/>
  </r>
  <r>
    <n v="90"/>
    <x v="1"/>
    <s v="KPAF-FS-26984-06-12-2023"/>
    <n v="1"/>
    <n v="1185886"/>
    <n v="545507"/>
    <s v="8481.8090  "/>
    <x v="0"/>
  </r>
  <r>
    <n v="91"/>
    <x v="1"/>
    <s v="KPAF-FS-26987-06-12-2023"/>
    <n v="42000"/>
    <n v="942836"/>
    <n v="282850"/>
    <s v="8452.3000  "/>
    <x v="0"/>
  </r>
  <r>
    <n v="92"/>
    <x v="1"/>
    <s v="KPAF-FS-26989-06-12-2023"/>
    <n v="2"/>
    <n v="1264503"/>
    <n v="581671"/>
    <s v="8504.4090  "/>
    <x v="0"/>
  </r>
  <r>
    <n v="93"/>
    <x v="1"/>
    <s v="KPFI-FS-19572-07-12-2023"/>
    <n v="22"/>
    <n v="1478035"/>
    <n v="718750"/>
    <s v="8538.9090  / 8544.2000  "/>
    <x v="0"/>
  </r>
  <r>
    <n v="94"/>
    <x v="1"/>
    <s v="KPAF-FS-28106-13-12-2023"/>
    <n v="1"/>
    <n v="534005"/>
    <n v="160202"/>
    <s v="9025.9000  "/>
    <x v="0"/>
  </r>
  <r>
    <n v="95"/>
    <x v="1"/>
    <s v="KPAF-FS-28107-13-12-2023"/>
    <n v="258"/>
    <n v="6413724"/>
    <n v="3190701"/>
    <s v="4016.9320  / 7307.9900  "/>
    <x v="0"/>
  </r>
  <r>
    <n v="96"/>
    <x v="1"/>
    <s v="KPAF-FS-28866-18-12-2023"/>
    <n v="12240"/>
    <n v="65014630"/>
    <n v="19504389"/>
    <s v="8448.3900  "/>
    <x v="0"/>
  </r>
  <r>
    <n v="97"/>
    <x v="1"/>
    <s v="KAPW-FS-89452-18-12-2023"/>
    <n v="300"/>
    <n v="5257282"/>
    <n v="2155486"/>
    <s v="7508.9010  "/>
    <x v="0"/>
  </r>
  <r>
    <n v="98"/>
    <x v="1"/>
    <s v="KPAF-FS-29149-19-12-2023"/>
    <n v="2"/>
    <n v="1381068"/>
    <n v="575230"/>
    <s v="8504.4090  / 8538.9090  "/>
    <x v="0"/>
  </r>
  <r>
    <n v="99"/>
    <x v="1"/>
    <s v="KPAF-FS-29522-20-12-2023"/>
    <n v="1"/>
    <n v="764946"/>
    <n v="313628"/>
    <s v="8538.9090  "/>
    <x v="0"/>
  </r>
  <r>
    <n v="100"/>
    <x v="1"/>
    <s v="KAPW-FS-91778-21-12-2023"/>
    <n v="2"/>
    <n v="369238"/>
    <n v="121849"/>
    <s v="8443.9990  "/>
    <x v="0"/>
  </r>
  <r>
    <n v="101"/>
    <x v="1"/>
    <s v="KPFI-FS-21641-26-12-2023"/>
    <n v="20"/>
    <n v="1454686"/>
    <n v="596420"/>
    <s v="8511.1000  "/>
    <x v="0"/>
  </r>
  <r>
    <n v="102"/>
    <x v="1"/>
    <s v="KPFI-FS-23551-11-01-2024"/>
    <n v="2"/>
    <n v="118177"/>
    <n v="59088"/>
    <s v="8537.1090  "/>
    <x v="0"/>
  </r>
  <r>
    <n v="103"/>
    <x v="1"/>
    <s v="KPAF-FS-33367-12-01-2024"/>
    <n v="1"/>
    <n v="659211"/>
    <n v="197763"/>
    <s v="9032.8990  "/>
    <x v="0"/>
  </r>
  <r>
    <n v="104"/>
    <x v="1"/>
    <s v="KPFI-FS-24231-17-01-2024"/>
    <n v="24"/>
    <n v="458437"/>
    <n v="137531"/>
    <s v="8452.9090  "/>
    <x v="0"/>
  </r>
  <r>
    <n v="105"/>
    <x v="1"/>
    <s v="KAPW-FS-108013-18-01-2024"/>
    <n v="1194"/>
    <n v="4038127"/>
    <n v="1332582"/>
    <s v="7604.2910  "/>
    <x v="0"/>
  </r>
  <r>
    <n v="106"/>
    <x v="1"/>
    <s v="KPAF-FS-35088-23-01-2024"/>
    <n v="1"/>
    <n v="1538108"/>
    <n v="461432"/>
    <s v="8448.1900  "/>
    <x v="0"/>
  </r>
  <r>
    <n v="107"/>
    <x v="1"/>
    <s v="KPAF-FS-34975-23-01-2024"/>
    <n v="5"/>
    <n v="574498"/>
    <n v="172349"/>
    <s v="9026.8000  "/>
    <x v="0"/>
  </r>
  <r>
    <n v="108"/>
    <x v="1"/>
    <s v="KPFI-FS-25704-29-01-2024"/>
    <n v="50"/>
    <n v="287879"/>
    <n v="143939"/>
    <s v="8536.9090  "/>
    <x v="0"/>
  </r>
  <r>
    <n v="109"/>
    <x v="1"/>
    <s v="KAPW-FS-116171-31-01-2024"/>
    <n v="123.8"/>
    <n v="1983325"/>
    <n v="594998"/>
    <s v="5911.1000  "/>
    <x v="0"/>
  </r>
  <r>
    <n v="110"/>
    <x v="1"/>
    <s v="KPAF-FS-37698-07-02-2024"/>
    <n v="1"/>
    <n v="190253"/>
    <n v="95127"/>
    <s v="8501.5290  "/>
    <x v="0"/>
  </r>
  <r>
    <n v="111"/>
    <x v="1"/>
    <s v="KPAF-FS-38478-12-02-2024"/>
    <n v="96"/>
    <n v="6179520"/>
    <n v="2866179"/>
    <s v="8504.4090  / 8536.2090  / 8538.9090  "/>
    <x v="0"/>
  </r>
  <r>
    <n v="112"/>
    <x v="1"/>
    <s v="KAPW-FS-123748-13-02-2024"/>
    <n v="1133"/>
    <n v="26338387"/>
    <n v="11725202"/>
    <s v="4016.9320  / 7318.1590  / 8409.9999  / 8421.3990  / 8481.8090  / 8484.9000  / 8511.1000  "/>
    <x v="0"/>
  </r>
  <r>
    <n v="113"/>
    <x v="1"/>
    <s v="KAPW-FS-124474-14-02-2024"/>
    <n v="199000"/>
    <n v="19435137"/>
    <n v="5962694"/>
    <s v="8208.9090  / 8448.3900  "/>
    <x v="0"/>
  </r>
  <r>
    <n v="114"/>
    <x v="1"/>
    <s v="KPAF-FS-40326-21-02-2024"/>
    <n v="42"/>
    <n v="4170260"/>
    <n v="1709806"/>
    <s v="8448.4990  "/>
    <x v="0"/>
  </r>
  <r>
    <n v="115"/>
    <x v="1"/>
    <s v="KPAF-FS-40544-22-02-2024"/>
    <n v="3"/>
    <n v="6228324"/>
    <n v="2865027"/>
    <s v="8504.4090  "/>
    <x v="0"/>
  </r>
  <r>
    <n v="116"/>
    <x v="1"/>
    <s v="KPFI-FS-28637-22-02-2024"/>
    <n v="1"/>
    <n v="1525467"/>
    <n v="625441"/>
    <s v="8538.9090  "/>
    <x v="0"/>
  </r>
  <r>
    <n v="117"/>
    <x v="1"/>
    <s v="KPAF-FS-40704-23-02-2024"/>
    <n v="34"/>
    <n v="53965820"/>
    <n v="24824267"/>
    <s v="8504.4090  "/>
    <x v="0"/>
  </r>
  <r>
    <n v="118"/>
    <x v="1"/>
    <s v="KPAF-FS-41257-27-02-2024"/>
    <n v="20"/>
    <n v="2491569"/>
    <n v="1245784"/>
    <s v="8421.3990  "/>
    <x v="0"/>
  </r>
  <r>
    <n v="119"/>
    <x v="1"/>
    <s v="KAPW-FS-133914-29-02-2024"/>
    <n v="1400"/>
    <n v="32056290"/>
    <n v="16028145"/>
    <s v="3926.9099  "/>
    <x v="0"/>
  </r>
  <r>
    <n v="120"/>
    <x v="1"/>
    <s v="KAPS-FS-100405-05-03-2024"/>
    <n v="68"/>
    <n v="60010280"/>
    <n v="27495204"/>
    <s v="8504.4090  / 9032.8990  "/>
    <x v="0"/>
  </r>
  <r>
    <n v="121"/>
    <x v="1"/>
    <s v="KPAF-FS-42826-06-03-2024"/>
    <n v="135"/>
    <n v="880217"/>
    <n v="373426"/>
    <s v="8536.9090  / 8538.9090  "/>
    <x v="0"/>
  </r>
  <r>
    <n v="122"/>
    <x v="1"/>
    <s v="KAPW-FS-140764-12-03-2024"/>
    <n v="4"/>
    <n v="7527114"/>
    <n v="2423154"/>
    <s v="8443.9990  / 8451.9000  "/>
    <x v="0"/>
  </r>
  <r>
    <n v="123"/>
    <x v="1"/>
    <s v="KPAF-FS-43887-12-03-2024"/>
    <n v="1"/>
    <n v="2955229"/>
    <n v="886568"/>
    <s v="9026.8000  "/>
    <x v="0"/>
  </r>
  <r>
    <n v="124"/>
    <x v="1"/>
    <s v="KPFI-FS-30058-12-03-2024"/>
    <n v="4"/>
    <n v="58450"/>
    <n v="29225"/>
    <s v="4010.3990  / 8421.3990  / 8501.5290  "/>
    <x v="0"/>
  </r>
  <r>
    <n v="125"/>
    <x v="1"/>
    <s v="KPFI-FS-30059-12-03-2024"/>
    <n v="600"/>
    <n v="111196"/>
    <n v="45591"/>
    <s v="8409.9999  "/>
    <x v="0"/>
  </r>
  <r>
    <n v="126"/>
    <x v="1"/>
    <s v="KPAF-FS-44289-14-03-2024"/>
    <n v="3"/>
    <n v="1448399"/>
    <n v="434520"/>
    <s v="9026.8000  "/>
    <x v="0"/>
  </r>
  <r>
    <n v="127"/>
    <x v="1"/>
    <s v="KPAF-FS-44556-15-03-2024"/>
    <n v="8"/>
    <n v="714436"/>
    <n v="334384"/>
    <s v="3809.9190  / 8421.3990  "/>
    <x v="0"/>
  </r>
  <r>
    <n v="128"/>
    <x v="1"/>
    <s v="KPAF-FS-46154-22-03-2024"/>
    <n v="16578"/>
    <n v="1912446"/>
    <n v="838959"/>
    <s v="4016.9320  / 7326.9090  / 8448.4990  "/>
    <x v="0"/>
  </r>
  <r>
    <n v="129"/>
    <x v="1"/>
    <s v="KPAF-FS-47520-29-03-2024"/>
    <n v="1"/>
    <n v="727699"/>
    <n v="298357"/>
    <s v="8448.4990  "/>
    <x v="0"/>
  </r>
  <r>
    <n v="130"/>
    <x v="1"/>
    <s v="KPAF-FS-49517-08-04-2024"/>
    <n v="2"/>
    <n v="631251"/>
    <n v="315625"/>
    <s v="8501.5290  "/>
    <x v="0"/>
  </r>
  <r>
    <n v="131"/>
    <x v="1"/>
    <s v="KAPW-FS-154812-08-04-2024"/>
    <n v="3000"/>
    <n v="4452630"/>
    <n v="1335789"/>
    <s v="8428.3990  "/>
    <x v="0"/>
  </r>
  <r>
    <n v="132"/>
    <x v="1"/>
    <s v="KPAF-FS-51218-18-04-2024"/>
    <n v="354"/>
    <n v="30696678"/>
    <n v="9821534"/>
    <s v="4010.3990  / 7318.1590  / 7326.9090  / 8451.9000  / 8481.8090  / 8482.2000  / 8483.4090  / 8484.9000  / 8504.4090  / 8536.5099  / 8544.2000  / 9026.8000  / 9032.8990  "/>
    <x v="0"/>
  </r>
  <r>
    <n v="133"/>
    <x v="1"/>
    <s v="KPAF-FS-51849-22-04-2024"/>
    <n v="156"/>
    <n v="3351952"/>
    <n v="1415720"/>
    <s v="7320.9090  / 8448.4990  / 8483.4090  "/>
    <x v="0"/>
  </r>
  <r>
    <n v="134"/>
    <x v="1"/>
    <s v="KAPW-FS-160251-22-04-2024"/>
    <n v="156600"/>
    <n v="5930885"/>
    <n v="2700565"/>
    <s v="8448.4210  / 8448.4990  "/>
    <x v="0"/>
  </r>
  <r>
    <n v="135"/>
    <x v="1"/>
    <s v="KPAF-FS-52345-24-04-2024"/>
    <n v="12"/>
    <n v="7297032"/>
    <n v="2189110"/>
    <s v="8452.9090  "/>
    <x v="0"/>
  </r>
  <r>
    <n v="136"/>
    <x v="1"/>
    <s v="KAPW-FS-161791-24-04-2024"/>
    <n v="12"/>
    <n v="170612"/>
    <n v="56301"/>
    <s v="8424.2020  "/>
    <x v="0"/>
  </r>
  <r>
    <n v="137"/>
    <x v="1"/>
    <s v="KPAF-FS-52748-25-04-2024"/>
    <n v="2160"/>
    <n v="1708513"/>
    <n v="854257"/>
    <s v="7318.1590  "/>
    <x v="0"/>
  </r>
  <r>
    <n v="138"/>
    <x v="1"/>
    <s v="KPAF-FS-52749-25-04-2024"/>
    <n v="4320"/>
    <n v="37734202"/>
    <n v="15037837"/>
    <s v="8448.3900  / 8501.5290  "/>
    <x v="0"/>
  </r>
  <r>
    <n v="139"/>
    <x v="1"/>
    <s v="KPAF-FS-52750-25-04-2024"/>
    <n v="9720"/>
    <n v="21813229"/>
    <n v="8293730"/>
    <s v="8448.3900  / 8504.4090  "/>
    <x v="0"/>
  </r>
  <r>
    <n v="140"/>
    <x v="1"/>
    <s v="KPAF-FS-54192-02-05-2024"/>
    <n v="1"/>
    <n v="1250459"/>
    <n v="375138"/>
    <s v="8452.2100  "/>
    <x v="0"/>
  </r>
  <r>
    <n v="141"/>
    <x v="1"/>
    <s v="KAPS-FS-127351-06-05-2024"/>
    <n v="540"/>
    <n v="27523409"/>
    <n v="8257023"/>
    <s v="8451.9000  "/>
    <x v="0"/>
  </r>
  <r>
    <n v="142"/>
    <x v="1"/>
    <s v="KPAF-FS-55269-07-05-2024"/>
    <n v="844"/>
    <n v="7578320"/>
    <n v="3380008"/>
    <s v="4016.9990  / 8501.5290  / 8504.4090  / 9031.8000  "/>
    <x v="0"/>
  </r>
  <r>
    <n v="143"/>
    <x v="1"/>
    <s v="KPAF-FS-57170-16-05-2024"/>
    <n v="377"/>
    <n v="11417378"/>
    <n v="5291114"/>
    <s v="8448.499 / 8482.2 / 8483.409 "/>
    <x v="0"/>
  </r>
  <r>
    <n v="144"/>
    <x v="1"/>
    <s v="KAPW-FS-175590-16-05-2024"/>
    <n v="144"/>
    <n v="10103477"/>
    <n v="3031043"/>
    <s v="8448.39 "/>
    <x v="0"/>
  </r>
  <r>
    <n v="145"/>
    <x v="1"/>
    <s v="KPAF-FS-57728-20-05-2024"/>
    <n v="16"/>
    <n v="1316302"/>
    <n v="1924880"/>
    <s v="2710.1999 / 3403.199 / 7326.909 / 8421.399 / 8481.809 "/>
    <x v="0"/>
  </r>
  <r>
    <n v="146"/>
    <x v="1"/>
    <s v="KAPE-FS-74067-21-05-2024"/>
    <n v="238.87"/>
    <n v="7453002"/>
    <n v="2235900"/>
    <s v="4016.991 "/>
    <x v="0"/>
  </r>
  <r>
    <n v="147"/>
    <x v="1"/>
    <s v="KAPW-FS-184689-01-06-2024"/>
    <n v="840"/>
    <n v="12924752"/>
    <n v="5299149"/>
    <s v="7508.9010  "/>
    <x v="0"/>
  </r>
  <r>
    <n v="148"/>
    <x v="1"/>
    <s v="KPAF-FS-61370-05-06-2024"/>
    <n v="6"/>
    <n v="1233385"/>
    <n v="505687"/>
    <s v="8538.9090  "/>
    <x v="0"/>
  </r>
  <r>
    <n v="149"/>
    <x v="1"/>
    <s v="KPAF-FS-61371-05-06-2024"/>
    <n v="79"/>
    <n v="822473"/>
    <n v="249462"/>
    <s v="7318.1590  / 8452.9090  / 8482.2000  / 8484.9000  "/>
    <x v="0"/>
  </r>
  <r>
    <n v="150"/>
    <x v="1"/>
    <s v="KAPW-FS-190519-08-06-2024"/>
    <n v="1"/>
    <n v="9306250"/>
    <n v="2791875"/>
    <s v="8447.9010  "/>
    <x v="0"/>
  </r>
  <r>
    <n v="151"/>
    <x v="1"/>
    <s v="KAPS-FS-145660-11-06-2024"/>
    <n v="3"/>
    <n v="95043737"/>
    <n v="28513121"/>
    <s v="8445.1300  "/>
    <x v="0"/>
  </r>
  <r>
    <n v="152"/>
    <x v="1"/>
    <s v="KAPW-FS-192791-11-06-2024"/>
    <n v="546"/>
    <n v="270233964"/>
    <n v="131301696"/>
    <s v="3403.9990  / 3926.9099  / 7616.1000  / 8414.8090  / 8421.3990  / 8481.8090  / 8484.9000  / 9026.8000  "/>
    <x v="0"/>
  </r>
  <r>
    <n v="153"/>
    <x v="1"/>
    <s v="KPAF-FS-65205-25-06-2024"/>
    <n v="10"/>
    <n v="534200"/>
    <n v="160260"/>
    <s v="8452.9090  "/>
    <x v="0"/>
  </r>
  <r>
    <n v="154"/>
    <x v="1"/>
    <s v="KPAF-FS-65206-25-06-2024"/>
    <n v="1"/>
    <n v="878597"/>
    <n v="439298"/>
    <s v="8413.7090  "/>
    <x v="0"/>
  </r>
  <r>
    <n v="155"/>
    <x v="1"/>
    <s v="KPFI-FS-39798-27-06-2024"/>
    <n v="1"/>
    <n v="188523"/>
    <n v="56557"/>
    <s v="9026.8000  "/>
    <x v="0"/>
  </r>
  <r>
    <n v="156"/>
    <x v="1"/>
    <s v="KAPW-FS-1422-03-07-2024"/>
    <n v="24"/>
    <n v="371687"/>
    <n v="182922"/>
    <s v="7318.1590 , 8413.7090 , 8421.3990 , 8481.8090 "/>
    <x v="0"/>
  </r>
  <r>
    <n v="157"/>
    <x v="1"/>
    <s v="KPAF-FS-1017-05-07-2024"/>
    <n v="36"/>
    <n v="7324286"/>
    <n v="3628664"/>
    <s v="4016.9320 , 8421.3990 , 8484.9000 "/>
    <x v="0"/>
  </r>
  <r>
    <n v="158"/>
    <x v="1"/>
    <s v="KAPW-FS-3589-06-07-2024"/>
    <n v="174"/>
    <n v="3818228"/>
    <n v="1260015"/>
    <s v="8424.2020 "/>
    <x v="0"/>
  </r>
  <r>
    <n v="159"/>
    <x v="1"/>
    <s v="KAPW-FS-5674-10-07-2024"/>
    <n v="1"/>
    <n v="1365628"/>
    <n v="409688"/>
    <s v="8543.7090 "/>
    <x v="0"/>
  </r>
  <r>
    <n v="160"/>
    <x v="1"/>
    <s v="KAPE-FS-2191-13-07-2024"/>
    <n v="20"/>
    <n v="25543076"/>
    <n v="11769533"/>
    <s v="8504.4090 , 8524.1900 "/>
    <x v="0"/>
  </r>
  <r>
    <n v="161"/>
    <x v="1"/>
    <s v="KPAF-FS-3681-19-07-2024"/>
    <n v="1"/>
    <n v="208812"/>
    <n v="62643"/>
    <s v="8445.4090 "/>
    <x v="0"/>
  </r>
  <r>
    <n v="162"/>
    <x v="1"/>
    <s v="KAPW-FS-12333-24-07-2024"/>
    <n v="1"/>
    <n v="2868710"/>
    <n v="860613"/>
    <s v="8452.9090 "/>
    <x v="0"/>
  </r>
  <r>
    <n v="163"/>
    <x v="1"/>
    <s v="KPAF-FS-6153-30-07-2024"/>
    <n v="2"/>
    <n v="2188907"/>
    <n v="1094455"/>
    <s v="8537.1090  "/>
    <x v="0"/>
  </r>
  <r>
    <n v="164"/>
    <x v="1"/>
    <s v="KPAF-FS-6889-01-08-2024"/>
    <n v="51"/>
    <n v="299785"/>
    <n v="142220"/>
    <s v="8208.9090  / 8451.9000  "/>
    <x v="0"/>
  </r>
  <r>
    <n v="165"/>
    <x v="1"/>
    <s v="KPAF-FS-7710-06-08-2024"/>
    <n v="6"/>
    <n v="13368743"/>
    <n v="4449478"/>
    <s v="8307.9000  / 8479.8990  "/>
    <x v="0"/>
  </r>
  <r>
    <n v="166"/>
    <x v="1"/>
    <s v="KPAF-FS-8954-12-08-2024"/>
    <n v="4"/>
    <n v="3827962"/>
    <n v="1913982"/>
    <s v="8413.7090  "/>
    <x v="0"/>
  </r>
  <r>
    <n v="167"/>
    <x v="1"/>
    <s v="KPAF-FS-8955-12-08-2024"/>
    <n v="20"/>
    <n v="23782258"/>
    <n v="7848144"/>
    <s v="8443.9990  "/>
    <x v="0"/>
  </r>
  <r>
    <n v="168"/>
    <x v="1"/>
    <s v="KPAF-FS-9828-16-08-2024"/>
    <n v="14"/>
    <n v="2099046"/>
    <n v="1048514"/>
    <s v="3403.9990  / 7326.9090  / 8421.3990  / 8481.8090  "/>
    <x v="0"/>
  </r>
  <r>
    <n v="169"/>
    <x v="1"/>
    <s v="KPAF-FS-9829-16-08-2024"/>
    <n v="167"/>
    <n v="3700601"/>
    <n v="1234201"/>
    <s v="8208.9090  / 8451.9000  / 8483.3090  / 8536.5099  / 9026.8000  / 9031.8000  "/>
    <x v="0"/>
  </r>
  <r>
    <m/>
    <x v="2"/>
    <m/>
    <m/>
    <m/>
    <m/>
    <m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9">
  <r>
    <n v="1"/>
    <m/>
    <s v="KPPI-MB-40627-13-12-2019"/>
    <d v="2019-12-13T00:00:00"/>
    <x v="0"/>
    <x v="0"/>
    <n v="212690"/>
    <x v="0"/>
    <x v="0"/>
    <n v="5201.009"/>
    <n v="1.6698999999999999"/>
    <n v="0"/>
    <n v="0"/>
    <x v="0"/>
    <s v="Raw Cotton"/>
    <n v="0"/>
    <x v="0"/>
    <n v="0"/>
    <x v="0"/>
    <m/>
    <d v="2021-12-12T00:00:00"/>
    <x v="0"/>
    <x v="0"/>
    <x v="0"/>
    <x v="0"/>
    <x v="0"/>
    <x v="0"/>
    <d v="2021-10-13T00:00:00"/>
    <x v="0"/>
    <x v="0"/>
    <x v="0"/>
    <x v="0"/>
    <x v="0"/>
    <x v="0"/>
    <n v="0"/>
    <n v="0"/>
    <n v="0"/>
    <s v=""/>
    <x v="0"/>
  </r>
  <r>
    <n v="2"/>
    <m/>
    <s v="KAPE-MB-125952-11-02-2020"/>
    <d v="2020-02-11T00:00:00"/>
    <x v="0"/>
    <x v="0"/>
    <n v="323035.7"/>
    <x v="0"/>
    <x v="0"/>
    <n v="5503.201"/>
    <n v="0.88649999999999995"/>
    <n v="0"/>
    <n v="0"/>
    <x v="1"/>
    <s v="Polyester Staple Fiber"/>
    <n v="44840966"/>
    <x v="0"/>
    <n v="11295440"/>
    <x v="0"/>
    <m/>
    <d v="2022-02-10T00:00:00"/>
    <x v="0"/>
    <x v="0"/>
    <x v="0"/>
    <x v="0"/>
    <x v="0"/>
    <x v="0"/>
    <d v="2021-12-12T00:00:00"/>
    <x v="0"/>
    <x v="0"/>
    <x v="0"/>
    <x v="0"/>
    <x v="0"/>
    <x v="1"/>
    <n v="138.81117783576241"/>
    <n v="34.966537754186298"/>
    <n v="0"/>
    <s v=""/>
    <x v="0"/>
  </r>
  <r>
    <n v="3"/>
    <m/>
    <s v="KAPE-MB-146511-17-03-2020"/>
    <d v="2020-03-17T00:00:00"/>
    <x v="0"/>
    <x v="0"/>
    <n v="255538.8"/>
    <x v="0"/>
    <x v="0"/>
    <n v="5503.201"/>
    <n v="0.92"/>
    <n v="0"/>
    <n v="0"/>
    <x v="1"/>
    <s v="Polyester Staple Fiber"/>
    <n v="37429186"/>
    <x v="0"/>
    <n v="9428412"/>
    <x v="0"/>
    <m/>
    <d v="2022-03-17T00:00:00"/>
    <x v="0"/>
    <x v="0"/>
    <x v="0"/>
    <x v="0"/>
    <x v="0"/>
    <x v="0"/>
    <d v="2022-01-16T00:00:00"/>
    <x v="0"/>
    <x v="0"/>
    <x v="0"/>
    <x v="0"/>
    <x v="0"/>
    <x v="1"/>
    <n v="146.47163561854404"/>
    <n v="36.896205194671026"/>
    <n v="0"/>
    <s v=""/>
    <x v="0"/>
  </r>
  <r>
    <n v="4"/>
    <m/>
    <s v="KAPE-MB-37204-04-09-2020"/>
    <d v="2020-09-04T00:00:00"/>
    <x v="0"/>
    <x v="0"/>
    <n v="314640"/>
    <x v="0"/>
    <x v="0"/>
    <n v="5503.201"/>
    <n v="0.72"/>
    <n v="0"/>
    <n v="0"/>
    <x v="1"/>
    <s v="Polyester Staple Fiber"/>
    <n v="38037760"/>
    <x v="0"/>
    <n v="13184611"/>
    <x v="0"/>
    <m/>
    <d v="2022-09-04T00:00:00"/>
    <x v="0"/>
    <x v="0"/>
    <x v="0"/>
    <x v="0"/>
    <x v="0"/>
    <x v="0"/>
    <d v="2022-07-06T00:00:00"/>
    <x v="0"/>
    <x v="0"/>
    <x v="0"/>
    <x v="0"/>
    <x v="0"/>
    <x v="1"/>
    <n v="120.8929570302568"/>
    <n v="41.903797991355198"/>
    <n v="0"/>
    <s v=""/>
    <x v="0"/>
  </r>
  <r>
    <n v="5"/>
    <m/>
    <s v="KAPE-MB-160501-02-03-2021"/>
    <d v="2021-03-02T00:00:00"/>
    <x v="0"/>
    <x v="0"/>
    <n v="262200"/>
    <x v="0"/>
    <x v="0"/>
    <n v="5503.201"/>
    <n v="0.97499999999999998"/>
    <n v="0"/>
    <n v="0"/>
    <x v="1"/>
    <s v="Polyester Staple Fiber"/>
    <n v="4098515"/>
    <x v="0"/>
    <n v="14207745"/>
    <x v="0"/>
    <m/>
    <d v="2023-03-02T00:00:00"/>
    <x v="0"/>
    <x v="0"/>
    <x v="0"/>
    <x v="0"/>
    <x v="0"/>
    <x v="0"/>
    <d v="2023-01-01T00:00:00"/>
    <x v="0"/>
    <x v="0"/>
    <x v="0"/>
    <x v="0"/>
    <x v="0"/>
    <x v="1"/>
    <n v="15.631254767353166"/>
    <n v="54.186670480549196"/>
    <n v="0"/>
    <s v=""/>
    <x v="0"/>
  </r>
  <r>
    <n v="6"/>
    <m/>
    <s v="KAPE-MB-171427-17-03-2021"/>
    <d v="2021-03-17T00:00:00"/>
    <x v="0"/>
    <x v="0"/>
    <n v="262200"/>
    <x v="0"/>
    <x v="0"/>
    <n v="5503.201"/>
    <n v="0.94499999999999995"/>
    <n v="0"/>
    <n v="0"/>
    <x v="1"/>
    <s v="Polyester Staple Fiber (Wastage 5274.64 Kgs)"/>
    <n v="39427937"/>
    <x v="0"/>
    <n v="10425496"/>
    <x v="0"/>
    <m/>
    <d v="2023-03-17T00:00:00"/>
    <x v="0"/>
    <x v="0"/>
    <x v="0"/>
    <x v="0"/>
    <x v="0"/>
    <x v="0"/>
    <d v="2023-01-16T00:00:00"/>
    <x v="0"/>
    <x v="0"/>
    <x v="0"/>
    <x v="0"/>
    <x v="0"/>
    <x v="1"/>
    <n v="150.37352021357742"/>
    <n v="39.761617086193745"/>
    <n v="0"/>
    <s v=""/>
    <x v="0"/>
  </r>
  <r>
    <n v="7"/>
    <m/>
    <s v="KAPE-MB-172535-18-03-2021"/>
    <d v="2021-03-18T00:00:00"/>
    <x v="0"/>
    <x v="0"/>
    <n v="262200"/>
    <x v="0"/>
    <x v="0"/>
    <n v="5503.201"/>
    <n v="0.94499999999999995"/>
    <n v="0"/>
    <n v="0"/>
    <x v="1"/>
    <s v="Polyester Staple Fiber (Wastage 5270.17 Kgs)"/>
    <n v="39377996"/>
    <x v="0"/>
    <n v="10412291"/>
    <x v="0"/>
    <m/>
    <d v="2023-03-18T00:00:00"/>
    <x v="0"/>
    <x v="0"/>
    <x v="0"/>
    <x v="0"/>
    <x v="0"/>
    <x v="0"/>
    <d v="2023-01-17T00:00:00"/>
    <x v="0"/>
    <x v="1"/>
    <x v="0"/>
    <x v="0"/>
    <x v="0"/>
    <x v="1"/>
    <n v="150.18305110602594"/>
    <n v="39.711254767353168"/>
    <n v="0"/>
    <s v=""/>
    <x v="0"/>
  </r>
  <r>
    <n v="8"/>
    <m/>
    <s v="KAPE-MB-174350-22-03-2021"/>
    <d v="2021-03-22T00:00:00"/>
    <x v="0"/>
    <x v="0"/>
    <n v="262200"/>
    <x v="0"/>
    <x v="0"/>
    <n v="5503.201"/>
    <n v="0.97499999999999998"/>
    <n v="0"/>
    <n v="0"/>
    <x v="1"/>
    <s v="Polyester Staple Fiber (Wastage: 5,266.66)"/>
    <n v="40317871"/>
    <x v="0"/>
    <n v="10660811"/>
    <x v="0"/>
    <m/>
    <d v="2023-03-22T00:00:00"/>
    <x v="0"/>
    <x v="0"/>
    <x v="0"/>
    <x v="0"/>
    <x v="0"/>
    <x v="0"/>
    <d v="2023-01-21T00:00:00"/>
    <x v="0"/>
    <x v="1"/>
    <x v="0"/>
    <x v="0"/>
    <x v="0"/>
    <x v="1"/>
    <n v="153.76762395118232"/>
    <n v="40.659080854309686"/>
    <n v="0"/>
    <s v=""/>
    <x v="0"/>
  </r>
  <r>
    <n v="9"/>
    <m/>
    <s v="KAPW-MB-175767-29-05-2021"/>
    <d v="2021-05-29T00:00:00"/>
    <x v="0"/>
    <x v="0"/>
    <n v="262200"/>
    <x v="0"/>
    <x v="0"/>
    <n v="5503.201"/>
    <n v="1.2"/>
    <n v="0"/>
    <n v="0"/>
    <x v="1"/>
    <s v="Polyester Staple Fiber (Wastage: 5,256.54)"/>
    <n v="49414247"/>
    <x v="0"/>
    <n v="13066065"/>
    <x v="0"/>
    <m/>
    <d v="2023-05-29T00:00:00"/>
    <x v="0"/>
    <x v="0"/>
    <x v="0"/>
    <x v="0"/>
    <x v="0"/>
    <x v="0"/>
    <d v="2023-03-30T00:00:00"/>
    <x v="0"/>
    <x v="1"/>
    <x v="0"/>
    <x v="0"/>
    <x v="0"/>
    <x v="1"/>
    <n v="188.46013348588863"/>
    <n v="49.832437070938212"/>
    <n v="0"/>
    <s v=""/>
    <x v="0"/>
  </r>
  <r>
    <n v="10"/>
    <m/>
    <s v="KAPE-MB-227266-09-06-2021"/>
    <d v="2021-06-09T00:00:00"/>
    <x v="0"/>
    <x v="0"/>
    <n v="157320"/>
    <x v="0"/>
    <x v="0"/>
    <n v="5503.201"/>
    <n v="1.2"/>
    <n v="0"/>
    <n v="0"/>
    <x v="1"/>
    <s v="Polyester Staple Fiber (Wastage: 3,156.04)"/>
    <n v="29734525"/>
    <x v="0"/>
    <n v="7862374"/>
    <x v="0"/>
    <m/>
    <d v="2023-06-09T00:00:00"/>
    <x v="0"/>
    <x v="0"/>
    <x v="0"/>
    <x v="0"/>
    <x v="0"/>
    <x v="0"/>
    <d v="2023-04-10T00:00:00"/>
    <x v="0"/>
    <x v="1"/>
    <x v="0"/>
    <x v="0"/>
    <x v="0"/>
    <x v="1"/>
    <n v="189.00664251207729"/>
    <n v="49.976951436562423"/>
    <n v="0"/>
    <s v=""/>
    <x v="0"/>
  </r>
  <r>
    <n v="11"/>
    <m/>
    <s v="KAPE-MB-227394-09-06-2021"/>
    <d v="2021-06-09T00:00:00"/>
    <x v="0"/>
    <x v="0"/>
    <n v="262200"/>
    <x v="0"/>
    <x v="0"/>
    <n v="5503.201"/>
    <n v="1.2"/>
    <n v="0"/>
    <n v="0"/>
    <x v="1"/>
    <s v="Polyester Staple Fiber (Wastage: 5,256.43)"/>
    <n v="49557384"/>
    <x v="0"/>
    <n v="13103914"/>
    <x v="0"/>
    <m/>
    <d v="2023-06-09T00:00:00"/>
    <x v="0"/>
    <x v="0"/>
    <x v="0"/>
    <x v="0"/>
    <x v="0"/>
    <x v="0"/>
    <d v="2023-04-10T00:00:00"/>
    <x v="0"/>
    <x v="1"/>
    <x v="0"/>
    <x v="0"/>
    <x v="0"/>
    <x v="1"/>
    <n v="189.00604118993135"/>
    <n v="49.976788710907705"/>
    <n v="0"/>
    <s v=""/>
    <x v="0"/>
  </r>
  <r>
    <n v="12"/>
    <m/>
    <s v="KAPE-MB-228620-10-06-2021"/>
    <d v="2021-06-10T00:00:00"/>
    <x v="0"/>
    <x v="0"/>
    <n v="262200"/>
    <x v="0"/>
    <x v="0"/>
    <n v="5503.201"/>
    <n v="1.2"/>
    <n v="0"/>
    <n v="0"/>
    <x v="1"/>
    <s v="Polyester Staple Fiber (Wastage: 5,252.87)"/>
    <n v="49700680"/>
    <x v="0"/>
    <n v="13141805"/>
    <x v="0"/>
    <m/>
    <d v="2023-06-10T00:00:00"/>
    <x v="0"/>
    <x v="0"/>
    <x v="0"/>
    <x v="0"/>
    <x v="0"/>
    <x v="0"/>
    <d v="2023-04-11T00:00:00"/>
    <x v="0"/>
    <x v="1"/>
    <x v="0"/>
    <x v="0"/>
    <x v="0"/>
    <x v="1"/>
    <n v="189.55255530129671"/>
    <n v="50.121300533943554"/>
    <n v="0"/>
    <s v=""/>
    <x v="0"/>
  </r>
  <r>
    <n v="13"/>
    <m/>
    <s v="KAPE-IB-66769-08-11-2019"/>
    <d v="2019-11-08T00:00:00"/>
    <x v="0"/>
    <x v="0"/>
    <n v="24640"/>
    <x v="0"/>
    <x v="0"/>
    <n v="5210.49"/>
    <s v="2.38 "/>
    <n v="0"/>
    <n v="0"/>
    <x v="2"/>
    <s v="50.5% COTTON 37% POLYESTER 12.5% R DENIM FABRIC WIDTH:66&quot;"/>
    <n v="9327123"/>
    <x v="0"/>
    <n v="3786067"/>
    <x v="0"/>
    <n v="118902154"/>
    <d v="2021-11-07T00:00:00"/>
    <x v="0"/>
    <x v="0"/>
    <x v="0"/>
    <x v="0"/>
    <x v="0"/>
    <x v="0"/>
    <d v="2021-09-08T00:00:00"/>
    <x v="0"/>
    <x v="0"/>
    <x v="0"/>
    <x v="0"/>
    <x v="0"/>
    <x v="2"/>
    <n v="378.53583603896107"/>
    <n v="153.65531655844157"/>
    <n v="0"/>
    <s v=""/>
    <x v="0"/>
  </r>
  <r>
    <n v="14"/>
    <m/>
    <s v="KAPE-IB-66727-08-11-2019"/>
    <d v="2019-11-08T00:00:00"/>
    <x v="0"/>
    <x v="0"/>
    <n v="26010"/>
    <x v="0"/>
    <x v="0"/>
    <n v="5210.49"/>
    <m/>
    <n v="0"/>
    <n v="0"/>
    <x v="2"/>
    <s v="50.5% COTTON 37% POLYESTER 12.5% R DENIM FABRIC WIDTH:66&quot; (46562.16/MTRS)"/>
    <n v="9854824"/>
    <x v="0"/>
    <n v="4000270"/>
    <x v="0"/>
    <n v="118902157"/>
    <d v="2021-11-07T00:00:00"/>
    <x v="0"/>
    <x v="0"/>
    <x v="0"/>
    <x v="0"/>
    <x v="0"/>
    <x v="0"/>
    <d v="2021-09-08T00:00:00"/>
    <x v="0"/>
    <x v="0"/>
    <x v="0"/>
    <x v="0"/>
    <x v="0"/>
    <x v="2"/>
    <n v="378.88596693579393"/>
    <n v="153.79738562091504"/>
    <n v="0"/>
    <s v=""/>
    <x v="0"/>
  </r>
  <r>
    <n v="15"/>
    <m/>
    <s v="KAPE-IB-66746-08-11-2019"/>
    <d v="2019-11-08T00:00:00"/>
    <x v="0"/>
    <x v="0"/>
    <n v="25840"/>
    <x v="0"/>
    <x v="0"/>
    <n v="5210.49"/>
    <s v="2.38 "/>
    <n v="0"/>
    <n v="0"/>
    <x v="2"/>
    <s v="50.5% 37%  12.5 fabric "/>
    <n v="9780544"/>
    <x v="0"/>
    <n v="3970118"/>
    <x v="0"/>
    <n v="118902156"/>
    <d v="2021-11-07T00:00:00"/>
    <x v="0"/>
    <x v="0"/>
    <x v="0"/>
    <x v="0"/>
    <x v="0"/>
    <x v="0"/>
    <d v="2021-09-08T00:00:00"/>
    <x v="0"/>
    <x v="0"/>
    <x v="0"/>
    <x v="0"/>
    <x v="0"/>
    <x v="2"/>
    <n v="378.50402476780187"/>
    <n v="153.64233746130031"/>
    <n v="0"/>
    <s v=""/>
    <x v="0"/>
  </r>
  <r>
    <n v="16"/>
    <m/>
    <s v="KAPE-IB-75900-22-11-2019"/>
    <d v="2019-11-22T00:00:00"/>
    <x v="0"/>
    <x v="0"/>
    <n v="14260"/>
    <x v="0"/>
    <x v="0"/>
    <n v="5210.49"/>
    <s v="2.35 "/>
    <n v="0"/>
    <n v="0"/>
    <x v="2"/>
    <s v="50.5% COTTON 37% POLYESTER 12.5% R DENIM FABRIC WIDTH:66&quot;"/>
    <n v="5333662"/>
    <x v="0"/>
    <n v="2165040"/>
    <x v="0"/>
    <n v="118904855"/>
    <d v="2021-11-21T00:00:00"/>
    <x v="0"/>
    <x v="0"/>
    <x v="0"/>
    <x v="0"/>
    <x v="0"/>
    <x v="0"/>
    <d v="2021-09-22T00:00:00"/>
    <x v="0"/>
    <x v="0"/>
    <x v="0"/>
    <x v="0"/>
    <x v="0"/>
    <x v="2"/>
    <n v="374.02959326788221"/>
    <n v="151.82608695652175"/>
    <n v="0"/>
    <s v=""/>
    <x v="0"/>
  </r>
  <r>
    <n v="17"/>
    <m/>
    <s v="KPAF-IB-36423-20-01-2020"/>
    <d v="2020-01-20T00:00:00"/>
    <x v="0"/>
    <x v="0"/>
    <n v="2296.52"/>
    <x v="0"/>
    <x v="0"/>
    <n v="5509.21"/>
    <n v="3.92"/>
    <n v="0"/>
    <n v="0"/>
    <x v="3"/>
    <s v="50% RECYCLED PET POLYESTER 30% POSTCONSUMER CO 20% PRECONSUMER CO PO BLENDED YARN WEAVING COUNT NE 14/"/>
    <n v="1425226"/>
    <x v="0"/>
    <n v="444224"/>
    <x v="0"/>
    <n v="118909097"/>
    <d v="2022-01-19T00:00:00"/>
    <x v="0"/>
    <x v="0"/>
    <x v="0"/>
    <x v="0"/>
    <x v="0"/>
    <x v="0"/>
    <d v="2021-11-20T00:00:00"/>
    <x v="0"/>
    <x v="0"/>
    <x v="0"/>
    <x v="0"/>
    <x v="0"/>
    <x v="3"/>
    <n v="620.60247679097074"/>
    <n v="193.43354292581819"/>
    <n v="0"/>
    <s v=""/>
    <x v="0"/>
  </r>
  <r>
    <n v="18"/>
    <m/>
    <s v="KPAF-IB-37047-22-01-2020"/>
    <d v="2020-01-22T00:00:00"/>
    <x v="0"/>
    <x v="0"/>
    <n v="3988.39"/>
    <x v="0"/>
    <x v="0"/>
    <n v="5509.21"/>
    <n v="3.95"/>
    <n v="0"/>
    <n v="0"/>
    <x v="3"/>
    <s v="50% RECYCLED PET POLYESTER 30% POSTCONSUMER CO 20% PRECONSUMER CO PO BLENDED YARN WEAVING COUNT NE 14/1 (PART SHIPMENT)"/>
    <n v="2490246"/>
    <x v="0"/>
    <n v="776177"/>
    <x v="0"/>
    <n v="118909108"/>
    <d v="2022-01-21T00:00:00"/>
    <x v="0"/>
    <x v="0"/>
    <x v="0"/>
    <x v="0"/>
    <x v="0"/>
    <x v="0"/>
    <d v="2021-11-22T00:00:00"/>
    <x v="0"/>
    <x v="0"/>
    <x v="0"/>
    <x v="0"/>
    <x v="0"/>
    <x v="3"/>
    <n v="624.37374479426535"/>
    <n v="194.60910292122887"/>
    <n v="0"/>
    <s v=""/>
    <x v="0"/>
  </r>
  <r>
    <n v="19"/>
    <m/>
    <s v="KAPE-IB-126077-11-02-2020"/>
    <d v="2020-02-11T00:00:00"/>
    <x v="0"/>
    <x v="0"/>
    <n v="185"/>
    <x v="0"/>
    <x v="0"/>
    <n v="6006.32"/>
    <s v="17.19 "/>
    <n v="0"/>
    <n v="0"/>
    <x v="4"/>
    <s v="SEQUIN FABRIC SIZE:125-130CM ( 528/YARDS (THE GOODS ARE"/>
    <n v="502647"/>
    <x v="0"/>
    <n v="204035"/>
    <x v="0"/>
    <n v="118909164"/>
    <d v="2022-02-10T00:00:00"/>
    <x v="0"/>
    <x v="0"/>
    <x v="0"/>
    <x v="0"/>
    <x v="0"/>
    <x v="0"/>
    <d v="2021-12-12T00:00:00"/>
    <x v="0"/>
    <x v="0"/>
    <x v="0"/>
    <x v="0"/>
    <x v="0"/>
    <x v="2"/>
    <n v="2717.0108108108107"/>
    <n v="1102.8918918918919"/>
    <n v="0"/>
    <s v=""/>
    <x v="0"/>
  </r>
  <r>
    <n v="20"/>
    <m/>
    <s v="KAPW-IB-118562-20-04-2020"/>
    <d v="2020-04-20T00:00:00"/>
    <x v="0"/>
    <x v="0"/>
    <n v="2500"/>
    <x v="0"/>
    <x v="0"/>
    <s v="EXPORT "/>
    <s v="EXPORT"/>
    <n v="0"/>
    <n v="0"/>
    <x v="5"/>
    <s v="WILL BE SUBMITED THROUGH MANUAL "/>
    <n v="9785921"/>
    <x v="0"/>
    <n v="3972301"/>
    <x v="0"/>
    <n v="118911799"/>
    <d v="2022-04-20T00:00:00"/>
    <x v="0"/>
    <x v="0"/>
    <x v="0"/>
    <x v="0"/>
    <x v="0"/>
    <x v="0"/>
    <d v="2022-02-19T00:00:00"/>
    <x v="0"/>
    <x v="0"/>
    <x v="0"/>
    <x v="0"/>
    <x v="0"/>
    <x v="4"/>
    <n v="3914.3683999999998"/>
    <n v="1588.9204"/>
    <n v="0"/>
    <s v=""/>
    <x v="0"/>
  </r>
  <r>
    <n v="21"/>
    <m/>
    <s v="KAPE-IB-174963-11-05-2020"/>
    <d v="2020-05-11T00:00:00"/>
    <x v="0"/>
    <x v="0"/>
    <n v="9583.83"/>
    <x v="0"/>
    <x v="0"/>
    <n v="5509.21"/>
    <s v="1.95 "/>
    <n v="0"/>
    <n v="0"/>
    <x v="3"/>
    <s v="50% RECYCLED PET POLYESTER /30% POSTCONSUMER CO / 20% PRECONSUMER CO WEAVING BLENDED YARN COUNT NE 14/1 "/>
    <n v="3059789"/>
    <x v="0"/>
    <n v="953696"/>
    <x v="0"/>
    <n v="128460928"/>
    <d v="2022-05-11T00:00:00"/>
    <x v="0"/>
    <x v="0"/>
    <x v="0"/>
    <x v="0"/>
    <x v="0"/>
    <x v="0"/>
    <d v="2022-03-12T00:00:00"/>
    <x v="0"/>
    <x v="0"/>
    <x v="0"/>
    <x v="0"/>
    <x v="0"/>
    <x v="3"/>
    <n v="319.2657841384916"/>
    <n v="99.51094708482934"/>
    <n v="0"/>
    <s v=""/>
    <x v="0"/>
  </r>
  <r>
    <n v="22"/>
    <m/>
    <s v="KPAF-IB-55271-03-06-2020"/>
    <d v="2020-06-03T00:00:00"/>
    <x v="0"/>
    <x v="0"/>
    <n v="500"/>
    <x v="0"/>
    <x v="0"/>
    <n v="3204.11"/>
    <s v="EXPORT"/>
    <n v="0"/>
    <n v="0"/>
    <x v="5"/>
    <s v="WILL BE SUBMITED THROUGH MANUAL "/>
    <n v="3672444"/>
    <x v="0"/>
    <n v="1490718"/>
    <x v="0"/>
    <n v="128460952"/>
    <d v="2022-06-03T00:00:00"/>
    <x v="0"/>
    <x v="0"/>
    <x v="0"/>
    <x v="0"/>
    <x v="0"/>
    <x v="0"/>
    <d v="2022-04-04T00:00:00"/>
    <x v="0"/>
    <x v="0"/>
    <x v="0"/>
    <x v="0"/>
    <x v="0"/>
    <x v="4"/>
    <n v="7344.8879999999999"/>
    <n v="2981.4360000000001"/>
    <n v="0"/>
    <s v=""/>
    <x v="0"/>
  </r>
  <r>
    <n v="23"/>
    <m/>
    <s v="KAPE-IB-186360-04-06-2020"/>
    <d v="2020-06-04T00:00:00"/>
    <x v="0"/>
    <x v="0"/>
    <n v="5025.59"/>
    <x v="0"/>
    <x v="0"/>
    <n v="5509.21"/>
    <s v="EXPORT"/>
    <n v="0"/>
    <n v="0"/>
    <x v="3"/>
    <s v="WILL BE SUBMITED THROUGH MANUAL "/>
    <n v="1661878"/>
    <x v="0"/>
    <n v="517986"/>
    <x v="0"/>
    <n v="128460961"/>
    <d v="2022-06-04T00:00:00"/>
    <x v="0"/>
    <x v="0"/>
    <x v="0"/>
    <x v="0"/>
    <x v="0"/>
    <x v="0"/>
    <d v="2022-04-05T00:00:00"/>
    <x v="0"/>
    <x v="0"/>
    <x v="0"/>
    <x v="0"/>
    <x v="0"/>
    <x v="3"/>
    <n v="330.68316356885458"/>
    <n v="103.06968933000901"/>
    <n v="0"/>
    <s v=""/>
    <x v="0"/>
  </r>
  <r>
    <n v="24"/>
    <m/>
    <s v="KPAF-IB-56238-10-06-2020"/>
    <d v="2020-06-10T00:00:00"/>
    <x v="0"/>
    <x v="0"/>
    <n v="1272"/>
    <x v="0"/>
    <x v="0"/>
    <n v="5407.52"/>
    <s v="16.45680_x000a_13.76170_x000a_13.76770_x000a_"/>
    <n v="0"/>
    <n v="0"/>
    <x v="2"/>
    <s v="78% POLYESTER 17% VISCOSE 5% SPANDE  FABRIC "/>
    <n v="2466055"/>
    <x v="0"/>
    <n v="1001021"/>
    <x v="0"/>
    <n v="128460963"/>
    <d v="2022-06-10T00:00:00"/>
    <x v="0"/>
    <x v="0"/>
    <x v="0"/>
    <x v="0"/>
    <x v="0"/>
    <x v="0"/>
    <d v="2022-04-11T00:00:00"/>
    <x v="0"/>
    <x v="0"/>
    <x v="0"/>
    <x v="0"/>
    <x v="0"/>
    <x v="2"/>
    <n v="1938.7224842767296"/>
    <n v="786.96619496855351"/>
    <n v="0"/>
    <s v=""/>
    <x v="0"/>
  </r>
  <r>
    <n v="25"/>
    <m/>
    <s v="KAPE-IB-190862-12-06-2020"/>
    <d v="2020-06-12T00:00:00"/>
    <x v="0"/>
    <x v="0"/>
    <n v="18018"/>
    <x v="0"/>
    <x v="0"/>
    <n v="5401.2089999999998"/>
    <m/>
    <n v="0"/>
    <n v="0"/>
    <x v="6"/>
    <s v="100% SPUN POLYESTER SEWING THREAD "/>
    <n v="14109495"/>
    <x v="0"/>
    <n v="3063892"/>
    <x v="0"/>
    <n v="128460965"/>
    <d v="2022-06-12T00:00:00"/>
    <x v="0"/>
    <x v="0"/>
    <x v="0"/>
    <x v="0"/>
    <x v="0"/>
    <x v="0"/>
    <d v="2022-04-13T00:00:00"/>
    <x v="0"/>
    <x v="0"/>
    <x v="0"/>
    <x v="0"/>
    <x v="0"/>
    <x v="3"/>
    <n v="783.07775557775562"/>
    <n v="170.04617604617604"/>
    <n v="0"/>
    <s v=""/>
    <x v="0"/>
  </r>
  <r>
    <n v="26"/>
    <m/>
    <s v="KAPE-IB-198991-29-06-2020"/>
    <d v="2020-06-29T00:00:00"/>
    <x v="0"/>
    <x v="0"/>
    <n v="26000"/>
    <x v="0"/>
    <x v="0"/>
    <n v="5509.22"/>
    <s v="2.51 "/>
    <n v="0"/>
    <n v="0"/>
    <x v="7"/>
    <s v="100% SPUN POLYESTER YARN RAW WHITE BRIGHT 50S/3"/>
    <n v="11175612"/>
    <x v="0"/>
    <n v="3483293"/>
    <x v="0"/>
    <n v="128461007"/>
    <d v="2022-06-29T00:00:00"/>
    <x v="0"/>
    <x v="0"/>
    <x v="0"/>
    <x v="0"/>
    <x v="0"/>
    <x v="0"/>
    <d v="2022-04-30T00:00:00"/>
    <x v="0"/>
    <x v="0"/>
    <x v="0"/>
    <x v="0"/>
    <x v="0"/>
    <x v="3"/>
    <n v="429.83123076923079"/>
    <n v="133.9728076923077"/>
    <n v="0"/>
    <s v=""/>
    <x v="0"/>
  </r>
  <r>
    <n v="27"/>
    <m/>
    <s v="PQIB-IB-226-04-07-2020"/>
    <d v="2020-07-04T00:00:00"/>
    <x v="0"/>
    <x v="0"/>
    <n v="1800000"/>
    <x v="0"/>
    <x v="0"/>
    <n v="2701.12"/>
    <n v="5.6599999999999998E-2"/>
    <n v="0"/>
    <n v="0"/>
    <x v="8"/>
    <s v="COAL"/>
    <n v="17229839"/>
    <x v="0"/>
    <n v="4360355"/>
    <x v="0"/>
    <n v="128461011"/>
    <d v="2022-07-04T00:00:00"/>
    <x v="0"/>
    <x v="0"/>
    <x v="0"/>
    <x v="0"/>
    <x v="0"/>
    <x v="0"/>
    <d v="2022-05-05T00:00:00"/>
    <x v="0"/>
    <x v="0"/>
    <x v="0"/>
    <x v="0"/>
    <x v="0"/>
    <x v="5"/>
    <n v="9.572132777777778"/>
    <n v="2.4224194444444445"/>
    <n v="0"/>
    <s v=""/>
    <x v="0"/>
  </r>
  <r>
    <n v="28"/>
    <m/>
    <s v="PQIB-IB-2406-11-08-2020"/>
    <d v="2022-09-26T00:00:00"/>
    <x v="0"/>
    <x v="0"/>
    <n v="3300000"/>
    <x v="0"/>
    <x v="0"/>
    <n v="2701.12"/>
    <s v="0.0605 / 0.0671"/>
    <n v="0"/>
    <n v="0"/>
    <x v="8"/>
    <s v="BITUMINOUS COAL (IN BULK)"/>
    <n v="30261000"/>
    <x v="0"/>
    <n v="7655999.9999999991"/>
    <x v="0"/>
    <m/>
    <d v="2024-09-25T00:00:00"/>
    <x v="0"/>
    <x v="0"/>
    <x v="0"/>
    <x v="0"/>
    <x v="0"/>
    <x v="0"/>
    <d v="2024-07-27T00:00:00"/>
    <x v="0"/>
    <x v="1"/>
    <x v="0"/>
    <x v="0"/>
    <x v="0"/>
    <x v="5"/>
    <n v="9.17"/>
    <n v="2.3199999999999998"/>
    <n v="0"/>
    <s v=""/>
    <x v="0"/>
  </r>
  <r>
    <n v="29"/>
    <m/>
    <s v="KAPW-IB-19763-13-08-2020"/>
    <d v="2020-08-13T00:00:00"/>
    <x v="0"/>
    <x v="0"/>
    <n v="5004"/>
    <x v="0"/>
    <x v="0"/>
    <n v="5210.49"/>
    <n v="7.9417999999999997"/>
    <n v="0"/>
    <n v="0"/>
    <x v="2"/>
    <s v="78%PES 17%VISCOSE 5%SPANDEX FABRIC 190GSM COLOR:NAVY BLUE,LIGHT BLUE,NIMBUS GREY, BLACK WIDTH:150CM"/>
    <n v="6834969"/>
    <x v="0"/>
    <n v="2534215"/>
    <x v="0"/>
    <n v="128461095"/>
    <d v="2022-08-13T00:00:00"/>
    <x v="0"/>
    <x v="0"/>
    <x v="0"/>
    <x v="0"/>
    <x v="0"/>
    <x v="0"/>
    <d v="2022-06-14T00:00:00"/>
    <x v="0"/>
    <x v="0"/>
    <x v="0"/>
    <x v="0"/>
    <x v="0"/>
    <x v="2"/>
    <n v="1365.9010791366907"/>
    <n v="506.43784972022382"/>
    <n v="0"/>
    <s v=""/>
    <x v="0"/>
  </r>
  <r>
    <n v="30"/>
    <m/>
    <s v="PQIB-IB-3057-24-08-2020"/>
    <d v="2022-09-26T00:00:00"/>
    <x v="0"/>
    <x v="0"/>
    <n v="8250000"/>
    <x v="0"/>
    <x v="0"/>
    <n v="2701.12"/>
    <s v="0.0617 / 0.0638"/>
    <n v="0"/>
    <n v="0"/>
    <x v="8"/>
    <s v="BITUMINOUS COAL"/>
    <n v="86790000"/>
    <x v="0"/>
    <n v="21945000"/>
    <x v="0"/>
    <m/>
    <d v="2024-09-25T00:00:00"/>
    <x v="0"/>
    <x v="0"/>
    <x v="0"/>
    <x v="0"/>
    <x v="0"/>
    <x v="0"/>
    <d v="2024-07-27T00:00:00"/>
    <x v="0"/>
    <x v="1"/>
    <x v="0"/>
    <x v="0"/>
    <x v="0"/>
    <x v="5"/>
    <n v="10.52"/>
    <n v="2.66"/>
    <n v="0"/>
    <s v=""/>
    <x v="0"/>
  </r>
  <r>
    <n v="31"/>
    <m/>
    <s v="KAPW-IB-29340-03-09-2020"/>
    <d v="2020-09-03T00:00:00"/>
    <x v="1"/>
    <x v="0"/>
    <n v="7531"/>
    <x v="0"/>
    <x v="0"/>
    <n v="5807.1019999999999"/>
    <s v="3.39 "/>
    <n v="0"/>
    <n v="0"/>
    <x v="9"/>
    <s v="RIBBONS"/>
    <n v="4325298"/>
    <x v="0"/>
    <n v="2245696"/>
    <x v="0"/>
    <n v="128461137"/>
    <d v="2022-09-03T00:00:00"/>
    <x v="0"/>
    <x v="0"/>
    <x v="0"/>
    <x v="0"/>
    <x v="0"/>
    <x v="0"/>
    <d v="2022-07-05T00:00:00"/>
    <x v="0"/>
    <x v="0"/>
    <x v="0"/>
    <x v="0"/>
    <x v="0"/>
    <x v="6"/>
    <n v="574.33249236489178"/>
    <n v="298.19359978754483"/>
    <n v="0"/>
    <s v=""/>
    <x v="0"/>
  </r>
  <r>
    <n v="32"/>
    <m/>
    <s v="KPAF-IB-13677-28-09-2020"/>
    <d v="2020-09-28T00:00:00"/>
    <x v="0"/>
    <x v="0"/>
    <n v="472.7"/>
    <x v="0"/>
    <x v="0"/>
    <n v="5210.1099999999997"/>
    <s v="17.06 "/>
    <n v="0"/>
    <n v="0"/>
    <x v="2"/>
    <s v="TESSUTO/FABRIC STANDARD CO50% PES 49.5% CF 0.5%"/>
    <n v="1580662"/>
    <x v="0"/>
    <n v="586066"/>
    <x v="0"/>
    <n v="128466243"/>
    <d v="2022-09-28T00:00:00"/>
    <x v="0"/>
    <x v="0"/>
    <x v="0"/>
    <x v="0"/>
    <x v="0"/>
    <x v="0"/>
    <d v="2022-07-30T00:00:00"/>
    <x v="0"/>
    <x v="0"/>
    <x v="0"/>
    <x v="0"/>
    <x v="0"/>
    <x v="2"/>
    <n v="3343.9009942881321"/>
    <n v="1239.8265284535646"/>
    <n v="0"/>
    <s v=""/>
    <x v="0"/>
  </r>
  <r>
    <n v="33"/>
    <m/>
    <s v="KAPW-IB-62743-05-11-2020"/>
    <d v="2020-11-05T00:00:00"/>
    <x v="0"/>
    <x v="0"/>
    <n v="3070"/>
    <x v="0"/>
    <x v="0"/>
    <n v="5401.2089999999998"/>
    <s v="7.39 "/>
    <n v="0"/>
    <n v="0"/>
    <x v="6"/>
    <s v="100% SPUN POLYESTER SEWING THREAD POLY POLY B/ WHITE"/>
    <n v="3712640"/>
    <x v="0"/>
    <n v="806203"/>
    <x v="0"/>
    <n v="128467715"/>
    <d v="2022-11-05T00:00:00"/>
    <x v="0"/>
    <x v="0"/>
    <x v="0"/>
    <x v="0"/>
    <x v="0"/>
    <x v="0"/>
    <d v="2022-09-06T00:00:00"/>
    <x v="0"/>
    <x v="0"/>
    <x v="0"/>
    <x v="0"/>
    <x v="0"/>
    <x v="3"/>
    <n v="1209.328990228013"/>
    <n v="262.60684039087948"/>
    <n v="0"/>
    <s v=""/>
    <x v="0"/>
  </r>
  <r>
    <n v="34"/>
    <m/>
    <s v="KPFI-IB-18528-20-11-2020"/>
    <d v="2020-11-20T00:00:00"/>
    <x v="0"/>
    <x v="0"/>
    <n v="27.95"/>
    <x v="0"/>
    <x v="0"/>
    <n v="5211.49"/>
    <s v="19.35 "/>
    <n v="0"/>
    <n v="0"/>
    <x v="2"/>
    <s v="TESSUTO/FABRIC STANDARD CO 50% PES 49.5% CF 0.5%"/>
    <n v="104759"/>
    <x v="0"/>
    <n v="38841"/>
    <x v="0"/>
    <n v="128468800"/>
    <d v="2022-11-20T00:00:00"/>
    <x v="0"/>
    <x v="0"/>
    <x v="0"/>
    <x v="0"/>
    <x v="0"/>
    <x v="0"/>
    <d v="2022-09-21T00:00:00"/>
    <x v="0"/>
    <x v="0"/>
    <x v="0"/>
    <x v="0"/>
    <x v="0"/>
    <x v="2"/>
    <n v="3748.0858676207513"/>
    <n v="1389.6601073345259"/>
    <n v="0"/>
    <s v=""/>
    <x v="0"/>
  </r>
  <r>
    <n v="35"/>
    <m/>
    <s v="KAPE-IB-115370-29-12-2020"/>
    <d v="2020-12-29T00:00:00"/>
    <x v="0"/>
    <x v="0"/>
    <n v="113400"/>
    <x v="0"/>
    <x v="0"/>
    <n v="5402.33"/>
    <s v="1.32 "/>
    <n v="0"/>
    <n v="0"/>
    <x v="6"/>
    <s v="100% POLYESTER YARN DTY 110DTEX/48F (100D/48F)"/>
    <n v="24561269"/>
    <x v="0"/>
    <n v="10443133"/>
    <x v="0"/>
    <n v="128467784"/>
    <d v="2022-12-29T00:00:00"/>
    <x v="0"/>
    <x v="0"/>
    <x v="0"/>
    <x v="0"/>
    <x v="0"/>
    <x v="0"/>
    <d v="2022-10-30T00:00:00"/>
    <x v="0"/>
    <x v="0"/>
    <x v="0"/>
    <x v="0"/>
    <x v="0"/>
    <x v="3"/>
    <n v="216.58967372134038"/>
    <n v="92.091119929453257"/>
    <n v="0"/>
    <s v=""/>
    <x v="0"/>
  </r>
  <r>
    <n v="36"/>
    <m/>
    <s v="KAPE-IB-118078-01-01-2021"/>
    <d v="2021-01-01T00:00:00"/>
    <x v="0"/>
    <x v="0"/>
    <n v="17917.2"/>
    <x v="0"/>
    <x v="0"/>
    <n v="5205.2700000000004"/>
    <s v="3.61 "/>
    <n v="0"/>
    <n v="0"/>
    <x v="10"/>
    <s v="60/1 Cotton Yarn"/>
    <n v="10609774"/>
    <x v="0"/>
    <n v="2554675"/>
    <x v="0"/>
    <n v="128467768"/>
    <d v="2023-01-01T00:00:00"/>
    <x v="0"/>
    <x v="0"/>
    <x v="0"/>
    <x v="0"/>
    <x v="0"/>
    <x v="0"/>
    <d v="2022-11-02T00:00:00"/>
    <x v="0"/>
    <x v="0"/>
    <x v="0"/>
    <x v="0"/>
    <x v="0"/>
    <x v="3"/>
    <n v="592.1558055946241"/>
    <n v="142.58226731855424"/>
    <n v="0"/>
    <s v=""/>
    <x v="0"/>
  </r>
  <r>
    <n v="37"/>
    <m/>
    <s v="KAPW-IB-95509-01-01-2021"/>
    <d v="2021-01-01T00:00:00"/>
    <x v="0"/>
    <x v="0"/>
    <n v="24360"/>
    <x v="0"/>
    <x v="0"/>
    <n v="5402.33"/>
    <s v="1.26 "/>
    <n v="0"/>
    <n v="0"/>
    <x v="6"/>
    <s v="100% POLYESTER YARN DTY 100D/48F SD RW HIM AA GRADE"/>
    <n v="5034735"/>
    <x v="0"/>
    <n v="1923707"/>
    <x v="0"/>
    <n v="128467807"/>
    <d v="2023-01-01T00:00:00"/>
    <x v="0"/>
    <x v="0"/>
    <x v="0"/>
    <x v="0"/>
    <x v="0"/>
    <x v="0"/>
    <d v="2022-11-02T00:00:00"/>
    <x v="0"/>
    <x v="0"/>
    <x v="0"/>
    <x v="0"/>
    <x v="0"/>
    <x v="3"/>
    <n v="206.68041871921181"/>
    <n v="78.969909688013132"/>
    <n v="0"/>
    <s v=""/>
    <x v="0"/>
  </r>
  <r>
    <n v="38"/>
    <m/>
    <s v="KAPW-IB-99995-08-01-2021"/>
    <d v="2021-01-08T00:00:00"/>
    <x v="0"/>
    <x v="0"/>
    <n v="24360"/>
    <x v="0"/>
    <x v="0"/>
    <n v="5402.33"/>
    <s v="1.26 "/>
    <n v="0"/>
    <n v="0"/>
    <x v="6"/>
    <s v="100% POLYESTER YARN DTY 100D/48F SD RW HIM AA GRADE"/>
    <n v="5034735"/>
    <x v="0"/>
    <n v="1923707"/>
    <x v="0"/>
    <n v="128467817"/>
    <d v="2023-01-08T00:00:00"/>
    <x v="0"/>
    <x v="0"/>
    <x v="0"/>
    <x v="0"/>
    <x v="0"/>
    <x v="0"/>
    <d v="2022-11-09T00:00:00"/>
    <x v="0"/>
    <x v="0"/>
    <x v="0"/>
    <x v="0"/>
    <x v="0"/>
    <x v="3"/>
    <n v="206.68041871921181"/>
    <n v="78.969909688013132"/>
    <n v="0"/>
    <s v=""/>
    <x v="0"/>
  </r>
  <r>
    <n v="39"/>
    <m/>
    <s v="KAPW-IB-101390-11-01-2021"/>
    <d v="2021-01-11T00:00:00"/>
    <x v="0"/>
    <x v="0"/>
    <n v="19991"/>
    <x v="0"/>
    <x v="0"/>
    <n v="5407.74"/>
    <s v="5.35 "/>
    <n v="0"/>
    <n v="0"/>
    <x v="11"/>
    <s v="100% POLYESTER MICRO FIBER FABRIC PRINTED WIDTH 83"/>
    <n v="17511131"/>
    <x v="0"/>
    <n v="6492637"/>
    <x v="0"/>
    <n v="128467810"/>
    <d v="2023-01-11T00:00:00"/>
    <x v="0"/>
    <x v="0"/>
    <x v="0"/>
    <x v="0"/>
    <x v="0"/>
    <x v="0"/>
    <d v="2022-11-12T00:00:00"/>
    <x v="0"/>
    <x v="0"/>
    <x v="0"/>
    <x v="0"/>
    <x v="0"/>
    <x v="2"/>
    <n v="875.95072782752243"/>
    <n v="324.77800010004501"/>
    <n v="0"/>
    <s v=""/>
    <x v="0"/>
  </r>
  <r>
    <n v="40"/>
    <m/>
    <s v="KAPW-IB-103720-14-01-2021"/>
    <d v="2021-01-14T00:00:00"/>
    <x v="0"/>
    <x v="0"/>
    <n v="24360"/>
    <x v="0"/>
    <x v="0"/>
    <n v="5402.33"/>
    <n v="1.26"/>
    <n v="0"/>
    <n v="0"/>
    <x v="6"/>
    <s v="100% POLYESTER YARN DTY 100D/48F SD RW HIM AA GRADE"/>
    <n v="5036301"/>
    <x v="0"/>
    <n v="1924305"/>
    <x v="0"/>
    <n v="128467829"/>
    <d v="2023-01-14T00:00:00"/>
    <x v="0"/>
    <x v="0"/>
    <x v="0"/>
    <x v="0"/>
    <x v="0"/>
    <x v="0"/>
    <d v="2022-11-15T00:00:00"/>
    <x v="0"/>
    <x v="0"/>
    <x v="0"/>
    <x v="0"/>
    <x v="0"/>
    <x v="3"/>
    <n v="206.74470443349753"/>
    <n v="78.994458128078819"/>
    <n v="0"/>
    <s v=""/>
    <x v="0"/>
  </r>
  <r>
    <n v="41"/>
    <m/>
    <s v="KAPW-IB-104398-15-01-2021"/>
    <d v="2021-01-15T00:00:00"/>
    <x v="0"/>
    <x v="0"/>
    <n v="836"/>
    <x v="0"/>
    <x v="0"/>
    <n v="5407.51"/>
    <m/>
    <n v="0"/>
    <n v="0"/>
    <x v="11"/>
    <s v="100% POLYESTER FABRIC 190T TAFEETA, W/R + PU COATING WHITE COLOR, 70GSM 57/58&quot;"/>
    <n v="1032724"/>
    <x v="0"/>
    <n v="382905"/>
    <x v="0"/>
    <n v="128467830"/>
    <d v="2023-01-15T00:00:00"/>
    <x v="0"/>
    <x v="0"/>
    <x v="0"/>
    <x v="0"/>
    <x v="0"/>
    <x v="0"/>
    <d v="2022-11-16T00:00:00"/>
    <x v="0"/>
    <x v="0"/>
    <x v="0"/>
    <x v="0"/>
    <x v="0"/>
    <x v="2"/>
    <n v="1235.3157894736842"/>
    <n v="458.02033492822966"/>
    <n v="0"/>
    <s v=""/>
    <x v="0"/>
  </r>
  <r>
    <n v="42"/>
    <m/>
    <s v="KAPE-IB-135439-25-01-2021"/>
    <d v="2021-01-25T00:00:00"/>
    <x v="0"/>
    <x v="0"/>
    <n v="36288"/>
    <x v="0"/>
    <x v="0"/>
    <n v="5205.2700000000004"/>
    <m/>
    <n v="0"/>
    <n v="0"/>
    <x v="10"/>
    <s v="60/1 Cotton Yarn"/>
    <n v="22342308"/>
    <x v="0"/>
    <n v="5379692"/>
    <x v="0"/>
    <n v="128467841"/>
    <d v="2023-01-25T00:00:00"/>
    <x v="0"/>
    <x v="0"/>
    <x v="0"/>
    <x v="0"/>
    <x v="0"/>
    <x v="0"/>
    <d v="2022-11-26T00:00:00"/>
    <x v="0"/>
    <x v="0"/>
    <x v="0"/>
    <x v="0"/>
    <x v="0"/>
    <x v="3"/>
    <n v="615.69411375661377"/>
    <n v="148.24988977072312"/>
    <n v="0"/>
    <s v=""/>
    <x v="0"/>
  </r>
  <r>
    <n v="43"/>
    <m/>
    <s v="KAPE-IB-135431-25-01-2021"/>
    <d v="2021-01-25T00:00:00"/>
    <x v="0"/>
    <x v="0"/>
    <n v="96000"/>
    <x v="0"/>
    <x v="0"/>
    <n v="3505.1089999999999"/>
    <s v="0.47 "/>
    <n v="0"/>
    <n v="0"/>
    <x v="12"/>
    <s v="NISKOZ COTEKS-AT 75 (MODIFIED MAIZE STARCH)"/>
    <n v="7408031"/>
    <x v="0"/>
    <n v="3200862"/>
    <x v="0"/>
    <n v="128467834"/>
    <d v="2023-01-25T00:00:00"/>
    <x v="0"/>
    <x v="0"/>
    <x v="0"/>
    <x v="0"/>
    <x v="0"/>
    <x v="0"/>
    <d v="2022-11-26T00:00:00"/>
    <x v="0"/>
    <x v="0"/>
    <x v="0"/>
    <x v="0"/>
    <x v="0"/>
    <x v="5"/>
    <n v="77.166989583333333"/>
    <n v="33.342312499999998"/>
    <n v="0"/>
    <s v=""/>
    <x v="0"/>
  </r>
  <r>
    <n v="44"/>
    <m/>
    <s v="KAPW-IB-110623-27-01-2021"/>
    <d v="2021-01-27T00:00:00"/>
    <x v="0"/>
    <x v="0"/>
    <n v="1221"/>
    <x v="0"/>
    <x v="0"/>
    <n v="5407.52"/>
    <n v="7.83"/>
    <n v="0"/>
    <n v="0"/>
    <x v="2"/>
    <s v="78%  17%  5%  POLYESTER VISCOSE SPANDEX, 32S+40DSP 150D+40DSP, 119X76, 190GSM 78%PES+17%VISCOSE+5%SPANDEX WIDTH: 148CM GREY"/>
    <n v="1572204"/>
    <x v="0"/>
    <n v="582930"/>
    <x v="0"/>
    <n v="128467864"/>
    <d v="2023-01-27T00:00:00"/>
    <x v="0"/>
    <x v="0"/>
    <x v="0"/>
    <x v="0"/>
    <x v="0"/>
    <x v="0"/>
    <d v="2022-11-28T00:00:00"/>
    <x v="0"/>
    <x v="0"/>
    <x v="0"/>
    <x v="0"/>
    <x v="0"/>
    <x v="2"/>
    <n v="1287.6363636363637"/>
    <n v="477.42014742014743"/>
    <n v="0"/>
    <s v=""/>
    <x v="0"/>
  </r>
  <r>
    <n v="45"/>
    <m/>
    <s v="KAPW-IB-110628-27-01-2021"/>
    <d v="2021-01-27T00:00:00"/>
    <x v="0"/>
    <x v="0"/>
    <n v="1221"/>
    <x v="0"/>
    <x v="0"/>
    <n v="5407.52"/>
    <s v="7.83 "/>
    <n v="0"/>
    <n v="0"/>
    <x v="2"/>
    <s v="78%   17%  5%    POLYESTER VISCOSE SPANDEX, 32S+40DSP 150D+40DSP, 119X76, 190GSM 78%PES+17%VISCOSE+5%SPANDEX WIDTH: 148CM BLACK/ NAVY BLUE"/>
    <n v="1572204"/>
    <x v="0"/>
    <n v="582930"/>
    <x v="0"/>
    <n v="128467863"/>
    <d v="2023-01-27T00:00:00"/>
    <x v="0"/>
    <x v="0"/>
    <x v="0"/>
    <x v="0"/>
    <x v="0"/>
    <x v="0"/>
    <d v="2022-11-28T00:00:00"/>
    <x v="0"/>
    <x v="0"/>
    <x v="0"/>
    <x v="0"/>
    <x v="0"/>
    <x v="2"/>
    <n v="1287.6363636363637"/>
    <n v="477.42014742014743"/>
    <n v="0"/>
    <s v=""/>
    <x v="0"/>
  </r>
  <r>
    <n v="46"/>
    <m/>
    <s v="KAPE-IB-137723-27-01-2021"/>
    <d v="2021-01-27T00:00:00"/>
    <x v="0"/>
    <x v="0"/>
    <n v="24480"/>
    <x v="0"/>
    <x v="0"/>
    <n v="5402.33"/>
    <s v="1.16 "/>
    <n v="0"/>
    <n v="0"/>
    <x v="6"/>
    <s v="100% POLYESTER YARN (DTY 100D/48F) (THE GOODS ARE RELEASE UNDER EXPORT ORIENTED"/>
    <n v="4671022"/>
    <x v="0"/>
    <n v="1986058"/>
    <x v="0"/>
    <n v="128467851"/>
    <d v="2023-01-27T00:00:00"/>
    <x v="0"/>
    <x v="0"/>
    <x v="0"/>
    <x v="0"/>
    <x v="0"/>
    <x v="0"/>
    <d v="2022-11-28T00:00:00"/>
    <x v="0"/>
    <x v="0"/>
    <x v="0"/>
    <x v="0"/>
    <x v="0"/>
    <x v="3"/>
    <n v="190.80972222222223"/>
    <n v="81.129820261437914"/>
    <n v="0"/>
    <s v=""/>
    <x v="0"/>
  </r>
  <r>
    <n v="47"/>
    <m/>
    <s v="KAPW-IB-111125-28-01-2021"/>
    <d v="2021-01-28T00:00:00"/>
    <x v="0"/>
    <x v="0"/>
    <n v="24360"/>
    <x v="0"/>
    <x v="0"/>
    <n v="5402.33"/>
    <s v="1.26 "/>
    <n v="0"/>
    <n v="0"/>
    <x v="6"/>
    <s v="100% POLYESTER YARN DTY 100D/48F SD RW HIM AA GRADE"/>
    <n v="5039432"/>
    <x v="0"/>
    <n v="1925502"/>
    <x v="0"/>
    <n v="128467871"/>
    <d v="2023-01-28T00:00:00"/>
    <x v="0"/>
    <x v="0"/>
    <x v="0"/>
    <x v="0"/>
    <x v="0"/>
    <x v="0"/>
    <d v="2022-11-29T00:00:00"/>
    <x v="0"/>
    <x v="0"/>
    <x v="0"/>
    <x v="0"/>
    <x v="0"/>
    <x v="3"/>
    <n v="206.87323481116584"/>
    <n v="79.043596059113298"/>
    <n v="0"/>
    <s v=""/>
    <x v="0"/>
  </r>
  <r>
    <n v="48"/>
    <m/>
    <s v="KAPE-IB-140227-01-02-2021"/>
    <d v="2021-02-01T00:00:00"/>
    <x v="0"/>
    <x v="0"/>
    <n v="18144"/>
    <x v="0"/>
    <x v="0"/>
    <n v="5205.2700000000004"/>
    <s v="3.75 "/>
    <n v="0"/>
    <n v="0"/>
    <x v="10"/>
    <s v="60/1 Cotton Yarn"/>
    <n v="11160743"/>
    <x v="0"/>
    <n v="2687340"/>
    <x v="0"/>
    <n v="128467842"/>
    <d v="2023-02-01T00:00:00"/>
    <x v="0"/>
    <x v="0"/>
    <x v="0"/>
    <x v="0"/>
    <x v="0"/>
    <x v="0"/>
    <d v="2022-12-03T00:00:00"/>
    <x v="0"/>
    <x v="0"/>
    <x v="0"/>
    <x v="0"/>
    <x v="0"/>
    <x v="3"/>
    <n v="615.12031525573195"/>
    <n v="148.11177248677248"/>
    <n v="0"/>
    <s v=""/>
    <x v="0"/>
  </r>
  <r>
    <n v="49"/>
    <m/>
    <s v="KAPE-IB-140293-01-02-2021"/>
    <d v="2021-02-01T00:00:00"/>
    <x v="0"/>
    <x v="0"/>
    <n v="18144"/>
    <x v="0"/>
    <x v="0"/>
    <n v="5205.2700000000004"/>
    <s v="3.75 "/>
    <n v="0"/>
    <n v="0"/>
    <x v="10"/>
    <s v="60/1 Cotton Yarn"/>
    <n v="11160743"/>
    <x v="0"/>
    <n v="2687340"/>
    <x v="0"/>
    <n v="128467857"/>
    <d v="2023-02-01T00:00:00"/>
    <x v="0"/>
    <x v="0"/>
    <x v="0"/>
    <x v="0"/>
    <x v="0"/>
    <x v="0"/>
    <d v="2022-12-03T00:00:00"/>
    <x v="0"/>
    <x v="0"/>
    <x v="0"/>
    <x v="0"/>
    <x v="0"/>
    <x v="3"/>
    <n v="615.12031525573195"/>
    <n v="148.11177248677248"/>
    <n v="0"/>
    <s v=""/>
    <x v="0"/>
  </r>
  <r>
    <n v="50"/>
    <m/>
    <s v="KAPE-IB-145700-09-02-2021"/>
    <d v="2021-02-09T00:00:00"/>
    <x v="0"/>
    <x v="0"/>
    <n v="24480"/>
    <x v="0"/>
    <x v="0"/>
    <n v="5402.33"/>
    <s v="1.16 "/>
    <n v="0"/>
    <n v="0"/>
    <x v="6"/>
    <s v="100% POLYESTER YARN DTY (100D/48F)"/>
    <n v="4646399"/>
    <x v="0"/>
    <n v="1975589"/>
    <x v="0"/>
    <n v="128467885"/>
    <d v="2023-02-09T00:00:00"/>
    <x v="0"/>
    <x v="0"/>
    <x v="0"/>
    <x v="0"/>
    <x v="0"/>
    <x v="0"/>
    <d v="2022-12-11T00:00:00"/>
    <x v="0"/>
    <x v="0"/>
    <x v="0"/>
    <x v="0"/>
    <x v="0"/>
    <x v="3"/>
    <n v="189.80388071895425"/>
    <n v="80.702165032679744"/>
    <n v="0"/>
    <s v=""/>
    <x v="0"/>
  </r>
  <r>
    <n v="51"/>
    <m/>
    <s v="KAPW-IB-119465-15-02-2021"/>
    <d v="2021-02-15T00:00:00"/>
    <x v="0"/>
    <x v="0"/>
    <n v="24360"/>
    <x v="0"/>
    <x v="0"/>
    <n v="5402.33"/>
    <s v="1.26 "/>
    <n v="0"/>
    <n v="0"/>
    <x v="6"/>
    <s v="100% POLYESTER YARN (DTY 100D/48F SD RW HIM AA GRADE)"/>
    <n v="5000293"/>
    <x v="0"/>
    <n v="1910547"/>
    <x v="0"/>
    <n v="128467902"/>
    <d v="2023-02-15T00:00:00"/>
    <x v="0"/>
    <x v="0"/>
    <x v="0"/>
    <x v="0"/>
    <x v="0"/>
    <x v="0"/>
    <d v="2022-12-17T00:00:00"/>
    <x v="0"/>
    <x v="0"/>
    <x v="0"/>
    <x v="0"/>
    <x v="0"/>
    <x v="3"/>
    <n v="205.26654351395732"/>
    <n v="78.429679802955661"/>
    <n v="0"/>
    <s v=""/>
    <x v="0"/>
  </r>
  <r>
    <n v="52"/>
    <m/>
    <s v="KAPE-IB-149518-15-02-2021"/>
    <d v="2021-02-15T00:00:00"/>
    <x v="0"/>
    <x v="0"/>
    <n v="18144"/>
    <x v="0"/>
    <x v="0"/>
    <n v="5205.2700000000004"/>
    <n v="3.75"/>
    <n v="0"/>
    <n v="0"/>
    <x v="10"/>
    <s v="60/1 Cotton Yarn"/>
    <n v="11084394"/>
    <x v="0"/>
    <n v="2668956"/>
    <x v="0"/>
    <n v="128467888"/>
    <d v="2023-02-15T00:00:00"/>
    <x v="0"/>
    <x v="0"/>
    <x v="0"/>
    <x v="0"/>
    <x v="0"/>
    <x v="0"/>
    <d v="2022-12-17T00:00:00"/>
    <x v="0"/>
    <x v="0"/>
    <x v="0"/>
    <x v="0"/>
    <x v="0"/>
    <x v="3"/>
    <n v="610.91236772486775"/>
    <n v="147.09854497354496"/>
    <n v="0"/>
    <s v=""/>
    <x v="0"/>
  </r>
  <r>
    <n v="53"/>
    <m/>
    <s v="KAPE-IB-155031-23-02-2021"/>
    <d v="2021-02-23T00:00:00"/>
    <x v="0"/>
    <x v="0"/>
    <n v="19980.599999999999"/>
    <x v="0"/>
    <x v="0"/>
    <n v="5205.12"/>
    <n v="1.9"/>
    <n v="0"/>
    <n v="0"/>
    <x v="10"/>
    <s v="16/1 Cotton Yarn"/>
    <n v="6182638"/>
    <x v="0"/>
    <n v="1488687"/>
    <x v="0"/>
    <m/>
    <d v="2023-02-23T00:00:00"/>
    <x v="0"/>
    <x v="0"/>
    <x v="0"/>
    <x v="0"/>
    <x v="0"/>
    <x v="0"/>
    <d v="2022-12-25T00:00:00"/>
    <x v="0"/>
    <x v="1"/>
    <x v="0"/>
    <x v="0"/>
    <x v="0"/>
    <x v="3"/>
    <n v="309.43204908761498"/>
    <n v="74.5066214227801"/>
    <n v="0"/>
    <s v=""/>
    <x v="0"/>
  </r>
  <r>
    <n v="54"/>
    <m/>
    <s v="KAPE-IB-156689-25-02-2021"/>
    <d v="2021-02-25T00:00:00"/>
    <x v="0"/>
    <x v="0"/>
    <n v="24360"/>
    <x v="0"/>
    <x v="0"/>
    <n v="5402.33"/>
    <s v="1.26 "/>
    <n v="0"/>
    <n v="0"/>
    <x v="6"/>
    <s v="100% POLYESTER YARN (DTY 100D/48F SD RW HIM AA GRADE"/>
    <n v="4990900"/>
    <x v="0"/>
    <n v="1906958"/>
    <x v="0"/>
    <n v="128467922"/>
    <d v="2023-02-25T00:00:00"/>
    <x v="0"/>
    <x v="0"/>
    <x v="0"/>
    <x v="0"/>
    <x v="0"/>
    <x v="0"/>
    <d v="2022-12-27T00:00:00"/>
    <x v="0"/>
    <x v="0"/>
    <x v="0"/>
    <x v="0"/>
    <x v="0"/>
    <x v="3"/>
    <n v="204.88095238095238"/>
    <n v="78.28234811165845"/>
    <n v="0"/>
    <s v=""/>
    <x v="0"/>
  </r>
  <r>
    <n v="55"/>
    <m/>
    <s v="KPPI-IB-65622-26-02-2021"/>
    <d v="2021-02-26T00:00:00"/>
    <x v="1"/>
    <x v="0"/>
    <n v="6780"/>
    <x v="0"/>
    <x v="0"/>
    <n v="4809.8999999999996"/>
    <s v="2.35 "/>
    <n v="0"/>
    <n v="0"/>
    <x v="9"/>
    <s v="SUBLIMATION PAPER , "/>
    <n v="3160833"/>
    <x v="0"/>
    <n v="1521057"/>
    <x v="0"/>
    <n v="128473427"/>
    <d v="2023-02-26T00:00:00"/>
    <x v="0"/>
    <x v="0"/>
    <x v="0"/>
    <x v="0"/>
    <x v="0"/>
    <x v="0"/>
    <d v="2022-12-28T00:00:00"/>
    <x v="0"/>
    <x v="0"/>
    <x v="0"/>
    <x v="0"/>
    <x v="0"/>
    <x v="6"/>
    <n v="466.19955752212388"/>
    <n v="224.34469026548672"/>
    <n v="0"/>
    <s v=""/>
    <x v="0"/>
  </r>
  <r>
    <n v="56"/>
    <m/>
    <s v="KAPE-IB-160101-02-03-2021"/>
    <d v="2021-03-02T00:00:00"/>
    <x v="0"/>
    <x v="0"/>
    <n v="24360"/>
    <x v="0"/>
    <x v="0"/>
    <n v="5402.33"/>
    <n v="1.26"/>
    <n v="0"/>
    <n v="0"/>
    <x v="6"/>
    <s v="100% POLYESTER YARN (DTY 100D/48F SD"/>
    <n v="4965852"/>
    <x v="0"/>
    <n v="1897388"/>
    <x v="0"/>
    <n v="128473434"/>
    <d v="2023-03-02T00:00:00"/>
    <x v="0"/>
    <x v="0"/>
    <x v="0"/>
    <x v="0"/>
    <x v="0"/>
    <x v="0"/>
    <d v="2023-01-01T00:00:00"/>
    <x v="0"/>
    <x v="0"/>
    <x v="0"/>
    <x v="0"/>
    <x v="0"/>
    <x v="3"/>
    <n v="203.85270935960591"/>
    <n v="77.889490968801312"/>
    <n v="0"/>
    <s v=""/>
    <x v="0"/>
  </r>
  <r>
    <n v="57"/>
    <m/>
    <s v="KAPE-IB-170657-16-03-2021"/>
    <d v="2021-03-16T00:00:00"/>
    <x v="0"/>
    <x v="0"/>
    <n v="22320"/>
    <x v="0"/>
    <x v="0"/>
    <n v="5402.33"/>
    <n v="1.25"/>
    <n v="0"/>
    <n v="0"/>
    <x v="6"/>
    <s v="100% POLYESTER YARN (DTY 100D/48F)"/>
    <n v="4485421"/>
    <x v="0"/>
    <n v="1907142"/>
    <x v="0"/>
    <n v="128473433"/>
    <d v="2023-03-16T00:00:00"/>
    <x v="0"/>
    <x v="0"/>
    <x v="0"/>
    <x v="0"/>
    <x v="0"/>
    <x v="0"/>
    <d v="2023-01-15T00:00:00"/>
    <x v="0"/>
    <x v="0"/>
    <x v="0"/>
    <x v="0"/>
    <x v="0"/>
    <x v="3"/>
    <n v="200.95972222222221"/>
    <n v="85.445430107526889"/>
    <n v="0"/>
    <s v=""/>
    <x v="0"/>
  </r>
  <r>
    <n v="58"/>
    <m/>
    <s v="KAPE-IB-170650-16-03-2021"/>
    <d v="2021-03-16T00:00:00"/>
    <x v="0"/>
    <x v="0"/>
    <n v="24360"/>
    <x v="0"/>
    <x v="0"/>
    <n v="5402.33"/>
    <s v="1.26 "/>
    <n v="0"/>
    <n v="0"/>
    <x v="6"/>
    <s v="100% POLYESTER YARN (DTY 100D/48F SD RW HIM AA GRADE"/>
    <n v="4934541"/>
    <x v="0"/>
    <n v="1885425"/>
    <x v="0"/>
    <n v="128473447"/>
    <d v="2023-03-16T00:00:00"/>
    <x v="0"/>
    <x v="0"/>
    <x v="0"/>
    <x v="0"/>
    <x v="0"/>
    <x v="0"/>
    <d v="2023-01-15T00:00:00"/>
    <x v="0"/>
    <x v="0"/>
    <x v="0"/>
    <x v="0"/>
    <x v="0"/>
    <x v="3"/>
    <n v="202.5673645320197"/>
    <n v="77.39839901477832"/>
    <n v="0"/>
    <s v=""/>
    <x v="0"/>
  </r>
  <r>
    <n v="59"/>
    <m/>
    <s v="KAPE-IB-174237-20-03-2021"/>
    <d v="2021-03-20T00:00:00"/>
    <x v="0"/>
    <x v="0"/>
    <n v="24360"/>
    <x v="0"/>
    <x v="0"/>
    <n v="5402.33"/>
    <n v="1.26"/>
    <n v="0"/>
    <n v="0"/>
    <x v="6"/>
    <s v="100% POLYESTER YARN (DTY 100D/48"/>
    <n v="4884444"/>
    <x v="0"/>
    <n v="1866283"/>
    <x v="0"/>
    <n v="128473459"/>
    <d v="2023-03-20T00:00:00"/>
    <x v="0"/>
    <x v="0"/>
    <x v="0"/>
    <x v="0"/>
    <x v="0"/>
    <x v="0"/>
    <d v="2023-01-19T00:00:00"/>
    <x v="0"/>
    <x v="0"/>
    <x v="0"/>
    <x v="0"/>
    <x v="0"/>
    <x v="3"/>
    <n v="200.51083743842364"/>
    <n v="76.6126026272578"/>
    <n v="0"/>
    <s v=""/>
    <x v="0"/>
  </r>
  <r>
    <n v="60"/>
    <m/>
    <s v="KPAF-IB-46150-25-03-2021"/>
    <d v="2021-03-25T00:00:00"/>
    <x v="0"/>
    <x v="0"/>
    <n v="384"/>
    <x v="0"/>
    <x v="0"/>
    <n v="5402.33"/>
    <n v="7.98"/>
    <n v="0"/>
    <n v="0"/>
    <x v="13"/>
    <s v="POLYESTER FILAMENT YARN TSS DT 150D/72F"/>
    <n v="431398.2"/>
    <x v="0"/>
    <n v="183426.45"/>
    <x v="0"/>
    <m/>
    <d v="2023-03-25T00:00:00"/>
    <x v="0"/>
    <x v="0"/>
    <x v="0"/>
    <x v="0"/>
    <x v="0"/>
    <x v="0"/>
    <d v="2023-01-24T00:00:00"/>
    <x v="0"/>
    <x v="1"/>
    <x v="0"/>
    <x v="0"/>
    <x v="0"/>
    <x v="3"/>
    <n v="1123.4328125"/>
    <n v="477.67304687500001"/>
    <n v="0"/>
    <s v=""/>
    <x v="0"/>
  </r>
  <r>
    <n v="61"/>
    <m/>
    <s v="KAPE-IB-177669-26-03-2021"/>
    <d v="2021-03-26T00:00:00"/>
    <x v="0"/>
    <x v="0"/>
    <n v="13567.09"/>
    <x v="0"/>
    <x v="0"/>
    <s v="5402.3300 + 5210.1900"/>
    <m/>
    <n v="0"/>
    <n v="0"/>
    <x v="6"/>
    <s v="FINISHED WOVEN FABRIC FOR CUPRON MEDIC  (YARN +FABRIC ) BUT REANING YARN "/>
    <n v="7405578"/>
    <x v="0"/>
    <n v="2655979"/>
    <x v="0"/>
    <n v="128473484"/>
    <d v="2023-03-26T00:00:00"/>
    <x v="0"/>
    <x v="0"/>
    <x v="0"/>
    <x v="0"/>
    <x v="0"/>
    <x v="0"/>
    <d v="2023-01-25T00:00:00"/>
    <x v="0"/>
    <x v="0"/>
    <x v="0"/>
    <x v="0"/>
    <x v="0"/>
    <x v="3"/>
    <n v="545.84866762142804"/>
    <n v="195.76629918427608"/>
    <n v="0"/>
    <s v=""/>
    <x v="0"/>
  </r>
  <r>
    <n v="62"/>
    <m/>
    <s v="KAPE-IB-178558-29-03-2021"/>
    <d v="2021-03-29T00:00:00"/>
    <x v="0"/>
    <x v="0"/>
    <n v="36235"/>
    <x v="0"/>
    <x v="0"/>
    <n v="5205.2700000000004"/>
    <n v="5.15"/>
    <n v="0"/>
    <n v="0"/>
    <x v="10"/>
    <s v="60/1 Cotton Yarn"/>
    <n v="29601219"/>
    <x v="0"/>
    <n v="7127530"/>
    <x v="0"/>
    <n v="128473473"/>
    <d v="2023-03-29T00:00:00"/>
    <x v="0"/>
    <x v="0"/>
    <x v="0"/>
    <x v="0"/>
    <x v="0"/>
    <x v="0"/>
    <d v="2023-01-28T00:00:00"/>
    <x v="0"/>
    <x v="0"/>
    <x v="0"/>
    <x v="0"/>
    <x v="0"/>
    <x v="3"/>
    <n v="816.923388988547"/>
    <n v="196.70291154960674"/>
    <n v="0"/>
    <s v=""/>
    <x v="0"/>
  </r>
  <r>
    <n v="63"/>
    <m/>
    <s v="KAPW-IB-143645-30-03-2021"/>
    <d v="2021-03-30T00:00:00"/>
    <x v="0"/>
    <x v="0"/>
    <n v="19192.43"/>
    <x v="0"/>
    <x v="0"/>
    <n v="5208.1899999999996"/>
    <n v="2.0114000000000001"/>
    <n v="0"/>
    <n v="0"/>
    <x v="14"/>
    <s v="100% COTTON GREY CLOTH ,167 GR/M2 NE 20/1X NE 8/1 40X39 PER INCH WIDTH:305CM (37782.75/MTRS) "/>
    <n v="6107798.9232000001"/>
    <x v="0"/>
    <n v="2553360.8871999998"/>
    <x v="0"/>
    <m/>
    <d v="2023-03-30T00:00:00"/>
    <x v="0"/>
    <x v="0"/>
    <x v="0"/>
    <x v="0"/>
    <x v="0"/>
    <x v="0"/>
    <d v="2023-01-29T00:00:00"/>
    <x v="0"/>
    <x v="1"/>
    <x v="0"/>
    <x v="0"/>
    <x v="0"/>
    <x v="2"/>
    <n v="318.24"/>
    <n v="133.04"/>
    <n v="0"/>
    <s v=""/>
    <x v="0"/>
  </r>
  <r>
    <n v="64"/>
    <m/>
    <s v="KAPW-IB-143635-30-03-2021"/>
    <d v="2021-03-30T00:00:00"/>
    <x v="0"/>
    <x v="0"/>
    <n v="58097.33"/>
    <x v="0"/>
    <x v="0"/>
    <n v="5208.1899999999996"/>
    <n v="1.98"/>
    <n v="0"/>
    <n v="0"/>
    <x v="14"/>
    <s v="100% COTTON GREY CLOTH ,167 GR/M2,NE 20/1 XNE8/1, 40X39 PER INCH WIDTH:305CM (112432.82/MTRS)"/>
    <n v="3233116.4145"/>
    <x v="0"/>
    <n v="1351343.8958000001"/>
    <x v="0"/>
    <m/>
    <d v="2023-03-30T00:00:00"/>
    <x v="0"/>
    <x v="0"/>
    <x v="0"/>
    <x v="0"/>
    <x v="0"/>
    <x v="0"/>
    <d v="2023-01-29T00:00:00"/>
    <x v="0"/>
    <x v="1"/>
    <x v="0"/>
    <x v="0"/>
    <x v="0"/>
    <x v="2"/>
    <n v="55.65"/>
    <n v="23.26"/>
    <n v="0"/>
    <s v=""/>
    <x v="0"/>
  </r>
  <r>
    <n v="65"/>
    <m/>
    <s v="KAPE-IB-180346-31-03-2021"/>
    <d v="2021-03-31T00:00:00"/>
    <x v="0"/>
    <x v="0"/>
    <n v="24480"/>
    <x v="0"/>
    <x v="0"/>
    <n v="5402.33"/>
    <s v="1.25 "/>
    <n v="0"/>
    <n v="0"/>
    <x v="6"/>
    <s v="100% POLYESTER YARN (DTY 100D/48F"/>
    <n v="4841456"/>
    <x v="0"/>
    <n v="2058524"/>
    <x v="0"/>
    <n v="128473490"/>
    <d v="2023-03-31T00:00:00"/>
    <x v="0"/>
    <x v="0"/>
    <x v="0"/>
    <x v="0"/>
    <x v="0"/>
    <x v="0"/>
    <d v="2023-01-30T00:00:00"/>
    <x v="0"/>
    <x v="0"/>
    <x v="0"/>
    <x v="0"/>
    <x v="0"/>
    <x v="3"/>
    <n v="197.7718954248366"/>
    <n v="84.090032679738556"/>
    <n v="0"/>
    <s v=""/>
    <x v="0"/>
  </r>
  <r>
    <n v="66"/>
    <m/>
    <s v="KAPE-IB-180339-31-03-2021"/>
    <d v="2021-03-31T00:00:00"/>
    <x v="0"/>
    <x v="0"/>
    <n v="24360"/>
    <x v="0"/>
    <x v="0"/>
    <n v="5402.33"/>
    <n v="1.26"/>
    <n v="0"/>
    <n v="0"/>
    <x v="6"/>
    <s v="100% POLYESTER YARN (DTY 100D/48F"/>
    <n v="4856265"/>
    <x v="0"/>
    <n v="2064820"/>
    <x v="0"/>
    <n v="128473512"/>
    <d v="2023-03-31T00:00:00"/>
    <x v="0"/>
    <x v="0"/>
    <x v="0"/>
    <x v="0"/>
    <x v="0"/>
    <x v="0"/>
    <d v="2023-01-30T00:00:00"/>
    <x v="0"/>
    <x v="0"/>
    <x v="0"/>
    <x v="0"/>
    <x v="0"/>
    <x v="3"/>
    <n v="199.35406403940885"/>
    <n v="84.762725779967155"/>
    <n v="0"/>
    <s v=""/>
    <x v="0"/>
  </r>
  <r>
    <n v="67"/>
    <m/>
    <s v="KAPW-IB-151007-12-04-2021"/>
    <d v="2021-04-12T00:00:00"/>
    <x v="0"/>
    <x v="0"/>
    <n v="3072"/>
    <x v="0"/>
    <x v="0"/>
    <n v="5402.33"/>
    <n v="3.76"/>
    <n v="0"/>
    <n v="0"/>
    <x v="13"/>
    <s v="POLYESTER FILAMENT YARN TSS DT 150D/72F"/>
    <n v="1808855.04"/>
    <x v="0"/>
    <n v="769105.92000000004"/>
    <x v="0"/>
    <m/>
    <d v="2023-04-12T00:00:00"/>
    <x v="0"/>
    <x v="0"/>
    <x v="0"/>
    <x v="0"/>
    <x v="0"/>
    <x v="0"/>
    <d v="2023-02-11T00:00:00"/>
    <x v="0"/>
    <x v="1"/>
    <x v="0"/>
    <x v="0"/>
    <x v="0"/>
    <x v="3"/>
    <n v="588.82000000000005"/>
    <n v="250.36"/>
    <n v="0"/>
    <s v=""/>
    <x v="0"/>
  </r>
  <r>
    <n v="68"/>
    <m/>
    <s v="KAPW-IB-159579-28-04-2021"/>
    <d v="2021-04-28T00:00:00"/>
    <x v="0"/>
    <x v="0"/>
    <n v="24120"/>
    <x v="0"/>
    <x v="0"/>
    <n v="5402.33"/>
    <n v="1.56"/>
    <n v="0"/>
    <n v="0"/>
    <x v="6"/>
    <s v="100% VIRGIN POLYESTER YARN (DTY 150D/48F)"/>
    <n v="5936009"/>
    <x v="0"/>
    <n v="2523914"/>
    <x v="0"/>
    <n v="128473562"/>
    <d v="2023-04-28T00:00:00"/>
    <x v="0"/>
    <x v="0"/>
    <x v="0"/>
    <x v="0"/>
    <x v="0"/>
    <x v="0"/>
    <d v="2023-02-27T00:00:00"/>
    <x v="0"/>
    <x v="0"/>
    <x v="0"/>
    <x v="0"/>
    <x v="0"/>
    <x v="3"/>
    <n v="246.10319237147596"/>
    <n v="104.63988391376451"/>
    <n v="0"/>
    <s v=""/>
    <x v="0"/>
  </r>
  <r>
    <n v="69"/>
    <m/>
    <s v="KAPW-IB-160992-30-04-2021"/>
    <d v="2021-04-30T00:00:00"/>
    <x v="0"/>
    <x v="0"/>
    <n v="24120"/>
    <x v="0"/>
    <x v="0"/>
    <n v="5402.33"/>
    <n v="1.5"/>
    <n v="0"/>
    <n v="0"/>
    <x v="6"/>
    <s v="100% VIRGIN POLYESTER YARN (DTY 150D/48F"/>
    <n v="5694784"/>
    <x v="0"/>
    <n v="2421348"/>
    <x v="0"/>
    <n v="128473574"/>
    <d v="2023-04-30T00:00:00"/>
    <x v="0"/>
    <x v="0"/>
    <x v="0"/>
    <x v="0"/>
    <x v="0"/>
    <x v="0"/>
    <d v="2023-03-01T00:00:00"/>
    <x v="0"/>
    <x v="0"/>
    <x v="0"/>
    <x v="0"/>
    <x v="0"/>
    <x v="3"/>
    <n v="236.10215588723051"/>
    <n v="100.38756218905472"/>
    <n v="0"/>
    <s v=""/>
    <x v="0"/>
  </r>
  <r>
    <n v="70"/>
    <m/>
    <s v="KAPE-IB-199413-30-04-2021"/>
    <d v="2021-04-30T00:00:00"/>
    <x v="0"/>
    <x v="0"/>
    <n v="24480"/>
    <x v="0"/>
    <x v="0"/>
    <n v="5402.33"/>
    <n v="1.26"/>
    <n v="0"/>
    <n v="0"/>
    <x v="6"/>
    <s v="100% POLYESTER YARN (DTY 100D/48F)"/>
    <n v="4855016"/>
    <x v="0"/>
    <n v="2064290"/>
    <x v="0"/>
    <n v="128473565"/>
    <d v="2023-04-30T00:00:00"/>
    <x v="0"/>
    <x v="0"/>
    <x v="0"/>
    <x v="0"/>
    <x v="0"/>
    <x v="0"/>
    <d v="2023-03-01T00:00:00"/>
    <x v="0"/>
    <x v="0"/>
    <x v="0"/>
    <x v="0"/>
    <x v="0"/>
    <x v="3"/>
    <n v="198.32581699346406"/>
    <n v="84.325571895424844"/>
    <n v="0"/>
    <s v=""/>
    <x v="0"/>
  </r>
  <r>
    <n v="71"/>
    <m/>
    <s v="KAPW-IB-161000-30-04-2021"/>
    <d v="2021-04-30T00:00:00"/>
    <x v="0"/>
    <x v="0"/>
    <n v="24320"/>
    <x v="0"/>
    <x v="0"/>
    <n v="5402.33"/>
    <n v="1.5"/>
    <n v="0"/>
    <n v="0"/>
    <x v="6"/>
    <s v="100% VIRGIN POLYESTER YARN (DTY 150D/48F)"/>
    <n v="5742004"/>
    <x v="0"/>
    <n v="2441424"/>
    <x v="0"/>
    <n v="128473575"/>
    <d v="2023-04-30T00:00:00"/>
    <x v="0"/>
    <x v="0"/>
    <x v="0"/>
    <x v="0"/>
    <x v="0"/>
    <x v="0"/>
    <d v="2023-03-01T00:00:00"/>
    <x v="0"/>
    <x v="0"/>
    <x v="0"/>
    <x v="0"/>
    <x v="0"/>
    <x v="3"/>
    <n v="236.10213815789473"/>
    <n v="100.3875"/>
    <n v="0"/>
    <s v=""/>
    <x v="0"/>
  </r>
  <r>
    <n v="72"/>
    <m/>
    <s v="KAPE-IB-202859-05-05-2021"/>
    <d v="2021-05-05T00:00:00"/>
    <x v="0"/>
    <x v="0"/>
    <n v="24320"/>
    <x v="0"/>
    <x v="0"/>
    <n v="5402.33"/>
    <n v="1.56"/>
    <n v="0"/>
    <n v="0"/>
    <x v="6"/>
    <s v="100% VIRGIN POLYESTER YARN (DTY 150D/48F)"/>
    <n v="5956204"/>
    <x v="0"/>
    <n v="2532500"/>
    <x v="0"/>
    <n v="128473576"/>
    <d v="2023-05-05T00:00:00"/>
    <x v="0"/>
    <x v="0"/>
    <x v="0"/>
    <x v="0"/>
    <x v="0"/>
    <x v="0"/>
    <d v="2023-03-06T00:00:00"/>
    <x v="0"/>
    <x v="0"/>
    <x v="0"/>
    <x v="0"/>
    <x v="0"/>
    <x v="3"/>
    <n v="244.90970394736843"/>
    <n v="104.13240131578948"/>
    <n v="0"/>
    <s v=""/>
    <x v="0"/>
  </r>
  <r>
    <n v="73"/>
    <m/>
    <s v="KAPE-IB-202929-05-05-2021"/>
    <d v="2021-05-05T00:00:00"/>
    <x v="0"/>
    <x v="0"/>
    <n v="24480"/>
    <x v="0"/>
    <x v="0"/>
    <n v="5402.33"/>
    <n v="1.26"/>
    <n v="0"/>
    <n v="0"/>
    <x v="6"/>
    <s v="100% POLYESTER YARN (DTY 100D/48F)"/>
    <n v="4842430"/>
    <x v="0"/>
    <n v="2058938"/>
    <x v="0"/>
    <n v="128473579"/>
    <d v="2023-05-05T00:00:00"/>
    <x v="0"/>
    <x v="0"/>
    <x v="0"/>
    <x v="0"/>
    <x v="0"/>
    <x v="0"/>
    <d v="2023-03-06T00:00:00"/>
    <x v="0"/>
    <x v="0"/>
    <x v="0"/>
    <x v="0"/>
    <x v="0"/>
    <x v="3"/>
    <n v="197.81168300653596"/>
    <n v="84.106944444444451"/>
    <n v="0"/>
    <s v=""/>
    <x v="0"/>
  </r>
  <r>
    <n v="74"/>
    <m/>
    <s v="KAPW-IB-165977-10-05-2021"/>
    <d v="2021-05-10T00:00:00"/>
    <x v="0"/>
    <x v="0"/>
    <n v="48300"/>
    <x v="0"/>
    <x v="0"/>
    <n v="5402.33"/>
    <n v="1.63"/>
    <n v="0"/>
    <n v="0"/>
    <x v="6"/>
    <s v="100% VIRGIN POLYESTER YARN (DTY 100D/48F) "/>
    <n v="12295683"/>
    <x v="0"/>
    <n v="5227964"/>
    <x v="0"/>
    <n v="128473600"/>
    <d v="2023-05-10T00:00:00"/>
    <x v="0"/>
    <x v="0"/>
    <x v="0"/>
    <x v="0"/>
    <x v="0"/>
    <x v="0"/>
    <d v="2023-03-11T00:00:00"/>
    <x v="0"/>
    <x v="0"/>
    <x v="0"/>
    <x v="0"/>
    <x v="0"/>
    <x v="3"/>
    <n v="254.56900621118012"/>
    <n v="108.23942028985508"/>
    <n v="0"/>
    <s v=""/>
    <x v="0"/>
  </r>
  <r>
    <n v="75"/>
    <m/>
    <s v="KAPE-IB-206931-11-05-2021"/>
    <d v="2021-05-11T00:00:00"/>
    <x v="0"/>
    <x v="0"/>
    <n v="24480"/>
    <x v="0"/>
    <x v="0"/>
    <n v="5402.33"/>
    <n v="1.26"/>
    <n v="0"/>
    <n v="0"/>
    <x v="6"/>
    <s v="100% POLYESTER YARN (DTY 100D/48F) "/>
    <n v="4817174.4000000004"/>
    <x v="0"/>
    <n v="2048241.6"/>
    <x v="0"/>
    <m/>
    <d v="2023-05-11T00:00:00"/>
    <x v="0"/>
    <x v="0"/>
    <x v="0"/>
    <x v="0"/>
    <x v="0"/>
    <x v="0"/>
    <d v="2023-03-12T00:00:00"/>
    <x v="0"/>
    <x v="0"/>
    <x v="0"/>
    <x v="0"/>
    <x v="0"/>
    <x v="3"/>
    <n v="196.78"/>
    <n v="83.67"/>
    <n v="0"/>
    <s v=""/>
    <x v="0"/>
  </r>
  <r>
    <n v="76"/>
    <m/>
    <s v="KAPW-IB-167110-17-05-2021"/>
    <d v="2021-05-17T00:00:00"/>
    <x v="0"/>
    <x v="0"/>
    <n v="96000"/>
    <x v="0"/>
    <x v="0"/>
    <n v="2847"/>
    <n v="0.46"/>
    <n v="0"/>
    <n v="0"/>
    <x v="12"/>
    <s v="HYDROGEN PER OXIDE 50%"/>
    <n v="6896790"/>
    <x v="0"/>
    <n v="2149640"/>
    <x v="0"/>
    <n v="128473596"/>
    <d v="2023-05-17T00:00:00"/>
    <x v="0"/>
    <x v="0"/>
    <x v="0"/>
    <x v="0"/>
    <x v="0"/>
    <x v="0"/>
    <d v="2023-03-18T00:00:00"/>
    <x v="0"/>
    <x v="0"/>
    <x v="0"/>
    <x v="0"/>
    <x v="0"/>
    <x v="5"/>
    <n v="71.841562499999995"/>
    <n v="22.392083333333332"/>
    <n v="0"/>
    <s v=""/>
    <x v="0"/>
  </r>
  <r>
    <n v="77"/>
    <m/>
    <s v="KAPE-IB-212309-20-05-2021"/>
    <d v="2021-05-20T00:00:00"/>
    <x v="0"/>
    <x v="0"/>
    <n v="24120"/>
    <x v="0"/>
    <x v="0"/>
    <n v="5402.33"/>
    <n v="1.5"/>
    <n v="0"/>
    <n v="0"/>
    <x v="6"/>
    <s v="100% VIRGIN POLYESTER YARN (DTY 150D/48F"/>
    <n v="5659758"/>
    <x v="0"/>
    <n v="2406452.4"/>
    <x v="0"/>
    <m/>
    <d v="2023-05-20T00:00:00"/>
    <x v="0"/>
    <x v="0"/>
    <x v="0"/>
    <x v="0"/>
    <x v="0"/>
    <x v="0"/>
    <d v="2023-03-21T00:00:00"/>
    <x v="0"/>
    <x v="0"/>
    <x v="0"/>
    <x v="0"/>
    <x v="0"/>
    <x v="3"/>
    <n v="234.65"/>
    <n v="99.77"/>
    <n v="0"/>
    <s v=""/>
    <x v="0"/>
  </r>
  <r>
    <n v="78"/>
    <m/>
    <s v="KAPE-IB-214158-21-05-2021"/>
    <d v="2021-05-21T00:00:00"/>
    <x v="0"/>
    <x v="0"/>
    <n v="857"/>
    <x v="0"/>
    <x v="0"/>
    <n v="5407.52"/>
    <n v="8.4700000000000006"/>
    <n v="0"/>
    <n v="0"/>
    <x v="11"/>
    <s v="100% POLYESTER 190T TAFFETA FABRIC W/R + PU COATING, "/>
    <n v="1138673"/>
    <x v="0"/>
    <n v="422188"/>
    <x v="0"/>
    <n v="128473618"/>
    <d v="2023-05-21T00:00:00"/>
    <x v="0"/>
    <x v="0"/>
    <x v="0"/>
    <x v="0"/>
    <x v="0"/>
    <x v="0"/>
    <d v="2023-03-22T00:00:00"/>
    <x v="0"/>
    <x v="0"/>
    <x v="0"/>
    <x v="0"/>
    <x v="0"/>
    <x v="2"/>
    <n v="1328.6732788798133"/>
    <n v="492.63477246207702"/>
    <n v="0"/>
    <s v=""/>
    <x v="0"/>
  </r>
  <r>
    <n v="79"/>
    <m/>
    <s v="KAPE-IB-215171-24-05-2021"/>
    <d v="2021-05-24T00:00:00"/>
    <x v="0"/>
    <x v="0"/>
    <n v="11000"/>
    <x v="0"/>
    <x v="0"/>
    <n v="5407.52"/>
    <n v="5.38"/>
    <n v="0"/>
    <n v="0"/>
    <x v="11"/>
    <s v=" 100% POLYESTER MICROFIBER FABRIC 90,82GSM"/>
    <n v="9296997"/>
    <x v="0"/>
    <n v="3447067"/>
    <x v="0"/>
    <n v="128473607"/>
    <d v="2023-05-24T00:00:00"/>
    <x v="0"/>
    <x v="0"/>
    <x v="0"/>
    <x v="0"/>
    <x v="0"/>
    <x v="0"/>
    <d v="2023-03-25T00:00:00"/>
    <x v="0"/>
    <x v="0"/>
    <x v="0"/>
    <x v="0"/>
    <x v="0"/>
    <x v="2"/>
    <n v="845.18154545454547"/>
    <n v="313.36972727272729"/>
    <n v="0"/>
    <s v=""/>
    <x v="0"/>
  </r>
  <r>
    <n v="80"/>
    <m/>
    <s v="KAPW-IB-172242-24-05-2021"/>
    <d v="2021-05-24T00:00:00"/>
    <x v="1"/>
    <x v="0"/>
    <n v="36778.980000000003"/>
    <x v="0"/>
    <x v="0"/>
    <n v="4810.29"/>
    <n v="0.92"/>
    <n v="0"/>
    <n v="0"/>
    <x v="9"/>
    <s v="2/S COATED ART BOARD "/>
    <n v="5313857"/>
    <x v="0"/>
    <n v="2296011"/>
    <x v="0"/>
    <n v="128473620"/>
    <d v="2023-05-24T00:00:00"/>
    <x v="0"/>
    <x v="0"/>
    <x v="0"/>
    <x v="0"/>
    <x v="0"/>
    <x v="0"/>
    <d v="2023-03-25T00:00:00"/>
    <x v="0"/>
    <x v="0"/>
    <x v="0"/>
    <x v="0"/>
    <x v="0"/>
    <x v="6"/>
    <n v="144.48081485674697"/>
    <n v="62.427261441181884"/>
    <n v="0"/>
    <s v=""/>
    <x v="0"/>
  </r>
  <r>
    <n v="81"/>
    <m/>
    <s v="KAPW-IB-172685-25-05-2021"/>
    <d v="2021-05-25T00:00:00"/>
    <x v="1"/>
    <x v="0"/>
    <n v="3766"/>
    <x v="0"/>
    <x v="0"/>
    <n v="5807.1019999999999"/>
    <n v="3.58"/>
    <n v="0"/>
    <n v="0"/>
    <x v="9"/>
    <s v="RIBBONS WD206, WOVEN EDGE "/>
    <n v="2117102"/>
    <x v="0"/>
    <n v="885033"/>
    <x v="0"/>
    <n v="128473624"/>
    <d v="2023-05-25T00:00:00"/>
    <x v="0"/>
    <x v="0"/>
    <x v="0"/>
    <x v="0"/>
    <x v="0"/>
    <x v="0"/>
    <d v="2023-03-26T00:00:00"/>
    <x v="0"/>
    <x v="0"/>
    <x v="0"/>
    <x v="0"/>
    <x v="0"/>
    <x v="6"/>
    <n v="562.16197557089754"/>
    <n v="235.006107275624"/>
    <n v="0"/>
    <s v=""/>
    <x v="0"/>
  </r>
  <r>
    <n v="82"/>
    <m/>
    <s v="KAPE-IB-216515-25-05-2021"/>
    <d v="2021-05-25T00:00:00"/>
    <x v="0"/>
    <x v="0"/>
    <n v="48440"/>
    <x v="0"/>
    <x v="0"/>
    <n v="5402.33"/>
    <n v="1.5"/>
    <n v="0"/>
    <n v="0"/>
    <x v="6"/>
    <s v="100% VIRGIN POLYESTER YARN (DTY 150D/48F"/>
    <n v="11407135.6"/>
    <x v="0"/>
    <n v="4850297.2"/>
    <x v="0"/>
    <m/>
    <d v="2023-05-25T00:00:00"/>
    <x v="0"/>
    <x v="0"/>
    <x v="0"/>
    <x v="0"/>
    <x v="0"/>
    <x v="0"/>
    <d v="2023-03-26T00:00:00"/>
    <x v="0"/>
    <x v="0"/>
    <x v="0"/>
    <x v="0"/>
    <x v="0"/>
    <x v="3"/>
    <n v="235.48999999999998"/>
    <n v="100.13000000000001"/>
    <n v="0"/>
    <s v=""/>
    <x v="0"/>
  </r>
  <r>
    <n v="83"/>
    <m/>
    <s v="KAPE-IB-220173-31-05-2021"/>
    <d v="2021-05-31T00:00:00"/>
    <x v="0"/>
    <x v="0"/>
    <n v="21536"/>
    <x v="0"/>
    <x v="0"/>
    <n v="5402.33"/>
    <n v="1.47"/>
    <n v="0"/>
    <n v="0"/>
    <x v="6"/>
    <s v="100% VIRGIN POLYESTER YARN (DTY 150D/48F"/>
    <n v="5016811.2"/>
    <x v="0"/>
    <n v="2133140.7999999998"/>
    <x v="0"/>
    <m/>
    <d v="2023-05-31T00:00:00"/>
    <x v="0"/>
    <x v="0"/>
    <x v="0"/>
    <x v="0"/>
    <x v="0"/>
    <x v="0"/>
    <d v="2023-04-01T00:00:00"/>
    <x v="0"/>
    <x v="0"/>
    <x v="0"/>
    <x v="0"/>
    <x v="0"/>
    <x v="3"/>
    <n v="232.95000000000002"/>
    <n v="99.05"/>
    <n v="0"/>
    <s v=""/>
    <x v="0"/>
  </r>
  <r>
    <n v="84"/>
    <m/>
    <s v="KPAF-IB-60011-09-06-2021"/>
    <d v="2021-06-09T00:00:00"/>
    <x v="0"/>
    <x v="0"/>
    <n v="115.2"/>
    <x v="0"/>
    <x v="0"/>
    <n v="5402.33"/>
    <n v="33.28"/>
    <n v="0"/>
    <n v="0"/>
    <x v="15"/>
    <s v="POLYESTER ELASTOLEFIN YARN"/>
    <n v="609367.67999999993"/>
    <x v="0"/>
    <n v="189932.54399999999"/>
    <x v="0"/>
    <m/>
    <d v="2023-06-09T00:00:00"/>
    <x v="0"/>
    <x v="0"/>
    <x v="0"/>
    <x v="0"/>
    <x v="0"/>
    <x v="0"/>
    <d v="2023-04-10T00:00:00"/>
    <x v="0"/>
    <x v="1"/>
    <x v="0"/>
    <x v="0"/>
    <x v="0"/>
    <x v="3"/>
    <n v="5289.65"/>
    <n v="1648.7199999999998"/>
    <n v="0"/>
    <s v=""/>
    <x v="0"/>
  </r>
  <r>
    <n v="85"/>
    <m/>
    <s v="KAPE-IB-228125-10-06-2021"/>
    <d v="2021-06-10T00:00:00"/>
    <x v="0"/>
    <x v="0"/>
    <n v="97950"/>
    <x v="0"/>
    <x v="0"/>
    <n v="1108.19"/>
    <n v="0.42499999999999999"/>
    <n v="0"/>
    <n v="0"/>
    <x v="12"/>
    <s v="EMSIZE E30 (STARCH) "/>
    <n v="8082376"/>
    <x v="0"/>
    <n v="3106413"/>
    <x v="0"/>
    <n v="128473625"/>
    <d v="2023-06-10T00:00:00"/>
    <x v="0"/>
    <x v="0"/>
    <x v="0"/>
    <x v="0"/>
    <x v="0"/>
    <x v="0"/>
    <d v="2023-04-11T00:00:00"/>
    <x v="0"/>
    <x v="0"/>
    <x v="0"/>
    <x v="0"/>
    <x v="0"/>
    <x v="5"/>
    <n v="82.515324144971927"/>
    <n v="31.714272588055131"/>
    <n v="0"/>
    <s v=""/>
    <x v="0"/>
  </r>
  <r>
    <n v="86"/>
    <m/>
    <s v="KAPE-IB-230508-12-06-2021"/>
    <d v="2021-06-12T00:00:00"/>
    <x v="0"/>
    <x v="0"/>
    <n v="46710"/>
    <x v="0"/>
    <x v="0"/>
    <n v="5402.33"/>
    <s v="1.56 / 1.63"/>
    <n v="0"/>
    <n v="0"/>
    <x v="6"/>
    <s v="100% VIRGIN POLYESTER YARN"/>
    <n v="11885826.6"/>
    <x v="0"/>
    <n v="5053554.8999999994"/>
    <x v="0"/>
    <m/>
    <d v="2023-06-12T00:00:00"/>
    <x v="0"/>
    <x v="0"/>
    <x v="0"/>
    <x v="0"/>
    <x v="0"/>
    <x v="0"/>
    <d v="2023-04-13T00:00:00"/>
    <x v="0"/>
    <x v="1"/>
    <x v="0"/>
    <x v="0"/>
    <x v="0"/>
    <x v="3"/>
    <n v="254.45999999999998"/>
    <n v="108.18999999999998"/>
    <n v="0"/>
    <s v=""/>
    <x v="0"/>
  </r>
  <r>
    <n v="87"/>
    <m/>
    <s v="KAPE-IB-230502-12-06-2021"/>
    <d v="2021-06-12T00:00:00"/>
    <x v="0"/>
    <x v="0"/>
    <n v="23220"/>
    <x v="0"/>
    <x v="0"/>
    <n v="5402.33"/>
    <n v="1.5"/>
    <n v="0"/>
    <n v="0"/>
    <x v="6"/>
    <s v="100% VIRGIN POLYESTER YARN"/>
    <n v="5557010.3999999994"/>
    <x v="0"/>
    <n v="2362635"/>
    <x v="0"/>
    <m/>
    <d v="2023-06-12T00:00:00"/>
    <x v="0"/>
    <x v="0"/>
    <x v="0"/>
    <x v="0"/>
    <x v="0"/>
    <x v="0"/>
    <d v="2023-04-13T00:00:00"/>
    <x v="0"/>
    <x v="1"/>
    <x v="0"/>
    <x v="0"/>
    <x v="0"/>
    <x v="3"/>
    <n v="239.31999999999996"/>
    <n v="101.75"/>
    <n v="0"/>
    <s v=""/>
    <x v="0"/>
  </r>
  <r>
    <n v="88"/>
    <m/>
    <s v="KAPW-IB-182848-12-06-2021"/>
    <d v="2021-06-12T00:00:00"/>
    <x v="0"/>
    <x v="0"/>
    <n v="23100"/>
    <x v="0"/>
    <x v="0"/>
    <n v="5402.33"/>
    <n v="1.47"/>
    <n v="0"/>
    <n v="0"/>
    <x v="6"/>
    <s v="100% POLYESTER TEXTURED YARN"/>
    <n v="5417643"/>
    <x v="0"/>
    <n v="2069991"/>
    <x v="0"/>
    <m/>
    <d v="2023-06-12T00:00:00"/>
    <x v="0"/>
    <x v="0"/>
    <x v="0"/>
    <x v="0"/>
    <x v="0"/>
    <x v="0"/>
    <d v="2023-04-13T00:00:00"/>
    <x v="0"/>
    <x v="1"/>
    <x v="0"/>
    <x v="0"/>
    <x v="0"/>
    <x v="3"/>
    <n v="234.53"/>
    <n v="89.61"/>
    <n v="0"/>
    <s v=""/>
    <x v="0"/>
  </r>
  <r>
    <n v="89"/>
    <m/>
    <s v="KAPW-IB-182851-12-06-2021"/>
    <d v="2021-06-12T00:00:00"/>
    <x v="0"/>
    <x v="0"/>
    <n v="23100"/>
    <x v="0"/>
    <x v="0"/>
    <n v="5402.33"/>
    <n v="1.47"/>
    <n v="0"/>
    <n v="0"/>
    <x v="6"/>
    <s v="100% POLYESTER TEXTURED YARN"/>
    <n v="5417643"/>
    <x v="0"/>
    <n v="2069991"/>
    <x v="0"/>
    <m/>
    <d v="2023-06-12T00:00:00"/>
    <x v="0"/>
    <x v="0"/>
    <x v="0"/>
    <x v="0"/>
    <x v="0"/>
    <x v="0"/>
    <d v="2023-04-13T00:00:00"/>
    <x v="0"/>
    <x v="0"/>
    <x v="0"/>
    <x v="0"/>
    <x v="0"/>
    <x v="3"/>
    <n v="234.53"/>
    <n v="89.61"/>
    <n v="0"/>
    <s v=""/>
    <x v="0"/>
  </r>
  <r>
    <n v="90"/>
    <m/>
    <s v="KAPW-IB-184796-15-06-2021"/>
    <d v="2021-06-15T00:00:00"/>
    <x v="0"/>
    <x v="0"/>
    <n v="600"/>
    <x v="0"/>
    <x v="0"/>
    <n v="3402.1190000000001"/>
    <s v="2.32440_x000a_3.7199"/>
    <n v="0"/>
    <n v="0"/>
    <x v="12"/>
    <s v="PRECURSOR TANASPERSE OLG-N (THIS USE IN"/>
    <n v="301819"/>
    <x v="0"/>
    <n v="145243"/>
    <x v="0"/>
    <n v="128473662"/>
    <d v="2023-06-15T00:00:00"/>
    <x v="0"/>
    <x v="0"/>
    <x v="0"/>
    <x v="0"/>
    <x v="0"/>
    <x v="0"/>
    <d v="2023-04-16T00:00:00"/>
    <x v="0"/>
    <x v="0"/>
    <x v="0"/>
    <x v="0"/>
    <x v="0"/>
    <x v="5"/>
    <n v="503.03166666666669"/>
    <n v="242.07166666666666"/>
    <n v="0"/>
    <s v=""/>
    <x v="0"/>
  </r>
  <r>
    <n v="91"/>
    <m/>
    <s v="KAPE-IB-2327-03-07-2021"/>
    <d v="2021-07-03T00:00:00"/>
    <x v="0"/>
    <x v="0"/>
    <n v="71668.800000000003"/>
    <x v="0"/>
    <x v="0"/>
    <n v="5205.24"/>
    <n v="4.45"/>
    <n v="0"/>
    <n v="0"/>
    <x v="10"/>
    <s v="40/1 Cotton Yarn"/>
    <n v="51435713"/>
    <x v="0"/>
    <n v="12384949"/>
    <x v="0"/>
    <n v="128478981"/>
    <d v="2023-07-03T00:00:00"/>
    <x v="0"/>
    <x v="0"/>
    <x v="0"/>
    <x v="0"/>
    <x v="0"/>
    <x v="0"/>
    <d v="2023-05-04T00:00:00"/>
    <x v="0"/>
    <x v="0"/>
    <x v="0"/>
    <x v="0"/>
    <x v="0"/>
    <x v="3"/>
    <n v="717.68625957180802"/>
    <n v="172.80809780546068"/>
    <n v="0"/>
    <s v=""/>
    <x v="0"/>
  </r>
  <r>
    <n v="92"/>
    <m/>
    <s v="KAPW-IB-1552-03-07-2021"/>
    <d v="2021-07-03T00:00:00"/>
    <x v="0"/>
    <x v="0"/>
    <n v="89586"/>
    <x v="0"/>
    <x v="0"/>
    <n v="5205.24"/>
    <n v="4.45"/>
    <n v="0"/>
    <n v="0"/>
    <x v="10"/>
    <s v="40/1 Cotton Yarn"/>
    <n v="64294641"/>
    <x v="0"/>
    <n v="15481185"/>
    <x v="0"/>
    <n v="128478982"/>
    <d v="2023-07-03T00:00:00"/>
    <x v="0"/>
    <x v="0"/>
    <x v="0"/>
    <x v="0"/>
    <x v="0"/>
    <x v="0"/>
    <d v="2023-05-04T00:00:00"/>
    <x v="0"/>
    <x v="0"/>
    <x v="0"/>
    <x v="0"/>
    <x v="0"/>
    <x v="3"/>
    <n v="717.68625678119349"/>
    <n v="172.80808385238765"/>
    <n v="0"/>
    <s v=""/>
    <x v="0"/>
  </r>
  <r>
    <n v="93"/>
    <m/>
    <s v="KAPE-IB-2322-03-07-2021"/>
    <d v="2021-07-03T00:00:00"/>
    <x v="0"/>
    <x v="0"/>
    <n v="18144"/>
    <x v="0"/>
    <x v="0"/>
    <n v="5205.2700000000004"/>
    <n v="5.7"/>
    <n v="0"/>
    <n v="0"/>
    <x v="10"/>
    <s v="60/1 Cotton Yarn"/>
    <n v="16679480"/>
    <x v="0"/>
    <n v="4016168"/>
    <x v="0"/>
    <n v="128478980"/>
    <d v="2023-07-03T00:00:00"/>
    <x v="0"/>
    <x v="0"/>
    <x v="0"/>
    <x v="0"/>
    <x v="0"/>
    <x v="0"/>
    <d v="2023-05-04T00:00:00"/>
    <x v="0"/>
    <x v="0"/>
    <x v="0"/>
    <x v="0"/>
    <x v="0"/>
    <x v="3"/>
    <n v="919.28350970017641"/>
    <n v="221.34964726631392"/>
    <n v="0"/>
    <s v=""/>
    <x v="0"/>
  </r>
  <r>
    <n v="94"/>
    <m/>
    <s v="KAPE-IB-2320-03-07-2021"/>
    <d v="2021-07-03T00:00:00"/>
    <x v="0"/>
    <x v="0"/>
    <n v="18144"/>
    <x v="0"/>
    <x v="0"/>
    <n v="5205.2700000000004"/>
    <n v="5.7"/>
    <n v="0"/>
    <n v="0"/>
    <x v="10"/>
    <s v="60/1 Cotton Yarn"/>
    <n v="16679416.32"/>
    <x v="0"/>
    <n v="4016174.4"/>
    <x v="0"/>
    <m/>
    <d v="2023-07-03T00:00:00"/>
    <x v="0"/>
    <x v="0"/>
    <x v="0"/>
    <x v="0"/>
    <x v="0"/>
    <x v="0"/>
    <d v="2023-05-04T00:00:00"/>
    <x v="0"/>
    <x v="0"/>
    <x v="0"/>
    <x v="0"/>
    <x v="0"/>
    <x v="3"/>
    <n v="919.28"/>
    <n v="221.35"/>
    <n v="0"/>
    <s v=""/>
    <x v="0"/>
  </r>
  <r>
    <n v="95"/>
    <m/>
    <s v="KAPE-IB-4418-06-07-2021"/>
    <d v="2021-07-06T00:00:00"/>
    <x v="0"/>
    <x v="0"/>
    <n v="11050"/>
    <x v="0"/>
    <x v="0"/>
    <n v="5407.52"/>
    <n v="5.38"/>
    <n v="0"/>
    <n v="0"/>
    <x v="11"/>
    <s v="100% POLY MICROFIBER FABRIC "/>
    <n v="9595652"/>
    <x v="0"/>
    <n v="3557799"/>
    <x v="0"/>
    <n v="128478973"/>
    <d v="2023-07-06T00:00:00"/>
    <x v="0"/>
    <x v="0"/>
    <x v="0"/>
    <x v="0"/>
    <x v="0"/>
    <x v="0"/>
    <d v="2023-05-07T00:00:00"/>
    <x v="0"/>
    <x v="0"/>
    <x v="0"/>
    <x v="0"/>
    <x v="0"/>
    <x v="2"/>
    <n v="868.38479638009051"/>
    <n v="321.97276018099546"/>
    <n v="0"/>
    <s v=""/>
    <x v="0"/>
  </r>
  <r>
    <n v="96"/>
    <m/>
    <s v="KAPW-IB-3760-07-07-2021"/>
    <d v="2021-07-07T00:00:00"/>
    <x v="0"/>
    <x v="0"/>
    <n v="18144"/>
    <x v="0"/>
    <x v="0"/>
    <n v="5205.2700000000004"/>
    <n v="5.7"/>
    <n v="0"/>
    <n v="0"/>
    <x v="10"/>
    <s v="60/1 Cotton Yarn"/>
    <n v="16732230"/>
    <x v="0"/>
    <n v="4028870"/>
    <x v="0"/>
    <n v="128478996"/>
    <d v="2023-07-07T00:00:00"/>
    <x v="0"/>
    <x v="0"/>
    <x v="0"/>
    <x v="0"/>
    <x v="0"/>
    <x v="0"/>
    <d v="2023-05-08T00:00:00"/>
    <x v="0"/>
    <x v="0"/>
    <x v="0"/>
    <x v="0"/>
    <x v="0"/>
    <x v="3"/>
    <n v="922.19080687830683"/>
    <n v="222.04971340388008"/>
    <n v="0"/>
    <s v=""/>
    <x v="0"/>
  </r>
  <r>
    <n v="97"/>
    <m/>
    <s v="KAPE-IB-5173-07-07-2021"/>
    <d v="2021-07-07T00:00:00"/>
    <x v="0"/>
    <x v="0"/>
    <n v="18144"/>
    <x v="0"/>
    <x v="0"/>
    <n v="5205.2700000000004"/>
    <n v="5.7"/>
    <n v="0"/>
    <n v="0"/>
    <x v="10"/>
    <s v="60/1 Cotton Yarn"/>
    <n v="16732230"/>
    <x v="0"/>
    <n v="4028870"/>
    <x v="0"/>
    <n v="128478992"/>
    <d v="2023-07-07T00:00:00"/>
    <x v="0"/>
    <x v="0"/>
    <x v="0"/>
    <x v="0"/>
    <x v="0"/>
    <x v="0"/>
    <d v="2023-05-08T00:00:00"/>
    <x v="0"/>
    <x v="0"/>
    <x v="0"/>
    <x v="0"/>
    <x v="0"/>
    <x v="3"/>
    <n v="922.19080687830683"/>
    <n v="222.04971340388008"/>
    <n v="0"/>
    <s v=""/>
    <x v="0"/>
  </r>
  <r>
    <n v="98"/>
    <m/>
    <s v="KAPE-IB-6601-08-07-2021"/>
    <d v="2021-07-08T00:00:00"/>
    <x v="0"/>
    <x v="0"/>
    <n v="17998"/>
    <x v="0"/>
    <x v="0"/>
    <n v="5401.2089999999998"/>
    <s v="4.06 _x000a_7.37"/>
    <n v="0"/>
    <n v="0"/>
    <x v="6"/>
    <s v="100% SPUN POLYESTER SEWING THREAD "/>
    <n v="14059096"/>
    <x v="0"/>
    <n v="2554538"/>
    <x v="0"/>
    <n v="128478995"/>
    <d v="2023-07-08T00:00:00"/>
    <x v="0"/>
    <x v="0"/>
    <x v="0"/>
    <x v="0"/>
    <x v="0"/>
    <x v="0"/>
    <d v="2023-05-09T00:00:00"/>
    <x v="0"/>
    <x v="0"/>
    <x v="0"/>
    <x v="0"/>
    <x v="0"/>
    <x v="3"/>
    <n v="781.14768307589736"/>
    <n v="141.93454828314256"/>
    <n v="0"/>
    <s v=""/>
    <x v="0"/>
  </r>
  <r>
    <n v="99"/>
    <m/>
    <s v="KAPW-IB-4810-08-07-2021"/>
    <d v="2021-07-08T00:00:00"/>
    <x v="0"/>
    <x v="0"/>
    <n v="3295"/>
    <x v="0"/>
    <x v="0"/>
    <n v="5401.2089999999998"/>
    <n v="7.49"/>
    <n v="0"/>
    <n v="0"/>
    <x v="6"/>
    <s v="100% SPUN POLYESTER SEWING  THREAD "/>
    <n v="3998718"/>
    <x v="0"/>
    <n v="726567"/>
    <x v="0"/>
    <n v="128478994"/>
    <d v="2023-07-08T00:00:00"/>
    <x v="0"/>
    <x v="0"/>
    <x v="0"/>
    <x v="0"/>
    <x v="0"/>
    <x v="0"/>
    <d v="2023-05-09T00:00:00"/>
    <x v="0"/>
    <x v="0"/>
    <x v="0"/>
    <x v="0"/>
    <x v="0"/>
    <x v="3"/>
    <n v="1213.5714719271623"/>
    <n v="220.50591805766314"/>
    <n v="0"/>
    <s v=""/>
    <x v="0"/>
  </r>
  <r>
    <n v="100"/>
    <m/>
    <s v="KAPE-IB-10807-14-07-2021"/>
    <d v="2021-07-14T00:00:00"/>
    <x v="0"/>
    <x v="0"/>
    <n v="36288"/>
    <x v="0"/>
    <x v="0"/>
    <n v="5205.24"/>
    <n v="4.5"/>
    <n v="0"/>
    <n v="0"/>
    <x v="10"/>
    <s v="40/1 Cotton Yarn"/>
    <n v="26627533"/>
    <x v="0"/>
    <n v="6411511"/>
    <x v="0"/>
    <n v="128479002"/>
    <d v="2023-07-14T00:00:00"/>
    <x v="0"/>
    <x v="0"/>
    <x v="0"/>
    <x v="0"/>
    <x v="0"/>
    <x v="0"/>
    <d v="2023-05-15T00:00:00"/>
    <x v="0"/>
    <x v="0"/>
    <x v="0"/>
    <x v="0"/>
    <x v="0"/>
    <x v="3"/>
    <n v="733.78342702821874"/>
    <n v="176.68405533509701"/>
    <n v="0"/>
    <s v=""/>
    <x v="0"/>
  </r>
  <r>
    <n v="101"/>
    <m/>
    <s v="KAPE-IB-10781-14-07-2021"/>
    <d v="2021-07-14T00:00:00"/>
    <x v="0"/>
    <x v="0"/>
    <n v="53751.6"/>
    <x v="0"/>
    <x v="0"/>
    <n v="5205.24"/>
    <n v="4.45"/>
    <n v="0"/>
    <n v="0"/>
    <x v="10"/>
    <s v="40/1 Cotton Yarn"/>
    <n v="39003789"/>
    <x v="0"/>
    <n v="9391527"/>
    <x v="0"/>
    <n v="128479004"/>
    <d v="2023-07-14T00:00:00"/>
    <x v="0"/>
    <x v="0"/>
    <x v="0"/>
    <x v="0"/>
    <x v="0"/>
    <x v="0"/>
    <d v="2023-05-15T00:00:00"/>
    <x v="0"/>
    <x v="0"/>
    <x v="0"/>
    <x v="0"/>
    <x v="0"/>
    <x v="3"/>
    <n v="725.6302882146764"/>
    <n v="174.72088272721186"/>
    <n v="0"/>
    <s v=""/>
    <x v="0"/>
  </r>
  <r>
    <n v="102"/>
    <m/>
    <s v="KAPE-IB-10804-14-07-2021"/>
    <d v="2021-07-14T00:00:00"/>
    <x v="0"/>
    <x v="0"/>
    <n v="36288"/>
    <x v="0"/>
    <x v="0"/>
    <n v="5205.24"/>
    <n v="4.5"/>
    <n v="0"/>
    <n v="0"/>
    <x v="10"/>
    <s v="40/1 Cotton Yarn"/>
    <n v="26627533"/>
    <x v="0"/>
    <n v="6411511"/>
    <x v="0"/>
    <n v="128479001"/>
    <d v="2023-07-14T00:00:00"/>
    <x v="0"/>
    <x v="0"/>
    <x v="0"/>
    <x v="0"/>
    <x v="0"/>
    <x v="0"/>
    <d v="2023-05-15T00:00:00"/>
    <x v="0"/>
    <x v="0"/>
    <x v="0"/>
    <x v="0"/>
    <x v="0"/>
    <x v="3"/>
    <n v="733.78342702821874"/>
    <n v="176.68405533509701"/>
    <n v="0"/>
    <s v=""/>
    <x v="0"/>
  </r>
  <r>
    <n v="103"/>
    <m/>
    <s v="KAPE-IB-10794-14-07-2021"/>
    <d v="2021-07-14T00:00:00"/>
    <x v="0"/>
    <x v="0"/>
    <n v="36288"/>
    <x v="0"/>
    <x v="0"/>
    <n v="5205.24"/>
    <n v="4.5"/>
    <n v="0"/>
    <n v="0"/>
    <x v="10"/>
    <s v="40/1 Cotton Yarn"/>
    <n v="26627533"/>
    <x v="0"/>
    <n v="6411511"/>
    <x v="0"/>
    <n v="128479003"/>
    <d v="2023-07-14T00:00:00"/>
    <x v="0"/>
    <x v="0"/>
    <x v="0"/>
    <x v="0"/>
    <x v="0"/>
    <x v="0"/>
    <d v="2023-05-15T00:00:00"/>
    <x v="0"/>
    <x v="0"/>
    <x v="0"/>
    <x v="0"/>
    <x v="0"/>
    <x v="3"/>
    <n v="733.78342702821874"/>
    <n v="176.68405533509701"/>
    <n v="0"/>
    <s v=""/>
    <x v="0"/>
  </r>
  <r>
    <n v="104"/>
    <m/>
    <s v="KAPE-IB-13459-19-07-2021"/>
    <d v="2021-07-19T00:00:00"/>
    <x v="0"/>
    <x v="0"/>
    <n v="54432"/>
    <x v="0"/>
    <x v="0"/>
    <n v="5205.24"/>
    <n v="4.5"/>
    <n v="0"/>
    <n v="0"/>
    <x v="10"/>
    <s v="40/1 Cotton Yarn"/>
    <n v="39928806"/>
    <x v="0"/>
    <n v="9614257"/>
    <x v="0"/>
    <n v="128479018"/>
    <d v="2023-07-19T00:00:00"/>
    <x v="0"/>
    <x v="0"/>
    <x v="0"/>
    <x v="0"/>
    <x v="0"/>
    <x v="0"/>
    <d v="2023-05-20T00:00:00"/>
    <x v="0"/>
    <x v="0"/>
    <x v="0"/>
    <x v="0"/>
    <x v="0"/>
    <x v="3"/>
    <n v="733.55390211640213"/>
    <n v="176.62876616696062"/>
    <n v="0"/>
    <s v=""/>
    <x v="0"/>
  </r>
  <r>
    <n v="105"/>
    <m/>
    <s v="KAPE-IB-13513-19-07-2021"/>
    <d v="2021-07-19T00:00:00"/>
    <x v="0"/>
    <x v="0"/>
    <n v="18266.900000000001"/>
    <x v="0"/>
    <x v="0"/>
    <n v="5205.12"/>
    <n v="2.0499999999999998"/>
    <n v="0"/>
    <n v="0"/>
    <x v="10"/>
    <s v="22/1 Cotton Yarn"/>
    <n v="6104333"/>
    <x v="0"/>
    <n v="1469833"/>
    <x v="0"/>
    <n v="128478997"/>
    <d v="2023-07-19T00:00:00"/>
    <x v="0"/>
    <x v="0"/>
    <x v="0"/>
    <x v="0"/>
    <x v="0"/>
    <x v="0"/>
    <d v="2023-05-20T00:00:00"/>
    <x v="0"/>
    <x v="0"/>
    <x v="0"/>
    <x v="0"/>
    <x v="0"/>
    <x v="3"/>
    <n v="334.17454521566327"/>
    <n v="80.464282390553393"/>
    <n v="0"/>
    <s v=""/>
    <x v="0"/>
  </r>
  <r>
    <n v="106"/>
    <m/>
    <s v="KAPE-IB-13458-19-07-2021"/>
    <d v="2021-07-19T00:00:00"/>
    <x v="0"/>
    <x v="0"/>
    <n v="36288"/>
    <x v="0"/>
    <x v="0"/>
    <n v="5205.24"/>
    <n v="4.5"/>
    <n v="0"/>
    <n v="0"/>
    <x v="10"/>
    <s v="40/1 Cotton Yarn"/>
    <n v="26619204"/>
    <x v="0"/>
    <n v="6409505"/>
    <x v="0"/>
    <n v="128479017"/>
    <d v="2023-07-19T00:00:00"/>
    <x v="0"/>
    <x v="0"/>
    <x v="0"/>
    <x v="0"/>
    <x v="0"/>
    <x v="0"/>
    <d v="2023-05-20T00:00:00"/>
    <x v="0"/>
    <x v="0"/>
    <x v="0"/>
    <x v="0"/>
    <x v="0"/>
    <x v="3"/>
    <n v="733.55390211640213"/>
    <n v="176.6287753527337"/>
    <n v="0"/>
    <s v=""/>
    <x v="0"/>
  </r>
  <r>
    <n v="107"/>
    <m/>
    <s v="KAPE-IB-16022-26-07-2021"/>
    <d v="2021-07-26T00:00:00"/>
    <x v="0"/>
    <x v="0"/>
    <n v="18144"/>
    <x v="0"/>
    <x v="0"/>
    <n v="5205.2700000000004"/>
    <n v="5.7"/>
    <n v="0"/>
    <n v="0"/>
    <x v="10"/>
    <s v="60/1 Cotton Yarn"/>
    <n v="17085660.48"/>
    <x v="0"/>
    <n v="4113970.56"/>
    <x v="0"/>
    <m/>
    <d v="2023-07-26T00:00:00"/>
    <x v="0"/>
    <x v="0"/>
    <x v="0"/>
    <x v="0"/>
    <x v="0"/>
    <x v="0"/>
    <d v="2023-05-27T00:00:00"/>
    <x v="0"/>
    <x v="0"/>
    <x v="0"/>
    <x v="0"/>
    <x v="0"/>
    <x v="3"/>
    <n v="941.67000000000007"/>
    <n v="226.74"/>
    <n v="0"/>
    <s v=""/>
    <x v="0"/>
  </r>
  <r>
    <n v="108"/>
    <m/>
    <s v="KAPE-IB-17393-28-07-2021"/>
    <d v="2021-07-28T00:00:00"/>
    <x v="0"/>
    <x v="0"/>
    <n v="18144"/>
    <x v="0"/>
    <x v="0"/>
    <n v="5205.2700000000004"/>
    <n v="5.7"/>
    <n v="0"/>
    <n v="0"/>
    <x v="10"/>
    <s v="60/1 Cotton Yarn"/>
    <n v="16985505.599999998"/>
    <x v="0"/>
    <n v="4089839.04"/>
    <x v="0"/>
    <m/>
    <d v="2023-07-28T00:00:00"/>
    <x v="0"/>
    <x v="0"/>
    <x v="0"/>
    <x v="0"/>
    <x v="0"/>
    <x v="0"/>
    <d v="2023-05-29T00:00:00"/>
    <x v="0"/>
    <x v="0"/>
    <x v="0"/>
    <x v="0"/>
    <x v="0"/>
    <x v="3"/>
    <n v="936.14999999999986"/>
    <n v="225.41"/>
    <n v="0"/>
    <s v=""/>
    <x v="0"/>
  </r>
  <r>
    <n v="109"/>
    <m/>
    <s v="KAPW-IB-13707-28-07-2021"/>
    <d v="2021-07-28T00:00:00"/>
    <x v="0"/>
    <x v="0"/>
    <n v="51200"/>
    <x v="0"/>
    <x v="0"/>
    <n v="3402.13"/>
    <n v="1.9"/>
    <n v="0"/>
    <n v="0"/>
    <x v="12"/>
    <s v="TEXTILE CHEMICAL (SILICONE HT-40)"/>
    <n v="15976888"/>
    <x v="0"/>
    <n v="6678979"/>
    <x v="0"/>
    <n v="128479068"/>
    <d v="2023-07-28T00:00:00"/>
    <x v="0"/>
    <x v="0"/>
    <x v="0"/>
    <x v="0"/>
    <x v="0"/>
    <x v="0"/>
    <d v="2023-05-29T00:00:00"/>
    <x v="0"/>
    <x v="0"/>
    <x v="0"/>
    <x v="0"/>
    <x v="0"/>
    <x v="5"/>
    <n v="312.04859375000001"/>
    <n v="130.44880859374999"/>
    <n v="0"/>
    <s v=""/>
    <x v="0"/>
  </r>
  <r>
    <n v="110"/>
    <m/>
    <s v="KAPE-IB-17385-28-07-2021"/>
    <d v="2021-07-28T00:00:00"/>
    <x v="0"/>
    <x v="0"/>
    <n v="18144"/>
    <x v="0"/>
    <x v="0"/>
    <n v="5205.24"/>
    <n v="4.5"/>
    <n v="0"/>
    <n v="0"/>
    <x v="10"/>
    <s v="40/1 Cotton Yarn"/>
    <n v="13409549"/>
    <x v="0"/>
    <n v="3228817"/>
    <x v="0"/>
    <n v="128479030"/>
    <d v="2023-07-28T00:00:00"/>
    <x v="0"/>
    <x v="0"/>
    <x v="0"/>
    <x v="0"/>
    <x v="0"/>
    <x v="0"/>
    <d v="2023-05-29T00:00:00"/>
    <x v="0"/>
    <x v="0"/>
    <x v="0"/>
    <x v="0"/>
    <x v="0"/>
    <x v="3"/>
    <n v="739.06244488536151"/>
    <n v="177.95508156966491"/>
    <n v="0"/>
    <s v=""/>
    <x v="0"/>
  </r>
  <r>
    <n v="111"/>
    <m/>
    <s v="KAPW-IB-15072-29-07-2021"/>
    <d v="2021-07-29T00:00:00"/>
    <x v="0"/>
    <x v="0"/>
    <n v="7720"/>
    <x v="0"/>
    <x v="0"/>
    <n v="5407.52"/>
    <n v="5.5"/>
    <n v="0"/>
    <n v="0"/>
    <x v="11"/>
    <s v="100% POLY MICRO FIBER FABRIC"/>
    <n v="7009645"/>
    <x v="0"/>
    <n v="12689980"/>
    <x v="0"/>
    <n v="128479039"/>
    <d v="2023-07-29T00:00:00"/>
    <x v="0"/>
    <x v="0"/>
    <x v="0"/>
    <x v="0"/>
    <x v="0"/>
    <x v="0"/>
    <d v="2023-05-30T00:00:00"/>
    <x v="0"/>
    <x v="0"/>
    <x v="0"/>
    <x v="0"/>
    <x v="0"/>
    <x v="2"/>
    <n v="907.98510362694299"/>
    <n v="1643.779792746114"/>
    <n v="0"/>
    <s v=""/>
    <x v="0"/>
  </r>
  <r>
    <n v="112"/>
    <m/>
    <s v="KAPE-IB-22661-03-08-2021"/>
    <d v="2021-08-03T00:00:00"/>
    <x v="0"/>
    <x v="0"/>
    <n v="54432"/>
    <x v="0"/>
    <x v="0"/>
    <n v="5205.24"/>
    <n v="4.5999999999999996"/>
    <n v="0"/>
    <n v="0"/>
    <x v="10"/>
    <s v="40/1 Cotton Yarn"/>
    <n v="14936140.799999999"/>
    <x v="0"/>
    <n v="3596322.2399999998"/>
    <x v="0"/>
    <m/>
    <d v="2023-08-03T00:00:00"/>
    <x v="0"/>
    <x v="0"/>
    <x v="0"/>
    <x v="0"/>
    <x v="0"/>
    <x v="0"/>
    <d v="2023-06-04T00:00:00"/>
    <x v="0"/>
    <x v="1"/>
    <x v="0"/>
    <x v="0"/>
    <x v="0"/>
    <x v="3"/>
    <n v="274.39999999999998"/>
    <n v="66.069999999999993"/>
    <n v="0"/>
    <s v=""/>
    <x v="0"/>
  </r>
  <r>
    <n v="113"/>
    <m/>
    <s v="KAPE-IB-25662-06-08-2021"/>
    <d v="2021-08-06T00:00:00"/>
    <x v="0"/>
    <x v="0"/>
    <n v="54414.99"/>
    <x v="0"/>
    <x v="0"/>
    <n v="5205.24"/>
    <n v="4.5"/>
    <n v="0"/>
    <n v="0"/>
    <x v="10"/>
    <s v="40/1 Cotton Yarn"/>
    <n v="40965444"/>
    <x v="0"/>
    <n v="9863864"/>
    <x v="0"/>
    <n v="128479066"/>
    <d v="2023-08-06T00:00:00"/>
    <x v="0"/>
    <x v="0"/>
    <x v="0"/>
    <x v="0"/>
    <x v="0"/>
    <x v="0"/>
    <d v="2023-06-07T00:00:00"/>
    <x v="0"/>
    <x v="0"/>
    <x v="0"/>
    <x v="0"/>
    <x v="0"/>
    <x v="3"/>
    <n v="752.83380553777556"/>
    <n v="181.27107989912338"/>
    <n v="0"/>
    <s v=""/>
    <x v="0"/>
  </r>
  <r>
    <n v="114"/>
    <m/>
    <s v="KPAF-IB-6908-09-08-2021"/>
    <d v="2021-08-09T00:00:00"/>
    <x v="0"/>
    <x v="0"/>
    <n v="480"/>
    <x v="0"/>
    <x v="0"/>
    <n v="5402.33"/>
    <n v="11.8"/>
    <n v="0"/>
    <n v="0"/>
    <x v="13"/>
    <s v="POLYESTER FILAMENT YARN TSS DT 150D/72F"/>
    <n v="946123.2"/>
    <x v="0"/>
    <n v="402278.40000000002"/>
    <x v="0"/>
    <m/>
    <d v="2023-08-09T00:00:00"/>
    <x v="0"/>
    <x v="0"/>
    <x v="0"/>
    <x v="0"/>
    <x v="0"/>
    <x v="0"/>
    <d v="2023-06-10T00:00:00"/>
    <x v="0"/>
    <x v="1"/>
    <x v="0"/>
    <x v="0"/>
    <x v="0"/>
    <x v="3"/>
    <n v="1971.09"/>
    <n v="838.08"/>
    <n v="0"/>
    <s v=""/>
    <x v="0"/>
  </r>
  <r>
    <n v="115"/>
    <m/>
    <s v="KAPW-IB-20108-10-08-2021"/>
    <d v="2021-08-10T00:00:00"/>
    <x v="0"/>
    <x v="0"/>
    <n v="19950.8"/>
    <x v="0"/>
    <x v="0"/>
    <n v="5205.13"/>
    <n v="2.77"/>
    <n v="0"/>
    <n v="0"/>
    <x v="10"/>
    <s v="30/1 Cotton Yarn"/>
    <n v="9242602"/>
    <x v="0"/>
    <n v="2225479"/>
    <x v="0"/>
    <n v="128479063"/>
    <d v="2023-08-10T00:00:00"/>
    <x v="0"/>
    <x v="0"/>
    <x v="0"/>
    <x v="0"/>
    <x v="0"/>
    <x v="0"/>
    <d v="2023-06-11T00:00:00"/>
    <x v="0"/>
    <x v="0"/>
    <x v="0"/>
    <x v="0"/>
    <x v="0"/>
    <x v="3"/>
    <n v="463.26974356918021"/>
    <n v="111.54835896304911"/>
    <n v="0"/>
    <s v=""/>
    <x v="0"/>
  </r>
  <r>
    <n v="116"/>
    <m/>
    <s v="KAPE-IB-31434-16-08-2021"/>
    <d v="2021-08-16T00:00:00"/>
    <x v="0"/>
    <x v="0"/>
    <n v="16000"/>
    <x v="0"/>
    <x v="0"/>
    <n v="3906.9090000000001"/>
    <n v="2.15"/>
    <n v="0"/>
    <n v="0"/>
    <x v="12"/>
    <s v="TEXTILE CHEMICAL (NEOPAT BINDER PM/S 45%)"/>
    <n v="5770787"/>
    <x v="0"/>
    <n v="1798680"/>
    <x v="0"/>
    <n v="128479078"/>
    <d v="2023-08-16T00:00:00"/>
    <x v="0"/>
    <x v="0"/>
    <x v="0"/>
    <x v="0"/>
    <x v="0"/>
    <x v="0"/>
    <d v="2023-06-17T00:00:00"/>
    <x v="0"/>
    <x v="0"/>
    <x v="0"/>
    <x v="0"/>
    <x v="0"/>
    <x v="5"/>
    <n v="360.67418750000002"/>
    <n v="112.4175"/>
    <n v="0"/>
    <s v=""/>
    <x v="0"/>
  </r>
  <r>
    <n v="117"/>
    <m/>
    <s v="KAPE-IB-31451-16-08-2021"/>
    <d v="2021-08-16T00:00:00"/>
    <x v="0"/>
    <x v="0"/>
    <n v="36288"/>
    <x v="0"/>
    <x v="0"/>
    <n v="5205.24"/>
    <n v="4.5999999999999996"/>
    <n v="0"/>
    <n v="0"/>
    <x v="10"/>
    <s v="40/1 Cotton Yarn"/>
    <n v="28002544"/>
    <x v="0"/>
    <n v="6742592"/>
    <x v="0"/>
    <n v="128479084"/>
    <d v="2023-08-16T00:00:00"/>
    <x v="0"/>
    <x v="0"/>
    <x v="0"/>
    <x v="0"/>
    <x v="0"/>
    <x v="0"/>
    <d v="2023-06-17T00:00:00"/>
    <x v="0"/>
    <x v="0"/>
    <x v="0"/>
    <x v="0"/>
    <x v="0"/>
    <x v="3"/>
    <n v="771.67504409171079"/>
    <n v="185.80776014109347"/>
    <n v="0"/>
    <s v=""/>
    <x v="0"/>
  </r>
  <r>
    <n v="118"/>
    <m/>
    <s v="KAPE-IB-32245-17-08-2021"/>
    <d v="2021-08-17T00:00:00"/>
    <x v="0"/>
    <x v="0"/>
    <n v="1368"/>
    <x v="0"/>
    <x v="0"/>
    <n v="5210.1099999999997"/>
    <n v="17.07"/>
    <n v="0"/>
    <n v="0"/>
    <x v="2"/>
    <s v="73%  25%  2%    BLENDED FABRIC FOR READYMADE GARMENTS INDUSTRY, 73%CTN / 25%POLY / 2%SP , "/>
    <n v="3570288.48"/>
    <x v="0"/>
    <n v="1112813.28"/>
    <x v="0"/>
    <m/>
    <d v="2023-08-17T00:00:00"/>
    <x v="0"/>
    <x v="0"/>
    <x v="0"/>
    <x v="0"/>
    <x v="0"/>
    <x v="0"/>
    <d v="2023-06-18T00:00:00"/>
    <x v="0"/>
    <x v="1"/>
    <x v="0"/>
    <x v="0"/>
    <x v="0"/>
    <x v="2"/>
    <n v="2609.86"/>
    <n v="813.46"/>
    <n v="0"/>
    <s v=""/>
    <x v="0"/>
  </r>
  <r>
    <n v="119"/>
    <m/>
    <s v="KAPE-IB-31705-17-08-2021"/>
    <d v="2021-08-17T00:00:00"/>
    <x v="0"/>
    <x v="0"/>
    <n v="18144"/>
    <x v="0"/>
    <x v="0"/>
    <n v="5206.24"/>
    <m/>
    <n v="0"/>
    <n v="0"/>
    <x v="3"/>
    <s v="60:40 - YARN "/>
    <n v="15523149"/>
    <x v="0"/>
    <n v="3737741"/>
    <x v="0"/>
    <n v="128479082"/>
    <d v="2023-08-17T00:00:00"/>
    <x v="0"/>
    <x v="0"/>
    <x v="0"/>
    <x v="0"/>
    <x v="0"/>
    <x v="0"/>
    <d v="2023-06-18T00:00:00"/>
    <x v="0"/>
    <x v="0"/>
    <x v="0"/>
    <x v="0"/>
    <x v="0"/>
    <x v="3"/>
    <n v="855.55274470899474"/>
    <n v="206.00424382716051"/>
    <n v="0"/>
    <s v=""/>
    <x v="0"/>
  </r>
  <r>
    <n v="120"/>
    <m/>
    <s v="KPAF-IB-8499-17-08-2021"/>
    <d v="2021-08-17T00:00:00"/>
    <x v="0"/>
    <x v="0"/>
    <n v="6975.48"/>
    <x v="0"/>
    <x v="0"/>
    <n v="5402.33"/>
    <n v="5.13"/>
    <n v="0"/>
    <n v="0"/>
    <x v="6"/>
    <s v="100% POLYESTER TEXTURE SINGLE YARN CUPRON POLYESTER"/>
    <n v="6006167.2991999993"/>
    <x v="0"/>
    <n v="1872009.5676"/>
    <x v="0"/>
    <m/>
    <d v="2023-08-17T00:00:00"/>
    <x v="0"/>
    <x v="0"/>
    <x v="0"/>
    <x v="0"/>
    <x v="0"/>
    <x v="0"/>
    <d v="2023-06-18T00:00:00"/>
    <x v="0"/>
    <x v="1"/>
    <x v="0"/>
    <x v="0"/>
    <x v="0"/>
    <x v="3"/>
    <n v="861.04"/>
    <n v="268.37"/>
    <n v="0"/>
    <s v=""/>
    <x v="0"/>
  </r>
  <r>
    <n v="121"/>
    <m/>
    <s v="KAPE-IB-32254-17-08-2021"/>
    <d v="2021-08-17T00:00:00"/>
    <x v="0"/>
    <x v="0"/>
    <n v="97920"/>
    <x v="0"/>
    <x v="0"/>
    <n v="5402.33"/>
    <n v="1.4"/>
    <n v="0"/>
    <n v="0"/>
    <x v="6"/>
    <s v="100% POLYESTER YARN (DTY 300D/96F"/>
    <n v="22997491.200000003"/>
    <x v="0"/>
    <n v="8787340.7999999989"/>
    <x v="0"/>
    <m/>
    <d v="2023-08-17T00:00:00"/>
    <x v="0"/>
    <x v="0"/>
    <x v="0"/>
    <x v="0"/>
    <x v="0"/>
    <x v="0"/>
    <d v="2023-06-18T00:00:00"/>
    <x v="0"/>
    <x v="1"/>
    <x v="0"/>
    <x v="0"/>
    <x v="0"/>
    <x v="3"/>
    <n v="234.86000000000004"/>
    <n v="89.74"/>
    <n v="0"/>
    <s v=""/>
    <x v="0"/>
  </r>
  <r>
    <n v="122"/>
    <m/>
    <s v="KAPW-IB-25071-20-08-2021"/>
    <d v="2021-08-20T00:00:00"/>
    <x v="0"/>
    <x v="0"/>
    <n v="1714"/>
    <x v="0"/>
    <x v="0"/>
    <n v="5407.52"/>
    <n v="8.41"/>
    <n v="0"/>
    <n v="0"/>
    <x v="11"/>
    <s v="100% POLYESTER FABRIC 190T TAFFETA W/R + PU COATING WHITE COLOR, 70GSM, 57/58&quot; (16000/MTRS"/>
    <n v="2421050"/>
    <x v="0"/>
    <n v="897657"/>
    <x v="0"/>
    <n v="128479081"/>
    <d v="2023-08-20T00:00:00"/>
    <x v="0"/>
    <x v="0"/>
    <x v="0"/>
    <x v="0"/>
    <x v="0"/>
    <x v="0"/>
    <d v="2023-06-21T00:00:00"/>
    <x v="0"/>
    <x v="0"/>
    <x v="0"/>
    <x v="0"/>
    <x v="0"/>
    <x v="2"/>
    <n v="1412.514585764294"/>
    <n v="523.72053675612597"/>
    <n v="0"/>
    <s v=""/>
    <x v="0"/>
  </r>
  <r>
    <n v="123"/>
    <m/>
    <s v="KAPW-IB-25345-20-08-2021"/>
    <d v="2021-08-20T00:00:00"/>
    <x v="0"/>
    <x v="0"/>
    <n v="3671"/>
    <x v="0"/>
    <x v="0"/>
    <n v="5407.52"/>
    <n v="5.38"/>
    <n v="0"/>
    <n v="0"/>
    <x v="11"/>
    <s v="100% POLYESTER MICROFIBER FABRIC,"/>
    <n v="3316415"/>
    <x v="0"/>
    <n v="1229633"/>
    <x v="0"/>
    <n v="128479091"/>
    <d v="2023-08-20T00:00:00"/>
    <x v="0"/>
    <x v="0"/>
    <x v="0"/>
    <x v="0"/>
    <x v="0"/>
    <x v="0"/>
    <d v="2023-06-21T00:00:00"/>
    <x v="0"/>
    <x v="0"/>
    <x v="0"/>
    <x v="0"/>
    <x v="0"/>
    <x v="2"/>
    <n v="903.40915281939522"/>
    <n v="334.95859438845002"/>
    <n v="0"/>
    <s v=""/>
    <x v="0"/>
  </r>
  <r>
    <n v="124"/>
    <m/>
    <s v="KAPW-IB-25811-20-08-2021"/>
    <d v="2021-08-20T00:00:00"/>
    <x v="0"/>
    <x v="0"/>
    <n v="23100"/>
    <x v="0"/>
    <x v="0"/>
    <n v="5402.33"/>
    <n v="1.45"/>
    <n v="0"/>
    <n v="0"/>
    <x v="6"/>
    <s v="100% POLYESTER TEXTURED YARN (DTY 300D/96F"/>
    <n v="5608218"/>
    <x v="0"/>
    <n v="2142756"/>
    <x v="0"/>
    <m/>
    <d v="2023-08-20T00:00:00"/>
    <x v="0"/>
    <x v="0"/>
    <x v="0"/>
    <x v="0"/>
    <x v="0"/>
    <x v="0"/>
    <d v="2023-06-21T00:00:00"/>
    <x v="0"/>
    <x v="1"/>
    <x v="0"/>
    <x v="0"/>
    <x v="0"/>
    <x v="3"/>
    <n v="242.78"/>
    <n v="92.76"/>
    <n v="0"/>
    <s v=""/>
    <x v="0"/>
  </r>
  <r>
    <n v="125"/>
    <m/>
    <s v="KAPE-IB-34373-23-08-2021"/>
    <d v="2021-08-23T00:00:00"/>
    <x v="0"/>
    <x v="0"/>
    <n v="53519.72"/>
    <x v="0"/>
    <x v="0"/>
    <n v="5205.13"/>
    <n v="4.9000000000000004"/>
    <n v="0"/>
    <n v="0"/>
    <x v="10"/>
    <s v="30/1 Cotton Yarn"/>
    <n v="44046803"/>
    <x v="0"/>
    <n v="10605809"/>
    <x v="0"/>
    <n v="128479107"/>
    <d v="2023-08-23T00:00:00"/>
    <x v="0"/>
    <x v="0"/>
    <x v="0"/>
    <x v="0"/>
    <x v="0"/>
    <x v="0"/>
    <d v="2023-06-24T00:00:00"/>
    <x v="0"/>
    <x v="0"/>
    <x v="0"/>
    <x v="0"/>
    <x v="0"/>
    <x v="3"/>
    <n v="823.00137220448835"/>
    <n v="198.16637680466189"/>
    <n v="0"/>
    <s v=""/>
    <x v="0"/>
  </r>
  <r>
    <n v="126"/>
    <m/>
    <s v="KAPE-IB-34438-23-08-2021"/>
    <d v="2021-08-23T00:00:00"/>
    <x v="0"/>
    <x v="0"/>
    <n v="18144"/>
    <x v="0"/>
    <x v="0"/>
    <n v="5205.24"/>
    <n v="4.5999999999999996"/>
    <n v="0"/>
    <n v="0"/>
    <x v="10"/>
    <s v="40/1 Cotton Yarn"/>
    <n v="14018300"/>
    <x v="0"/>
    <n v="3375397"/>
    <x v="0"/>
    <n v="128479102"/>
    <d v="2023-08-23T00:00:00"/>
    <x v="0"/>
    <x v="0"/>
    <x v="0"/>
    <x v="0"/>
    <x v="0"/>
    <x v="0"/>
    <d v="2023-06-24T00:00:00"/>
    <x v="0"/>
    <x v="0"/>
    <x v="0"/>
    <x v="0"/>
    <x v="0"/>
    <x v="3"/>
    <n v="772.61353615520284"/>
    <n v="186.03378527336861"/>
    <n v="0"/>
    <s v=""/>
    <x v="0"/>
  </r>
  <r>
    <n v="127"/>
    <m/>
    <s v="KAPE-IB-34508-23-08-2021"/>
    <d v="2021-08-23T00:00:00"/>
    <x v="0"/>
    <x v="0"/>
    <n v="21741.7"/>
    <x v="0"/>
    <x v="0"/>
    <n v="5206.24"/>
    <n v="3.35"/>
    <n v="0"/>
    <n v="0"/>
    <x v="3"/>
    <s v="50:50 - 50% POLYESTER 50% COTTON BLENDED RING SPUN YARN COUNT NE 40/1"/>
    <n v="12233276"/>
    <x v="0"/>
    <n v="2945590"/>
    <x v="0"/>
    <n v="128479106"/>
    <d v="2023-08-23T00:00:00"/>
    <x v="0"/>
    <x v="0"/>
    <x v="0"/>
    <x v="0"/>
    <x v="0"/>
    <x v="0"/>
    <d v="2023-06-24T00:00:00"/>
    <x v="0"/>
    <x v="0"/>
    <x v="0"/>
    <x v="0"/>
    <x v="0"/>
    <x v="3"/>
    <n v="562.66418909284926"/>
    <n v="135.48112613089131"/>
    <n v="0"/>
    <s v=""/>
    <x v="0"/>
  </r>
  <r>
    <n v="128"/>
    <m/>
    <s v="KAPE-IB-34491-23-08-2021"/>
    <d v="2021-08-23T00:00:00"/>
    <x v="0"/>
    <x v="0"/>
    <n v="18144"/>
    <x v="0"/>
    <x v="0"/>
    <n v="5206.24"/>
    <n v="5.0999999999999996"/>
    <n v="0"/>
    <n v="0"/>
    <x v="3"/>
    <s v="60:40 - YARN "/>
    <n v="15542028"/>
    <x v="0"/>
    <n v="3742287"/>
    <x v="0"/>
    <n v="128479111"/>
    <d v="2023-08-23T00:00:00"/>
    <x v="0"/>
    <x v="0"/>
    <x v="0"/>
    <x v="0"/>
    <x v="0"/>
    <x v="0"/>
    <d v="2023-06-24T00:00:00"/>
    <x v="0"/>
    <x v="0"/>
    <x v="0"/>
    <x v="0"/>
    <x v="0"/>
    <x v="3"/>
    <n v="856.59325396825398"/>
    <n v="206.25479497354496"/>
    <n v="0"/>
    <s v=""/>
    <x v="0"/>
  </r>
  <r>
    <n v="129"/>
    <m/>
    <s v="KAPE-IB-36684-25-08-2021"/>
    <d v="2021-08-25T00:00:00"/>
    <x v="0"/>
    <x v="0"/>
    <n v="40148.699999999997"/>
    <x v="0"/>
    <x v="0"/>
    <n v="5205.13"/>
    <n v="2.77"/>
    <n v="0"/>
    <n v="0"/>
    <x v="10"/>
    <s v="30/1 Cotton Yarn"/>
    <n v="18713125"/>
    <x v="0"/>
    <n v="4505840"/>
    <x v="0"/>
    <n v="128479096"/>
    <d v="2023-08-25T00:00:00"/>
    <x v="0"/>
    <x v="0"/>
    <x v="0"/>
    <x v="0"/>
    <x v="0"/>
    <x v="0"/>
    <d v="2023-06-26T00:00:00"/>
    <x v="0"/>
    <x v="0"/>
    <x v="0"/>
    <x v="0"/>
    <x v="0"/>
    <x v="3"/>
    <n v="466.09541529364589"/>
    <n v="112.22878947512622"/>
    <n v="0"/>
    <s v=""/>
    <x v="0"/>
  </r>
  <r>
    <n v="130"/>
    <m/>
    <s v="KAPE-IB-37413-26-08-2021"/>
    <d v="2021-08-26T00:00:00"/>
    <x v="0"/>
    <x v="0"/>
    <n v="25200"/>
    <x v="0"/>
    <x v="0"/>
    <n v="5402.33"/>
    <n v="1.45"/>
    <n v="0"/>
    <n v="0"/>
    <x v="6"/>
    <s v="100% VIRGIN POLYESTER YARN (DTY 300D/96F"/>
    <n v="6176268"/>
    <x v="0"/>
    <n v="2626092"/>
    <x v="0"/>
    <m/>
    <d v="2023-08-26T00:00:00"/>
    <x v="0"/>
    <x v="0"/>
    <x v="0"/>
    <x v="0"/>
    <x v="0"/>
    <x v="0"/>
    <d v="2023-06-27T00:00:00"/>
    <x v="0"/>
    <x v="1"/>
    <x v="0"/>
    <x v="0"/>
    <x v="0"/>
    <x v="3"/>
    <n v="245.09"/>
    <n v="104.21"/>
    <n v="0"/>
    <s v=""/>
    <x v="0"/>
  </r>
  <r>
    <n v="131"/>
    <m/>
    <s v="KAPE-IB-36738-26-08-2021"/>
    <d v="2021-08-26T00:00:00"/>
    <x v="0"/>
    <x v="0"/>
    <n v="9160.59"/>
    <x v="0"/>
    <x v="0"/>
    <n v="5402.33"/>
    <n v="2.25"/>
    <n v="0"/>
    <n v="0"/>
    <x v="6"/>
    <s v="100% POLYESTER YARN (DTY 50/36 SD RW HIM AA 80 PCT + 20 PCT"/>
    <n v="3483955.5888"/>
    <x v="0"/>
    <n v="1481359.0089"/>
    <x v="0"/>
    <m/>
    <d v="2023-08-26T00:00:00"/>
    <x v="0"/>
    <x v="0"/>
    <x v="0"/>
    <x v="0"/>
    <x v="0"/>
    <x v="0"/>
    <d v="2023-06-27T00:00:00"/>
    <x v="0"/>
    <x v="1"/>
    <x v="0"/>
    <x v="0"/>
    <x v="0"/>
    <x v="3"/>
    <n v="380.32"/>
    <n v="161.71"/>
    <n v="0"/>
    <s v=""/>
    <x v="0"/>
  </r>
  <r>
    <n v="132"/>
    <m/>
    <s v="KAPE-IB-38477-30-08-2021"/>
    <d v="2021-08-30T00:00:00"/>
    <x v="0"/>
    <x v="0"/>
    <n v="98000"/>
    <x v="0"/>
    <x v="0"/>
    <n v="1108.19"/>
    <n v="0.43"/>
    <n v="0"/>
    <n v="0"/>
    <x v="12"/>
    <s v="EMSIZE E30"/>
    <n v="8321247"/>
    <x v="0"/>
    <n v="3198222"/>
    <x v="0"/>
    <n v="128479114"/>
    <d v="2023-08-30T00:00:00"/>
    <x v="0"/>
    <x v="0"/>
    <x v="0"/>
    <x v="0"/>
    <x v="0"/>
    <x v="0"/>
    <d v="2023-07-01T00:00:00"/>
    <x v="0"/>
    <x v="0"/>
    <x v="0"/>
    <x v="0"/>
    <x v="0"/>
    <x v="5"/>
    <n v="84.910683673469393"/>
    <n v="32.634918367346941"/>
    <n v="0"/>
    <s v=""/>
    <x v="0"/>
  </r>
  <r>
    <n v="133"/>
    <m/>
    <s v="KAPE-IB-39973-31-08-2021"/>
    <d v="2021-08-31T00:00:00"/>
    <x v="0"/>
    <x v="0"/>
    <n v="54432"/>
    <x v="0"/>
    <x v="0"/>
    <n v="5205.24"/>
    <n v="4.5999999999999996"/>
    <n v="0"/>
    <n v="0"/>
    <x v="10"/>
    <s v="40/1 Cotton Yarn"/>
    <n v="3390569.28"/>
    <x v="0"/>
    <n v="816480"/>
    <x v="0"/>
    <m/>
    <d v="2023-08-31T00:00:00"/>
    <x v="0"/>
    <x v="0"/>
    <x v="0"/>
    <x v="0"/>
    <x v="0"/>
    <x v="0"/>
    <d v="2023-07-02T00:00:00"/>
    <x v="0"/>
    <x v="0"/>
    <x v="0"/>
    <x v="0"/>
    <x v="0"/>
    <x v="3"/>
    <n v="62.29"/>
    <n v="15"/>
    <n v="0"/>
    <s v=""/>
    <x v="0"/>
  </r>
  <r>
    <n v="134"/>
    <m/>
    <s v="KAPE-IB-40050-31-08-2021"/>
    <d v="2021-08-31T00:00:00"/>
    <x v="0"/>
    <x v="0"/>
    <n v="40503"/>
    <x v="0"/>
    <x v="0"/>
    <n v="5205.13"/>
    <n v="3.22"/>
    <n v="0"/>
    <n v="0"/>
    <x v="10"/>
    <s v="30/1 Cotton Yarn"/>
    <n v="22098126"/>
    <x v="0"/>
    <n v="5320896"/>
    <x v="0"/>
    <n v="128479126"/>
    <d v="2023-08-31T00:00:00"/>
    <x v="0"/>
    <x v="0"/>
    <x v="0"/>
    <x v="0"/>
    <x v="0"/>
    <x v="0"/>
    <d v="2023-07-02T00:00:00"/>
    <x v="0"/>
    <x v="0"/>
    <x v="0"/>
    <x v="0"/>
    <x v="0"/>
    <x v="3"/>
    <n v="545.59232649433375"/>
    <n v="131.3704170061477"/>
    <n v="0"/>
    <s v=""/>
    <x v="0"/>
  </r>
  <r>
    <n v="135"/>
    <m/>
    <s v="KAPE-IB-40890-01-09-2021"/>
    <d v="2021-09-01T00:00:00"/>
    <x v="0"/>
    <x v="0"/>
    <n v="25200"/>
    <x v="0"/>
    <x v="0"/>
    <n v="5402.33"/>
    <n v="1.45"/>
    <n v="0"/>
    <n v="0"/>
    <x v="6"/>
    <s v="100% VIRGIN POLYESTER YARN (DTY 300D/96F"/>
    <n v="6204240"/>
    <x v="0"/>
    <n v="2637936"/>
    <x v="0"/>
    <m/>
    <d v="2023-09-01T00:00:00"/>
    <x v="0"/>
    <x v="0"/>
    <x v="0"/>
    <x v="0"/>
    <x v="0"/>
    <x v="0"/>
    <d v="2023-07-03T00:00:00"/>
    <x v="0"/>
    <x v="1"/>
    <x v="0"/>
    <x v="0"/>
    <x v="0"/>
    <x v="3"/>
    <n v="246.2"/>
    <n v="104.68"/>
    <n v="0"/>
    <s v=""/>
    <x v="0"/>
  </r>
  <r>
    <n v="136"/>
    <m/>
    <s v="KAPE-IB-40838-01-09-2021"/>
    <d v="2021-09-01T00:00:00"/>
    <x v="0"/>
    <x v="0"/>
    <n v="18144"/>
    <x v="0"/>
    <x v="0"/>
    <n v="5205.24"/>
    <n v="4.5999999999999996"/>
    <n v="0"/>
    <n v="0"/>
    <x v="10"/>
    <s v="40/1 Cotton Yarn"/>
    <n v="14171552"/>
    <x v="0"/>
    <n v="3412298"/>
    <x v="0"/>
    <n v="128479118"/>
    <d v="2023-09-01T00:00:00"/>
    <x v="0"/>
    <x v="0"/>
    <x v="0"/>
    <x v="0"/>
    <x v="0"/>
    <x v="0"/>
    <d v="2023-07-03T00:00:00"/>
    <x v="0"/>
    <x v="0"/>
    <x v="0"/>
    <x v="0"/>
    <x v="0"/>
    <x v="3"/>
    <n v="781.05996472663139"/>
    <n v="188.06757054673722"/>
    <n v="0"/>
    <s v=""/>
    <x v="0"/>
  </r>
  <r>
    <n v="137"/>
    <m/>
    <s v="KAPE-IB-40853-01-09-2021"/>
    <d v="2021-09-01T00:00:00"/>
    <x v="0"/>
    <x v="0"/>
    <n v="36288"/>
    <x v="0"/>
    <x v="0"/>
    <n v="5206.24"/>
    <n v="5.0999999999999996"/>
    <n v="0"/>
    <n v="0"/>
    <x v="3"/>
    <s v="60:40 - 60% COTTON AND 40% 0.8D POLYESTER COMPACT"/>
    <n v="31423876"/>
    <x v="0"/>
    <n v="7566398"/>
    <x v="0"/>
    <n v="128479117"/>
    <d v="2023-09-01T00:00:00"/>
    <x v="0"/>
    <x v="0"/>
    <x v="0"/>
    <x v="0"/>
    <x v="0"/>
    <x v="0"/>
    <d v="2023-07-03T00:00:00"/>
    <x v="0"/>
    <x v="0"/>
    <x v="0"/>
    <x v="0"/>
    <x v="0"/>
    <x v="3"/>
    <n v="865.95778218694886"/>
    <n v="208.50964506172841"/>
    <n v="0"/>
    <s v=""/>
    <x v="0"/>
  </r>
  <r>
    <n v="138"/>
    <m/>
    <s v="KAPE-IB-40849-01-09-2021"/>
    <d v="2021-09-01T00:00:00"/>
    <x v="0"/>
    <x v="0"/>
    <n v="18144"/>
    <x v="0"/>
    <x v="0"/>
    <n v="5206.25"/>
    <n v="5.0999999999999996"/>
    <n v="0"/>
    <n v="0"/>
    <x v="3"/>
    <s v="60:40 - 60% COTTON AND 40% 0.8D POLYESTER"/>
    <n v="15711938"/>
    <x v="0"/>
    <n v="3783199"/>
    <x v="0"/>
    <n v="128479121"/>
    <d v="2023-09-01T00:00:00"/>
    <x v="0"/>
    <x v="0"/>
    <x v="0"/>
    <x v="0"/>
    <x v="0"/>
    <x v="0"/>
    <d v="2023-07-03T00:00:00"/>
    <x v="0"/>
    <x v="0"/>
    <x v="0"/>
    <x v="0"/>
    <x v="0"/>
    <x v="3"/>
    <n v="865.95778218694886"/>
    <n v="208.50964506172841"/>
    <n v="0"/>
    <s v=""/>
    <x v="0"/>
  </r>
  <r>
    <n v="139"/>
    <m/>
    <s v="KAPW-IB-33080-02-09-2021"/>
    <d v="2021-09-02T00:00:00"/>
    <x v="0"/>
    <x v="0"/>
    <n v="1760"/>
    <x v="0"/>
    <x v="0"/>
    <n v="5407.52"/>
    <n v="5.46"/>
    <n v="0"/>
    <n v="0"/>
    <x v="11"/>
    <s v="100% POLYESTER GRS MICROFIBER DRY GREIGE FINISHED FABRIC "/>
    <n v="1634791"/>
    <x v="0"/>
    <n v="606135"/>
    <x v="0"/>
    <n v="128479135"/>
    <d v="2023-09-02T00:00:00"/>
    <x v="0"/>
    <x v="0"/>
    <x v="0"/>
    <x v="0"/>
    <x v="0"/>
    <x v="0"/>
    <d v="2023-07-04T00:00:00"/>
    <x v="0"/>
    <x v="0"/>
    <x v="0"/>
    <x v="0"/>
    <x v="0"/>
    <x v="2"/>
    <n v="928.85852272727277"/>
    <n v="344.39488636363637"/>
    <n v="0"/>
    <s v=""/>
    <x v="0"/>
  </r>
  <r>
    <n v="140"/>
    <m/>
    <s v="KAPE-IB-42713-03-09-2021"/>
    <d v="2021-09-03T00:00:00"/>
    <x v="0"/>
    <x v="0"/>
    <n v="23100"/>
    <x v="0"/>
    <x v="0"/>
    <n v="5402.33"/>
    <n v="1.45"/>
    <n v="0"/>
    <n v="0"/>
    <x v="6"/>
    <s v="100% POLYESTER TEXTURED YARN (DTY 300D/96F"/>
    <n v="5698308"/>
    <x v="0"/>
    <n v="2177175"/>
    <x v="0"/>
    <m/>
    <d v="2023-09-03T00:00:00"/>
    <x v="0"/>
    <x v="0"/>
    <x v="0"/>
    <x v="0"/>
    <x v="0"/>
    <x v="0"/>
    <d v="2023-07-05T00:00:00"/>
    <x v="0"/>
    <x v="1"/>
    <x v="0"/>
    <x v="0"/>
    <x v="0"/>
    <x v="3"/>
    <n v="246.68"/>
    <n v="94.25"/>
    <n v="0"/>
    <s v=""/>
    <x v="0"/>
  </r>
  <r>
    <n v="141"/>
    <m/>
    <s v="KAPE-IB-45428-07-09-2021"/>
    <d v="2021-09-07T00:00:00"/>
    <x v="0"/>
    <x v="0"/>
    <n v="80640.399999999994"/>
    <x v="0"/>
    <x v="0"/>
    <n v="5205.13"/>
    <n v="3.22"/>
    <n v="0"/>
    <n v="0"/>
    <x v="10"/>
    <s v="30/1 Cotton Yarn"/>
    <n v="44354373"/>
    <x v="0"/>
    <n v="10679868"/>
    <x v="0"/>
    <n v="128479154"/>
    <d v="2023-09-07T00:00:00"/>
    <x v="0"/>
    <x v="0"/>
    <x v="0"/>
    <x v="0"/>
    <x v="0"/>
    <x v="0"/>
    <d v="2023-07-09T00:00:00"/>
    <x v="0"/>
    <x v="0"/>
    <x v="0"/>
    <x v="0"/>
    <x v="0"/>
    <x v="3"/>
    <n v="550.0266987762958"/>
    <n v="132.43818235028598"/>
    <n v="0"/>
    <s v=""/>
    <x v="0"/>
  </r>
  <r>
    <n v="142"/>
    <m/>
    <s v="KAPE-IB-45075-07-09-2021"/>
    <d v="2021-09-07T00:00:00"/>
    <x v="0"/>
    <x v="0"/>
    <n v="20625.2"/>
    <x v="0"/>
    <x v="0"/>
    <n v="5205.13"/>
    <n v="2.77"/>
    <n v="0"/>
    <n v="0"/>
    <x v="10"/>
    <s v="30/1 Cotton Yarn"/>
    <n v="9759012"/>
    <x v="0"/>
    <n v="2349824"/>
    <x v="0"/>
    <n v="128479150"/>
    <d v="2023-09-07T00:00:00"/>
    <x v="0"/>
    <x v="0"/>
    <x v="0"/>
    <x v="0"/>
    <x v="0"/>
    <x v="0"/>
    <d v="2023-07-09T00:00:00"/>
    <x v="0"/>
    <x v="0"/>
    <x v="0"/>
    <x v="0"/>
    <x v="0"/>
    <x v="3"/>
    <n v="473.15962996722453"/>
    <n v="113.92975583267071"/>
    <n v="0"/>
    <s v=""/>
    <x v="0"/>
  </r>
  <r>
    <n v="143"/>
    <m/>
    <s v="KAPW-IB-35959-07-09-2021"/>
    <d v="2021-09-07T00:00:00"/>
    <x v="0"/>
    <x v="0"/>
    <n v="14750"/>
    <x v="0"/>
    <x v="0"/>
    <n v="3809.9189999999999"/>
    <n v="2.0499999999999998"/>
    <n v="0"/>
    <n v="0"/>
    <x v="12"/>
    <s v="TEXTILE CHEMICAL (DYMAFIX DM -2558)"/>
    <n v="5165041"/>
    <x v="0"/>
    <n v="1915053"/>
    <x v="0"/>
    <n v="128479153"/>
    <d v="2023-09-07T00:00:00"/>
    <x v="0"/>
    <x v="0"/>
    <x v="0"/>
    <x v="0"/>
    <x v="0"/>
    <x v="0"/>
    <d v="2023-07-09T00:00:00"/>
    <x v="0"/>
    <x v="0"/>
    <x v="0"/>
    <x v="0"/>
    <x v="0"/>
    <x v="5"/>
    <n v="350.1722711864407"/>
    <n v="129.83410169491526"/>
    <n v="0"/>
    <s v=""/>
    <x v="0"/>
  </r>
  <r>
    <n v="144"/>
    <m/>
    <s v="KAPE-IB-45056-07-09-2021"/>
    <d v="2021-09-07T00:00:00"/>
    <x v="0"/>
    <x v="0"/>
    <n v="19729.599999999999"/>
    <x v="0"/>
    <x v="0"/>
    <n v="5205.13"/>
    <n v="3.22"/>
    <n v="0"/>
    <n v="0"/>
    <x v="10"/>
    <s v="30/1 Cotton Yarn"/>
    <n v="10851807"/>
    <x v="0"/>
    <n v="2612951"/>
    <x v="0"/>
    <n v="128479149"/>
    <d v="2023-09-07T00:00:00"/>
    <x v="0"/>
    <x v="0"/>
    <x v="0"/>
    <x v="0"/>
    <x v="0"/>
    <x v="0"/>
    <d v="2023-07-09T00:00:00"/>
    <x v="0"/>
    <x v="0"/>
    <x v="0"/>
    <x v="0"/>
    <x v="0"/>
    <x v="3"/>
    <n v="550.02671113453903"/>
    <n v="132.43811329170384"/>
    <n v="0"/>
    <s v=""/>
    <x v="0"/>
  </r>
  <r>
    <n v="145"/>
    <m/>
    <s v="KAPE-IB-46022-08-09-2021"/>
    <d v="2021-09-08T00:00:00"/>
    <x v="0"/>
    <x v="0"/>
    <n v="12000"/>
    <x v="0"/>
    <x v="0"/>
    <n v="3204.16"/>
    <m/>
    <n v="0"/>
    <n v="0"/>
    <x v="5"/>
    <s v="TEXTILE DYES (LIYUANSOL)"/>
    <n v="7150758"/>
    <x v="0"/>
    <n v="2651301"/>
    <x v="0"/>
    <n v="128479156"/>
    <d v="2023-09-08T00:00:00"/>
    <x v="0"/>
    <x v="0"/>
    <x v="0"/>
    <x v="0"/>
    <x v="0"/>
    <x v="0"/>
    <d v="2023-07-10T00:00:00"/>
    <x v="0"/>
    <x v="0"/>
    <x v="0"/>
    <x v="0"/>
    <x v="0"/>
    <x v="4"/>
    <n v="595.89649999999995"/>
    <n v="220.94175000000001"/>
    <n v="0"/>
    <s v=""/>
    <x v="0"/>
  </r>
  <r>
    <n v="146"/>
    <m/>
    <s v="KAPE-IB-47607-10-09-2021"/>
    <d v="2021-09-10T00:00:00"/>
    <x v="0"/>
    <x v="0"/>
    <n v="25200"/>
    <x v="0"/>
    <x v="0"/>
    <n v="5402.33"/>
    <n v="1.45"/>
    <n v="0"/>
    <n v="0"/>
    <x v="6"/>
    <s v="100% VIRGIN POLYESTER YARN (DTY 300D/96F)"/>
    <n v="6250860"/>
    <x v="0"/>
    <n v="2657844"/>
    <x v="0"/>
    <m/>
    <d v="2023-09-10T00:00:00"/>
    <x v="0"/>
    <x v="0"/>
    <x v="0"/>
    <x v="0"/>
    <x v="0"/>
    <x v="0"/>
    <d v="2023-07-12T00:00:00"/>
    <x v="0"/>
    <x v="1"/>
    <x v="0"/>
    <x v="0"/>
    <x v="0"/>
    <x v="3"/>
    <n v="248.05"/>
    <n v="105.47"/>
    <n v="0"/>
    <s v=""/>
    <x v="0"/>
  </r>
  <r>
    <n v="147"/>
    <m/>
    <s v="KAPW-IB-38720-10-09-2021"/>
    <d v="2021-09-10T00:00:00"/>
    <x v="0"/>
    <x v="0"/>
    <n v="1720"/>
    <x v="0"/>
    <x v="0"/>
    <n v="5402.33"/>
    <n v="5.55"/>
    <n v="0"/>
    <n v="0"/>
    <x v="13"/>
    <s v="POLYESTER FILAMENT YARN TSS DT 150D/72F"/>
    <n v="1275345.6000000001"/>
    <x v="0"/>
    <n v="542264.4"/>
    <x v="0"/>
    <m/>
    <d v="2023-09-10T00:00:00"/>
    <x v="0"/>
    <x v="0"/>
    <x v="0"/>
    <x v="0"/>
    <x v="0"/>
    <x v="0"/>
    <d v="2023-07-12T00:00:00"/>
    <x v="0"/>
    <x v="1"/>
    <x v="0"/>
    <x v="0"/>
    <x v="0"/>
    <x v="3"/>
    <n v="741.48"/>
    <n v="315.27000000000004"/>
    <n v="0"/>
    <s v=""/>
    <x v="0"/>
  </r>
  <r>
    <n v="148"/>
    <m/>
    <s v="KAPW-IB-38705-10-09-2021"/>
    <d v="2021-09-10T00:00:00"/>
    <x v="0"/>
    <x v="0"/>
    <n v="43778"/>
    <x v="0"/>
    <x v="0"/>
    <n v="5407.52"/>
    <n v="5.4"/>
    <n v="0"/>
    <n v="0"/>
    <x v="11"/>
    <s v="100% POLYESTER MICRO FIBER FABRIC ,82GSM"/>
    <n v="1070809.8800000001"/>
    <x v="0"/>
    <n v="397066.46"/>
    <x v="0"/>
    <m/>
    <d v="2023-09-10T00:00:00"/>
    <x v="0"/>
    <x v="0"/>
    <x v="0"/>
    <x v="0"/>
    <x v="0"/>
    <x v="0"/>
    <d v="2023-07-12T00:00:00"/>
    <x v="0"/>
    <x v="1"/>
    <x v="0"/>
    <x v="0"/>
    <x v="0"/>
    <x v="2"/>
    <n v="24.460000000000004"/>
    <n v="9.07"/>
    <n v="0"/>
    <s v=""/>
    <x v="0"/>
  </r>
  <r>
    <n v="149"/>
    <m/>
    <s v="KAPE-IB-49040-13-09-2021"/>
    <d v="2021-09-13T00:00:00"/>
    <x v="0"/>
    <x v="0"/>
    <n v="40497.699999999997"/>
    <x v="0"/>
    <x v="0"/>
    <n v="5205.13"/>
    <n v="3.22"/>
    <n v="0"/>
    <n v="0"/>
    <x v="10"/>
    <s v="30/1 Cotton Yarn"/>
    <n v="22361282"/>
    <x v="0"/>
    <n v="5384261"/>
    <x v="0"/>
    <n v="128479151"/>
    <d v="2023-09-13T00:00:00"/>
    <x v="0"/>
    <x v="0"/>
    <x v="0"/>
    <x v="0"/>
    <x v="0"/>
    <x v="0"/>
    <d v="2023-07-15T00:00:00"/>
    <x v="0"/>
    <x v="0"/>
    <x v="0"/>
    <x v="0"/>
    <x v="0"/>
    <x v="3"/>
    <n v="552.16177708857549"/>
    <n v="132.95226642500685"/>
    <n v="0"/>
    <s v=""/>
    <x v="0"/>
  </r>
  <r>
    <n v="150"/>
    <m/>
    <s v="KAPE-IB-49033-13-09-2021"/>
    <d v="2021-09-13T00:00:00"/>
    <x v="0"/>
    <x v="0"/>
    <n v="20363.8"/>
    <x v="0"/>
    <x v="0"/>
    <n v="5205.13"/>
    <n v="3.22"/>
    <n v="0"/>
    <n v="0"/>
    <x v="10"/>
    <s v="30/1 Cotton Yarn"/>
    <n v="11244112"/>
    <x v="0"/>
    <n v="2707414"/>
    <x v="0"/>
    <n v="128479155"/>
    <d v="2023-09-13T00:00:00"/>
    <x v="0"/>
    <x v="0"/>
    <x v="0"/>
    <x v="0"/>
    <x v="0"/>
    <x v="0"/>
    <d v="2023-07-15T00:00:00"/>
    <x v="0"/>
    <x v="0"/>
    <x v="0"/>
    <x v="0"/>
    <x v="0"/>
    <x v="3"/>
    <n v="552.1617772714327"/>
    <n v="132.95229770475058"/>
    <n v="0"/>
    <s v=""/>
    <x v="0"/>
  </r>
  <r>
    <n v="151"/>
    <m/>
    <s v="KAPE-IB-50788-16-09-2021"/>
    <d v="2021-09-16T00:00:00"/>
    <x v="0"/>
    <x v="0"/>
    <n v="36288"/>
    <x v="0"/>
    <x v="0"/>
    <n v="5206.25"/>
    <n v="5.2"/>
    <n v="0"/>
    <n v="0"/>
    <x v="3"/>
    <s v="60:40 - 60% COTTON AND 40% 0.8D POLYESTER COMPACT"/>
    <n v="32607877"/>
    <x v="0"/>
    <n v="7851488"/>
    <x v="0"/>
    <n v="139571795"/>
    <d v="2023-09-16T00:00:00"/>
    <x v="0"/>
    <x v="0"/>
    <x v="0"/>
    <x v="0"/>
    <x v="0"/>
    <x v="0"/>
    <d v="2023-07-18T00:00:00"/>
    <x v="0"/>
    <x v="0"/>
    <x v="0"/>
    <x v="0"/>
    <x v="0"/>
    <x v="3"/>
    <n v="898.58567570546734"/>
    <n v="216.36596119929453"/>
    <n v="0"/>
    <s v=""/>
    <x v="0"/>
  </r>
  <r>
    <n v="152"/>
    <m/>
    <s v="KAPE-IB-50825-16-09-2021"/>
    <d v="2021-09-16T00:00:00"/>
    <x v="1"/>
    <x v="0"/>
    <n v="48808.9"/>
    <x v="0"/>
    <x v="0"/>
    <n v="4810.29"/>
    <n v="1.23"/>
    <n v="0"/>
    <n v="0"/>
    <x v="9"/>
    <s v="2/S COATED ART BOARD "/>
    <n v="54665.968000000008"/>
    <x v="0"/>
    <n v="23428.272000000001"/>
    <x v="0"/>
    <m/>
    <d v="2023-09-16T00:00:00"/>
    <x v="0"/>
    <x v="0"/>
    <x v="0"/>
    <x v="0"/>
    <x v="0"/>
    <x v="0"/>
    <d v="2023-07-18T00:00:00"/>
    <x v="0"/>
    <x v="0"/>
    <x v="0"/>
    <x v="0"/>
    <x v="0"/>
    <x v="6"/>
    <n v="1.1200000000000001"/>
    <n v="0.48"/>
    <n v="0"/>
    <s v=""/>
    <x v="0"/>
  </r>
  <r>
    <n v="153"/>
    <m/>
    <s v="KAPE-IB-51468-17-09-2021"/>
    <d v="2021-09-17T00:00:00"/>
    <x v="0"/>
    <x v="0"/>
    <n v="36288"/>
    <x v="0"/>
    <x v="0"/>
    <n v="5206.24"/>
    <n v="5.2"/>
    <n v="0"/>
    <n v="0"/>
    <x v="3"/>
    <s v="60:40 - 60% COTTON AND 40% 0.8D POLYESTER"/>
    <n v="32636751"/>
    <x v="0"/>
    <n v="7858440"/>
    <x v="0"/>
    <n v="139571793"/>
    <d v="2023-09-17T00:00:00"/>
    <x v="0"/>
    <x v="0"/>
    <x v="0"/>
    <x v="0"/>
    <x v="0"/>
    <x v="0"/>
    <d v="2023-07-19T00:00:00"/>
    <x v="0"/>
    <x v="0"/>
    <x v="0"/>
    <x v="0"/>
    <x v="0"/>
    <x v="3"/>
    <n v="899.38136574074076"/>
    <n v="216.55753968253967"/>
    <n v="0"/>
    <s v=""/>
    <x v="0"/>
  </r>
  <r>
    <n v="154"/>
    <m/>
    <s v="KAPE-IB-51455-17-09-2021"/>
    <d v="2021-09-17T00:00:00"/>
    <x v="0"/>
    <x v="0"/>
    <n v="36288"/>
    <x v="0"/>
    <x v="0"/>
    <n v="5206.24"/>
    <n v="5.2"/>
    <n v="0"/>
    <n v="0"/>
    <x v="3"/>
    <s v="60:40 - 60% COTTON AND 40% 0.8D POLYESTER COMPACT   60/1 "/>
    <n v="32636751"/>
    <x v="0"/>
    <n v="7858440"/>
    <x v="0"/>
    <n v="139571794"/>
    <d v="2023-09-17T00:00:00"/>
    <x v="0"/>
    <x v="0"/>
    <x v="0"/>
    <x v="0"/>
    <x v="0"/>
    <x v="0"/>
    <d v="2023-07-19T00:00:00"/>
    <x v="0"/>
    <x v="0"/>
    <x v="0"/>
    <x v="0"/>
    <x v="0"/>
    <x v="3"/>
    <n v="899.38136574074076"/>
    <n v="216.55753968253967"/>
    <n v="0"/>
    <s v=""/>
    <x v="0"/>
  </r>
  <r>
    <n v="155"/>
    <m/>
    <s v="KAPE-IB-51765-17-09-2021"/>
    <d v="2021-09-17T00:00:00"/>
    <x v="0"/>
    <x v="0"/>
    <n v="35851.1"/>
    <x v="0"/>
    <x v="0"/>
    <n v="5205.13"/>
    <n v="4.9000000000000004"/>
    <n v="0"/>
    <n v="0"/>
    <x v="10"/>
    <s v="30/1 Cotton Yarn"/>
    <n v="30383591"/>
    <x v="0"/>
    <n v="7315913"/>
    <x v="0"/>
    <n v="139571799"/>
    <d v="2023-09-17T00:00:00"/>
    <x v="0"/>
    <x v="0"/>
    <x v="0"/>
    <x v="0"/>
    <x v="0"/>
    <x v="0"/>
    <d v="2023-07-19T00:00:00"/>
    <x v="0"/>
    <x v="0"/>
    <x v="0"/>
    <x v="0"/>
    <x v="0"/>
    <x v="3"/>
    <n v="847.49396810697579"/>
    <n v="204.06383625607026"/>
    <n v="0"/>
    <s v=""/>
    <x v="0"/>
  </r>
  <r>
    <n v="156"/>
    <m/>
    <s v="KAPE-IB-54907-22-09-2021"/>
    <d v="2021-09-22T00:00:00"/>
    <x v="0"/>
    <x v="0"/>
    <n v="20675"/>
    <x v="0"/>
    <x v="0"/>
    <n v="5205.13"/>
    <n v="3.35"/>
    <n v="0"/>
    <n v="0"/>
    <x v="10"/>
    <s v="30/1 Cotton Yarn"/>
    <n v="11954555"/>
    <x v="0"/>
    <n v="2878478"/>
    <x v="0"/>
    <n v="139571785"/>
    <d v="2023-09-22T00:00:00"/>
    <x v="0"/>
    <x v="0"/>
    <x v="0"/>
    <x v="0"/>
    <x v="0"/>
    <x v="0"/>
    <d v="2023-07-24T00:00:00"/>
    <x v="0"/>
    <x v="0"/>
    <x v="0"/>
    <x v="0"/>
    <x v="0"/>
    <x v="3"/>
    <n v="578.21305925030231"/>
    <n v="139.22505441354292"/>
    <n v="0"/>
    <s v=""/>
    <x v="0"/>
  </r>
  <r>
    <n v="157"/>
    <m/>
    <s v="KAPW-IB-46867-28-09-2021"/>
    <d v="2021-09-28T00:00:00"/>
    <x v="0"/>
    <x v="0"/>
    <n v="19040"/>
    <x v="0"/>
    <x v="0"/>
    <n v="2915.11"/>
    <n v="0.67"/>
    <n v="0"/>
    <n v="0"/>
    <x v="12"/>
    <s v="FORMIC ACID 85% (THE GO"/>
    <n v="2205739"/>
    <x v="0"/>
    <n v="817826"/>
    <x v="0"/>
    <n v="139571801"/>
    <d v="2023-09-28T00:00:00"/>
    <x v="0"/>
    <x v="0"/>
    <x v="0"/>
    <x v="0"/>
    <x v="0"/>
    <x v="0"/>
    <d v="2023-07-30T00:00:00"/>
    <x v="0"/>
    <x v="0"/>
    <x v="0"/>
    <x v="0"/>
    <x v="0"/>
    <x v="5"/>
    <n v="115.84763655462184"/>
    <n v="42.953046218487394"/>
    <n v="0"/>
    <s v=""/>
    <x v="0"/>
  </r>
  <r>
    <n v="158"/>
    <m/>
    <s v="KAPE-IB-59396-28-09-2021"/>
    <d v="2021-09-28T00:00:00"/>
    <x v="0"/>
    <x v="0"/>
    <n v="18000"/>
    <x v="0"/>
    <x v="0"/>
    <n v="2832.1089999999999"/>
    <n v="1.65"/>
    <n v="0"/>
    <n v="0"/>
    <x v="12"/>
    <s v="HYDROBLUE 90 E (THE GOOD"/>
    <n v="5135336"/>
    <x v="0"/>
    <n v="933090"/>
    <x v="0"/>
    <n v="139571813"/>
    <d v="2023-09-28T00:00:00"/>
    <x v="0"/>
    <x v="0"/>
    <x v="0"/>
    <x v="0"/>
    <x v="0"/>
    <x v="0"/>
    <d v="2023-07-30T00:00:00"/>
    <x v="0"/>
    <x v="0"/>
    <x v="0"/>
    <x v="0"/>
    <x v="0"/>
    <x v="5"/>
    <n v="285.29644444444443"/>
    <n v="51.838333333333331"/>
    <n v="0"/>
    <s v=""/>
    <x v="0"/>
  </r>
  <r>
    <n v="159"/>
    <m/>
    <s v="KAPW-IB-46876-28-09-2021"/>
    <d v="2021-09-28T00:00:00"/>
    <x v="0"/>
    <x v="0"/>
    <n v="18200"/>
    <x v="0"/>
    <x v="0"/>
    <n v="3906.9029999999998"/>
    <n v="2.0499999999999998"/>
    <n v="0"/>
    <n v="0"/>
    <x v="12"/>
    <s v="FLOPRINT TA 160 AF PIGMENT "/>
    <n v="6451158"/>
    <x v="0"/>
    <n v="1400876"/>
    <x v="0"/>
    <n v="139571815"/>
    <d v="2023-09-28T00:00:00"/>
    <x v="0"/>
    <x v="0"/>
    <x v="0"/>
    <x v="0"/>
    <x v="0"/>
    <x v="0"/>
    <d v="2023-07-30T00:00:00"/>
    <x v="0"/>
    <x v="0"/>
    <x v="0"/>
    <x v="0"/>
    <x v="0"/>
    <x v="5"/>
    <n v="354.45923076923077"/>
    <n v="76.971208791208795"/>
    <n v="0"/>
    <s v=""/>
    <x v="0"/>
  </r>
  <r>
    <n v="160"/>
    <m/>
    <s v="KAPW-IB-46926-29-09-2021"/>
    <d v="2021-09-29T00:00:00"/>
    <x v="0"/>
    <x v="0"/>
    <n v="3161"/>
    <x v="0"/>
    <x v="0"/>
    <n v="5210.49"/>
    <n v="9.3526000000000007"/>
    <n v="0"/>
    <n v="0"/>
    <x v="2"/>
    <s v=" 78% POLYESTER 17% VISCOSE 05% SPANDE"/>
    <n v="5126524"/>
    <x v="0"/>
    <n v="1597871"/>
    <x v="0"/>
    <n v="139571792"/>
    <d v="2023-09-29T00:00:00"/>
    <x v="0"/>
    <x v="0"/>
    <x v="0"/>
    <x v="0"/>
    <x v="0"/>
    <x v="0"/>
    <d v="2023-07-31T00:00:00"/>
    <x v="0"/>
    <x v="0"/>
    <x v="0"/>
    <x v="0"/>
    <x v="0"/>
    <x v="2"/>
    <n v="1621.8044922492882"/>
    <n v="505.49541284403671"/>
    <n v="0"/>
    <s v=""/>
    <x v="0"/>
  </r>
  <r>
    <n v="161"/>
    <m/>
    <s v="KAPE-IB-59437-29-09-2021"/>
    <d v="2021-09-29T00:00:00"/>
    <x v="0"/>
    <x v="0"/>
    <n v="12000"/>
    <x v="0"/>
    <x v="0"/>
    <n v="3910"/>
    <n v="2.65"/>
    <n v="0"/>
    <n v="0"/>
    <x v="12"/>
    <s v="TEXTILE CHEMICAL (MICROS 50 HS MICROEMULSION) (SILICON)"/>
    <n v="6458887"/>
    <x v="0"/>
    <n v="1173580"/>
    <x v="0"/>
    <n v="139571805"/>
    <d v="2023-09-29T00:00:00"/>
    <x v="0"/>
    <x v="0"/>
    <x v="0"/>
    <x v="0"/>
    <x v="0"/>
    <x v="0"/>
    <d v="2023-07-31T00:00:00"/>
    <x v="0"/>
    <x v="0"/>
    <x v="0"/>
    <x v="0"/>
    <x v="0"/>
    <x v="5"/>
    <n v="538.24058333333335"/>
    <n v="97.798333333333332"/>
    <n v="0"/>
    <s v=""/>
    <x v="0"/>
  </r>
  <r>
    <n v="162"/>
    <m/>
    <s v="KAPE-IB-59497-29-09-2021"/>
    <d v="2021-09-29T00:00:00"/>
    <x v="0"/>
    <x v="0"/>
    <n v="36000"/>
    <x v="0"/>
    <x v="0"/>
    <n v="3905.3"/>
    <n v="2.75"/>
    <n v="0"/>
    <n v="0"/>
    <x v="12"/>
    <s v="POLYVINYL ALCOHOL PVA GRADE:BP-17A             for polly"/>
    <n v="17167273"/>
    <x v="0"/>
    <n v="3119293"/>
    <x v="0"/>
    <n v="139571814"/>
    <d v="2023-09-29T00:00:00"/>
    <x v="0"/>
    <x v="0"/>
    <x v="0"/>
    <x v="0"/>
    <x v="0"/>
    <x v="0"/>
    <d v="2023-07-31T00:00:00"/>
    <x v="0"/>
    <x v="0"/>
    <x v="0"/>
    <x v="0"/>
    <x v="0"/>
    <x v="5"/>
    <n v="476.86869444444443"/>
    <n v="86.64702777777778"/>
    <n v="0"/>
    <s v=""/>
    <x v="0"/>
  </r>
  <r>
    <n v="163"/>
    <m/>
    <s v="KAPW-IB-48085-30-09-2021"/>
    <d v="2021-09-30T00:00:00"/>
    <x v="0"/>
    <x v="0"/>
    <n v="46200"/>
    <x v="0"/>
    <x v="0"/>
    <n v="5402.33"/>
    <n v="1.52"/>
    <n v="0"/>
    <n v="0"/>
    <x v="6"/>
    <s v="100% POLYESTER YARN (DTY150D/48F SD R"/>
    <n v="12166307.999999998"/>
    <x v="0"/>
    <n v="4648644"/>
    <x v="0"/>
    <m/>
    <d v="2023-09-30T00:00:00"/>
    <x v="0"/>
    <x v="0"/>
    <x v="0"/>
    <x v="0"/>
    <x v="0"/>
    <x v="0"/>
    <d v="2023-08-01T00:00:00"/>
    <x v="0"/>
    <x v="1"/>
    <x v="0"/>
    <x v="0"/>
    <x v="0"/>
    <x v="3"/>
    <n v="263.33999999999997"/>
    <n v="100.62"/>
    <n v="0"/>
    <s v=""/>
    <x v="0"/>
  </r>
  <r>
    <n v="164"/>
    <m/>
    <s v="KAPE-IB-61368-02-10-2021"/>
    <d v="2021-10-02T00:00:00"/>
    <x v="0"/>
    <x v="0"/>
    <n v="24480"/>
    <x v="0"/>
    <x v="0"/>
    <n v="5402.33"/>
    <n v="1.62"/>
    <n v="0"/>
    <n v="0"/>
    <x v="6"/>
    <s v="100% POLYESTER TEXTURED YARN (DTY 100D/48F"/>
    <n v="6921720"/>
    <x v="0"/>
    <n v="2942985.6"/>
    <x v="0"/>
    <m/>
    <d v="2023-10-02T00:00:00"/>
    <x v="0"/>
    <x v="0"/>
    <x v="0"/>
    <x v="0"/>
    <x v="0"/>
    <x v="0"/>
    <d v="2023-08-03T00:00:00"/>
    <x v="0"/>
    <x v="1"/>
    <x v="0"/>
    <x v="0"/>
    <x v="0"/>
    <x v="3"/>
    <n v="282.75"/>
    <n v="120.22"/>
    <n v="0"/>
    <s v=""/>
    <x v="0"/>
  </r>
  <r>
    <n v="165"/>
    <m/>
    <s v="KAPW-IB-50950-05-10-2021"/>
    <d v="2021-10-05T00:00:00"/>
    <x v="0"/>
    <x v="0"/>
    <n v="48960"/>
    <x v="0"/>
    <x v="0"/>
    <n v="5402.33"/>
    <n v="1.62"/>
    <n v="0"/>
    <n v="0"/>
    <x v="6"/>
    <s v="100% POLYESTER TEXTURED YARN (DTY 100D/48F"/>
    <n v="13831689.6"/>
    <x v="0"/>
    <n v="5881075.2000000002"/>
    <x v="0"/>
    <m/>
    <d v="2023-10-05T00:00:00"/>
    <x v="0"/>
    <x v="0"/>
    <x v="0"/>
    <x v="0"/>
    <x v="0"/>
    <x v="0"/>
    <d v="2023-08-06T00:00:00"/>
    <x v="0"/>
    <x v="1"/>
    <x v="0"/>
    <x v="0"/>
    <x v="0"/>
    <x v="3"/>
    <n v="282.51"/>
    <n v="120.12"/>
    <n v="0"/>
    <s v=""/>
    <x v="0"/>
  </r>
  <r>
    <n v="166"/>
    <m/>
    <s v="KAPE-IB-62523-05-10-2021"/>
    <d v="2021-10-05T00:00:00"/>
    <x v="0"/>
    <x v="0"/>
    <n v="60807"/>
    <x v="0"/>
    <x v="0"/>
    <n v="5205.13"/>
    <n v="4.7699999999999996"/>
    <n v="0"/>
    <n v="0"/>
    <x v="10"/>
    <s v="30/1 Cotton Yarn"/>
    <n v="50580580"/>
    <x v="0"/>
    <n v="12179045"/>
    <x v="0"/>
    <n v="139571842"/>
    <d v="2023-10-05T00:00:00"/>
    <x v="0"/>
    <x v="0"/>
    <x v="0"/>
    <x v="0"/>
    <x v="0"/>
    <x v="0"/>
    <d v="2023-08-06T00:00:00"/>
    <x v="0"/>
    <x v="0"/>
    <x v="0"/>
    <x v="0"/>
    <x v="0"/>
    <x v="3"/>
    <n v="831.82166526880133"/>
    <n v="200.29018040686105"/>
    <n v="0"/>
    <s v=""/>
    <x v="0"/>
  </r>
  <r>
    <n v="167"/>
    <m/>
    <s v="KAPE-IB-62762-06-10-2021"/>
    <d v="2021-10-06T00:00:00"/>
    <x v="0"/>
    <x v="0"/>
    <n v="20027.2"/>
    <x v="0"/>
    <x v="0"/>
    <n v="5205.13"/>
    <n v="3.22"/>
    <n v="0"/>
    <n v="0"/>
    <x v="10"/>
    <s v="30/1 Cotton Yarn"/>
    <n v="11268762"/>
    <x v="0"/>
    <n v="2713349"/>
    <x v="0"/>
    <n v="139571843"/>
    <d v="2023-10-06T00:00:00"/>
    <x v="0"/>
    <x v="0"/>
    <x v="0"/>
    <x v="0"/>
    <x v="0"/>
    <x v="0"/>
    <d v="2023-08-07T00:00:00"/>
    <x v="0"/>
    <x v="0"/>
    <x v="0"/>
    <x v="0"/>
    <x v="0"/>
    <x v="3"/>
    <n v="562.6728649037309"/>
    <n v="135.4831928577135"/>
    <n v="0"/>
    <s v=""/>
    <x v="0"/>
  </r>
  <r>
    <n v="168"/>
    <m/>
    <s v="KAPW-IB-51492-06-10-2021"/>
    <d v="2021-10-06T00:00:00"/>
    <x v="0"/>
    <x v="0"/>
    <n v="200"/>
    <x v="0"/>
    <x v="0"/>
    <n v="3402.39"/>
    <s v="6.72 / 4.48"/>
    <n v="0"/>
    <n v="0"/>
    <x v="12"/>
    <s v="CHEMICAL (LIQUID COLOR NNW/PC FOR FABRIC TREATMENT) NEED A CARD  INORDER TO USE FABRIC (Old 3402.1190)"/>
    <n v="195712"/>
    <x v="0"/>
    <n v="94180"/>
    <x v="0"/>
    <m/>
    <d v="2023-10-06T00:00:00"/>
    <x v="0"/>
    <x v="0"/>
    <x v="0"/>
    <x v="0"/>
    <x v="0"/>
    <x v="0"/>
    <d v="2023-08-07T00:00:00"/>
    <x v="0"/>
    <x v="1"/>
    <x v="0"/>
    <x v="0"/>
    <x v="0"/>
    <x v="5"/>
    <n v="978.56"/>
    <n v="470.9"/>
    <n v="0"/>
    <s v=""/>
    <x v="0"/>
  </r>
  <r>
    <n v="169"/>
    <m/>
    <s v="KAPW-IB-53792-11-10-2021"/>
    <d v="2021-10-11T00:00:00"/>
    <x v="0"/>
    <x v="0"/>
    <n v="23400"/>
    <x v="0"/>
    <x v="0"/>
    <n v="5402.33"/>
    <n v="1.51"/>
    <n v="0"/>
    <n v="0"/>
    <x v="6"/>
    <s v="100% VIRGIN POLYESTER YARN (DTY 150D"/>
    <n v="6176196"/>
    <x v="0"/>
    <n v="2625948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63.94"/>
    <n v="112.22"/>
    <n v="0"/>
    <s v=""/>
    <x v="0"/>
  </r>
  <r>
    <n v="170"/>
    <m/>
    <s v="KAPE-IB-65347-11-10-2021"/>
    <d v="2021-10-11T00:00:00"/>
    <x v="0"/>
    <x v="0"/>
    <n v="48960"/>
    <x v="0"/>
    <x v="0"/>
    <n v="5402.33"/>
    <n v="1.63"/>
    <n v="0"/>
    <n v="0"/>
    <x v="6"/>
    <s v="100% POLYESTER TEXTURED YARN (DTY 100D/1"/>
    <n v="13949193.600000001"/>
    <x v="0"/>
    <n v="5931014.4000000004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84.91000000000003"/>
    <n v="121.14"/>
    <n v="0"/>
    <s v=""/>
    <x v="0"/>
  </r>
  <r>
    <n v="171"/>
    <m/>
    <s v="KAPE-IB-65341-11-10-2021"/>
    <d v="2021-10-11T00:00:00"/>
    <x v="0"/>
    <x v="0"/>
    <n v="18144"/>
    <x v="0"/>
    <x v="0"/>
    <n v="5206.24"/>
    <n v="5.2"/>
    <n v="0"/>
    <n v="0"/>
    <x v="3"/>
    <s v="60:40 - 60% COTTON AND 40% 0.8D POLYESTER COMPACT"/>
    <n v="423843.83999999997"/>
    <x v="0"/>
    <n v="102150.72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3.36"/>
    <n v="5.63"/>
    <n v="0"/>
    <s v=""/>
    <x v="0"/>
  </r>
  <r>
    <n v="172"/>
    <m/>
    <s v="KAPE-IB-65345-11-10-2021"/>
    <d v="2021-10-11T00:00:00"/>
    <x v="0"/>
    <x v="0"/>
    <n v="25200"/>
    <x v="0"/>
    <x v="0"/>
    <n v="5402.33"/>
    <n v="1.45"/>
    <n v="0"/>
    <n v="0"/>
    <x v="6"/>
    <s v="100% POLYESTER YARN (DTY 300D/96F)"/>
    <n v="6386940"/>
    <x v="0"/>
    <n v="2715552"/>
    <x v="0"/>
    <m/>
    <d v="2023-10-11T00:00:00"/>
    <x v="0"/>
    <x v="0"/>
    <x v="0"/>
    <x v="0"/>
    <x v="0"/>
    <x v="0"/>
    <d v="2023-08-12T00:00:00"/>
    <x v="0"/>
    <x v="1"/>
    <x v="0"/>
    <x v="0"/>
    <x v="0"/>
    <x v="3"/>
    <n v="253.45"/>
    <n v="107.76"/>
    <n v="0"/>
    <s v=""/>
    <x v="0"/>
  </r>
  <r>
    <n v="173"/>
    <m/>
    <s v="KAPE-IB-66723-12-10-2021"/>
    <d v="2021-10-12T00:00:00"/>
    <x v="0"/>
    <x v="0"/>
    <n v="20227.900000000001"/>
    <x v="0"/>
    <x v="0"/>
    <n v="5205.13"/>
    <n v="3.22"/>
    <n v="0"/>
    <n v="0"/>
    <x v="10"/>
    <s v="30/1 Cotton Yarn"/>
    <n v="11358436"/>
    <x v="0"/>
    <n v="2734941"/>
    <x v="0"/>
    <n v="139571868"/>
    <d v="2023-10-12T00:00:00"/>
    <x v="0"/>
    <x v="0"/>
    <x v="0"/>
    <x v="0"/>
    <x v="0"/>
    <x v="0"/>
    <d v="2023-08-13T00:00:00"/>
    <x v="0"/>
    <x v="0"/>
    <x v="0"/>
    <x v="0"/>
    <x v="0"/>
    <x v="3"/>
    <n v="561.52324265000323"/>
    <n v="135.20637337538744"/>
    <n v="0"/>
    <s v=""/>
    <x v="0"/>
  </r>
  <r>
    <n v="174"/>
    <m/>
    <s v="KAPE-IB-66716-12-10-2021"/>
    <d v="2021-10-12T00:00:00"/>
    <x v="0"/>
    <x v="0"/>
    <n v="19880.099999999999"/>
    <x v="0"/>
    <x v="0"/>
    <n v="5205.13"/>
    <n v="3.22"/>
    <n v="0"/>
    <n v="0"/>
    <x v="10"/>
    <s v="30/1 Cotton Yarn"/>
    <n v="1163138"/>
    <x v="0"/>
    <n v="2687916"/>
    <x v="0"/>
    <n v="139571867"/>
    <d v="2023-10-12T00:00:00"/>
    <x v="0"/>
    <x v="0"/>
    <x v="0"/>
    <x v="0"/>
    <x v="0"/>
    <x v="0"/>
    <d v="2023-08-13T00:00:00"/>
    <x v="0"/>
    <x v="0"/>
    <x v="0"/>
    <x v="0"/>
    <x v="0"/>
    <x v="3"/>
    <n v="58.507653382025246"/>
    <n v="135.20636214103553"/>
    <n v="0"/>
    <s v=""/>
    <x v="0"/>
  </r>
  <r>
    <n v="175"/>
    <m/>
    <s v="KAPE-IB-66730-12-10-2021"/>
    <d v="2021-10-12T00:00:00"/>
    <x v="0"/>
    <x v="0"/>
    <n v="39756.800000000003"/>
    <x v="0"/>
    <x v="0"/>
    <n v="5205.13"/>
    <n v="4.7699999999999996"/>
    <n v="0"/>
    <n v="0"/>
    <x v="10"/>
    <s v="30/1 Cotton Yarn"/>
    <n v="33070568"/>
    <x v="0"/>
    <n v="7962896"/>
    <x v="0"/>
    <n v="139571869"/>
    <d v="2023-10-12T00:00:00"/>
    <x v="0"/>
    <x v="0"/>
    <x v="0"/>
    <x v="0"/>
    <x v="0"/>
    <x v="0"/>
    <d v="2023-08-13T00:00:00"/>
    <x v="0"/>
    <x v="0"/>
    <x v="0"/>
    <x v="0"/>
    <x v="0"/>
    <x v="3"/>
    <n v="831.8216757887958"/>
    <n v="200.29016419832581"/>
    <n v="0"/>
    <s v=""/>
    <x v="0"/>
  </r>
  <r>
    <n v="176"/>
    <m/>
    <s v="KAPW-IB-54903-12-10-2021"/>
    <d v="2021-10-12T00:00:00"/>
    <x v="0"/>
    <x v="0"/>
    <n v="69300"/>
    <x v="0"/>
    <x v="0"/>
    <n v="5402.33"/>
    <n v="1.5149999999999999"/>
    <n v="0"/>
    <n v="0"/>
    <x v="6"/>
    <s v="100% POLYESTER YARN (DTY150D/48F"/>
    <n v="18307674"/>
    <x v="0"/>
    <n v="6995835"/>
    <x v="0"/>
    <m/>
    <d v="2023-10-12T00:00:00"/>
    <x v="0"/>
    <x v="0"/>
    <x v="0"/>
    <x v="0"/>
    <x v="0"/>
    <x v="0"/>
    <d v="2023-08-13T00:00:00"/>
    <x v="0"/>
    <x v="1"/>
    <x v="0"/>
    <x v="0"/>
    <x v="0"/>
    <x v="3"/>
    <n v="264.18"/>
    <n v="100.95"/>
    <n v="0"/>
    <s v=""/>
    <x v="0"/>
  </r>
  <r>
    <n v="177"/>
    <m/>
    <s v="KAPW-IB-55540-13-10-2021"/>
    <d v="2021-10-13T00:00:00"/>
    <x v="0"/>
    <x v="0"/>
    <n v="23100"/>
    <x v="0"/>
    <x v="0"/>
    <n v="5402.33"/>
    <n v="1.63"/>
    <n v="0"/>
    <n v="0"/>
    <x v="6"/>
    <s v="100% POLYESTER TEXTURED YARN"/>
    <n v="6575877"/>
    <x v="0"/>
    <n v="2512587"/>
    <x v="0"/>
    <m/>
    <d v="2023-10-13T00:00:00"/>
    <x v="0"/>
    <x v="0"/>
    <x v="0"/>
    <x v="0"/>
    <x v="0"/>
    <x v="0"/>
    <d v="2023-08-14T00:00:00"/>
    <x v="0"/>
    <x v="1"/>
    <x v="0"/>
    <x v="0"/>
    <x v="0"/>
    <x v="3"/>
    <n v="284.67"/>
    <n v="108.77"/>
    <n v="0"/>
    <s v=""/>
    <x v="0"/>
  </r>
  <r>
    <n v="178"/>
    <m/>
    <s v="KAPE-IB-67667-13-10-2021"/>
    <d v="2021-10-13T00:00:00"/>
    <x v="0"/>
    <x v="0"/>
    <n v="20750"/>
    <x v="0"/>
    <x v="0"/>
    <n v="5205.13"/>
    <n v="3.35"/>
    <n v="0"/>
    <n v="0"/>
    <x v="10"/>
    <s v="30/1 Cotton Yarn"/>
    <n v="12139741"/>
    <x v="0"/>
    <n v="2923068"/>
    <x v="0"/>
    <n v="139571861"/>
    <d v="2023-10-13T00:00:00"/>
    <x v="0"/>
    <x v="0"/>
    <x v="0"/>
    <x v="0"/>
    <x v="0"/>
    <x v="0"/>
    <d v="2023-08-14T00:00:00"/>
    <x v="0"/>
    <x v="0"/>
    <x v="0"/>
    <x v="0"/>
    <x v="0"/>
    <x v="3"/>
    <n v="585.04775903614461"/>
    <n v="140.8707469879518"/>
    <n v="0"/>
    <s v=""/>
    <x v="0"/>
  </r>
  <r>
    <n v="179"/>
    <m/>
    <s v="KAPE-IB-67666-13-10-2021"/>
    <d v="2021-10-13T00:00:00"/>
    <x v="0"/>
    <x v="0"/>
    <n v="81956.100000000006"/>
    <x v="0"/>
    <x v="0"/>
    <n v="5205.13"/>
    <n v="3.22"/>
    <n v="0"/>
    <n v="0"/>
    <x v="10"/>
    <s v="30/1 Cotton Yarn"/>
    <n v="46087554"/>
    <x v="0"/>
    <n v="11097192"/>
    <x v="0"/>
    <n v="139571872"/>
    <d v="2023-10-13T00:00:00"/>
    <x v="0"/>
    <x v="0"/>
    <x v="0"/>
    <x v="0"/>
    <x v="0"/>
    <x v="0"/>
    <d v="2023-08-14T00:00:00"/>
    <x v="0"/>
    <x v="0"/>
    <x v="0"/>
    <x v="0"/>
    <x v="0"/>
    <x v="3"/>
    <n v="562.3444014539491"/>
    <n v="135.40410048794413"/>
    <n v="0"/>
    <s v=""/>
    <x v="0"/>
  </r>
  <r>
    <n v="180"/>
    <m/>
    <s v="KAPW-IB-56155-14-10-2021"/>
    <d v="2021-10-14T00:00:00"/>
    <x v="0"/>
    <x v="0"/>
    <n v="23100"/>
    <x v="0"/>
    <x v="0"/>
    <n v="5402.33"/>
    <n v="1.63"/>
    <n v="0"/>
    <n v="0"/>
    <x v="6"/>
    <s v="100% POLYESTER TEXTURED YARN"/>
    <n v="6587196.0000000009"/>
    <x v="0"/>
    <n v="2516976"/>
    <x v="0"/>
    <m/>
    <d v="2023-10-14T00:00:00"/>
    <x v="0"/>
    <x v="0"/>
    <x v="0"/>
    <x v="0"/>
    <x v="0"/>
    <x v="0"/>
    <d v="2023-08-15T00:00:00"/>
    <x v="0"/>
    <x v="1"/>
    <x v="0"/>
    <x v="0"/>
    <x v="0"/>
    <x v="3"/>
    <n v="285.16000000000003"/>
    <n v="108.96"/>
    <n v="0"/>
    <s v=""/>
    <x v="0"/>
  </r>
  <r>
    <n v="181"/>
    <m/>
    <s v="KAPW-IB-57410-15-10-2021"/>
    <d v="2021-10-15T00:00:00"/>
    <x v="0"/>
    <x v="0"/>
    <n v="23100"/>
    <x v="0"/>
    <x v="0"/>
    <n v="5402.33"/>
    <n v="1.63"/>
    <n v="0"/>
    <n v="0"/>
    <x v="6"/>
    <s v="100% POLYESTER YARN (DTY 100D/48F"/>
    <n v="6591123"/>
    <x v="0"/>
    <n v="2518362"/>
    <x v="0"/>
    <m/>
    <d v="2023-10-15T00:00:00"/>
    <x v="0"/>
    <x v="0"/>
    <x v="0"/>
    <x v="0"/>
    <x v="0"/>
    <x v="0"/>
    <d v="2023-08-16T00:00:00"/>
    <x v="0"/>
    <x v="1"/>
    <x v="0"/>
    <x v="0"/>
    <x v="0"/>
    <x v="3"/>
    <n v="285.33"/>
    <n v="109.02"/>
    <n v="0"/>
    <s v=""/>
    <x v="0"/>
  </r>
  <r>
    <n v="182"/>
    <m/>
    <s v="KAPW-IB-57553-16-10-2021"/>
    <d v="2021-10-16T00:00:00"/>
    <x v="0"/>
    <x v="0"/>
    <n v="4610"/>
    <x v="0"/>
    <x v="0"/>
    <n v="3204.1590000000001"/>
    <n v="5.2"/>
    <n v="0"/>
    <n v="0"/>
    <x v="5"/>
    <s v="TEXTILE DYES"/>
    <n v="5055902"/>
    <x v="0"/>
    <n v="1874588"/>
    <x v="0"/>
    <n v="139571883"/>
    <d v="2023-10-16T00:00:00"/>
    <x v="0"/>
    <x v="0"/>
    <x v="0"/>
    <x v="0"/>
    <x v="0"/>
    <x v="0"/>
    <d v="2023-08-17T00:00:00"/>
    <x v="0"/>
    <x v="0"/>
    <x v="0"/>
    <x v="0"/>
    <x v="0"/>
    <x v="4"/>
    <n v="1096.724945770065"/>
    <n v="406.63514099783077"/>
    <n v="0"/>
    <s v=""/>
    <x v="0"/>
  </r>
  <r>
    <n v="183"/>
    <m/>
    <s v="KAPE-IB-71477-20-10-2021"/>
    <d v="2021-10-20T00:00:00"/>
    <x v="0"/>
    <x v="0"/>
    <n v="59588.9"/>
    <x v="0"/>
    <x v="0"/>
    <n v="5205.13"/>
    <n v="4.7699999999999996"/>
    <n v="0"/>
    <n v="0"/>
    <x v="10"/>
    <s v="30/1 Cotton Yarn"/>
    <n v="49784803"/>
    <x v="0"/>
    <n v="11987433"/>
    <x v="0"/>
    <n v="139571884"/>
    <d v="2023-10-20T00:00:00"/>
    <x v="0"/>
    <x v="0"/>
    <x v="0"/>
    <x v="0"/>
    <x v="0"/>
    <x v="0"/>
    <d v="2023-08-21T00:00:00"/>
    <x v="0"/>
    <x v="0"/>
    <x v="0"/>
    <x v="0"/>
    <x v="0"/>
    <x v="3"/>
    <n v="835.47108605797382"/>
    <n v="201.1688921930091"/>
    <n v="0"/>
    <s v=""/>
    <x v="0"/>
  </r>
  <r>
    <n v="184"/>
    <m/>
    <s v="KAPE-IB-73834-25-10-2021"/>
    <d v="2021-10-25T00:00:00"/>
    <x v="0"/>
    <x v="0"/>
    <n v="23100"/>
    <x v="0"/>
    <x v="0"/>
    <n v="5402.33"/>
    <n v="1.63"/>
    <n v="0"/>
    <n v="0"/>
    <x v="6"/>
    <s v="100% POLYESTER TEXTURED YARN (DTY 100D"/>
    <n v="6698769"/>
    <x v="0"/>
    <n v="2559480"/>
    <x v="0"/>
    <m/>
    <d v="2023-10-25T00:00:00"/>
    <x v="0"/>
    <x v="0"/>
    <x v="0"/>
    <x v="0"/>
    <x v="0"/>
    <x v="0"/>
    <d v="2023-08-26T00:00:00"/>
    <x v="0"/>
    <x v="1"/>
    <x v="0"/>
    <x v="0"/>
    <x v="0"/>
    <x v="3"/>
    <n v="289.99"/>
    <n v="110.8"/>
    <n v="0"/>
    <s v=""/>
    <x v="0"/>
  </r>
  <r>
    <n v="185"/>
    <m/>
    <s v="KAPE-IB-73827-25-10-2021"/>
    <d v="2021-10-25T00:00:00"/>
    <x v="0"/>
    <x v="0"/>
    <n v="23100"/>
    <x v="0"/>
    <x v="0"/>
    <n v="5402.33"/>
    <n v="1.63"/>
    <n v="0"/>
    <n v="0"/>
    <x v="6"/>
    <s v="100% POLYESTER TEXTURED YARN (DTY 100D"/>
    <n v="6698769"/>
    <x v="0"/>
    <n v="2559480"/>
    <x v="0"/>
    <m/>
    <d v="2023-10-25T00:00:00"/>
    <x v="0"/>
    <x v="0"/>
    <x v="0"/>
    <x v="0"/>
    <x v="0"/>
    <x v="0"/>
    <d v="2023-08-26T00:00:00"/>
    <x v="0"/>
    <x v="1"/>
    <x v="0"/>
    <x v="0"/>
    <x v="0"/>
    <x v="3"/>
    <n v="289.99"/>
    <n v="110.8"/>
    <n v="0"/>
    <s v=""/>
    <x v="0"/>
  </r>
  <r>
    <n v="186"/>
    <m/>
    <s v="KAPW-IB-63108-29-10-2021"/>
    <d v="2021-10-29T00:00:00"/>
    <x v="0"/>
    <x v="0"/>
    <n v="1075"/>
    <x v="0"/>
    <x v="0"/>
    <n v="3507.9"/>
    <n v="1.1140000000000001"/>
    <n v="0"/>
    <n v="0"/>
    <x v="12"/>
    <s v="K-LINE BLEACH THE +BIO LOGIC  AA CARD "/>
    <n v="573818"/>
    <x v="0"/>
    <n v="211878"/>
    <x v="0"/>
    <n v="139571909"/>
    <d v="2023-10-29T00:00:00"/>
    <x v="0"/>
    <x v="0"/>
    <x v="0"/>
    <x v="0"/>
    <x v="0"/>
    <x v="0"/>
    <d v="2023-08-30T00:00:00"/>
    <x v="0"/>
    <x v="0"/>
    <x v="0"/>
    <x v="0"/>
    <x v="0"/>
    <x v="5"/>
    <n v="533.78418604651165"/>
    <n v="197.09581395348837"/>
    <n v="0"/>
    <s v=""/>
    <x v="0"/>
  </r>
  <r>
    <n v="187"/>
    <m/>
    <s v="KAPW-IB-63381-30-10-2021"/>
    <d v="2021-10-30T00:00:00"/>
    <x v="0"/>
    <x v="0"/>
    <n v="50075"/>
    <x v="0"/>
    <x v="0"/>
    <n v="1108.19"/>
    <s v="0.44 / 0.425"/>
    <n v="0"/>
    <n v="0"/>
    <x v="12"/>
    <s v="EMSIZE V (STARCH)"/>
    <n v="4541301.75"/>
    <x v="0"/>
    <n v="1745614.5"/>
    <x v="0"/>
    <m/>
    <d v="2023-10-30T00:00:00"/>
    <x v="0"/>
    <x v="0"/>
    <x v="0"/>
    <x v="0"/>
    <x v="0"/>
    <x v="0"/>
    <d v="2023-08-31T00:00:00"/>
    <x v="0"/>
    <x v="1"/>
    <x v="0"/>
    <x v="0"/>
    <x v="0"/>
    <x v="5"/>
    <n v="90.69"/>
    <n v="34.86"/>
    <n v="0"/>
    <s v=""/>
    <x v="0"/>
  </r>
  <r>
    <n v="188"/>
    <m/>
    <s v="KAPW-IB-65024-04-11-2021"/>
    <d v="2021-11-04T00:00:00"/>
    <x v="0"/>
    <x v="0"/>
    <n v="18200"/>
    <x v="0"/>
    <x v="0"/>
    <n v="3906.9029999999998"/>
    <n v="2.75"/>
    <n v="0"/>
    <n v="0"/>
    <x v="12"/>
    <s v="FLOWPRINT "/>
    <n v="8730577"/>
    <x v="0"/>
    <n v="1895853"/>
    <x v="0"/>
    <n v="139571922"/>
    <d v="2023-11-04T00:00:00"/>
    <x v="0"/>
    <x v="0"/>
    <x v="0"/>
    <x v="0"/>
    <x v="0"/>
    <x v="0"/>
    <d v="2023-09-05T00:00:00"/>
    <x v="0"/>
    <x v="0"/>
    <x v="0"/>
    <x v="0"/>
    <x v="0"/>
    <x v="5"/>
    <n v="479.70203296703295"/>
    <n v="104.16774725274725"/>
    <n v="0"/>
    <s v=""/>
    <x v="0"/>
  </r>
  <r>
    <n v="189"/>
    <m/>
    <s v="KAPE-IB-81636-06-11-2021"/>
    <d v="2021-11-06T00:00:00"/>
    <x v="0"/>
    <x v="0"/>
    <n v="21000"/>
    <x v="0"/>
    <x v="0"/>
    <n v="3204.16"/>
    <s v="3.30+3.30"/>
    <n v="0"/>
    <n v="0"/>
    <x v="5"/>
    <s v="TEXTILE DYES"/>
    <n v="11948788"/>
    <x v="0"/>
    <n v="4430276"/>
    <x v="0"/>
    <n v="139571926"/>
    <d v="2023-11-06T00:00:00"/>
    <x v="0"/>
    <x v="0"/>
    <x v="0"/>
    <x v="0"/>
    <x v="0"/>
    <x v="0"/>
    <d v="2023-09-07T00:00:00"/>
    <x v="0"/>
    <x v="0"/>
    <x v="0"/>
    <x v="0"/>
    <x v="0"/>
    <x v="4"/>
    <n v="568.98990476190477"/>
    <n v="210.9655238095238"/>
    <n v="0"/>
    <s v=""/>
    <x v="0"/>
  </r>
  <r>
    <n v="190"/>
    <m/>
    <s v="KAPE-IB-83341-08-11-2021"/>
    <d v="2021-11-08T00:00:00"/>
    <x v="0"/>
    <x v="0"/>
    <n v="16000"/>
    <x v="0"/>
    <x v="0"/>
    <n v="3906.9090000000001"/>
    <n v="2.5499999999999998"/>
    <n v="0"/>
    <n v="0"/>
    <x v="12"/>
    <s v="NEOPAT BINDER PM/S 45"/>
    <n v="7096224"/>
    <x v="0"/>
    <n v="2211802"/>
    <x v="0"/>
    <n v="139571939"/>
    <d v="2023-11-08T00:00:00"/>
    <x v="0"/>
    <x v="0"/>
    <x v="0"/>
    <x v="0"/>
    <x v="0"/>
    <x v="0"/>
    <d v="2023-09-09T00:00:00"/>
    <x v="0"/>
    <x v="0"/>
    <x v="0"/>
    <x v="0"/>
    <x v="0"/>
    <x v="5"/>
    <n v="443.51400000000001"/>
    <n v="138.23762500000001"/>
    <n v="0"/>
    <s v=""/>
    <x v="0"/>
  </r>
  <r>
    <n v="191"/>
    <m/>
    <s v="KAPE-IB-83971-09-11-2021"/>
    <d v="2021-11-09T00:00:00"/>
    <x v="0"/>
    <x v="0"/>
    <n v="24120"/>
    <x v="0"/>
    <x v="0"/>
    <n v="5402.33"/>
    <n v="1.51"/>
    <n v="0"/>
    <n v="0"/>
    <x v="6"/>
    <s v="100% VIRGIN POLYESTER YARN"/>
    <n v="6334635.5999999996"/>
    <x v="0"/>
    <n v="2693480.4"/>
    <x v="0"/>
    <m/>
    <d v="2023-11-09T00:00:00"/>
    <x v="0"/>
    <x v="0"/>
    <x v="0"/>
    <x v="0"/>
    <x v="0"/>
    <x v="0"/>
    <d v="2023-09-10T00:00:00"/>
    <x v="0"/>
    <x v="1"/>
    <x v="0"/>
    <x v="0"/>
    <x v="0"/>
    <x v="3"/>
    <n v="262.63"/>
    <n v="111.67"/>
    <n v="0"/>
    <s v=""/>
    <x v="0"/>
  </r>
  <r>
    <n v="192"/>
    <m/>
    <s v="KAPE-IB-84000-09-11-2021"/>
    <d v="2021-11-09T00:00:00"/>
    <x v="0"/>
    <x v="0"/>
    <n v="20160"/>
    <x v="0"/>
    <x v="0"/>
    <n v="2915.11"/>
    <n v="0.72499999999999998"/>
    <n v="0"/>
    <n v="0"/>
    <x v="12"/>
    <s v="FORMIC ACID 85%"/>
    <n v="2542118"/>
    <x v="0"/>
    <n v="942547"/>
    <x v="0"/>
    <n v="139571938"/>
    <d v="2023-11-09T00:00:00"/>
    <x v="0"/>
    <x v="0"/>
    <x v="0"/>
    <x v="0"/>
    <x v="0"/>
    <x v="0"/>
    <d v="2023-09-10T00:00:00"/>
    <x v="0"/>
    <x v="0"/>
    <x v="0"/>
    <x v="0"/>
    <x v="0"/>
    <x v="5"/>
    <n v="126.09712301587301"/>
    <n v="46.753323412698414"/>
    <n v="0"/>
    <s v=""/>
    <x v="0"/>
  </r>
  <r>
    <n v="193"/>
    <m/>
    <s v="KAPW-IB-67471-10-11-2021"/>
    <d v="2021-11-10T00:00:00"/>
    <x v="0"/>
    <x v="0"/>
    <n v="1760"/>
    <x v="0"/>
    <x v="0"/>
    <n v="5407.51"/>
    <n v="4.0625"/>
    <n v="0"/>
    <n v="0"/>
    <x v="11"/>
    <s v="100% GRS MICROFIBER DRY GREIGE FINISHED FABRIC"/>
    <n v="1247224"/>
    <x v="0"/>
    <n v="388748.79999999999"/>
    <x v="0"/>
    <m/>
    <d v="2023-11-10T00:00:00"/>
    <x v="0"/>
    <x v="0"/>
    <x v="0"/>
    <x v="0"/>
    <x v="0"/>
    <x v="0"/>
    <d v="2023-09-11T00:00:00"/>
    <x v="0"/>
    <x v="1"/>
    <x v="0"/>
    <x v="0"/>
    <x v="0"/>
    <x v="2"/>
    <n v="708.65"/>
    <n v="220.88"/>
    <n v="0"/>
    <s v=""/>
    <x v="0"/>
  </r>
  <r>
    <n v="194"/>
    <m/>
    <s v="KAPE-IB-86333-11-11-2021"/>
    <d v="2021-11-11T00:00:00"/>
    <x v="0"/>
    <x v="0"/>
    <n v="16000"/>
    <x v="0"/>
    <x v="0"/>
    <n v="3402.13"/>
    <n v="1.85"/>
    <n v="0"/>
    <n v="0"/>
    <x v="12"/>
    <s v="NEOPAT COMPOUND 96"/>
    <n v="5196553"/>
    <x v="0"/>
    <n v="1926736"/>
    <x v="0"/>
    <n v="139571947"/>
    <d v="2023-11-11T00:00:00"/>
    <x v="0"/>
    <x v="0"/>
    <x v="0"/>
    <x v="0"/>
    <x v="0"/>
    <x v="0"/>
    <d v="2023-09-12T00:00:00"/>
    <x v="0"/>
    <x v="0"/>
    <x v="0"/>
    <x v="0"/>
    <x v="0"/>
    <x v="5"/>
    <n v="324.78456249999999"/>
    <n v="120.42100000000001"/>
    <n v="0"/>
    <s v=""/>
    <x v="0"/>
  </r>
  <r>
    <n v="195"/>
    <m/>
    <s v="KAPE-IB-86329-11-11-2021"/>
    <d v="2021-11-11T00:00:00"/>
    <x v="0"/>
    <x v="0"/>
    <n v="7500"/>
    <x v="0"/>
    <x v="0"/>
    <n v="3204.16"/>
    <s v="18.87+13.91+9.43+9.17+12.37+9.74"/>
    <n v="0"/>
    <n v="0"/>
    <x v="5"/>
    <s v="TEXTILE DYES"/>
    <n v="14259822"/>
    <x v="0"/>
    <n v="5287142"/>
    <x v="0"/>
    <n v="139571946"/>
    <d v="2023-11-11T00:00:00"/>
    <x v="0"/>
    <x v="0"/>
    <x v="0"/>
    <x v="0"/>
    <x v="0"/>
    <x v="0"/>
    <d v="2023-09-12T00:00:00"/>
    <x v="0"/>
    <x v="0"/>
    <x v="0"/>
    <x v="0"/>
    <x v="0"/>
    <x v="4"/>
    <n v="1901.3096"/>
    <n v="704.95226666666667"/>
    <n v="0"/>
    <s v=""/>
    <x v="0"/>
  </r>
  <r>
    <n v="196"/>
    <m/>
    <s v="KAPW-IB-70911-15-11-2021"/>
    <d v="2021-11-15T00:00:00"/>
    <x v="0"/>
    <x v="0"/>
    <n v="18200"/>
    <x v="0"/>
    <x v="0"/>
    <n v="3906.9029999999998"/>
    <n v="2.0499999999999998"/>
    <n v="0"/>
    <n v="0"/>
    <x v="12"/>
    <s v="FLOPRINT TA 160 AF"/>
    <n v="6647167"/>
    <x v="0"/>
    <n v="1443439"/>
    <x v="0"/>
    <n v="139571970"/>
    <d v="2023-11-15T00:00:00"/>
    <x v="0"/>
    <x v="0"/>
    <x v="0"/>
    <x v="0"/>
    <x v="0"/>
    <x v="0"/>
    <d v="2023-09-16T00:00:00"/>
    <x v="0"/>
    <x v="0"/>
    <x v="0"/>
    <x v="0"/>
    <x v="0"/>
    <x v="5"/>
    <n v="365.22895604395603"/>
    <n v="79.309835164835164"/>
    <n v="0"/>
    <s v=""/>
    <x v="0"/>
  </r>
  <r>
    <n v="197"/>
    <m/>
    <s v="KAPE-IB-89256-15-11-2021"/>
    <d v="2021-11-15T00:00:00"/>
    <x v="0"/>
    <x v="0"/>
    <n v="40822.9"/>
    <x v="0"/>
    <x v="0"/>
    <n v="5205.13"/>
    <n v="4.7699999999999996"/>
    <n v="0"/>
    <n v="0"/>
    <x v="10"/>
    <s v="30/1 Cotton Yarn"/>
    <n v="34692338"/>
    <x v="0"/>
    <n v="8353394"/>
    <x v="0"/>
    <n v="139571953"/>
    <d v="2023-11-15T00:00:00"/>
    <x v="0"/>
    <x v="0"/>
    <x v="0"/>
    <x v="0"/>
    <x v="0"/>
    <x v="0"/>
    <d v="2023-09-16T00:00:00"/>
    <x v="0"/>
    <x v="0"/>
    <x v="0"/>
    <x v="0"/>
    <x v="0"/>
    <x v="3"/>
    <n v="849.82541661665391"/>
    <n v="204.62519811184407"/>
    <n v="0"/>
    <s v=""/>
    <x v="0"/>
  </r>
  <r>
    <n v="198"/>
    <m/>
    <s v="KAPE-IB-89518-16-11-2021"/>
    <d v="2021-11-16T00:00:00"/>
    <x v="0"/>
    <x v="0"/>
    <n v="39976.400000000001"/>
    <x v="0"/>
    <x v="0"/>
    <n v="5205.13"/>
    <n v="4.7699999999999996"/>
    <n v="0"/>
    <n v="0"/>
    <x v="10"/>
    <s v="30/1 Cotton Yarn"/>
    <n v="34274467"/>
    <x v="0"/>
    <n v="8252777"/>
    <x v="0"/>
    <n v="139571952"/>
    <d v="2023-11-16T00:00:00"/>
    <x v="0"/>
    <x v="0"/>
    <x v="0"/>
    <x v="0"/>
    <x v="0"/>
    <x v="0"/>
    <d v="2023-09-17T00:00:00"/>
    <x v="0"/>
    <x v="0"/>
    <x v="0"/>
    <x v="0"/>
    <x v="0"/>
    <x v="3"/>
    <n v="857.36752183788428"/>
    <n v="206.44122532294054"/>
    <n v="0"/>
    <s v=""/>
    <x v="0"/>
  </r>
  <r>
    <n v="199"/>
    <m/>
    <s v="KAPE-IB-89565-16-11-2021"/>
    <d v="2021-11-16T00:00:00"/>
    <x v="0"/>
    <x v="0"/>
    <n v="61257"/>
    <x v="0"/>
    <x v="0"/>
    <n v="5205.13"/>
    <n v="3.22"/>
    <n v="0"/>
    <n v="0"/>
    <x v="10"/>
    <s v="30/1 Cotton Yarn"/>
    <n v="35453592"/>
    <x v="0"/>
    <n v="8536693"/>
    <x v="0"/>
    <n v="139571954"/>
    <d v="2023-11-16T00:00:00"/>
    <x v="0"/>
    <x v="0"/>
    <x v="0"/>
    <x v="0"/>
    <x v="0"/>
    <x v="0"/>
    <d v="2023-09-17T00:00:00"/>
    <x v="0"/>
    <x v="0"/>
    <x v="0"/>
    <x v="0"/>
    <x v="0"/>
    <x v="3"/>
    <n v="578.76801018659091"/>
    <n v="139.35865288864946"/>
    <n v="0"/>
    <s v=""/>
    <x v="0"/>
  </r>
  <r>
    <n v="200"/>
    <m/>
    <s v="KAPE-IB-91732-18-11-2021"/>
    <d v="2021-11-18T00:00:00"/>
    <x v="0"/>
    <x v="0"/>
    <n v="1275"/>
    <x v="0"/>
    <x v="0"/>
    <n v="5210.1099999999997"/>
    <n v="17.515000000000001"/>
    <n v="0"/>
    <n v="0"/>
    <x v="2"/>
    <s v="BLENDED FABRIC  73%CTN / 25%POLY / 2%SP ,"/>
    <n v="3995748"/>
    <x v="0"/>
    <n v="1245420"/>
    <x v="0"/>
    <m/>
    <d v="2023-11-18T00:00:00"/>
    <x v="0"/>
    <x v="0"/>
    <x v="0"/>
    <x v="0"/>
    <x v="0"/>
    <x v="0"/>
    <d v="2023-09-19T00:00:00"/>
    <x v="0"/>
    <x v="1"/>
    <x v="0"/>
    <x v="0"/>
    <x v="0"/>
    <x v="2"/>
    <n v="3133.92"/>
    <n v="976.8"/>
    <n v="0"/>
    <s v=""/>
    <x v="0"/>
  </r>
  <r>
    <n v="201"/>
    <m/>
    <s v="KAPE-IB-94325-23-11-2021"/>
    <d v="2021-11-23T00:00:00"/>
    <x v="0"/>
    <x v="0"/>
    <n v="16000"/>
    <x v="0"/>
    <x v="0"/>
    <n v="3906.9090000000001"/>
    <n v="2.5499999999999998"/>
    <n v="0"/>
    <n v="0"/>
    <x v="12"/>
    <s v="NEOPAT BINDER PM/S 45%)"/>
    <n v="6565440"/>
    <x v="0"/>
    <n v="2046400"/>
    <x v="0"/>
    <m/>
    <d v="2023-11-23T00:00:00"/>
    <x v="0"/>
    <x v="0"/>
    <x v="0"/>
    <x v="0"/>
    <x v="0"/>
    <x v="0"/>
    <d v="2023-09-24T00:00:00"/>
    <x v="0"/>
    <x v="1"/>
    <x v="0"/>
    <x v="0"/>
    <x v="0"/>
    <x v="5"/>
    <n v="410.34"/>
    <n v="127.9"/>
    <n v="0"/>
    <s v=""/>
    <x v="0"/>
  </r>
  <r>
    <n v="202"/>
    <m/>
    <s v="KAPE-IB-94334-23-11-2021"/>
    <d v="2021-11-23T00:00:00"/>
    <x v="0"/>
    <x v="0"/>
    <n v="16000"/>
    <x v="0"/>
    <x v="0"/>
    <n v="3906.9090000000001"/>
    <n v="2.5499999999999998"/>
    <n v="0"/>
    <n v="0"/>
    <x v="12"/>
    <s v="NEOPAT BINDER PM/S 45"/>
    <n v="7312640"/>
    <x v="0"/>
    <n v="2279200"/>
    <x v="0"/>
    <m/>
    <d v="2023-11-23T00:00:00"/>
    <x v="0"/>
    <x v="0"/>
    <x v="0"/>
    <x v="0"/>
    <x v="0"/>
    <x v="0"/>
    <d v="2023-09-24T00:00:00"/>
    <x v="0"/>
    <x v="1"/>
    <x v="0"/>
    <x v="0"/>
    <x v="0"/>
    <x v="5"/>
    <n v="457.04"/>
    <n v="142.44999999999999"/>
    <n v="0"/>
    <s v=""/>
    <x v="0"/>
  </r>
  <r>
    <n v="203"/>
    <m/>
    <s v="KAPE-IB-95153-24-11-2021"/>
    <d v="2021-11-24T00:00:00"/>
    <x v="0"/>
    <x v="0"/>
    <n v="24480"/>
    <x v="0"/>
    <x v="0"/>
    <n v="5402.33"/>
    <n v="1.64"/>
    <n v="0"/>
    <n v="0"/>
    <x v="6"/>
    <s v="100% POLYESTER YARN (DTY 100D/48F "/>
    <n v="7177291.2000000002"/>
    <x v="0"/>
    <n v="3051676.8"/>
    <x v="0"/>
    <m/>
    <d v="2023-11-24T00:00:00"/>
    <x v="0"/>
    <x v="0"/>
    <x v="0"/>
    <x v="0"/>
    <x v="0"/>
    <x v="0"/>
    <d v="2023-09-25T00:00:00"/>
    <x v="0"/>
    <x v="1"/>
    <x v="0"/>
    <x v="0"/>
    <x v="0"/>
    <x v="3"/>
    <n v="293.19"/>
    <n v="124.66"/>
    <n v="0"/>
    <s v=""/>
    <x v="0"/>
  </r>
  <r>
    <n v="204"/>
    <m/>
    <s v="KAPW-IB-77483-26-11-2021"/>
    <d v="2021-11-26T00:00:00"/>
    <x v="0"/>
    <x v="0"/>
    <n v="5280"/>
    <x v="0"/>
    <x v="0"/>
    <n v="3402.13"/>
    <n v="3.8"/>
    <n v="0"/>
    <n v="0"/>
    <x v="12"/>
    <s v="KOLLASOL CDA"/>
    <n v="4036348.8000000003"/>
    <x v="0"/>
    <n v="1496563.2"/>
    <x v="0"/>
    <m/>
    <d v="2023-11-26T00:00:00"/>
    <x v="0"/>
    <x v="0"/>
    <x v="0"/>
    <x v="0"/>
    <x v="0"/>
    <x v="0"/>
    <d v="2023-09-27T00:00:00"/>
    <x v="0"/>
    <x v="1"/>
    <x v="0"/>
    <x v="0"/>
    <x v="0"/>
    <x v="5"/>
    <n v="764.46"/>
    <n v="283.44"/>
    <n v="0"/>
    <s v=""/>
    <x v="0"/>
  </r>
  <r>
    <n v="205"/>
    <m/>
    <s v="KAPW-IB-79954-30-11-2021"/>
    <d v="2021-11-30T00:00:00"/>
    <x v="0"/>
    <x v="0"/>
    <n v="5000"/>
    <x v="0"/>
    <x v="0"/>
    <n v="3204.16"/>
    <n v="4.0039999999999996"/>
    <n v="0"/>
    <n v="0"/>
    <x v="5"/>
    <s v="DYES (FASFA BLACK C-ECO"/>
    <n v="3592301"/>
    <x v="0"/>
    <n v="1331925"/>
    <x v="0"/>
    <n v="139572012"/>
    <d v="2023-11-30T00:00:00"/>
    <x v="0"/>
    <x v="0"/>
    <x v="0"/>
    <x v="0"/>
    <x v="0"/>
    <x v="0"/>
    <d v="2023-10-01T00:00:00"/>
    <x v="0"/>
    <x v="0"/>
    <x v="0"/>
    <x v="0"/>
    <x v="0"/>
    <x v="4"/>
    <n v="718.46019999999999"/>
    <n v="266.38499999999999"/>
    <n v="0"/>
    <s v=""/>
    <x v="0"/>
  </r>
  <r>
    <n v="206"/>
    <m/>
    <s v="KAPE-IB-99339-30-11-2021"/>
    <d v="2021-11-30T00:00:00"/>
    <x v="0"/>
    <x v="0"/>
    <n v="60509.9"/>
    <x v="0"/>
    <x v="0"/>
    <n v="5205.13"/>
    <n v="3.3"/>
    <n v="0"/>
    <n v="0"/>
    <x v="10"/>
    <s v="30/1 Cotton Yarn"/>
    <n v="1210803.0990000002"/>
    <x v="0"/>
    <n v="291657.71800000005"/>
    <x v="0"/>
    <m/>
    <d v="2023-11-30T00:00:00"/>
    <x v="0"/>
    <x v="0"/>
    <x v="0"/>
    <x v="0"/>
    <x v="0"/>
    <x v="0"/>
    <d v="2023-10-01T00:00:00"/>
    <x v="0"/>
    <x v="0"/>
    <x v="0"/>
    <x v="0"/>
    <x v="0"/>
    <x v="3"/>
    <n v="20.010000000000002"/>
    <n v="4.8200000000000012"/>
    <n v="0"/>
    <s v=""/>
    <x v="0"/>
  </r>
  <r>
    <n v="207"/>
    <m/>
    <s v="KAPE-IB-99346-30-11-2021"/>
    <d v="2021-11-30T00:00:00"/>
    <x v="0"/>
    <x v="0"/>
    <n v="39741"/>
    <x v="0"/>
    <x v="0"/>
    <n v="5205.13"/>
    <n v="4.7699999999999996"/>
    <n v="0"/>
    <n v="0"/>
    <x v="10"/>
    <s v="30/1 Cotton Yarn"/>
    <n v="34014630"/>
    <x v="0"/>
    <n v="8190214"/>
    <x v="0"/>
    <n v="139572006"/>
    <d v="2023-11-30T00:00:00"/>
    <x v="0"/>
    <x v="0"/>
    <x v="0"/>
    <x v="0"/>
    <x v="0"/>
    <x v="0"/>
    <d v="2023-10-01T00:00:00"/>
    <x v="0"/>
    <x v="0"/>
    <x v="0"/>
    <x v="0"/>
    <x v="0"/>
    <x v="3"/>
    <n v="855.90775269872427"/>
    <n v="206.08978133413854"/>
    <n v="0"/>
    <s v=""/>
    <x v="0"/>
  </r>
  <r>
    <n v="208"/>
    <m/>
    <s v="KAPE-IB-99360-30-11-2021"/>
    <d v="2021-11-30T00:00:00"/>
    <x v="0"/>
    <x v="0"/>
    <n v="40518.400000000001"/>
    <x v="0"/>
    <x v="0"/>
    <n v="5205.13"/>
    <n v="3.3"/>
    <n v="0"/>
    <n v="0"/>
    <x v="10"/>
    <s v="30/1 Cotton Yarn"/>
    <n v="23992462"/>
    <x v="0"/>
    <n v="5777024"/>
    <x v="0"/>
    <n v="139572007"/>
    <d v="2023-11-30T00:00:00"/>
    <x v="0"/>
    <x v="0"/>
    <x v="0"/>
    <x v="0"/>
    <x v="0"/>
    <x v="0"/>
    <d v="2023-10-01T00:00:00"/>
    <x v="0"/>
    <x v="0"/>
    <x v="0"/>
    <x v="0"/>
    <x v="0"/>
    <x v="3"/>
    <n v="592.13744866529771"/>
    <n v="142.57779181803821"/>
    <n v="0"/>
    <s v=""/>
    <x v="0"/>
  </r>
  <r>
    <n v="209"/>
    <m/>
    <s v="KAPE-IB-99354-30-11-2021"/>
    <d v="2021-11-30T00:00:00"/>
    <x v="0"/>
    <x v="0"/>
    <n v="40085.1"/>
    <x v="0"/>
    <x v="0"/>
    <n v="5205.13"/>
    <n v="3.3"/>
    <n v="0"/>
    <n v="0"/>
    <x v="10"/>
    <s v="30/1 Cotton Yarn"/>
    <n v="23735889"/>
    <x v="0"/>
    <n v="5715245"/>
    <x v="0"/>
    <n v="139572004"/>
    <d v="2023-11-30T00:00:00"/>
    <x v="0"/>
    <x v="0"/>
    <x v="0"/>
    <x v="0"/>
    <x v="0"/>
    <x v="0"/>
    <d v="2023-10-01T00:00:00"/>
    <x v="0"/>
    <x v="0"/>
    <x v="0"/>
    <x v="0"/>
    <x v="0"/>
    <x v="3"/>
    <n v="592.13745256965808"/>
    <n v="142.57779075017899"/>
    <n v="0"/>
    <s v=""/>
    <x v="0"/>
  </r>
  <r>
    <n v="210"/>
    <m/>
    <s v="KAPW-IB-80150-01-12-2021"/>
    <d v="2021-12-01T00:00:00"/>
    <x v="0"/>
    <x v="0"/>
    <n v="5000"/>
    <x v="0"/>
    <x v="0"/>
    <n v="3204.2"/>
    <n v="7.6719999999999997"/>
    <n v="0"/>
    <n v="0"/>
    <x v="5"/>
    <s v="TEXTILE DYES (VEEBRIGH EHT)"/>
    <n v="6912500"/>
    <x v="0"/>
    <n v="2889700.0000000005"/>
    <x v="0"/>
    <m/>
    <d v="2023-12-01T00:00:00"/>
    <x v="0"/>
    <x v="0"/>
    <x v="0"/>
    <x v="0"/>
    <x v="0"/>
    <x v="0"/>
    <d v="2023-10-02T00:00:00"/>
    <x v="0"/>
    <x v="1"/>
    <x v="0"/>
    <x v="0"/>
    <x v="0"/>
    <x v="4"/>
    <n v="1382.5"/>
    <n v="577.94000000000005"/>
    <n v="0"/>
    <s v=""/>
    <x v="0"/>
  </r>
  <r>
    <n v="211"/>
    <m/>
    <s v="KAPW-IB-81108-02-12-2021"/>
    <d v="2021-12-02T00:00:00"/>
    <x v="0"/>
    <x v="0"/>
    <n v="18200"/>
    <x v="0"/>
    <x v="0"/>
    <n v="3906.9029999999998"/>
    <n v="2.0499999999999998"/>
    <n v="0"/>
    <n v="0"/>
    <x v="12"/>
    <s v="FLOPRINT TA "/>
    <n v="6704334"/>
    <x v="0"/>
    <n v="1455818"/>
    <x v="0"/>
    <m/>
    <d v="2023-12-02T00:00:00"/>
    <x v="0"/>
    <x v="0"/>
    <x v="0"/>
    <x v="0"/>
    <x v="0"/>
    <x v="0"/>
    <d v="2023-10-03T00:00:00"/>
    <x v="0"/>
    <x v="0"/>
    <x v="0"/>
    <x v="0"/>
    <x v="0"/>
    <x v="5"/>
    <n v="368.37"/>
    <n v="79.989999999999995"/>
    <n v="0"/>
    <s v=""/>
    <x v="0"/>
  </r>
  <r>
    <n v="212"/>
    <m/>
    <s v="KAPW-IB-81771-03-12-2021"/>
    <d v="2021-12-03T00:00:00"/>
    <x v="0"/>
    <x v="0"/>
    <n v="1500"/>
    <x v="0"/>
    <x v="0"/>
    <n v="3204.16"/>
    <n v="9.4742999999999995"/>
    <n v="0"/>
    <n v="0"/>
    <x v="5"/>
    <s v="TEXTILE DYES (BEMACRON SMART ORANGE EE"/>
    <n v="2550040"/>
    <x v="0"/>
    <n v="945483"/>
    <x v="0"/>
    <n v="139572015"/>
    <d v="2023-12-03T00:00:00"/>
    <x v="0"/>
    <x v="0"/>
    <x v="0"/>
    <x v="0"/>
    <x v="0"/>
    <x v="0"/>
    <d v="2023-10-04T00:00:00"/>
    <x v="0"/>
    <x v="0"/>
    <x v="0"/>
    <x v="0"/>
    <x v="0"/>
    <x v="4"/>
    <n v="1700.0266666666666"/>
    <n v="630.322"/>
    <n v="0"/>
    <s v=""/>
    <x v="0"/>
  </r>
  <r>
    <n v="213"/>
    <m/>
    <s v="KAPE-IB-101874-03-12-2021"/>
    <d v="2021-12-03T00:00:00"/>
    <x v="0"/>
    <x v="0"/>
    <n v="24480"/>
    <x v="0"/>
    <x v="0"/>
    <n v="5402.33"/>
    <n v="1.64"/>
    <n v="0"/>
    <n v="0"/>
    <x v="6"/>
    <s v="100% POLYESTER YARN (DTY 100D/48F"/>
    <n v="7203729.5999999996"/>
    <x v="0"/>
    <n v="3062937.6000000001"/>
    <x v="0"/>
    <m/>
    <d v="2023-12-03T00:00:00"/>
    <x v="0"/>
    <x v="0"/>
    <x v="0"/>
    <x v="0"/>
    <x v="0"/>
    <x v="0"/>
    <d v="2023-10-04T00:00:00"/>
    <x v="0"/>
    <x v="1"/>
    <x v="0"/>
    <x v="0"/>
    <x v="0"/>
    <x v="3"/>
    <n v="294.27"/>
    <n v="125.12"/>
    <n v="0"/>
    <s v=""/>
    <x v="0"/>
  </r>
  <r>
    <n v="214"/>
    <m/>
    <s v="KAPW-IB-83496-06-12-2021"/>
    <d v="2021-12-06T00:00:00"/>
    <x v="0"/>
    <x v="0"/>
    <n v="12145"/>
    <x v="0"/>
    <x v="0"/>
    <n v="5407.52"/>
    <n v="5.8258000000000001"/>
    <n v="0"/>
    <n v="0"/>
    <x v="11"/>
    <s v="100% POLY MICROFIBER FABRIC"/>
    <n v="12768038.5"/>
    <x v="0"/>
    <n v="4733999.55"/>
    <x v="0"/>
    <m/>
    <d v="2023-12-06T00:00:00"/>
    <x v="0"/>
    <x v="0"/>
    <x v="0"/>
    <x v="0"/>
    <x v="0"/>
    <x v="0"/>
    <d v="2023-10-07T00:00:00"/>
    <x v="0"/>
    <x v="1"/>
    <x v="0"/>
    <x v="0"/>
    <x v="0"/>
    <x v="2"/>
    <n v="1051.3"/>
    <n v="389.78999999999996"/>
    <n v="0"/>
    <s v=""/>
    <x v="0"/>
  </r>
  <r>
    <n v="215"/>
    <m/>
    <s v="KAPE-IB-103482-06-12-2021"/>
    <d v="2021-12-06T00:00:00"/>
    <x v="0"/>
    <x v="0"/>
    <n v="19874.400000000001"/>
    <x v="0"/>
    <x v="0"/>
    <n v="5205.13"/>
    <n v="3.3"/>
    <n v="0"/>
    <n v="0"/>
    <x v="10"/>
    <s v="30/1 Cotton Yarn"/>
    <n v="11835280"/>
    <x v="0"/>
    <n v="2849757"/>
    <x v="0"/>
    <n v="139572024"/>
    <d v="2023-12-06T00:00:00"/>
    <x v="0"/>
    <x v="0"/>
    <x v="0"/>
    <x v="0"/>
    <x v="0"/>
    <x v="0"/>
    <d v="2023-10-07T00:00:00"/>
    <x v="0"/>
    <x v="0"/>
    <x v="0"/>
    <x v="0"/>
    <x v="0"/>
    <x v="3"/>
    <n v="595.50376363563169"/>
    <n v="143.38832870426276"/>
    <n v="0"/>
    <s v=""/>
    <x v="0"/>
  </r>
  <r>
    <n v="216"/>
    <m/>
    <s v="KAPE-IB-103549-06-12-2021"/>
    <d v="2021-12-06T00:00:00"/>
    <x v="0"/>
    <x v="0"/>
    <n v="19847.7"/>
    <x v="0"/>
    <x v="0"/>
    <n v="5205.13"/>
    <n v="3.3"/>
    <n v="0"/>
    <n v="0"/>
    <x v="10"/>
    <s v="30/1 Cotton Yarn"/>
    <n v="11819380"/>
    <x v="0"/>
    <n v="2845929"/>
    <x v="0"/>
    <n v="139572023"/>
    <d v="2023-12-06T00:00:00"/>
    <x v="0"/>
    <x v="0"/>
    <x v="0"/>
    <x v="0"/>
    <x v="0"/>
    <x v="0"/>
    <d v="2023-10-07T00:00:00"/>
    <x v="0"/>
    <x v="0"/>
    <x v="0"/>
    <x v="0"/>
    <x v="0"/>
    <x v="3"/>
    <n v="595.5037611410894"/>
    <n v="143.38835230278571"/>
    <n v="0"/>
    <s v=""/>
    <x v="0"/>
  </r>
  <r>
    <n v="217"/>
    <m/>
    <s v="KPAF-IB-30892-13-12-2021"/>
    <d v="2021-12-13T00:00:00"/>
    <x v="0"/>
    <x v="0"/>
    <n v="2002.9"/>
    <x v="0"/>
    <x v="0"/>
    <n v="5210.49"/>
    <n v="10.8268"/>
    <n v="0"/>
    <n v="0"/>
    <x v="2"/>
    <s v="BLENDED POLYESTER MESH FABRIC 88% POLYESTER 12%"/>
    <n v="3939724.3290000004"/>
    <x v="0"/>
    <n v="1227957.9610000001"/>
    <x v="0"/>
    <m/>
    <d v="2023-12-13T00:00:00"/>
    <x v="0"/>
    <x v="0"/>
    <x v="0"/>
    <x v="0"/>
    <x v="0"/>
    <x v="0"/>
    <d v="2023-10-14T00:00:00"/>
    <x v="0"/>
    <x v="1"/>
    <x v="0"/>
    <x v="0"/>
    <x v="0"/>
    <x v="2"/>
    <n v="1967.01"/>
    <n v="613.09"/>
    <n v="0"/>
    <s v=""/>
    <x v="0"/>
  </r>
  <r>
    <n v="218"/>
    <m/>
    <s v="KAPE-IB-108499-14-12-2021"/>
    <d v="2021-12-14T00:00:00"/>
    <x v="0"/>
    <x v="0"/>
    <n v="24480"/>
    <x v="0"/>
    <x v="0"/>
    <n v="5402.33"/>
    <n v="1.64"/>
    <n v="0"/>
    <n v="0"/>
    <x v="6"/>
    <s v="100% POLYESTER YARN (DTY 100D/48F)"/>
    <n v="7296019.2000000002"/>
    <x v="0"/>
    <n v="3102105.6000000001"/>
    <x v="0"/>
    <m/>
    <d v="2023-12-14T00:00:00"/>
    <x v="0"/>
    <x v="0"/>
    <x v="0"/>
    <x v="0"/>
    <x v="0"/>
    <x v="0"/>
    <d v="2023-10-15T00:00:00"/>
    <x v="0"/>
    <x v="1"/>
    <x v="0"/>
    <x v="0"/>
    <x v="0"/>
    <x v="3"/>
    <n v="298.04000000000002"/>
    <n v="126.72"/>
    <n v="0"/>
    <s v=""/>
    <x v="0"/>
  </r>
  <r>
    <n v="219"/>
    <m/>
    <s v="KAPW-IB-88577-14-12-2021"/>
    <d v="2021-12-14T00:00:00"/>
    <x v="1"/>
    <x v="0"/>
    <n v="7532"/>
    <x v="0"/>
    <x v="0"/>
    <n v="5807.1019999999999"/>
    <n v="3.6644999999999999"/>
    <n v="0"/>
    <n v="0"/>
    <x v="9"/>
    <s v="WOVEN EDGE SATIN RIBBONS "/>
    <n v="5015935.4000000004"/>
    <x v="0"/>
    <n v="2032736.16"/>
    <x v="0"/>
    <m/>
    <d v="2023-12-14T00:00:00"/>
    <x v="0"/>
    <x v="0"/>
    <x v="0"/>
    <x v="0"/>
    <x v="0"/>
    <x v="0"/>
    <d v="2023-10-15T00:00:00"/>
    <x v="0"/>
    <x v="1"/>
    <x v="0"/>
    <x v="0"/>
    <x v="0"/>
    <x v="6"/>
    <n v="665.95"/>
    <n v="269.88"/>
    <n v="0"/>
    <s v=""/>
    <x v="0"/>
  </r>
  <r>
    <n v="220"/>
    <m/>
    <s v="KPPI-IB-42167-15-12-2021"/>
    <d v="2021-12-15T00:00:00"/>
    <x v="0"/>
    <x v="0"/>
    <n v="36000"/>
    <x v="0"/>
    <x v="0"/>
    <n v="3809.9189999999999"/>
    <n v="2.5"/>
    <n v="0"/>
    <n v="0"/>
    <x v="12"/>
    <s v="SUPER SIZE SIZING PRODUCTS FOR"/>
    <n v="16374135"/>
    <x v="0"/>
    <n v="6071071"/>
    <x v="0"/>
    <n v="139567796"/>
    <d v="2023-12-15T00:00:00"/>
    <x v="0"/>
    <x v="0"/>
    <x v="0"/>
    <x v="0"/>
    <x v="0"/>
    <x v="0"/>
    <d v="2023-10-16T00:00:00"/>
    <x v="0"/>
    <x v="0"/>
    <x v="0"/>
    <x v="0"/>
    <x v="0"/>
    <x v="5"/>
    <n v="454.83708333333334"/>
    <n v="168.64086111111112"/>
    <n v="0"/>
    <s v=""/>
    <x v="0"/>
  </r>
  <r>
    <n v="221"/>
    <m/>
    <s v="KPPI-IB-42182-16-12-2021"/>
    <d v="2021-12-16T00:00:00"/>
    <x v="0"/>
    <x v="0"/>
    <n v="18000"/>
    <x v="0"/>
    <x v="0"/>
    <n v="3809.9189999999999"/>
    <n v="2.5"/>
    <n v="0"/>
    <n v="0"/>
    <x v="12"/>
    <s v="SUPER SIZE -SIZING PRODUCTS "/>
    <n v="8187120"/>
    <x v="0"/>
    <n v="3035519.9999999995"/>
    <x v="0"/>
    <m/>
    <d v="2023-12-16T00:00:00"/>
    <x v="0"/>
    <x v="0"/>
    <x v="0"/>
    <x v="0"/>
    <x v="0"/>
    <x v="0"/>
    <d v="2023-10-17T00:00:00"/>
    <x v="0"/>
    <x v="0"/>
    <x v="0"/>
    <x v="0"/>
    <x v="0"/>
    <x v="5"/>
    <n v="454.84"/>
    <n v="168.64"/>
    <n v="0"/>
    <s v=""/>
    <x v="0"/>
  </r>
  <r>
    <n v="222"/>
    <m/>
    <s v="KAPE-IB-111446-16-12-2021"/>
    <d v="2021-12-16T00:00:00"/>
    <x v="0"/>
    <x v="0"/>
    <n v="19600"/>
    <x v="0"/>
    <x v="0"/>
    <n v="3402.13"/>
    <s v="1.85000_x000a_4.05000_x000a_3.95000"/>
    <n v="0"/>
    <n v="0"/>
    <x v="12"/>
    <s v="NEOPAT COMPOUND 96_x000a_ANTISCHIUMA NEOPAT N_x000a_TILASOL"/>
    <n v="8005228"/>
    <x v="0"/>
    <n v="2968028"/>
    <x v="0"/>
    <m/>
    <d v="2023-12-16T00:00:00"/>
    <x v="0"/>
    <x v="0"/>
    <x v="0"/>
    <x v="0"/>
    <x v="0"/>
    <x v="0"/>
    <d v="2023-10-17T00:00:00"/>
    <x v="0"/>
    <x v="1"/>
    <x v="0"/>
    <x v="0"/>
    <x v="0"/>
    <x v="5"/>
    <n v="408.43"/>
    <n v="151.43"/>
    <n v="0"/>
    <s v=""/>
    <x v="0"/>
  </r>
  <r>
    <n v="223"/>
    <m/>
    <s v="KAPE-IB-111629-17-12-2021"/>
    <d v="2021-12-17T00:00:00"/>
    <x v="0"/>
    <x v="0"/>
    <n v="24480"/>
    <x v="0"/>
    <x v="0"/>
    <n v="5402.33"/>
    <n v="1.64"/>
    <n v="0"/>
    <n v="0"/>
    <x v="6"/>
    <s v="100% POLYESTER YARN (DTY 100D/48F"/>
    <n v="7308259.2000000002"/>
    <x v="0"/>
    <n v="3107491.1999999997"/>
    <x v="0"/>
    <m/>
    <d v="2023-12-17T00:00:00"/>
    <x v="0"/>
    <x v="0"/>
    <x v="0"/>
    <x v="0"/>
    <x v="0"/>
    <x v="0"/>
    <d v="2023-10-18T00:00:00"/>
    <x v="0"/>
    <x v="1"/>
    <x v="0"/>
    <x v="0"/>
    <x v="0"/>
    <x v="3"/>
    <n v="298.54000000000002"/>
    <n v="126.93999999999998"/>
    <n v="0"/>
    <s v=""/>
    <x v="0"/>
  </r>
  <r>
    <n v="224"/>
    <m/>
    <s v="KAPE-IB-112508-18-12-2021"/>
    <d v="2021-12-18T00:00:00"/>
    <x v="0"/>
    <x v="0"/>
    <n v="18144"/>
    <x v="0"/>
    <x v="0"/>
    <n v="5205.2700000000004"/>
    <n v="6.52"/>
    <n v="0"/>
    <n v="0"/>
    <x v="10"/>
    <s v="60/1 cotton yarn "/>
    <n v="21534750.720000003"/>
    <x v="0"/>
    <n v="5185192.3199999994"/>
    <x v="0"/>
    <m/>
    <d v="2023-12-18T00:00:00"/>
    <x v="0"/>
    <x v="0"/>
    <x v="0"/>
    <x v="0"/>
    <x v="0"/>
    <x v="0"/>
    <d v="2023-10-19T00:00:00"/>
    <x v="0"/>
    <x v="0"/>
    <x v="0"/>
    <x v="0"/>
    <x v="0"/>
    <x v="3"/>
    <n v="1186.8800000000001"/>
    <n v="285.77999999999997"/>
    <n v="0"/>
    <s v=""/>
    <x v="0"/>
  </r>
  <r>
    <n v="225"/>
    <m/>
    <s v="KAPE-IB-112505-18-12-2021"/>
    <d v="2021-12-18T00:00:00"/>
    <x v="0"/>
    <x v="0"/>
    <n v="18144"/>
    <x v="0"/>
    <x v="0"/>
    <n v="5205.2700000000004"/>
    <n v="6.52"/>
    <n v="0"/>
    <n v="0"/>
    <x v="10"/>
    <s v="60/1 Cotton Yarn"/>
    <n v="21534750.720000003"/>
    <x v="0"/>
    <n v="5186280.96"/>
    <x v="0"/>
    <m/>
    <d v="2023-12-18T00:00:00"/>
    <x v="0"/>
    <x v="0"/>
    <x v="0"/>
    <x v="0"/>
    <x v="0"/>
    <x v="0"/>
    <d v="2023-10-19T00:00:00"/>
    <x v="0"/>
    <x v="0"/>
    <x v="0"/>
    <x v="0"/>
    <x v="0"/>
    <x v="3"/>
    <n v="1186.8800000000001"/>
    <n v="285.83999999999997"/>
    <n v="0"/>
    <s v=""/>
    <x v="0"/>
  </r>
  <r>
    <n v="226"/>
    <m/>
    <s v="KAPE-IB-115712-23-12-2021"/>
    <d v="2021-12-23T00:00:00"/>
    <x v="0"/>
    <x v="0"/>
    <n v="24480"/>
    <x v="0"/>
    <x v="0"/>
    <n v="5402.33"/>
    <n v="1.85"/>
    <n v="0"/>
    <n v="0"/>
    <x v="6"/>
    <s v="100% POLYESTER TEXTURED YARN"/>
    <n v="8246332.8000000007"/>
    <x v="0"/>
    <n v="3506270.4"/>
    <x v="0"/>
    <m/>
    <d v="2023-12-23T00:00:00"/>
    <x v="0"/>
    <x v="0"/>
    <x v="0"/>
    <x v="0"/>
    <x v="0"/>
    <x v="0"/>
    <d v="2023-10-24T00:00:00"/>
    <x v="0"/>
    <x v="1"/>
    <x v="0"/>
    <x v="0"/>
    <x v="0"/>
    <x v="3"/>
    <n v="336.86"/>
    <n v="143.22999999999999"/>
    <n v="0"/>
    <s v=""/>
    <x v="0"/>
  </r>
  <r>
    <n v="227"/>
    <m/>
    <s v="KAPE-IB-116715-24-12-2021"/>
    <d v="2021-12-24T00:00:00"/>
    <x v="0"/>
    <x v="0"/>
    <n v="6300"/>
    <x v="0"/>
    <x v="0"/>
    <n v="3204.16"/>
    <n v="7.4508000000000001"/>
    <n v="0"/>
    <n v="0"/>
    <x v="5"/>
    <s v=" TEXTILE DYES"/>
    <n v="8551999"/>
    <x v="0"/>
    <n v="3170842"/>
    <x v="0"/>
    <n v="139567810"/>
    <d v="2023-12-24T00:00:00"/>
    <x v="0"/>
    <x v="0"/>
    <x v="0"/>
    <x v="0"/>
    <x v="0"/>
    <x v="0"/>
    <d v="2023-10-25T00:00:00"/>
    <x v="0"/>
    <x v="0"/>
    <x v="0"/>
    <x v="0"/>
    <x v="0"/>
    <x v="4"/>
    <n v="1357.4601587301588"/>
    <n v="503.30825396825395"/>
    <n v="0"/>
    <s v=""/>
    <x v="0"/>
  </r>
  <r>
    <n v="228"/>
    <m/>
    <s v="KAPE-IB-116727-24-12-2021"/>
    <d v="2021-12-24T00:00:00"/>
    <x v="0"/>
    <x v="0"/>
    <n v="8000"/>
    <x v="0"/>
    <x v="0"/>
    <n v="3204.16"/>
    <n v="5.9569999999999999"/>
    <n v="0"/>
    <n v="0"/>
    <x v="5"/>
    <s v="TEXTILE DYES (REMAZOL BLUE"/>
    <n v="7989062"/>
    <x v="0"/>
    <n v="2962121"/>
    <x v="0"/>
    <n v="139567809"/>
    <d v="2023-12-24T00:00:00"/>
    <x v="0"/>
    <x v="0"/>
    <x v="0"/>
    <x v="0"/>
    <x v="0"/>
    <x v="0"/>
    <d v="2023-10-25T00:00:00"/>
    <x v="0"/>
    <x v="0"/>
    <x v="0"/>
    <x v="0"/>
    <x v="0"/>
    <x v="4"/>
    <n v="998.63274999999999"/>
    <n v="370.26512500000001"/>
    <n v="0"/>
    <s v=""/>
    <x v="0"/>
  </r>
  <r>
    <n v="229"/>
    <m/>
    <s v="KAPW-IB-96455-28-12-2021"/>
    <d v="2021-12-28T00:00:00"/>
    <x v="0"/>
    <x v="0"/>
    <n v="12960"/>
    <x v="0"/>
    <x v="0"/>
    <s v="3402.1300_x000a_3402.1990_x000a_3809.9190"/>
    <s v="2.18_x000a_2.65_x000a_4.2"/>
    <n v="0"/>
    <n v="0"/>
    <x v="12"/>
    <s v="WETMATIC WTL / DYMAFIX_x000a_(total remaing 1317.96 Kgs)"/>
    <n v="6014476.7999999998"/>
    <x v="0"/>
    <n v="2406931.2000000002"/>
    <x v="0"/>
    <m/>
    <d v="2023-12-28T00:00:00"/>
    <x v="0"/>
    <x v="0"/>
    <x v="0"/>
    <x v="0"/>
    <x v="0"/>
    <x v="0"/>
    <d v="2023-10-29T00:00:00"/>
    <x v="0"/>
    <x v="1"/>
    <x v="0"/>
    <x v="0"/>
    <x v="0"/>
    <x v="5"/>
    <n v="464.08"/>
    <n v="185.72000000000003"/>
    <n v="0"/>
    <s v=""/>
    <x v="0"/>
  </r>
  <r>
    <n v="230"/>
    <m/>
    <s v="KPAF-IB-33775-28-12-2021"/>
    <d v="2021-12-28T00:00:00"/>
    <x v="0"/>
    <x v="0"/>
    <n v="230.4"/>
    <x v="0"/>
    <x v="0"/>
    <n v="5402.33"/>
    <n v="30.83"/>
    <n v="0"/>
    <n v="0"/>
    <x v="15"/>
    <s v="POLYESTER ELASTOLEFIN YARN"/>
    <n v="1294154.496"/>
    <x v="0"/>
    <n v="403370.49599999998"/>
    <x v="0"/>
    <m/>
    <d v="2023-12-28T00:00:00"/>
    <x v="0"/>
    <x v="0"/>
    <x v="0"/>
    <x v="0"/>
    <x v="0"/>
    <x v="0"/>
    <d v="2023-10-29T00:00:00"/>
    <x v="0"/>
    <x v="1"/>
    <x v="0"/>
    <x v="0"/>
    <x v="0"/>
    <x v="3"/>
    <n v="5616.99"/>
    <n v="1750.7399999999998"/>
    <n v="0"/>
    <s v=""/>
    <x v="0"/>
  </r>
  <r>
    <n v="231"/>
    <m/>
    <s v="KAPW-IB-97856-30-12-2021"/>
    <d v="2021-12-30T00:00:00"/>
    <x v="0"/>
    <x v="0"/>
    <n v="3000"/>
    <x v="0"/>
    <x v="0"/>
    <n v="3204.16"/>
    <s v="16.40_x000a_19.24_x000a_8"/>
    <n v="0"/>
    <n v="0"/>
    <x v="5"/>
    <s v="TEXTILE DYES (NOVACRON BLUE "/>
    <n v="8459620"/>
    <x v="0"/>
    <n v="3136590"/>
    <x v="0"/>
    <n v="139567832"/>
    <d v="2023-12-30T00:00:00"/>
    <x v="0"/>
    <x v="0"/>
    <x v="0"/>
    <x v="0"/>
    <x v="0"/>
    <x v="0"/>
    <d v="2023-10-31T00:00:00"/>
    <x v="0"/>
    <x v="0"/>
    <x v="0"/>
    <x v="0"/>
    <x v="0"/>
    <x v="4"/>
    <n v="2819.8733333333334"/>
    <n v="1045.53"/>
    <n v="0"/>
    <s v=""/>
    <x v="0"/>
  </r>
  <r>
    <n v="232"/>
    <m/>
    <s v="KAPE-IB-120641-31-12-2021"/>
    <d v="2021-12-31T00:00:00"/>
    <x v="0"/>
    <x v="0"/>
    <n v="20173.400000000001"/>
    <x v="0"/>
    <x v="0"/>
    <n v="5205.13"/>
    <n v="4.7699999999999996"/>
    <n v="0"/>
    <n v="0"/>
    <x v="10"/>
    <s v="30/1 Cotton Yarn"/>
    <n v="17541376.502"/>
    <x v="0"/>
    <n v="4223704.7580000004"/>
    <x v="0"/>
    <m/>
    <d v="2023-12-31T00:00:00"/>
    <x v="0"/>
    <x v="0"/>
    <x v="0"/>
    <x v="0"/>
    <x v="0"/>
    <x v="0"/>
    <d v="2023-11-01T00:00:00"/>
    <x v="0"/>
    <x v="0"/>
    <x v="0"/>
    <x v="0"/>
    <x v="0"/>
    <x v="3"/>
    <n v="869.53"/>
    <n v="209.37"/>
    <n v="0"/>
    <s v=""/>
    <x v="0"/>
  </r>
  <r>
    <n v="233"/>
    <m/>
    <s v="KAPE-IB-120597-31-12-2021"/>
    <d v="2021-12-31T00:00:00"/>
    <x v="0"/>
    <x v="0"/>
    <n v="59805.1"/>
    <x v="0"/>
    <x v="0"/>
    <n v="5205.13"/>
    <n v="4.7699999999999996"/>
    <n v="0"/>
    <n v="0"/>
    <x v="10"/>
    <s v="30/1 Cotton Yarn"/>
    <n v="52002461"/>
    <x v="0"/>
    <n v="12521412"/>
    <x v="0"/>
    <n v="139567834"/>
    <d v="2023-12-31T00:00:00"/>
    <x v="0"/>
    <x v="0"/>
    <x v="0"/>
    <x v="0"/>
    <x v="0"/>
    <x v="0"/>
    <d v="2023-11-01T00:00:00"/>
    <x v="0"/>
    <x v="0"/>
    <x v="0"/>
    <x v="0"/>
    <x v="0"/>
    <x v="3"/>
    <n v="869.53221380785249"/>
    <n v="209.37030453924498"/>
    <n v="0"/>
    <s v=""/>
    <x v="0"/>
  </r>
  <r>
    <n v="234"/>
    <m/>
    <s v="KAPE-IB-120523-31-12-2021"/>
    <d v="2021-12-31T00:00:00"/>
    <x v="0"/>
    <x v="0"/>
    <n v="19836.400000000001"/>
    <x v="0"/>
    <x v="0"/>
    <n v="5205.13"/>
    <n v="3.3"/>
    <n v="0"/>
    <n v="0"/>
    <x v="10"/>
    <s v="30/1 Cotton Yarn"/>
    <n v="11932784.784"/>
    <x v="0"/>
    <n v="2873302.54"/>
    <x v="0"/>
    <m/>
    <d v="2023-12-31T00:00:00"/>
    <x v="0"/>
    <x v="0"/>
    <x v="0"/>
    <x v="0"/>
    <x v="0"/>
    <x v="0"/>
    <d v="2023-11-01T00:00:00"/>
    <x v="0"/>
    <x v="0"/>
    <x v="0"/>
    <x v="0"/>
    <x v="0"/>
    <x v="3"/>
    <n v="601.55999999999995"/>
    <n v="144.85"/>
    <n v="0"/>
    <s v=""/>
    <x v="0"/>
  </r>
  <r>
    <n v="235"/>
    <m/>
    <s v="KPAF-IB-34697-31-12-2021"/>
    <d v="2021-12-31T00:00:00"/>
    <x v="0"/>
    <x v="0"/>
    <n v="300"/>
    <x v="0"/>
    <x v="0"/>
    <n v="5407.52"/>
    <n v="7.0339999999999998"/>
    <n v="0"/>
    <n v="0"/>
    <x v="2"/>
    <s v="88% POLYESTER 12%SPANDE MICRO FIBER FABRIC 254CM 90GSM DYED 1361/MTRS"/>
    <n v="384678"/>
    <x v="0"/>
    <n v="142626"/>
    <x v="0"/>
    <m/>
    <d v="2023-12-31T00:00:00"/>
    <x v="0"/>
    <x v="0"/>
    <x v="0"/>
    <x v="0"/>
    <x v="0"/>
    <x v="0"/>
    <d v="2023-11-01T00:00:00"/>
    <x v="0"/>
    <x v="1"/>
    <x v="0"/>
    <x v="0"/>
    <x v="0"/>
    <x v="2"/>
    <n v="1282.26"/>
    <n v="475.42"/>
    <n v="0"/>
    <s v=""/>
    <x v="0"/>
  </r>
  <r>
    <n v="236"/>
    <m/>
    <s v="KAPE-IB-121219-03-01-2022"/>
    <d v="2022-01-03T00:00:00"/>
    <x v="0"/>
    <x v="0"/>
    <n v="54432"/>
    <x v="0"/>
    <x v="0"/>
    <n v="5206.24"/>
    <n v="5.48"/>
    <n v="0"/>
    <n v="0"/>
    <x v="3"/>
    <s v="60:40 YARN (60% COTTON 40% POLYESTER)"/>
    <n v="54147320.640000001"/>
    <x v="0"/>
    <n v="13037552.640000001"/>
    <x v="0"/>
    <m/>
    <d v="2024-01-03T00:00:00"/>
    <x v="0"/>
    <x v="0"/>
    <x v="0"/>
    <x v="0"/>
    <x v="0"/>
    <x v="0"/>
    <d v="2023-11-04T00:00:00"/>
    <x v="0"/>
    <x v="1"/>
    <x v="0"/>
    <x v="0"/>
    <x v="0"/>
    <x v="3"/>
    <n v="994.77"/>
    <n v="239.52"/>
    <n v="0"/>
    <s v=""/>
    <x v="0"/>
  </r>
  <r>
    <n v="237"/>
    <m/>
    <s v="KAPE-IB-121234-03-01-2022"/>
    <d v="2022-01-03T00:00:00"/>
    <x v="0"/>
    <x v="0"/>
    <n v="24480"/>
    <x v="0"/>
    <x v="0"/>
    <n v="5402.33"/>
    <n v="1.85"/>
    <n v="0"/>
    <n v="0"/>
    <x v="6"/>
    <s v="100% POLYESTER TEXTURED YARN"/>
    <n v="8220873.5999999996"/>
    <x v="0"/>
    <n v="3495499.1999999997"/>
    <x v="0"/>
    <m/>
    <d v="2024-01-03T00:00:00"/>
    <x v="0"/>
    <x v="0"/>
    <x v="0"/>
    <x v="0"/>
    <x v="0"/>
    <x v="0"/>
    <d v="2023-11-04T00:00:00"/>
    <x v="0"/>
    <x v="1"/>
    <x v="0"/>
    <x v="0"/>
    <x v="0"/>
    <x v="3"/>
    <n v="335.82"/>
    <n v="142.79"/>
    <n v="0"/>
    <s v=""/>
    <x v="0"/>
  </r>
  <r>
    <n v="238"/>
    <m/>
    <s v="KAPE-IB-121250-03-01-2022"/>
    <d v="2022-01-03T00:00:00"/>
    <x v="0"/>
    <x v="0"/>
    <n v="36288"/>
    <x v="0"/>
    <x v="0"/>
    <n v="5205.2700000000004"/>
    <n v="6.3"/>
    <n v="0"/>
    <n v="0"/>
    <x v="10"/>
    <s v="60/1 cotton yarn"/>
    <n v="41499682.559999995"/>
    <x v="0"/>
    <n v="9992626.5600000005"/>
    <x v="0"/>
    <m/>
    <d v="2024-01-03T00:00:00"/>
    <x v="0"/>
    <x v="0"/>
    <x v="0"/>
    <x v="0"/>
    <x v="0"/>
    <x v="0"/>
    <d v="2023-11-04T00:00:00"/>
    <x v="0"/>
    <x v="0"/>
    <x v="0"/>
    <x v="0"/>
    <x v="0"/>
    <x v="3"/>
    <n v="1143.6199999999999"/>
    <n v="275.37"/>
    <n v="0"/>
    <s v=""/>
    <x v="0"/>
  </r>
  <r>
    <n v="239"/>
    <m/>
    <s v="KAPE-IB-121223-03-01-2022"/>
    <d v="2022-01-03T00:00:00"/>
    <x v="0"/>
    <x v="0"/>
    <n v="24120"/>
    <x v="0"/>
    <x v="0"/>
    <n v="5402.33"/>
    <n v="1.79"/>
    <n v="0"/>
    <n v="0"/>
    <x v="6"/>
    <s v="100% VIRGIN POLYESTER YARN (DTY 100D"/>
    <n v="7837311.6000000006"/>
    <x v="0"/>
    <n v="3332419.1999999997"/>
    <x v="0"/>
    <m/>
    <d v="2024-01-03T00:00:00"/>
    <x v="0"/>
    <x v="0"/>
    <x v="0"/>
    <x v="0"/>
    <x v="0"/>
    <x v="0"/>
    <d v="2023-11-04T00:00:00"/>
    <x v="0"/>
    <x v="1"/>
    <x v="0"/>
    <x v="0"/>
    <x v="0"/>
    <x v="3"/>
    <n v="324.93"/>
    <n v="138.16"/>
    <n v="0"/>
    <s v=""/>
    <x v="0"/>
  </r>
  <r>
    <n v="240"/>
    <m/>
    <s v="KAPE-IB-121585-04-01-2022"/>
    <d v="2022-01-04T00:00:00"/>
    <x v="0"/>
    <x v="0"/>
    <n v="24480"/>
    <x v="0"/>
    <x v="0"/>
    <n v="5402.33"/>
    <n v="1.85"/>
    <n v="0"/>
    <n v="0"/>
    <x v="6"/>
    <s v="100% POLYESTER TEXTURED YARN (DTY 100D"/>
    <n v="8220873.5999999996"/>
    <x v="0"/>
    <n v="3495499.1999999997"/>
    <x v="0"/>
    <m/>
    <d v="2024-01-04T00:00:00"/>
    <x v="0"/>
    <x v="0"/>
    <x v="0"/>
    <x v="0"/>
    <x v="0"/>
    <x v="0"/>
    <d v="2023-11-05T00:00:00"/>
    <x v="0"/>
    <x v="1"/>
    <x v="0"/>
    <x v="0"/>
    <x v="0"/>
    <x v="3"/>
    <n v="335.82"/>
    <n v="142.79"/>
    <n v="0"/>
    <s v=""/>
    <x v="0"/>
  </r>
  <r>
    <n v="241"/>
    <m/>
    <s v="KAPE-IB-123067-05-01-2022"/>
    <d v="2022-01-05T00:00:00"/>
    <x v="0"/>
    <x v="0"/>
    <n v="90720"/>
    <x v="0"/>
    <x v="0"/>
    <n v="5205.2700000000004"/>
    <n v="6.52"/>
    <n v="0"/>
    <n v="0"/>
    <x v="10"/>
    <s v="60/1 cotton yarn "/>
    <n v="106738430.39999999"/>
    <x v="0"/>
    <n v="25708233.599999998"/>
    <x v="0"/>
    <m/>
    <d v="2024-01-05T00:00:00"/>
    <x v="0"/>
    <x v="0"/>
    <x v="0"/>
    <x v="0"/>
    <x v="0"/>
    <x v="0"/>
    <d v="2023-11-06T00:00:00"/>
    <x v="0"/>
    <x v="1"/>
    <x v="0"/>
    <x v="0"/>
    <x v="0"/>
    <x v="3"/>
    <n v="1176.57"/>
    <n v="283.38"/>
    <n v="0"/>
    <s v=""/>
    <x v="0"/>
  </r>
  <r>
    <n v="242"/>
    <m/>
    <s v="KAPE-IB-123078-05-01-2022"/>
    <d v="2022-01-05T00:00:00"/>
    <x v="0"/>
    <x v="0"/>
    <n v="18144"/>
    <x v="0"/>
    <x v="0"/>
    <n v="5205.2700000000004"/>
    <n v="6.52"/>
    <n v="0"/>
    <n v="0"/>
    <x v="10"/>
    <s v="60/1 cotton yarn "/>
    <n v="21353673.600000001"/>
    <x v="0"/>
    <n v="5141646.72"/>
    <x v="0"/>
    <m/>
    <d v="2024-01-05T00:00:00"/>
    <x v="0"/>
    <x v="0"/>
    <x v="0"/>
    <x v="0"/>
    <x v="0"/>
    <x v="0"/>
    <d v="2023-11-06T00:00:00"/>
    <x v="0"/>
    <x v="1"/>
    <x v="0"/>
    <x v="0"/>
    <x v="0"/>
    <x v="3"/>
    <n v="1176.9000000000001"/>
    <n v="283.38"/>
    <n v="0"/>
    <s v=""/>
    <x v="0"/>
  </r>
  <r>
    <n v="243"/>
    <m/>
    <s v="KAPW-IB-104471-11-01-2022"/>
    <d v="2022-01-11T00:00:00"/>
    <x v="0"/>
    <x v="0"/>
    <n v="24480"/>
    <x v="0"/>
    <x v="0"/>
    <n v="5402.33"/>
    <n v="1.85"/>
    <n v="0"/>
    <n v="0"/>
    <x v="6"/>
    <s v="100% POLYESTER YARN (DTY 100D/"/>
    <n v="8183908.7999999998"/>
    <x v="0"/>
    <n v="3479832"/>
    <x v="0"/>
    <m/>
    <d v="2024-01-11T00:00:00"/>
    <x v="0"/>
    <x v="0"/>
    <x v="0"/>
    <x v="0"/>
    <x v="0"/>
    <x v="0"/>
    <d v="2023-11-12T00:00:00"/>
    <x v="0"/>
    <x v="1"/>
    <x v="0"/>
    <x v="0"/>
    <x v="0"/>
    <x v="3"/>
    <n v="334.31"/>
    <n v="142.15"/>
    <n v="0"/>
    <s v=""/>
    <x v="0"/>
  </r>
  <r>
    <n v="244"/>
    <m/>
    <s v="KAPE-IB-126926-11-01-2022"/>
    <d v="2022-01-11T00:00:00"/>
    <x v="0"/>
    <x v="0"/>
    <n v="36288"/>
    <x v="0"/>
    <x v="0"/>
    <n v="5205.2700000000004"/>
    <n v="6.52"/>
    <n v="0"/>
    <n v="0"/>
    <x v="10"/>
    <s v="60/1 cotton yarn "/>
    <n v="42755610.240000002"/>
    <x v="0"/>
    <n v="10294905.6"/>
    <x v="0"/>
    <m/>
    <d v="2024-01-11T00:00:00"/>
    <x v="0"/>
    <x v="0"/>
    <x v="0"/>
    <x v="0"/>
    <x v="0"/>
    <x v="0"/>
    <d v="2023-11-12T00:00:00"/>
    <x v="0"/>
    <x v="1"/>
    <x v="0"/>
    <x v="0"/>
    <x v="0"/>
    <x v="3"/>
    <n v="1178.23"/>
    <n v="283.7"/>
    <n v="0"/>
    <s v=""/>
    <x v="0"/>
  </r>
  <r>
    <n v="245"/>
    <m/>
    <s v="KAPW-IB-105006-11-01-2022"/>
    <d v="2022-01-11T00:00:00"/>
    <x v="0"/>
    <x v="0"/>
    <n v="2000"/>
    <x v="0"/>
    <x v="0"/>
    <n v="3204.16"/>
    <n v="7.9"/>
    <n v="0"/>
    <n v="0"/>
    <x v="5"/>
    <s v="ARGAZOL TURQUOISE GN"/>
    <n v="2855220"/>
    <x v="0"/>
    <n v="1058640"/>
    <x v="0"/>
    <m/>
    <d v="2024-01-11T00:00:00"/>
    <x v="0"/>
    <x v="0"/>
    <x v="0"/>
    <x v="0"/>
    <x v="0"/>
    <x v="0"/>
    <d v="2023-11-12T00:00:00"/>
    <x v="0"/>
    <x v="1"/>
    <x v="0"/>
    <x v="0"/>
    <x v="0"/>
    <x v="4"/>
    <n v="1427.61"/>
    <n v="529.32000000000005"/>
    <n v="0"/>
    <s v=""/>
    <x v="0"/>
  </r>
  <r>
    <n v="246"/>
    <m/>
    <s v="KAPE-IB-127747-12-01-2022"/>
    <d v="2022-01-12T00:00:00"/>
    <x v="0"/>
    <x v="0"/>
    <n v="19452.599999999999"/>
    <x v="0"/>
    <x v="0"/>
    <n v="5205.13"/>
    <n v="4.7699999999999996"/>
    <n v="0"/>
    <n v="0"/>
    <x v="10"/>
    <s v="30/1 cotton yarn "/>
    <n v="16767949"/>
    <x v="0"/>
    <n v="4037470"/>
    <x v="0"/>
    <n v="139567858"/>
    <d v="2024-01-11T00:00:00"/>
    <x v="0"/>
    <x v="0"/>
    <x v="0"/>
    <x v="0"/>
    <x v="0"/>
    <x v="0"/>
    <d v="2023-11-12T00:00:00"/>
    <x v="0"/>
    <x v="1"/>
    <x v="0"/>
    <x v="0"/>
    <x v="0"/>
    <x v="3"/>
    <n v="861.990119572705"/>
    <n v="207.55426009890709"/>
    <n v="0"/>
    <s v=""/>
    <x v="0"/>
  </r>
  <r>
    <n v="247"/>
    <m/>
    <s v="KAPE-IB-127793-12-01-2022"/>
    <d v="2022-01-12T00:00:00"/>
    <x v="0"/>
    <x v="0"/>
    <n v="6625"/>
    <x v="0"/>
    <x v="0"/>
    <n v="3204.16"/>
    <s v="9.64 / 10.88 / 12.44 / 9.22 / 6.73 / 17.31"/>
    <n v="0"/>
    <n v="0"/>
    <x v="5"/>
    <s v="TEXTILE DYES"/>
    <n v="11983366.25"/>
    <x v="0"/>
    <n v="4443122.5"/>
    <x v="0"/>
    <m/>
    <d v="2024-01-12T00:00:00"/>
    <x v="0"/>
    <x v="0"/>
    <x v="0"/>
    <x v="0"/>
    <x v="0"/>
    <x v="0"/>
    <d v="2023-11-13T00:00:00"/>
    <x v="0"/>
    <x v="1"/>
    <x v="0"/>
    <x v="0"/>
    <x v="0"/>
    <x v="4"/>
    <n v="1808.81"/>
    <n v="670.66"/>
    <n v="0"/>
    <s v=""/>
    <x v="0"/>
  </r>
  <r>
    <n v="248"/>
    <m/>
    <s v="KAPW-IB-106492-13-01-2022"/>
    <d v="2022-01-13T00:00:00"/>
    <x v="0"/>
    <x v="0"/>
    <n v="8456"/>
    <x v="0"/>
    <x v="0"/>
    <n v="5407.52"/>
    <n v="5.5808"/>
    <n v="0"/>
    <n v="0"/>
    <x v="11"/>
    <s v="100% POLYESTER MICROFIBER FABRIC"/>
    <n v="8525592.8800000008"/>
    <x v="0"/>
    <n v="3161021.92"/>
    <x v="0"/>
    <m/>
    <d v="2024-01-13T00:00:00"/>
    <x v="0"/>
    <x v="0"/>
    <x v="0"/>
    <x v="0"/>
    <x v="0"/>
    <x v="0"/>
    <d v="2023-11-14T00:00:00"/>
    <x v="0"/>
    <x v="1"/>
    <x v="0"/>
    <x v="0"/>
    <x v="0"/>
    <x v="2"/>
    <n v="1008.2300000000001"/>
    <n v="373.82"/>
    <n v="0"/>
    <s v=""/>
    <x v="0"/>
  </r>
  <r>
    <n v="249"/>
    <m/>
    <s v="KAPE-IB-128667-13-01-2022"/>
    <d v="2022-01-13T00:00:00"/>
    <x v="0"/>
    <x v="0"/>
    <n v="77526.7"/>
    <x v="0"/>
    <x v="0"/>
    <n v="5205.13"/>
    <n v="5.4"/>
    <n v="0"/>
    <n v="0"/>
    <x v="10"/>
    <s v="30/1 Cotton Yarn"/>
    <n v="75631947.451999992"/>
    <x v="0"/>
    <n v="18211021.829999998"/>
    <x v="0"/>
    <m/>
    <d v="2024-01-13T00:00:00"/>
    <x v="0"/>
    <x v="0"/>
    <x v="0"/>
    <x v="0"/>
    <x v="0"/>
    <x v="0"/>
    <d v="2023-11-14T00:00:00"/>
    <x v="0"/>
    <x v="0"/>
    <x v="0"/>
    <x v="0"/>
    <x v="0"/>
    <x v="3"/>
    <n v="975.56"/>
    <n v="234.89999999999998"/>
    <n v="0"/>
    <s v=""/>
    <x v="0"/>
  </r>
  <r>
    <n v="250"/>
    <m/>
    <s v="KAPE-IB-128635-13-01-2022"/>
    <d v="2022-01-13T00:00:00"/>
    <x v="0"/>
    <x v="0"/>
    <n v="18703.8"/>
    <x v="0"/>
    <x v="0"/>
    <n v="5205.13"/>
    <n v="4.7699999999999996"/>
    <n v="0"/>
    <n v="0"/>
    <x v="10"/>
    <s v="30/1 Cotton Yarn"/>
    <n v="16117999.649999999"/>
    <x v="0"/>
    <n v="3881038.5"/>
    <x v="0"/>
    <m/>
    <d v="2024-01-13T00:00:00"/>
    <x v="0"/>
    <x v="0"/>
    <x v="0"/>
    <x v="0"/>
    <x v="0"/>
    <x v="0"/>
    <d v="2023-11-14T00:00:00"/>
    <x v="0"/>
    <x v="0"/>
    <x v="0"/>
    <x v="0"/>
    <x v="0"/>
    <x v="3"/>
    <n v="861.75"/>
    <n v="207.5"/>
    <n v="0"/>
    <s v=""/>
    <x v="0"/>
  </r>
  <r>
    <n v="251"/>
    <m/>
    <s v="KAPE-IB-128644-13-01-2022"/>
    <d v="2022-01-13T00:00:00"/>
    <x v="0"/>
    <x v="0"/>
    <n v="20160"/>
    <x v="0"/>
    <x v="0"/>
    <n v="2915.11"/>
    <n v="1.65"/>
    <n v="0"/>
    <n v="0"/>
    <x v="12"/>
    <s v="FORMIC ACID"/>
    <n v="6009494.3999999994"/>
    <x v="0"/>
    <n v="2228083.1999999997"/>
    <x v="0"/>
    <m/>
    <d v="2024-01-13T00:00:00"/>
    <x v="0"/>
    <x v="0"/>
    <x v="0"/>
    <x v="0"/>
    <x v="0"/>
    <x v="0"/>
    <d v="2023-11-14T00:00:00"/>
    <x v="0"/>
    <x v="0"/>
    <x v="0"/>
    <x v="0"/>
    <x v="0"/>
    <x v="5"/>
    <n v="298.08999999999997"/>
    <n v="110.51999999999998"/>
    <n v="0"/>
    <s v=""/>
    <x v="0"/>
  </r>
  <r>
    <n v="252"/>
    <m/>
    <s v="KAPE-IB-130078-14-01-2022"/>
    <d v="2022-01-14T00:00:00"/>
    <x v="0"/>
    <x v="0"/>
    <n v="3000"/>
    <x v="0"/>
    <x v="0"/>
    <n v="3204.16"/>
    <s v="12.1263 / 8.9937 / 6.5684 / 16.8758 / 9.5495"/>
    <n v="0"/>
    <n v="0"/>
    <x v="5"/>
    <s v="BEZAKTIV _x000a_BEMACRON "/>
    <n v="5469030"/>
    <x v="0"/>
    <n v="2027759.9999999998"/>
    <x v="0"/>
    <m/>
    <d v="2024-01-14T00:00:00"/>
    <x v="0"/>
    <x v="0"/>
    <x v="0"/>
    <x v="0"/>
    <x v="0"/>
    <x v="0"/>
    <d v="2023-11-15T00:00:00"/>
    <x v="0"/>
    <x v="1"/>
    <x v="0"/>
    <x v="0"/>
    <x v="0"/>
    <x v="4"/>
    <n v="1823.01"/>
    <n v="675.92"/>
    <n v="0"/>
    <s v=""/>
    <x v="0"/>
  </r>
  <r>
    <n v="253"/>
    <m/>
    <s v="KAPW-IB-106716-14-01-2022"/>
    <d v="2022-01-14T00:00:00"/>
    <x v="0"/>
    <x v="0"/>
    <n v="23100"/>
    <x v="0"/>
    <x v="0"/>
    <n v="5402.33"/>
    <n v="1.78"/>
    <n v="0"/>
    <n v="0"/>
    <x v="6"/>
    <s v="100% POLYESTER TEXTURED YARN (DTY 100D/48F HIM SD RW AA GRADE)"/>
    <n v="7411635.0000000009"/>
    <x v="0"/>
    <n v="2831829"/>
    <x v="0"/>
    <m/>
    <d v="2024-01-14T00:00:00"/>
    <x v="0"/>
    <x v="0"/>
    <x v="0"/>
    <x v="0"/>
    <x v="0"/>
    <x v="0"/>
    <d v="2023-11-15T00:00:00"/>
    <x v="0"/>
    <x v="1"/>
    <x v="0"/>
    <x v="0"/>
    <x v="0"/>
    <x v="3"/>
    <n v="320.85000000000002"/>
    <n v="122.59"/>
    <n v="0"/>
    <s v=""/>
    <x v="0"/>
  </r>
  <r>
    <n v="254"/>
    <m/>
    <s v="KAPW-IB-106693-14-01-2022"/>
    <d v="2022-01-14T00:00:00"/>
    <x v="0"/>
    <x v="0"/>
    <n v="23100"/>
    <x v="0"/>
    <x v="0"/>
    <n v="5402.33"/>
    <n v="1.78"/>
    <n v="0"/>
    <n v="0"/>
    <x v="6"/>
    <s v="100% POLYESTER TEXTURED YARN (DTY 100D/48F HIM SD RW AA GRADE)"/>
    <n v="7411635.0000000009"/>
    <x v="0"/>
    <n v="2831829"/>
    <x v="0"/>
    <m/>
    <d v="2024-01-14T00:00:00"/>
    <x v="0"/>
    <x v="0"/>
    <x v="0"/>
    <x v="0"/>
    <x v="0"/>
    <x v="0"/>
    <d v="2023-11-15T00:00:00"/>
    <x v="0"/>
    <x v="1"/>
    <x v="0"/>
    <x v="0"/>
    <x v="0"/>
    <x v="3"/>
    <n v="320.85000000000002"/>
    <n v="122.59"/>
    <n v="0"/>
    <s v=""/>
    <x v="0"/>
  </r>
  <r>
    <n v="255"/>
    <m/>
    <s v="KAPE-IB-129594-14-01-2022"/>
    <d v="2022-01-14T00:00:00"/>
    <x v="0"/>
    <x v="0"/>
    <n v="13000"/>
    <x v="0"/>
    <x v="0"/>
    <n v="3809.9189999999999"/>
    <n v="2.65"/>
    <n v="0"/>
    <n v="0"/>
    <x v="12"/>
    <s v="PERIPRINT MIP CONC"/>
    <n v="7119450"/>
    <x v="0"/>
    <n v="2639650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547.65"/>
    <n v="203.05"/>
    <n v="0"/>
    <s v=""/>
    <x v="0"/>
  </r>
  <r>
    <n v="256"/>
    <m/>
    <s v="KAPE-IB-129589-14-01-2022"/>
    <d v="2022-01-14T00:00:00"/>
    <x v="0"/>
    <x v="0"/>
    <n v="18000"/>
    <x v="0"/>
    <x v="0"/>
    <n v="2832.1089999999999"/>
    <n v="1.65"/>
    <n v="0"/>
    <n v="0"/>
    <x v="12"/>
    <s v="HYDROBLUE 90"/>
    <n v="5353560"/>
    <x v="0"/>
    <n v="972720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297.42"/>
    <n v="54.04"/>
    <n v="0"/>
    <s v=""/>
    <x v="0"/>
  </r>
  <r>
    <n v="257"/>
    <m/>
    <s v="KAPE-IB-129656-14-01-2022"/>
    <d v="2022-01-14T00:00:00"/>
    <x v="0"/>
    <x v="0"/>
    <n v="20260"/>
    <x v="0"/>
    <x v="0"/>
    <n v="3809.9189999999999"/>
    <s v="3.12.65 / 3.3"/>
    <n v="0"/>
    <n v="0"/>
    <x v="12"/>
    <s v="POLYSOFT_x000a_POLYNOL_x000a_ENZYME "/>
    <n v="10858549.600000001"/>
    <x v="0"/>
    <n v="4026067.2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535.96"/>
    <n v="198.72"/>
    <n v="0"/>
    <s v=""/>
    <x v="0"/>
  </r>
  <r>
    <n v="258"/>
    <m/>
    <s v="KAPE-IB-129603-14-01-2022"/>
    <d v="2022-01-14T00:00:00"/>
    <x v="0"/>
    <x v="0"/>
    <n v="48000"/>
    <x v="0"/>
    <x v="0"/>
    <n v="1108.19"/>
    <n v="1.75"/>
    <n v="0"/>
    <n v="0"/>
    <x v="12"/>
    <s v="EMSIZE E14 (STARCH"/>
    <n v="1735679.9999999998"/>
    <x v="0"/>
    <n v="6672000"/>
    <x v="0"/>
    <m/>
    <d v="2024-01-14T00:00:00"/>
    <x v="0"/>
    <x v="0"/>
    <x v="0"/>
    <x v="0"/>
    <x v="0"/>
    <x v="0"/>
    <d v="2023-11-15T00:00:00"/>
    <x v="0"/>
    <x v="1"/>
    <x v="0"/>
    <x v="0"/>
    <x v="0"/>
    <x v="5"/>
    <n v="36.159999999999997"/>
    <n v="139"/>
    <n v="0"/>
    <s v=""/>
    <x v="0"/>
  </r>
  <r>
    <n v="259"/>
    <m/>
    <s v="KAPW-IB-108998-18-01-2022"/>
    <d v="2022-01-18T00:00:00"/>
    <x v="0"/>
    <x v="0"/>
    <n v="5040"/>
    <x v="0"/>
    <x v="0"/>
    <n v="3906.9029999999998"/>
    <n v="1.96"/>
    <n v="0"/>
    <n v="0"/>
    <x v="12"/>
    <s v="TEXTILE CHEMICAL (J INSOFT ECO TWM)"/>
    <n v="1778565.5999999999"/>
    <x v="0"/>
    <n v="386215.19999999995"/>
    <x v="0"/>
    <m/>
    <d v="2024-01-18T00:00:00"/>
    <x v="0"/>
    <x v="0"/>
    <x v="0"/>
    <x v="0"/>
    <x v="0"/>
    <x v="0"/>
    <d v="2023-11-19T00:00:00"/>
    <x v="0"/>
    <x v="1"/>
    <x v="0"/>
    <x v="0"/>
    <x v="0"/>
    <x v="5"/>
    <n v="352.89"/>
    <n v="76.63"/>
    <n v="0"/>
    <s v=""/>
    <x v="0"/>
  </r>
  <r>
    <n v="260"/>
    <m/>
    <s v="KAPW-IB-109021-18-01-2022"/>
    <d v="2022-01-18T00:00:00"/>
    <x v="0"/>
    <x v="0"/>
    <n v="12000"/>
    <x v="0"/>
    <x v="0"/>
    <n v="3204.16"/>
    <s v="4.6 / 4.5 / 6 / 6.75 / 7.95"/>
    <n v="0"/>
    <n v="0"/>
    <x v="5"/>
    <s v="LIYUANSOL "/>
    <n v="11965080"/>
    <x v="0"/>
    <n v="4436280"/>
    <x v="0"/>
    <m/>
    <d v="2024-01-18T00:00:00"/>
    <x v="0"/>
    <x v="0"/>
    <x v="0"/>
    <x v="0"/>
    <x v="0"/>
    <x v="0"/>
    <d v="2023-11-19T00:00:00"/>
    <x v="0"/>
    <x v="1"/>
    <x v="0"/>
    <x v="0"/>
    <x v="0"/>
    <x v="4"/>
    <n v="997.09"/>
    <n v="369.69"/>
    <n v="0"/>
    <s v=""/>
    <x v="0"/>
  </r>
  <r>
    <n v="261"/>
    <m/>
    <s v="KAPE-IB-132411-19-01-2022"/>
    <d v="2022-01-19T00:00:00"/>
    <x v="0"/>
    <x v="0"/>
    <n v="24120"/>
    <x v="0"/>
    <x v="0"/>
    <n v="5402.33"/>
    <n v="1.79"/>
    <n v="0"/>
    <n v="0"/>
    <x v="6"/>
    <s v="100% POLYESTER YARN (DTY 100D/48F SD RW HIM AA GRADE"/>
    <n v="7769052.0000000009"/>
    <x v="0"/>
    <n v="3303233.9999999995"/>
    <x v="0"/>
    <m/>
    <d v="2024-01-19T00:00:00"/>
    <x v="0"/>
    <x v="0"/>
    <x v="0"/>
    <x v="0"/>
    <x v="0"/>
    <x v="0"/>
    <d v="2023-11-20T00:00:00"/>
    <x v="0"/>
    <x v="1"/>
    <x v="0"/>
    <x v="0"/>
    <x v="0"/>
    <x v="3"/>
    <n v="322.10000000000002"/>
    <n v="136.94999999999999"/>
    <n v="0"/>
    <s v=""/>
    <x v="0"/>
  </r>
  <r>
    <n v="262"/>
    <m/>
    <s v="KAPE-IB-133444-20-01-2022"/>
    <d v="2022-01-20T00:00:00"/>
    <x v="0"/>
    <x v="0"/>
    <n v="23000"/>
    <x v="0"/>
    <x v="0"/>
    <n v="5407.52"/>
    <n v="5.5109000000000004"/>
    <n v="0"/>
    <n v="0"/>
    <x v="11"/>
    <s v="100% POLY MICROFIBER FABRIC 90,82GSM WIDTH:95'' , 100&quot; , 103&quot; , 106&quot; , 112'' (91271/MTRS) "/>
    <n v="22840610"/>
    <x v="0"/>
    <n v="8468600"/>
    <x v="0"/>
    <m/>
    <d v="2024-01-20T00:00:00"/>
    <x v="0"/>
    <x v="0"/>
    <x v="0"/>
    <x v="0"/>
    <x v="0"/>
    <x v="0"/>
    <d v="2023-11-21T00:00:00"/>
    <x v="0"/>
    <x v="1"/>
    <x v="0"/>
    <x v="0"/>
    <x v="0"/>
    <x v="2"/>
    <n v="993.07"/>
    <n v="368.2"/>
    <n v="0"/>
    <s v=""/>
    <x v="0"/>
  </r>
  <r>
    <n v="263"/>
    <m/>
    <s v="KAPE-IB-135162-25-01-2022"/>
    <d v="2022-01-25T00:00:00"/>
    <x v="0"/>
    <x v="0"/>
    <n v="1525"/>
    <x v="0"/>
    <x v="0"/>
    <n v="3204.16"/>
    <s v="65.8 / 54.8 / 47.1 / 47.2"/>
    <n v="0"/>
    <n v="0"/>
    <x v="5"/>
    <s v="DYES FARBANTHREN "/>
    <n v="13734272"/>
    <x v="0"/>
    <n v="5092280"/>
    <x v="0"/>
    <m/>
    <d v="2024-01-25T00:00:00"/>
    <x v="0"/>
    <x v="0"/>
    <x v="0"/>
    <x v="0"/>
    <x v="0"/>
    <x v="0"/>
    <d v="2023-11-26T00:00:00"/>
    <x v="0"/>
    <x v="1"/>
    <x v="0"/>
    <x v="0"/>
    <x v="0"/>
    <x v="4"/>
    <n v="9006.08"/>
    <n v="3339.2"/>
    <n v="0"/>
    <s v=""/>
    <x v="0"/>
  </r>
  <r>
    <n v="264"/>
    <m/>
    <s v="KAPE-IB-135157-25-01-2022"/>
    <d v="2022-01-25T00:00:00"/>
    <x v="0"/>
    <x v="0"/>
    <n v="36000"/>
    <x v="0"/>
    <x v="0"/>
    <n v="3402.13"/>
    <s v="2.18 / 2.65"/>
    <n v="0"/>
    <n v="0"/>
    <x v="12"/>
    <s v="CHEMICAL WETMATIC + DYMAFIX "/>
    <n v="14654520"/>
    <x v="0"/>
    <n v="5433480"/>
    <x v="0"/>
    <m/>
    <d v="2024-01-25T00:00:00"/>
    <x v="0"/>
    <x v="0"/>
    <x v="0"/>
    <x v="0"/>
    <x v="0"/>
    <x v="0"/>
    <d v="2023-11-26T00:00:00"/>
    <x v="0"/>
    <x v="1"/>
    <x v="0"/>
    <x v="0"/>
    <x v="0"/>
    <x v="5"/>
    <n v="407.07"/>
    <n v="150.93"/>
    <n v="0"/>
    <s v=""/>
    <x v="0"/>
  </r>
  <r>
    <n v="265"/>
    <m/>
    <s v="KAPE-IB-135164-25-01-2022"/>
    <d v="2022-01-25T00:00:00"/>
    <x v="0"/>
    <x v="0"/>
    <n v="24120"/>
    <x v="0"/>
    <x v="0"/>
    <n v="5402.33"/>
    <n v="1.7"/>
    <n v="0"/>
    <n v="0"/>
    <x v="6"/>
    <s v="100% POLYESTER YARN (DTY 100D/48F SD RW HIM AA GRADE S TWIST)"/>
    <n v="7782317.9999999991"/>
    <x v="0"/>
    <n v="3309022.8"/>
    <x v="0"/>
    <m/>
    <d v="2024-01-25T00:00:00"/>
    <x v="0"/>
    <x v="0"/>
    <x v="0"/>
    <x v="0"/>
    <x v="0"/>
    <x v="0"/>
    <d v="2023-11-26T00:00:00"/>
    <x v="0"/>
    <x v="1"/>
    <x v="0"/>
    <x v="0"/>
    <x v="0"/>
    <x v="3"/>
    <n v="322.64999999999998"/>
    <n v="137.19"/>
    <n v="0"/>
    <s v=""/>
    <x v="0"/>
  </r>
  <r>
    <n v="266"/>
    <d v="2022-02-01T00:00:00"/>
    <s v="KAPE-IB-136944-27-01-2022"/>
    <d v="2022-01-27T00:00:00"/>
    <x v="0"/>
    <x v="0"/>
    <n v="7035"/>
    <x v="0"/>
    <x v="0"/>
    <m/>
    <s v="6.9619 / 8.9832 / 4.4916 / 8.4217"/>
    <n v="0"/>
    <n v="0"/>
    <x v="5"/>
    <s v="DYES IMPERON"/>
    <n v="6771718"/>
    <x v="0"/>
    <n v="2510764"/>
    <x v="0"/>
    <n v="139567898"/>
    <d v="2024-01-27T00:00:00"/>
    <x v="0"/>
    <x v="0"/>
    <x v="0"/>
    <x v="0"/>
    <x v="0"/>
    <x v="0"/>
    <d v="2023-11-28T00:00:00"/>
    <x v="0"/>
    <x v="1"/>
    <x v="0"/>
    <x v="0"/>
    <x v="0"/>
    <x v="4"/>
    <n v="962.5754086709311"/>
    <n v="356.89609097370294"/>
    <n v="0"/>
    <d v="2022-03-03T00:00:00"/>
    <x v="0"/>
  </r>
  <r>
    <n v="267"/>
    <d v="2022-02-01T00:00:00"/>
    <s v="KAPE-IB-137929-28-01-2022"/>
    <d v="2022-01-28T00:00:00"/>
    <x v="0"/>
    <x v="0"/>
    <n v="23100"/>
    <x v="0"/>
    <x v="0"/>
    <n v="5402.33"/>
    <n v="1.78"/>
    <n v="0"/>
    <n v="0"/>
    <x v="6"/>
    <s v="100% POLYSTER TEXTURED YARN DTY100D/48F HIM SD RW AA GRADE"/>
    <n v="7443047"/>
    <x v="0"/>
    <n v="2843892"/>
    <x v="0"/>
    <n v="139567899"/>
    <d v="2024-01-28T00:00:00"/>
    <x v="0"/>
    <x v="0"/>
    <x v="0"/>
    <x v="0"/>
    <x v="0"/>
    <x v="0"/>
    <d v="2023-11-29T00:00:00"/>
    <x v="0"/>
    <x v="1"/>
    <x v="0"/>
    <x v="0"/>
    <x v="0"/>
    <x v="3"/>
    <n v="322.20982683982686"/>
    <n v="123.1122077922078"/>
    <n v="0"/>
    <d v="2022-03-03T00:00:00"/>
    <x v="0"/>
  </r>
  <r>
    <n v="268"/>
    <d v="2022-02-01T00:00:00"/>
    <s v="KAPW-IB-113511-28-01-2022"/>
    <d v="2022-01-28T00:00:00"/>
    <x v="0"/>
    <x v="0"/>
    <n v="23100"/>
    <x v="0"/>
    <x v="0"/>
    <n v="5402.33"/>
    <n v="1.78"/>
    <n v="0"/>
    <n v="0"/>
    <x v="6"/>
    <s v="100% POLYESTER TEXTURED YARN (DTY 100D/48F HIM SD RW AA GRADE)"/>
    <n v="7443047"/>
    <x v="0"/>
    <n v="2843892"/>
    <x v="0"/>
    <n v="139567894"/>
    <d v="2024-01-28T00:00:00"/>
    <x v="0"/>
    <x v="0"/>
    <x v="0"/>
    <x v="0"/>
    <x v="0"/>
    <x v="0"/>
    <d v="2023-11-29T00:00:00"/>
    <x v="0"/>
    <x v="1"/>
    <x v="0"/>
    <x v="0"/>
    <x v="0"/>
    <x v="3"/>
    <n v="322.20982683982686"/>
    <n v="123.1122077922078"/>
    <n v="0"/>
    <d v="2022-03-03T00:00:00"/>
    <x v="0"/>
  </r>
  <r>
    <n v="269"/>
    <d v="2022-02-01T00:00:00"/>
    <s v="KAPW-IB-114076-31-01-2022"/>
    <d v="2022-01-31T00:00:00"/>
    <x v="0"/>
    <x v="0"/>
    <n v="24480"/>
    <x v="0"/>
    <x v="0"/>
    <n v="5402.33"/>
    <n v="1.71"/>
    <n v="0"/>
    <n v="0"/>
    <x v="6"/>
    <s v="100% POLYESTER YARN (DTY 100D/48F) HIM RW SD GRADE:AA"/>
    <n v="7577506"/>
    <x v="0"/>
    <n v="2878596"/>
    <x v="0"/>
    <n v="139567901"/>
    <d v="2024-01-31T00:00:00"/>
    <x v="0"/>
    <x v="0"/>
    <x v="0"/>
    <x v="0"/>
    <x v="0"/>
    <x v="0"/>
    <d v="2023-12-02T00:00:00"/>
    <x v="0"/>
    <x v="1"/>
    <x v="0"/>
    <x v="0"/>
    <x v="0"/>
    <x v="3"/>
    <n v="309.53864379084968"/>
    <n v="117.58970588235294"/>
    <n v="0"/>
    <d v="2022-03-03T00:00:00"/>
    <x v="0"/>
  </r>
  <r>
    <n v="270"/>
    <d v="2022-02-01T00:00:00"/>
    <s v="KAPW-IB-114600-31-01-2022"/>
    <d v="2022-01-31T00:00:00"/>
    <x v="0"/>
    <x v="0"/>
    <n v="18200"/>
    <x v="0"/>
    <x v="0"/>
    <n v="3906.9029999999998"/>
    <n v="2.95"/>
    <n v="0"/>
    <n v="0"/>
    <x v="12"/>
    <s v="CHEMICAL FLOPRINT"/>
    <n v="9718789"/>
    <x v="0"/>
    <n v="2110445"/>
    <x v="0"/>
    <n v="139567910"/>
    <d v="2024-01-31T00:00:00"/>
    <x v="0"/>
    <x v="0"/>
    <x v="0"/>
    <x v="0"/>
    <x v="0"/>
    <x v="0"/>
    <d v="2023-12-02T00:00:00"/>
    <x v="0"/>
    <x v="1"/>
    <x v="0"/>
    <x v="0"/>
    <x v="0"/>
    <x v="5"/>
    <n v="533.99939560439566"/>
    <n v="115.95851648351649"/>
    <n v="0"/>
    <d v="2022-03-03T00:00:00"/>
    <x v="0"/>
  </r>
  <r>
    <n v="271"/>
    <d v="2022-02-01T00:00:00"/>
    <s v="KAPE-IB-141471-02-02-2022"/>
    <d v="2022-02-02T00:00:00"/>
    <x v="0"/>
    <x v="0"/>
    <n v="57132.800000000003"/>
    <x v="0"/>
    <x v="0"/>
    <n v="5205.13"/>
    <n v="5.4"/>
    <n v="0"/>
    <n v="0"/>
    <x v="10"/>
    <s v="30/1 cotton yarn "/>
    <n v="55768085"/>
    <x v="0"/>
    <n v="13428118"/>
    <x v="0"/>
    <n v="139567895"/>
    <d v="2024-02-02T00:00:00"/>
    <x v="0"/>
    <x v="0"/>
    <x v="0"/>
    <x v="0"/>
    <x v="0"/>
    <x v="0"/>
    <d v="2023-12-04T00:00:00"/>
    <x v="0"/>
    <x v="1"/>
    <x v="0"/>
    <x v="0"/>
    <x v="0"/>
    <x v="3"/>
    <n v="976.113283437885"/>
    <n v="235.03343088383554"/>
    <n v="0"/>
    <d v="2022-03-03T00:00:00"/>
    <x v="0"/>
  </r>
  <r>
    <n v="272"/>
    <d v="2022-02-01T00:00:00"/>
    <s v="KAPW-IB-115923-02-02-2022"/>
    <d v="2022-02-02T00:00:00"/>
    <x v="0"/>
    <x v="0"/>
    <n v="3058"/>
    <x v="0"/>
    <x v="0"/>
    <n v="5210.49"/>
    <n v="9.4930000000000003"/>
    <n v="0"/>
    <n v="0"/>
    <x v="2"/>
    <s v="78% POLYESTER 17% VISCOSE 05% SPANDEX FABRIC,190GSM WIDTH:148CM, (10518/MTRS)"/>
    <n v="5435436"/>
    <x v="0"/>
    <n v="1694155"/>
    <x v="0"/>
    <n v="139567906"/>
    <d v="2024-02-02T00:00:00"/>
    <x v="0"/>
    <x v="0"/>
    <x v="0"/>
    <x v="0"/>
    <x v="0"/>
    <x v="0"/>
    <d v="2023-12-04T00:00:00"/>
    <x v="0"/>
    <x v="1"/>
    <x v="0"/>
    <x v="0"/>
    <x v="0"/>
    <x v="2"/>
    <n v="1777.4480052321778"/>
    <n v="554.00752125572274"/>
    <n v="0"/>
    <d v="2022-03-03T00:00:00"/>
    <x v="0"/>
  </r>
  <r>
    <n v="273"/>
    <d v="2022-02-01T00:00:00"/>
    <s v="KAPE-IB-142689-03-02-2022"/>
    <d v="2022-02-03T00:00:00"/>
    <x v="0"/>
    <x v="0"/>
    <n v="18000"/>
    <x v="0"/>
    <x v="0"/>
    <n v="2832.1089999999999"/>
    <n v="2.0099999999999998"/>
    <n v="0"/>
    <n v="0"/>
    <x v="12"/>
    <s v="HYDROBLUE 90 E (SODIUM HYDROSULPHITE)"/>
    <n v="6528887"/>
    <x v="0"/>
    <n v="1186299"/>
    <x v="0"/>
    <n v="139567919"/>
    <d v="2024-02-03T00:00:00"/>
    <x v="0"/>
    <x v="0"/>
    <x v="0"/>
    <x v="0"/>
    <x v="0"/>
    <x v="0"/>
    <d v="2023-12-05T00:00:00"/>
    <x v="0"/>
    <x v="1"/>
    <x v="0"/>
    <x v="0"/>
    <x v="0"/>
    <x v="5"/>
    <n v="362.71594444444446"/>
    <n v="65.905500000000004"/>
    <n v="0"/>
    <d v="2022-03-03T00:00:00"/>
    <x v="0"/>
  </r>
  <r>
    <n v="274"/>
    <d v="2022-02-01T00:00:00"/>
    <s v="KAPW-IB-118811-07-02-2022"/>
    <d v="2022-02-07T00:00:00"/>
    <x v="0"/>
    <x v="0"/>
    <n v="24480"/>
    <x v="0"/>
    <x v="0"/>
    <n v="5402.33"/>
    <n v="1.71"/>
    <n v="0"/>
    <n v="0"/>
    <x v="6"/>
    <s v="100% POLYESTER TEXTURED YARN (DTY 100D/48F HIM SD RW AA GRADE)"/>
    <n v="7513452"/>
    <x v="0"/>
    <n v="2854262"/>
    <x v="0"/>
    <n v="139567917"/>
    <d v="2024-02-07T00:00:00"/>
    <x v="0"/>
    <x v="0"/>
    <x v="0"/>
    <x v="0"/>
    <x v="0"/>
    <x v="0"/>
    <d v="2023-12-09T00:00:00"/>
    <x v="0"/>
    <x v="1"/>
    <x v="0"/>
    <x v="0"/>
    <x v="0"/>
    <x v="3"/>
    <n v="306.92205882352943"/>
    <n v="116.59566993464053"/>
    <n v="0"/>
    <d v="2022-03-03T00:00:00"/>
    <x v="0"/>
  </r>
  <r>
    <n v="275"/>
    <d v="2022-02-01T00:00:00"/>
    <s v="KAPE-IB-145470-07-02-2022"/>
    <d v="2022-02-07T00:00:00"/>
    <x v="0"/>
    <x v="0"/>
    <n v="5020"/>
    <x v="0"/>
    <x v="0"/>
    <s v="3204.1600 / 3204.1590"/>
    <s v="16.8115 / 13.5901  / 18.4222 / 60.8838"/>
    <n v="0"/>
    <n v="0"/>
    <x v="5"/>
    <s v="DYES BEZAKTIVE / BEZATHREN"/>
    <n v="14727554"/>
    <x v="0"/>
    <n v="5460565"/>
    <x v="0"/>
    <n v="139567903"/>
    <d v="2024-02-07T00:00:00"/>
    <x v="0"/>
    <x v="0"/>
    <x v="0"/>
    <x v="0"/>
    <x v="0"/>
    <x v="0"/>
    <d v="2023-12-09T00:00:00"/>
    <x v="0"/>
    <x v="1"/>
    <x v="0"/>
    <x v="0"/>
    <x v="0"/>
    <x v="4"/>
    <n v="2933.7756972111556"/>
    <n v="1087.761952191235"/>
    <n v="0"/>
    <d v="2022-03-03T00:00:00"/>
    <x v="0"/>
  </r>
  <r>
    <n v="276"/>
    <d v="2022-02-01T00:00:00"/>
    <s v="KAPW-IB-119605-08-02-2022"/>
    <d v="2022-02-08T00:00:00"/>
    <x v="0"/>
    <x v="0"/>
    <n v="18200"/>
    <x v="0"/>
    <x v="0"/>
    <n v="3906.9029999999998"/>
    <n v="2.0499999999999998"/>
    <n v="0"/>
    <n v="0"/>
    <x v="12"/>
    <s v="CHEMICAL FLOPRINT"/>
    <n v="6658585"/>
    <x v="0"/>
    <n v="1445919"/>
    <x v="0"/>
    <n v="139567925"/>
    <d v="2024-02-07T00:00:00"/>
    <x v="0"/>
    <x v="0"/>
    <x v="0"/>
    <x v="0"/>
    <x v="0"/>
    <x v="0"/>
    <d v="2023-12-09T00:00:00"/>
    <x v="0"/>
    <x v="1"/>
    <x v="0"/>
    <x v="0"/>
    <x v="0"/>
    <x v="5"/>
    <n v="365.85631868131867"/>
    <n v="79.446098901098907"/>
    <n v="0"/>
    <d v="2022-03-03T00:00:00"/>
    <x v="0"/>
  </r>
  <r>
    <n v="277"/>
    <d v="2022-02-01T00:00:00"/>
    <s v="KAPW-IB-122139-11-02-2022"/>
    <d v="2022-02-11T00:00:00"/>
    <x v="0"/>
    <x v="0"/>
    <n v="24120"/>
    <x v="0"/>
    <x v="0"/>
    <n v="5402.33"/>
    <n v="1.79"/>
    <n v="0"/>
    <n v="0"/>
    <x v="6"/>
    <s v="100% VIRGIN POLYESTER YARN (DTY 100D/48F SD RW HIM AA GRADE S TWIST)"/>
    <n v="7722872"/>
    <x v="0"/>
    <n v="2933819"/>
    <x v="0"/>
    <n v="139567928"/>
    <d v="2024-02-10T00:00:00"/>
    <x v="0"/>
    <x v="0"/>
    <x v="0"/>
    <x v="0"/>
    <x v="0"/>
    <x v="0"/>
    <d v="2023-12-12T00:00:00"/>
    <x v="0"/>
    <x v="1"/>
    <x v="0"/>
    <x v="0"/>
    <x v="0"/>
    <x v="3"/>
    <n v="320.18540630182423"/>
    <n v="121.63428689883914"/>
    <n v="0"/>
    <d v="2022-03-03T00:00:00"/>
    <x v="0"/>
  </r>
  <r>
    <n v="278"/>
    <d v="2022-02-01T00:00:00"/>
    <s v="KAPW-IB-122238-11-02-2022"/>
    <d v="2022-02-11T00:00:00"/>
    <x v="0"/>
    <x v="0"/>
    <n v="24120"/>
    <x v="0"/>
    <x v="0"/>
    <n v="5402.33"/>
    <n v="1.79"/>
    <n v="0"/>
    <n v="0"/>
    <x v="6"/>
    <s v="100% VIRGIN POLYESTER YARN (DTY 100D/48F SD RW HIM AA GRADE S TWIST)"/>
    <n v="7722872"/>
    <x v="0"/>
    <n v="2933819"/>
    <x v="0"/>
    <n v="139567939"/>
    <d v="2024-02-10T00:00:00"/>
    <x v="0"/>
    <x v="0"/>
    <x v="0"/>
    <x v="0"/>
    <x v="0"/>
    <x v="0"/>
    <d v="2023-12-12T00:00:00"/>
    <x v="0"/>
    <x v="1"/>
    <x v="0"/>
    <x v="0"/>
    <x v="0"/>
    <x v="3"/>
    <n v="320.18540630182423"/>
    <n v="121.63428689883914"/>
    <n v="0"/>
    <d v="2022-03-03T00:00:00"/>
    <x v="0"/>
  </r>
  <r>
    <n v="279"/>
    <d v="2022-02-01T00:00:00"/>
    <s v="KAPE-IB-148901-12-02-2022"/>
    <d v="2022-02-12T00:00:00"/>
    <x v="0"/>
    <x v="0"/>
    <n v="12000"/>
    <x v="0"/>
    <x v="0"/>
    <n v="3809.9189999999999"/>
    <n v="3.75"/>
    <n v="0"/>
    <n v="0"/>
    <x v="12"/>
    <s v="CHEMICAL (IDROSOL FIE)"/>
    <n v="9188245"/>
    <x v="0"/>
    <n v="3406744"/>
    <x v="0"/>
    <n v="139567932"/>
    <d v="2024-02-11T00:00:00"/>
    <x v="0"/>
    <x v="0"/>
    <x v="0"/>
    <x v="0"/>
    <x v="0"/>
    <x v="0"/>
    <d v="2023-12-13T00:00:00"/>
    <x v="0"/>
    <x v="1"/>
    <x v="0"/>
    <x v="0"/>
    <x v="0"/>
    <x v="5"/>
    <n v="765.68708333333336"/>
    <n v="283.89533333333333"/>
    <n v="0"/>
    <d v="2022-03-03T00:00:00"/>
    <x v="0"/>
  </r>
  <r>
    <n v="280"/>
    <d v="2022-02-01T00:00:00"/>
    <s v="KAPE-IB-151471-16-02-2022"/>
    <d v="2022-02-16T00:00:00"/>
    <x v="0"/>
    <x v="0"/>
    <n v="19470.099999999999"/>
    <x v="0"/>
    <x v="0"/>
    <n v="5205.13"/>
    <n v="5.4"/>
    <n v="0"/>
    <n v="0"/>
    <x v="10"/>
    <s v="30/1 cotton yarn "/>
    <n v="18870959"/>
    <x v="0"/>
    <n v="4543844"/>
    <x v="0"/>
    <n v="139567944"/>
    <d v="2024-02-15T00:00:00"/>
    <x v="0"/>
    <x v="0"/>
    <x v="0"/>
    <x v="0"/>
    <x v="0"/>
    <x v="0"/>
    <d v="2023-12-17T00:00:00"/>
    <x v="0"/>
    <x v="1"/>
    <x v="0"/>
    <x v="0"/>
    <x v="0"/>
    <x v="3"/>
    <n v="969.22763622169384"/>
    <n v="233.37548343357253"/>
    <n v="0"/>
    <d v="2022-03-03T00:00:00"/>
    <x v="0"/>
  </r>
  <r>
    <n v="281"/>
    <d v="2022-02-01T00:00:00"/>
    <s v="KAPE-IB-151452-16-02-2022"/>
    <d v="2022-02-16T00:00:00"/>
    <x v="0"/>
    <x v="0"/>
    <n v="38166.300000000003"/>
    <x v="0"/>
    <x v="0"/>
    <n v="5205.13"/>
    <n v="5.4"/>
    <n v="0"/>
    <n v="0"/>
    <x v="10"/>
    <s v="30/1 cotton yarn "/>
    <n v="36991832"/>
    <x v="0"/>
    <n v="8907079"/>
    <x v="0"/>
    <n v="139567948"/>
    <d v="2024-02-15T00:00:00"/>
    <x v="0"/>
    <x v="0"/>
    <x v="0"/>
    <x v="0"/>
    <x v="0"/>
    <x v="0"/>
    <d v="2023-12-17T00:00:00"/>
    <x v="0"/>
    <x v="1"/>
    <x v="0"/>
    <x v="0"/>
    <x v="0"/>
    <x v="3"/>
    <n v="969.22761703387539"/>
    <n v="233.3754909435811"/>
    <n v="0"/>
    <d v="2022-03-03T00:00:00"/>
    <x v="0"/>
  </r>
  <r>
    <n v="282"/>
    <d v="2022-02-01T00:00:00"/>
    <s v="KAPW-IB-125939-17-02-2022"/>
    <d v="2022-02-17T00:00:00"/>
    <x v="0"/>
    <x v="0"/>
    <n v="7000"/>
    <x v="0"/>
    <x v="0"/>
    <n v="5407.52"/>
    <n v="5.9856999999999996"/>
    <n v="0"/>
    <n v="0"/>
    <x v="11"/>
    <s v="100% POLY MICROFIBER FABRIC 82GSM, WIDTH:95&quot;,106&quot; (33810/MTRS)"/>
    <n v="7533293"/>
    <x v="0"/>
    <n v="2793134"/>
    <x v="0"/>
    <n v="139567946"/>
    <d v="2024-02-16T00:00:00"/>
    <x v="0"/>
    <x v="0"/>
    <x v="0"/>
    <x v="0"/>
    <x v="0"/>
    <x v="0"/>
    <d v="2023-12-18T00:00:00"/>
    <x v="0"/>
    <x v="1"/>
    <x v="0"/>
    <x v="0"/>
    <x v="0"/>
    <x v="2"/>
    <n v="1076.1847142857143"/>
    <n v="399.01914285714287"/>
    <n v="0"/>
    <d v="2022-03-03T00:00:00"/>
    <x v="0"/>
  </r>
  <r>
    <n v="283"/>
    <d v="2022-02-01T00:00:00"/>
    <s v="KAPE-IB-152435-17-02-2022"/>
    <d v="2022-02-17T00:00:00"/>
    <x v="0"/>
    <x v="0"/>
    <n v="18957"/>
    <x v="0"/>
    <x v="0"/>
    <n v="5205.13"/>
    <n v="5.3"/>
    <n v="0"/>
    <n v="0"/>
    <x v="10"/>
    <s v="30/1 cotton yarn "/>
    <n v="18064143"/>
    <x v="0"/>
    <n v="4349575"/>
    <x v="0"/>
    <n v="139567952"/>
    <d v="2024-02-16T00:00:00"/>
    <x v="0"/>
    <x v="0"/>
    <x v="0"/>
    <x v="0"/>
    <x v="0"/>
    <x v="0"/>
    <d v="2023-12-18T00:00:00"/>
    <x v="0"/>
    <x v="1"/>
    <x v="0"/>
    <x v="0"/>
    <x v="0"/>
    <x v="3"/>
    <n v="952.90093369203987"/>
    <n v="229.4442686079021"/>
    <n v="0"/>
    <d v="2022-03-03T00:00:00"/>
    <x v="0"/>
  </r>
  <r>
    <n v="284"/>
    <d v="2022-02-01T00:00:00"/>
    <s v="KAPE-IB-152427-17-02-2022"/>
    <d v="2022-02-17T00:00:00"/>
    <x v="0"/>
    <x v="0"/>
    <n v="20374.2"/>
    <x v="0"/>
    <x v="0"/>
    <n v="5205.13"/>
    <n v="5.3"/>
    <n v="0"/>
    <n v="0"/>
    <x v="10"/>
    <s v="30/1 cotton yarn "/>
    <n v="19414594"/>
    <x v="0"/>
    <n v="4674743"/>
    <x v="0"/>
    <n v="139567951"/>
    <d v="2024-02-16T00:00:00"/>
    <x v="0"/>
    <x v="0"/>
    <x v="0"/>
    <x v="0"/>
    <x v="0"/>
    <x v="0"/>
    <d v="2023-12-18T00:00:00"/>
    <x v="0"/>
    <x v="1"/>
    <x v="0"/>
    <x v="0"/>
    <x v="0"/>
    <x v="3"/>
    <n v="952.90092371725018"/>
    <n v="229.44424811771751"/>
    <n v="0"/>
    <d v="2022-03-03T00:00:00"/>
    <x v="0"/>
  </r>
  <r>
    <n v="285"/>
    <d v="2022-02-01T00:00:00"/>
    <s v="KAPW-IB-127797-21-02-2022"/>
    <d v="2022-02-21T00:00:00"/>
    <x v="0"/>
    <x v="0"/>
    <n v="24480"/>
    <x v="0"/>
    <x v="0"/>
    <n v="5402.33"/>
    <n v="1.71"/>
    <n v="0"/>
    <n v="0"/>
    <x v="6"/>
    <s v="100% POLYESTER TEXTURED YARN (DTY 100D/48F HIM RW SD GRADE-AA"/>
    <n v="7509182"/>
    <x v="0"/>
    <n v="2852641"/>
    <x v="0"/>
    <n v="139567955"/>
    <d v="2024-02-20T00:00:00"/>
    <x v="0"/>
    <x v="0"/>
    <x v="0"/>
    <x v="0"/>
    <x v="0"/>
    <x v="0"/>
    <d v="2023-12-22T00:00:00"/>
    <x v="0"/>
    <x v="1"/>
    <x v="0"/>
    <x v="0"/>
    <x v="0"/>
    <x v="3"/>
    <n v="306.74763071895427"/>
    <n v="116.52945261437908"/>
    <n v="0"/>
    <d v="2022-03-03T00:00:00"/>
    <x v="0"/>
  </r>
  <r>
    <n v="286"/>
    <d v="2022-02-01T00:00:00"/>
    <s v="KPAF-IB-43364-21-02-2022"/>
    <d v="2022-02-21T00:00:00"/>
    <x v="0"/>
    <x v="0"/>
    <n v="3921"/>
    <x v="0"/>
    <x v="0"/>
    <n v="5402.33"/>
    <n v="3.7793000000000001"/>
    <n v="0"/>
    <n v="0"/>
    <x v="6"/>
    <s v="CUPRON POLYESTER 6/1 SPUN NATURAL 2.6% WAXED LOW TWIST"/>
    <n v="2658235"/>
    <x v="0"/>
    <n v="828538"/>
    <x v="0"/>
    <n v="139567961"/>
    <d v="2024-02-20T00:00:00"/>
    <x v="0"/>
    <x v="0"/>
    <x v="0"/>
    <x v="0"/>
    <x v="0"/>
    <x v="0"/>
    <d v="2023-12-22T00:00:00"/>
    <x v="0"/>
    <x v="1"/>
    <x v="0"/>
    <x v="0"/>
    <x v="0"/>
    <x v="3"/>
    <n v="677.94822749298646"/>
    <n v="211.30782963529711"/>
    <n v="0"/>
    <d v="2022-03-03T00:00:00"/>
    <x v="0"/>
  </r>
  <r>
    <n v="287"/>
    <d v="2022-02-01T00:00:00"/>
    <s v="KAPE-IB-152440-17-02-2022"/>
    <d v="2022-02-17T00:00:00"/>
    <x v="0"/>
    <x v="0"/>
    <n v="19505.2"/>
    <x v="0"/>
    <x v="0"/>
    <n v="5205.13"/>
    <n v="5.3"/>
    <n v="0"/>
    <n v="0"/>
    <x v="10"/>
    <s v="30/1 cotton yarn "/>
    <n v="18586523"/>
    <x v="0"/>
    <n v="4475355"/>
    <x v="0"/>
    <n v="139567943"/>
    <d v="2024-02-16T00:00:00"/>
    <x v="0"/>
    <x v="0"/>
    <x v="0"/>
    <x v="0"/>
    <x v="0"/>
    <x v="0"/>
    <d v="2023-12-18T00:00:00"/>
    <x v="0"/>
    <x v="1"/>
    <x v="0"/>
    <x v="0"/>
    <x v="0"/>
    <x v="3"/>
    <n v="952.90091872936443"/>
    <n v="229.44419949551914"/>
    <n v="0"/>
    <d v="2022-03-03T00:00:00"/>
    <x v="0"/>
  </r>
  <r>
    <n v="288"/>
    <d v="2022-03-01T00:00:00"/>
    <s v="KAPE-IB-156182-22-02-2022"/>
    <d v="2022-02-22T00:00:00"/>
    <x v="0"/>
    <x v="0"/>
    <n v="300"/>
    <x v="0"/>
    <x v="0"/>
    <n v="3204.16"/>
    <n v="130.11420000000001"/>
    <n v="0"/>
    <n v="0"/>
    <x v="5"/>
    <s v="BEZATHREN "/>
    <n v="7022054"/>
    <x v="0"/>
    <n v="2603581"/>
    <x v="0"/>
    <n v="139567949"/>
    <d v="2024-02-16T00:00:00"/>
    <x v="0"/>
    <x v="0"/>
    <x v="0"/>
    <x v="0"/>
    <x v="0"/>
    <x v="0"/>
    <d v="2023-12-18T00:00:00"/>
    <x v="0"/>
    <x v="1"/>
    <x v="0"/>
    <x v="0"/>
    <x v="0"/>
    <x v="4"/>
    <n v="23406.846666666668"/>
    <n v="8678.6033333333326"/>
    <n v="0"/>
    <d v="2022-03-31T00:00:00"/>
    <x v="0"/>
  </r>
  <r>
    <n v="289"/>
    <d v="2022-03-01T00:00:00"/>
    <s v="KPAF-IB-44114-24-02-2022"/>
    <d v="2022-02-24T00:00:00"/>
    <x v="0"/>
    <x v="0"/>
    <n v="1537"/>
    <x v="0"/>
    <x v="0"/>
    <n v="5402.33"/>
    <n v="3.7345999999999999"/>
    <n v="0"/>
    <n v="0"/>
    <x v="6"/>
    <s v="CUPRON POLYESTER 6/1 SPUN NATURAL 2.6% WAXED LOW TWIST"/>
    <n v="1034659"/>
    <x v="0"/>
    <n v="322489"/>
    <x v="0"/>
    <n v="139567978"/>
    <d v="2024-02-23T00:00:00"/>
    <x v="0"/>
    <x v="0"/>
    <x v="0"/>
    <x v="0"/>
    <x v="0"/>
    <x v="0"/>
    <d v="2023-12-25T00:00:00"/>
    <x v="0"/>
    <x v="1"/>
    <x v="0"/>
    <x v="0"/>
    <x v="0"/>
    <x v="3"/>
    <n v="673.16785946649316"/>
    <n v="209.81717631750163"/>
    <n v="0"/>
    <d v="2022-03-31T00:00:00"/>
    <x v="0"/>
  </r>
  <r>
    <n v="290"/>
    <d v="2022-03-01T00:00:00"/>
    <s v="KAPE-IB-158262-24-02-2022"/>
    <d v="2022-02-24T00:00:00"/>
    <x v="0"/>
    <x v="0"/>
    <n v="950"/>
    <x v="0"/>
    <x v="0"/>
    <n v="5210.49"/>
    <n v="3.7345999999999999"/>
    <n v="0"/>
    <n v="0"/>
    <x v="2"/>
    <s v="73% CTN25%POLY 2% SP FABRIC WEIGHT :110+/-5 GSM 40S*75D+40D/133*72 48/50&quot; (6766.5/MTRS)"/>
    <n v="2909027"/>
    <x v="0"/>
    <n v="906706"/>
    <x v="0"/>
    <n v="139567962"/>
    <d v="2024-02-21T00:00:00"/>
    <x v="0"/>
    <x v="0"/>
    <x v="0"/>
    <x v="0"/>
    <x v="0"/>
    <x v="0"/>
    <d v="2023-12-23T00:00:00"/>
    <x v="0"/>
    <x v="1"/>
    <x v="0"/>
    <x v="0"/>
    <x v="0"/>
    <x v="2"/>
    <n v="3062.1336842105261"/>
    <n v="954.42736842105262"/>
    <n v="0"/>
    <d v="2022-03-31T00:00:00"/>
    <x v="0"/>
  </r>
  <r>
    <n v="291"/>
    <d v="2022-03-01T00:00:00"/>
    <s v="KAPW-IB-130911-25-02-2022"/>
    <d v="2022-02-25T00:00:00"/>
    <x v="1"/>
    <x v="0"/>
    <n v="5280.7"/>
    <x v="0"/>
    <x v="0"/>
    <n v="5807.1019999999999"/>
    <n v="3.4921000000000002"/>
    <n v="0"/>
    <n v="0"/>
    <x v="9"/>
    <s v="RIBBONS (4008/ROLLS) "/>
    <n v="3323032"/>
    <x v="0"/>
    <n v="1035746"/>
    <x v="0"/>
    <n v="139567974"/>
    <d v="2024-02-24T00:00:00"/>
    <x v="0"/>
    <x v="0"/>
    <x v="0"/>
    <x v="0"/>
    <x v="0"/>
    <x v="0"/>
    <d v="2023-12-26T00:00:00"/>
    <x v="0"/>
    <x v="1"/>
    <x v="0"/>
    <x v="0"/>
    <x v="0"/>
    <x v="6"/>
    <n v="629.278694112523"/>
    <n v="196.13801200598405"/>
    <n v="0"/>
    <d v="2022-03-06T00:00:00"/>
    <x v="0"/>
  </r>
  <r>
    <n v="292"/>
    <d v="2022-03-01T00:00:00"/>
    <s v="KAPE-IB-159014-25-02-2022"/>
    <d v="2022-02-25T00:00:00"/>
    <x v="0"/>
    <x v="0"/>
    <n v="39619.199999999997"/>
    <x v="0"/>
    <x v="0"/>
    <n v="5205.13"/>
    <n v="3.4921000000000002"/>
    <n v="0"/>
    <n v="0"/>
    <x v="10"/>
    <s v="30/1 cotton yarn "/>
    <n v="37838853"/>
    <x v="0"/>
    <n v="9111028"/>
    <x v="0"/>
    <n v="139567975"/>
    <d v="2024-02-24T00:00:00"/>
    <x v="0"/>
    <x v="0"/>
    <x v="0"/>
    <x v="0"/>
    <x v="0"/>
    <x v="0"/>
    <d v="2023-12-26T00:00:00"/>
    <x v="0"/>
    <x v="1"/>
    <x v="0"/>
    <x v="0"/>
    <x v="0"/>
    <x v="3"/>
    <n v="955.06352980373163"/>
    <n v="229.96496648089817"/>
    <n v="0"/>
    <d v="2022-03-31T00:00:00"/>
    <x v="0"/>
  </r>
  <r>
    <n v="293"/>
    <d v="2022-03-01T00:00:00"/>
    <s v="KPAF-IB-45390-03-03-2022"/>
    <d v="2022-03-03T00:00:00"/>
    <x v="0"/>
    <x v="0"/>
    <n v="490"/>
    <x v="0"/>
    <x v="0"/>
    <n v="5210.49"/>
    <n v="14.490399999999999"/>
    <n v="0"/>
    <n v="0"/>
    <x v="2"/>
    <s v="70% POLYESTER 30% COTTON PLAIN 76X58/35X150D RECYCLED 30% REPREVE 40% POLYESTER FABRIC "/>
    <n v="1288532"/>
    <x v="0"/>
    <n v="401619"/>
    <x v="0"/>
    <n v="139567986"/>
    <d v="2024-03-02T00:00:00"/>
    <x v="0"/>
    <x v="0"/>
    <x v="0"/>
    <x v="0"/>
    <x v="0"/>
    <x v="0"/>
    <d v="2024-01-02T00:00:00"/>
    <x v="0"/>
    <x v="1"/>
    <x v="0"/>
    <x v="0"/>
    <x v="0"/>
    <x v="2"/>
    <n v="2629.6571428571428"/>
    <n v="819.63061224489797"/>
    <n v="0"/>
    <d v="2022-03-31T00:00:00"/>
    <x v="0"/>
  </r>
  <r>
    <n v="294"/>
    <d v="2022-03-01T00:00:00"/>
    <s v="KAPW-IB-132406-01-03-2022"/>
    <d v="2022-03-01T00:00:00"/>
    <x v="0"/>
    <x v="0"/>
    <n v="2400"/>
    <x v="0"/>
    <x v="0"/>
    <n v="3204.16"/>
    <s v="11.80 / 14.80 / 15.25 / 6.80"/>
    <n v="0"/>
    <n v="0"/>
    <x v="5"/>
    <s v="DYES (SYNOLON / SYNOZOL)"/>
    <n v="5683295"/>
    <x v="0"/>
    <n v="2107206"/>
    <x v="0"/>
    <n v="139567973"/>
    <d v="2024-02-28T00:00:00"/>
    <x v="0"/>
    <x v="0"/>
    <x v="0"/>
    <x v="0"/>
    <x v="0"/>
    <x v="0"/>
    <d v="2023-12-30T00:00:00"/>
    <x v="0"/>
    <x v="1"/>
    <x v="0"/>
    <x v="0"/>
    <x v="0"/>
    <x v="4"/>
    <n v="2368.0395833333332"/>
    <n v="878.00250000000005"/>
    <n v="0"/>
    <d v="2022-03-31T00:00:00"/>
    <x v="0"/>
  </r>
  <r>
    <n v="295"/>
    <d v="2022-03-01T00:00:00"/>
    <s v="KAPE-IB-162555-02-03-2022"/>
    <d v="2022-03-02T00:00:00"/>
    <x v="0"/>
    <x v="0"/>
    <n v="11070"/>
    <x v="0"/>
    <x v="0"/>
    <n v="3215.1990000000001"/>
    <s v="10.50 / 9.00"/>
    <n v="0"/>
    <n v="0"/>
    <x v="5"/>
    <s v="REACTIVE DYE / TEXTILE PRINTING INK"/>
    <n v="23646642"/>
    <x v="0"/>
    <n v="11379236"/>
    <x v="0"/>
    <n v="139567976"/>
    <d v="2024-03-01T00:00:00"/>
    <x v="0"/>
    <x v="0"/>
    <x v="0"/>
    <x v="0"/>
    <x v="0"/>
    <x v="0"/>
    <d v="2024-01-01T00:00:00"/>
    <x v="0"/>
    <x v="1"/>
    <x v="0"/>
    <x v="0"/>
    <x v="0"/>
    <x v="4"/>
    <n v="2136.1013550135503"/>
    <n v="1027.9345980126468"/>
    <n v="0"/>
    <d v="2022-03-31T00:00:00"/>
    <x v="0"/>
  </r>
  <r>
    <n v="296"/>
    <d v="2022-03-01T00:00:00"/>
    <s v="KAPW-IB-132268-01-03-2022"/>
    <d v="2022-03-01T00:00:00"/>
    <x v="0"/>
    <x v="0"/>
    <n v="1818"/>
    <x v="0"/>
    <x v="0"/>
    <n v="5407.52"/>
    <n v="5.2"/>
    <n v="0"/>
    <n v="0"/>
    <x v="11"/>
    <s v="100% GRS MICRO FIBER FABRIC 75D/72* 150D/144F,DRY GREIGE FINISHED WEIGHT 80GSM 86&quot; RAW WHITE WIDTH:220CM (10000/MTRS)"/>
    <n v="1712706"/>
    <x v="0"/>
    <n v="635024"/>
    <x v="0"/>
    <n v="139567969"/>
    <d v="2024-02-23T00:00:00"/>
    <x v="0"/>
    <x v="0"/>
    <x v="0"/>
    <x v="0"/>
    <x v="0"/>
    <x v="0"/>
    <d v="2023-12-25T00:00:00"/>
    <x v="0"/>
    <x v="1"/>
    <x v="0"/>
    <x v="0"/>
    <x v="0"/>
    <x v="2"/>
    <n v="942.08250825082507"/>
    <n v="349.2981298129813"/>
    <n v="0"/>
    <d v="2022-03-31T00:00:00"/>
    <x v="0"/>
  </r>
  <r>
    <n v="297"/>
    <d v="2022-03-01T00:00:00"/>
    <s v="KAPW-IB-132362-01-03-2022"/>
    <d v="2022-03-01T00:00:00"/>
    <x v="0"/>
    <x v="0"/>
    <n v="1633"/>
    <x v="0"/>
    <x v="0"/>
    <n v="5407.52"/>
    <n v="8.9041999999999994"/>
    <n v="0"/>
    <n v="0"/>
    <x v="11"/>
    <s v="100 PERCEMT POLYESTER 190T TAFFETA, W/R + PU COATING, WHITE COLOR, 70 GSM, 57/58&quot; (14577/MTRS)"/>
    <n v="2634310"/>
    <x v="0"/>
    <n v="976729"/>
    <x v="0"/>
    <n v="139567971"/>
    <d v="2024-02-28T00:00:00"/>
    <x v="0"/>
    <x v="0"/>
    <x v="0"/>
    <x v="0"/>
    <x v="0"/>
    <x v="0"/>
    <d v="2023-12-30T00:00:00"/>
    <x v="0"/>
    <x v="1"/>
    <x v="0"/>
    <x v="0"/>
    <x v="0"/>
    <x v="2"/>
    <n v="1613.1720759338641"/>
    <n v="598.11941212492343"/>
    <n v="0"/>
    <d v="2022-03-31T00:00:00"/>
    <x v="0"/>
  </r>
  <r>
    <n v="298"/>
    <d v="2022-03-01T00:00:00"/>
    <s v="KAPW-IB-133587-03-03-2022"/>
    <d v="2022-03-03T00:00:00"/>
    <x v="0"/>
    <x v="0"/>
    <n v="5000"/>
    <x v="0"/>
    <x v="0"/>
    <n v="3809.9189999999999"/>
    <s v="3.1237 / 1.7634"/>
    <n v="0"/>
    <n v="0"/>
    <x v="12"/>
    <s v="COMPLEX DSP / K-LINE BLEACH"/>
    <n v="2607484"/>
    <x v="0"/>
    <n v="966782"/>
    <x v="0"/>
    <n v="139567970"/>
    <d v="2024-02-23T00:00:00"/>
    <x v="0"/>
    <x v="0"/>
    <x v="0"/>
    <x v="0"/>
    <x v="0"/>
    <x v="0"/>
    <d v="2023-12-25T00:00:00"/>
    <x v="0"/>
    <x v="1"/>
    <x v="0"/>
    <x v="0"/>
    <x v="0"/>
    <x v="5"/>
    <n v="521.49680000000001"/>
    <n v="193.35640000000001"/>
    <n v="0"/>
    <d v="2022-03-31T00:00:00"/>
    <x v="0"/>
  </r>
  <r>
    <n v="299"/>
    <d v="2022-03-01T00:00:00"/>
    <s v="KAPE-IB-164920-07-03-2022"/>
    <d v="2022-03-07T00:00:00"/>
    <x v="0"/>
    <x v="0"/>
    <n v="19980"/>
    <x v="0"/>
    <x v="0"/>
    <n v="5205.12"/>
    <n v="3.23"/>
    <n v="0"/>
    <n v="0"/>
    <x v="10"/>
    <s v="20/1 cotton yarn "/>
    <n v="11737946"/>
    <x v="0"/>
    <n v="2826321"/>
    <x v="0"/>
    <n v="139567985"/>
    <d v="2024-03-04T00:00:00"/>
    <x v="0"/>
    <x v="0"/>
    <x v="0"/>
    <x v="0"/>
    <x v="0"/>
    <x v="0"/>
    <d v="2024-01-04T00:00:00"/>
    <x v="0"/>
    <x v="1"/>
    <x v="0"/>
    <x v="0"/>
    <x v="0"/>
    <x v="3"/>
    <n v="587.48478478478478"/>
    <n v="141.4575075075075"/>
    <n v="0"/>
    <d v="2022-03-31T00:00:00"/>
    <x v="0"/>
  </r>
  <r>
    <n v="300"/>
    <d v="2022-03-01T00:00:00"/>
    <s v="KAPE-IB-168611-14-03-2022"/>
    <d v="2022-03-14T00:00:00"/>
    <x v="0"/>
    <x v="0"/>
    <n v="18000"/>
    <x v="0"/>
    <x v="0"/>
    <n v="2832.1089999999999"/>
    <n v="1.95"/>
    <n v="0"/>
    <n v="0"/>
    <x v="12"/>
    <s v="HYDRO BLUE 90 E"/>
    <n v="6412767"/>
    <x v="0"/>
    <n v="1165199"/>
    <x v="0"/>
    <n v="139567992"/>
    <d v="2024-03-12T00:00:00"/>
    <x v="0"/>
    <x v="0"/>
    <x v="0"/>
    <x v="0"/>
    <x v="0"/>
    <x v="0"/>
    <d v="2024-01-12T00:00:00"/>
    <x v="0"/>
    <x v="1"/>
    <x v="0"/>
    <x v="0"/>
    <x v="0"/>
    <x v="5"/>
    <n v="356.26483333333334"/>
    <n v="64.733277777777772"/>
    <n v="0"/>
    <d v="2022-03-31T00:00:00"/>
    <x v="0"/>
  </r>
  <r>
    <n v="301"/>
    <d v="2022-03-01T00:00:00"/>
    <s v="KAPE-IB-168698-14-03-2022"/>
    <d v="2022-03-14T00:00:00"/>
    <x v="0"/>
    <x v="0"/>
    <n v="49000"/>
    <x v="0"/>
    <x v="0"/>
    <n v="1108.19"/>
    <n v="0.71"/>
    <n v="0"/>
    <n v="0"/>
    <x v="12"/>
    <s v="EMSIZE E35 (STARCH)"/>
    <n v="6356130"/>
    <x v="0"/>
    <n v="2442941"/>
    <x v="0"/>
    <n v="139568001"/>
    <d v="2024-03-10T00:00:00"/>
    <x v="0"/>
    <x v="0"/>
    <x v="0"/>
    <x v="0"/>
    <x v="0"/>
    <x v="0"/>
    <d v="2024-01-10T00:00:00"/>
    <x v="0"/>
    <x v="1"/>
    <x v="0"/>
    <x v="0"/>
    <x v="0"/>
    <x v="5"/>
    <n v="129.71693877551022"/>
    <n v="49.855938775510204"/>
    <n v="0"/>
    <d v="2022-03-31T00:00:00"/>
    <x v="0"/>
  </r>
  <r>
    <n v="302"/>
    <d v="2022-03-01T00:00:00"/>
    <s v="KPAF-IB-44674-28-02-2022"/>
    <d v="2022-02-28T00:00:00"/>
    <x v="0"/>
    <x v="0"/>
    <n v="108.86199999999999"/>
    <x v="0"/>
    <x v="0"/>
    <n v="5402.33"/>
    <n v="2.2046000000000001"/>
    <n v="0"/>
    <n v="0"/>
    <x v="6"/>
    <s v="CUPRON POLYESTER 20/1 SPUN NATURAL 3% WAXED"/>
    <n v="137897"/>
    <x v="0"/>
    <n v="42981"/>
    <x v="0"/>
    <n v="139567979"/>
    <d v="2024-02-27T00:00:00"/>
    <x v="0"/>
    <x v="0"/>
    <x v="0"/>
    <x v="0"/>
    <x v="0"/>
    <x v="0"/>
    <d v="2023-12-29T00:00:00"/>
    <x v="0"/>
    <x v="1"/>
    <x v="0"/>
    <x v="0"/>
    <x v="0"/>
    <x v="3"/>
    <n v="1266.7138211680845"/>
    <n v="394.82096599364337"/>
    <n v="0"/>
    <d v="2022-03-31T00:00:00"/>
    <x v="0"/>
  </r>
  <r>
    <n v="303"/>
    <d v="2022-03-01T00:00:00"/>
    <s v="KAPW-IB-136039-09-03-2022"/>
    <d v="2022-03-09T00:00:00"/>
    <x v="0"/>
    <x v="0"/>
    <n v="24480"/>
    <x v="0"/>
    <x v="0"/>
    <n v="5402.33"/>
    <n v="1.71"/>
    <n v="0"/>
    <n v="0"/>
    <x v="6"/>
    <s v="100% POLYESTER TEXTURED YARN (DTY 100D/48F HIM RW SD GRADE-AA) "/>
    <n v="7626613"/>
    <x v="0"/>
    <n v="2897251"/>
    <x v="0"/>
    <n v="139567993"/>
    <d v="2024-03-08T00:00:00"/>
    <x v="0"/>
    <x v="0"/>
    <x v="0"/>
    <x v="0"/>
    <x v="0"/>
    <x v="0"/>
    <d v="2024-01-08T00:00:00"/>
    <x v="0"/>
    <x v="1"/>
    <x v="0"/>
    <x v="0"/>
    <x v="0"/>
    <x v="3"/>
    <n v="311.54464869281048"/>
    <n v="118.35175653594771"/>
    <n v="0"/>
    <d v="2022-03-31T00:00:00"/>
    <x v="0"/>
  </r>
  <r>
    <n v="304"/>
    <d v="2022-03-01T00:00:00"/>
    <s v="KAPW-IB-137115-11-03-2022"/>
    <d v="2022-03-11T00:00:00"/>
    <x v="0"/>
    <x v="0"/>
    <n v="40200"/>
    <x v="0"/>
    <x v="0"/>
    <n v="5205.12"/>
    <n v="3.2"/>
    <n v="0"/>
    <n v="0"/>
    <x v="10"/>
    <s v="20/1 cotton yarn "/>
    <n v="23502516"/>
    <x v="0"/>
    <n v="5659053"/>
    <x v="0"/>
    <n v="139568000"/>
    <d v="2024-03-08T00:00:00"/>
    <x v="0"/>
    <x v="0"/>
    <x v="0"/>
    <x v="0"/>
    <x v="0"/>
    <x v="0"/>
    <d v="2024-01-08T00:00:00"/>
    <x v="0"/>
    <x v="1"/>
    <x v="0"/>
    <x v="0"/>
    <x v="0"/>
    <x v="3"/>
    <n v="584.63970149253737"/>
    <n v="140.77246268656717"/>
    <n v="0"/>
    <d v="2022-03-31T00:00:00"/>
    <x v="0"/>
  </r>
  <r>
    <n v="305"/>
    <d v="2022-03-01T00:00:00"/>
    <s v="KAPE-IB-168621-14-03-2022"/>
    <d v="2022-03-14T00:00:00"/>
    <x v="0"/>
    <x v="0"/>
    <n v="23600"/>
    <x v="0"/>
    <x v="0"/>
    <s v="3906.9090 / 3402.1300 / 3809.9190"/>
    <s v="2.9 / 1.9 / 4.3 / 4.05"/>
    <n v="0"/>
    <n v="0"/>
    <x v="12"/>
    <s v="NEOPAT BINDER / NEOPAT COMPOUND / TILASOL / ANTISCHIUMA NEOPAT NT"/>
    <n v="12063675"/>
    <x v="0"/>
    <n v="4065908"/>
    <x v="0"/>
    <n v="139568013"/>
    <d v="2024-03-13T00:00:00"/>
    <x v="0"/>
    <x v="0"/>
    <x v="0"/>
    <x v="0"/>
    <x v="0"/>
    <x v="0"/>
    <d v="2024-01-13T00:00:00"/>
    <x v="0"/>
    <x v="1"/>
    <x v="0"/>
    <x v="0"/>
    <x v="0"/>
    <x v="5"/>
    <n v="511.17266949152543"/>
    <n v="172.28423728813559"/>
    <n v="0"/>
    <d v="2022-03-31T00:00:00"/>
    <x v="0"/>
  </r>
  <r>
    <n v="306"/>
    <d v="2022-03-01T00:00:00"/>
    <s v="KAPE-IB-170365-15-03-2022"/>
    <d v="2022-03-15T00:00:00"/>
    <x v="0"/>
    <x v="0"/>
    <n v="12000"/>
    <x v="0"/>
    <x v="0"/>
    <n v="3910"/>
    <n v="2.9"/>
    <n v="0"/>
    <n v="0"/>
    <x v="12"/>
    <s v="MICROS 50 HS MICROEMULSION - SILICONE"/>
    <n v="6940858"/>
    <x v="0"/>
    <n v="1261154"/>
    <x v="0"/>
    <n v="139568017"/>
    <d v="2024-03-14T00:00:00"/>
    <x v="0"/>
    <x v="0"/>
    <x v="0"/>
    <x v="0"/>
    <x v="0"/>
    <x v="0"/>
    <d v="2024-01-14T00:00:00"/>
    <x v="0"/>
    <x v="1"/>
    <x v="0"/>
    <x v="0"/>
    <x v="0"/>
    <x v="5"/>
    <n v="578.40483333333339"/>
    <n v="105.09616666666666"/>
    <n v="0"/>
    <d v="2022-03-31T00:00:00"/>
    <x v="0"/>
  </r>
  <r>
    <n v="307"/>
    <d v="2022-03-01T00:00:00"/>
    <s v="KAPE-IB-170407-15-03-2022"/>
    <d v="2022-03-15T00:00:00"/>
    <x v="0"/>
    <x v="0"/>
    <n v="11025"/>
    <x v="0"/>
    <x v="0"/>
    <n v="3204.16"/>
    <s v="8.6053 / 4.3027"/>
    <n v="0"/>
    <n v="0"/>
    <x v="5"/>
    <s v="DYES (IMPERON BRILLIANT PINK / IMPERON BLUE)"/>
    <n v="9731633"/>
    <x v="0"/>
    <n v="3608217"/>
    <x v="0"/>
    <n v="139568018"/>
    <d v="2024-03-11T00:00:00"/>
    <x v="0"/>
    <x v="0"/>
    <x v="0"/>
    <x v="0"/>
    <x v="0"/>
    <x v="0"/>
    <d v="2024-01-11T00:00:00"/>
    <x v="0"/>
    <x v="1"/>
    <x v="0"/>
    <x v="0"/>
    <x v="0"/>
    <x v="4"/>
    <n v="882.68780045351468"/>
    <n v="327.27591836734695"/>
    <n v="0"/>
    <d v="2022-03-31T00:00:00"/>
    <x v="0"/>
  </r>
  <r>
    <n v="308"/>
    <d v="2022-03-01T00:00:00"/>
    <s v="KAPE-IB-172975-19-03-2022"/>
    <d v="2022-03-19T00:00:00"/>
    <x v="0"/>
    <x v="0"/>
    <n v="19800"/>
    <x v="0"/>
    <x v="0"/>
    <n v="5205.12"/>
    <n v="3.23"/>
    <n v="0"/>
    <n v="0"/>
    <x v="10"/>
    <s v="20/1 cotton yarn "/>
    <n v="11778987"/>
    <x v="0"/>
    <n v="2836203"/>
    <x v="0"/>
    <n v="139568015"/>
    <d v="2024-03-18T00:00:00"/>
    <x v="0"/>
    <x v="0"/>
    <x v="0"/>
    <x v="0"/>
    <x v="0"/>
    <x v="0"/>
    <d v="2024-01-18T00:00:00"/>
    <x v="0"/>
    <x v="1"/>
    <x v="0"/>
    <x v="0"/>
    <x v="0"/>
    <x v="3"/>
    <n v="594.89833333333331"/>
    <n v="143.24257575757576"/>
    <n v="0"/>
    <d v="2022-03-31T00:00:00"/>
    <x v="0"/>
  </r>
  <r>
    <n v="309"/>
    <d v="2022-03-01T00:00:00"/>
    <s v="KAPE-IB-173183-21-03-2022"/>
    <d v="2022-03-21T00:00:00"/>
    <x v="0"/>
    <x v="0"/>
    <n v="19800"/>
    <x v="0"/>
    <x v="0"/>
    <n v="5205.12"/>
    <n v="3.13"/>
    <n v="0"/>
    <n v="0"/>
    <x v="10"/>
    <s v="16/1 cotton yarn "/>
    <n v="11414313"/>
    <x v="0"/>
    <n v="2748396"/>
    <x v="0"/>
    <n v="139568014"/>
    <d v="2024-03-20T00:00:00"/>
    <x v="0"/>
    <x v="0"/>
    <x v="0"/>
    <x v="0"/>
    <x v="0"/>
    <x v="0"/>
    <d v="2024-01-20T00:00:00"/>
    <x v="0"/>
    <x v="1"/>
    <x v="0"/>
    <x v="0"/>
    <x v="0"/>
    <x v="3"/>
    <n v="576.48045454545456"/>
    <n v="138.80787878787879"/>
    <n v="0"/>
    <d v="2022-03-31T00:00:00"/>
    <x v="0"/>
  </r>
  <r>
    <n v="310"/>
    <d v="2022-03-01T00:00:00"/>
    <s v="KAPW-IB-139123-15-03-2022"/>
    <d v="2022-03-15T00:00:00"/>
    <x v="0"/>
    <x v="0"/>
    <n v="325"/>
    <x v="0"/>
    <x v="0"/>
    <n v="3204.16"/>
    <s v="130.1955 / 58.0872"/>
    <n v="0"/>
    <n v="0"/>
    <x v="5"/>
    <s v="DYES BEZATHREN"/>
    <n v="6078812"/>
    <x v="0"/>
    <n v="2253854"/>
    <x v="0"/>
    <n v="139568016"/>
    <d v="2024-03-13T00:00:00"/>
    <x v="0"/>
    <x v="0"/>
    <x v="0"/>
    <x v="0"/>
    <x v="0"/>
    <x v="0"/>
    <d v="2024-01-13T00:00:00"/>
    <x v="0"/>
    <x v="1"/>
    <x v="0"/>
    <x v="0"/>
    <x v="0"/>
    <x v="4"/>
    <n v="18704.036923076925"/>
    <n v="6934.9353846153845"/>
    <n v="0"/>
    <d v="2022-03-31T00:00:00"/>
    <x v="0"/>
  </r>
  <r>
    <n v="311"/>
    <d v="2022-03-01T00:00:00"/>
    <s v="KAPW-IB-141429-19-03-2022"/>
    <d v="2022-03-19T00:00:00"/>
    <x v="0"/>
    <x v="0"/>
    <n v="1250"/>
    <x v="0"/>
    <x v="0"/>
    <n v="3204.16"/>
    <s v="10.5791 / 9.5212"/>
    <n v="0"/>
    <n v="0"/>
    <x v="5"/>
    <s v="DYES BEMACRON"/>
    <n v="2240718"/>
    <x v="0"/>
    <n v="830796"/>
    <x v="0"/>
    <n v="139568024"/>
    <d v="2024-03-15T00:00:00"/>
    <x v="0"/>
    <x v="0"/>
    <x v="0"/>
    <x v="0"/>
    <x v="0"/>
    <x v="0"/>
    <d v="2024-01-15T00:00:00"/>
    <x v="0"/>
    <x v="1"/>
    <x v="0"/>
    <x v="0"/>
    <x v="0"/>
    <x v="4"/>
    <n v="1792.5744"/>
    <n v="664.63679999999999"/>
    <n v="0"/>
    <d v="2022-03-31T00:00:00"/>
    <x v="0"/>
  </r>
  <r>
    <n v="312"/>
    <d v="2022-03-01T00:00:00"/>
    <s v="KAPE-IB-175040-24-03-2022"/>
    <d v="2022-03-24T00:00:00"/>
    <x v="0"/>
    <x v="0"/>
    <n v="24000"/>
    <x v="0"/>
    <x v="0"/>
    <n v="3809.9110000000001"/>
    <n v="1.1000000000000001"/>
    <n v="0"/>
    <n v="0"/>
    <x v="12"/>
    <s v="EMSIZE CMS 60 "/>
    <n v="5388013"/>
    <x v="0"/>
    <n v="979002"/>
    <x v="0"/>
    <n v="139568099"/>
    <d v="2024-03-20T00:00:00"/>
    <x v="0"/>
    <x v="0"/>
    <x v="0"/>
    <x v="0"/>
    <x v="0"/>
    <x v="0"/>
    <d v="2024-01-20T00:00:00"/>
    <x v="0"/>
    <x v="1"/>
    <x v="0"/>
    <x v="0"/>
    <x v="0"/>
    <x v="5"/>
    <n v="224.50054166666666"/>
    <n v="40.79175"/>
    <n v="0"/>
    <d v="2022-03-31T00:00:00"/>
    <x v="0"/>
  </r>
  <r>
    <n v="313"/>
    <d v="2022-03-01T00:00:00"/>
    <s v="KAPE-IB-175214-24-03-2022"/>
    <d v="2022-03-24T00:00:00"/>
    <x v="0"/>
    <x v="0"/>
    <n v="5000"/>
    <x v="0"/>
    <x v="0"/>
    <n v="3906.9090000000001"/>
    <n v="12.6"/>
    <n v="0"/>
    <n v="0"/>
    <x v="12"/>
    <s v="NUVA N1811 LIQ"/>
    <n v="11664333"/>
    <x v="0"/>
    <n v="3635622"/>
    <x v="0"/>
    <n v="139568098"/>
    <d v="2024-03-20T00:00:00"/>
    <x v="0"/>
    <x v="0"/>
    <x v="0"/>
    <x v="0"/>
    <x v="0"/>
    <x v="0"/>
    <d v="2024-01-20T00:00:00"/>
    <x v="0"/>
    <x v="1"/>
    <x v="0"/>
    <x v="0"/>
    <x v="0"/>
    <x v="5"/>
    <n v="2332.8665999999998"/>
    <n v="727.12440000000004"/>
    <n v="0"/>
    <d v="2022-03-31T00:00:00"/>
    <x v="0"/>
  </r>
  <r>
    <n v="314"/>
    <d v="2022-03-01T00:00:00"/>
    <s v="KAPE-IB-172195-18-03-2022"/>
    <d v="2022-03-18T00:00:00"/>
    <x v="0"/>
    <x v="0"/>
    <n v="25600"/>
    <x v="0"/>
    <x v="0"/>
    <n v="3910"/>
    <n v="2"/>
    <n v="0"/>
    <n v="0"/>
    <x v="12"/>
    <s v="SILICONE HT-40"/>
    <n v="9396019"/>
    <x v="0"/>
    <n v="1707256"/>
    <x v="0"/>
    <n v="139568025"/>
    <d v="2024-03-16T00:00:00"/>
    <x v="0"/>
    <x v="0"/>
    <x v="0"/>
    <x v="0"/>
    <x v="0"/>
    <x v="0"/>
    <d v="2024-01-16T00:00:00"/>
    <x v="0"/>
    <x v="1"/>
    <x v="0"/>
    <x v="0"/>
    <x v="0"/>
    <x v="5"/>
    <n v="367.03199218750001"/>
    <n v="66.689687500000005"/>
    <n v="0"/>
    <d v="2022-03-31T00:00:00"/>
    <x v="0"/>
  </r>
  <r>
    <n v="315"/>
    <d v="2022-03-01T00:00:00"/>
    <s v="KAPE-IB-175199-24-03-2022"/>
    <d v="2022-03-24T00:00:00"/>
    <x v="0"/>
    <x v="0"/>
    <n v="48960"/>
    <x v="0"/>
    <x v="0"/>
    <n v="5402.33"/>
    <n v="1.71"/>
    <n v="0"/>
    <n v="0"/>
    <x v="6"/>
    <s v="100% POLYESTER TEXTURED YARN (DTY 100D/48F) HIM RW SD GRADE -AA"/>
    <n v="15500899"/>
    <x v="0"/>
    <n v="5888590"/>
    <x v="0"/>
    <n v="139568122"/>
    <d v="2024-03-22T00:00:00"/>
    <x v="0"/>
    <x v="0"/>
    <x v="0"/>
    <x v="0"/>
    <x v="0"/>
    <x v="0"/>
    <d v="2024-01-22T00:00:00"/>
    <x v="0"/>
    <x v="1"/>
    <x v="0"/>
    <x v="0"/>
    <x v="0"/>
    <x v="3"/>
    <n v="316.60332924836604"/>
    <n v="120.2734885620915"/>
    <n v="0"/>
    <d v="2022-03-31T00:00:00"/>
    <x v="0"/>
  </r>
  <r>
    <n v="316"/>
    <d v="2022-03-01T00:00:00"/>
    <s v="KAPE-IB-175809-25-03-2022"/>
    <d v="2022-03-25T00:00:00"/>
    <x v="0"/>
    <x v="0"/>
    <n v="40020"/>
    <x v="0"/>
    <x v="0"/>
    <n v="5205.12"/>
    <n v="3.12"/>
    <n v="0"/>
    <n v="0"/>
    <x v="10"/>
    <s v="16/1 cotton yarn "/>
    <n v="23207203"/>
    <x v="0"/>
    <n v="5587946"/>
    <x v="0"/>
    <n v="139568030"/>
    <d v="2024-03-24T00:00:00"/>
    <x v="0"/>
    <x v="0"/>
    <x v="0"/>
    <x v="0"/>
    <x v="0"/>
    <x v="0"/>
    <d v="2024-01-24T00:00:00"/>
    <x v="0"/>
    <x v="1"/>
    <x v="0"/>
    <x v="0"/>
    <x v="0"/>
    <x v="3"/>
    <n v="579.89012993503252"/>
    <n v="139.62883558220889"/>
    <n v="0"/>
    <d v="2022-03-31T00:00:00"/>
    <x v="0"/>
  </r>
  <r>
    <n v="317"/>
    <d v="2022-03-01T00:00:00"/>
    <s v="KAPW-IB-143787-25-03-2022"/>
    <d v="2022-03-25T00:00:00"/>
    <x v="0"/>
    <x v="0"/>
    <n v="13000"/>
    <x v="0"/>
    <x v="0"/>
    <n v="3809.9189999999999"/>
    <n v="2.65"/>
    <n v="0"/>
    <n v="0"/>
    <x v="12"/>
    <s v="PERIPRINT MIP CONC"/>
    <n v="7047114"/>
    <x v="0"/>
    <n v="2612872"/>
    <x v="0"/>
    <n v="139568102"/>
    <d v="2024-03-21T00:00:00"/>
    <x v="0"/>
    <x v="0"/>
    <x v="0"/>
    <x v="0"/>
    <x v="0"/>
    <x v="0"/>
    <d v="2024-01-21T00:00:00"/>
    <x v="0"/>
    <x v="1"/>
    <x v="0"/>
    <x v="0"/>
    <x v="0"/>
    <x v="5"/>
    <n v="542.08569230769228"/>
    <n v="200.99015384615385"/>
    <n v="0"/>
    <d v="2022-03-31T00:00:00"/>
    <x v="0"/>
  </r>
  <r>
    <n v="318"/>
    <d v="2022-03-01T00:00:00"/>
    <s v="KPAF-IB-50262-29-03-2022"/>
    <d v="2022-03-29T00:00:00"/>
    <x v="0"/>
    <x v="0"/>
    <n v="400"/>
    <x v="0"/>
    <x v="0"/>
    <n v="3808.94"/>
    <n v="31.887499999999999"/>
    <n v="0"/>
    <n v="0"/>
    <x v="12"/>
    <s v="SILVERCLEAR DG-300"/>
    <n v="2373275"/>
    <x v="0"/>
    <n v="631291"/>
    <x v="0"/>
    <n v="139568114"/>
    <d v="2024-03-28T00:00:00"/>
    <x v="0"/>
    <x v="0"/>
    <x v="0"/>
    <x v="0"/>
    <x v="0"/>
    <x v="0"/>
    <d v="2024-01-28T00:00:00"/>
    <x v="0"/>
    <x v="1"/>
    <x v="0"/>
    <x v="0"/>
    <x v="0"/>
    <x v="5"/>
    <n v="5933.1875"/>
    <n v="1578.2275"/>
    <n v="0"/>
    <d v="2022-03-31T00:00:00"/>
    <x v="0"/>
  </r>
  <r>
    <n v="319"/>
    <d v="2022-04-01T00:00:00"/>
    <s v="KAPE-IB-178010-29-03-2022"/>
    <d v="2022-03-29T00:00:00"/>
    <x v="0"/>
    <x v="0"/>
    <n v="10155"/>
    <x v="0"/>
    <x v="0"/>
    <n v="5407.52"/>
    <n v="5.5890000000000004"/>
    <n v="0"/>
    <n v="0"/>
    <x v="11"/>
    <s v="100% POLY MICROFIBER FABRIC, 82GSM WIDTH:95'' ,106&quot; (49400/MTRS)"/>
    <n v="10560430"/>
    <x v="0"/>
    <n v="3915512"/>
    <x v="0"/>
    <n v="139568132"/>
    <d v="2024-03-28T00:00:00"/>
    <x v="0"/>
    <x v="0"/>
    <x v="0"/>
    <x v="0"/>
    <x v="0"/>
    <x v="0"/>
    <d v="2024-01-28T00:00:00"/>
    <x v="0"/>
    <x v="1"/>
    <x v="0"/>
    <x v="0"/>
    <x v="0"/>
    <x v="2"/>
    <n v="1039.9241752831117"/>
    <n v="385.57479074347611"/>
    <n v="0"/>
    <d v="2022-05-01T00:00:00"/>
    <x v="0"/>
  </r>
  <r>
    <n v="320"/>
    <d v="2022-04-01T00:00:00"/>
    <s v="KAPE-IB-177711-29-03-2022"/>
    <d v="2022-03-29T00:00:00"/>
    <x v="0"/>
    <x v="0"/>
    <n v="12000"/>
    <x v="0"/>
    <x v="0"/>
    <n v="3909.5"/>
    <n v="3.98"/>
    <n v="0"/>
    <n v="0"/>
    <x v="12"/>
    <s v="CHEMICAL LAMFINISH FIX"/>
    <n v="8886524"/>
    <x v="0"/>
    <n v="1614681"/>
    <x v="0"/>
    <n v="139568131"/>
    <d v="2024-03-28T00:00:00"/>
    <x v="0"/>
    <x v="0"/>
    <x v="0"/>
    <x v="0"/>
    <x v="0"/>
    <x v="0"/>
    <d v="2024-01-28T00:00:00"/>
    <x v="0"/>
    <x v="1"/>
    <x v="0"/>
    <x v="0"/>
    <x v="0"/>
    <x v="5"/>
    <n v="740.5436666666667"/>
    <n v="134.55674999999999"/>
    <n v="0"/>
    <d v="2022-05-01T00:00:00"/>
    <x v="0"/>
  </r>
  <r>
    <n v="321"/>
    <d v="2022-04-01T00:00:00"/>
    <s v="KAPE-IB-177816-29-03-2022"/>
    <d v="2022-03-29T00:00:00"/>
    <x v="0"/>
    <x v="0"/>
    <n v="24480"/>
    <x v="0"/>
    <x v="0"/>
    <n v="5402.33"/>
    <n v="1.71"/>
    <n v="0"/>
    <n v="0"/>
    <x v="6"/>
    <s v="100% POLYESTER TEXTURED DTY 100/48F HIM RW SD GRADE-AA"/>
    <n v="7788882"/>
    <x v="0"/>
    <n v="2958895"/>
    <x v="0"/>
    <n v="139568125"/>
    <d v="2024-03-28T00:00:00"/>
    <x v="0"/>
    <x v="0"/>
    <x v="0"/>
    <x v="0"/>
    <x v="0"/>
    <x v="0"/>
    <d v="2024-01-28T00:00:00"/>
    <x v="0"/>
    <x v="1"/>
    <x v="0"/>
    <x v="0"/>
    <x v="0"/>
    <x v="3"/>
    <n v="318.1732843137255"/>
    <n v="120.86989379084967"/>
    <n v="0"/>
    <d v="2022-05-01T00:00:00"/>
    <x v="0"/>
  </r>
  <r>
    <n v="322"/>
    <d v="2022-04-01T00:00:00"/>
    <s v="KAPE-IB-178580-30-03-2022"/>
    <d v="2022-03-30T00:00:00"/>
    <x v="0"/>
    <x v="0"/>
    <n v="24480"/>
    <x v="0"/>
    <x v="0"/>
    <n v="5402.33"/>
    <n v="1.71"/>
    <n v="0"/>
    <n v="0"/>
    <x v="6"/>
    <s v="100% POLYESTER TEXTURED YARN (DTY 100D/48F) HIM RW SD GRADE -AA"/>
    <n v="7799557"/>
    <x v="0"/>
    <n v="2962950"/>
    <x v="0"/>
    <n v="139568115"/>
    <d v="2024-03-28T00:00:00"/>
    <x v="0"/>
    <x v="0"/>
    <x v="0"/>
    <x v="0"/>
    <x v="0"/>
    <x v="0"/>
    <d v="2024-01-28T00:00:00"/>
    <x v="0"/>
    <x v="1"/>
    <x v="0"/>
    <x v="0"/>
    <x v="0"/>
    <x v="3"/>
    <n v="318.60935457516342"/>
    <n v="121.03553921568627"/>
    <n v="0"/>
    <d v="2022-05-01T00:00:00"/>
    <x v="0"/>
  </r>
  <r>
    <n v="323"/>
    <d v="2022-04-01T00:00:00"/>
    <s v="KAPW-IB-147499-31-03-2022"/>
    <d v="2022-03-31T00:00:00"/>
    <x v="0"/>
    <x v="0"/>
    <n v="64864.800000000003"/>
    <x v="0"/>
    <x v="0"/>
    <n v="5205.12"/>
    <n v="3.35"/>
    <n v="0"/>
    <n v="0"/>
    <x v="10"/>
    <s v="22/1 cotton yarn "/>
    <n v="40808481"/>
    <x v="0"/>
    <n v="9826070"/>
    <x v="0"/>
    <n v="139568117"/>
    <d v="2024-03-29T00:00:00"/>
    <x v="0"/>
    <x v="0"/>
    <x v="0"/>
    <x v="0"/>
    <x v="0"/>
    <x v="0"/>
    <d v="2024-01-29T00:00:00"/>
    <x v="0"/>
    <x v="1"/>
    <x v="0"/>
    <x v="0"/>
    <x v="0"/>
    <x v="3"/>
    <n v="629.13137788137783"/>
    <n v="151.48539731873063"/>
    <n v="0"/>
    <d v="2022-05-01T00:00:00"/>
    <x v="0"/>
  </r>
  <r>
    <n v="324"/>
    <d v="2022-04-01T00:00:00"/>
    <s v="KAPE-IB-176878-28-03-2022"/>
    <d v="2022-03-28T00:00:00"/>
    <x v="0"/>
    <x v="0"/>
    <n v="24000"/>
    <x v="0"/>
    <x v="0"/>
    <n v="3402.13"/>
    <n v="2.1800000000000002"/>
    <n v="0"/>
    <n v="0"/>
    <x v="12"/>
    <s v="DYMATIC (WETMATIC WTL)"/>
    <n v="9724311"/>
    <x v="0"/>
    <n v="3605502"/>
    <x v="0"/>
    <n v="139568103"/>
    <d v="2024-03-24T00:00:00"/>
    <x v="0"/>
    <x v="0"/>
    <x v="0"/>
    <x v="0"/>
    <x v="0"/>
    <x v="0"/>
    <d v="2024-01-24T00:00:00"/>
    <x v="0"/>
    <x v="1"/>
    <x v="0"/>
    <x v="0"/>
    <x v="0"/>
    <x v="5"/>
    <n v="405.17962499999999"/>
    <n v="150.22925000000001"/>
    <n v="0"/>
    <d v="2022-05-01T00:00:00"/>
    <x v="0"/>
  </r>
  <r>
    <n v="325"/>
    <d v="2022-04-01T00:00:00"/>
    <s v="KAPE-IB-181191-04-04-2022"/>
    <d v="2022-04-04T00:00:00"/>
    <x v="0"/>
    <x v="0"/>
    <n v="20010"/>
    <x v="0"/>
    <x v="0"/>
    <n v="5205.12"/>
    <n v="3.25"/>
    <n v="0"/>
    <n v="0"/>
    <x v="10"/>
    <s v="20/1 cotton yarn "/>
    <n v="12203179"/>
    <x v="0"/>
    <n v="2938342"/>
    <x v="0"/>
    <n v="139568140"/>
    <d v="2024-04-04T00:00:00"/>
    <x v="0"/>
    <x v="0"/>
    <x v="0"/>
    <x v="0"/>
    <x v="0"/>
    <x v="0"/>
    <d v="2024-02-04T00:00:00"/>
    <x v="0"/>
    <x v="1"/>
    <x v="0"/>
    <x v="0"/>
    <x v="0"/>
    <x v="3"/>
    <n v="609.85402298850579"/>
    <n v="146.84367816091955"/>
    <n v="0"/>
    <d v="2022-05-01T00:00:00"/>
    <x v="0"/>
  </r>
  <r>
    <n v="326"/>
    <d v="2022-04-01T00:00:00"/>
    <s v="KAPE-IB-182040-05-04-2022"/>
    <d v="2022-04-05T00:00:00"/>
    <x v="0"/>
    <x v="0"/>
    <n v="12000"/>
    <x v="0"/>
    <x v="0"/>
    <n v="3910"/>
    <n v="2.9"/>
    <n v="0"/>
    <n v="0"/>
    <x v="12"/>
    <s v="CHEMICAL (MICROS 50 HS MICROEMULSION)"/>
    <n v="7238699"/>
    <x v="0"/>
    <n v="1315272"/>
    <x v="0"/>
    <n v="139568141"/>
    <d v="2024-04-04T00:00:00"/>
    <x v="0"/>
    <x v="0"/>
    <x v="0"/>
    <x v="0"/>
    <x v="0"/>
    <x v="0"/>
    <d v="2024-02-04T00:00:00"/>
    <x v="0"/>
    <x v="1"/>
    <x v="0"/>
    <x v="0"/>
    <x v="0"/>
    <x v="5"/>
    <n v="603.22491666666667"/>
    <n v="109.60599999999999"/>
    <n v="0"/>
    <d v="2022-05-01T00:00:00"/>
    <x v="0"/>
  </r>
  <r>
    <n v="327"/>
    <d v="2022-04-01T00:00:00"/>
    <s v="KAPE-IB-182264-06-04-2022"/>
    <d v="2022-04-06T00:00:00"/>
    <x v="0"/>
    <x v="0"/>
    <n v="3450"/>
    <x v="0"/>
    <x v="0"/>
    <n v="5407.52"/>
    <n v="5.5579999999999998"/>
    <n v="0"/>
    <n v="0"/>
    <x v="11"/>
    <s v="100% POLY MICROFIBER FABRIC, 82GSM WIDTH:95'' (17389/MTRS) "/>
    <n v="3614784"/>
    <x v="0"/>
    <n v="1340260"/>
    <x v="0"/>
    <n v="139568148"/>
    <d v="2024-04-04T00:00:00"/>
    <x v="0"/>
    <x v="0"/>
    <x v="0"/>
    <x v="0"/>
    <x v="0"/>
    <x v="0"/>
    <d v="2024-02-04T00:00:00"/>
    <x v="0"/>
    <x v="1"/>
    <x v="0"/>
    <x v="0"/>
    <x v="0"/>
    <x v="2"/>
    <n v="1047.7634782608695"/>
    <n v="388.48115942028983"/>
    <n v="0"/>
    <d v="2022-05-01T00:00:00"/>
    <x v="0"/>
  </r>
  <r>
    <n v="328"/>
    <d v="2022-04-01T00:00:00"/>
    <s v="KPAF-IB-52645-11-04-2022"/>
    <d v="2022-04-11T00:00:00"/>
    <x v="0"/>
    <x v="0"/>
    <n v="450"/>
    <x v="0"/>
    <x v="0"/>
    <n v="5407.52"/>
    <n v="11.027799999999999"/>
    <n v="0"/>
    <n v="0"/>
    <x v="2"/>
    <s v="88% POLYESTER 12%SPANDEX BLENDED MESH FABRIC 150CM 190GSM BLACK 1565/MTRS"/>
    <n v="954995"/>
    <x v="0"/>
    <n v="354085"/>
    <x v="0"/>
    <n v="139568156"/>
    <d v="2024-04-10T00:00:00"/>
    <x v="0"/>
    <x v="0"/>
    <x v="0"/>
    <x v="0"/>
    <x v="0"/>
    <x v="0"/>
    <d v="2024-02-10T00:00:00"/>
    <x v="0"/>
    <x v="1"/>
    <x v="0"/>
    <x v="0"/>
    <x v="0"/>
    <x v="2"/>
    <n v="2122.2111111111112"/>
    <n v="786.85555555555561"/>
    <n v="0"/>
    <d v="2022-05-01T00:00:00"/>
    <x v="0"/>
  </r>
  <r>
    <n v="329"/>
    <d v="2022-04-01T00:00:00"/>
    <s v="KAPE-IB-187220-15-04-2022"/>
    <d v="2022-04-15T00:00:00"/>
    <x v="0"/>
    <x v="0"/>
    <n v="91846"/>
    <x v="0"/>
    <x v="0"/>
    <n v="5208.1899999999996"/>
    <n v="3.0215999999999998"/>
    <n v="0"/>
    <n v="0"/>
    <x v="14"/>
    <s v="100% COTTON GREY CLOTH 167 GR/M2, NE 20/1XNE8/1 40X39 PER INCH WIDTH 263,281,305CM (555054.63/MTRS)"/>
    <n v="51594987"/>
    <x v="0"/>
    <n v="16081487"/>
    <x v="0"/>
    <n v="139568155"/>
    <d v="2024-04-10T00:00:00"/>
    <x v="0"/>
    <x v="0"/>
    <x v="0"/>
    <x v="0"/>
    <x v="0"/>
    <x v="0"/>
    <d v="2024-02-10T00:00:00"/>
    <x v="0"/>
    <x v="1"/>
    <x v="0"/>
    <x v="0"/>
    <x v="0"/>
    <x v="2"/>
    <n v="561.75540578794937"/>
    <n v="175.09186028787317"/>
    <n v="0"/>
    <d v="2022-05-01T00:00:00"/>
    <x v="0"/>
  </r>
  <r>
    <n v="330"/>
    <d v="2022-04-01T00:00:00"/>
    <s v="KAPE-IB-188953-18-04-2022"/>
    <d v="2022-04-18T00:00:00"/>
    <x v="0"/>
    <x v="0"/>
    <n v="17977.8"/>
    <x v="0"/>
    <x v="0"/>
    <n v="5205.12"/>
    <n v="3.6"/>
    <n v="0"/>
    <n v="0"/>
    <x v="10"/>
    <s v="22/1 cotton yarn "/>
    <n v="12015814"/>
    <x v="0"/>
    <n v="2893228"/>
    <x v="0"/>
    <n v="139568160"/>
    <d v="2024-04-15T00:00:00"/>
    <x v="0"/>
    <x v="0"/>
    <x v="0"/>
    <x v="0"/>
    <x v="0"/>
    <x v="0"/>
    <d v="2024-02-15T00:00:00"/>
    <x v="0"/>
    <x v="1"/>
    <x v="0"/>
    <x v="0"/>
    <x v="0"/>
    <x v="3"/>
    <n v="668.36954466063708"/>
    <n v="160.93337338272758"/>
    <n v="0"/>
    <d v="2022-05-01T00:00:00"/>
    <x v="0"/>
  </r>
  <r>
    <n v="331"/>
    <d v="2022-04-01T00:00:00"/>
    <s v="KAPE-IB-188943-18-04-2022"/>
    <d v="2022-04-18T00:00:00"/>
    <x v="0"/>
    <x v="0"/>
    <n v="35731.300000000003"/>
    <x v="0"/>
    <x v="0"/>
    <n v="5205.12"/>
    <n v="3.6"/>
    <n v="0"/>
    <n v="0"/>
    <x v="10"/>
    <s v="22/1 cotton yarn "/>
    <n v="23881712"/>
    <x v="0"/>
    <n v="5750359"/>
    <x v="0"/>
    <n v="139568166"/>
    <d v="2024-04-14T00:00:00"/>
    <x v="0"/>
    <x v="0"/>
    <x v="0"/>
    <x v="0"/>
    <x v="0"/>
    <x v="0"/>
    <d v="2024-02-14T00:00:00"/>
    <x v="0"/>
    <x v="1"/>
    <x v="0"/>
    <x v="0"/>
    <x v="0"/>
    <x v="3"/>
    <n v="668.36952475840508"/>
    <n v="160.93338333617862"/>
    <n v="0"/>
    <d v="2022-05-01T00:00:00"/>
    <x v="0"/>
  </r>
  <r>
    <n v="332"/>
    <d v="2022-04-01T00:00:00"/>
    <s v="KAPW-IB-154711-18-04-2022"/>
    <d v="2022-04-18T00:00:00"/>
    <x v="0"/>
    <x v="0"/>
    <n v="40981.300000000003"/>
    <x v="0"/>
    <x v="0"/>
    <n v="5205.12"/>
    <n v="3.35"/>
    <n v="0"/>
    <n v="0"/>
    <x v="10"/>
    <s v="22/1 cotton yarn "/>
    <n v="25488523"/>
    <x v="0"/>
    <n v="6137254"/>
    <x v="0"/>
    <n v="139568116"/>
    <d v="2024-03-29T00:00:00"/>
    <x v="0"/>
    <x v="0"/>
    <x v="0"/>
    <x v="0"/>
    <x v="0"/>
    <x v="0"/>
    <d v="2024-01-29T00:00:00"/>
    <x v="0"/>
    <x v="1"/>
    <x v="0"/>
    <x v="0"/>
    <x v="0"/>
    <x v="3"/>
    <n v="621.95496482542035"/>
    <n v="149.75742594793235"/>
    <n v="0"/>
    <d v="2022-05-01T00:00:00"/>
    <x v="0"/>
  </r>
  <r>
    <n v="333"/>
    <d v="2022-04-01T00:00:00"/>
    <s v="KAPW-IB-157282-21-04-2022"/>
    <d v="2022-04-21T00:00:00"/>
    <x v="0"/>
    <x v="0"/>
    <n v="18000"/>
    <x v="0"/>
    <x v="0"/>
    <n v="3905.3"/>
    <n v="3.6"/>
    <n v="0"/>
    <n v="0"/>
    <x v="12"/>
    <s v="POLYVINYL ALCOHOL (PVA)"/>
    <n v="12225654"/>
    <x v="0"/>
    <n v="2221401"/>
    <x v="0"/>
    <n v="139568180"/>
    <d v="2024-04-18T00:00:00"/>
    <x v="0"/>
    <x v="0"/>
    <x v="0"/>
    <x v="0"/>
    <x v="0"/>
    <x v="0"/>
    <d v="2024-02-18T00:00:00"/>
    <x v="0"/>
    <x v="1"/>
    <x v="0"/>
    <x v="0"/>
    <x v="0"/>
    <x v="5"/>
    <n v="679.20299999999997"/>
    <n v="123.41116666666667"/>
    <n v="0"/>
    <d v="2022-05-01T00:00:00"/>
    <x v="0"/>
  </r>
  <r>
    <n v="334"/>
    <d v="2022-04-01T00:00:00"/>
    <s v="KAPE-IB-193166-25-04-2022"/>
    <d v="2022-04-25T00:00:00"/>
    <x v="0"/>
    <x v="0"/>
    <n v="18447.099999999999"/>
    <x v="0"/>
    <x v="0"/>
    <n v="5205.12"/>
    <n v="3.6"/>
    <n v="0"/>
    <n v="0"/>
    <x v="10"/>
    <s v="22/1 cotton yarn "/>
    <n v="12668201"/>
    <x v="0"/>
    <n v="3050313"/>
    <x v="0"/>
    <n v="139568161"/>
    <d v="2024-04-17T00:00:00"/>
    <x v="0"/>
    <x v="0"/>
    <x v="0"/>
    <x v="0"/>
    <x v="0"/>
    <x v="0"/>
    <d v="2024-02-17T00:00:00"/>
    <x v="0"/>
    <x v="1"/>
    <x v="0"/>
    <x v="0"/>
    <x v="0"/>
    <x v="3"/>
    <n v="686.7313019390582"/>
    <n v="165.354608583463"/>
    <n v="0"/>
    <d v="2022-05-01T00:00:00"/>
    <x v="0"/>
  </r>
  <r>
    <n v="335"/>
    <d v="2022-04-01T00:00:00"/>
    <s v="KAPW-IB-156911-21-04-2022"/>
    <d v="2022-04-21T00:00:00"/>
    <x v="0"/>
    <x v="0"/>
    <n v="12000"/>
    <x v="0"/>
    <x v="0"/>
    <n v="3204.16"/>
    <s v="4.1 / 4.05 / 5.75"/>
    <n v="0"/>
    <n v="0"/>
    <x v="5"/>
    <s v="DYES (LIYUANSOL)"/>
    <n v="10471045"/>
    <x v="0"/>
    <n v="3882370"/>
    <x v="0"/>
    <n v="139568191"/>
    <d v="2024-04-20T00:00:00"/>
    <x v="0"/>
    <x v="0"/>
    <x v="0"/>
    <x v="0"/>
    <x v="0"/>
    <x v="0"/>
    <d v="2024-02-20T00:00:00"/>
    <x v="0"/>
    <x v="1"/>
    <x v="0"/>
    <x v="0"/>
    <x v="0"/>
    <x v="4"/>
    <n v="872.58708333333334"/>
    <n v="323.53083333333331"/>
    <n v="0"/>
    <d v="2022-05-01T00:00:00"/>
    <x v="0"/>
  </r>
  <r>
    <n v="336"/>
    <d v="2022-04-01T00:00:00"/>
    <s v="KAPW-IB-157408-22-04-2022"/>
    <d v="2022-04-22T00:00:00"/>
    <x v="0"/>
    <x v="0"/>
    <n v="154"/>
    <x v="0"/>
    <x v="0"/>
    <n v="5407.52"/>
    <n v="9.4451000000000001"/>
    <n v="0"/>
    <n v="0"/>
    <x v="11"/>
    <s v="100% POLYESTER 190T TAFFETA W/R +PU COATING WHITE COLOR 70GSM WIDTH:57&quot;/58&quot; (1423/MTRS)"/>
    <n v="276577"/>
    <x v="0"/>
    <n v="102547"/>
    <x v="0"/>
    <n v="139568192"/>
    <d v="2024-04-18T00:00:00"/>
    <x v="0"/>
    <x v="0"/>
    <x v="0"/>
    <x v="0"/>
    <x v="0"/>
    <x v="0"/>
    <d v="2024-02-18T00:00:00"/>
    <x v="0"/>
    <x v="1"/>
    <x v="0"/>
    <x v="0"/>
    <x v="0"/>
    <x v="2"/>
    <n v="1795.9545454545455"/>
    <n v="665.88961038961043"/>
    <n v="0"/>
    <d v="2022-05-01T00:00:00"/>
    <x v="0"/>
  </r>
  <r>
    <n v="337"/>
    <d v="2022-04-01T00:00:00"/>
    <s v="KAPE-IB-193652-26-04-2022"/>
    <d v="2022-04-26T00:00:00"/>
    <x v="0"/>
    <x v="0"/>
    <n v="65250"/>
    <x v="0"/>
    <x v="0"/>
    <n v="5205.1099999999997"/>
    <n v="2.74"/>
    <n v="0"/>
    <n v="0"/>
    <x v="10"/>
    <s v="8/1 cotton yarn "/>
    <n v="34141270"/>
    <x v="0"/>
    <n v="8220707"/>
    <x v="0"/>
    <n v="139568182"/>
    <d v="2024-04-24T00:00:00"/>
    <x v="0"/>
    <x v="0"/>
    <x v="0"/>
    <x v="0"/>
    <x v="0"/>
    <x v="0"/>
    <d v="2024-02-24T00:00:00"/>
    <x v="0"/>
    <x v="1"/>
    <x v="0"/>
    <x v="0"/>
    <x v="0"/>
    <x v="3"/>
    <n v="523.23785440613028"/>
    <n v="125.98784674329502"/>
    <n v="0"/>
    <d v="2022-05-01T00:00:00"/>
    <x v="0"/>
  </r>
  <r>
    <n v="338"/>
    <d v="2022-04-01T00:00:00"/>
    <s v="KAPE-IB-191342-21-04-2022"/>
    <d v="2022-04-21T00:00:00"/>
    <x v="0"/>
    <x v="0"/>
    <n v="2750"/>
    <x v="0"/>
    <x v="0"/>
    <n v="3204.16"/>
    <s v="56 / 46"/>
    <n v="0"/>
    <n v="0"/>
    <x v="5"/>
    <s v="DYES (FARBANTHREN)"/>
    <n v="25281445"/>
    <x v="0"/>
    <n v="9373653"/>
    <x v="0"/>
    <n v="139568190"/>
    <d v="2024-04-18T00:00:00"/>
    <x v="0"/>
    <x v="0"/>
    <x v="0"/>
    <x v="0"/>
    <x v="0"/>
    <x v="0"/>
    <d v="2024-02-18T00:00:00"/>
    <x v="0"/>
    <x v="1"/>
    <x v="0"/>
    <x v="0"/>
    <x v="0"/>
    <x v="4"/>
    <n v="9193.2527272727275"/>
    <n v="3408.601090909091"/>
    <n v="0"/>
    <d v="2022-05-01T00:00:00"/>
    <x v="0"/>
  </r>
  <r>
    <n v="339"/>
    <d v="2022-04-01T00:00:00"/>
    <s v="KAPE-IB-193852-26-04-2022"/>
    <d v="2022-04-26T00:00:00"/>
    <x v="0"/>
    <x v="0"/>
    <n v="25600"/>
    <x v="0"/>
    <x v="0"/>
    <n v="3910"/>
    <n v="2"/>
    <n v="0"/>
    <n v="0"/>
    <x v="12"/>
    <s v="CHEMICAL (SILICONE HT-40)"/>
    <n v="9777291"/>
    <x v="0"/>
    <n v="1776533"/>
    <x v="0"/>
    <n v="139568199"/>
    <d v="2024-04-25T00:00:00"/>
    <x v="0"/>
    <x v="0"/>
    <x v="0"/>
    <x v="0"/>
    <x v="0"/>
    <x v="0"/>
    <d v="2024-02-25T00:00:00"/>
    <x v="0"/>
    <x v="1"/>
    <x v="0"/>
    <x v="0"/>
    <x v="0"/>
    <x v="5"/>
    <n v="381.92542968750001"/>
    <n v="69.395820312500007"/>
    <n v="0"/>
    <d v="2022-05-01T00:00:00"/>
    <x v="0"/>
  </r>
  <r>
    <n v="340"/>
    <d v="2022-04-01T00:00:00"/>
    <s v="KAPE-IB-196703-29-04-2022"/>
    <d v="2022-04-29T00:00:00"/>
    <x v="0"/>
    <x v="0"/>
    <n v="56000"/>
    <x v="0"/>
    <x v="0"/>
    <n v="2513.1"/>
    <n v="0.14899999999999999"/>
    <n v="0"/>
    <n v="0"/>
    <x v="12"/>
    <s v="PUMICE STONE"/>
    <n v="1582753"/>
    <x v="0"/>
    <n v="306104"/>
    <x v="0"/>
    <n v="139568188"/>
    <d v="2024-04-28T00:00:00"/>
    <x v="0"/>
    <x v="0"/>
    <x v="0"/>
    <x v="0"/>
    <x v="0"/>
    <x v="0"/>
    <d v="2024-02-28T00:00:00"/>
    <x v="0"/>
    <x v="1"/>
    <x v="0"/>
    <x v="0"/>
    <x v="0"/>
    <x v="5"/>
    <n v="28.263446428571427"/>
    <n v="5.4661428571428567"/>
    <n v="0"/>
    <d v="2022-05-01T00:00:00"/>
    <x v="0"/>
  </r>
  <r>
    <n v="341"/>
    <d v="2022-05-01T00:00:00"/>
    <s v="KAPE-IB-196874-29-04-2022"/>
    <d v="2022-04-29T00:00:00"/>
    <x v="0"/>
    <x v="0"/>
    <n v="36131.9"/>
    <x v="0"/>
    <x v="0"/>
    <n v="5205.12"/>
    <n v="3.6"/>
    <n v="0"/>
    <n v="0"/>
    <x v="10"/>
    <s v="22/1 cotton yarn "/>
    <n v="24673584"/>
    <x v="0"/>
    <n v="5941029"/>
    <x v="0"/>
    <n v="139568195"/>
    <d v="2024-04-28T00:00:00"/>
    <x v="0"/>
    <x v="0"/>
    <x v="0"/>
    <x v="0"/>
    <x v="0"/>
    <x v="0"/>
    <d v="2024-02-28T00:00:00"/>
    <x v="0"/>
    <x v="1"/>
    <x v="0"/>
    <x v="0"/>
    <x v="0"/>
    <x v="3"/>
    <n v="682.87535391164033"/>
    <n v="164.42614421051758"/>
    <n v="0"/>
    <d v="2022-05-31T00:00:00"/>
    <x v="0"/>
  </r>
  <r>
    <n v="342"/>
    <d v="2022-05-01T00:00:00"/>
    <s v="KPAF-IB-56483-06-05-2022"/>
    <d v="2022-05-06T00:00:00"/>
    <x v="0"/>
    <x v="0"/>
    <n v="1350"/>
    <x v="0"/>
    <x v="0"/>
    <n v="5407.52"/>
    <n v="20.1037"/>
    <n v="0"/>
    <n v="0"/>
    <x v="16"/>
    <s v="100% NYLON WOVEN FABRIC 4500/MTRS"/>
    <n v="5152273"/>
    <x v="0"/>
    <n v="1910319"/>
    <x v="0"/>
    <n v="139568219"/>
    <d v="2024-05-05T00:00:00"/>
    <x v="0"/>
    <x v="0"/>
    <x v="0"/>
    <x v="0"/>
    <x v="0"/>
    <x v="0"/>
    <d v="2024-03-06T00:00:00"/>
    <x v="0"/>
    <x v="1"/>
    <x v="0"/>
    <x v="0"/>
    <x v="0"/>
    <x v="2"/>
    <n v="3816.4985185185187"/>
    <n v="1415.0511111111111"/>
    <n v="0"/>
    <d v="2022-05-31T00:00:00"/>
    <x v="0"/>
  </r>
  <r>
    <n v="343"/>
    <d v="2022-05-01T00:00:00"/>
    <s v="KAPE-IB-199558-09-05-2022"/>
    <d v="2022-05-09T00:00:00"/>
    <x v="0"/>
    <x v="0"/>
    <n v="18566.400000000001"/>
    <x v="0"/>
    <x v="0"/>
    <n v="5205.12"/>
    <n v="3.6"/>
    <n v="0"/>
    <n v="0"/>
    <x v="10"/>
    <s v="22/1 cotton yarn "/>
    <n v="12681946"/>
    <x v="0"/>
    <n v="3053622"/>
    <x v="0"/>
    <n v="139568226"/>
    <d v="2024-05-09T00:00:00"/>
    <x v="0"/>
    <x v="0"/>
    <x v="0"/>
    <x v="0"/>
    <x v="0"/>
    <x v="0"/>
    <d v="2024-03-10T00:00:00"/>
    <x v="0"/>
    <x v="1"/>
    <x v="0"/>
    <x v="0"/>
    <x v="0"/>
    <x v="3"/>
    <n v="683.05896673560835"/>
    <n v="164.47033350568768"/>
    <n v="0"/>
    <d v="2022-05-31T00:00:00"/>
    <x v="0"/>
  </r>
  <r>
    <n v="344"/>
    <d v="2022-05-01T00:00:00"/>
    <s v="KAPE-IB-199160-09-05-2022"/>
    <d v="2022-05-09T00:00:00"/>
    <x v="0"/>
    <x v="0"/>
    <n v="43908.480000000003"/>
    <x v="0"/>
    <x v="0"/>
    <n v="5205.12"/>
    <n v="3.2"/>
    <n v="0"/>
    <n v="0"/>
    <x v="10"/>
    <s v="20/1 cotton yarn "/>
    <n v="26659627"/>
    <x v="0"/>
    <n v="6419238"/>
    <x v="0"/>
    <n v="139568228"/>
    <d v="2024-05-07T00:00:00"/>
    <x v="0"/>
    <x v="0"/>
    <x v="0"/>
    <x v="0"/>
    <x v="0"/>
    <x v="0"/>
    <d v="2024-03-08T00:00:00"/>
    <x v="0"/>
    <x v="1"/>
    <x v="0"/>
    <x v="0"/>
    <x v="0"/>
    <x v="3"/>
    <n v="607.16351374495309"/>
    <n v="146.19586011631466"/>
    <n v="0"/>
    <d v="2022-05-31T00:00:00"/>
    <x v="0"/>
  </r>
  <r>
    <n v="345"/>
    <d v="2022-05-01T00:00:00"/>
    <s v="KAPW-IB-164566-10-05-2022"/>
    <d v="2022-05-10T00:00:00"/>
    <x v="0"/>
    <x v="0"/>
    <n v="17808"/>
    <x v="0"/>
    <x v="0"/>
    <n v="5407.52"/>
    <n v="7.3487999999999998"/>
    <n v="0"/>
    <n v="0"/>
    <x v="11"/>
    <s v="100% POLY MICROFIBER FABRIC, 82,210GSM WIDTH:95'' ,106&quot;, 59&quot;(65602/MTRS) "/>
    <n v="24977451"/>
    <x v="0"/>
    <n v="9260939"/>
    <x v="0"/>
    <n v="139568225"/>
    <d v="2024-05-08T00:00:00"/>
    <x v="0"/>
    <x v="0"/>
    <x v="0"/>
    <x v="0"/>
    <x v="0"/>
    <x v="0"/>
    <d v="2024-03-09T00:00:00"/>
    <x v="0"/>
    <x v="1"/>
    <x v="0"/>
    <x v="0"/>
    <x v="0"/>
    <x v="2"/>
    <n v="1402.5972035040431"/>
    <n v="520.04374438454624"/>
    <n v="0"/>
    <d v="2022-05-31T00:00:00"/>
    <x v="0"/>
  </r>
  <r>
    <n v="346"/>
    <d v="2022-05-01T00:00:00"/>
    <s v="KAPE-IB-203232-12-05-2022"/>
    <d v="2022-05-12T00:00:00"/>
    <x v="0"/>
    <x v="0"/>
    <n v="21770"/>
    <x v="0"/>
    <x v="0"/>
    <n v="3809.9189999999999"/>
    <s v="3.1 / 2.65 / 3.3"/>
    <n v="0"/>
    <n v="0"/>
    <x v="12"/>
    <s v="CHEMICAL (POLYSOFT / ENZYME S )"/>
    <n v="12535507"/>
    <x v="0"/>
    <n v="4647816"/>
    <x v="0"/>
    <n v="139568196"/>
    <d v="2024-04-27T00:00:00"/>
    <x v="0"/>
    <x v="0"/>
    <x v="0"/>
    <x v="0"/>
    <x v="0"/>
    <x v="0"/>
    <d v="2024-02-27T00:00:00"/>
    <x v="0"/>
    <x v="1"/>
    <x v="0"/>
    <x v="0"/>
    <x v="0"/>
    <x v="5"/>
    <n v="575.81566375746445"/>
    <n v="213.49637115296278"/>
    <n v="0"/>
    <d v="2022-05-31T00:00:00"/>
    <x v="0"/>
  </r>
  <r>
    <n v="347"/>
    <d v="2022-05-01T00:00:00"/>
    <s v="KAPE-IB-202132-11-05-2022"/>
    <d v="2022-05-11T00:00:00"/>
    <x v="0"/>
    <x v="0"/>
    <n v="25600"/>
    <x v="0"/>
    <x v="0"/>
    <n v="3910"/>
    <n v="2"/>
    <n v="0"/>
    <n v="0"/>
    <x v="12"/>
    <s v="CHEMICAL SILICONE HT-40"/>
    <n v="9816463"/>
    <x v="0"/>
    <n v="1783652"/>
    <x v="0"/>
    <n v="139568240"/>
    <d v="2024-05-09T00:00:00"/>
    <x v="0"/>
    <x v="0"/>
    <x v="0"/>
    <x v="0"/>
    <x v="0"/>
    <x v="0"/>
    <d v="2024-03-10T00:00:00"/>
    <x v="0"/>
    <x v="1"/>
    <x v="0"/>
    <x v="0"/>
    <x v="0"/>
    <x v="5"/>
    <n v="383.45558593750002"/>
    <n v="69.673906250000002"/>
    <n v="0"/>
    <d v="2022-05-31T00:00:00"/>
    <x v="0"/>
  </r>
  <r>
    <n v="348"/>
    <d v="2022-05-01T00:00:00"/>
    <s v="KAPE-IB-195567-28-04-2022"/>
    <d v="2022-04-28T00:00:00"/>
    <x v="0"/>
    <x v="0"/>
    <n v="2310"/>
    <x v="0"/>
    <x v="0"/>
    <n v="3204.16"/>
    <s v="6.3672 / 4.3132"/>
    <n v="0"/>
    <n v="0"/>
    <x v="5"/>
    <s v="DYES (IMPERON)"/>
    <n v="2205371"/>
    <x v="0"/>
    <n v="817689"/>
    <x v="0"/>
    <n v="139568187"/>
    <d v="2024-04-23T00:00:00"/>
    <x v="0"/>
    <x v="0"/>
    <x v="0"/>
    <x v="0"/>
    <x v="0"/>
    <x v="0"/>
    <d v="2024-02-23T00:00:00"/>
    <x v="0"/>
    <x v="1"/>
    <x v="0"/>
    <x v="0"/>
    <x v="0"/>
    <x v="4"/>
    <n v="954.70606060606065"/>
    <n v="353.97792207792207"/>
    <n v="0"/>
    <d v="2022-05-31T00:00:00"/>
    <x v="0"/>
  </r>
  <r>
    <n v="349"/>
    <d v="2022-05-01T00:00:00"/>
    <s v="KAPW-IB-165948-11-05-2022"/>
    <d v="2022-05-11T00:00:00"/>
    <x v="0"/>
    <x v="0"/>
    <n v="18200"/>
    <x v="0"/>
    <x v="0"/>
    <n v="3906.9029999999998"/>
    <n v="2.75"/>
    <n v="0"/>
    <n v="0"/>
    <x v="12"/>
    <s v="CHEMICAL (FLOPRINT TA)"/>
    <n v="9595976"/>
    <x v="0"/>
    <n v="2083775"/>
    <x v="0"/>
    <n v="139567245"/>
    <d v="2024-05-11T00:00:00"/>
    <x v="0"/>
    <x v="0"/>
    <x v="0"/>
    <x v="0"/>
    <x v="0"/>
    <x v="0"/>
    <d v="2024-03-12T00:00:00"/>
    <x v="0"/>
    <x v="1"/>
    <x v="0"/>
    <x v="0"/>
    <x v="0"/>
    <x v="5"/>
    <n v="527.25142857142862"/>
    <n v="114.49313186813187"/>
    <n v="0"/>
    <d v="2022-05-31T00:00:00"/>
    <x v="0"/>
  </r>
  <r>
    <n v="350"/>
    <d v="2022-05-01T00:00:00"/>
    <s v="KAPW-IB-165902-11-05-2022"/>
    <d v="2022-05-11T00:00:00"/>
    <x v="0"/>
    <x v="0"/>
    <n v="62950"/>
    <x v="0"/>
    <x v="0"/>
    <n v="5205.1099999999997"/>
    <n v="2.74"/>
    <n v="0"/>
    <n v="0"/>
    <x v="10"/>
    <s v="8/1 cotton yarn "/>
    <n v="33069785"/>
    <x v="0"/>
    <n v="7962708"/>
    <x v="0"/>
    <n v="139568246"/>
    <d v="2024-05-10T00:00:00"/>
    <x v="0"/>
    <x v="0"/>
    <x v="0"/>
    <x v="0"/>
    <x v="0"/>
    <x v="0"/>
    <d v="2024-03-11T00:00:00"/>
    <x v="0"/>
    <x v="1"/>
    <x v="0"/>
    <x v="0"/>
    <x v="0"/>
    <x v="3"/>
    <n v="525.33415409054805"/>
    <n v="126.49258141382049"/>
    <n v="0"/>
    <d v="2022-05-31T00:00:00"/>
    <x v="0"/>
  </r>
  <r>
    <n v="351"/>
    <d v="2022-05-01T00:00:00"/>
    <s v="KAPW-IB-170426-18-05-2022"/>
    <d v="2022-05-18T00:00:00"/>
    <x v="0"/>
    <x v="0"/>
    <n v="360"/>
    <x v="0"/>
    <x v="0"/>
    <n v="3204.1509999999998"/>
    <n v="72.138900000000007"/>
    <n v="0"/>
    <n v="0"/>
    <x v="5"/>
    <s v="DYES (BEZATHREN)"/>
    <n v="5155343"/>
    <x v="0"/>
    <n v="1119488"/>
    <x v="0"/>
    <n v="139568268"/>
    <d v="2024-05-17T00:00:00"/>
    <x v="0"/>
    <x v="0"/>
    <x v="0"/>
    <x v="0"/>
    <x v="0"/>
    <x v="0"/>
    <d v="2024-03-18T00:00:00"/>
    <x v="0"/>
    <x v="1"/>
    <x v="0"/>
    <x v="0"/>
    <x v="0"/>
    <x v="4"/>
    <n v="14320.397222222222"/>
    <n v="3109.6888888888889"/>
    <n v="0"/>
    <d v="2022-05-31T00:00:00"/>
    <x v="0"/>
  </r>
  <r>
    <n v="352"/>
    <d v="2022-05-01T00:00:00"/>
    <s v="KAPE-IB-207742-18-05-2022"/>
    <d v="2022-05-18T00:00:00"/>
    <x v="0"/>
    <x v="0"/>
    <n v="125"/>
    <x v="0"/>
    <x v="0"/>
    <n v="3204.1509999999998"/>
    <n v="58.2"/>
    <n v="0"/>
    <n v="0"/>
    <x v="5"/>
    <s v="DYES (BEZATHREN)"/>
    <n v="1444171"/>
    <x v="0"/>
    <n v="313603"/>
    <x v="0"/>
    <n v="139568267"/>
    <d v="2024-05-17T00:00:00"/>
    <x v="0"/>
    <x v="0"/>
    <x v="0"/>
    <x v="0"/>
    <x v="0"/>
    <x v="0"/>
    <d v="2024-03-18T00:00:00"/>
    <x v="0"/>
    <x v="1"/>
    <x v="0"/>
    <x v="0"/>
    <x v="0"/>
    <x v="4"/>
    <n v="11553.368"/>
    <n v="2508.8240000000001"/>
    <n v="0"/>
    <d v="2022-05-31T00:00:00"/>
    <x v="0"/>
  </r>
  <r>
    <n v="353"/>
    <d v="2022-05-01T00:00:00"/>
    <s v="KAPE-IB-209585-23-05-2022"/>
    <d v="2022-05-23T00:00:00"/>
    <x v="0"/>
    <x v="0"/>
    <n v="18528"/>
    <x v="0"/>
    <x v="0"/>
    <n v="5205.12"/>
    <n v="3.6"/>
    <n v="0"/>
    <n v="0"/>
    <x v="10"/>
    <s v="22/1 cotton yarn "/>
    <n v="13638916"/>
    <x v="0"/>
    <n v="3284047"/>
    <x v="0"/>
    <n v="139575793"/>
    <d v="2024-05-21T00:00:00"/>
    <x v="0"/>
    <x v="0"/>
    <x v="0"/>
    <x v="0"/>
    <x v="0"/>
    <x v="0"/>
    <d v="2024-03-22T00:00:00"/>
    <x v="0"/>
    <x v="1"/>
    <x v="0"/>
    <x v="0"/>
    <x v="0"/>
    <x v="3"/>
    <n v="736.12456822107083"/>
    <n v="177.24778713298792"/>
    <n v="0"/>
    <d v="2022-05-31T00:00:00"/>
    <x v="0"/>
  </r>
  <r>
    <n v="354"/>
    <d v="2022-05-01T00:00:00"/>
    <s v="KAPE-IB-209572-23-05-2022"/>
    <d v="2022-05-23T00:00:00"/>
    <x v="0"/>
    <x v="0"/>
    <n v="18461.2"/>
    <x v="0"/>
    <x v="0"/>
    <n v="5205.12"/>
    <n v="3.6"/>
    <n v="0"/>
    <n v="0"/>
    <x v="10"/>
    <s v="22/1 cotton yarn "/>
    <n v="13589743"/>
    <x v="0"/>
    <n v="3272206"/>
    <x v="0"/>
    <n v="139575791"/>
    <d v="2024-05-21T00:00:00"/>
    <x v="0"/>
    <x v="0"/>
    <x v="0"/>
    <x v="0"/>
    <x v="0"/>
    <x v="0"/>
    <d v="2024-03-22T00:00:00"/>
    <x v="0"/>
    <x v="1"/>
    <x v="0"/>
    <x v="0"/>
    <x v="0"/>
    <x v="3"/>
    <n v="736.12457478387103"/>
    <n v="177.24774120858882"/>
    <n v="0"/>
    <d v="2022-05-31T00:00:00"/>
    <x v="0"/>
  </r>
  <r>
    <n v="355"/>
    <d v="2022-06-01T00:00:00"/>
    <s v="KAPE-IB-212426-26-05-2022"/>
    <d v="2022-05-26T00:00:00"/>
    <x v="0"/>
    <x v="0"/>
    <n v="12000"/>
    <x v="0"/>
    <x v="0"/>
    <n v="3204.16"/>
    <s v="5.75 / 4.95"/>
    <n v="0"/>
    <n v="0"/>
    <x v="5"/>
    <s v="DYES (REMAZOL)"/>
    <n v="13809389"/>
    <x v="0"/>
    <n v="5120135"/>
    <x v="0"/>
    <n v="139575798"/>
    <d v="2024-05-25T00:00:00"/>
    <x v="0"/>
    <x v="0"/>
    <x v="0"/>
    <x v="0"/>
    <x v="0"/>
    <x v="0"/>
    <d v="2024-03-26T00:00:00"/>
    <x v="0"/>
    <x v="1"/>
    <x v="0"/>
    <x v="0"/>
    <x v="0"/>
    <x v="4"/>
    <n v="1150.7824166666667"/>
    <n v="426.67791666666665"/>
    <n v="0"/>
    <d v="2022-07-01T00:00:00"/>
    <x v="0"/>
  </r>
  <r>
    <n v="356"/>
    <d v="2022-06-01T00:00:00"/>
    <s v="KAPW-IB-174152-26-05-2022"/>
    <d v="2022-06-26T00:00:00"/>
    <x v="0"/>
    <x v="0"/>
    <n v="39009.599999999999"/>
    <x v="0"/>
    <x v="0"/>
    <n v="5205.12"/>
    <n v="3.1"/>
    <n v="0"/>
    <n v="0"/>
    <x v="10"/>
    <s v="20/1 cotton yarn "/>
    <n v="24776946"/>
    <x v="0"/>
    <n v="5965917"/>
    <x v="0"/>
    <n v="139568279"/>
    <d v="2024-05-25T00:00:00"/>
    <x v="0"/>
    <x v="0"/>
    <x v="0"/>
    <x v="0"/>
    <x v="0"/>
    <x v="0"/>
    <d v="2024-03-26T00:00:00"/>
    <x v="0"/>
    <x v="1"/>
    <x v="0"/>
    <x v="0"/>
    <x v="0"/>
    <x v="3"/>
    <n v="635.14996308600962"/>
    <n v="152.93458533284115"/>
    <n v="0"/>
    <d v="2022-07-01T00:00:00"/>
    <x v="0"/>
  </r>
  <r>
    <n v="357"/>
    <d v="2022-06-01T00:00:00"/>
    <s v="KAPE-IB-213507-30-05-2022"/>
    <d v="2022-05-30T00:00:00"/>
    <x v="0"/>
    <x v="0"/>
    <n v="18462"/>
    <x v="0"/>
    <x v="0"/>
    <n v="5205.12"/>
    <n v="3.6"/>
    <n v="0"/>
    <n v="0"/>
    <x v="10"/>
    <s v="22/1 cotton yarn "/>
    <n v="13736100"/>
    <x v="0"/>
    <n v="3307447"/>
    <x v="0"/>
    <n v="139575800"/>
    <d v="2024-05-28T00:00:00"/>
    <x v="0"/>
    <x v="0"/>
    <x v="0"/>
    <x v="0"/>
    <x v="0"/>
    <x v="0"/>
    <d v="2024-03-29T00:00:00"/>
    <x v="0"/>
    <x v="1"/>
    <x v="0"/>
    <x v="0"/>
    <x v="0"/>
    <x v="3"/>
    <n v="744.02014949626255"/>
    <n v="179.14890044415557"/>
    <n v="0"/>
    <d v="2022-07-01T00:00:00"/>
    <x v="0"/>
  </r>
  <r>
    <n v="358"/>
    <d v="2022-06-01T00:00:00"/>
    <s v="KAPW-IB-176924-02-06-2022"/>
    <d v="2022-06-02T00:00:00"/>
    <x v="0"/>
    <x v="0"/>
    <n v="19380"/>
    <x v="0"/>
    <x v="0"/>
    <n v="3809.9189999999999"/>
    <s v="3.10 / 2.65 / 3.30"/>
    <n v="0"/>
    <n v="0"/>
    <x v="12"/>
    <s v="CHEMICAL (POLYSOFT / POLYNOL / ENZYME )"/>
    <n v="11688639"/>
    <x v="0"/>
    <n v="4333820"/>
    <x v="0"/>
    <n v="139575812"/>
    <d v="2024-06-01T00:00:00"/>
    <x v="0"/>
    <x v="0"/>
    <x v="0"/>
    <x v="0"/>
    <x v="0"/>
    <x v="0"/>
    <d v="2024-04-02T00:00:00"/>
    <x v="0"/>
    <x v="1"/>
    <x v="0"/>
    <x v="0"/>
    <x v="0"/>
    <x v="5"/>
    <n v="603.12894736842111"/>
    <n v="223.6233230134159"/>
    <n v="0"/>
    <d v="2022-07-01T00:00:00"/>
    <x v="0"/>
  </r>
  <r>
    <n v="359"/>
    <d v="2022-06-01T00:00:00"/>
    <s v="KAPE-IB-219641-07-06-2022"/>
    <d v="2022-06-07T00:00:00"/>
    <x v="0"/>
    <x v="0"/>
    <n v="61200"/>
    <x v="0"/>
    <x v="0"/>
    <n v="2847"/>
    <n v="0.46"/>
    <n v="0"/>
    <n v="0"/>
    <x v="12"/>
    <s v="HYDROGEN PEROXIDE 50%"/>
    <n v="5697622"/>
    <x v="0"/>
    <n v="2652168"/>
    <x v="0"/>
    <n v="139575825"/>
    <d v="2024-06-04T00:00:00"/>
    <x v="0"/>
    <x v="0"/>
    <x v="0"/>
    <x v="0"/>
    <x v="0"/>
    <x v="0"/>
    <d v="2024-04-05T00:00:00"/>
    <x v="0"/>
    <x v="1"/>
    <x v="0"/>
    <x v="0"/>
    <x v="0"/>
    <x v="5"/>
    <n v="93.098398692810463"/>
    <n v="43.336078431372549"/>
    <n v="0"/>
    <d v="2022-07-01T00:00:00"/>
    <x v="0"/>
  </r>
  <r>
    <n v="360"/>
    <d v="2022-06-01T00:00:00"/>
    <s v="KAPE-IB-219669-07-06-2022"/>
    <d v="2022-06-07T00:00:00"/>
    <x v="0"/>
    <x v="0"/>
    <n v="24000"/>
    <x v="0"/>
    <x v="0"/>
    <n v="3402.42"/>
    <s v="2.20 / 2.70"/>
    <n v="0"/>
    <n v="0"/>
    <x v="12"/>
    <s v="CHEMICAL (WETMATIC / DYMAFIX) (Old 3402.1300"/>
    <n v="11293241"/>
    <x v="0"/>
    <n v="4187217"/>
    <x v="0"/>
    <n v="139575821"/>
    <d v="2024-06-05T00:00:00"/>
    <x v="0"/>
    <x v="0"/>
    <x v="0"/>
    <x v="0"/>
    <x v="0"/>
    <x v="0"/>
    <d v="2024-04-06T00:00:00"/>
    <x v="0"/>
    <x v="1"/>
    <x v="0"/>
    <x v="0"/>
    <x v="0"/>
    <x v="5"/>
    <n v="470.55170833333335"/>
    <n v="174.467375"/>
    <n v="0"/>
    <d v="2022-07-01T00:00:00"/>
    <x v="0"/>
  </r>
  <r>
    <n v="361"/>
    <d v="2022-06-01T00:00:00"/>
    <s v="KAPE-IB-219687-07-06-2022"/>
    <d v="2022-06-07T00:00:00"/>
    <x v="0"/>
    <x v="0"/>
    <n v="14300"/>
    <x v="0"/>
    <x v="0"/>
    <n v="3906.9090000000001"/>
    <n v="1.85"/>
    <n v="0"/>
    <n v="0"/>
    <x v="12"/>
    <s v="CHEMICAL (MIGROSTOP CPA)"/>
    <n v="5754114"/>
    <x v="0"/>
    <n v="1793483"/>
    <x v="0"/>
    <n v="139575818"/>
    <d v="2024-06-05T00:00:00"/>
    <x v="0"/>
    <x v="0"/>
    <x v="0"/>
    <x v="0"/>
    <x v="0"/>
    <x v="0"/>
    <d v="2024-04-06T00:00:00"/>
    <x v="0"/>
    <x v="1"/>
    <x v="0"/>
    <x v="0"/>
    <x v="0"/>
    <x v="5"/>
    <n v="402.38559440559442"/>
    <n v="125.4183916083916"/>
    <n v="0"/>
    <d v="2022-07-01T00:00:00"/>
    <x v="0"/>
  </r>
  <r>
    <n v="362"/>
    <d v="2022-06-01T00:00:00"/>
    <s v="KAPW-IB-178347-06-06-2022"/>
    <d v="2022-06-06T00:00:00"/>
    <x v="0"/>
    <x v="0"/>
    <n v="36400"/>
    <x v="0"/>
    <x v="0"/>
    <n v="3906.9029999999998"/>
    <s v="2.75 / 3.68"/>
    <n v="0"/>
    <n v="0"/>
    <x v="12"/>
    <s v="CHEMICAL (FLOPRINT TA 160 + 250)"/>
    <n v="23630919"/>
    <x v="0"/>
    <n v="5131476"/>
    <x v="0"/>
    <n v="139575828"/>
    <d v="2024-06-05T00:00:00"/>
    <x v="0"/>
    <x v="0"/>
    <x v="0"/>
    <x v="0"/>
    <x v="0"/>
    <x v="0"/>
    <d v="2024-04-06T00:00:00"/>
    <x v="0"/>
    <x v="1"/>
    <x v="0"/>
    <x v="0"/>
    <x v="0"/>
    <x v="5"/>
    <n v="649.20107142857148"/>
    <n v="140.97461538461539"/>
    <n v="0"/>
    <d v="2022-07-01T00:00:00"/>
    <x v="0"/>
  </r>
  <r>
    <n v="363"/>
    <d v="2022-06-01T00:00:00"/>
    <s v="KAPE-IB-218987-07-06-2022"/>
    <d v="2022-06-07T00:00:00"/>
    <x v="0"/>
    <x v="0"/>
    <n v="485300"/>
    <x v="0"/>
    <x v="0"/>
    <n v="5201.009"/>
    <n v="3.6816"/>
    <n v="0"/>
    <n v="0"/>
    <x v="0"/>
    <s v="Raw Cotton"/>
    <n v="361602403"/>
    <x v="0"/>
    <n v="65703157"/>
    <x v="0"/>
    <n v="139575826"/>
    <d v="2024-06-06T00:00:00"/>
    <x v="0"/>
    <x v="0"/>
    <x v="0"/>
    <x v="0"/>
    <x v="0"/>
    <x v="0"/>
    <d v="2024-04-07T00:00:00"/>
    <x v="0"/>
    <x v="1"/>
    <x v="0"/>
    <x v="0"/>
    <x v="0"/>
    <x v="0"/>
    <n v="745.11107150216355"/>
    <n v="135.38668246445496"/>
    <n v="0"/>
    <d v="2022-07-01T00:00:00"/>
    <x v="0"/>
  </r>
  <r>
    <n v="364"/>
    <d v="2022-06-01T00:00:00"/>
    <s v="KAPW-IB-182158-13-06-2022"/>
    <d v="2022-06-03T00:00:00"/>
    <x v="0"/>
    <x v="0"/>
    <n v="3201"/>
    <x v="0"/>
    <x v="0"/>
    <n v="5407.52"/>
    <n v="14.966699999999999"/>
    <n v="0"/>
    <n v="0"/>
    <x v="11"/>
    <s v="100% NYLON WOVEN DYED FABRIC WIDTH: 58&quot;(10670/MTRS)"/>
    <n v="9835362"/>
    <x v="0"/>
    <n v="3646677"/>
    <x v="0"/>
    <n v="139575834"/>
    <d v="2024-06-13T00:00:00"/>
    <x v="0"/>
    <x v="0"/>
    <x v="0"/>
    <x v="0"/>
    <x v="0"/>
    <x v="0"/>
    <d v="2024-04-14T00:00:00"/>
    <x v="0"/>
    <x v="1"/>
    <x v="0"/>
    <x v="0"/>
    <x v="0"/>
    <x v="2"/>
    <n v="3072.5904404873477"/>
    <n v="1139.2305529522025"/>
    <n v="0"/>
    <d v="2022-07-01T00:00:00"/>
    <x v="0"/>
  </r>
  <r>
    <n v="365"/>
    <d v="2022-06-01T00:00:00"/>
    <s v="KAPW-IB-182586-14-06-2022"/>
    <d v="2022-06-14T00:00:00"/>
    <x v="0"/>
    <x v="0"/>
    <n v="897"/>
    <x v="0"/>
    <x v="0"/>
    <n v="5210.3900000000003"/>
    <n v="17.8642"/>
    <n v="0"/>
    <n v="0"/>
    <x v="2"/>
    <s v="WOVEN FABRIC 63%COTTON 34% POLYESTER 3% STR WIDTH:147.149 CM (4675/MTRS"/>
    <n v="3486006"/>
    <x v="0"/>
    <n v="1086543"/>
    <x v="0"/>
    <n v="139575852"/>
    <d v="2024-06-13T00:00:00"/>
    <x v="0"/>
    <x v="0"/>
    <x v="0"/>
    <x v="0"/>
    <x v="0"/>
    <x v="0"/>
    <d v="2024-04-14T00:00:00"/>
    <x v="0"/>
    <x v="1"/>
    <x v="0"/>
    <x v="0"/>
    <x v="0"/>
    <x v="2"/>
    <n v="3886.2943143812709"/>
    <n v="1211.3076923076924"/>
    <n v="0"/>
    <d v="2022-07-01T00:00:00"/>
    <x v="0"/>
  </r>
  <r>
    <n v="366"/>
    <d v="2022-06-01T00:00:00"/>
    <s v="KAPE-IB-226952-21-06-2022"/>
    <d v="2022-06-21T00:00:00"/>
    <x v="0"/>
    <x v="0"/>
    <n v="24000"/>
    <x v="0"/>
    <x v="0"/>
    <n v="3402.42"/>
    <s v="2.20 / 2.70"/>
    <n v="0"/>
    <n v="0"/>
    <x v="12"/>
    <s v="CHEMICAL ( WETMATIC WTL + DYMAFIX ) (Old 3402.1300)"/>
    <n v="11907995"/>
    <x v="0"/>
    <n v="4415153"/>
    <x v="0"/>
    <n v="139575861"/>
    <d v="2024-06-20T00:00:00"/>
    <x v="0"/>
    <x v="0"/>
    <x v="0"/>
    <x v="0"/>
    <x v="0"/>
    <x v="0"/>
    <d v="2024-04-21T00:00:00"/>
    <x v="0"/>
    <x v="1"/>
    <x v="0"/>
    <x v="0"/>
    <x v="0"/>
    <x v="5"/>
    <n v="496.16645833333331"/>
    <n v="183.96470833333333"/>
    <n v="0"/>
    <d v="2022-07-01T00:00:00"/>
    <x v="0"/>
  </r>
  <r>
    <n v="367"/>
    <d v="2022-06-01T00:00:00"/>
    <s v="KAPE-IB-228399-22-06-2022"/>
    <d v="2022-06-22T00:00:00"/>
    <x v="0"/>
    <x v="0"/>
    <n v="25600"/>
    <x v="0"/>
    <x v="0"/>
    <n v="3910"/>
    <n v="2"/>
    <n v="0"/>
    <n v="0"/>
    <x v="12"/>
    <s v="SILICONE HT-40 "/>
    <n v="10989007"/>
    <x v="0"/>
    <n v="1996702"/>
    <x v="0"/>
    <n v="139575854"/>
    <d v="2024-06-19T00:00:00"/>
    <x v="0"/>
    <x v="0"/>
    <x v="0"/>
    <x v="0"/>
    <x v="0"/>
    <x v="0"/>
    <d v="2024-04-20T00:00:00"/>
    <x v="0"/>
    <x v="1"/>
    <x v="0"/>
    <x v="0"/>
    <x v="0"/>
    <x v="5"/>
    <n v="429.25808593750003"/>
    <n v="77.996171875000002"/>
    <n v="0"/>
    <d v="2022-07-01T00:00:00"/>
    <x v="0"/>
  </r>
  <r>
    <n v="368"/>
    <d v="2022-06-01T00:00:00"/>
    <s v="KAPW-IB-182881-14-06-2022"/>
    <d v="2022-06-14T00:00:00"/>
    <x v="0"/>
    <x v="0"/>
    <n v="475"/>
    <x v="0"/>
    <x v="0"/>
    <n v="3402.39"/>
    <s v="6.5575 / 4.3717"/>
    <n v="0"/>
    <n v="0"/>
    <x v="12"/>
    <s v="CHEMICAL _LIQUID + POWDER COLOR NNW/PC FOR FABRIC TREATMENT (Old 3402.1190)"/>
    <n v="542771"/>
    <x v="0"/>
    <n v="261191"/>
    <x v="0"/>
    <n v="139575835"/>
    <d v="2024-06-13T00:00:00"/>
    <x v="0"/>
    <x v="0"/>
    <x v="0"/>
    <x v="0"/>
    <x v="0"/>
    <x v="0"/>
    <d v="2024-04-14T00:00:00"/>
    <x v="0"/>
    <x v="1"/>
    <x v="0"/>
    <x v="0"/>
    <x v="0"/>
    <x v="5"/>
    <n v="1142.6757894736843"/>
    <n v="549.87578947368422"/>
    <n v="0"/>
    <d v="2022-07-01T00:00:00"/>
    <x v="0"/>
  </r>
  <r>
    <n v="369"/>
    <d v="2022-06-01T00:00:00"/>
    <s v="KAPE-IB-226928-21-06-2022"/>
    <d v="2022-06-21T00:00:00"/>
    <x v="0"/>
    <x v="0"/>
    <n v="38288"/>
    <x v="0"/>
    <x v="0"/>
    <n v="5205.12"/>
    <n v="3.6"/>
    <n v="0"/>
    <n v="0"/>
    <x v="10"/>
    <s v="22/1 cotton yarn "/>
    <n v="29415051"/>
    <x v="0"/>
    <n v="7082704"/>
    <x v="0"/>
    <n v="139575862"/>
    <d v="2024-06-20T00:00:00"/>
    <x v="0"/>
    <x v="0"/>
    <x v="0"/>
    <x v="0"/>
    <x v="0"/>
    <x v="0"/>
    <d v="2024-04-21T00:00:00"/>
    <x v="0"/>
    <x v="1"/>
    <x v="0"/>
    <x v="0"/>
    <x v="0"/>
    <x v="3"/>
    <n v="768.25770476389471"/>
    <n v="184.98495612202257"/>
    <n v="0"/>
    <d v="2022-07-01T00:00:00"/>
    <x v="0"/>
  </r>
  <r>
    <n v="370"/>
    <d v="2022-07-01T00:00:00"/>
    <s v="KAPW-IB-187599-27-06-2022"/>
    <d v="2022-06-27T00:00:00"/>
    <x v="0"/>
    <x v="0"/>
    <n v="1805"/>
    <x v="0"/>
    <x v="0"/>
    <n v="5210.49"/>
    <n v="6.8032000000000004"/>
    <n v="0"/>
    <n v="0"/>
    <x v="2"/>
    <s v="65% POLYESTER 33% COTTON 2% ANTISTATIC BLENDED FABRIC 3/1 TWILL 20*16S,128*60 (5000/MTRS)"/>
    <n v="2604906"/>
    <x v="0"/>
    <n v="811916"/>
    <x v="0"/>
    <n v="139575867"/>
    <d v="2024-06-24T00:00:00"/>
    <x v="0"/>
    <x v="0"/>
    <x v="0"/>
    <x v="0"/>
    <x v="0"/>
    <x v="0"/>
    <d v="2024-04-25T00:00:00"/>
    <x v="0"/>
    <x v="1"/>
    <x v="0"/>
    <x v="0"/>
    <x v="0"/>
    <x v="2"/>
    <n v="1443.161218836565"/>
    <n v="449.81495844875349"/>
    <n v="0"/>
    <d v="2022-07-31T00:00:00"/>
    <x v="0"/>
  </r>
  <r>
    <n v="371"/>
    <d v="2022-07-01T00:00:00"/>
    <s v="KAPW-IB-188078-27-06-2022"/>
    <d v="2022-06-27T00:00:00"/>
    <x v="0"/>
    <x v="0"/>
    <n v="18200"/>
    <x v="0"/>
    <x v="0"/>
    <n v="3906.9029999999998"/>
    <n v="2.75"/>
    <n v="0"/>
    <n v="0"/>
    <x v="12"/>
    <s v="CHEMICAL (FLOPRINT TA 160)"/>
    <n v="10617096"/>
    <x v="0"/>
    <n v="2305514"/>
    <x v="0"/>
    <n v="139575875"/>
    <d v="2024-06-27T00:00:00"/>
    <x v="0"/>
    <x v="0"/>
    <x v="0"/>
    <x v="0"/>
    <x v="0"/>
    <x v="0"/>
    <d v="2024-04-28T00:00:00"/>
    <x v="0"/>
    <x v="1"/>
    <x v="0"/>
    <x v="0"/>
    <x v="0"/>
    <x v="5"/>
    <n v="583.35692307692307"/>
    <n v="126.67659340659341"/>
    <n v="0"/>
    <d v="2022-07-31T00:00:00"/>
    <x v="0"/>
  </r>
  <r>
    <n v="372"/>
    <d v="2022-07-01T00:00:00"/>
    <s v="KAPW-IB-190015-30-06-2022"/>
    <d v="2022-06-30T00:00:00"/>
    <x v="0"/>
    <x v="0"/>
    <n v="1500"/>
    <x v="0"/>
    <x v="0"/>
    <n v="3204.16"/>
    <n v="49"/>
    <n v="0"/>
    <n v="0"/>
    <x v="5"/>
    <s v="DYES (INDANTHREN VIOLET B COLLOISOL)"/>
    <n v="15546554"/>
    <x v="0"/>
    <n v="5764228"/>
    <x v="0"/>
    <n v="139575870"/>
    <d v="2024-06-27T00:00:00"/>
    <x v="0"/>
    <x v="0"/>
    <x v="0"/>
    <x v="0"/>
    <x v="0"/>
    <x v="0"/>
    <d v="2024-04-28T00:00:00"/>
    <x v="0"/>
    <x v="1"/>
    <x v="0"/>
    <x v="0"/>
    <x v="0"/>
    <x v="4"/>
    <n v="10364.369333333334"/>
    <n v="3842.8186666666666"/>
    <n v="0"/>
    <d v="2022-07-31T00:00:00"/>
    <x v="0"/>
  </r>
  <r>
    <n v="373"/>
    <d v="2022-07-01T00:00:00"/>
    <s v="KAPE-IB-2006-04-07-2022"/>
    <d v="2022-07-04T00:00:00"/>
    <x v="0"/>
    <x v="0"/>
    <n v="20137"/>
    <x v="0"/>
    <x v="0"/>
    <n v="5205.12"/>
    <n v="3.6"/>
    <n v="0"/>
    <n v="0"/>
    <x v="10"/>
    <s v="22/1 cotton yarn "/>
    <n v="15233765"/>
    <x v="0"/>
    <n v="3668062"/>
    <x v="0"/>
    <n v="139575890"/>
    <d v="2024-07-03T00:00:00"/>
    <x v="0"/>
    <x v="0"/>
    <x v="0"/>
    <x v="0"/>
    <x v="0"/>
    <x v="0"/>
    <d v="2024-05-04T00:00:00"/>
    <x v="0"/>
    <x v="1"/>
    <x v="0"/>
    <x v="0"/>
    <x v="0"/>
    <x v="3"/>
    <n v="756.50618264885532"/>
    <n v="182.15533594875106"/>
    <n v="0"/>
    <d v="2022-07-31T00:00:00"/>
    <x v="0"/>
  </r>
  <r>
    <n v="374"/>
    <d v="2022-07-01T00:00:00"/>
    <s v="KAPE-IB-1995-04-07-2022"/>
    <d v="2022-07-04T00:00:00"/>
    <x v="0"/>
    <x v="0"/>
    <n v="12000"/>
    <x v="0"/>
    <x v="0"/>
    <n v="3909.5"/>
    <n v="3.98"/>
    <n v="0"/>
    <n v="0"/>
    <x v="12"/>
    <s v="CHEMICAL (LAMFINISH FIX)"/>
    <n v="10036315"/>
    <x v="0"/>
    <n v="1823599"/>
    <x v="0"/>
    <n v="139575893"/>
    <d v="2024-07-03T00:00:00"/>
    <x v="0"/>
    <x v="0"/>
    <x v="0"/>
    <x v="0"/>
    <x v="0"/>
    <x v="0"/>
    <d v="2024-05-04T00:00:00"/>
    <x v="0"/>
    <x v="1"/>
    <x v="0"/>
    <x v="0"/>
    <x v="0"/>
    <x v="5"/>
    <n v="836.35958333333338"/>
    <n v="151.96658333333335"/>
    <n v="0"/>
    <d v="2022-07-31T00:00:00"/>
    <x v="0"/>
  </r>
  <r>
    <n v="375"/>
    <d v="2022-07-01T00:00:00"/>
    <s v="KAPE-IB-3802-06-07-2022"/>
    <d v="2022-07-06T00:00:00"/>
    <x v="0"/>
    <x v="0"/>
    <n v="24000"/>
    <x v="0"/>
    <x v="0"/>
    <s v="3906.9090 / 3402.9000"/>
    <s v="2.90 / 1.90"/>
    <n v="0"/>
    <n v="0"/>
    <x v="12"/>
    <s v="CHEMICAL (NEOPAT BINDER / COMPUND)"/>
    <n v="12463582"/>
    <x v="0"/>
    <n v="4307307"/>
    <x v="0"/>
    <n v="139575895"/>
    <d v="2024-07-04T00:00:00"/>
    <x v="0"/>
    <x v="0"/>
    <x v="0"/>
    <x v="0"/>
    <x v="0"/>
    <x v="0"/>
    <d v="2024-05-05T00:00:00"/>
    <x v="0"/>
    <x v="1"/>
    <x v="0"/>
    <x v="0"/>
    <x v="0"/>
    <x v="5"/>
    <n v="519.31591666666668"/>
    <n v="179.471125"/>
    <n v="0"/>
    <d v="2022-07-31T00:00:00"/>
    <x v="0"/>
  </r>
  <r>
    <n v="376"/>
    <d v="2022-07-01T00:00:00"/>
    <s v="KAPE-IB-3878-06-07-2022"/>
    <d v="2022-07-06T00:00:00"/>
    <x v="0"/>
    <x v="0"/>
    <n v="12000"/>
    <x v="0"/>
    <x v="0"/>
    <s v="3906.9090 / 3402.9000"/>
    <s v="2.90 / 1.90"/>
    <n v="0"/>
    <n v="0"/>
    <x v="12"/>
    <s v="CHEMICAL (NEOPAT BINDER / COMPUND)"/>
    <n v="6231791"/>
    <x v="0"/>
    <n v="2153655"/>
    <x v="0"/>
    <n v="139575894"/>
    <d v="2024-07-04T00:00:00"/>
    <x v="0"/>
    <x v="0"/>
    <x v="0"/>
    <x v="0"/>
    <x v="0"/>
    <x v="0"/>
    <d v="2024-05-05T00:00:00"/>
    <x v="0"/>
    <x v="1"/>
    <x v="0"/>
    <x v="0"/>
    <x v="0"/>
    <x v="5"/>
    <n v="519.31591666666668"/>
    <n v="179.47125"/>
    <n v="0"/>
    <d v="2022-07-31T00:00:00"/>
    <x v="0"/>
  </r>
  <r>
    <n v="377"/>
    <d v="2022-07-01T00:00:00"/>
    <s v="KAPE-IB-4498-07-07-2022"/>
    <d v="2022-07-07T00:00:00"/>
    <x v="0"/>
    <x v="0"/>
    <n v="40800"/>
    <x v="0"/>
    <x v="0"/>
    <n v="2847"/>
    <n v="0.46"/>
    <n v="0"/>
    <n v="0"/>
    <x v="12"/>
    <s v="HYDROGEN PEROXIDE 50%"/>
    <n v="3970722"/>
    <x v="0"/>
    <n v="1848319"/>
    <x v="0"/>
    <n v="139575907"/>
    <d v="2024-07-07T00:00:00"/>
    <x v="0"/>
    <x v="0"/>
    <x v="0"/>
    <x v="0"/>
    <x v="0"/>
    <x v="0"/>
    <d v="2024-05-08T00:00:00"/>
    <x v="0"/>
    <x v="1"/>
    <x v="0"/>
    <x v="0"/>
    <x v="0"/>
    <x v="5"/>
    <n v="97.321617647058829"/>
    <n v="45.301936274509806"/>
    <n v="0"/>
    <d v="2022-07-31T00:00:00"/>
    <x v="0"/>
  </r>
  <r>
    <n v="378"/>
    <d v="2022-07-01T00:00:00"/>
    <s v="KPAF-IB-1330-13-07-2022"/>
    <d v="2022-07-13T00:00:00"/>
    <x v="0"/>
    <x v="0"/>
    <n v="300"/>
    <x v="0"/>
    <x v="0"/>
    <n v="3204.16"/>
    <n v="30.69"/>
    <n v="0"/>
    <n v="0"/>
    <x v="5"/>
    <s v="CHEMICAL PIGMENT GREEN"/>
    <n v="1957775"/>
    <x v="0"/>
    <n v="725888"/>
    <x v="0"/>
    <n v="139575908"/>
    <d v="2024-07-12T00:00:00"/>
    <x v="0"/>
    <x v="0"/>
    <x v="0"/>
    <x v="0"/>
    <x v="0"/>
    <x v="0"/>
    <d v="2024-05-13T00:00:00"/>
    <x v="0"/>
    <x v="1"/>
    <x v="0"/>
    <x v="0"/>
    <x v="0"/>
    <x v="4"/>
    <n v="6525.916666666667"/>
    <n v="2419.6266666666666"/>
    <n v="0"/>
    <d v="2022-07-31T00:00:00"/>
    <x v="0"/>
  </r>
  <r>
    <n v="379"/>
    <d v="2022-07-01T00:00:00"/>
    <s v="KAPE-IB-2011-04-07-2022"/>
    <d v="2022-07-04T00:00:00"/>
    <x v="0"/>
    <x v="0"/>
    <n v="20470"/>
    <x v="0"/>
    <x v="0"/>
    <n v="5205.12"/>
    <n v="3.6"/>
    <n v="0"/>
    <n v="0"/>
    <x v="10"/>
    <s v="22/1 cotton yarn "/>
    <n v="15485681"/>
    <x v="0"/>
    <n v="3728720"/>
    <x v="0"/>
    <n v="139575891"/>
    <d v="2024-06-03T00:00:00"/>
    <x v="0"/>
    <x v="0"/>
    <x v="0"/>
    <x v="0"/>
    <x v="0"/>
    <x v="0"/>
    <d v="2024-04-04T00:00:00"/>
    <x v="0"/>
    <x v="1"/>
    <x v="0"/>
    <x v="0"/>
    <x v="0"/>
    <x v="3"/>
    <n v="756.5061553492917"/>
    <n v="182.1553492916463"/>
    <n v="0"/>
    <d v="2022-07-31T00:00:00"/>
    <x v="0"/>
  </r>
  <r>
    <n v="380"/>
    <d v="2022-07-01T00:00:00"/>
    <s v="KAPW-IB-4709-14-07-2022"/>
    <d v="2022-07-14T00:00:00"/>
    <x v="0"/>
    <x v="0"/>
    <n v="26000"/>
    <x v="0"/>
    <x v="0"/>
    <n v="5509.22"/>
    <n v="3.35"/>
    <n v="0"/>
    <n v="0"/>
    <x v="6"/>
    <s v="100% POLYESTER SPUN YARN N/M 50S/3 BRIGHT"/>
    <n v="18516488"/>
    <x v="0"/>
    <n v="5771349"/>
    <x v="0"/>
    <n v="139575924"/>
    <d v="2024-07-14T00:00:00"/>
    <x v="0"/>
    <x v="0"/>
    <x v="0"/>
    <x v="0"/>
    <x v="0"/>
    <x v="0"/>
    <d v="2024-05-15T00:00:00"/>
    <x v="0"/>
    <x v="1"/>
    <x v="0"/>
    <x v="0"/>
    <x v="0"/>
    <x v="3"/>
    <n v="712.17261538461537"/>
    <n v="221.97496153846154"/>
    <n v="0"/>
    <d v="2022-07-31T00:00:00"/>
    <x v="0"/>
  </r>
  <r>
    <n v="381"/>
    <d v="2022-07-01T00:00:00"/>
    <s v="KAPE-IB-6713-15-07-2022"/>
    <d v="2022-07-15T00:00:00"/>
    <x v="0"/>
    <x v="0"/>
    <n v="225"/>
    <x v="0"/>
    <x v="0"/>
    <n v="5210.3900000000003"/>
    <n v="23.947500000000002"/>
    <n v="0"/>
    <n v="0"/>
    <x v="2"/>
    <s v="BLENDEN FABRIC 73%CTN / 25% POLY / 2%SP 110+/- GSM (40S*75D+40D/133*72 48/50&quot;) (1590/M)"/>
    <n v="1157561"/>
    <x v="0"/>
    <n v="360797"/>
    <x v="0"/>
    <n v="139575917"/>
    <d v="2024-07-07T00:00:00"/>
    <x v="0"/>
    <x v="0"/>
    <x v="0"/>
    <x v="0"/>
    <x v="0"/>
    <x v="0"/>
    <d v="2024-05-08T00:00:00"/>
    <x v="0"/>
    <x v="1"/>
    <x v="0"/>
    <x v="0"/>
    <x v="0"/>
    <x v="2"/>
    <n v="5144.7155555555555"/>
    <n v="1603.5422222222223"/>
    <n v="0"/>
    <d v="2022-07-31T00:00:00"/>
    <x v="0"/>
  </r>
  <r>
    <n v="382"/>
    <d v="2022-07-01T00:00:00"/>
    <s v="KAPE-IB-8569-19-07-2022"/>
    <d v="2022-07-19T00:00:00"/>
    <x v="0"/>
    <x v="0"/>
    <n v="20148.8"/>
    <x v="0"/>
    <x v="0"/>
    <n v="5205.12"/>
    <n v="3.6"/>
    <n v="0"/>
    <n v="0"/>
    <x v="10"/>
    <s v="22/1 cotton yarn "/>
    <n v="15642257"/>
    <x v="0"/>
    <n v="3766421"/>
    <x v="0"/>
    <n v="139575930"/>
    <d v="2024-07-18T00:00:00"/>
    <x v="0"/>
    <x v="0"/>
    <x v="0"/>
    <x v="0"/>
    <x v="0"/>
    <x v="0"/>
    <d v="2024-05-19T00:00:00"/>
    <x v="0"/>
    <x v="1"/>
    <x v="0"/>
    <x v="0"/>
    <x v="0"/>
    <x v="3"/>
    <n v="776.33690343841818"/>
    <n v="186.93028865242596"/>
    <n v="0"/>
    <d v="2022-07-31T00:00:00"/>
    <x v="0"/>
  </r>
  <r>
    <n v="383"/>
    <d v="2022-07-01T00:00:00"/>
    <s v="KPFI-IB-1486-15-07-2022"/>
    <d v="2022-07-15T00:00:00"/>
    <x v="1"/>
    <x v="0"/>
    <n v="7.2"/>
    <x v="0"/>
    <x v="0"/>
    <n v="5807.9"/>
    <n v="115.1403"/>
    <n v="0"/>
    <n v="0"/>
    <x v="9"/>
    <s v="WOVEN LABEL QTY 24,000 Pcs"/>
    <n v="211461"/>
    <x v="0"/>
    <n v="85698"/>
    <x v="0"/>
    <n v="139575927"/>
    <d v="2024-07-14T00:00:00"/>
    <x v="0"/>
    <x v="0"/>
    <x v="0"/>
    <x v="0"/>
    <x v="0"/>
    <x v="0"/>
    <d v="2024-05-15T00:00:00"/>
    <x v="0"/>
    <x v="1"/>
    <x v="0"/>
    <x v="0"/>
    <x v="0"/>
    <x v="6"/>
    <n v="29369.583333333332"/>
    <n v="11902.5"/>
    <n v="0"/>
    <d v="2022-07-06T00:00:00"/>
    <x v="0"/>
  </r>
  <r>
    <n v="384"/>
    <d v="2022-07-01T00:00:00"/>
    <s v="KPFI-IB-1486-15-07-2022"/>
    <d v="2022-07-15T00:00:00"/>
    <x v="0"/>
    <x v="0"/>
    <n v="39.36"/>
    <x v="0"/>
    <x v="0"/>
    <n v="5401.2089999999998"/>
    <n v="11.1279"/>
    <n v="0"/>
    <n v="0"/>
    <x v="17"/>
    <s v="Sewing Thread 800,000 Mtr"/>
    <n v="111722"/>
    <x v="0"/>
    <n v="29719"/>
    <x v="0"/>
    <n v="139575927"/>
    <d v="2024-07-14T00:00:00"/>
    <x v="0"/>
    <x v="0"/>
    <x v="0"/>
    <x v="0"/>
    <x v="0"/>
    <x v="0"/>
    <d v="2024-05-15T00:00:00"/>
    <x v="0"/>
    <x v="1"/>
    <x v="0"/>
    <x v="0"/>
    <x v="0"/>
    <x v="3"/>
    <n v="2838.4654471544718"/>
    <n v="755.05589430894315"/>
    <n v="0"/>
    <d v="2022-07-31T00:00:00"/>
    <x v="0"/>
  </r>
  <r>
    <n v="385"/>
    <d v="2022-07-01T00:00:00"/>
    <s v="KPFI-IB-1754-18-07-2022"/>
    <d v="2022-07-18T00:00:00"/>
    <x v="0"/>
    <x v="0"/>
    <n v="40"/>
    <x v="0"/>
    <x v="0"/>
    <n v="5208.1899999999996"/>
    <n v="13.3781"/>
    <n v="0"/>
    <n v="0"/>
    <x v="14"/>
    <s v="Cotton Fabric"/>
    <n v="135804"/>
    <x v="0"/>
    <n v="42328"/>
    <x v="0"/>
    <n v="139575935"/>
    <d v="2024-07-17T00:00:00"/>
    <x v="0"/>
    <x v="0"/>
    <x v="0"/>
    <x v="0"/>
    <x v="0"/>
    <x v="0"/>
    <d v="2024-05-18T00:00:00"/>
    <x v="0"/>
    <x v="1"/>
    <x v="0"/>
    <x v="0"/>
    <x v="0"/>
    <x v="2"/>
    <n v="3395.1"/>
    <n v="1058.2"/>
    <n v="0"/>
    <d v="2022-07-31T00:00:00"/>
    <x v="0"/>
  </r>
  <r>
    <n v="386"/>
    <d v="2022-07-01T00:00:00"/>
    <s v="KPFI-IB-1749-18-07-2022"/>
    <d v="2022-07-18T00:00:00"/>
    <x v="0"/>
    <x v="0"/>
    <n v="75"/>
    <x v="0"/>
    <x v="0"/>
    <n v="5208.1899999999996"/>
    <n v="13.3781"/>
    <n v="0"/>
    <n v="0"/>
    <x v="14"/>
    <s v="Cotton Fabric"/>
    <n v="254633"/>
    <x v="0"/>
    <n v="79366"/>
    <x v="0"/>
    <n v="139575937"/>
    <d v="2024-07-17T00:00:00"/>
    <x v="0"/>
    <x v="0"/>
    <x v="0"/>
    <x v="0"/>
    <x v="0"/>
    <x v="0"/>
    <d v="2024-05-18T00:00:00"/>
    <x v="0"/>
    <x v="1"/>
    <x v="0"/>
    <x v="0"/>
    <x v="0"/>
    <x v="2"/>
    <n v="3395.1066666666666"/>
    <n v="1058.2133333333334"/>
    <n v="0"/>
    <d v="2022-07-31T00:00:00"/>
    <x v="0"/>
  </r>
  <r>
    <n v="387"/>
    <d v="2022-07-01T00:00:00"/>
    <s v="KAPE-IB-9650-20-07-2022"/>
    <d v="2022-07-20T00:00:00"/>
    <x v="0"/>
    <x v="0"/>
    <n v="12000"/>
    <x v="0"/>
    <x v="0"/>
    <n v="3204.16"/>
    <s v="4.1 / 4.05 / 5.75 / 7.25"/>
    <n v="0"/>
    <n v="0"/>
    <x v="5"/>
    <s v="DYES (LIYUANSOL)"/>
    <n v="11843300"/>
    <x v="0"/>
    <n v="4391164"/>
    <x v="0"/>
    <n v="139575942"/>
    <d v="2024-07-20T00:00:00"/>
    <x v="0"/>
    <x v="0"/>
    <x v="0"/>
    <x v="0"/>
    <x v="0"/>
    <x v="0"/>
    <d v="2024-05-21T00:00:00"/>
    <x v="0"/>
    <x v="1"/>
    <x v="0"/>
    <x v="0"/>
    <x v="0"/>
    <x v="4"/>
    <n v="986.94166666666672"/>
    <n v="365.93033333333335"/>
    <n v="0"/>
    <d v="2022-07-31T00:00:00"/>
    <x v="0"/>
  </r>
  <r>
    <n v="388"/>
    <d v="2022-08-01T00:00:00"/>
    <s v="KAPW-IB-8287-20-07-2022"/>
    <d v="2022-07-20T00:00:00"/>
    <x v="1"/>
    <x v="0"/>
    <n v="7532"/>
    <x v="0"/>
    <x v="0"/>
    <n v="5807.1019999999999"/>
    <n v="4.0298999999999996"/>
    <n v="0"/>
    <n v="0"/>
    <x v="9"/>
    <s v="RIBBONS (WHITE DOUBLE SIDE WOVEN EDGE 35MM)(1000800/MTRS)"/>
    <n v="6694267"/>
    <x v="0"/>
    <n v="2086515"/>
    <x v="0"/>
    <n v="139575945"/>
    <d v="2024-07-19T00:00:00"/>
    <x v="0"/>
    <x v="0"/>
    <x v="0"/>
    <x v="0"/>
    <x v="0"/>
    <x v="0"/>
    <d v="2024-05-20T00:00:00"/>
    <x v="0"/>
    <x v="1"/>
    <x v="0"/>
    <x v="0"/>
    <x v="0"/>
    <x v="6"/>
    <n v="888.77681890600104"/>
    <n v="277.02004779607012"/>
    <n v="0"/>
    <d v="2022-08-06T00:00:00"/>
    <x v="0"/>
  </r>
  <r>
    <n v="389"/>
    <d v="2022-08-01T00:00:00"/>
    <s v="KAPE-IB-12583-26-07-2022"/>
    <d v="2022-07-26T00:00:00"/>
    <x v="0"/>
    <x v="0"/>
    <n v="12000"/>
    <x v="0"/>
    <x v="0"/>
    <n v="3204.1109999999999"/>
    <s v="4.20 / 19.20"/>
    <n v="0"/>
    <n v="0"/>
    <x v="5"/>
    <s v="DYES (FASFA)"/>
    <n v="18769371"/>
    <x v="0"/>
    <n v="3410394"/>
    <x v="0"/>
    <n v="139575958"/>
    <d v="2024-07-26T00:00:00"/>
    <x v="0"/>
    <x v="0"/>
    <x v="0"/>
    <x v="0"/>
    <x v="0"/>
    <x v="0"/>
    <d v="2024-05-27T00:00:00"/>
    <x v="0"/>
    <x v="1"/>
    <x v="0"/>
    <x v="0"/>
    <x v="0"/>
    <x v="4"/>
    <n v="1564.1142500000001"/>
    <n v="284.1995"/>
    <n v="0"/>
    <d v="2022-08-31T00:00:00"/>
    <x v="0"/>
  </r>
  <r>
    <n v="390"/>
    <d v="2022-08-01T00:00:00"/>
    <s v="KAPE-IB-10867-21-07-2022"/>
    <d v="2022-07-21T00:00:00"/>
    <x v="0"/>
    <x v="0"/>
    <n v="20732.919999999998"/>
    <x v="0"/>
    <x v="0"/>
    <n v="5509.21"/>
    <n v="2.1187999999999998"/>
    <n v="0"/>
    <n v="0"/>
    <x v="3"/>
    <s v="50% RECYCLED PET POLYESTER / 25% POST CONSUMER CO / 25% PRE CONSUMER CO WEAVING BLENDED YARN COUNT NE 14/1 ("/>
    <n v="10055786"/>
    <x v="0"/>
    <n v="3134257"/>
    <x v="0"/>
    <n v="139575948"/>
    <d v="2024-07-22T00:00:00"/>
    <x v="0"/>
    <x v="0"/>
    <x v="0"/>
    <x v="0"/>
    <x v="0"/>
    <x v="0"/>
    <d v="2024-05-23T00:00:00"/>
    <x v="0"/>
    <x v="1"/>
    <x v="0"/>
    <x v="0"/>
    <x v="0"/>
    <x v="3"/>
    <n v="485.01542474480203"/>
    <n v="151.17296550606477"/>
    <n v="0"/>
    <d v="2022-08-31T00:00:00"/>
    <x v="0"/>
  </r>
  <r>
    <n v="391"/>
    <d v="2022-08-01T00:00:00"/>
    <s v="KAPE-IB-12604-26-07-2022"/>
    <d v="2022-07-26T00:00:00"/>
    <x v="0"/>
    <x v="0"/>
    <n v="14300"/>
    <x v="0"/>
    <x v="0"/>
    <n v="3906.9090000000001"/>
    <n v="1.85"/>
    <n v="0"/>
    <n v="0"/>
    <x v="12"/>
    <s v="CHEMICAL MIGROSTOP CPA)"/>
    <n v="6317057"/>
    <x v="0"/>
    <n v="1968945"/>
    <x v="0"/>
    <n v="139575947"/>
    <d v="2024-07-25T00:00:00"/>
    <x v="0"/>
    <x v="0"/>
    <x v="0"/>
    <x v="0"/>
    <x v="0"/>
    <x v="0"/>
    <d v="2024-05-26T00:00:00"/>
    <x v="0"/>
    <x v="1"/>
    <x v="0"/>
    <x v="0"/>
    <x v="0"/>
    <x v="5"/>
    <n v="441.75223776223777"/>
    <n v="137.68846153846152"/>
    <n v="0"/>
    <d v="2022-08-31T00:00:00"/>
    <x v="0"/>
  </r>
  <r>
    <n v="392"/>
    <d v="2022-08-01T00:00:00"/>
    <s v="KAPE-IB-15088-29-07-2022"/>
    <d v="2022-07-29T00:00:00"/>
    <x v="0"/>
    <x v="0"/>
    <n v="24000"/>
    <x v="0"/>
    <x v="0"/>
    <n v="3402.9"/>
    <n v="2.2000000000000002"/>
    <n v="0"/>
    <n v="0"/>
    <x v="12"/>
    <s v="CHEMICAL (WETMATIC WTL)"/>
    <n v="12735500"/>
    <x v="0"/>
    <n v="5323948"/>
    <x v="0"/>
    <n v="139575981"/>
    <d v="2024-07-29T00:00:00"/>
    <x v="0"/>
    <x v="0"/>
    <x v="0"/>
    <x v="0"/>
    <x v="0"/>
    <x v="0"/>
    <d v="2024-05-30T00:00:00"/>
    <x v="0"/>
    <x v="1"/>
    <x v="0"/>
    <x v="0"/>
    <x v="0"/>
    <x v="5"/>
    <n v="530.64583333333337"/>
    <n v="221.83116666666666"/>
    <n v="0"/>
    <d v="2022-08-31T00:00:00"/>
    <x v="0"/>
  </r>
  <r>
    <n v="393"/>
    <d v="2022-08-01T00:00:00"/>
    <s v="KAPE-IB-17173-02-08-2022"/>
    <d v="2022-08-02T00:00:00"/>
    <x v="0"/>
    <x v="0"/>
    <n v="10655"/>
    <x v="0"/>
    <x v="0"/>
    <n v="5407.52"/>
    <n v="8.8375000000000004"/>
    <n v="0"/>
    <n v="0"/>
    <x v="11"/>
    <s v="100% POLYESTER NYLON FABRIC 215GSM WIDTH:59'' 150CM (33040/MTRS) "/>
    <n v="23048697"/>
    <x v="0"/>
    <n v="8545812"/>
    <x v="0"/>
    <n v="139575967"/>
    <d v="2024-07-30T00:00:00"/>
    <x v="0"/>
    <x v="0"/>
    <x v="0"/>
    <x v="0"/>
    <x v="0"/>
    <x v="0"/>
    <d v="2024-05-31T00:00:00"/>
    <x v="0"/>
    <x v="1"/>
    <x v="0"/>
    <x v="0"/>
    <x v="0"/>
    <x v="2"/>
    <n v="2163.1813233223838"/>
    <n v="802.04711403097133"/>
    <n v="0"/>
    <d v="2022-08-31T00:00:00"/>
    <x v="0"/>
  </r>
  <r>
    <n v="394"/>
    <d v="2022-08-01T00:00:00"/>
    <s v="KAPE-IB-17136-02-08-2022"/>
    <d v="2022-08-02T00:00:00"/>
    <x v="0"/>
    <x v="0"/>
    <n v="20000"/>
    <x v="0"/>
    <x v="0"/>
    <n v="5407.52"/>
    <n v="5.4749999999999996"/>
    <n v="0"/>
    <n v="0"/>
    <x v="11"/>
    <s v="100% POLY MICROFIBER FABRIC 90,82GSM WIDTH:95'' ,100&quot; , 103&quot; , 106&quot; , 112'' (92574/MTRS)"/>
    <n v="26802643"/>
    <x v="0"/>
    <n v="9937669"/>
    <x v="0"/>
    <n v="139575962"/>
    <d v="2024-07-30T00:00:00"/>
    <x v="0"/>
    <x v="0"/>
    <x v="0"/>
    <x v="0"/>
    <x v="0"/>
    <x v="0"/>
    <d v="2024-05-31T00:00:00"/>
    <x v="0"/>
    <x v="1"/>
    <x v="0"/>
    <x v="0"/>
    <x v="0"/>
    <x v="2"/>
    <n v="1340.1321499999999"/>
    <n v="496.88344999999998"/>
    <n v="0"/>
    <d v="2022-08-31T00:00:00"/>
    <x v="0"/>
  </r>
  <r>
    <n v="395"/>
    <d v="2022-08-01T00:00:00"/>
    <s v="KAPW-IB-10863-26-07-2022"/>
    <d v="2022-07-26T00:00:00"/>
    <x v="0"/>
    <x v="0"/>
    <n v="4237.5"/>
    <x v="0"/>
    <x v="0"/>
    <n v="5407.52"/>
    <n v="15.033300000000001"/>
    <n v="0"/>
    <n v="0"/>
    <x v="16"/>
    <s v="100% NYLON WOVEN DYED FABRIC (14125/MTRS) "/>
    <n v="14871600"/>
    <x v="0"/>
    <n v="5513973"/>
    <x v="0"/>
    <n v="139575964"/>
    <d v="2024-07-26T00:00:00"/>
    <x v="0"/>
    <x v="0"/>
    <x v="0"/>
    <x v="0"/>
    <x v="0"/>
    <x v="0"/>
    <d v="2024-05-27T00:00:00"/>
    <x v="0"/>
    <x v="1"/>
    <x v="0"/>
    <x v="0"/>
    <x v="0"/>
    <x v="2"/>
    <n v="3509.5221238938052"/>
    <n v="1301.2325663716815"/>
    <n v="0"/>
    <d v="2022-08-31T00:00:00"/>
    <x v="0"/>
  </r>
  <r>
    <n v="396"/>
    <d v="2022-08-01T00:00:00"/>
    <s v="KAPW-IB-14373-02-08-2022"/>
    <d v="2022-08-02T00:00:00"/>
    <x v="0"/>
    <x v="0"/>
    <n v="18200"/>
    <x v="0"/>
    <x v="0"/>
    <n v="3906.9029999999998"/>
    <n v="2.95"/>
    <n v="0"/>
    <n v="0"/>
    <x v="12"/>
    <s v="CHEMICAL FLOPRINT TA 160 AF PIGMENT THICKENER"/>
    <n v="13141862"/>
    <x v="0"/>
    <n v="2853769"/>
    <x v="0"/>
    <n v="139575968"/>
    <d v="2024-07-30T00:00:00"/>
    <x v="0"/>
    <x v="0"/>
    <x v="0"/>
    <x v="0"/>
    <x v="0"/>
    <x v="0"/>
    <d v="2024-05-31T00:00:00"/>
    <x v="0"/>
    <x v="1"/>
    <x v="0"/>
    <x v="0"/>
    <x v="0"/>
    <x v="5"/>
    <n v="722.08032967032966"/>
    <n v="156.8004945054945"/>
    <n v="0"/>
    <d v="2022-08-31T00:00:00"/>
    <x v="0"/>
  </r>
  <r>
    <n v="397"/>
    <d v="2022-08-01T00:00:00"/>
    <s v="KAPW-IB-14182-02-08-2022"/>
    <d v="2022-08-02T00:00:00"/>
    <x v="0"/>
    <x v="0"/>
    <n v="38400"/>
    <x v="0"/>
    <x v="0"/>
    <n v="2847"/>
    <n v="0.65"/>
    <n v="0"/>
    <n v="0"/>
    <x v="12"/>
    <s v="HYDROGEN PEROXIDE 50%"/>
    <n v="6109534"/>
    <x v="0"/>
    <n v="1904263"/>
    <x v="0"/>
    <n v="139575969"/>
    <d v="2024-08-01T00:00:00"/>
    <x v="0"/>
    <x v="0"/>
    <x v="0"/>
    <x v="0"/>
    <x v="0"/>
    <x v="0"/>
    <d v="2024-06-02T00:00:00"/>
    <x v="0"/>
    <x v="1"/>
    <x v="0"/>
    <x v="0"/>
    <x v="0"/>
    <x v="5"/>
    <n v="159.10244791666668"/>
    <n v="49.590182291666665"/>
    <n v="0"/>
    <d v="2022-08-31T00:00:00"/>
    <x v="0"/>
  </r>
  <r>
    <n v="398"/>
    <d v="2022-08-01T00:00:00"/>
    <s v="KAPE-IB-18161-03-08-2022"/>
    <d v="2022-08-03T00:00:00"/>
    <x v="0"/>
    <x v="0"/>
    <n v="15000"/>
    <x v="0"/>
    <x v="0"/>
    <n v="3809.9189999999999"/>
    <n v="2.75"/>
    <n v="0"/>
    <n v="0"/>
    <x v="12"/>
    <s v="CHEMICAL (DROPCEL 300)"/>
    <n v="10350623"/>
    <x v="0"/>
    <n v="3837722"/>
    <x v="0"/>
    <n v="139575976"/>
    <d v="2024-08-02T00:00:00"/>
    <x v="0"/>
    <x v="0"/>
    <x v="0"/>
    <x v="0"/>
    <x v="0"/>
    <x v="0"/>
    <d v="2024-06-03T00:00:00"/>
    <x v="0"/>
    <x v="1"/>
    <x v="0"/>
    <x v="0"/>
    <x v="0"/>
    <x v="5"/>
    <n v="690.04153333333329"/>
    <n v="255.84813333333332"/>
    <n v="0"/>
    <d v="2022-08-31T00:00:00"/>
    <x v="0"/>
  </r>
  <r>
    <n v="399"/>
    <d v="2022-08-01T00:00:00"/>
    <s v="KAPW-IB-14172-02-08-2022"/>
    <d v="2022-08-02T00:00:00"/>
    <x v="0"/>
    <x v="0"/>
    <n v="57600"/>
    <x v="0"/>
    <x v="0"/>
    <n v="2847"/>
    <n v="0.65"/>
    <n v="0"/>
    <n v="0"/>
    <x v="12"/>
    <s v="HYDROGEN PEROXIDE 50%"/>
    <n v="9164301"/>
    <x v="0"/>
    <n v="2856394"/>
    <x v="0"/>
    <n v="139575971"/>
    <d v="2024-08-01T00:00:00"/>
    <x v="0"/>
    <x v="0"/>
    <x v="0"/>
    <x v="0"/>
    <x v="0"/>
    <x v="0"/>
    <d v="2024-06-02T00:00:00"/>
    <x v="0"/>
    <x v="1"/>
    <x v="0"/>
    <x v="0"/>
    <x v="0"/>
    <x v="5"/>
    <n v="159.10244791666668"/>
    <n v="49.590173611111112"/>
    <n v="0"/>
    <d v="2022-08-31T00:00:00"/>
    <x v="0"/>
  </r>
  <r>
    <n v="400"/>
    <d v="2022-08-01T00:00:00"/>
    <s v="KAPE-IB-20059-06-08-2022"/>
    <d v="2022-08-06T00:00:00"/>
    <x v="0"/>
    <x v="0"/>
    <n v="4515"/>
    <x v="0"/>
    <x v="0"/>
    <n v="5407.52"/>
    <n v="5.5987"/>
    <n v="0"/>
    <n v="0"/>
    <x v="11"/>
    <s v="100% POLYESTER MICROFIBER FABRIC 82GSM WIDTH:95&quot;,106&quot;(21690/MTRS) "/>
    <n v="5843158"/>
    <x v="0"/>
    <n v="2166479"/>
    <x v="0"/>
    <n v="139575991"/>
    <d v="2024-08-05T00:00:00"/>
    <x v="0"/>
    <x v="0"/>
    <x v="0"/>
    <x v="0"/>
    <x v="0"/>
    <x v="0"/>
    <d v="2024-06-06T00:00:00"/>
    <x v="0"/>
    <x v="1"/>
    <x v="0"/>
    <x v="0"/>
    <x v="0"/>
    <x v="2"/>
    <n v="1294.1656699889259"/>
    <n v="479.8403100775194"/>
    <n v="0"/>
    <d v="2022-08-31T00:00:00"/>
    <x v="0"/>
  </r>
  <r>
    <n v="401"/>
    <d v="2022-08-01T00:00:00"/>
    <s v="KAPE-IB-20052-06-08-2022"/>
    <d v="2022-08-06T00:00:00"/>
    <x v="0"/>
    <x v="0"/>
    <n v="3189"/>
    <x v="0"/>
    <x v="0"/>
    <n v="5407.52"/>
    <n v="9.4022000000000006"/>
    <n v="0"/>
    <n v="0"/>
    <x v="11"/>
    <s v="POLYESTER NYLON FABRIC 215GSM WIDTH:150CM,59&quot; (9889/MTRS) "/>
    <n v="6930853"/>
    <x v="0"/>
    <n v="2569766"/>
    <x v="0"/>
    <n v="139575990"/>
    <d v="2024-08-05T00:00:00"/>
    <x v="0"/>
    <x v="0"/>
    <x v="0"/>
    <x v="0"/>
    <x v="0"/>
    <x v="0"/>
    <d v="2024-06-06T00:00:00"/>
    <x v="0"/>
    <x v="1"/>
    <x v="0"/>
    <x v="0"/>
    <x v="0"/>
    <x v="2"/>
    <n v="2173.3624960802758"/>
    <n v="805.8218877391032"/>
    <n v="0"/>
    <d v="2022-08-31T00:00:00"/>
    <x v="0"/>
  </r>
  <r>
    <n v="402"/>
    <d v="2022-08-01T00:00:00"/>
    <s v="KAPW-IB-17639-11-08-2022"/>
    <d v="2022-08-11T00:00:00"/>
    <x v="0"/>
    <x v="0"/>
    <n v="18200"/>
    <x v="0"/>
    <x v="0"/>
    <n v="3906.9029999999998"/>
    <n v="2.95"/>
    <n v="0"/>
    <n v="0"/>
    <x v="12"/>
    <s v="CHEMICAL (FLOPRINT TA 160)"/>
    <n v="12292940"/>
    <x v="0"/>
    <n v="2669424"/>
    <x v="0"/>
    <n v="139575995"/>
    <d v="2024-07-30T00:00:00"/>
    <x v="0"/>
    <x v="0"/>
    <x v="0"/>
    <x v="0"/>
    <x v="0"/>
    <x v="0"/>
    <d v="2024-05-31T00:00:00"/>
    <x v="0"/>
    <x v="1"/>
    <x v="0"/>
    <x v="0"/>
    <x v="0"/>
    <x v="5"/>
    <n v="675.43626373626375"/>
    <n v="146.67164835164834"/>
    <n v="0"/>
    <d v="2022-08-31T00:00:00"/>
    <x v="0"/>
  </r>
  <r>
    <n v="403"/>
    <d v="2022-08-01T00:00:00"/>
    <s v="KAPE-IB-20806-10-08-2022"/>
    <d v="2022-08-10T00:00:00"/>
    <x v="0"/>
    <x v="0"/>
    <n v="12000"/>
    <x v="0"/>
    <x v="0"/>
    <n v="3909.5"/>
    <n v="3.98"/>
    <n v="0"/>
    <n v="0"/>
    <x v="12"/>
    <s v="CHEMICAL (LAMFINISH FIX)"/>
    <n v="11039947"/>
    <x v="0"/>
    <n v="2005958"/>
    <x v="0"/>
    <n v="139576004"/>
    <d v="2024-08-09T00:00:00"/>
    <x v="0"/>
    <x v="0"/>
    <x v="0"/>
    <x v="0"/>
    <x v="0"/>
    <x v="0"/>
    <d v="2024-06-10T00:00:00"/>
    <x v="0"/>
    <x v="1"/>
    <x v="0"/>
    <x v="0"/>
    <x v="0"/>
    <x v="5"/>
    <n v="919.99558333333334"/>
    <n v="167.16316666666665"/>
    <n v="0"/>
    <d v="2022-08-31T00:00:00"/>
    <x v="0"/>
  </r>
  <r>
    <n v="404"/>
    <d v="2022-08-01T00:00:00"/>
    <s v="KAPE-IB-22786-12-08-2022"/>
    <d v="2022-08-12T00:00:00"/>
    <x v="0"/>
    <x v="0"/>
    <n v="18506"/>
    <x v="0"/>
    <x v="0"/>
    <n v="5401.2089999999998"/>
    <s v="4.3099 / 7.708"/>
    <n v="0"/>
    <n v="0"/>
    <x v="17"/>
    <s v="100% SPUN POLYESTER SEWING "/>
    <n v="22887530"/>
    <x v="0"/>
    <n v="4158664"/>
    <x v="0"/>
    <n v="139576001"/>
    <d v="2024-08-11T00:00:00"/>
    <x v="0"/>
    <x v="0"/>
    <x v="0"/>
    <x v="0"/>
    <x v="0"/>
    <x v="0"/>
    <d v="2024-06-12T00:00:00"/>
    <x v="0"/>
    <x v="1"/>
    <x v="0"/>
    <x v="0"/>
    <x v="0"/>
    <x v="3"/>
    <n v="1236.7626715659785"/>
    <n v="224.71976656219604"/>
    <n v="0"/>
    <d v="2022-08-31T00:00:00"/>
    <x v="0"/>
  </r>
  <r>
    <n v="405"/>
    <d v="2022-08-01T00:00:00"/>
    <s v="KAPE-IB-20079-06-08-2022"/>
    <d v="2022-08-06T00:00:00"/>
    <x v="1"/>
    <x v="0"/>
    <n v="74141.55"/>
    <x v="0"/>
    <x v="0"/>
    <n v="4810.29"/>
    <n v="1.2430000000000001"/>
    <n v="0"/>
    <n v="0"/>
    <x v="9"/>
    <s v="2/S COATED ART BOARD "/>
    <n v="21302738"/>
    <x v="0"/>
    <n v="9204488"/>
    <x v="0"/>
    <n v="139575984"/>
    <d v="2024-08-05T00:00:00"/>
    <x v="0"/>
    <x v="0"/>
    <x v="0"/>
    <x v="0"/>
    <x v="0"/>
    <x v="0"/>
    <d v="2024-06-06T00:00:00"/>
    <x v="0"/>
    <x v="1"/>
    <x v="0"/>
    <x v="0"/>
    <x v="0"/>
    <x v="6"/>
    <n v="287.32523126371109"/>
    <n v="124.1474989395285"/>
    <n v="0"/>
    <d v="2022-08-06T00:00:00"/>
    <x v="0"/>
  </r>
  <r>
    <n v="406"/>
    <d v="2022-08-01T00:00:00"/>
    <s v="KAPE-IB-24256-16-08-2022"/>
    <d v="2022-08-16T00:00:00"/>
    <x v="0"/>
    <x v="0"/>
    <n v="24000"/>
    <x v="0"/>
    <x v="0"/>
    <s v="3906.9090 / 3402.9000"/>
    <s v="2.90 / 1.90"/>
    <n v="0"/>
    <n v="0"/>
    <x v="12"/>
    <s v="CHEMICAL (NEOPAT BINDER / COMPUND)"/>
    <n v="13129319"/>
    <x v="0"/>
    <n v="4537381"/>
    <x v="0"/>
    <n v="139576012"/>
    <d v="2024-08-16T00:00:00"/>
    <x v="0"/>
    <x v="0"/>
    <x v="0"/>
    <x v="0"/>
    <x v="0"/>
    <x v="0"/>
    <d v="2024-06-17T00:00:00"/>
    <x v="0"/>
    <x v="1"/>
    <x v="0"/>
    <x v="0"/>
    <x v="0"/>
    <x v="5"/>
    <n v="547.05495833333339"/>
    <n v="189.05754166666668"/>
    <n v="0"/>
    <d v="2022-08-31T00:00:00"/>
    <x v="0"/>
  </r>
  <r>
    <n v="407"/>
    <d v="2022-08-01T00:00:00"/>
    <s v="KAPW-IB-25951-25-08-2022"/>
    <d v="2022-08-25T00:00:00"/>
    <x v="0"/>
    <x v="0"/>
    <n v="650"/>
    <x v="0"/>
    <x v="0"/>
    <n v="3204.16"/>
    <n v="26.039899999999999"/>
    <n v="0"/>
    <n v="0"/>
    <x v="5"/>
    <s v="TEXTILE DYES (NEMOTOS)"/>
    <n v="3765747"/>
    <x v="0"/>
    <n v="1396234"/>
    <x v="0"/>
    <n v="139576028"/>
    <d v="2024-08-20T00:00:00"/>
    <x v="0"/>
    <x v="0"/>
    <x v="0"/>
    <x v="0"/>
    <x v="0"/>
    <x v="0"/>
    <d v="2024-06-21T00:00:00"/>
    <x v="0"/>
    <x v="1"/>
    <x v="0"/>
    <x v="0"/>
    <x v="0"/>
    <x v="4"/>
    <n v="5793.456923076923"/>
    <n v="2148.0523076923077"/>
    <n v="0"/>
    <d v="2022-08-31T00:00:00"/>
    <x v="0"/>
  </r>
  <r>
    <n v="408"/>
    <d v="2022-08-01T00:00:00"/>
    <s v="KAPW-IB-24417-23-08-2022"/>
    <d v="2022-05-23T00:00:00"/>
    <x v="0"/>
    <x v="0"/>
    <n v="1000"/>
    <x v="0"/>
    <x v="0"/>
    <n v="3204.16"/>
    <n v="18.739999999999998"/>
    <n v="0"/>
    <n v="0"/>
    <x v="5"/>
    <s v="DYES (TERASIL RED W-4BS"/>
    <n v="4112952"/>
    <x v="0"/>
    <n v="1524967"/>
    <x v="0"/>
    <n v="139576013"/>
    <d v="2024-08-15T00:00:00"/>
    <x v="0"/>
    <x v="0"/>
    <x v="0"/>
    <x v="0"/>
    <x v="0"/>
    <x v="0"/>
    <d v="2024-06-16T00:00:00"/>
    <x v="0"/>
    <x v="1"/>
    <x v="0"/>
    <x v="0"/>
    <x v="0"/>
    <x v="4"/>
    <n v="4112.9520000000002"/>
    <n v="1524.9670000000001"/>
    <n v="0"/>
    <d v="2022-08-31T00:00:00"/>
    <x v="0"/>
  </r>
  <r>
    <n v="409"/>
    <d v="2022-08-01T00:00:00"/>
    <s v="KAPW-IB-27141-27-08-2022"/>
    <d v="2022-08-27T00:00:00"/>
    <x v="0"/>
    <x v="0"/>
    <n v="26000"/>
    <x v="0"/>
    <x v="0"/>
    <n v="5509.22"/>
    <n v="3.35"/>
    <n v="0"/>
    <n v="0"/>
    <x v="6"/>
    <s v="100% POLYESTER SPUN YARN N/M 50S/3 BRIGHT"/>
    <n v="19542714"/>
    <x v="0"/>
    <n v="6091210"/>
    <x v="0"/>
    <n v="139576050"/>
    <d v="2024-08-27T00:00:00"/>
    <x v="0"/>
    <x v="0"/>
    <x v="0"/>
    <x v="0"/>
    <x v="0"/>
    <x v="0"/>
    <d v="2024-06-28T00:00:00"/>
    <x v="0"/>
    <x v="1"/>
    <x v="0"/>
    <x v="0"/>
    <x v="0"/>
    <x v="3"/>
    <n v="751.64284615384611"/>
    <n v="234.27730769230769"/>
    <n v="0"/>
    <d v="2022-08-31T00:00:00"/>
    <x v="0"/>
  </r>
  <r>
    <n v="410"/>
    <d v="2022-08-01T00:00:00"/>
    <s v="KAPE-IB-35021-01-09-2022"/>
    <d v="2022-09-01T00:00:00"/>
    <x v="0"/>
    <x v="0"/>
    <n v="5000"/>
    <x v="0"/>
    <x v="0"/>
    <n v="3204.16"/>
    <n v="8.4499999999999993"/>
    <n v="0"/>
    <n v="0"/>
    <x v="5"/>
    <s v="DYES (TERASIL NAVY GRL-C 200%)"/>
    <n v="9507689"/>
    <x v="0"/>
    <n v="3525184"/>
    <x v="0"/>
    <n v="139576056"/>
    <d v="2024-08-31T00:00:00"/>
    <x v="0"/>
    <x v="0"/>
    <x v="0"/>
    <x v="0"/>
    <x v="0"/>
    <x v="0"/>
    <d v="2024-07-02T00:00:00"/>
    <x v="0"/>
    <x v="1"/>
    <x v="0"/>
    <x v="0"/>
    <x v="0"/>
    <x v="4"/>
    <n v="1901.5378000000001"/>
    <n v="705.03679999999997"/>
    <n v="0"/>
    <d v="2022-08-31T00:00:00"/>
    <x v="0"/>
  </r>
  <r>
    <n v="411"/>
    <d v="2022-09-01T00:00:00"/>
    <s v="KAPE-IB-40552-12-09-2022"/>
    <d v="2022-09-12T00:00:00"/>
    <x v="0"/>
    <x v="0"/>
    <n v="11070"/>
    <x v="0"/>
    <x v="0"/>
    <n v="3215.1990000000001"/>
    <s v="10.50 / 9.00"/>
    <n v="0"/>
    <n v="0"/>
    <x v="5"/>
    <s v="REACTIVE DYE AQUA PREMIUM / CLEANING REGGIANI AQUA"/>
    <n v="26997994"/>
    <x v="0"/>
    <n v="12991975"/>
    <x v="0"/>
    <n v="139576065"/>
    <d v="2024-07-08T00:00:00"/>
    <x v="0"/>
    <x v="0"/>
    <x v="0"/>
    <x v="0"/>
    <x v="0"/>
    <x v="0"/>
    <d v="2024-05-09T00:00:00"/>
    <x v="0"/>
    <x v="1"/>
    <x v="0"/>
    <x v="0"/>
    <x v="0"/>
    <x v="4"/>
    <n v="2438.843179765131"/>
    <n v="1173.6201445347788"/>
    <n v="0"/>
    <d v="2022-10-01T00:00:00"/>
    <x v="0"/>
  </r>
  <r>
    <n v="412"/>
    <d v="2022-09-01T00:00:00"/>
    <s v="KAPW-IB-34999-14-09-2022"/>
    <d v="2022-09-14T00:00:00"/>
    <x v="0"/>
    <x v="0"/>
    <n v="3000"/>
    <x v="0"/>
    <x v="0"/>
    <n v="3204.16"/>
    <s v="12.1201 / 9.2416 / 8.9891"/>
    <n v="0"/>
    <n v="0"/>
    <x v="5"/>
    <s v="DYES (BEZAKTIV)"/>
    <n v="7468406"/>
    <x v="0"/>
    <n v="2769076"/>
    <x v="0"/>
    <n v="139576073"/>
    <d v="2024-09-08T00:00:00"/>
    <x v="0"/>
    <x v="0"/>
    <x v="0"/>
    <x v="0"/>
    <x v="0"/>
    <x v="0"/>
    <d v="2024-07-10T00:00:00"/>
    <x v="0"/>
    <x v="1"/>
    <x v="0"/>
    <x v="0"/>
    <x v="0"/>
    <x v="4"/>
    <n v="2489.4686666666666"/>
    <n v="923.02533333333338"/>
    <n v="0"/>
    <d v="2022-10-01T00:00:00"/>
    <x v="0"/>
  </r>
  <r>
    <n v="413"/>
    <d v="2022-09-01T00:00:00"/>
    <s v="KAPE-IB-44112-19-09-2022"/>
    <d v="2022-09-19T00:00:00"/>
    <x v="0"/>
    <x v="0"/>
    <n v="12000"/>
    <x v="0"/>
    <x v="0"/>
    <n v="3204.16"/>
    <n v="3.95"/>
    <n v="0"/>
    <n v="0"/>
    <x v="5"/>
    <s v="DYES (FASFA)"/>
    <n v="11433005"/>
    <x v="0"/>
    <n v="4239039"/>
    <x v="0"/>
    <n v="128479201"/>
    <d v="2024-09-18T00:00:00"/>
    <x v="0"/>
    <x v="0"/>
    <x v="0"/>
    <x v="0"/>
    <x v="0"/>
    <x v="0"/>
    <d v="2024-07-20T00:00:00"/>
    <x v="0"/>
    <x v="1"/>
    <x v="0"/>
    <x v="0"/>
    <x v="0"/>
    <x v="4"/>
    <n v="952.75041666666664"/>
    <n v="353.25324999999998"/>
    <n v="0"/>
    <d v="2022-10-01T00:00:00"/>
    <x v="0"/>
  </r>
  <r>
    <n v="414"/>
    <d v="2022-09-01T00:00:00"/>
    <s v="KAPW-IB-36748-19-09-2022"/>
    <d v="2022-09-19T00:00:00"/>
    <x v="0"/>
    <x v="0"/>
    <n v="96000"/>
    <x v="0"/>
    <x v="0"/>
    <n v="2847"/>
    <n v="0.65500000000000003"/>
    <n v="0"/>
    <n v="0"/>
    <x v="12"/>
    <s v="HYDROGEN PEROXIDE 50%"/>
    <n v="15166822"/>
    <x v="0"/>
    <n v="4727301"/>
    <x v="0"/>
    <n v="139576076"/>
    <d v="2024-09-17T00:00:00"/>
    <x v="0"/>
    <x v="0"/>
    <x v="0"/>
    <x v="0"/>
    <x v="0"/>
    <x v="0"/>
    <d v="2024-07-19T00:00:00"/>
    <x v="0"/>
    <x v="1"/>
    <x v="0"/>
    <x v="0"/>
    <x v="0"/>
    <x v="5"/>
    <n v="157.98772916666667"/>
    <n v="49.242718750000002"/>
    <n v="0"/>
    <d v="2022-10-01T00:00:00"/>
    <x v="0"/>
  </r>
  <r>
    <n v="415"/>
    <d v="2022-09-01T00:00:00"/>
    <s v="KAPE-IB-45663-21-09-2022"/>
    <d v="2022-09-21T00:00:00"/>
    <x v="1"/>
    <x v="0"/>
    <n v="72244"/>
    <x v="0"/>
    <x v="0"/>
    <n v="4810.29"/>
    <n v="1.0909"/>
    <n v="0"/>
    <n v="0"/>
    <x v="9"/>
    <s v="2/S COATED ART BOARD "/>
    <n v="19162167"/>
    <x v="0"/>
    <n v="8279589"/>
    <x v="0"/>
    <n v="128479368"/>
    <d v="2024-09-20T00:00:00"/>
    <x v="0"/>
    <x v="0"/>
    <x v="0"/>
    <x v="0"/>
    <x v="0"/>
    <x v="0"/>
    <d v="2024-07-22T00:00:00"/>
    <x v="0"/>
    <x v="1"/>
    <x v="0"/>
    <x v="0"/>
    <x v="0"/>
    <x v="6"/>
    <n v="265.24233154310394"/>
    <n v="114.60590498864957"/>
    <n v="0"/>
    <d v="2022-09-06T00:00:00"/>
    <x v="0"/>
  </r>
  <r>
    <n v="416"/>
    <d v="2022-10-01T00:00:00"/>
    <s v="KAPW-IB-36765-19-09-2022"/>
    <d v="2022-09-19T00:00:00"/>
    <x v="0"/>
    <x v="0"/>
    <n v="96000"/>
    <x v="0"/>
    <x v="0"/>
    <n v="2847"/>
    <n v="0.65500000000000003"/>
    <n v="0"/>
    <n v="0"/>
    <x v="12"/>
    <s v="HYDROGEN PEROXIDE 50%"/>
    <n v="15166822"/>
    <x v="0"/>
    <n v="4727301"/>
    <x v="0"/>
    <n v="139576077"/>
    <d v="2024-09-19T00:00:00"/>
    <x v="0"/>
    <x v="0"/>
    <x v="0"/>
    <x v="0"/>
    <x v="0"/>
    <x v="0"/>
    <d v="2024-07-21T00:00:00"/>
    <x v="0"/>
    <x v="1"/>
    <x v="0"/>
    <x v="0"/>
    <x v="0"/>
    <x v="5"/>
    <n v="157.98772916666667"/>
    <n v="49.242718750000002"/>
    <n v="0"/>
    <d v="2022-10-31T00:00:00"/>
    <x v="0"/>
  </r>
  <r>
    <n v="417"/>
    <d v="2022-10-01T00:00:00"/>
    <s v="KAPW-IB-40776-28-09-2022"/>
    <d v="2022-09-28T00:00:00"/>
    <x v="0"/>
    <x v="0"/>
    <n v="46200"/>
    <x v="0"/>
    <x v="0"/>
    <n v="5402.33"/>
    <n v="1.7"/>
    <n v="0"/>
    <n v="0"/>
    <x v="6"/>
    <s v="100% POLYESTER YARN (DTY 100D/48F HIM RW SD GRADE-AA)"/>
    <n v="18984115"/>
    <x v="0"/>
    <n v="6849223"/>
    <x v="0"/>
    <n v="152711185"/>
    <d v="2024-09-26T00:00:00"/>
    <x v="0"/>
    <x v="0"/>
    <x v="0"/>
    <x v="0"/>
    <x v="0"/>
    <x v="0"/>
    <d v="2024-07-28T00:00:00"/>
    <x v="0"/>
    <x v="1"/>
    <x v="0"/>
    <x v="0"/>
    <x v="0"/>
    <x v="3"/>
    <n v="410.9115800865801"/>
    <n v="148.25158008658008"/>
    <n v="0"/>
    <d v="2022-10-31T00:00:00"/>
    <x v="0"/>
  </r>
  <r>
    <n v="418"/>
    <d v="2022-10-01T00:00:00"/>
    <s v="KAPE-IB-44820-20-09-2022"/>
    <d v="2022-09-20T00:00:00"/>
    <x v="0"/>
    <x v="0"/>
    <n v="44000"/>
    <x v="0"/>
    <x v="0"/>
    <n v="2832.1089999999999"/>
    <n v="2.99"/>
    <n v="0"/>
    <n v="0"/>
    <x v="12"/>
    <s v="HYDROBLUE 90"/>
    <n v="31846694"/>
    <x v="0"/>
    <n v="5786544"/>
    <x v="0"/>
    <n v="128479200"/>
    <d v="2024-09-19T00:00:00"/>
    <x v="0"/>
    <x v="0"/>
    <x v="0"/>
    <x v="0"/>
    <x v="0"/>
    <x v="0"/>
    <d v="2024-07-21T00:00:00"/>
    <x v="0"/>
    <x v="1"/>
    <x v="0"/>
    <x v="0"/>
    <x v="0"/>
    <x v="5"/>
    <n v="723.7885"/>
    <n v="131.51236363636363"/>
    <n v="0"/>
    <d v="2022-10-31T00:00:00"/>
    <x v="0"/>
  </r>
  <r>
    <n v="419"/>
    <d v="2022-10-01T00:00:00"/>
    <s v="KAPW-IB-40583-27-09-2022"/>
    <d v="2022-09-27T00:00:00"/>
    <x v="0"/>
    <x v="0"/>
    <n v="2000"/>
    <x v="0"/>
    <x v="0"/>
    <n v="3204.16"/>
    <s v="10.60 / 5.50"/>
    <n v="0"/>
    <n v="0"/>
    <x v="5"/>
    <s v="DYES (SYNOLON / SYNOZOL)"/>
    <n v="4567871"/>
    <x v="0"/>
    <n v="1693640"/>
    <x v="0"/>
    <n v="139568035"/>
    <d v="2024-09-22T00:00:00"/>
    <x v="0"/>
    <x v="0"/>
    <x v="0"/>
    <x v="0"/>
    <x v="0"/>
    <x v="0"/>
    <d v="2024-07-24T00:00:00"/>
    <x v="0"/>
    <x v="1"/>
    <x v="0"/>
    <x v="0"/>
    <x v="0"/>
    <x v="4"/>
    <n v="2283.9355"/>
    <n v="846.82"/>
    <n v="0"/>
    <d v="2022-10-31T00:00:00"/>
    <x v="0"/>
  </r>
  <r>
    <n v="420"/>
    <d v="2022-10-01T00:00:00"/>
    <s v="KAPW-IB-40528-27-09-2022"/>
    <d v="2022-09-27T00:00:00"/>
    <x v="0"/>
    <x v="0"/>
    <n v="1000"/>
    <x v="0"/>
    <x v="0"/>
    <n v="3707.1"/>
    <n v="9.0656999999999996"/>
    <n v="0"/>
    <n v="0"/>
    <x v="12"/>
    <s v="CHEMICAL (EMULSION AQUASOL SHARP BHV)"/>
    <n v="2220426"/>
    <x v="0"/>
    <n v="403451"/>
    <x v="0"/>
    <n v="139568031"/>
    <d v="2024-09-22T00:00:00"/>
    <x v="0"/>
    <x v="0"/>
    <x v="0"/>
    <x v="0"/>
    <x v="0"/>
    <x v="0"/>
    <d v="2024-07-24T00:00:00"/>
    <x v="0"/>
    <x v="1"/>
    <x v="0"/>
    <x v="0"/>
    <x v="0"/>
    <x v="5"/>
    <n v="2220.4259999999999"/>
    <n v="403.45100000000002"/>
    <n v="0"/>
    <d v="2022-10-31T00:00:00"/>
    <x v="0"/>
  </r>
  <r>
    <n v="421"/>
    <d v="2022-10-01T00:00:00"/>
    <s v="KAPW-IB-40843-28-09-2022"/>
    <d v="2022-09-28T00:00:00"/>
    <x v="0"/>
    <x v="0"/>
    <n v="16000"/>
    <x v="0"/>
    <x v="0"/>
    <n v="3204.16"/>
    <n v="3.7"/>
    <n v="0"/>
    <n v="0"/>
    <x v="5"/>
    <s v="DYES (LIYUANSOL)"/>
    <n v="14309392"/>
    <x v="0"/>
    <n v="5305522"/>
    <x v="0"/>
    <n v="139568036"/>
    <d v="2024-09-26T00:00:00"/>
    <x v="0"/>
    <x v="0"/>
    <x v="0"/>
    <x v="0"/>
    <x v="0"/>
    <x v="0"/>
    <d v="2024-07-28T00:00:00"/>
    <x v="0"/>
    <x v="1"/>
    <x v="0"/>
    <x v="0"/>
    <x v="0"/>
    <x v="4"/>
    <n v="894.33699999999999"/>
    <n v="331.595125"/>
    <n v="0"/>
    <d v="2022-10-31T00:00:00"/>
    <x v="0"/>
  </r>
  <r>
    <n v="422"/>
    <d v="2022-10-01T00:00:00"/>
    <s v="KAPE-IB-52786-05-10-2022"/>
    <d v="2022-10-05T00:00:00"/>
    <x v="0"/>
    <x v="0"/>
    <n v="40320"/>
    <x v="0"/>
    <x v="0"/>
    <n v="2915.11"/>
    <n v="1.3"/>
    <n v="0"/>
    <n v="0"/>
    <x v="12"/>
    <s v="FORMIC ACID 85%"/>
    <n v="12175019"/>
    <x v="0"/>
    <n v="4514156"/>
    <x v="0"/>
    <n v="139568057"/>
    <d v="2024-10-05T00:00:00"/>
    <x v="0"/>
    <x v="0"/>
    <x v="0"/>
    <x v="0"/>
    <x v="0"/>
    <x v="0"/>
    <d v="2024-08-06T00:00:00"/>
    <x v="0"/>
    <x v="1"/>
    <x v="0"/>
    <x v="0"/>
    <x v="0"/>
    <x v="5"/>
    <n v="301.95979662698414"/>
    <n v="111.95823412698412"/>
    <n v="0"/>
    <d v="2022-10-31T00:00:00"/>
    <x v="0"/>
  </r>
  <r>
    <n v="423"/>
    <d v="2022-10-01T00:00:00"/>
    <s v="KAPE-IB-54863-10-10-2022"/>
    <d v="2022-10-10T00:00:00"/>
    <x v="0"/>
    <x v="0"/>
    <n v="24480"/>
    <x v="0"/>
    <x v="0"/>
    <n v="5402.33"/>
    <n v="1.7"/>
    <n v="0"/>
    <n v="0"/>
    <x v="6"/>
    <s v="100% POLYESTER YARN (DTY 100D/48F HIM RW SD GRADE-AA)"/>
    <n v="9432941"/>
    <x v="0"/>
    <n v="3583453"/>
    <x v="0"/>
    <n v="139568062"/>
    <d v="2024-10-08T00:00:00"/>
    <x v="0"/>
    <x v="0"/>
    <x v="0"/>
    <x v="0"/>
    <x v="0"/>
    <x v="0"/>
    <d v="2024-08-09T00:00:00"/>
    <x v="0"/>
    <x v="1"/>
    <x v="0"/>
    <x v="0"/>
    <x v="0"/>
    <x v="3"/>
    <n v="385.33255718954246"/>
    <n v="146.38288398692811"/>
    <n v="0"/>
    <d v="2022-10-31T00:00:00"/>
    <x v="0"/>
  </r>
  <r>
    <n v="424"/>
    <d v="2022-10-01T00:00:00"/>
    <s v="KAPE-IB-56267-12-10-2022"/>
    <d v="2022-10-12T00:00:00"/>
    <x v="0"/>
    <x v="0"/>
    <n v="24480"/>
    <x v="0"/>
    <x v="0"/>
    <n v="5402.33"/>
    <n v="1.7"/>
    <n v="0"/>
    <n v="0"/>
    <x v="6"/>
    <s v="100% POLYESTER YARN (DTY 100D/48F HIM RW SD GRADE-AA)"/>
    <n v="9265254"/>
    <x v="0"/>
    <n v="3519749"/>
    <x v="0"/>
    <n v="139568063"/>
    <d v="2024-10-11T00:00:00"/>
    <x v="0"/>
    <x v="0"/>
    <x v="0"/>
    <x v="0"/>
    <x v="0"/>
    <x v="0"/>
    <d v="2024-08-12T00:00:00"/>
    <x v="0"/>
    <x v="1"/>
    <x v="0"/>
    <x v="0"/>
    <x v="0"/>
    <x v="3"/>
    <n v="378.4825980392157"/>
    <n v="143.78059640522875"/>
    <n v="0"/>
    <d v="2022-10-31T00:00:00"/>
    <x v="0"/>
  </r>
  <r>
    <n v="425"/>
    <d v="2022-10-01T00:00:00"/>
    <s v="KAPE-IB-55926-11-10-2022"/>
    <d v="2022-10-11T00:00:00"/>
    <x v="0"/>
    <x v="0"/>
    <n v="13000"/>
    <x v="0"/>
    <x v="0"/>
    <n v="3906.9090000000001"/>
    <n v="2.7"/>
    <n v="0"/>
    <n v="0"/>
    <x v="12"/>
    <s v="CHEMICAL (PERIPRINT)"/>
    <n v="7694604"/>
    <x v="0"/>
    <n v="2398308"/>
    <x v="0"/>
    <n v="139568067"/>
    <d v="2024-10-11T00:00:00"/>
    <x v="0"/>
    <x v="0"/>
    <x v="0"/>
    <x v="0"/>
    <x v="0"/>
    <x v="0"/>
    <d v="2024-08-12T00:00:00"/>
    <x v="0"/>
    <x v="1"/>
    <x v="0"/>
    <x v="0"/>
    <x v="0"/>
    <x v="5"/>
    <n v="591.8926153846154"/>
    <n v="184.48523076923078"/>
    <n v="0"/>
    <d v="2022-10-31T00:00:00"/>
    <x v="0"/>
  </r>
  <r>
    <n v="426"/>
    <d v="2022-10-01T00:00:00"/>
    <s v="KAPE-IB-58949-17-10-2022"/>
    <d v="2022-10-17T00:00:00"/>
    <x v="0"/>
    <x v="0"/>
    <n v="18000"/>
    <x v="0"/>
    <x v="0"/>
    <n v="3809.9189999999999"/>
    <n v="2.35"/>
    <n v="0"/>
    <n v="0"/>
    <x v="12"/>
    <s v="CHEMICAL (DYMAFIX)"/>
    <n v="9443428"/>
    <x v="0"/>
    <n v="3501358"/>
    <x v="0"/>
    <n v="139568076"/>
    <d v="2024-10-14T00:00:00"/>
    <x v="0"/>
    <x v="0"/>
    <x v="0"/>
    <x v="0"/>
    <x v="0"/>
    <x v="0"/>
    <d v="2024-08-15T00:00:00"/>
    <x v="0"/>
    <x v="1"/>
    <x v="0"/>
    <x v="0"/>
    <x v="0"/>
    <x v="5"/>
    <n v="524.6348888888889"/>
    <n v="194.51988888888889"/>
    <n v="0"/>
    <d v="2022-10-31T00:00:00"/>
    <x v="0"/>
  </r>
  <r>
    <n v="427"/>
    <d v="2022-10-01T00:00:00"/>
    <s v="KAPE-IB-58962-17-10-2022"/>
    <d v="2022-10-17T00:00:00"/>
    <x v="0"/>
    <x v="0"/>
    <n v="24480"/>
    <x v="0"/>
    <x v="0"/>
    <n v="5402.33"/>
    <n v="1.7"/>
    <n v="0"/>
    <n v="0"/>
    <x v="6"/>
    <s v="100% POLYESTER YARN (DTY 100D/48F HIM RW SD GRADE-AA)"/>
    <n v="9290726"/>
    <x v="0"/>
    <n v="3529427"/>
    <x v="0"/>
    <n v="139568075"/>
    <d v="2024-10-11T00:00:00"/>
    <x v="0"/>
    <x v="0"/>
    <x v="0"/>
    <x v="0"/>
    <x v="0"/>
    <x v="0"/>
    <d v="2024-08-12T00:00:00"/>
    <x v="0"/>
    <x v="1"/>
    <x v="0"/>
    <x v="0"/>
    <x v="0"/>
    <x v="3"/>
    <n v="379.52312091503268"/>
    <n v="144.17593954248366"/>
    <n v="0"/>
    <d v="2022-10-31T00:00:00"/>
    <x v="0"/>
  </r>
  <r>
    <n v="428"/>
    <d v="2022-10-01T00:00:00"/>
    <s v="KAPE-IB-53385-06-10-2022"/>
    <d v="2022-10-06T00:00:00"/>
    <x v="0"/>
    <x v="0"/>
    <n v="500"/>
    <x v="0"/>
    <x v="0"/>
    <n v="3204.1590000000001"/>
    <n v="52.5"/>
    <n v="0"/>
    <n v="0"/>
    <x v="5"/>
    <s v="DYES (FARBANTHREN BRILLIANT)"/>
    <n v="6050404"/>
    <x v="0"/>
    <n v="2243321"/>
    <x v="0"/>
    <n v="139568064"/>
    <d v="2024-10-04T00:00:00"/>
    <x v="0"/>
    <x v="0"/>
    <x v="0"/>
    <x v="0"/>
    <x v="0"/>
    <x v="0"/>
    <d v="2024-08-05T00:00:00"/>
    <x v="0"/>
    <x v="1"/>
    <x v="0"/>
    <x v="0"/>
    <x v="0"/>
    <x v="4"/>
    <n v="12100.808000000001"/>
    <n v="4486.6419999999998"/>
    <n v="0"/>
    <d v="2022-10-31T00:00:00"/>
    <x v="0"/>
  </r>
  <r>
    <n v="429"/>
    <d v="2022-10-01T00:00:00"/>
    <s v="KPPI-IB-20546-17-10-2022"/>
    <d v="2022-10-17T00:00:00"/>
    <x v="0"/>
    <x v="0"/>
    <n v="22273"/>
    <x v="0"/>
    <x v="0"/>
    <n v="5201.009"/>
    <n v="2.6675"/>
    <n v="0"/>
    <n v="0"/>
    <x v="0"/>
    <s v="Raw Cotton"/>
    <n v="13263937"/>
    <x v="0"/>
    <n v="2410057"/>
    <x v="0"/>
    <n v="139576132"/>
    <d v="2024-10-16T00:00:00"/>
    <x v="0"/>
    <x v="0"/>
    <x v="0"/>
    <x v="0"/>
    <x v="0"/>
    <x v="0"/>
    <d v="2024-08-17T00:00:00"/>
    <x v="0"/>
    <x v="1"/>
    <x v="0"/>
    <x v="0"/>
    <x v="0"/>
    <x v="0"/>
    <n v="595.51641000314282"/>
    <n v="108.20531585327527"/>
    <n v="0"/>
    <d v="2022-10-31T00:00:00"/>
    <x v="0"/>
  </r>
  <r>
    <n v="430"/>
    <d v="2022-10-01T00:00:00"/>
    <s v="KPPI-IB-20535-17-10-2022"/>
    <d v="2022-10-17T00:00:00"/>
    <x v="0"/>
    <x v="0"/>
    <n v="158972"/>
    <x v="0"/>
    <x v="0"/>
    <n v="5201.009"/>
    <n v="2.6675"/>
    <n v="0"/>
    <n v="0"/>
    <x v="0"/>
    <s v="Raw Cotton"/>
    <n v="94670433"/>
    <x v="0"/>
    <n v="17201618"/>
    <x v="0"/>
    <n v="139568080"/>
    <d v="2024-10-16T00:00:00"/>
    <x v="0"/>
    <x v="0"/>
    <x v="0"/>
    <x v="0"/>
    <x v="0"/>
    <x v="0"/>
    <d v="2024-08-17T00:00:00"/>
    <x v="0"/>
    <x v="1"/>
    <x v="0"/>
    <x v="0"/>
    <x v="0"/>
    <x v="0"/>
    <n v="595.51639911430948"/>
    <n v="108.20533175653574"/>
    <n v="0"/>
    <d v="2022-10-31T00:00:00"/>
    <x v="0"/>
  </r>
  <r>
    <n v="431"/>
    <d v="2022-10-01T00:00:00"/>
    <s v="KAPE-IB-63343-24-10-2022"/>
    <d v="2022-10-24T00:00:00"/>
    <x v="0"/>
    <x v="0"/>
    <n v="4000"/>
    <x v="0"/>
    <x v="0"/>
    <n v="3906.9090000000001"/>
    <n v="12.6"/>
    <n v="0"/>
    <n v="0"/>
    <x v="12"/>
    <s v="CHEMICAL (NUVA N1811 LIQ)"/>
    <n v="11382847"/>
    <x v="0"/>
    <n v="3547885"/>
    <x v="0"/>
    <n v="139576141"/>
    <d v="2024-10-24T00:00:00"/>
    <x v="0"/>
    <x v="0"/>
    <x v="0"/>
    <x v="0"/>
    <x v="0"/>
    <x v="0"/>
    <d v="2024-08-25T00:00:00"/>
    <x v="0"/>
    <x v="1"/>
    <x v="0"/>
    <x v="0"/>
    <x v="0"/>
    <x v="5"/>
    <n v="2845.7117499999999"/>
    <n v="886.97125000000005"/>
    <n v="0"/>
    <d v="2022-10-31T00:00:00"/>
    <x v="0"/>
  </r>
  <r>
    <n v="432"/>
    <d v="2022-10-01T00:00:00"/>
    <s v="KAPE-IB-65524-27-10-2022"/>
    <d v="2022-10-27T00:00:00"/>
    <x v="0"/>
    <x v="0"/>
    <n v="58800"/>
    <x v="0"/>
    <x v="0"/>
    <n v="5205.13"/>
    <n v="2.85"/>
    <n v="0"/>
    <n v="0"/>
    <x v="10"/>
    <s v="30/1 Cotton Yarn"/>
    <n v="37659923"/>
    <x v="0"/>
    <n v="9067944"/>
    <x v="0"/>
    <n v="139576187"/>
    <d v="2024-10-26T00:00:00"/>
    <x v="0"/>
    <x v="0"/>
    <x v="0"/>
    <x v="0"/>
    <x v="0"/>
    <x v="0"/>
    <d v="2024-08-27T00:00:00"/>
    <x v="0"/>
    <x v="1"/>
    <x v="0"/>
    <x v="0"/>
    <x v="0"/>
    <x v="3"/>
    <n v="640.474880952381"/>
    <n v="154.21673469387756"/>
    <n v="0"/>
    <d v="2022-10-31T00:00:00"/>
    <x v="0"/>
  </r>
  <r>
    <n v="433"/>
    <d v="2022-11-01T00:00:00"/>
    <s v="KAPW-IB-53419-26-10-2022"/>
    <d v="2022-10-26T00:00:00"/>
    <x v="0"/>
    <x v="0"/>
    <n v="500"/>
    <x v="0"/>
    <x v="0"/>
    <n v="3204.16"/>
    <n v="25.85"/>
    <n v="0"/>
    <n v="0"/>
    <x v="5"/>
    <s v="DYES (SYNOLON)"/>
    <n v="2911202"/>
    <x v="0"/>
    <n v="1079392"/>
    <x v="0"/>
    <n v="139576181"/>
    <d v="2024-10-22T00:00:00"/>
    <x v="0"/>
    <x v="0"/>
    <x v="0"/>
    <x v="0"/>
    <x v="0"/>
    <x v="0"/>
    <d v="2024-08-23T00:00:00"/>
    <x v="0"/>
    <x v="1"/>
    <x v="0"/>
    <x v="0"/>
    <x v="0"/>
    <x v="4"/>
    <n v="5822.4040000000005"/>
    <n v="2158.7840000000001"/>
    <n v="0"/>
    <d v="2022-12-01T00:00:00"/>
    <x v="0"/>
  </r>
  <r>
    <n v="434"/>
    <d v="2022-11-01T00:00:00"/>
    <s v="KAPE-IB-65375-27-10-2022"/>
    <d v="2022-10-27T00:00:00"/>
    <x v="0"/>
    <x v="0"/>
    <n v="1906"/>
    <x v="0"/>
    <x v="0"/>
    <n v="5407.52"/>
    <n v="5.5410000000000004"/>
    <n v="0"/>
    <n v="0"/>
    <x v="11"/>
    <s v="100% POLYESTER MESH FABRIC 160GSM WIDTH:150CM"/>
    <n v="2373386"/>
    <x v="0"/>
    <n v="879986"/>
    <x v="0"/>
    <n v="139576186"/>
    <d v="2024-10-25T00:00:00"/>
    <x v="0"/>
    <x v="0"/>
    <x v="0"/>
    <x v="0"/>
    <x v="0"/>
    <x v="0"/>
    <d v="2024-08-26T00:00:00"/>
    <x v="0"/>
    <x v="1"/>
    <x v="0"/>
    <x v="0"/>
    <x v="0"/>
    <x v="2"/>
    <n v="1245.218258132214"/>
    <n v="461.69254984260232"/>
    <n v="0"/>
    <d v="2022-12-01T00:00:00"/>
    <x v="0"/>
  </r>
  <r>
    <n v="435"/>
    <d v="2022-11-01T00:00:00"/>
    <s v="KAPE-IB-65330-27-10-2022"/>
    <d v="2022-10-27T00:00:00"/>
    <x v="0"/>
    <x v="0"/>
    <n v="8756"/>
    <x v="0"/>
    <x v="0"/>
    <n v="5407.52"/>
    <n v="5.2742000000000004"/>
    <n v="0"/>
    <n v="0"/>
    <x v="11"/>
    <s v="100% POLYESTER MICROFIBER FABRIC 82GSM WIDTH:242,270CM (42077/MTRS)"/>
    <n v="10378142"/>
    <x v="0"/>
    <n v="3847925"/>
    <x v="0"/>
    <n v="139576185"/>
    <d v="2024-10-25T00:00:00"/>
    <x v="0"/>
    <x v="0"/>
    <x v="0"/>
    <x v="0"/>
    <x v="0"/>
    <x v="0"/>
    <d v="2024-08-26T00:00:00"/>
    <x v="0"/>
    <x v="1"/>
    <x v="0"/>
    <x v="0"/>
    <x v="0"/>
    <x v="2"/>
    <n v="1185.2606212882595"/>
    <n v="439.46151210598447"/>
    <n v="0"/>
    <d v="2022-12-01T00:00:00"/>
    <x v="0"/>
  </r>
  <r>
    <n v="436"/>
    <d v="2022-11-01T00:00:00"/>
    <s v="KAPW-IB-54840-28-10-2022"/>
    <d v="2022-10-28T00:00:00"/>
    <x v="0"/>
    <x v="0"/>
    <n v="2000"/>
    <x v="0"/>
    <x v="0"/>
    <n v="3204.1590000000001"/>
    <n v="21.241499999999998"/>
    <n v="0"/>
    <n v="0"/>
    <x v="5"/>
    <s v="DYES (BEZATHREN)"/>
    <n v="9581790"/>
    <x v="0"/>
    <n v="3552659"/>
    <x v="0"/>
    <n v="139576192"/>
    <d v="2024-10-26T00:00:00"/>
    <x v="0"/>
    <x v="0"/>
    <x v="0"/>
    <x v="0"/>
    <x v="0"/>
    <x v="0"/>
    <d v="2024-08-27T00:00:00"/>
    <x v="0"/>
    <x v="1"/>
    <x v="0"/>
    <x v="0"/>
    <x v="0"/>
    <x v="4"/>
    <n v="4790.8950000000004"/>
    <n v="1776.3295000000001"/>
    <n v="0"/>
    <d v="2022-12-01T00:00:00"/>
    <x v="0"/>
  </r>
  <r>
    <n v="437"/>
    <d v="2022-11-01T00:00:00"/>
    <s v="KAPE-IB-68152-02-11-2022"/>
    <d v="2022-11-02T00:00:00"/>
    <x v="0"/>
    <x v="0"/>
    <n v="24480"/>
    <x v="0"/>
    <x v="0"/>
    <n v="5402.33"/>
    <n v="1.7"/>
    <n v="0"/>
    <n v="0"/>
    <x v="6"/>
    <s v="100% POLYESTER YARN (DTY 100D/48F HIM RW SD GRADE-AA)"/>
    <n v="9396857"/>
    <x v="0"/>
    <n v="3569744"/>
    <x v="0"/>
    <n v="139576193"/>
    <d v="2024-10-30T00:00:00"/>
    <x v="0"/>
    <x v="0"/>
    <x v="0"/>
    <x v="0"/>
    <x v="0"/>
    <x v="0"/>
    <d v="2024-08-31T00:00:00"/>
    <x v="0"/>
    <x v="1"/>
    <x v="0"/>
    <x v="0"/>
    <x v="0"/>
    <x v="3"/>
    <n v="383.85853758169935"/>
    <n v="145.82287581699347"/>
    <n v="0"/>
    <d v="2022-12-01T00:00:00"/>
    <x v="0"/>
  </r>
  <r>
    <n v="438"/>
    <d v="2022-11-01T00:00:00"/>
    <s v="KAPE-IB-69395-04-11-2022"/>
    <d v="2022-11-04T00:00:00"/>
    <x v="0"/>
    <x v="0"/>
    <n v="24480"/>
    <x v="0"/>
    <x v="0"/>
    <n v="5402.33"/>
    <n v="1.7"/>
    <n v="0"/>
    <n v="0"/>
    <x v="6"/>
    <s v="100% POLYESTER YARN (DTY 100D/48F HIM RW SD GRADE-AA)"/>
    <n v="9418083"/>
    <x v="0"/>
    <n v="3577807"/>
    <x v="0"/>
    <n v="139576201"/>
    <d v="2024-11-01T00:00:00"/>
    <x v="0"/>
    <x v="0"/>
    <x v="0"/>
    <x v="0"/>
    <x v="0"/>
    <x v="0"/>
    <d v="2024-09-02T00:00:00"/>
    <x v="0"/>
    <x v="1"/>
    <x v="0"/>
    <x v="0"/>
    <x v="0"/>
    <x v="3"/>
    <n v="384.72561274509803"/>
    <n v="146.15224673202616"/>
    <n v="0"/>
    <d v="2022-12-01T00:00:00"/>
    <x v="0"/>
  </r>
  <r>
    <n v="439"/>
    <d v="2022-11-01T00:00:00"/>
    <s v="KAPE-IB-70589-07-11-2022"/>
    <d v="2022-11-07T00:00:00"/>
    <x v="0"/>
    <x v="0"/>
    <n v="150"/>
    <x v="0"/>
    <x v="0"/>
    <n v="3204.16"/>
    <n v="196"/>
    <n v="0"/>
    <n v="0"/>
    <x v="5"/>
    <s v="DYES (INDENTHREN BLUE)"/>
    <n v="6669985"/>
    <x v="0"/>
    <n v="2473044"/>
    <x v="0"/>
    <n v="139576207"/>
    <d v="2024-11-04T00:00:00"/>
    <x v="0"/>
    <x v="0"/>
    <x v="0"/>
    <x v="0"/>
    <x v="0"/>
    <x v="0"/>
    <d v="2024-09-05T00:00:00"/>
    <x v="0"/>
    <x v="1"/>
    <x v="0"/>
    <x v="0"/>
    <x v="0"/>
    <x v="4"/>
    <n v="44466.566666666666"/>
    <n v="16486.96"/>
    <n v="0"/>
    <d v="2022-12-01T00:00:00"/>
    <x v="0"/>
  </r>
  <r>
    <n v="440"/>
    <d v="2022-11-01T00:00:00"/>
    <s v="KAPE-IB-70582-07-11-2022"/>
    <d v="2022-11-07T00:00:00"/>
    <x v="0"/>
    <x v="0"/>
    <n v="24480"/>
    <x v="0"/>
    <x v="0"/>
    <n v="5402.33"/>
    <n v="1.7"/>
    <n v="0"/>
    <n v="0"/>
    <x v="6"/>
    <s v="100% POLYESTER TEXTURED YARN (DTY 100D/48F HIM RW SD GRADE-AA)"/>
    <n v="9441432"/>
    <x v="0"/>
    <n v="3586678"/>
    <x v="0"/>
    <n v="139576212"/>
    <d v="2024-11-06T00:00:00"/>
    <x v="0"/>
    <x v="0"/>
    <x v="0"/>
    <x v="0"/>
    <x v="0"/>
    <x v="0"/>
    <d v="2024-09-07T00:00:00"/>
    <x v="0"/>
    <x v="1"/>
    <x v="0"/>
    <x v="0"/>
    <x v="0"/>
    <x v="3"/>
    <n v="385.67941176470589"/>
    <n v="146.51462418300653"/>
    <n v="0"/>
    <d v="2022-12-01T00:00:00"/>
    <x v="0"/>
  </r>
  <r>
    <n v="441"/>
    <d v="2022-11-01T00:00:00"/>
    <s v="KAPE-IB-68147-02-11-2022"/>
    <d v="2022-11-02T00:00:00"/>
    <x v="0"/>
    <x v="0"/>
    <n v="24480"/>
    <x v="0"/>
    <x v="0"/>
    <n v="5402.33"/>
    <n v="1.7"/>
    <n v="0"/>
    <n v="0"/>
    <x v="6"/>
    <s v="100% POLYESTER YARN (DTY 100D/48F HIM RW SD GRADE-AA)"/>
    <n v="9396857"/>
    <x v="0"/>
    <n v="3569744"/>
    <x v="0"/>
    <n v="139576194"/>
    <d v="2024-10-30T00:00:00"/>
    <x v="0"/>
    <x v="0"/>
    <x v="0"/>
    <x v="0"/>
    <x v="0"/>
    <x v="0"/>
    <d v="2024-08-31T00:00:00"/>
    <x v="0"/>
    <x v="1"/>
    <x v="0"/>
    <x v="0"/>
    <x v="0"/>
    <x v="3"/>
    <n v="383.85853758169935"/>
    <n v="145.82287581699347"/>
    <n v="0"/>
    <d v="2022-12-01T00:00:00"/>
    <x v="0"/>
  </r>
  <r>
    <n v="442"/>
    <d v="2022-11-01T00:00:00"/>
    <s v="KAPE-IB-69401-04-11-2022"/>
    <d v="2022-11-04T00:00:00"/>
    <x v="0"/>
    <x v="0"/>
    <n v="24480"/>
    <x v="0"/>
    <x v="0"/>
    <n v="5402.33"/>
    <n v="1.7"/>
    <n v="0"/>
    <n v="0"/>
    <x v="6"/>
    <s v="100% POLYESTER TEXTURED YARN (DTY 100D/48F HIM RW SD GRADE-AA)"/>
    <n v="9418083"/>
    <x v="0"/>
    <n v="3577807"/>
    <x v="0"/>
    <n v="139576202"/>
    <d v="2024-11-01T00:00:00"/>
    <x v="0"/>
    <x v="0"/>
    <x v="0"/>
    <x v="0"/>
    <x v="0"/>
    <x v="0"/>
    <d v="2024-09-02T00:00:00"/>
    <x v="0"/>
    <x v="1"/>
    <x v="0"/>
    <x v="0"/>
    <x v="0"/>
    <x v="3"/>
    <n v="384.72561274509803"/>
    <n v="146.15224673202616"/>
    <n v="0"/>
    <d v="2022-12-01T00:00:00"/>
    <x v="0"/>
  </r>
  <r>
    <n v="443"/>
    <d v="2022-11-01T00:00:00"/>
    <s v="KAPW-IB-57245-04-11-2022"/>
    <d v="2022-11-04T00:00:00"/>
    <x v="1"/>
    <x v="0"/>
    <n v="6795"/>
    <x v="0"/>
    <x v="0"/>
    <n v="5807.1019999999999"/>
    <n v="4.1100000000000003"/>
    <n v="0"/>
    <n v="0"/>
    <x v="9"/>
    <s v="RIBBONS"/>
    <n v="6320238"/>
    <x v="0"/>
    <n v="1969936"/>
    <x v="0"/>
    <n v="139576199"/>
    <d v="2024-10-30T00:00:00"/>
    <x v="0"/>
    <x v="0"/>
    <x v="0"/>
    <x v="0"/>
    <x v="0"/>
    <x v="0"/>
    <d v="2024-08-31T00:00:00"/>
    <x v="0"/>
    <x v="1"/>
    <x v="0"/>
    <x v="0"/>
    <x v="0"/>
    <x v="6"/>
    <n v="930.13068432671082"/>
    <n v="289.90963944076526"/>
    <n v="0"/>
    <d v="2022-11-06T00:00:00"/>
    <x v="0"/>
  </r>
  <r>
    <n v="444"/>
    <d v="2022-11-01T00:00:00"/>
    <s v="KAPE-IB-71811-10-11-2022"/>
    <d v="2022-11-10T00:00:00"/>
    <x v="0"/>
    <x v="0"/>
    <n v="209760"/>
    <x v="0"/>
    <x v="0"/>
    <n v="5503.201"/>
    <n v="1.05"/>
    <n v="0"/>
    <n v="0"/>
    <x v="1"/>
    <s v="Polyester Staple Fiber"/>
    <n v="49866613"/>
    <x v="0"/>
    <n v="13185680"/>
    <x v="0"/>
    <n v="139576213"/>
    <d v="2024-11-07T00:00:00"/>
    <x v="0"/>
    <x v="0"/>
    <x v="0"/>
    <x v="0"/>
    <x v="0"/>
    <x v="0"/>
    <d v="2024-09-08T00:00:00"/>
    <x v="0"/>
    <x v="1"/>
    <x v="0"/>
    <x v="0"/>
    <x v="0"/>
    <x v="1"/>
    <n v="237.73175533943555"/>
    <n v="62.860793287566743"/>
    <n v="0"/>
    <d v="2022-12-01T00:00:00"/>
    <x v="0"/>
  </r>
  <r>
    <n v="445"/>
    <d v="2022-11-01T00:00:00"/>
    <s v="KPPI-IB-24375-07-11-2022"/>
    <d v="2022-11-07T00:00:00"/>
    <x v="0"/>
    <x v="0"/>
    <n v="100239"/>
    <x v="0"/>
    <x v="0"/>
    <n v="5201.009"/>
    <n v="2.9872000000000001"/>
    <n v="0"/>
    <n v="0"/>
    <x v="0"/>
    <s v="Raw Cotton"/>
    <n v="67932650"/>
    <x v="0"/>
    <n v="12343363"/>
    <x v="0"/>
    <n v="139576209"/>
    <d v="2024-11-05T00:00:00"/>
    <x v="0"/>
    <x v="0"/>
    <x v="0"/>
    <x v="0"/>
    <x v="0"/>
    <x v="0"/>
    <d v="2024-09-06T00:00:00"/>
    <x v="0"/>
    <x v="1"/>
    <x v="0"/>
    <x v="0"/>
    <x v="0"/>
    <x v="0"/>
    <n v="677.70678079390257"/>
    <n v="123.13932700844981"/>
    <n v="0"/>
    <d v="2022-12-01T00:00:00"/>
    <x v="0"/>
  </r>
  <r>
    <n v="446"/>
    <d v="2022-11-01T00:00:00"/>
    <s v="KPAF-IB-19849-14-11-2022"/>
    <d v="2022-11-14T00:00:00"/>
    <x v="0"/>
    <x v="0"/>
    <n v="230.4"/>
    <x v="0"/>
    <x v="0"/>
    <n v="5402.33"/>
    <n v="32.834200000000003"/>
    <n v="0"/>
    <n v="0"/>
    <x v="15"/>
    <s v="POLYESTER ELASTOLEFIN YARN 40 DENIER"/>
    <n v="1712029"/>
    <x v="0"/>
    <n v="533617"/>
    <x v="0"/>
    <n v="139576222"/>
    <d v="2024-11-15T00:00:00"/>
    <x v="0"/>
    <x v="0"/>
    <x v="0"/>
    <x v="0"/>
    <x v="0"/>
    <x v="0"/>
    <d v="2024-09-16T00:00:00"/>
    <x v="0"/>
    <x v="1"/>
    <x v="0"/>
    <x v="0"/>
    <x v="0"/>
    <x v="3"/>
    <n v="7430.6814236111113"/>
    <n v="2316.0460069444443"/>
    <n v="0"/>
    <d v="2022-12-01T00:00:00"/>
    <x v="0"/>
  </r>
  <r>
    <n v="447"/>
    <d v="2022-11-01T00:00:00"/>
    <s v="KAPE-IB-73625-14-11-2022"/>
    <d v="2022-11-14T00:00:00"/>
    <x v="0"/>
    <x v="0"/>
    <n v="111307"/>
    <x v="0"/>
    <x v="0"/>
    <n v="5201.009"/>
    <n v="2.6675"/>
    <n v="0"/>
    <n v="0"/>
    <x v="0"/>
    <s v="Raw Cotton"/>
    <n v="67193782"/>
    <x v="0"/>
    <n v="12209110"/>
    <x v="0"/>
    <n v="139576215"/>
    <d v="2024-11-13T00:00:00"/>
    <x v="0"/>
    <x v="0"/>
    <x v="0"/>
    <x v="0"/>
    <x v="0"/>
    <x v="0"/>
    <d v="2024-09-14T00:00:00"/>
    <x v="0"/>
    <x v="1"/>
    <x v="0"/>
    <x v="0"/>
    <x v="0"/>
    <x v="0"/>
    <n v="603.67975059969274"/>
    <n v="109.68860898236409"/>
    <n v="0"/>
    <d v="2022-12-01T00:00:00"/>
    <x v="0"/>
  </r>
  <r>
    <n v="448"/>
    <d v="2022-11-01T00:00:00"/>
    <s v="KPPI-IB-25585-14-11-2022"/>
    <d v="2022-11-14T00:00:00"/>
    <x v="0"/>
    <x v="0"/>
    <n v="220013"/>
    <x v="0"/>
    <x v="0"/>
    <n v="5201.009"/>
    <n v="2.6675"/>
    <n v="0"/>
    <n v="0"/>
    <x v="0"/>
    <s v="Raw Cotton"/>
    <n v="132817393"/>
    <x v="0"/>
    <n v="24132921"/>
    <x v="0"/>
    <n v="139576223"/>
    <d v="2024-11-13T00:00:00"/>
    <x v="0"/>
    <x v="0"/>
    <x v="0"/>
    <x v="0"/>
    <x v="0"/>
    <x v="0"/>
    <d v="2024-09-14T00:00:00"/>
    <x v="0"/>
    <x v="1"/>
    <x v="0"/>
    <x v="0"/>
    <x v="0"/>
    <x v="0"/>
    <n v="603.6797507420016"/>
    <n v="109.68861385463586"/>
    <n v="0"/>
    <d v="2022-12-01T00:00:00"/>
    <x v="0"/>
  </r>
  <r>
    <n v="449"/>
    <d v="2022-11-01T00:00:00"/>
    <s v="KAPW-IB-65578-22-11-2022"/>
    <d v="2022-11-22T00:00:00"/>
    <x v="0"/>
    <x v="0"/>
    <n v="400"/>
    <x v="0"/>
    <x v="0"/>
    <n v="3809.9189999999999"/>
    <n v="15.5"/>
    <n v="0"/>
    <n v="0"/>
    <x v="12"/>
    <s v="CHEMICAL (HEIQ ADAPTIVE AC -06)"/>
    <n v="1414185"/>
    <x v="0"/>
    <n v="524340"/>
    <x v="0"/>
    <n v="139576156"/>
    <d v="2024-11-21T00:00:00"/>
    <x v="0"/>
    <x v="0"/>
    <x v="0"/>
    <x v="0"/>
    <x v="0"/>
    <x v="0"/>
    <d v="2024-09-22T00:00:00"/>
    <x v="0"/>
    <x v="1"/>
    <x v="0"/>
    <x v="0"/>
    <x v="0"/>
    <x v="5"/>
    <n v="3535.4625000000001"/>
    <n v="1310.85"/>
    <n v="0"/>
    <d v="2022-12-01T00:00:00"/>
    <x v="0"/>
  </r>
  <r>
    <n v="450"/>
    <d v="2022-11-01T00:00:00"/>
    <s v="KPPI-IB-27083-21-11-2022"/>
    <d v="2022-11-21T00:00:00"/>
    <x v="0"/>
    <x v="0"/>
    <n v="304025"/>
    <x v="0"/>
    <x v="0"/>
    <n v="5201.009"/>
    <n v="2.4249999999999998"/>
    <n v="0"/>
    <n v="0"/>
    <x v="0"/>
    <s v="Raw Cotton"/>
    <n v="167788951"/>
    <x v="0"/>
    <n v="30487253"/>
    <x v="0"/>
    <n v="139576145"/>
    <d v="2024-11-19T00:00:00"/>
    <x v="0"/>
    <x v="0"/>
    <x v="0"/>
    <x v="0"/>
    <x v="0"/>
    <x v="0"/>
    <d v="2024-09-20T00:00:00"/>
    <x v="0"/>
    <x v="1"/>
    <x v="0"/>
    <x v="0"/>
    <x v="0"/>
    <x v="0"/>
    <n v="551.89195296439436"/>
    <n v="100.27876983800674"/>
    <n v="0"/>
    <d v="2022-12-01T00:00:00"/>
    <x v="0"/>
  </r>
  <r>
    <n v="451"/>
    <d v="2022-12-01T00:00:00"/>
    <s v="KPPI-IB-27637-23-11-2022"/>
    <d v="2022-11-23T00:00:00"/>
    <x v="0"/>
    <x v="0"/>
    <n v="155339"/>
    <x v="0"/>
    <x v="0"/>
    <n v="5201.009"/>
    <n v="2.7557"/>
    <n v="0"/>
    <n v="0"/>
    <x v="0"/>
    <s v="Raw Cotton"/>
    <n v="97858160"/>
    <x v="0"/>
    <n v="17780827"/>
    <x v="0"/>
    <n v="139576229"/>
    <d v="2024-11-22T00:00:00"/>
    <x v="0"/>
    <x v="0"/>
    <x v="0"/>
    <x v="0"/>
    <x v="0"/>
    <x v="0"/>
    <d v="2024-09-23T00:00:00"/>
    <x v="0"/>
    <x v="1"/>
    <x v="0"/>
    <x v="0"/>
    <x v="0"/>
    <x v="0"/>
    <n v="629.96517294433465"/>
    <n v="114.46466759796317"/>
    <n v="0"/>
    <d v="2022-12-31T00:00:00"/>
    <x v="0"/>
  </r>
  <r>
    <n v="452"/>
    <d v="2022-12-01T00:00:00"/>
    <s v="KAPW-IB-67755-26-11-2022"/>
    <d v="2022-11-26T00:00:00"/>
    <x v="0"/>
    <x v="0"/>
    <n v="209760"/>
    <x v="0"/>
    <x v="0"/>
    <n v="5503.201"/>
    <n v="1.05"/>
    <n v="0"/>
    <n v="0"/>
    <x v="1"/>
    <s v="Polyester Staple Fiber"/>
    <n v="50417067"/>
    <x v="0"/>
    <n v="13331231"/>
    <x v="0"/>
    <n v="139576155"/>
    <d v="2024-11-26T00:00:00"/>
    <x v="0"/>
    <x v="0"/>
    <x v="0"/>
    <x v="0"/>
    <x v="0"/>
    <x v="0"/>
    <d v="2024-09-27T00:00:00"/>
    <x v="0"/>
    <x v="1"/>
    <x v="0"/>
    <x v="0"/>
    <x v="0"/>
    <x v="1"/>
    <n v="240.35596395881007"/>
    <n v="63.554686308161706"/>
    <n v="0"/>
    <d v="2022-12-31T00:00:00"/>
    <x v="0"/>
  </r>
  <r>
    <n v="453"/>
    <d v="2022-12-01T00:00:00"/>
    <s v="KAPW-IB-67708-26-11-2022"/>
    <d v="2022-11-26T00:00:00"/>
    <x v="0"/>
    <x v="0"/>
    <n v="3262"/>
    <x v="0"/>
    <x v="0"/>
    <n v="5210.49"/>
    <n v="7.3673000000000002"/>
    <n v="0"/>
    <n v="0"/>
    <x v="2"/>
    <s v="70% POLYESTER 27% COTTON 3% ELASTAN BLENDED FABRIC WIDTH 150CM WEIGHT 190GSM (10510/MTRS)"/>
    <n v="5501206"/>
    <x v="0"/>
    <n v="1714655"/>
    <x v="0"/>
    <n v="139576171"/>
    <d v="2024-11-25T00:00:00"/>
    <x v="0"/>
    <x v="0"/>
    <x v="0"/>
    <x v="0"/>
    <x v="0"/>
    <x v="0"/>
    <d v="2024-09-26T00:00:00"/>
    <x v="0"/>
    <x v="1"/>
    <x v="0"/>
    <x v="0"/>
    <x v="0"/>
    <x v="2"/>
    <n v="1686.4518700183937"/>
    <n v="525.64530962599633"/>
    <n v="0"/>
    <d v="2022-12-31T00:00:00"/>
    <x v="0"/>
  </r>
  <r>
    <n v="454"/>
    <d v="2022-12-01T00:00:00"/>
    <s v="KAPW-IB-73558-08-12-2022"/>
    <d v="2022-12-08T00:00:00"/>
    <x v="0"/>
    <x v="0"/>
    <n v="7631.3"/>
    <x v="0"/>
    <x v="0"/>
    <n v="5208.1899999999996"/>
    <s v="15.3727 / 15.3608"/>
    <n v="0"/>
    <n v="0"/>
    <x v="14"/>
    <s v="100% COTTON LINEN FABRIC GEIGE"/>
    <n v="26866645"/>
    <x v="0"/>
    <n v="26866645"/>
    <x v="0"/>
    <n v="139576177"/>
    <d v="2024-12-07T00:00:00"/>
    <x v="0"/>
    <x v="0"/>
    <x v="0"/>
    <x v="0"/>
    <x v="0"/>
    <x v="0"/>
    <d v="2024-10-08T00:00:00"/>
    <x v="0"/>
    <x v="1"/>
    <x v="0"/>
    <x v="0"/>
    <x v="0"/>
    <x v="2"/>
    <n v="3520.5856145086682"/>
    <n v="3520.5856145086682"/>
    <n v="0"/>
    <d v="2022-12-31T00:00:00"/>
    <x v="0"/>
  </r>
  <r>
    <n v="455"/>
    <d v="2022-12-01T00:00:00"/>
    <s v="KAPE-IB-82182-28-11-2022"/>
    <d v="2022-11-28T00:00:00"/>
    <x v="0"/>
    <x v="0"/>
    <n v="6106"/>
    <x v="0"/>
    <x v="0"/>
    <n v="5407.52"/>
    <n v="5.4169999999999998"/>
    <n v="0"/>
    <n v="0"/>
    <x v="11"/>
    <s v="100% POLYESTER MICROFIBER FABRIC, 82GSM WIDTH:95&quot;,106&quot; , (29348/MTRS) "/>
    <n v="7571488"/>
    <x v="0"/>
    <n v="2807295"/>
    <x v="0"/>
    <n v="139576170"/>
    <d v="2024-11-24T00:00:00"/>
    <x v="0"/>
    <x v="0"/>
    <x v="0"/>
    <x v="0"/>
    <x v="0"/>
    <x v="0"/>
    <d v="2024-09-25T00:00:00"/>
    <x v="0"/>
    <x v="1"/>
    <x v="0"/>
    <x v="0"/>
    <x v="0"/>
    <x v="2"/>
    <n v="1240.0078611202096"/>
    <n v="459.76007206026861"/>
    <n v="0"/>
    <d v="2022-12-31T00:00:00"/>
    <x v="0"/>
  </r>
  <r>
    <n v="456"/>
    <d v="2022-12-01T00:00:00"/>
    <s v="KAPE-IB-81883-28-11-2022"/>
    <d v="2022-11-28T00:00:00"/>
    <x v="0"/>
    <x v="0"/>
    <n v="183540"/>
    <x v="0"/>
    <x v="0"/>
    <n v="5503.201"/>
    <n v="1.05"/>
    <n v="0"/>
    <n v="0"/>
    <x v="1"/>
    <s v="Polyester Staple Fiber"/>
    <n v="44114933"/>
    <x v="0"/>
    <n v="11664826"/>
    <x v="0"/>
    <n v="139576228"/>
    <d v="2024-11-27T00:00:00"/>
    <x v="0"/>
    <x v="0"/>
    <x v="0"/>
    <x v="0"/>
    <x v="0"/>
    <x v="0"/>
    <d v="2024-09-28T00:00:00"/>
    <x v="0"/>
    <x v="1"/>
    <x v="0"/>
    <x v="0"/>
    <x v="0"/>
    <x v="1"/>
    <n v="240.35596055355782"/>
    <n v="63.554680178707642"/>
    <n v="0"/>
    <d v="2022-12-31T00:00:00"/>
    <x v="0"/>
  </r>
  <r>
    <n v="457"/>
    <d v="2022-12-01T00:00:00"/>
    <s v="KPAF-IB-22405-30-11-2022"/>
    <d v="2022-11-30T00:00:00"/>
    <x v="0"/>
    <x v="0"/>
    <n v="300"/>
    <x v="0"/>
    <x v="0"/>
    <n v="3204.16"/>
    <n v="46"/>
    <n v="0"/>
    <n v="0"/>
    <x v="5"/>
    <s v="Dyes (BEZATHREN BLUE)"/>
    <n v="3158964"/>
    <x v="0"/>
    <n v="1171255"/>
    <x v="0"/>
    <n v="139576162"/>
    <d v="2024-11-26T00:00:00"/>
    <x v="0"/>
    <x v="0"/>
    <x v="0"/>
    <x v="0"/>
    <x v="0"/>
    <x v="0"/>
    <d v="2024-09-27T00:00:00"/>
    <x v="0"/>
    <x v="1"/>
    <x v="0"/>
    <x v="0"/>
    <x v="0"/>
    <x v="4"/>
    <n v="10529.88"/>
    <n v="3904.1833333333334"/>
    <n v="0"/>
    <d v="2022-12-31T00:00:00"/>
    <x v="0"/>
  </r>
  <r>
    <n v="458"/>
    <d v="2022-12-01T00:00:00"/>
    <s v="KAPW-IB-75086-12-12-2022"/>
    <d v="2022-12-12T00:00:00"/>
    <x v="0"/>
    <x v="0"/>
    <n v="4093.13"/>
    <x v="0"/>
    <x v="0"/>
    <n v="5509.99"/>
    <n v="1.95"/>
    <n v="0"/>
    <n v="0"/>
    <x v="3"/>
    <s v="WOVEN 50% POST CONS POLY-25% POST CONS REC COTTON -25%PRE CONS REC COTTON BLENDED YARN RAW WHITE 30/1"/>
    <n v="1830736"/>
    <x v="0"/>
    <n v="570617"/>
    <x v="0"/>
    <n v="139576238"/>
    <d v="2024-12-11T00:00:00"/>
    <x v="0"/>
    <x v="0"/>
    <x v="0"/>
    <x v="0"/>
    <x v="0"/>
    <x v="0"/>
    <d v="2024-10-12T00:00:00"/>
    <x v="0"/>
    <x v="1"/>
    <x v="0"/>
    <x v="0"/>
    <x v="0"/>
    <x v="3"/>
    <n v="447.27042629967775"/>
    <n v="139.40847224495678"/>
    <n v="0"/>
    <d v="2022-12-31T00:00:00"/>
    <x v="0"/>
  </r>
  <r>
    <n v="459"/>
    <d v="2022-12-01T00:00:00"/>
    <s v="KAPE-IB-93423-15-12-2022"/>
    <d v="2022-12-15T00:00:00"/>
    <x v="0"/>
    <x v="0"/>
    <n v="44000"/>
    <x v="0"/>
    <x v="0"/>
    <n v="2832.1089999999999"/>
    <n v="2.8"/>
    <n v="0"/>
    <n v="0"/>
    <x v="12"/>
    <s v="HYDROBLUE 90"/>
    <n v="28302307"/>
    <x v="0"/>
    <n v="5142529"/>
    <x v="0"/>
    <n v="139576240"/>
    <d v="2024-12-14T00:00:00"/>
    <x v="0"/>
    <x v="0"/>
    <x v="0"/>
    <x v="0"/>
    <x v="0"/>
    <x v="0"/>
    <d v="2024-10-15T00:00:00"/>
    <x v="0"/>
    <x v="1"/>
    <x v="0"/>
    <x v="0"/>
    <x v="0"/>
    <x v="5"/>
    <n v="643.23424999999997"/>
    <n v="116.8756590909091"/>
    <n v="0"/>
    <d v="2022-12-31T00:00:00"/>
    <x v="0"/>
  </r>
  <r>
    <n v="460"/>
    <d v="2022-12-01T00:00:00"/>
    <s v="KAPE-IB-90728-12-12-2022"/>
    <d v="2022-12-12T00:00:00"/>
    <x v="0"/>
    <x v="0"/>
    <n v="296153"/>
    <x v="0"/>
    <x v="0"/>
    <n v="5201.009"/>
    <n v="2.4140000000000001"/>
    <n v="0"/>
    <n v="0"/>
    <x v="0"/>
    <s v="Raw Cotton"/>
    <n v="163979305"/>
    <x v="0"/>
    <n v="29795040"/>
    <x v="0"/>
    <n v="139576237"/>
    <d v="2024-12-12T00:00:00"/>
    <x v="0"/>
    <x v="0"/>
    <x v="0"/>
    <x v="0"/>
    <x v="0"/>
    <x v="0"/>
    <d v="2024-10-13T00:00:00"/>
    <x v="0"/>
    <x v="1"/>
    <x v="0"/>
    <x v="0"/>
    <x v="0"/>
    <x v="0"/>
    <n v="553.6979365395589"/>
    <n v="100.60691601976005"/>
    <n v="0"/>
    <d v="2022-12-31T00:00:00"/>
    <x v="0"/>
  </r>
  <r>
    <n v="461"/>
    <d v="2022-12-01T00:00:00"/>
    <s v="KAPE-IB-90928-12-12-2022"/>
    <d v="2022-12-12T00:00:00"/>
    <x v="0"/>
    <x v="0"/>
    <n v="1715.3"/>
    <x v="0"/>
    <x v="0"/>
    <n v="5210.49"/>
    <n v="27.0672"/>
    <n v="0"/>
    <n v="0"/>
    <x v="2"/>
    <s v="EFFEN WEEFSEL 58% BIO KAT / 39%REC.PES / 3%STR BLENDED FABRIC (135X75-45X45+40D 142-145CM)(10257.60/MTRS)"/>
    <n v="11291474"/>
    <x v="0"/>
    <n v="3519405"/>
    <x v="0"/>
    <n v="139576239"/>
    <d v="2024-12-11T00:00:00"/>
    <x v="0"/>
    <x v="0"/>
    <x v="0"/>
    <x v="0"/>
    <x v="0"/>
    <x v="0"/>
    <d v="2024-10-12T00:00:00"/>
    <x v="0"/>
    <x v="1"/>
    <x v="0"/>
    <x v="0"/>
    <x v="0"/>
    <x v="2"/>
    <n v="6582.7983443129488"/>
    <n v="2051.772284731534"/>
    <n v="0"/>
    <d v="2022-12-31T00:00:00"/>
    <x v="0"/>
  </r>
  <r>
    <n v="462"/>
    <d v="2022-12-01T00:00:00"/>
    <s v="KAPW-IB-78434-19-12-2022"/>
    <d v="2022-12-19T00:00:00"/>
    <x v="0"/>
    <x v="0"/>
    <n v="102000"/>
    <x v="0"/>
    <x v="0"/>
    <n v="2847"/>
    <n v="0.54500000000000004"/>
    <n v="0"/>
    <n v="0"/>
    <x v="12"/>
    <s v="HYDROGEN PEROXIDE 50% TECHNICAL GRADE"/>
    <n v="12770497"/>
    <x v="0"/>
    <n v="6036448"/>
    <x v="0"/>
    <n v="139576246"/>
    <d v="2024-12-18T00:00:00"/>
    <x v="0"/>
    <x v="0"/>
    <x v="0"/>
    <x v="0"/>
    <x v="0"/>
    <x v="0"/>
    <d v="2024-10-19T00:00:00"/>
    <x v="0"/>
    <x v="1"/>
    <x v="0"/>
    <x v="0"/>
    <x v="0"/>
    <x v="5"/>
    <n v="125.20095098039215"/>
    <n v="59.18086274509804"/>
    <n v="0"/>
    <d v="2022-12-31T00:00:00"/>
    <x v="0"/>
  </r>
  <r>
    <n v="463"/>
    <d v="2022-12-01T00:00:00"/>
    <s v="KAPW-IB-79770-21-12-2022"/>
    <d v="2022-12-21T00:00:00"/>
    <x v="0"/>
    <x v="0"/>
    <n v="2475"/>
    <x v="0"/>
    <x v="0"/>
    <n v="5407.52"/>
    <n v="8.5534999999999997"/>
    <n v="0"/>
    <n v="0"/>
    <x v="11"/>
    <s v="100% POLYSTER VISCOSE SPANDEX FABRIC 78%PES+17%VISCOSE+5%SPANDEX NAVY (WIDTH 148CM ) (8500/MTRS )"/>
    <n v="4868689"/>
    <x v="0"/>
    <n v="1805173"/>
    <x v="0"/>
    <n v="139576245"/>
    <d v="2024-12-16T00:00:00"/>
    <x v="0"/>
    <x v="0"/>
    <x v="0"/>
    <x v="0"/>
    <x v="0"/>
    <x v="0"/>
    <d v="2024-10-17T00:00:00"/>
    <x v="0"/>
    <x v="1"/>
    <x v="0"/>
    <x v="0"/>
    <x v="0"/>
    <x v="2"/>
    <n v="1967.1470707070707"/>
    <n v="729.36282828282833"/>
    <n v="0"/>
    <d v="2022-12-31T00:00:00"/>
    <x v="0"/>
  </r>
  <r>
    <n v="464"/>
    <d v="2023-01-01T00:00:00"/>
    <s v="KAPE-IB-103699-03-01-2023"/>
    <d v="2023-01-03T00:00:00"/>
    <x v="0"/>
    <x v="0"/>
    <n v="24168"/>
    <x v="0"/>
    <x v="0"/>
    <n v="3404.9090000000001"/>
    <s v="2.80 / 4.3529"/>
    <n v="0"/>
    <n v="0"/>
    <x v="12"/>
    <s v="CHEMICAL ( J-SC WAX / J-CANDLES )"/>
    <n v="16884802"/>
    <x v="0"/>
    <n v="5262773"/>
    <x v="0"/>
    <n v="139576266"/>
    <d v="2025-01-02T00:00:00"/>
    <x v="0"/>
    <x v="0"/>
    <x v="0"/>
    <x v="0"/>
    <x v="0"/>
    <x v="0"/>
    <d v="2024-11-03T00:00:00"/>
    <x v="0"/>
    <x v="1"/>
    <x v="0"/>
    <x v="0"/>
    <x v="0"/>
    <x v="5"/>
    <n v="698.64291625289638"/>
    <n v="217.7579030122476"/>
    <n v="0"/>
    <d v="2023-01-31T00:00:00"/>
    <x v="0"/>
  </r>
  <r>
    <n v="465"/>
    <d v="2023-01-01T00:00:00"/>
    <s v="KAPE-IB-108364-11-01-2023"/>
    <d v="2023-01-11T00:00:00"/>
    <x v="0"/>
    <x v="0"/>
    <n v="24480"/>
    <x v="0"/>
    <x v="0"/>
    <n v="5402.33"/>
    <n v="1.63"/>
    <n v="0"/>
    <n v="0"/>
    <x v="6"/>
    <s v="100% POLYESTER YARN (DTY 100D/48F HIM RW SD GRADE-AA)"/>
    <n v="9274506"/>
    <x v="0"/>
    <n v="3523264"/>
    <x v="0"/>
    <n v="139576275"/>
    <d v="2025-01-10T00:00:00"/>
    <x v="0"/>
    <x v="0"/>
    <x v="0"/>
    <x v="0"/>
    <x v="0"/>
    <x v="0"/>
    <d v="2024-11-11T00:00:00"/>
    <x v="0"/>
    <x v="1"/>
    <x v="0"/>
    <x v="0"/>
    <x v="0"/>
    <x v="3"/>
    <n v="378.86053921568629"/>
    <n v="143.92418300653594"/>
    <n v="0"/>
    <d v="2023-01-31T00:00:00"/>
    <x v="0"/>
  </r>
  <r>
    <n v="466"/>
    <d v="2023-01-01T00:00:00"/>
    <s v="PQIB-IB-9547-06-12-2022"/>
    <d v="2022-12-06T00:00:00"/>
    <x v="0"/>
    <x v="0"/>
    <n v="5500000"/>
    <x v="0"/>
    <x v="0"/>
    <n v="2701.12"/>
    <s v="0.1947 / 0.1958"/>
    <n v="0"/>
    <n v="0"/>
    <x v="8"/>
    <s v="BITUMINOUS COAL"/>
    <n v="242718877"/>
    <x v="0"/>
    <n v="52706646"/>
    <x v="0"/>
    <n v="139576178"/>
    <d v="2024-12-06T00:00:00"/>
    <x v="0"/>
    <x v="0"/>
    <x v="0"/>
    <x v="0"/>
    <x v="0"/>
    <x v="0"/>
    <d v="2024-10-07T00:00:00"/>
    <x v="0"/>
    <x v="1"/>
    <x v="0"/>
    <x v="0"/>
    <x v="0"/>
    <x v="5"/>
    <n v="44.130704909090909"/>
    <n v="9.5830265454545458"/>
    <n v="0"/>
    <d v="2023-01-31T00:00:00"/>
    <x v="0"/>
  </r>
  <r>
    <n v="467"/>
    <d v="2023-01-01T00:00:00"/>
    <s v="KAPE-IB-107391-09-01-2023"/>
    <d v="2023-01-09T00:00:00"/>
    <x v="0"/>
    <x v="0"/>
    <n v="300370"/>
    <x v="0"/>
    <x v="0"/>
    <n v="5201.009"/>
    <n v="2.3037999999999998"/>
    <n v="0"/>
    <n v="0"/>
    <x v="0"/>
    <s v="Raw Cotton"/>
    <n v="160627876"/>
    <x v="0"/>
    <n v="29186085"/>
    <x v="0"/>
    <n v="139576272"/>
    <d v="2025-01-09T00:00:00"/>
    <x v="0"/>
    <x v="0"/>
    <x v="0"/>
    <x v="0"/>
    <x v="0"/>
    <x v="0"/>
    <d v="2024-11-10T00:00:00"/>
    <x v="0"/>
    <x v="1"/>
    <x v="0"/>
    <x v="0"/>
    <x v="0"/>
    <x v="0"/>
    <n v="534.76670772713658"/>
    <n v="97.167110563638175"/>
    <n v="0"/>
    <d v="2023-01-31T00:00:00"/>
    <x v="0"/>
  </r>
  <r>
    <n v="468"/>
    <d v="2023-01-01T00:00:00"/>
    <s v="KPAF-IB-29515-16-01-2023"/>
    <d v="2023-01-16T00:00:00"/>
    <x v="0"/>
    <x v="0"/>
    <n v="1977.5"/>
    <x v="0"/>
    <x v="0"/>
    <n v="5208.1899999999996"/>
    <n v="20.061"/>
    <n v="0"/>
    <n v="0"/>
    <x v="14"/>
    <s v="100%LINEN FABRIC 14*14/42*42 65&quot; QTY 8596.1/MTRS"/>
    <n v="9250986"/>
    <x v="0"/>
    <n v="2883412"/>
    <x v="0"/>
    <n v="152716536"/>
    <d v="2025-01-14T00:00:00"/>
    <x v="0"/>
    <x v="0"/>
    <x v="0"/>
    <x v="0"/>
    <x v="0"/>
    <x v="0"/>
    <d v="2024-11-15T00:00:00"/>
    <x v="0"/>
    <x v="1"/>
    <x v="0"/>
    <x v="0"/>
    <x v="0"/>
    <x v="2"/>
    <n v="4678.1218710493049"/>
    <n v="1458.1097345132744"/>
    <n v="0"/>
    <d v="2023-01-31T00:00:00"/>
    <x v="0"/>
  </r>
  <r>
    <n v="469"/>
    <d v="2023-01-01T00:00:00"/>
    <s v="KAPE-IB-113131-20-01-2023"/>
    <d v="2023-01-20T00:00:00"/>
    <x v="0"/>
    <x v="0"/>
    <n v="5127"/>
    <x v="0"/>
    <x v="0"/>
    <n v="5407.52"/>
    <n v="5.4242999999999997"/>
    <n v="0"/>
    <n v="0"/>
    <x v="11"/>
    <s v="100% POLYESTER MICROFIBER FABRIC 82GSM WIDTH :242,269CM (24651/MTRS)"/>
    <n v="6506516"/>
    <x v="0"/>
    <n v="2412434"/>
    <x v="0"/>
    <n v="152716551"/>
    <d v="2025-01-17T00:00:00"/>
    <x v="0"/>
    <x v="0"/>
    <x v="0"/>
    <x v="0"/>
    <x v="0"/>
    <x v="0"/>
    <d v="2024-11-18T00:00:00"/>
    <x v="0"/>
    <x v="1"/>
    <x v="0"/>
    <x v="0"/>
    <x v="0"/>
    <x v="2"/>
    <n v="1269.0688511800272"/>
    <n v="470.53520577335672"/>
    <n v="0"/>
    <d v="2023-01-31T00:00:00"/>
    <x v="0"/>
  </r>
  <r>
    <n v="470"/>
    <d v="2023-01-01T00:00:00"/>
    <s v="KAPW-IB-90120-16-01-2023"/>
    <d v="2023-01-16T00:00:00"/>
    <x v="0"/>
    <x v="0"/>
    <n v="700"/>
    <x v="0"/>
    <x v="0"/>
    <n v="3204.16"/>
    <n v="46.15"/>
    <n v="0"/>
    <n v="0"/>
    <x v="5"/>
    <s v="DYES (BEZATHREN)"/>
    <n v="7533360"/>
    <x v="0"/>
    <n v="2793160"/>
    <x v="0"/>
    <n v="152716537"/>
    <d v="2015-01-13T00:00:00"/>
    <x v="0"/>
    <x v="0"/>
    <x v="0"/>
    <x v="0"/>
    <x v="0"/>
    <x v="0"/>
    <d v="2014-11-14T00:00:00"/>
    <x v="0"/>
    <x v="1"/>
    <x v="0"/>
    <x v="0"/>
    <x v="0"/>
    <x v="4"/>
    <n v="10761.942857142858"/>
    <n v="3990.2285714285713"/>
    <n v="0"/>
    <d v="2023-01-31T00:00:00"/>
    <x v="0"/>
  </r>
  <r>
    <n v="471"/>
    <d v="2023-01-01T00:00:00"/>
    <s v="KPAF-IB-30221-20-01-2023"/>
    <d v="2023-01-20T00:00:00"/>
    <x v="0"/>
    <x v="0"/>
    <n v="924.8"/>
    <x v="0"/>
    <x v="0"/>
    <n v="5208.1899999999996"/>
    <n v="20.1951"/>
    <n v="0"/>
    <n v="0"/>
    <x v="14"/>
    <s v="100%LINEN FABRIC 14*14/42*42 65&quot; QTY 3975.7/MTRS"/>
    <n v="4369536"/>
    <x v="0"/>
    <n v="1361927"/>
    <x v="0"/>
    <n v="152716554"/>
    <d v="2025-01-19T00:00:00"/>
    <x v="0"/>
    <x v="0"/>
    <x v="0"/>
    <x v="0"/>
    <x v="0"/>
    <x v="0"/>
    <d v="2024-11-20T00:00:00"/>
    <x v="0"/>
    <x v="1"/>
    <x v="0"/>
    <x v="0"/>
    <x v="0"/>
    <x v="2"/>
    <n v="4724.8442906574401"/>
    <n v="1472.6719290657441"/>
    <n v="0"/>
    <d v="2023-01-31T00:00:00"/>
    <x v="0"/>
  </r>
  <r>
    <n v="472"/>
    <d v="2023-01-01T00:00:00"/>
    <s v="KAPE-IB-113930-21-01-2023"/>
    <d v="2023-01-02T00:00:00"/>
    <x v="0"/>
    <x v="0"/>
    <n v="24480"/>
    <x v="0"/>
    <x v="0"/>
    <n v="5402.33"/>
    <n v="1.63"/>
    <n v="0"/>
    <n v="0"/>
    <x v="6"/>
    <s v="100% POLYESTER YARN (DTY 100D/48F HIM RW SD GRADE-AA)"/>
    <n v="9345739"/>
    <x v="0"/>
    <n v="3550324"/>
    <x v="0"/>
    <n v="152716553"/>
    <d v="2025-01-19T00:00:00"/>
    <x v="0"/>
    <x v="0"/>
    <x v="0"/>
    <x v="0"/>
    <x v="0"/>
    <x v="0"/>
    <d v="2024-11-20T00:00:00"/>
    <x v="0"/>
    <x v="1"/>
    <x v="0"/>
    <x v="0"/>
    <x v="0"/>
    <x v="3"/>
    <n v="381.7703839869281"/>
    <n v="145.0295751633987"/>
    <n v="0"/>
    <d v="2023-01-31T00:00:00"/>
    <x v="0"/>
  </r>
  <r>
    <n v="473"/>
    <d v="2023-01-01T00:00:00"/>
    <s v="KPPI-IB-38567-19-01-2023"/>
    <d v="2023-01-19T00:00:00"/>
    <x v="0"/>
    <x v="0"/>
    <n v="38080"/>
    <x v="0"/>
    <x v="0"/>
    <n v="2915.11"/>
    <n v="0.75"/>
    <n v="0"/>
    <n v="0"/>
    <x v="12"/>
    <s v="FORMIC ACID 85%"/>
    <n v="6674612"/>
    <x v="0"/>
    <n v="2474760"/>
    <x v="0"/>
    <n v="152716549"/>
    <d v="2025-01-18T00:00:00"/>
    <x v="0"/>
    <x v="0"/>
    <x v="0"/>
    <x v="0"/>
    <x v="0"/>
    <x v="0"/>
    <d v="2024-11-19T00:00:00"/>
    <x v="0"/>
    <x v="1"/>
    <x v="0"/>
    <x v="0"/>
    <x v="0"/>
    <x v="5"/>
    <n v="175.27867647058824"/>
    <n v="64.988445378151255"/>
    <n v="0"/>
    <d v="2023-01-31T00:00:00"/>
    <x v="0"/>
  </r>
  <r>
    <n v="474"/>
    <d v="2023-01-01T00:00:00"/>
    <s v="KAPW-IB-93598-24-01-2023"/>
    <d v="2023-01-24T00:00:00"/>
    <x v="0"/>
    <x v="0"/>
    <n v="202291"/>
    <x v="0"/>
    <x v="0"/>
    <n v="5201.009"/>
    <n v="2.4542999999999999"/>
    <n v="0"/>
    <n v="0"/>
    <x v="0"/>
    <s v="Raw Cotton"/>
    <n v="116536930"/>
    <x v="0"/>
    <n v="21174760"/>
    <x v="0"/>
    <n v="152716563"/>
    <d v="2025-01-21T00:00:00"/>
    <x v="0"/>
    <x v="0"/>
    <x v="0"/>
    <x v="0"/>
    <x v="0"/>
    <x v="0"/>
    <d v="2024-11-22T00:00:00"/>
    <x v="0"/>
    <x v="1"/>
    <x v="0"/>
    <x v="0"/>
    <x v="0"/>
    <x v="0"/>
    <n v="576.08558957145897"/>
    <n v="104.67475073038345"/>
    <n v="0"/>
    <d v="2023-01-31T00:00:00"/>
    <x v="0"/>
  </r>
  <r>
    <n v="475"/>
    <d v="2023-02-01T00:00:00"/>
    <s v="KAPE-IB-116635-26-01-2023"/>
    <d v="2023-01-26T00:00:00"/>
    <x v="0"/>
    <x v="0"/>
    <n v="74540"/>
    <x v="0"/>
    <x v="0"/>
    <n v="5201.009"/>
    <n v="1.9824999999999999"/>
    <n v="0"/>
    <n v="0"/>
    <x v="0"/>
    <s v="Raw Cotton"/>
    <n v="34807214"/>
    <x v="0"/>
    <n v="6324470"/>
    <x v="0"/>
    <n v="152716565"/>
    <d v="2025-01-25T00:00:00"/>
    <x v="0"/>
    <x v="0"/>
    <x v="0"/>
    <x v="0"/>
    <x v="0"/>
    <x v="0"/>
    <d v="2024-11-26T00:00:00"/>
    <x v="0"/>
    <x v="1"/>
    <x v="0"/>
    <x v="0"/>
    <x v="0"/>
    <x v="0"/>
    <n v="466.9602092836061"/>
    <n v="84.846659511671589"/>
    <n v="0"/>
    <d v="2023-03-03T00:00:00"/>
    <x v="0"/>
  </r>
  <r>
    <n v="476"/>
    <d v="2023-02-01T00:00:00"/>
    <s v="KAPE-IB-116620-26-01-2023"/>
    <d v="2023-01-26T00:00:00"/>
    <x v="0"/>
    <x v="0"/>
    <n v="176247"/>
    <x v="0"/>
    <x v="0"/>
    <n v="5201.009"/>
    <n v="2.4249999999999998"/>
    <n v="0"/>
    <n v="0"/>
    <x v="0"/>
    <s v="Raw Cotton"/>
    <n v="100670020"/>
    <x v="0"/>
    <n v="18291742"/>
    <x v="0"/>
    <n v="152716566"/>
    <d v="2025-01-25T00:00:00"/>
    <x v="0"/>
    <x v="0"/>
    <x v="0"/>
    <x v="0"/>
    <x v="0"/>
    <x v="0"/>
    <d v="2024-11-26T00:00:00"/>
    <x v="0"/>
    <x v="1"/>
    <x v="0"/>
    <x v="0"/>
    <x v="0"/>
    <x v="0"/>
    <n v="571.1871407740274"/>
    <n v="103.78469988141642"/>
    <n v="0"/>
    <d v="2023-03-03T00:00:00"/>
    <x v="0"/>
  </r>
  <r>
    <n v="477"/>
    <d v="2023-02-01T00:00:00"/>
    <s v="KAPE-IB-120077-30-01-2023"/>
    <d v="2023-01-30T00:00:00"/>
    <x v="0"/>
    <x v="0"/>
    <n v="24480"/>
    <x v="0"/>
    <x v="0"/>
    <n v="5402.33"/>
    <n v="1.63"/>
    <n v="0"/>
    <n v="0"/>
    <x v="6"/>
    <s v="100% POLYESTER YARN (DTY 100D/48F )"/>
    <n v="10418301"/>
    <x v="0"/>
    <n v="3957776"/>
    <x v="0"/>
    <n v="152716986"/>
    <d v="2025-01-29T00:00:00"/>
    <x v="0"/>
    <x v="0"/>
    <x v="0"/>
    <x v="0"/>
    <x v="0"/>
    <x v="0"/>
    <d v="2024-11-30T00:00:00"/>
    <x v="0"/>
    <x v="1"/>
    <x v="0"/>
    <x v="0"/>
    <x v="0"/>
    <x v="3"/>
    <n v="425.5841911764706"/>
    <n v="161.67385620915033"/>
    <n v="0"/>
    <d v="2023-03-03T00:00:00"/>
    <x v="0"/>
  </r>
  <r>
    <n v="478"/>
    <d v="2023-02-01T00:00:00"/>
    <s v="KAPE-IB-120271-30-01-2023"/>
    <d v="2023-01-30T00:00:00"/>
    <x v="0"/>
    <x v="0"/>
    <n v="225188"/>
    <x v="0"/>
    <x v="0"/>
    <n v="5201.009"/>
    <n v="1.9825999999999999"/>
    <n v="0"/>
    <n v="0"/>
    <x v="0"/>
    <s v="Raw Cotton"/>
    <n v="116567700"/>
    <x v="0"/>
    <n v="21180351"/>
    <x v="0"/>
    <n v="152716572"/>
    <d v="2025-01-29T00:00:00"/>
    <x v="0"/>
    <x v="0"/>
    <x v="0"/>
    <x v="0"/>
    <x v="0"/>
    <x v="0"/>
    <d v="2024-11-30T00:00:00"/>
    <x v="0"/>
    <x v="1"/>
    <x v="0"/>
    <x v="0"/>
    <x v="0"/>
    <x v="0"/>
    <n v="517.64614455477204"/>
    <n v="94.056304065936018"/>
    <n v="0"/>
    <d v="2023-03-03T00:00:00"/>
    <x v="0"/>
  </r>
  <r>
    <n v="479"/>
    <d v="2023-02-01T00:00:00"/>
    <s v="KPFI-IB-25327-02-02-2023"/>
    <d v="2023-02-02T00:00:00"/>
    <x v="0"/>
    <x v="0"/>
    <n v="140"/>
    <x v="0"/>
    <x v="0"/>
    <n v="3204.16"/>
    <n v="5.5643000000000002"/>
    <n v="0"/>
    <n v="0"/>
    <x v="5"/>
    <s v="DYESTUFF SAMPLE"/>
    <n v="213247"/>
    <x v="0"/>
    <n v="81960"/>
    <x v="0"/>
    <n v="152716574"/>
    <d v="2025-01-30T00:00:00"/>
    <x v="0"/>
    <x v="0"/>
    <x v="0"/>
    <x v="0"/>
    <x v="0"/>
    <x v="0"/>
    <d v="2024-12-01T00:00:00"/>
    <x v="0"/>
    <x v="1"/>
    <x v="0"/>
    <x v="0"/>
    <x v="0"/>
    <x v="4"/>
    <n v="1523.1928571428571"/>
    <n v="585.42857142857144"/>
    <n v="0"/>
    <d v="2023-03-03T00:00:00"/>
    <x v="0"/>
  </r>
  <r>
    <n v="480"/>
    <d v="2023-02-01T00:00:00"/>
    <s v="KAPE-IB-124652-06-02-2023"/>
    <d v="2023-02-06T00:00:00"/>
    <x v="0"/>
    <x v="0"/>
    <n v="24480"/>
    <x v="0"/>
    <x v="0"/>
    <n v="5402.33"/>
    <n v="1.55"/>
    <n v="0"/>
    <n v="0"/>
    <x v="6"/>
    <s v="100% POLYESTER YARN (DTY 150D/48F )"/>
    <n v="10522409"/>
    <x v="0"/>
    <n v="3997327"/>
    <x v="0"/>
    <n v="152717454"/>
    <d v="2025-02-05T00:00:00"/>
    <x v="0"/>
    <x v="0"/>
    <x v="0"/>
    <x v="0"/>
    <x v="0"/>
    <x v="0"/>
    <d v="2024-12-07T00:00:00"/>
    <x v="0"/>
    <x v="1"/>
    <x v="0"/>
    <x v="0"/>
    <x v="0"/>
    <x v="3"/>
    <n v="429.83696895424839"/>
    <n v="163.28950163398693"/>
    <n v="0"/>
    <d v="2023-03-03T00:00:00"/>
    <x v="0"/>
  </r>
  <r>
    <n v="481"/>
    <d v="2023-02-01T00:00:00"/>
    <s v="KAPW-IB-100096-06-02-2023"/>
    <d v="2023-02-06T00:00:00"/>
    <x v="0"/>
    <x v="0"/>
    <n v="7200"/>
    <x v="0"/>
    <x v="0"/>
    <n v="5402.33"/>
    <n v="4.8"/>
    <n v="0"/>
    <n v="0"/>
    <x v="13"/>
    <s v="POLYESTER FILAMENT YARN (RTSS DT 150D/72F SD RW AA"/>
    <n v="9583978"/>
    <x v="0"/>
    <n v="3640829"/>
    <x v="0"/>
    <n v="152717445"/>
    <d v="2025-02-05T00:00:00"/>
    <x v="0"/>
    <x v="0"/>
    <x v="0"/>
    <x v="0"/>
    <x v="0"/>
    <x v="0"/>
    <d v="2024-12-07T00:00:00"/>
    <x v="0"/>
    <x v="1"/>
    <x v="0"/>
    <x v="0"/>
    <x v="0"/>
    <x v="3"/>
    <n v="1331.1080555555557"/>
    <n v="505.67069444444445"/>
    <n v="0"/>
    <d v="2023-03-03T00:00:00"/>
    <x v="0"/>
  </r>
  <r>
    <n v="482"/>
    <d v="2023-02-01T00:00:00"/>
    <s v="KAPW-IB-101716-08-02-2023"/>
    <d v="2023-02-08T00:00:00"/>
    <x v="0"/>
    <x v="0"/>
    <n v="5040"/>
    <x v="0"/>
    <x v="0"/>
    <n v="3906.9029999999998"/>
    <n v="1.9556"/>
    <n v="0"/>
    <n v="0"/>
    <x v="12"/>
    <s v="JINSOFECO TWN -2"/>
    <n v="2772483"/>
    <x v="0"/>
    <n v="602047"/>
    <x v="0"/>
    <n v="152717456"/>
    <d v="2025-02-04T00:00:00"/>
    <x v="0"/>
    <x v="0"/>
    <x v="0"/>
    <x v="0"/>
    <x v="0"/>
    <x v="0"/>
    <d v="2024-12-06T00:00:00"/>
    <x v="0"/>
    <x v="1"/>
    <x v="0"/>
    <x v="0"/>
    <x v="0"/>
    <x v="5"/>
    <n v="550.0958333333333"/>
    <n v="119.45376984126985"/>
    <n v="0"/>
    <d v="2023-03-03T00:00:00"/>
    <x v="0"/>
  </r>
  <r>
    <n v="483"/>
    <d v="2023-02-01T00:00:00"/>
    <s v="KAPE-IB-127848-09-02-2023"/>
    <d v="2023-02-09T00:00:00"/>
    <x v="0"/>
    <x v="0"/>
    <n v="203500"/>
    <x v="0"/>
    <x v="0"/>
    <n v="5201.009"/>
    <n v="2.6896"/>
    <n v="0"/>
    <n v="0"/>
    <x v="0"/>
    <s v="Raw Cotton"/>
    <n v="154491296"/>
    <x v="0"/>
    <n v="28071068"/>
    <x v="0"/>
    <n v="152717001"/>
    <d v="2025-02-09T00:00:00"/>
    <x v="0"/>
    <x v="0"/>
    <x v="0"/>
    <x v="0"/>
    <x v="0"/>
    <x v="0"/>
    <d v="2024-12-11T00:00:00"/>
    <x v="0"/>
    <x v="1"/>
    <x v="0"/>
    <x v="0"/>
    <x v="0"/>
    <x v="0"/>
    <n v="759.17098771498775"/>
    <n v="137.9413660933661"/>
    <n v="0"/>
    <d v="2023-03-03T00:00:00"/>
    <x v="0"/>
  </r>
  <r>
    <n v="484"/>
    <d v="2023-02-01T00:00:00"/>
    <s v="KAPW-IB-102354-09-02-2023"/>
    <d v="2023-02-09T00:00:00"/>
    <x v="0"/>
    <x v="0"/>
    <n v="758"/>
    <x v="0"/>
    <x v="0"/>
    <n v="5407.52"/>
    <n v="8.7202999999999999"/>
    <n v="0"/>
    <n v="0"/>
    <x v="11"/>
    <s v="100% POLYESTER MICROFIBER FABRIC 215GSM WIDTH:150CM (2200/MTRS) "/>
    <n v="1865746"/>
    <x v="0"/>
    <n v="691766"/>
    <x v="0"/>
    <n v="152717452"/>
    <d v="2025-02-05T00:00:00"/>
    <x v="0"/>
    <x v="0"/>
    <x v="0"/>
    <x v="0"/>
    <x v="0"/>
    <x v="0"/>
    <d v="2024-12-07T00:00:00"/>
    <x v="0"/>
    <x v="1"/>
    <x v="0"/>
    <x v="0"/>
    <x v="0"/>
    <x v="2"/>
    <n v="2461.4063324538261"/>
    <n v="912.62005277044852"/>
    <n v="0"/>
    <d v="2023-03-03T00:00:00"/>
    <x v="0"/>
  </r>
  <r>
    <n v="485"/>
    <d v="2023-02-01T00:00:00"/>
    <s v="KAPE-IB-132648-21-02-2023"/>
    <d v="2023-02-21T00:00:00"/>
    <x v="0"/>
    <x v="0"/>
    <n v="720"/>
    <x v="0"/>
    <x v="0"/>
    <n v="5210.3900000000003"/>
    <n v="24.785299999999999"/>
    <n v="0"/>
    <n v="0"/>
    <x v="2"/>
    <s v="FABRICS FOR READYMADE GARMENTS INDUSTRY 73%CTN/25%POLY/2%SP FABRIC WEIGHT : 110+/-5GSM 40S*75D+40D/133*72 48/50&quot;(5149/M"/>
    <n v="4793142"/>
    <x v="0"/>
    <n v="1547697"/>
    <x v="0"/>
    <n v="152717015"/>
    <d v="2025-02-17T00:00:00"/>
    <x v="0"/>
    <x v="0"/>
    <x v="0"/>
    <x v="0"/>
    <x v="0"/>
    <x v="0"/>
    <d v="2024-12-19T00:00:00"/>
    <x v="0"/>
    <x v="1"/>
    <x v="0"/>
    <x v="0"/>
    <x v="0"/>
    <x v="2"/>
    <n v="6657.1416666666664"/>
    <n v="2149.5791666666669"/>
    <n v="0"/>
    <d v="2023-03-03T00:00:00"/>
    <x v="0"/>
  </r>
  <r>
    <n v="486"/>
    <d v="2023-03-01T00:00:00"/>
    <s v="KAPW-IB-108664-24-02-2023"/>
    <d v="2023-02-21T00:00:00"/>
    <x v="0"/>
    <x v="0"/>
    <n v="1600"/>
    <x v="0"/>
    <x v="0"/>
    <n v="3204.1190000000001"/>
    <s v="18.12 / 8.45"/>
    <n v="0"/>
    <n v="0"/>
    <x v="5"/>
    <s v="DYES (TERASIL)"/>
    <n v="5171016"/>
    <x v="0"/>
    <n v="1669711"/>
    <x v="0"/>
    <n v="152717022"/>
    <d v="2025-02-23T00:00:00"/>
    <x v="0"/>
    <x v="0"/>
    <x v="0"/>
    <x v="0"/>
    <x v="0"/>
    <x v="0"/>
    <d v="2024-12-25T00:00:00"/>
    <x v="0"/>
    <x v="1"/>
    <x v="0"/>
    <x v="0"/>
    <x v="0"/>
    <x v="4"/>
    <n v="3231.8850000000002"/>
    <n v="1043.569375"/>
    <n v="0"/>
    <d v="2023-03-31T00:00:00"/>
    <x v="0"/>
  </r>
  <r>
    <n v="487"/>
    <d v="2023-03-01T00:00:00"/>
    <s v="KAPW-IB-108660-24-02-2023"/>
    <d v="2023-02-21T00:00:00"/>
    <x v="0"/>
    <x v="0"/>
    <n v="950"/>
    <x v="0"/>
    <x v="0"/>
    <n v="3204.1190000000001"/>
    <s v="11.80 / 34.25"/>
    <n v="0"/>
    <n v="0"/>
    <x v="5"/>
    <s v="DYES (SUNCRON)"/>
    <n v="3901277"/>
    <x v="0"/>
    <n v="1259715"/>
    <x v="0"/>
    <n v="152717016"/>
    <d v="2025-02-21T00:00:00"/>
    <x v="0"/>
    <x v="0"/>
    <x v="0"/>
    <x v="0"/>
    <x v="0"/>
    <x v="0"/>
    <d v="2024-12-23T00:00:00"/>
    <x v="0"/>
    <x v="1"/>
    <x v="0"/>
    <x v="0"/>
    <x v="0"/>
    <x v="4"/>
    <n v="4106.6073684210523"/>
    <n v="1326.0157894736842"/>
    <n v="0"/>
    <d v="2023-03-31T00:00:00"/>
    <x v="0"/>
  </r>
  <r>
    <n v="488"/>
    <d v="2023-03-01T00:00:00"/>
    <s v="KAPW-IB-108654-24-02-2023"/>
    <d v="2023-02-21T00:00:00"/>
    <x v="0"/>
    <x v="0"/>
    <n v="2000"/>
    <x v="0"/>
    <x v="0"/>
    <n v="3204.16"/>
    <n v="46.037500000000001"/>
    <n v="0"/>
    <n v="0"/>
    <x v="5"/>
    <s v="DYES (BEZATHREN)"/>
    <n v="24641409"/>
    <x v="0"/>
    <n v="9425043"/>
    <x v="0"/>
    <n v="152717017"/>
    <d v="2025-02-21T00:00:00"/>
    <x v="0"/>
    <x v="0"/>
    <x v="0"/>
    <x v="0"/>
    <x v="0"/>
    <x v="0"/>
    <d v="2024-12-23T00:00:00"/>
    <x v="0"/>
    <x v="1"/>
    <x v="0"/>
    <x v="0"/>
    <x v="0"/>
    <x v="4"/>
    <n v="12320.7045"/>
    <n v="4712.5214999999998"/>
    <n v="0"/>
    <d v="2023-03-31T00:00:00"/>
    <x v="0"/>
  </r>
  <r>
    <n v="489"/>
    <d v="2023-03-01T00:00:00"/>
    <s v="KAPE-IB-133908-27-02-2023"/>
    <d v="2023-02-27T00:00:00"/>
    <x v="0"/>
    <x v="0"/>
    <n v="8557.4"/>
    <x v="0"/>
    <x v="0"/>
    <n v="5402.33"/>
    <n v="1.62"/>
    <n v="0"/>
    <n v="0"/>
    <x v="6"/>
    <s v="100% POLYESTER YARN (ACY 300D/96F+70D)"/>
    <n v="3696623"/>
    <x v="0"/>
    <n v="1445742"/>
    <x v="0"/>
    <n v="152718060"/>
    <d v="2025-02-26T00:00:00"/>
    <x v="0"/>
    <x v="0"/>
    <x v="0"/>
    <x v="0"/>
    <x v="0"/>
    <x v="0"/>
    <d v="2024-12-28T00:00:00"/>
    <x v="0"/>
    <x v="1"/>
    <x v="0"/>
    <x v="0"/>
    <x v="0"/>
    <x v="3"/>
    <n v="431.97969009278523"/>
    <n v="168.9464089559913"/>
    <n v="0"/>
    <d v="2023-03-31T00:00:00"/>
    <x v="0"/>
  </r>
  <r>
    <n v="490"/>
    <d v="2023-03-01T00:00:00"/>
    <s v="KAPE-IB-134719-02-03-2023"/>
    <d v="2023-03-02T00:00:00"/>
    <x v="0"/>
    <x v="0"/>
    <n v="1000"/>
    <x v="0"/>
    <x v="0"/>
    <n v="3204.16"/>
    <n v="45"/>
    <n v="0"/>
    <n v="0"/>
    <x v="5"/>
    <s v="DYES (INDENTHREN)"/>
    <n v="12024684"/>
    <x v="0"/>
    <n v="4599297"/>
    <x v="0"/>
    <n v="152717028"/>
    <d v="2025-02-27T00:00:00"/>
    <x v="0"/>
    <x v="0"/>
    <x v="0"/>
    <x v="0"/>
    <x v="0"/>
    <x v="0"/>
    <d v="2024-12-29T00:00:00"/>
    <x v="0"/>
    <x v="1"/>
    <x v="0"/>
    <x v="0"/>
    <x v="0"/>
    <x v="4"/>
    <n v="12024.683999999999"/>
    <n v="4599.2969999999996"/>
    <n v="0"/>
    <d v="2023-03-31T00:00:00"/>
    <x v="0"/>
  </r>
  <r>
    <n v="491"/>
    <d v="2023-03-01T00:00:00"/>
    <s v="KAPW-IB-111548-03-03-2023"/>
    <d v="2023-03-03T00:00:00"/>
    <x v="0"/>
    <x v="0"/>
    <n v="1000"/>
    <x v="0"/>
    <x v="0"/>
    <n v="3204.16"/>
    <n v="49.4"/>
    <n v="0"/>
    <n v="0"/>
    <x v="5"/>
    <s v="DYES FARBANTHREN)"/>
    <n v="13434758"/>
    <x v="0"/>
    <n v="5138633"/>
    <x v="0"/>
    <n v="152716600"/>
    <d v="2025-02-28T00:00:00"/>
    <x v="0"/>
    <x v="0"/>
    <x v="0"/>
    <x v="0"/>
    <x v="0"/>
    <x v="0"/>
    <d v="2024-12-30T00:00:00"/>
    <x v="0"/>
    <x v="1"/>
    <x v="0"/>
    <x v="0"/>
    <x v="0"/>
    <x v="4"/>
    <n v="13434.758"/>
    <n v="5138.6329999999998"/>
    <n v="0"/>
    <d v="2023-03-31T00:00:00"/>
    <x v="0"/>
  </r>
  <r>
    <n v="492"/>
    <d v="2023-03-01T00:00:00"/>
    <s v="KAPS-IB-4531-02-03-2023"/>
    <d v="2023-03-02T00:00:00"/>
    <x v="0"/>
    <x v="0"/>
    <n v="10400"/>
    <x v="0"/>
    <x v="0"/>
    <n v="5407.52"/>
    <n v="5.3337000000000003"/>
    <n v="0"/>
    <n v="0"/>
    <x v="11"/>
    <s v="100% POLYESTER MICROFIBER FABRIC 82GSM WIDTH :242,269CM (48611/MTRS)"/>
    <n v="14822555"/>
    <x v="0"/>
    <n v="5669450"/>
    <x v="0"/>
    <n v="152716608"/>
    <d v="2025-03-01T00:00:00"/>
    <x v="0"/>
    <x v="0"/>
    <x v="0"/>
    <x v="0"/>
    <x v="0"/>
    <x v="0"/>
    <d v="2024-12-31T00:00:00"/>
    <x v="0"/>
    <x v="1"/>
    <x v="0"/>
    <x v="0"/>
    <x v="0"/>
    <x v="2"/>
    <n v="1425.2456730769231"/>
    <n v="545.13942307692309"/>
    <n v="0"/>
    <d v="2023-03-31T00:00:00"/>
    <x v="0"/>
  </r>
  <r>
    <n v="493"/>
    <d v="2023-03-01T00:00:00"/>
    <s v="KPAF-IB-34893-28-02-2023"/>
    <d v="2023-02-28T00:00:00"/>
    <x v="0"/>
    <x v="0"/>
    <n v="577"/>
    <x v="0"/>
    <x v="0"/>
    <n v="5210.41"/>
    <n v="22.795000000000002"/>
    <n v="0"/>
    <n v="0"/>
    <x v="3"/>
    <s v="60% COTTON 40% POLYESTER"/>
    <n v="3691711"/>
    <x v="0"/>
    <n v="1192046"/>
    <x v="0"/>
    <n v="152716595"/>
    <d v="2025-02-15T00:00:00"/>
    <x v="0"/>
    <x v="0"/>
    <x v="0"/>
    <x v="0"/>
    <x v="0"/>
    <x v="0"/>
    <d v="2024-12-17T00:00:00"/>
    <x v="0"/>
    <x v="1"/>
    <x v="0"/>
    <x v="0"/>
    <x v="0"/>
    <x v="3"/>
    <n v="6398.1126516464474"/>
    <n v="2065.9376083188909"/>
    <n v="0"/>
    <d v="2023-03-31T00:00:00"/>
    <x v="0"/>
  </r>
  <r>
    <n v="494"/>
    <d v="2023-03-01T00:00:00"/>
    <s v="KAPS-IB-6074-08-03-2023"/>
    <d v="2023-03-08T00:00:00"/>
    <x v="0"/>
    <x v="0"/>
    <n v="301510"/>
    <x v="0"/>
    <x v="0"/>
    <n v="5201.009"/>
    <n v="2.6896"/>
    <n v="0"/>
    <n v="0"/>
    <x v="0"/>
    <s v="Raw Cotton"/>
    <n v="230179868"/>
    <x v="0"/>
    <n v="44148498"/>
    <x v="0"/>
    <n v="152716602"/>
    <d v="2025-03-07T00:00:00"/>
    <x v="0"/>
    <x v="0"/>
    <x v="0"/>
    <x v="0"/>
    <x v="0"/>
    <x v="0"/>
    <d v="2025-01-06T00:00:00"/>
    <x v="0"/>
    <x v="1"/>
    <x v="0"/>
    <x v="0"/>
    <x v="0"/>
    <x v="0"/>
    <n v="763.42366090676921"/>
    <n v="146.42465589864349"/>
    <n v="0"/>
    <d v="2023-03-31T00:00:00"/>
    <x v="0"/>
  </r>
  <r>
    <n v="495"/>
    <d v="2023-03-01T00:00:00"/>
    <s v="KAPS-IB-5460-06-03-2023"/>
    <d v="2023-03-06T00:00:00"/>
    <x v="0"/>
    <x v="0"/>
    <n v="183540"/>
    <x v="0"/>
    <x v="0"/>
    <n v="5503.201"/>
    <n v="1"/>
    <n v="0"/>
    <n v="0"/>
    <x v="1"/>
    <s v="Polyester Staple Fiber"/>
    <n v="53472646"/>
    <x v="0"/>
    <n v="14717063"/>
    <x v="0"/>
    <n v="152716603"/>
    <d v="2025-03-06T00:00:00"/>
    <x v="0"/>
    <x v="0"/>
    <x v="0"/>
    <x v="0"/>
    <x v="0"/>
    <x v="0"/>
    <d v="2025-01-05T00:00:00"/>
    <x v="0"/>
    <x v="1"/>
    <x v="0"/>
    <x v="0"/>
    <x v="0"/>
    <x v="1"/>
    <n v="291.34055791653043"/>
    <n v="80.184499291707525"/>
    <n v="0"/>
    <d v="2023-03-31T00:00:00"/>
    <x v="0"/>
  </r>
  <r>
    <n v="496"/>
    <d v="2023-03-01T00:00:00"/>
    <s v="KAPS-IB-6595-10-03-2023"/>
    <d v="2023-03-10T00:00:00"/>
    <x v="0"/>
    <x v="0"/>
    <n v="40000"/>
    <x v="0"/>
    <x v="0"/>
    <n v="3402.4189999999999"/>
    <n v="1.8"/>
    <n v="0"/>
    <n v="0"/>
    <x v="12"/>
    <s v="WETMATIC WTL"/>
    <n v="20524820"/>
    <x v="0"/>
    <n v="10136798"/>
    <x v="0"/>
    <n v="152716610"/>
    <d v="2025-03-10T00:00:00"/>
    <x v="0"/>
    <x v="0"/>
    <x v="0"/>
    <x v="0"/>
    <x v="0"/>
    <x v="0"/>
    <d v="2025-01-09T00:00:00"/>
    <x v="0"/>
    <x v="1"/>
    <x v="0"/>
    <x v="0"/>
    <x v="0"/>
    <x v="5"/>
    <n v="513.12049999999999"/>
    <n v="253.41995"/>
    <n v="0"/>
    <d v="2023-03-31T00:00:00"/>
    <x v="0"/>
  </r>
  <r>
    <n v="497"/>
    <d v="2023-03-01T00:00:00"/>
    <s v="KAPS-IB-9008-20-03-2023"/>
    <d v="2023-03-20T00:00:00"/>
    <x v="0"/>
    <x v="0"/>
    <n v="3850"/>
    <x v="0"/>
    <x v="0"/>
    <s v="3204.1190 / 3204.1600"/>
    <s v="8.45 / 8.51"/>
    <n v="0"/>
    <n v="0"/>
    <x v="5"/>
    <s v="DYES (TERASIL +  NOVACRON)"/>
    <n v="9403151"/>
    <x v="0"/>
    <n v="3160653"/>
    <x v="0"/>
    <n v="152716624"/>
    <d v="2025-03-17T00:00:00"/>
    <x v="0"/>
    <x v="0"/>
    <x v="0"/>
    <x v="0"/>
    <x v="0"/>
    <x v="0"/>
    <d v="2025-01-16T00:00:00"/>
    <x v="0"/>
    <x v="1"/>
    <x v="0"/>
    <x v="0"/>
    <x v="0"/>
    <x v="4"/>
    <n v="2442.3768831168832"/>
    <n v="820.94883116883113"/>
    <n v="0"/>
    <d v="2023-03-31T00:00:00"/>
    <x v="0"/>
  </r>
  <r>
    <n v="498"/>
    <d v="2023-03-01T00:00:00"/>
    <s v="KAPE-IB-136853-15-03-2023"/>
    <d v="2023-03-15T00:00:00"/>
    <x v="0"/>
    <x v="0"/>
    <n v="209760"/>
    <x v="0"/>
    <x v="0"/>
    <n v="5503.201"/>
    <n v="1"/>
    <n v="0"/>
    <n v="0"/>
    <x v="1"/>
    <s v="Polyester Staple Fiber"/>
    <n v="60362679"/>
    <x v="0"/>
    <n v="16613379"/>
    <x v="0"/>
    <n v="152716615"/>
    <d v="2025-03-15T00:00:00"/>
    <x v="0"/>
    <x v="0"/>
    <x v="0"/>
    <x v="0"/>
    <x v="0"/>
    <x v="0"/>
    <d v="2025-01-14T00:00:00"/>
    <x v="0"/>
    <x v="1"/>
    <x v="0"/>
    <x v="0"/>
    <x v="0"/>
    <x v="1"/>
    <n v="287.77020881006865"/>
    <n v="79.201844965675051"/>
    <n v="0"/>
    <d v="2023-03-31T00:00:00"/>
    <x v="0"/>
  </r>
  <r>
    <n v="499"/>
    <d v="2023-03-01T00:00:00"/>
    <s v="KAPS-IB-3675-28-02-2023"/>
    <d v="2023-02-28T00:00:00"/>
    <x v="0"/>
    <x v="0"/>
    <n v="19300"/>
    <x v="0"/>
    <x v="0"/>
    <s v="3906.9090 / 3809.9190"/>
    <s v="3.20 / 1.55"/>
    <n v="0"/>
    <n v="0"/>
    <x v="12"/>
    <s v="CHEMICAL (PERIPRINT + PERIGEN)"/>
    <n v="14417154"/>
    <x v="0"/>
    <n v="4818597"/>
    <x v="0"/>
    <n v="152717025"/>
    <d v="2025-02-27T00:00:00"/>
    <x v="0"/>
    <x v="0"/>
    <x v="0"/>
    <x v="0"/>
    <x v="0"/>
    <x v="0"/>
    <d v="2024-12-29T00:00:00"/>
    <x v="0"/>
    <x v="1"/>
    <x v="0"/>
    <x v="0"/>
    <x v="0"/>
    <x v="5"/>
    <n v="747.00279792746119"/>
    <n v="249.6682383419689"/>
    <n v="0"/>
    <d v="2023-03-31T00:00:00"/>
    <x v="0"/>
  </r>
  <r>
    <n v="500"/>
    <d v="2023-03-01T00:00:00"/>
    <s v="KPAF-IB-37027-15-03-2023"/>
    <d v="2023-03-15T00:00:00"/>
    <x v="0"/>
    <x v="0"/>
    <n v="650"/>
    <x v="0"/>
    <x v="0"/>
    <n v="5407.52"/>
    <n v="6.7976999999999999"/>
    <n v="0"/>
    <n v="0"/>
    <x v="11"/>
    <s v="100% POLYESTER MICROFIBER FABRIC 170CM 82GSM 3900/MTRS"/>
    <n v="1271514"/>
    <x v="0"/>
    <n v="486338"/>
    <x v="0"/>
    <n v="152716617"/>
    <d v="2025-03-07T00:00:00"/>
    <x v="0"/>
    <x v="0"/>
    <x v="0"/>
    <x v="0"/>
    <x v="0"/>
    <x v="0"/>
    <d v="2025-01-06T00:00:00"/>
    <x v="0"/>
    <x v="1"/>
    <x v="0"/>
    <x v="0"/>
    <x v="0"/>
    <x v="2"/>
    <n v="1956.1753846153847"/>
    <n v="748.21230769230772"/>
    <n v="0"/>
    <d v="2023-03-31T00:00:00"/>
    <x v="0"/>
  </r>
  <r>
    <n v="501"/>
    <d v="2023-03-01T00:00:00"/>
    <s v="KPAF-IB-38071-22-03-2023"/>
    <d v="2023-03-22T00:00:00"/>
    <x v="0"/>
    <x v="0"/>
    <n v="414"/>
    <x v="0"/>
    <x v="0"/>
    <n v="5407.52"/>
    <n v="12.0305"/>
    <n v="0"/>
    <n v="0"/>
    <x v="2"/>
    <s v="100% BLENDED FABRIC 1486.9/MTRS"/>
    <n v="1445470"/>
    <x v="0"/>
    <n v="552875"/>
    <x v="0"/>
    <n v="152716625"/>
    <d v="2025-03-20T00:00:00"/>
    <x v="0"/>
    <x v="0"/>
    <x v="0"/>
    <x v="0"/>
    <x v="0"/>
    <x v="0"/>
    <d v="2025-01-19T00:00:00"/>
    <x v="0"/>
    <x v="1"/>
    <x v="0"/>
    <x v="0"/>
    <x v="0"/>
    <x v="2"/>
    <n v="3491.4734299516908"/>
    <n v="1335.4468599033817"/>
    <n v="0"/>
    <d v="2023-03-31T00:00:00"/>
    <x v="0"/>
  </r>
  <r>
    <n v="502"/>
    <d v="2023-04-01T00:00:00"/>
    <s v="KAPE-IB-138483-25-03-2023"/>
    <d v="2023-03-25T00:00:00"/>
    <x v="0"/>
    <x v="0"/>
    <n v="18000"/>
    <x v="0"/>
    <x v="0"/>
    <n v="3905.3"/>
    <n v="2.15"/>
    <n v="0"/>
    <n v="0"/>
    <x v="12"/>
    <s v="POLYVINYL ALCOHOL (PVA) "/>
    <n v="11225532"/>
    <x v="0"/>
    <n v="2153057"/>
    <x v="0"/>
    <n v="152716630"/>
    <d v="2025-03-24T00:00:00"/>
    <x v="0"/>
    <x v="0"/>
    <x v="0"/>
    <x v="0"/>
    <x v="0"/>
    <x v="0"/>
    <d v="2025-01-23T00:00:00"/>
    <x v="0"/>
    <x v="1"/>
    <x v="0"/>
    <x v="0"/>
    <x v="0"/>
    <x v="5"/>
    <n v="623.64066666666668"/>
    <n v="119.61427777777777"/>
    <n v="0"/>
    <d v="2023-05-01T00:00:00"/>
    <x v="0"/>
  </r>
  <r>
    <n v="503"/>
    <d v="2023-04-01T00:00:00"/>
    <s v="KAPE-IB-138782-27-03-2023"/>
    <d v="2023-03-27T00:00:00"/>
    <x v="0"/>
    <x v="0"/>
    <n v="209760"/>
    <x v="0"/>
    <x v="0"/>
    <n v="5503.201"/>
    <n v="1"/>
    <n v="0"/>
    <n v="0"/>
    <x v="1"/>
    <s v="Polyester Staple Fiber"/>
    <n v="60844126"/>
    <x v="0"/>
    <n v="16745886"/>
    <x v="0"/>
    <n v="152716629"/>
    <d v="2025-03-24T00:00:00"/>
    <x v="0"/>
    <x v="0"/>
    <x v="0"/>
    <x v="0"/>
    <x v="0"/>
    <x v="0"/>
    <d v="2025-01-23T00:00:00"/>
    <x v="0"/>
    <x v="1"/>
    <x v="0"/>
    <x v="0"/>
    <x v="0"/>
    <x v="1"/>
    <n v="290.06543668954998"/>
    <n v="79.833552631578954"/>
    <n v="0"/>
    <d v="2023-05-01T00:00:00"/>
    <x v="0"/>
  </r>
  <r>
    <n v="504"/>
    <d v="2023-04-01T00:00:00"/>
    <s v="KPPI-IB-50645-30-03-2023"/>
    <d v="2023-03-30T00:00:00"/>
    <x v="0"/>
    <x v="0"/>
    <n v="38080"/>
    <x v="0"/>
    <x v="0"/>
    <n v="2915.11"/>
    <n v="0.7"/>
    <n v="0"/>
    <n v="0"/>
    <x v="12"/>
    <s v="FORMIC ACID 85%"/>
    <n v="7721108"/>
    <x v="0"/>
    <n v="2953231"/>
    <x v="0"/>
    <n v="152716639"/>
    <d v="2025-03-29T00:00:00"/>
    <x v="0"/>
    <x v="0"/>
    <x v="0"/>
    <x v="0"/>
    <x v="0"/>
    <x v="0"/>
    <d v="2025-01-28T00:00:00"/>
    <x v="0"/>
    <x v="1"/>
    <x v="0"/>
    <x v="0"/>
    <x v="0"/>
    <x v="5"/>
    <n v="202.76018907563025"/>
    <n v="77.55333508403362"/>
    <n v="0"/>
    <d v="2023-05-01T00:00:00"/>
    <x v="0"/>
  </r>
  <r>
    <n v="505"/>
    <d v="2023-04-01T00:00:00"/>
    <s v="KAPS-IB-11803-03-04-2023"/>
    <d v="2023-04-03T00:00:00"/>
    <x v="0"/>
    <x v="0"/>
    <n v="242640"/>
    <x v="0"/>
    <x v="0"/>
    <n v="5201.009"/>
    <n v="2.6455000000000002"/>
    <n v="0"/>
    <n v="0"/>
    <x v="0"/>
    <s v="Raw Cotton"/>
    <n v="186030496"/>
    <x v="0"/>
    <n v="35680649"/>
    <x v="0"/>
    <n v="152716651"/>
    <d v="2025-04-01T00:00:00"/>
    <x v="0"/>
    <x v="0"/>
    <x v="0"/>
    <x v="0"/>
    <x v="0"/>
    <x v="0"/>
    <d v="2025-01-31T00:00:00"/>
    <x v="0"/>
    <x v="1"/>
    <x v="0"/>
    <x v="0"/>
    <x v="0"/>
    <x v="0"/>
    <n v="766.69343883943293"/>
    <n v="147.05180102209033"/>
    <n v="0"/>
    <d v="2023-05-01T00:00:00"/>
    <x v="0"/>
  </r>
  <r>
    <n v="506"/>
    <d v="2023-04-01T00:00:00"/>
    <s v="KAPW-IB-119999-31-03-2023"/>
    <d v="2023-03-31T00:00:00"/>
    <x v="0"/>
    <x v="0"/>
    <n v="497"/>
    <x v="0"/>
    <x v="0"/>
    <n v="5210.29"/>
    <n v="7.0640000000000001"/>
    <n v="0"/>
    <n v="0"/>
    <x v="2"/>
    <s v="BLENDED FABRIC (1545/MTRS) WIDTH 210"/>
    <n v="1018543"/>
    <x v="0"/>
    <n v="328886"/>
    <x v="0"/>
    <n v="152716650"/>
    <d v="2025-03-30T00:00:00"/>
    <x v="0"/>
    <x v="0"/>
    <x v="0"/>
    <x v="0"/>
    <x v="0"/>
    <x v="0"/>
    <d v="2025-01-29T00:00:00"/>
    <x v="0"/>
    <x v="1"/>
    <x v="0"/>
    <x v="0"/>
    <x v="0"/>
    <x v="2"/>
    <n v="2049.3822937625755"/>
    <n v="661.74245472837026"/>
    <n v="0"/>
    <d v="2023-05-01T00:00:00"/>
    <x v="0"/>
  </r>
  <r>
    <n v="507"/>
    <d v="2023-04-01T00:00:00"/>
    <s v="KAPW-IB-119882-31-03-2023"/>
    <d v="2023-03-31T00:00:00"/>
    <x v="0"/>
    <x v="0"/>
    <n v="3500"/>
    <x v="0"/>
    <x v="0"/>
    <n v="3204.16"/>
    <n v="5.0999999999999996"/>
    <n v="0"/>
    <n v="0"/>
    <x v="5"/>
    <s v="DYES (LIYUANSOL)"/>
    <n v="5178578"/>
    <x v="0"/>
    <n v="1980743"/>
    <x v="0"/>
    <n v="152716649"/>
    <d v="2025-03-29T00:00:00"/>
    <x v="0"/>
    <x v="0"/>
    <x v="0"/>
    <x v="0"/>
    <x v="0"/>
    <x v="0"/>
    <d v="2025-01-28T00:00:00"/>
    <x v="0"/>
    <x v="1"/>
    <x v="0"/>
    <x v="0"/>
    <x v="0"/>
    <x v="4"/>
    <n v="1479.5937142857142"/>
    <n v="565.92657142857138"/>
    <n v="0"/>
    <d v="2023-05-01T00:00:00"/>
    <x v="0"/>
  </r>
  <r>
    <n v="508"/>
    <d v="2023-04-01T00:00:00"/>
    <s v="KAPW-IB-120896-04-04-2023"/>
    <d v="2023-04-04T00:00:00"/>
    <x v="0"/>
    <x v="0"/>
    <n v="2000"/>
    <x v="0"/>
    <x v="0"/>
    <n v="3204.16"/>
    <n v="33"/>
    <n v="0"/>
    <n v="0"/>
    <x v="5"/>
    <s v="DYES (INDANTHREN BLUE)"/>
    <n v="19134220"/>
    <x v="0"/>
    <n v="7318609"/>
    <x v="0"/>
    <n v="152716654"/>
    <d v="2025-04-04T00:00:00"/>
    <x v="0"/>
    <x v="0"/>
    <x v="0"/>
    <x v="0"/>
    <x v="0"/>
    <x v="0"/>
    <d v="2025-02-03T00:00:00"/>
    <x v="0"/>
    <x v="1"/>
    <x v="0"/>
    <x v="0"/>
    <x v="0"/>
    <x v="4"/>
    <n v="9567.11"/>
    <n v="3659.3045000000002"/>
    <n v="0"/>
    <d v="2023-05-01T00:00:00"/>
    <x v="0"/>
  </r>
  <r>
    <n v="509"/>
    <d v="2023-04-01T00:00:00"/>
    <s v="KAPS-IB-14376-12-04-2023"/>
    <d v="2023-04-12T00:00:00"/>
    <x v="0"/>
    <x v="0"/>
    <n v="24480"/>
    <x v="0"/>
    <x v="0"/>
    <n v="5402.33"/>
    <n v="1.55"/>
    <n v="0"/>
    <n v="0"/>
    <x v="6"/>
    <s v="100% POLYESTER TEXTURED YARN (DTY 150D/48F HIM RW SD AA GRADE)"/>
    <n v="11126234"/>
    <x v="0"/>
    <n v="4351448"/>
    <x v="0"/>
    <n v="152716695"/>
    <d v="2025-04-11T00:00:00"/>
    <x v="0"/>
    <x v="0"/>
    <x v="0"/>
    <x v="0"/>
    <x v="0"/>
    <x v="0"/>
    <d v="2025-02-10T00:00:00"/>
    <x v="0"/>
    <x v="1"/>
    <x v="0"/>
    <x v="0"/>
    <x v="0"/>
    <x v="3"/>
    <n v="454.50302287581701"/>
    <n v="177.75522875816995"/>
    <n v="0"/>
    <d v="2023-05-01T00:00:00"/>
    <x v="0"/>
  </r>
  <r>
    <n v="510"/>
    <d v="2023-04-01T00:00:00"/>
    <s v="KAPS-IB-11991-03-04-2023"/>
    <d v="2023-04-03T00:00:00"/>
    <x v="0"/>
    <x v="0"/>
    <n v="24480"/>
    <x v="0"/>
    <x v="0"/>
    <n v="5402.33"/>
    <n v="1.55"/>
    <n v="0"/>
    <n v="0"/>
    <x v="6"/>
    <s v="100% POLYESTER TEXTURED YARN DTY 150D/48F HIM RW SD GRADE-AA"/>
    <n v="10996566"/>
    <x v="0"/>
    <n v="4300735"/>
    <x v="0"/>
    <n v="152716653"/>
    <d v="2025-04-04T00:00:00"/>
    <x v="0"/>
    <x v="0"/>
    <x v="0"/>
    <x v="0"/>
    <x v="0"/>
    <x v="0"/>
    <d v="2025-02-03T00:00:00"/>
    <x v="0"/>
    <x v="1"/>
    <x v="0"/>
    <x v="0"/>
    <x v="0"/>
    <x v="3"/>
    <n v="449.20612745098038"/>
    <n v="175.68361928104576"/>
    <n v="0"/>
    <d v="2023-05-01T00:00:00"/>
    <x v="0"/>
  </r>
  <r>
    <n v="511"/>
    <d v="2023-04-01T00:00:00"/>
    <s v="KAPW-IB-123024-10-04-2023"/>
    <d v="2023-04-10T00:00:00"/>
    <x v="0"/>
    <x v="0"/>
    <n v="4960"/>
    <x v="0"/>
    <x v="0"/>
    <n v="5407.52"/>
    <s v="8.5451 / 9.9395"/>
    <n v="0"/>
    <n v="0"/>
    <x v="11"/>
    <s v="100% POLYMIDE FABRIC 500X500 44X38 1/1 58&quot; CUTTABLE WIDTH, 210GSM (12051/MTRS) &amp; 100% POLYESTER FABRIC 190T WITH WR AND PU COATING ,57&quot; CUTTABLE WIDTH , WEIGHT :50GSM (16419/MTRS)"/>
    <n v="12808177"/>
    <x v="0"/>
    <n v="4898976"/>
    <x v="0"/>
    <n v="152716687"/>
    <d v="2025-04-06T00:00:00"/>
    <x v="0"/>
    <x v="0"/>
    <x v="0"/>
    <x v="0"/>
    <x v="0"/>
    <x v="0"/>
    <d v="2025-02-05T00:00:00"/>
    <x v="0"/>
    <x v="1"/>
    <x v="0"/>
    <x v="0"/>
    <x v="0"/>
    <x v="2"/>
    <n v="2582.2937499999998"/>
    <n v="987.69677419354844"/>
    <n v="0"/>
    <d v="2023-05-01T00:00:00"/>
    <x v="0"/>
  </r>
  <r>
    <n v="512"/>
    <d v="2023-04-01T00:00:00"/>
    <s v="KAPW-IB-123040-10-04-2023"/>
    <d v="2023-04-10T00:00:00"/>
    <x v="0"/>
    <x v="0"/>
    <n v="205"/>
    <x v="0"/>
    <x v="0"/>
    <s v="3204.1600 / 3204.1190"/>
    <s v="15.9780 / 18.3586 / 16.8748 / 10.9950 / 8.7556 / 8.2715"/>
    <n v="0"/>
    <n v="0"/>
    <x v="5"/>
    <s v="DYES (SETAZOL / PIGMASET / SETAPERS)"/>
    <n v="841059"/>
    <x v="0"/>
    <n v="309561"/>
    <x v="0"/>
    <n v="15716662"/>
    <d v="2025-04-04T00:00:00"/>
    <x v="0"/>
    <x v="0"/>
    <x v="0"/>
    <x v="0"/>
    <x v="0"/>
    <x v="0"/>
    <d v="2025-02-03T00:00:00"/>
    <x v="0"/>
    <x v="1"/>
    <x v="0"/>
    <x v="0"/>
    <x v="0"/>
    <x v="4"/>
    <n v="4102.7268292682929"/>
    <n v="1510.0536585365853"/>
    <n v="0"/>
    <d v="2023-05-01T00:00:00"/>
    <x v="0"/>
  </r>
  <r>
    <n v="513"/>
    <d v="2023-04-01T00:00:00"/>
    <s v="KAPS-IB-15484-16-04-2023"/>
    <d v="2023-04-16T00:00:00"/>
    <x v="0"/>
    <x v="0"/>
    <n v="250200"/>
    <x v="0"/>
    <x v="0"/>
    <n v="5201.009"/>
    <n v="2.6455000000000002"/>
    <n v="0"/>
    <n v="0"/>
    <x v="0"/>
    <s v="Raw Cotton"/>
    <n v="192636949"/>
    <x v="0"/>
    <n v="36947767"/>
    <x v="0"/>
    <n v="152716696"/>
    <d v="2025-04-16T00:00:00"/>
    <x v="0"/>
    <x v="0"/>
    <x v="0"/>
    <x v="0"/>
    <x v="0"/>
    <x v="0"/>
    <d v="2025-02-15T00:00:00"/>
    <x v="0"/>
    <x v="1"/>
    <x v="0"/>
    <x v="0"/>
    <x v="0"/>
    <x v="0"/>
    <n v="769.93185051958437"/>
    <n v="147.67292965627499"/>
    <n v="0"/>
    <d v="2023-05-01T00:00:00"/>
    <x v="0"/>
  </r>
  <r>
    <n v="514"/>
    <d v="2023-04-01T00:00:00"/>
    <s v="PQIB-IB-16708-28-03-2023"/>
    <d v="2023-03-28T00:00:00"/>
    <x v="0"/>
    <x v="0"/>
    <n v="5500000"/>
    <x v="0"/>
    <x v="0"/>
    <n v="2701.12"/>
    <n v="0.1305"/>
    <n v="0"/>
    <n v="0"/>
    <x v="8"/>
    <s v="BITUMINOUS COAL (IN BULK)"/>
    <n v="205792421"/>
    <x v="0"/>
    <n v="46828889"/>
    <x v="0"/>
    <n v="152716644"/>
    <d v="2025-03-29T00:00:00"/>
    <x v="0"/>
    <x v="0"/>
    <x v="0"/>
    <x v="0"/>
    <x v="0"/>
    <x v="0"/>
    <d v="2025-01-28T00:00:00"/>
    <x v="0"/>
    <x v="1"/>
    <x v="0"/>
    <x v="0"/>
    <x v="0"/>
    <x v="5"/>
    <n v="37.416803818181819"/>
    <n v="8.5143434545454539"/>
    <n v="0"/>
    <d v="2023-05-01T00:00:00"/>
    <x v="0"/>
  </r>
  <r>
    <n v="515"/>
    <d v="2023-05-01T00:00:00"/>
    <s v="KAPE-IB-143556-26-04-2023"/>
    <d v="2023-04-26T00:00:00"/>
    <x v="1"/>
    <x v="0"/>
    <n v="14500"/>
    <x v="0"/>
    <x v="0"/>
    <n v="4007.009"/>
    <n v="2.6472000000000002"/>
    <n v="0"/>
    <n v="0"/>
    <x v="9"/>
    <s v="Extruded Rubber Thread (Elastic)"/>
    <n v="11132030"/>
    <x v="0"/>
    <n v="4257868"/>
    <x v="0"/>
    <n v="152716714"/>
    <d v="2025-04-20T00:00:00"/>
    <x v="0"/>
    <x v="0"/>
    <x v="0"/>
    <x v="0"/>
    <x v="0"/>
    <x v="0"/>
    <d v="2025-02-19T00:00:00"/>
    <x v="0"/>
    <x v="1"/>
    <x v="0"/>
    <x v="0"/>
    <x v="0"/>
    <x v="6"/>
    <n v="767.72620689655173"/>
    <n v="293.64606896551726"/>
    <n v="0"/>
    <d v="2023-05-06T00:00:00"/>
    <x v="0"/>
  </r>
  <r>
    <n v="516"/>
    <d v="2023-05-01T00:00:00"/>
    <s v="KAPS-IB-17617-27-04-2023"/>
    <d v="2023-04-27T00:00:00"/>
    <x v="0"/>
    <x v="0"/>
    <n v="48960"/>
    <x v="0"/>
    <x v="0"/>
    <n v="5402.33"/>
    <n v="1.5"/>
    <n v="0"/>
    <n v="0"/>
    <x v="6"/>
    <s v="100% POLYESTER TEXTURED YARN DTY 300D/96F HIM RW SD GRADE AA"/>
    <n v="21268693"/>
    <x v="0"/>
    <n v="8318143"/>
    <x v="0"/>
    <n v="152716719"/>
    <d v="2025-04-26T00:00:00"/>
    <x v="0"/>
    <x v="0"/>
    <x v="0"/>
    <x v="0"/>
    <x v="0"/>
    <x v="0"/>
    <d v="2025-02-25T00:00:00"/>
    <x v="0"/>
    <x v="1"/>
    <x v="0"/>
    <x v="0"/>
    <x v="0"/>
    <x v="3"/>
    <n v="434.40957924836601"/>
    <n v="169.8967116013072"/>
    <n v="0"/>
    <d v="2023-05-31T00:00:00"/>
    <x v="0"/>
  </r>
  <r>
    <n v="517"/>
    <d v="2023-05-01T00:00:00"/>
    <s v="KAPS-IB-17584-27-04-2023"/>
    <d v="2023-04-27T00:00:00"/>
    <x v="0"/>
    <x v="0"/>
    <n v="44000"/>
    <x v="0"/>
    <x v="0"/>
    <n v="2832.1089999999999"/>
    <n v="2.1800000000000002"/>
    <n v="0"/>
    <n v="0"/>
    <x v="12"/>
    <s v="HYDRO BLUE 90"/>
    <n v="27779045"/>
    <x v="0"/>
    <n v="5328021"/>
    <x v="0"/>
    <n v="152716726"/>
    <d v="2025-04-26T00:00:00"/>
    <x v="0"/>
    <x v="0"/>
    <x v="0"/>
    <x v="0"/>
    <x v="0"/>
    <x v="0"/>
    <d v="2025-02-25T00:00:00"/>
    <x v="0"/>
    <x v="1"/>
    <x v="0"/>
    <x v="0"/>
    <x v="0"/>
    <x v="5"/>
    <n v="631.34193181818182"/>
    <n v="121.09138636363636"/>
    <n v="0"/>
    <d v="2023-05-31T00:00:00"/>
    <x v="0"/>
  </r>
  <r>
    <n v="518"/>
    <d v="2023-05-01T00:00:00"/>
    <s v="KAPW-IB-128480-28-04-2023"/>
    <d v="2023-04-28T00:00:00"/>
    <x v="0"/>
    <x v="0"/>
    <n v="24480"/>
    <x v="0"/>
    <x v="0"/>
    <n v="5402.33"/>
    <n v="1.55"/>
    <n v="0"/>
    <n v="0"/>
    <x v="6"/>
    <s v="100% POLYESTER TEXTURED YARN DTY 150D/48F HIM SD GRADE AA"/>
    <n v="10990760"/>
    <x v="0"/>
    <n v="4298465"/>
    <x v="0"/>
    <n v="152716718"/>
    <d v="2025-04-26T00:00:00"/>
    <x v="0"/>
    <x v="0"/>
    <x v="0"/>
    <x v="0"/>
    <x v="0"/>
    <x v="0"/>
    <d v="2025-02-25T00:00:00"/>
    <x v="0"/>
    <x v="1"/>
    <x v="0"/>
    <x v="0"/>
    <x v="0"/>
    <x v="3"/>
    <n v="448.968954248366"/>
    <n v="175.59089052287581"/>
    <n v="0"/>
    <d v="2023-05-31T00:00:00"/>
    <x v="0"/>
  </r>
  <r>
    <n v="519"/>
    <d v="2023-05-01T00:00:00"/>
    <s v="KPPI-IB-54759-27-04-2023"/>
    <d v="2023-04-27T00:00:00"/>
    <x v="0"/>
    <x v="0"/>
    <n v="198653.3"/>
    <x v="0"/>
    <x v="0"/>
    <n v="5201.009"/>
    <n v="2.0083000000000002"/>
    <n v="0"/>
    <n v="0"/>
    <x v="0"/>
    <s v="Raw Cotton"/>
    <n v="115540040"/>
    <x v="0"/>
    <n v="22160579"/>
    <x v="0"/>
    <n v="152716720"/>
    <d v="2025-04-26T00:00:00"/>
    <x v="0"/>
    <x v="0"/>
    <x v="0"/>
    <x v="0"/>
    <x v="0"/>
    <x v="0"/>
    <d v="2025-02-25T00:00:00"/>
    <x v="0"/>
    <x v="1"/>
    <x v="0"/>
    <x v="0"/>
    <x v="0"/>
    <x v="0"/>
    <n v="581.6165148024221"/>
    <n v="111.55404415632663"/>
    <n v="0"/>
    <d v="2023-05-31T00:00:00"/>
    <x v="0"/>
  </r>
  <r>
    <n v="520"/>
    <d v="2023-05-01T00:00:00"/>
    <s v="KAPW-IB-130351-03-05-2023"/>
    <d v="2023-05-03T00:00:00"/>
    <x v="0"/>
    <x v="0"/>
    <n v="1600"/>
    <x v="0"/>
    <x v="0"/>
    <n v="3204.1590000000001"/>
    <n v="1.1553072625698324"/>
    <n v="0"/>
    <n v="0"/>
    <x v="5"/>
    <s v="DYES (FARBANTHREN)"/>
    <n v="22780633"/>
    <x v="0"/>
    <n v="8713318"/>
    <x v="0"/>
    <n v="152716730"/>
    <d v="2025-05-02T00:00:00"/>
    <x v="0"/>
    <x v="0"/>
    <x v="0"/>
    <x v="0"/>
    <x v="0"/>
    <x v="0"/>
    <d v="2025-03-03T00:00:00"/>
    <x v="0"/>
    <x v="1"/>
    <x v="0"/>
    <x v="0"/>
    <x v="0"/>
    <x v="4"/>
    <n v="14237.895624999999"/>
    <n v="5445.8237499999996"/>
    <n v="0"/>
    <d v="2023-05-31T00:00:00"/>
    <x v="0"/>
  </r>
  <r>
    <n v="521"/>
    <d v="2023-05-01T00:00:00"/>
    <s v="KAPW-IB-128979-28-04-2023"/>
    <d v="2023-04-28T00:00:00"/>
    <x v="0"/>
    <x v="0"/>
    <n v="1000"/>
    <x v="0"/>
    <x v="0"/>
    <n v="3204.1190000000001"/>
    <n v="35.15"/>
    <n v="0"/>
    <n v="0"/>
    <x v="5"/>
    <s v="DYES (SYNOLON BLUE AK)"/>
    <n v="10181457"/>
    <x v="0"/>
    <n v="3287572"/>
    <x v="0"/>
    <n v="152716727"/>
    <d v="2025-04-26T00:00:00"/>
    <x v="0"/>
    <x v="0"/>
    <x v="0"/>
    <x v="0"/>
    <x v="0"/>
    <x v="0"/>
    <d v="2025-02-25T00:00:00"/>
    <x v="0"/>
    <x v="1"/>
    <x v="0"/>
    <x v="0"/>
    <x v="0"/>
    <x v="4"/>
    <n v="10181.457"/>
    <n v="3287.5720000000001"/>
    <n v="0"/>
    <d v="2023-05-31T00:00:00"/>
    <x v="0"/>
  </r>
  <r>
    <n v="522"/>
    <d v="2023-05-01T00:00:00"/>
    <s v="KPFI-IB-34367-03-05-2023"/>
    <d v="2023-05-03T00:00:00"/>
    <x v="0"/>
    <x v="0"/>
    <n v="300"/>
    <x v="0"/>
    <x v="0"/>
    <n v="5206.24"/>
    <n v="4.2766999999999999"/>
    <n v="0"/>
    <n v="0"/>
    <x v="2"/>
    <s v="BLANDED FABRIC CVC 60/40 - 300/MTRS"/>
    <n v="372091"/>
    <x v="0"/>
    <n v="120148"/>
    <x v="0"/>
    <n v="152716682"/>
    <d v="2025-04-25T00:00:00"/>
    <x v="0"/>
    <x v="0"/>
    <x v="0"/>
    <x v="0"/>
    <x v="0"/>
    <x v="0"/>
    <d v="2025-02-24T00:00:00"/>
    <x v="0"/>
    <x v="1"/>
    <x v="0"/>
    <x v="0"/>
    <x v="0"/>
    <x v="2"/>
    <n v="1240.3033333333333"/>
    <n v="400.49333333333334"/>
    <n v="0"/>
    <d v="2023-05-31T00:00:00"/>
    <x v="0"/>
  </r>
  <r>
    <n v="523"/>
    <d v="2023-05-01T00:00:00"/>
    <s v="KAPW-IB-129446-02-05-2023"/>
    <d v="2023-05-02T00:00:00"/>
    <x v="0"/>
    <x v="0"/>
    <n v="1000"/>
    <x v="0"/>
    <x v="0"/>
    <n v="3204.16"/>
    <n v="11.25"/>
    <n v="0"/>
    <n v="0"/>
    <x v="5"/>
    <s v="DYES (NOVACRON)"/>
    <n v="3263236"/>
    <x v="0"/>
    <n v="1248149"/>
    <x v="0"/>
    <n v="152716676"/>
    <d v="2025-04-28T00:00:00"/>
    <x v="0"/>
    <x v="0"/>
    <x v="0"/>
    <x v="0"/>
    <x v="0"/>
    <x v="0"/>
    <d v="2025-02-27T00:00:00"/>
    <x v="0"/>
    <x v="1"/>
    <x v="0"/>
    <x v="0"/>
    <x v="0"/>
    <x v="4"/>
    <n v="3263.2359999999999"/>
    <n v="1248.1489999999999"/>
    <n v="0"/>
    <d v="2023-05-31T00:00:00"/>
    <x v="0"/>
  </r>
  <r>
    <n v="524"/>
    <d v="2023-05-01T00:00:00"/>
    <s v="KAPW-IB-132481-08-05-2023"/>
    <d v="2023-05-08T00:00:00"/>
    <x v="0"/>
    <x v="0"/>
    <n v="3650"/>
    <x v="0"/>
    <x v="0"/>
    <s v="3204.1190 / 3204.1600"/>
    <s v="18.12 / 6.18 / 8.51"/>
    <n v="0"/>
    <n v="0"/>
    <x v="5"/>
    <s v="DYES (TERASIL / NOVACRON)"/>
    <n v="13904182"/>
    <x v="0"/>
    <n v="4691994"/>
    <x v="0"/>
    <n v="152716734"/>
    <d v="2025-05-05T00:00:00"/>
    <x v="0"/>
    <x v="0"/>
    <x v="0"/>
    <x v="0"/>
    <x v="0"/>
    <x v="0"/>
    <d v="2025-03-06T00:00:00"/>
    <x v="0"/>
    <x v="1"/>
    <x v="0"/>
    <x v="0"/>
    <x v="0"/>
    <x v="4"/>
    <n v="3809.3649315068492"/>
    <n v="1285.4778082191781"/>
    <n v="0"/>
    <d v="2023-05-31T00:00:00"/>
    <x v="0"/>
  </r>
  <r>
    <n v="525"/>
    <d v="2023-05-01T00:00:00"/>
    <s v="KAPE-IB-145570-05-05-2023"/>
    <d v="2023-05-05T00:00:00"/>
    <x v="0"/>
    <x v="0"/>
    <n v="7536"/>
    <x v="0"/>
    <x v="0"/>
    <n v="5402.33"/>
    <n v="4.6500000000000004"/>
    <n v="0"/>
    <n v="0"/>
    <x v="6"/>
    <s v="POLYESTER FILMAMENT YARN RTSS DT 150D/72F SD RW AA"/>
    <n v="10162802"/>
    <x v="0"/>
    <n v="3974651"/>
    <x v="0"/>
    <n v="152716684"/>
    <d v="2025-05-04T00:00:00"/>
    <x v="0"/>
    <x v="0"/>
    <x v="0"/>
    <x v="0"/>
    <x v="0"/>
    <x v="0"/>
    <d v="2025-03-05T00:00:00"/>
    <x v="0"/>
    <x v="1"/>
    <x v="0"/>
    <x v="0"/>
    <x v="0"/>
    <x v="3"/>
    <n v="1348.567144373673"/>
    <n v="527.42184182590233"/>
    <n v="0"/>
    <d v="2023-05-31T00:00:00"/>
    <x v="0"/>
  </r>
  <r>
    <n v="526"/>
    <d v="2023-05-01T00:00:00"/>
    <s v="KAPW-IB-132473-08-05-2023"/>
    <d v="2023-05-08T00:00:00"/>
    <x v="0"/>
    <x v="0"/>
    <n v="5000"/>
    <x v="0"/>
    <x v="0"/>
    <n v="3204.2"/>
    <n v="7.694"/>
    <n v="0"/>
    <n v="0"/>
    <x v="5"/>
    <s v="DYES (VEEBRIGHT EHT)"/>
    <n v="11154893"/>
    <x v="0"/>
    <n v="4798389"/>
    <x v="0"/>
    <n v="152716751"/>
    <d v="2025-05-08T00:00:00"/>
    <x v="0"/>
    <x v="0"/>
    <x v="0"/>
    <x v="0"/>
    <x v="0"/>
    <x v="0"/>
    <d v="2025-03-09T00:00:00"/>
    <x v="0"/>
    <x v="1"/>
    <x v="0"/>
    <x v="0"/>
    <x v="0"/>
    <x v="4"/>
    <n v="2230.9785999999999"/>
    <n v="959.67780000000005"/>
    <n v="0"/>
    <d v="2023-05-31T00:00:00"/>
    <x v="0"/>
  </r>
  <r>
    <n v="527"/>
    <d v="2023-05-01T00:00:00"/>
    <s v="KAPW-IB-131668-05-05-2023"/>
    <d v="2023-05-05T00:00:00"/>
    <x v="0"/>
    <x v="0"/>
    <n v="1800"/>
    <x v="0"/>
    <x v="0"/>
    <n v="3809.9110000000001"/>
    <n v="23.5504"/>
    <n v="0"/>
    <n v="0"/>
    <x v="12"/>
    <s v="CHEMICAL (RAROPRINT PH)"/>
    <n v="13649149"/>
    <x v="0"/>
    <n v="2617907"/>
    <x v="0"/>
    <n v="152716737"/>
    <d v="2025-05-05T00:00:00"/>
    <x v="0"/>
    <x v="0"/>
    <x v="0"/>
    <x v="0"/>
    <x v="0"/>
    <x v="0"/>
    <d v="2025-03-06T00:00:00"/>
    <x v="0"/>
    <x v="1"/>
    <x v="0"/>
    <x v="0"/>
    <x v="0"/>
    <x v="5"/>
    <n v="7582.8605555555559"/>
    <n v="1454.3927777777778"/>
    <n v="0"/>
    <d v="2023-05-31T00:00:00"/>
    <x v="0"/>
  </r>
  <r>
    <n v="528"/>
    <d v="2023-05-01T00:00:00"/>
    <s v="KPFI-IB-35047-08-05-2023"/>
    <d v="2023-05-08T00:00:00"/>
    <x v="0"/>
    <x v="0"/>
    <n v="50"/>
    <x v="0"/>
    <x v="0"/>
    <n v="3215.1990000000001"/>
    <n v="48.8"/>
    <n v="0"/>
    <n v="0"/>
    <x v="5"/>
    <s v="REPRINT LRW (PRINTING PASTE)"/>
    <n v="707511"/>
    <x v="0"/>
    <n v="349425"/>
    <x v="0"/>
    <n v="152716749"/>
    <d v="2025-05-07T00:00:00"/>
    <x v="0"/>
    <x v="0"/>
    <x v="0"/>
    <x v="0"/>
    <x v="0"/>
    <x v="0"/>
    <d v="2025-03-08T00:00:00"/>
    <x v="0"/>
    <x v="1"/>
    <x v="0"/>
    <x v="0"/>
    <x v="0"/>
    <x v="4"/>
    <n v="14150.22"/>
    <n v="6988.5"/>
    <n v="0"/>
    <d v="2023-05-31T00:00:00"/>
    <x v="0"/>
  </r>
  <r>
    <n v="529"/>
    <d v="2023-05-01T00:00:00"/>
    <s v="KAPS-IB-22072-11-05-2023"/>
    <d v="2023-05-11T00:00:00"/>
    <x v="0"/>
    <x v="0"/>
    <n v="48960"/>
    <x v="0"/>
    <x v="0"/>
    <n v="5402.33"/>
    <n v="1.2"/>
    <n v="0"/>
    <n v="0"/>
    <x v="6"/>
    <s v="100% POLYESTER TEXTURED YARN DTY 300D/96F HIM RW SD GRADE AA"/>
    <n v="17098861"/>
    <x v="0"/>
    <n v="6687330"/>
    <x v="0"/>
    <n v="152716757"/>
    <d v="2025-05-10T00:00:00"/>
    <x v="0"/>
    <x v="0"/>
    <x v="0"/>
    <x v="0"/>
    <x v="0"/>
    <x v="0"/>
    <d v="2025-03-11T00:00:00"/>
    <x v="0"/>
    <x v="1"/>
    <x v="0"/>
    <x v="0"/>
    <x v="0"/>
    <x v="3"/>
    <n v="349.24144199346404"/>
    <n v="136.58762254901961"/>
    <n v="0"/>
    <d v="2023-05-31T00:00:00"/>
    <x v="0"/>
  </r>
  <r>
    <n v="530"/>
    <d v="2023-05-01T00:00:00"/>
    <s v="KAPS-IB-21933-10-05-2023"/>
    <d v="2023-05-10T00:00:00"/>
    <x v="0"/>
    <x v="0"/>
    <n v="19300"/>
    <x v="0"/>
    <x v="0"/>
    <s v="3906.9090 / 3809.9190"/>
    <s v="3.20 / 1.55"/>
    <n v="0"/>
    <n v="0"/>
    <x v="12"/>
    <s v="Chemical (PERIPRINT / PERIGEN DLS)"/>
    <n v="16404066"/>
    <x v="0"/>
    <n v="5482676"/>
    <x v="0"/>
    <n v="152716755"/>
    <d v="2025-05-10T00:00:00"/>
    <x v="0"/>
    <x v="0"/>
    <x v="0"/>
    <x v="0"/>
    <x v="0"/>
    <x v="0"/>
    <d v="2025-03-11T00:00:00"/>
    <x v="0"/>
    <x v="1"/>
    <x v="0"/>
    <x v="0"/>
    <x v="0"/>
    <x v="5"/>
    <n v="849.95160621761659"/>
    <n v="284.07647668393781"/>
    <n v="0"/>
    <d v="2023-05-31T00:00:00"/>
    <x v="0"/>
  </r>
  <r>
    <n v="531"/>
    <d v="2023-05-01T00:00:00"/>
    <s v="KAPW-IB-133211-09-05-2023"/>
    <d v="2023-05-09T00:00:00"/>
    <x v="0"/>
    <x v="0"/>
    <n v="400"/>
    <x v="0"/>
    <x v="0"/>
    <n v="3402.9"/>
    <s v="6.45 / 4.30"/>
    <n v="0"/>
    <n v="0"/>
    <x v="12"/>
    <s v="Chemical LIQUID / POWDER (FABRIC TREATMENT)"/>
    <n v="622763"/>
    <x v="0"/>
    <n v="267888"/>
    <x v="0"/>
    <n v="152716756"/>
    <d v="2023-05-05T00:00:00"/>
    <x v="0"/>
    <x v="0"/>
    <x v="0"/>
    <x v="0"/>
    <x v="0"/>
    <x v="0"/>
    <d v="2023-03-06T00:00:00"/>
    <x v="0"/>
    <x v="1"/>
    <x v="0"/>
    <x v="0"/>
    <x v="0"/>
    <x v="5"/>
    <n v="1556.9075"/>
    <n v="669.72"/>
    <n v="0"/>
    <d v="2023-05-31T00:00:00"/>
    <x v="0"/>
  </r>
  <r>
    <n v="532"/>
    <d v="2023-05-01T00:00:00"/>
    <s v="KPAF-IB-45892-16-05-2023"/>
    <d v="2023-05-16T00:00:00"/>
    <x v="0"/>
    <x v="0"/>
    <n v="1200"/>
    <x v="0"/>
    <x v="0"/>
    <n v="3204.16"/>
    <s v="228.2725 / 63.2684"/>
    <n v="0"/>
    <n v="0"/>
    <x v="5"/>
    <s v="DYES (BEZATHREN)"/>
    <n v="55779616"/>
    <x v="0"/>
    <n v="21335033"/>
    <x v="0"/>
    <n v="152716761"/>
    <d v="2025-05-15T00:00:00"/>
    <x v="0"/>
    <x v="0"/>
    <x v="0"/>
    <x v="0"/>
    <x v="0"/>
    <x v="0"/>
    <d v="2025-03-16T00:00:00"/>
    <x v="0"/>
    <x v="1"/>
    <x v="0"/>
    <x v="0"/>
    <x v="0"/>
    <x v="4"/>
    <n v="46483.013333333336"/>
    <n v="17779.194166666668"/>
    <n v="0"/>
    <d v="2023-05-31T00:00:00"/>
    <x v="0"/>
  </r>
  <r>
    <n v="533"/>
    <d v="2023-05-01T00:00:00"/>
    <s v="KAPW-IB-135626-15-05-2023"/>
    <d v="2023-05-15T00:00:00"/>
    <x v="0"/>
    <x v="0"/>
    <n v="1000"/>
    <x v="0"/>
    <x v="0"/>
    <n v="3707.1"/>
    <n v="9.0749999999999993"/>
    <n v="0"/>
    <n v="0"/>
    <x v="12"/>
    <s v="Chemical (EMULSION AQUASOL)"/>
    <n v="2693443"/>
    <x v="0"/>
    <n v="516603"/>
    <x v="0"/>
    <n v="152716764"/>
    <d v="2025-05-14T00:00:00"/>
    <x v="0"/>
    <x v="0"/>
    <x v="0"/>
    <x v="0"/>
    <x v="0"/>
    <x v="0"/>
    <d v="2025-03-15T00:00:00"/>
    <x v="0"/>
    <x v="1"/>
    <x v="0"/>
    <x v="0"/>
    <x v="0"/>
    <x v="5"/>
    <n v="2693.4430000000002"/>
    <n v="516.60299999999995"/>
    <n v="0"/>
    <d v="2023-05-31T00:00:00"/>
    <x v="0"/>
  </r>
  <r>
    <n v="534"/>
    <d v="2023-05-01T00:00:00"/>
    <s v="KAPW-IB-136592-17-05-2023"/>
    <d v="2023-05-17T00:00:00"/>
    <x v="0"/>
    <x v="0"/>
    <n v="250"/>
    <x v="0"/>
    <x v="0"/>
    <n v="3204.16"/>
    <n v="4.04"/>
    <n v="0"/>
    <n v="0"/>
    <x v="5"/>
    <s v="DYES (SETAZOL BLACK SDN)"/>
    <n v="294099"/>
    <x v="0"/>
    <n v="112490"/>
    <x v="0"/>
    <n v="152716763"/>
    <d v="2025-05-16T00:00:00"/>
    <x v="0"/>
    <x v="0"/>
    <x v="0"/>
    <x v="0"/>
    <x v="0"/>
    <x v="0"/>
    <d v="2025-03-17T00:00:00"/>
    <x v="0"/>
    <x v="1"/>
    <x v="0"/>
    <x v="0"/>
    <x v="0"/>
    <x v="4"/>
    <n v="1176.396"/>
    <n v="449.96"/>
    <n v="0"/>
    <d v="2023-05-31T00:00:00"/>
    <x v="0"/>
  </r>
  <r>
    <n v="535"/>
    <d v="2023-05-01T00:00:00"/>
    <s v="KAPS-IB-25629-22-05-2023"/>
    <d v="2023-05-22T00:00:00"/>
    <x v="1"/>
    <x v="0"/>
    <n v="100036"/>
    <x v="0"/>
    <x v="0"/>
    <n v="4810.29"/>
    <n v="0.86499999999999999"/>
    <n v="0"/>
    <n v="0"/>
    <x v="9"/>
    <s v="2/S COATED ART BOARD "/>
    <n v="26276011"/>
    <x v="0"/>
    <n v="11674957"/>
    <x v="0"/>
    <n v="152716769"/>
    <d v="2025-05-21T00:00:00"/>
    <x v="0"/>
    <x v="0"/>
    <x v="0"/>
    <x v="0"/>
    <x v="0"/>
    <x v="0"/>
    <d v="2025-03-22T00:00:00"/>
    <x v="0"/>
    <x v="1"/>
    <x v="0"/>
    <x v="0"/>
    <x v="0"/>
    <x v="6"/>
    <n v="262.66555040185534"/>
    <n v="116.70755528009916"/>
    <n v="0"/>
    <d v="2023-05-06T00:00:00"/>
    <x v="0"/>
  </r>
  <r>
    <n v="536"/>
    <d v="2023-05-01T00:00:00"/>
    <s v="KAPE-IB-149372-22-05-2023"/>
    <d v="2023-05-22T00:00:00"/>
    <x v="0"/>
    <x v="0"/>
    <n v="1008"/>
    <x v="0"/>
    <x v="0"/>
    <n v="3707.1"/>
    <n v="6.35"/>
    <n v="0"/>
    <n v="0"/>
    <x v="12"/>
    <s v="CHEMICAL (ADHESIVE AGENT FOR PRINTING)"/>
    <n v="1868077"/>
    <x v="0"/>
    <n v="358297"/>
    <x v="0"/>
    <n v="152721318"/>
    <d v="2025-05-20T00:00:00"/>
    <x v="0"/>
    <x v="0"/>
    <x v="0"/>
    <x v="0"/>
    <x v="0"/>
    <x v="0"/>
    <d v="2025-03-21T00:00:00"/>
    <x v="0"/>
    <x v="1"/>
    <x v="0"/>
    <x v="0"/>
    <x v="0"/>
    <x v="5"/>
    <n v="1853.250992063492"/>
    <n v="355.45337301587301"/>
    <n v="0"/>
    <d v="2023-05-31T00:00:00"/>
    <x v="0"/>
  </r>
  <r>
    <n v="537"/>
    <d v="2023-05-01T00:00:00"/>
    <s v="KAPS-IB-26207-24-05-2023"/>
    <d v="2023-05-24T00:00:00"/>
    <x v="0"/>
    <x v="0"/>
    <n v="18720"/>
    <x v="0"/>
    <x v="0"/>
    <n v="3906.9029999999998"/>
    <n v="2.1"/>
    <n v="0"/>
    <n v="0"/>
    <x v="12"/>
    <s v="CHEMICAL (FLOPRINT)"/>
    <n v="11507318"/>
    <x v="0"/>
    <n v="2618537"/>
    <x v="0"/>
    <n v="152716772"/>
    <d v="2025-05-24T00:00:00"/>
    <x v="0"/>
    <x v="0"/>
    <x v="0"/>
    <x v="0"/>
    <x v="0"/>
    <x v="0"/>
    <d v="2025-03-25T00:00:00"/>
    <x v="0"/>
    <x v="1"/>
    <x v="0"/>
    <x v="0"/>
    <x v="0"/>
    <x v="5"/>
    <n v="614.70715811965817"/>
    <n v="139.87911324786324"/>
    <n v="0"/>
    <d v="2023-05-31T00:00:00"/>
    <x v="0"/>
  </r>
  <r>
    <n v="538"/>
    <d v="2023-05-01T00:00:00"/>
    <s v="KAPS-IB-26200-24-05-2023"/>
    <d v="2023-05-24T00:00:00"/>
    <x v="0"/>
    <x v="0"/>
    <n v="18720"/>
    <x v="0"/>
    <x v="0"/>
    <n v="3906.9029999999998"/>
    <n v="2.1"/>
    <n v="0"/>
    <n v="0"/>
    <x v="12"/>
    <s v="CHEMICAL (FLOPRINT)"/>
    <n v="11507318"/>
    <x v="0"/>
    <n v="2618537"/>
    <x v="0"/>
    <n v="152716771"/>
    <d v="2025-05-24T00:00:00"/>
    <x v="0"/>
    <x v="0"/>
    <x v="0"/>
    <x v="0"/>
    <x v="0"/>
    <x v="0"/>
    <d v="2025-03-25T00:00:00"/>
    <x v="0"/>
    <x v="1"/>
    <x v="0"/>
    <x v="0"/>
    <x v="0"/>
    <x v="5"/>
    <n v="614.70715811965817"/>
    <n v="139.87911324786324"/>
    <n v="0"/>
    <d v="2023-05-31T00:00:00"/>
    <x v="0"/>
  </r>
  <r>
    <n v="539"/>
    <d v="2023-06-01T00:00:00"/>
    <s v="KAPW-IB-140973-29-05-2023"/>
    <d v="2023-05-29T00:00:00"/>
    <x v="0"/>
    <x v="0"/>
    <n v="25600"/>
    <x v="0"/>
    <x v="0"/>
    <n v="3910"/>
    <n v="1.7"/>
    <n v="0"/>
    <n v="0"/>
    <x v="12"/>
    <s v="CHEMICAL (SILICONE HT)"/>
    <n v="12707998"/>
    <x v="0"/>
    <n v="2437394"/>
    <x v="0"/>
    <n v="152716781"/>
    <d v="2025-05-29T00:00:00"/>
    <x v="0"/>
    <x v="0"/>
    <x v="0"/>
    <x v="0"/>
    <x v="0"/>
    <x v="0"/>
    <d v="2025-03-30T00:00:00"/>
    <x v="0"/>
    <x v="1"/>
    <x v="0"/>
    <x v="0"/>
    <x v="0"/>
    <x v="5"/>
    <n v="496.40617187499998"/>
    <n v="95.210703124999995"/>
    <n v="0"/>
    <d v="2023-07-01T00:00:00"/>
    <x v="0"/>
  </r>
  <r>
    <n v="540"/>
    <d v="2023-06-01T00:00:00"/>
    <s v="KAPS-IB-27445-26-05-2023"/>
    <d v="2023-05-26T00:00:00"/>
    <x v="1"/>
    <x v="0"/>
    <n v="8100"/>
    <x v="0"/>
    <x v="0"/>
    <n v="5901.9089999999997"/>
    <n v="2.8060999999999998"/>
    <n v="0"/>
    <n v="0"/>
    <x v="9"/>
    <s v="100% POLYESTER NON WOVEN INTERLINING 52 GSM WIDTH:32&quot; COLOR WHITE (180000/MTRS)"/>
    <n v="6668372"/>
    <x v="0"/>
    <n v="2153204"/>
    <x v="0"/>
    <n v="152716776"/>
    <d v="2025-05-25T00:00:00"/>
    <x v="0"/>
    <x v="0"/>
    <x v="0"/>
    <x v="0"/>
    <x v="0"/>
    <x v="0"/>
    <d v="2025-03-26T00:00:00"/>
    <x v="0"/>
    <x v="1"/>
    <x v="0"/>
    <x v="0"/>
    <x v="0"/>
    <x v="6"/>
    <n v="823.2558024691358"/>
    <n v="265.82765432098768"/>
    <n v="0"/>
    <d v="2023-06-06T00:00:00"/>
    <x v="0"/>
  </r>
  <r>
    <n v="541"/>
    <d v="2023-06-01T00:00:00"/>
    <s v="KAPW-IB-142009-31-05-2023"/>
    <d v="2023-05-03T00:00:00"/>
    <x v="0"/>
    <x v="0"/>
    <n v="26000"/>
    <x v="0"/>
    <x v="0"/>
    <n v="3402.9"/>
    <s v="15.00 / 11.70"/>
    <n v="0"/>
    <n v="0"/>
    <x v="12"/>
    <s v="CHEMICAL (DYMAFIX / WETMATIC)"/>
    <n v="12957518"/>
    <x v="0"/>
    <n v="5573806"/>
    <x v="0"/>
    <n v="52716890"/>
    <d v="2025-05-30T00:00:00"/>
    <x v="0"/>
    <x v="0"/>
    <x v="0"/>
    <x v="0"/>
    <x v="0"/>
    <x v="0"/>
    <d v="2025-03-31T00:00:00"/>
    <x v="0"/>
    <x v="1"/>
    <x v="0"/>
    <x v="0"/>
    <x v="0"/>
    <x v="5"/>
    <n v="498.36607692307695"/>
    <n v="214.37715384615385"/>
    <n v="0"/>
    <d v="2023-07-01T00:00:00"/>
    <x v="0"/>
  </r>
  <r>
    <n v="542"/>
    <d v="2023-06-01T00:00:00"/>
    <s v="KAPS-IB-29015-01-06-2023"/>
    <d v="2023-06-01T00:00:00"/>
    <x v="0"/>
    <x v="0"/>
    <n v="18720"/>
    <x v="0"/>
    <x v="0"/>
    <n v="3906.9029999999998"/>
    <n v="2.1"/>
    <n v="0"/>
    <n v="0"/>
    <x v="12"/>
    <s v="CHEMICAL (FLOPRINT)"/>
    <n v="11461201"/>
    <x v="0"/>
    <n v="2608042"/>
    <x v="0"/>
    <n v="152716891"/>
    <d v="2025-05-30T00:00:00"/>
    <x v="0"/>
    <x v="0"/>
    <x v="0"/>
    <x v="0"/>
    <x v="0"/>
    <x v="0"/>
    <d v="2025-03-31T00:00:00"/>
    <x v="0"/>
    <x v="1"/>
    <x v="0"/>
    <x v="0"/>
    <x v="0"/>
    <x v="5"/>
    <n v="612.24364316239314"/>
    <n v="139.3184829059829"/>
    <n v="0"/>
    <d v="2023-07-01T00:00:00"/>
    <x v="0"/>
  </r>
  <r>
    <n v="543"/>
    <d v="2023-06-01T00:00:00"/>
    <s v="KAPE-IB-153269-07-06-2023"/>
    <d v="2023-06-07T00:00:00"/>
    <x v="0"/>
    <x v="0"/>
    <n v="3053.4"/>
    <x v="0"/>
    <x v="0"/>
    <n v="5503.2089999999998"/>
    <n v="3.2456"/>
    <n v="0"/>
    <n v="0"/>
    <x v="6"/>
    <s v="LENZING LYOCELL RB BRIGHT RAW WHITE"/>
    <n v="2898339"/>
    <x v="0"/>
    <n v="935867"/>
    <x v="0"/>
    <n v="152716899"/>
    <d v="2025-06-05T00:00:00"/>
    <x v="0"/>
    <x v="0"/>
    <x v="0"/>
    <x v="0"/>
    <x v="0"/>
    <x v="0"/>
    <d v="2025-04-06T00:00:00"/>
    <x v="0"/>
    <x v="1"/>
    <x v="0"/>
    <x v="0"/>
    <x v="0"/>
    <x v="3"/>
    <n v="949.21693849479266"/>
    <n v="306.49996724962335"/>
    <n v="0"/>
    <d v="2023-07-01T00:00:00"/>
    <x v="0"/>
  </r>
  <r>
    <n v="544"/>
    <d v="2023-06-01T00:00:00"/>
    <s v="KAPW-IB-143970-06-06-2023"/>
    <d v="2023-06-06T00:00:00"/>
    <x v="0"/>
    <x v="0"/>
    <n v="3950"/>
    <x v="0"/>
    <x v="0"/>
    <s v="3204.1190 / 3204.1600"/>
    <s v="29.5 / 11.55 / 9.6 / 16.4 / 11.15 / 7.15"/>
    <n v="0"/>
    <n v="0"/>
    <x v="5"/>
    <s v="DYES (SYNOLON / SYNOZOL)"/>
    <n v="17345635"/>
    <x v="0"/>
    <n v="5860702"/>
    <x v="0"/>
    <n v="152716894"/>
    <d v="2025-06-05T00:00:00"/>
    <x v="0"/>
    <x v="0"/>
    <x v="0"/>
    <x v="0"/>
    <x v="0"/>
    <x v="0"/>
    <d v="2025-04-06T00:00:00"/>
    <x v="0"/>
    <x v="1"/>
    <x v="0"/>
    <x v="0"/>
    <x v="0"/>
    <x v="4"/>
    <n v="4391.3"/>
    <n v="1483.7220253164558"/>
    <n v="0"/>
    <d v="2023-07-01T00:00:00"/>
    <x v="0"/>
  </r>
  <r>
    <n v="545"/>
    <d v="2023-06-01T00:00:00"/>
    <s v="KAPW-IB-146777-12-06-2023"/>
    <d v="2023-06-12T00:00:00"/>
    <x v="1"/>
    <x v="0"/>
    <n v="7525"/>
    <x v="0"/>
    <x v="0"/>
    <n v="5807.1019999999999"/>
    <n v="3.887"/>
    <n v="0"/>
    <n v="0"/>
    <x v="9"/>
    <s v="RIBBONS"/>
    <n v="8573832"/>
    <x v="0"/>
    <n v="2768474"/>
    <x v="0"/>
    <n v="152716787"/>
    <d v="2025-06-12T00:00:00"/>
    <x v="0"/>
    <x v="0"/>
    <x v="0"/>
    <x v="0"/>
    <x v="0"/>
    <x v="0"/>
    <d v="2025-04-13T00:00:00"/>
    <x v="0"/>
    <x v="1"/>
    <x v="0"/>
    <x v="0"/>
    <x v="0"/>
    <x v="6"/>
    <n v="1139.3796677740863"/>
    <n v="367.90352159468438"/>
    <n v="0"/>
    <d v="2023-06-06T00:00:00"/>
    <x v="0"/>
  </r>
  <r>
    <n v="546"/>
    <d v="2023-06-01T00:00:00"/>
    <s v="KAPE-IB-155829-20-06-2023"/>
    <d v="2023-06-20T00:00:00"/>
    <x v="0"/>
    <x v="0"/>
    <n v="12000"/>
    <x v="0"/>
    <x v="0"/>
    <n v="3204.16"/>
    <s v="3.10 / 4.30 / 6.00 / 5.10"/>
    <n v="0"/>
    <n v="0"/>
    <x v="5"/>
    <s v="DYES (LIYUANSOL)"/>
    <n v="13133354"/>
    <x v="0"/>
    <n v="5023352"/>
    <x v="0"/>
    <n v="152716914"/>
    <d v="2025-06-16T00:00:00"/>
    <x v="0"/>
    <x v="0"/>
    <x v="0"/>
    <x v="0"/>
    <x v="0"/>
    <x v="0"/>
    <d v="2025-04-17T00:00:00"/>
    <x v="0"/>
    <x v="1"/>
    <x v="0"/>
    <x v="0"/>
    <x v="0"/>
    <x v="4"/>
    <n v="1094.4461666666666"/>
    <n v="418.61266666666666"/>
    <n v="0"/>
    <d v="2023-07-01T00:00:00"/>
    <x v="0"/>
  </r>
  <r>
    <n v="547"/>
    <d v="2023-06-01T00:00:00"/>
    <s v="KPPI-IB-63606-19-06-2023"/>
    <d v="2023-06-19T00:00:00"/>
    <x v="0"/>
    <x v="0"/>
    <n v="19911"/>
    <x v="0"/>
    <x v="0"/>
    <n v="5201.009"/>
    <n v="2.0062000000000002"/>
    <n v="0"/>
    <n v="0"/>
    <x v="0"/>
    <s v="Raw Cotton"/>
    <n v="11725338"/>
    <x v="0"/>
    <n v="2248920"/>
    <x v="0"/>
    <n v="152716917"/>
    <d v="2025-06-16T00:00:00"/>
    <x v="0"/>
    <x v="0"/>
    <x v="0"/>
    <x v="0"/>
    <x v="0"/>
    <x v="0"/>
    <d v="2025-04-17T00:00:00"/>
    <x v="0"/>
    <x v="1"/>
    <x v="0"/>
    <x v="0"/>
    <x v="0"/>
    <x v="0"/>
    <n v="588.88744914871177"/>
    <n v="112.94862136507459"/>
    <n v="0"/>
    <d v="2023-07-01T00:00:00"/>
    <x v="0"/>
  </r>
  <r>
    <n v="548"/>
    <d v="2023-06-01T00:00:00"/>
    <s v="KPPI-IB-63605-19-06-2023"/>
    <d v="2023-06-19T00:00:00"/>
    <x v="0"/>
    <x v="0"/>
    <n v="49360"/>
    <x v="0"/>
    <x v="0"/>
    <n v="5201.009"/>
    <n v="2.0061"/>
    <n v="0"/>
    <n v="0"/>
    <x v="0"/>
    <s v="Raw Cotton"/>
    <n v="29066036"/>
    <x v="0"/>
    <n v="5574865"/>
    <x v="0"/>
    <n v="152716916"/>
    <d v="2025-06-16T00:00:00"/>
    <x v="0"/>
    <x v="0"/>
    <x v="0"/>
    <x v="0"/>
    <x v="0"/>
    <x v="0"/>
    <d v="2025-04-17T00:00:00"/>
    <x v="0"/>
    <x v="1"/>
    <x v="0"/>
    <x v="0"/>
    <x v="0"/>
    <x v="0"/>
    <n v="588.85810372771471"/>
    <n v="112.94297001620745"/>
    <n v="0"/>
    <d v="2023-07-01T00:00:00"/>
    <x v="0"/>
  </r>
  <r>
    <n v="549"/>
    <d v="2023-06-01T00:00:00"/>
    <s v="KPPI-IB-63603-19-06-2023"/>
    <d v="2023-06-19T00:00:00"/>
    <x v="0"/>
    <x v="0"/>
    <n v="23993"/>
    <x v="0"/>
    <x v="0"/>
    <n v="5201.009"/>
    <n v="2.0062000000000002"/>
    <n v="0"/>
    <n v="0"/>
    <x v="0"/>
    <s v="Raw Cotton"/>
    <n v="14129177"/>
    <x v="0"/>
    <n v="2709976"/>
    <x v="0"/>
    <n v="152716915"/>
    <d v="2025-06-16T00:00:00"/>
    <x v="0"/>
    <x v="0"/>
    <x v="0"/>
    <x v="0"/>
    <x v="0"/>
    <x v="0"/>
    <d v="2025-04-17T00:00:00"/>
    <x v="0"/>
    <x v="1"/>
    <x v="0"/>
    <x v="0"/>
    <x v="0"/>
    <x v="0"/>
    <n v="588.88746717792685"/>
    <n v="112.94861001125328"/>
    <n v="0"/>
    <d v="2023-07-01T00:00:00"/>
    <x v="0"/>
  </r>
  <r>
    <n v="550"/>
    <d v="2023-06-01T00:00:00"/>
    <s v="KPPI-IB-63604-19-06-2023"/>
    <d v="2023-06-19T00:00:00"/>
    <x v="0"/>
    <x v="0"/>
    <n v="287180.09999999998"/>
    <x v="0"/>
    <x v="0"/>
    <n v="5201.009"/>
    <n v="2.0061"/>
    <n v="0"/>
    <n v="0"/>
    <x v="0"/>
    <s v="Raw Cotton"/>
    <n v="169108330"/>
    <x v="0"/>
    <n v="32434977"/>
    <x v="0"/>
    <n v="152716919"/>
    <d v="2025-06-16T00:00:00"/>
    <x v="0"/>
    <x v="0"/>
    <x v="0"/>
    <x v="0"/>
    <x v="0"/>
    <x v="0"/>
    <d v="2025-04-17T00:00:00"/>
    <x v="0"/>
    <x v="1"/>
    <x v="0"/>
    <x v="0"/>
    <x v="0"/>
    <x v="0"/>
    <n v="588.85810681171859"/>
    <n v="112.94298246988564"/>
    <n v="0"/>
    <d v="2023-07-01T00:00:00"/>
    <x v="0"/>
  </r>
  <r>
    <n v="551"/>
    <d v="2023-06-01T00:00:00"/>
    <s v="KAPW-IB-149837-21-06-2023"/>
    <d v="2023-06-21T00:00:00"/>
    <x v="0"/>
    <x v="0"/>
    <n v="1770"/>
    <x v="0"/>
    <x v="0"/>
    <n v="5407.52"/>
    <n v="14.8188"/>
    <n v="0"/>
    <n v="0"/>
    <x v="11"/>
    <s v="100% POLYMIDE FABRIC CORDURA 500X500 1/1 57 CUTTABLE WIDTH:210 GSM ECO BIONIC FINISH (5702/MTRS)"/>
    <n v="7700516"/>
    <x v="0"/>
    <n v="2945356"/>
    <x v="0"/>
    <n v="152716920"/>
    <d v="2025-06-19T00:00:00"/>
    <x v="0"/>
    <x v="0"/>
    <x v="0"/>
    <x v="0"/>
    <x v="0"/>
    <x v="0"/>
    <d v="2025-04-20T00:00:00"/>
    <x v="0"/>
    <x v="1"/>
    <x v="0"/>
    <x v="0"/>
    <x v="0"/>
    <x v="2"/>
    <n v="4350.5740112994354"/>
    <n v="1664.0429378531073"/>
    <n v="0"/>
    <d v="2023-07-01T00:00:00"/>
    <x v="0"/>
  </r>
  <r>
    <n v="552"/>
    <d v="2023-06-01T00:00:00"/>
    <s v="KAPS-IB-36381-26-06-2023"/>
    <d v="2023-06-26T00:00:00"/>
    <x v="0"/>
    <x v="0"/>
    <n v="47580"/>
    <x v="0"/>
    <x v="0"/>
    <n v="5402.33"/>
    <s v="1.30 / 1.43"/>
    <n v="0"/>
    <n v="0"/>
    <x v="6"/>
    <s v="100% POLYESTER YARN DTY 300D/96F HIM RW SD GRADE AA + 00% POLYESTER YARN DTY 100D/48F"/>
    <n v="19004640"/>
    <x v="0"/>
    <n v="7069688"/>
    <x v="0"/>
    <n v="152716797"/>
    <d v="2025-06-23T00:00:00"/>
    <x v="0"/>
    <x v="0"/>
    <x v="0"/>
    <x v="0"/>
    <x v="0"/>
    <x v="0"/>
    <d v="2025-04-24T00:00:00"/>
    <x v="0"/>
    <x v="1"/>
    <x v="0"/>
    <x v="0"/>
    <x v="0"/>
    <x v="3"/>
    <n v="399.42496847414878"/>
    <n v="148.58528793610762"/>
    <n v="0"/>
    <d v="2023-07-01T00:00:00"/>
    <x v="0"/>
  </r>
  <r>
    <n v="553"/>
    <d v="2023-06-01T00:00:00"/>
    <s v="KAPE-IB-156608-23-06-2023"/>
    <d v="2023-06-26T00:00:00"/>
    <x v="0"/>
    <x v="0"/>
    <n v="102000"/>
    <x v="0"/>
    <x v="0"/>
    <n v="2847"/>
    <n v="0.49"/>
    <n v="0"/>
    <n v="0"/>
    <x v="12"/>
    <s v="HYDROGEN PEROXIDE 50%"/>
    <n v="14655523"/>
    <x v="0"/>
    <n v="6986259"/>
    <x v="0"/>
    <n v="152716791"/>
    <d v="2025-06-21T00:00:00"/>
    <x v="0"/>
    <x v="0"/>
    <x v="0"/>
    <x v="0"/>
    <x v="0"/>
    <x v="0"/>
    <d v="2025-04-22T00:00:00"/>
    <x v="0"/>
    <x v="1"/>
    <x v="0"/>
    <x v="0"/>
    <x v="0"/>
    <x v="5"/>
    <n v="143.68159803921569"/>
    <n v="68.492735294117651"/>
    <n v="0"/>
    <d v="2023-07-01T00:00:00"/>
    <x v="0"/>
  </r>
  <r>
    <n v="554"/>
    <d v="2023-06-01T00:00:00"/>
    <s v="KAPS-IB-34263-20-06-2023"/>
    <d v="2023-06-20T00:00:00"/>
    <x v="0"/>
    <x v="0"/>
    <n v="19720"/>
    <x v="0"/>
    <x v="0"/>
    <n v="3906.9029999999998"/>
    <n v="2.4"/>
    <n v="0"/>
    <n v="0"/>
    <x v="12"/>
    <s v="CHEMICAL ACRYLIC POLYMER EMULSION PRINT RT"/>
    <n v="13889953"/>
    <x v="0"/>
    <n v="3160714"/>
    <x v="0"/>
    <n v="152716932"/>
    <d v="2025-06-20T00:00:00"/>
    <x v="0"/>
    <x v="0"/>
    <x v="0"/>
    <x v="0"/>
    <x v="0"/>
    <x v="0"/>
    <d v="2025-04-21T00:00:00"/>
    <x v="0"/>
    <x v="1"/>
    <x v="0"/>
    <x v="0"/>
    <x v="0"/>
    <x v="5"/>
    <n v="704.3586713995943"/>
    <n v="160.27961460446247"/>
    <n v="0"/>
    <d v="2023-07-01T00:00:00"/>
    <x v="0"/>
  </r>
  <r>
    <n v="555"/>
    <d v="2023-06-01T00:00:00"/>
    <s v="KAPW-IB-143982-06-06-2023"/>
    <d v="2023-06-06T00:00:00"/>
    <x v="0"/>
    <x v="0"/>
    <n v="102000"/>
    <x v="0"/>
    <x v="0"/>
    <n v="2847"/>
    <n v="0.49"/>
    <n v="0"/>
    <n v="0"/>
    <x v="12"/>
    <s v="HYDROGEN PEROXIDE 50%"/>
    <n v="14591792"/>
    <x v="0"/>
    <n v="6955878"/>
    <x v="0"/>
    <n v="152716895"/>
    <d v="2025-06-05T00:00:00"/>
    <x v="0"/>
    <x v="0"/>
    <x v="0"/>
    <x v="0"/>
    <x v="0"/>
    <x v="0"/>
    <d v="2025-04-06T00:00:00"/>
    <x v="0"/>
    <x v="1"/>
    <x v="0"/>
    <x v="0"/>
    <x v="0"/>
    <x v="5"/>
    <n v="143.0567843137255"/>
    <n v="68.194882352941178"/>
    <n v="0"/>
    <d v="2023-07-01T00:00:00"/>
    <x v="0"/>
  </r>
  <r>
    <n v="556"/>
    <d v="2023-07-11T00:00:00"/>
    <s v="KPAF-IB-650-05-07-2023"/>
    <d v="2023-07-05T00:00:00"/>
    <x v="0"/>
    <x v="0"/>
    <n v="300"/>
    <x v="0"/>
    <x v="0"/>
    <n v="5407.52"/>
    <s v="3.6332 / 3.4501"/>
    <n v="0"/>
    <n v="0"/>
    <x v="11"/>
    <s v="100% POLYESTER FABRIC "/>
    <n v="310415"/>
    <x v="0"/>
    <n v="118729"/>
    <x v="0"/>
    <n v="152716841"/>
    <d v="2025-07-04T00:00:00"/>
    <x v="0"/>
    <x v="0"/>
    <x v="0"/>
    <x v="0"/>
    <x v="0"/>
    <x v="0"/>
    <d v="2025-05-05T00:00:00"/>
    <x v="0"/>
    <x v="1"/>
    <x v="0"/>
    <x v="0"/>
    <x v="0"/>
    <x v="2"/>
    <n v="1034.7166666666667"/>
    <n v="395.76333333333332"/>
    <n v="0"/>
    <d v="2023-08-10T00:00:00"/>
    <x v="0"/>
  </r>
  <r>
    <n v="557"/>
    <d v="2023-07-06T00:00:00"/>
    <s v="KAPS-IB-37294-27-06-2023"/>
    <d v="2023-06-27T00:00:00"/>
    <x v="0"/>
    <x v="0"/>
    <n v="37440"/>
    <x v="0"/>
    <x v="0"/>
    <n v="3906.904"/>
    <n v="2.7"/>
    <n v="0"/>
    <n v="0"/>
    <x v="12"/>
    <s v="CHEMICAL (FLOPRINT)"/>
    <n v="29621182"/>
    <x v="0"/>
    <n v="7254228"/>
    <x v="0"/>
    <n v="152716806"/>
    <d v="2025-06-26T00:00:00"/>
    <x v="0"/>
    <x v="0"/>
    <x v="0"/>
    <x v="0"/>
    <x v="0"/>
    <x v="0"/>
    <d v="2025-04-27T00:00:00"/>
    <x v="0"/>
    <x v="1"/>
    <x v="0"/>
    <x v="0"/>
    <x v="0"/>
    <x v="5"/>
    <n v="791.16404914529915"/>
    <n v="193.75608974358974"/>
    <n v="0"/>
    <d v="2023-08-05T00:00:00"/>
    <x v="0"/>
  </r>
  <r>
    <n v="558"/>
    <d v="2023-07-06T00:00:00"/>
    <s v="KAPE-IB-159-04-07-2023"/>
    <d v="2023-07-04T00:00:00"/>
    <x v="0"/>
    <x v="0"/>
    <n v="12000"/>
    <x v="0"/>
    <x v="0"/>
    <n v="3204.16"/>
    <s v="3.10 / 4.20 / 6.0 / 4.80"/>
    <n v="0"/>
    <n v="0"/>
    <x v="5"/>
    <s v="DYES LIYUANSOL"/>
    <n v="14131012"/>
    <x v="0"/>
    <n v="5404943"/>
    <x v="0"/>
    <n v="152716805"/>
    <d v="2025-06-27T00:00:00"/>
    <x v="0"/>
    <x v="0"/>
    <x v="0"/>
    <x v="0"/>
    <x v="0"/>
    <x v="0"/>
    <d v="2025-04-28T00:00:00"/>
    <x v="0"/>
    <x v="1"/>
    <x v="0"/>
    <x v="0"/>
    <x v="0"/>
    <x v="4"/>
    <n v="1177.5843333333332"/>
    <n v="450.41191666666668"/>
    <n v="0"/>
    <d v="2023-08-05T00:00:00"/>
    <x v="0"/>
  </r>
  <r>
    <n v="559"/>
    <d v="2023-07-06T00:00:00"/>
    <s v="KPAF-IB-670-05-07-2023"/>
    <d v="2023-07-05T00:00:00"/>
    <x v="0"/>
    <x v="0"/>
    <n v="90"/>
    <x v="0"/>
    <x v="0"/>
    <n v="5509.99"/>
    <n v="17.6889"/>
    <n v="0"/>
    <n v="0"/>
    <x v="3"/>
    <s v="100% LINEN YARN WET SPIN NM20/1 BLEACHED LONG FIBRE HARD CONE"/>
    <n v="465114"/>
    <x v="0"/>
    <n v="150185"/>
    <x v="0"/>
    <n v="152716843"/>
    <d v="2025-07-03T00:00:00"/>
    <x v="0"/>
    <x v="0"/>
    <x v="0"/>
    <x v="0"/>
    <x v="0"/>
    <x v="0"/>
    <d v="2025-05-04T00:00:00"/>
    <x v="0"/>
    <x v="1"/>
    <x v="0"/>
    <x v="0"/>
    <x v="0"/>
    <x v="3"/>
    <n v="5167.9333333333334"/>
    <n v="1668.7222222222222"/>
    <n v="0"/>
    <d v="2023-08-05T00:00:00"/>
    <x v="0"/>
  </r>
  <r>
    <n v="560"/>
    <d v="2023-07-11T00:00:00"/>
    <s v="KAPE-IB-167-04-07-2023"/>
    <d v="2023-07-04T00:00:00"/>
    <x v="0"/>
    <x v="0"/>
    <n v="4200"/>
    <x v="0"/>
    <x v="0"/>
    <s v="3402.9000 / 3809.9190"/>
    <s v="4.85 / 3.85"/>
    <n v="0"/>
    <n v="0"/>
    <x v="12"/>
    <s v="Chemical (TILASOL / ANTISCHIUMA NEOPAT NT)"/>
    <n v="5262886"/>
    <x v="0"/>
    <n v="2134876"/>
    <x v="0"/>
    <n v="152716844"/>
    <d v="2025-07-03T00:00:00"/>
    <x v="0"/>
    <x v="0"/>
    <x v="0"/>
    <x v="0"/>
    <x v="0"/>
    <x v="0"/>
    <d v="2025-05-04T00:00:00"/>
    <x v="0"/>
    <x v="1"/>
    <x v="0"/>
    <x v="0"/>
    <x v="0"/>
    <x v="5"/>
    <n v="1253.0680952380953"/>
    <n v="508.30380952380955"/>
    <n v="0"/>
    <d v="2023-08-10T00:00:00"/>
    <x v="0"/>
  </r>
  <r>
    <n v="561"/>
    <d v="2023-07-11T00:00:00"/>
    <s v="KPAF-IB-115-03-07-2023"/>
    <d v="2023-07-03T00:00:00"/>
    <x v="0"/>
    <x v="0"/>
    <n v="3"/>
    <x v="0"/>
    <x v="0"/>
    <n v="3506.9189999999999"/>
    <n v="247.97"/>
    <n v="0"/>
    <n v="0"/>
    <x v="12"/>
    <s v="Chemical Glue Epox"/>
    <n v="238488"/>
    <x v="0"/>
    <n v="102949"/>
    <x v="0"/>
    <n v="152716845"/>
    <d v="2024-01-22T00:00:00"/>
    <x v="0"/>
    <x v="0"/>
    <x v="0"/>
    <x v="0"/>
    <x v="0"/>
    <x v="0"/>
    <d v="2023-11-23T00:00:00"/>
    <x v="0"/>
    <x v="1"/>
    <x v="0"/>
    <x v="0"/>
    <x v="0"/>
    <x v="5"/>
    <n v="79496"/>
    <n v="34316.333333333336"/>
    <n v="0"/>
    <d v="2023-08-10T00:00:00"/>
    <x v="0"/>
  </r>
  <r>
    <n v="562"/>
    <d v="2023-07-08T00:00:00"/>
    <s v="KAPW-IB-152829-27-06-2023"/>
    <d v="2023-06-27T00:00:00"/>
    <x v="0"/>
    <x v="0"/>
    <n v="4433"/>
    <x v="0"/>
    <x v="0"/>
    <n v="5407.52"/>
    <n v="5.2202999999999999"/>
    <n v="0"/>
    <n v="0"/>
    <x v="11"/>
    <s v="100% POLYESTER MICROFIBER FABRIC WIDTH 256CM,90GSM (19243/MTRS) (THE GOODS ARE RELEASE UNDER EXPORT ORIENTED UNIT,SRO:326,327)"/>
    <n v="6781035"/>
    <x v="0"/>
    <n v="2593665"/>
    <x v="0"/>
    <n v="152716839"/>
    <d v="2025-06-21T00:00:00"/>
    <x v="0"/>
    <x v="0"/>
    <x v="0"/>
    <x v="0"/>
    <x v="0"/>
    <x v="0"/>
    <d v="2025-04-22T00:00:00"/>
    <x v="0"/>
    <x v="1"/>
    <x v="0"/>
    <x v="0"/>
    <x v="0"/>
    <x v="2"/>
    <n v="1529.6717798330701"/>
    <n v="585.08120911346714"/>
    <n v="0"/>
    <d v="2023-08-07T00:00:00"/>
    <x v="0"/>
  </r>
  <r>
    <n v="563"/>
    <d v="2023-07-01T00:00:00"/>
    <s v="KAPS-IB-36447-26-06-2023"/>
    <d v="2023-06-26T00:00:00"/>
    <x v="0"/>
    <x v="0"/>
    <n v="46200"/>
    <x v="0"/>
    <x v="0"/>
    <n v="5402.33"/>
    <n v="1.43"/>
    <n v="0"/>
    <n v="0"/>
    <x v="6"/>
    <s v="100% POLYESTER YARN DTY 100D/48F HIM SD RW AA GRADE"/>
    <n v="19358905"/>
    <x v="0"/>
    <n v="7201474"/>
    <x v="0"/>
    <n v="152716796"/>
    <d v="2025-06-23T00:00:00"/>
    <x v="0"/>
    <x v="0"/>
    <x v="0"/>
    <x v="0"/>
    <x v="0"/>
    <x v="0"/>
    <d v="2025-04-24T00:00:00"/>
    <x v="0"/>
    <x v="1"/>
    <x v="0"/>
    <x v="0"/>
    <x v="0"/>
    <x v="3"/>
    <n v="419.02391774891777"/>
    <n v="155.87606060606061"/>
    <n v="0"/>
    <d v="2023-07-31T00:00:00"/>
    <x v="0"/>
  </r>
  <r>
    <n v="564"/>
    <d v="2023-07-09T00:00:00"/>
    <s v="KPPI-IB-298-04-07-2023"/>
    <d v="2023-07-04T00:00:00"/>
    <x v="0"/>
    <x v="0"/>
    <n v="183708"/>
    <x v="0"/>
    <x v="0"/>
    <n v="5201.009"/>
    <n v="2.0777999999999999"/>
    <n v="0"/>
    <n v="0"/>
    <x v="0"/>
    <s v="Raw Cotton"/>
    <n v="111791234"/>
    <x v="0"/>
    <n v="21441559"/>
    <x v="0"/>
    <n v="152716876"/>
    <d v="2025-07-03T00:00:00"/>
    <x v="0"/>
    <x v="0"/>
    <x v="0"/>
    <x v="0"/>
    <x v="0"/>
    <x v="0"/>
    <d v="2025-05-04T00:00:00"/>
    <x v="0"/>
    <x v="1"/>
    <x v="0"/>
    <x v="0"/>
    <x v="0"/>
    <x v="0"/>
    <n v="608.52675985803558"/>
    <n v="116.71543427613386"/>
    <n v="0"/>
    <d v="2023-08-08T00:00:00"/>
    <x v="0"/>
  </r>
  <r>
    <n v="565"/>
    <d v="2023-07-12T00:00:00"/>
    <s v="KPPI-IB-321-04-07-2023"/>
    <d v="2023-07-04T00:00:00"/>
    <x v="0"/>
    <x v="0"/>
    <n v="120518"/>
    <x v="0"/>
    <x v="0"/>
    <n v="5201.009"/>
    <n v="2.0943999999999998"/>
    <n v="0"/>
    <n v="0"/>
    <x v="0"/>
    <s v="Raw Cotton"/>
    <n v="73924345"/>
    <x v="0"/>
    <n v="14178689"/>
    <x v="0"/>
    <n v="152716837"/>
    <d v="2025-07-03T00:00:00"/>
    <x v="0"/>
    <x v="0"/>
    <x v="0"/>
    <x v="0"/>
    <x v="0"/>
    <x v="0"/>
    <d v="2025-05-04T00:00:00"/>
    <x v="0"/>
    <x v="1"/>
    <x v="0"/>
    <x v="0"/>
    <x v="0"/>
    <x v="0"/>
    <n v="613.38841500854642"/>
    <n v="117.64789492026087"/>
    <n v="0"/>
    <d v="2023-08-11T00:00:00"/>
    <x v="0"/>
  </r>
  <r>
    <n v="566"/>
    <d v="2023-07-13T00:00:00"/>
    <s v="KAPW-IB-648-04-07-2023"/>
    <d v="2023-07-04T00:00:00"/>
    <x v="0"/>
    <x v="0"/>
    <n v="25600"/>
    <x v="0"/>
    <x v="0"/>
    <n v="3910"/>
    <n v="1.7"/>
    <n v="0"/>
    <n v="0"/>
    <x v="12"/>
    <s v="Chemical (SILICONE HT-40)"/>
    <n v="12745733"/>
    <x v="0"/>
    <n v="2444632"/>
    <x v="0"/>
    <n v="152716815"/>
    <d v="2025-07-03T00:00:00"/>
    <x v="0"/>
    <x v="0"/>
    <x v="0"/>
    <x v="0"/>
    <x v="0"/>
    <x v="0"/>
    <d v="2025-05-04T00:00:00"/>
    <x v="0"/>
    <x v="1"/>
    <x v="0"/>
    <x v="0"/>
    <x v="0"/>
    <x v="5"/>
    <n v="497.88019531250001"/>
    <n v="95.493437499999999"/>
    <n v="0"/>
    <d v="2023-08-12T00:00:00"/>
    <x v="0"/>
  </r>
  <r>
    <n v="567"/>
    <d v="2023-07-15T00:00:00"/>
    <s v="KAPW-IB-191-03-07-2023"/>
    <d v="2023-07-03T00:00:00"/>
    <x v="1"/>
    <x v="0"/>
    <n v="1350"/>
    <x v="0"/>
    <x v="0"/>
    <n v="5901.9089999999997"/>
    <n v="2.7778"/>
    <n v="0"/>
    <n v="0"/>
    <x v="9"/>
    <s v="100% POLYESTER NON WOVEN INTERLINING 52GSM WIDTH:32&quot; COLOR WHITE (30000/MTRS)"/>
    <n v="1098274"/>
    <x v="0"/>
    <n v="354630"/>
    <x v="0"/>
    <n v="152716810"/>
    <d v="2025-07-02T00:00:00"/>
    <x v="0"/>
    <x v="0"/>
    <x v="0"/>
    <x v="0"/>
    <x v="0"/>
    <x v="0"/>
    <d v="2025-05-03T00:00:00"/>
    <x v="0"/>
    <x v="1"/>
    <x v="0"/>
    <x v="0"/>
    <x v="0"/>
    <x v="6"/>
    <n v="813.53629629629631"/>
    <n v="262.68888888888887"/>
    <n v="0"/>
    <d v="2023-07-20T00:00:00"/>
    <x v="0"/>
  </r>
  <r>
    <n v="568"/>
    <d v="2023-07-18T00:00:00"/>
    <s v="KAPS-IB-1409-06-07-2023"/>
    <d v="2023-07-06T00:00:00"/>
    <x v="0"/>
    <x v="0"/>
    <n v="8044.6"/>
    <x v="0"/>
    <x v="0"/>
    <n v="5402.33"/>
    <n v="1.95"/>
    <n v="0"/>
    <n v="0"/>
    <x v="6"/>
    <s v="POLYESTER YARN ACY 300/96 WHITE + 70D INVISTALYCRA"/>
    <n v="4412628"/>
    <x v="0"/>
    <n v="1725770"/>
    <x v="0"/>
    <n v="152716854"/>
    <d v="2025-07-05T00:00:00"/>
    <x v="0"/>
    <x v="0"/>
    <x v="0"/>
    <x v="0"/>
    <x v="0"/>
    <x v="0"/>
    <d v="2025-05-06T00:00:00"/>
    <x v="0"/>
    <x v="1"/>
    <x v="0"/>
    <x v="0"/>
    <x v="0"/>
    <x v="3"/>
    <n v="548.52049822241008"/>
    <n v="214.52527161076995"/>
    <n v="0"/>
    <d v="2023-08-17T00:00:00"/>
    <x v="0"/>
  </r>
  <r>
    <n v="569"/>
    <d v="2023-07-12T00:00:00"/>
    <s v="KAPE-FS-1496-08-07-2023"/>
    <d v="2023-07-08T00:00:00"/>
    <x v="0"/>
    <x v="0"/>
    <n v="388422"/>
    <x v="1"/>
    <x v="0"/>
    <n v="5201.009"/>
    <n v="2.0943999999999998"/>
    <n v="0"/>
    <n v="0"/>
    <x v="0"/>
    <s v="Raw Cotton"/>
    <n v="230079408"/>
    <x v="0"/>
    <n v="69023822"/>
    <x v="0"/>
    <m/>
    <m/>
    <x v="0"/>
    <x v="0"/>
    <x v="0"/>
    <x v="1"/>
    <x v="0"/>
    <x v="0"/>
    <m/>
    <x v="0"/>
    <x v="1"/>
    <x v="0"/>
    <x v="0"/>
    <x v="0"/>
    <x v="0"/>
    <n v="592.34391460833831"/>
    <n v="177.70317335269371"/>
    <n v="0"/>
    <d v="2023-08-11T00:00:00"/>
    <x v="0"/>
  </r>
  <r>
    <n v="570"/>
    <d v="2023-07-17T00:00:00"/>
    <s v="KAPW-FS-4230-10-07-2023"/>
    <d v="2023-07-10T00:00:00"/>
    <x v="0"/>
    <x v="0"/>
    <n v="869"/>
    <x v="1"/>
    <x v="0"/>
    <n v="5210.41"/>
    <n v="24.905000000000001"/>
    <n v="0"/>
    <n v="0"/>
    <x v="2"/>
    <s v="58% BIO KAT / 39% REC.PES / 3% STR EFFEN WEEFSEL FABRIC (5148.50/MTRS)"/>
    <n v="6677769"/>
    <x v="0"/>
    <n v="2737885"/>
    <x v="0"/>
    <m/>
    <m/>
    <x v="0"/>
    <x v="0"/>
    <x v="0"/>
    <x v="1"/>
    <x v="0"/>
    <x v="0"/>
    <m/>
    <x v="0"/>
    <x v="1"/>
    <x v="0"/>
    <x v="0"/>
    <x v="0"/>
    <x v="2"/>
    <n v="7684.4292289988489"/>
    <n v="3150.6156501726123"/>
    <n v="0"/>
    <d v="2023-08-16T00:00:00"/>
    <x v="0"/>
  </r>
  <r>
    <n v="571"/>
    <d v="2023-07-17T00:00:00"/>
    <s v="KAPE-FS-1994-11-07-2023"/>
    <d v="2023-07-11T00:00:00"/>
    <x v="0"/>
    <x v="0"/>
    <n v="1453"/>
    <x v="1"/>
    <x v="0"/>
    <n v="5407.52"/>
    <n v="14.870100000000001"/>
    <n v="0"/>
    <n v="0"/>
    <x v="11"/>
    <s v="100% POLYMIDE CORDURA FABRIC 500X500 1/1 CUTTABLE WIDTH:210GSM ECO BIONIC FINISH (4697/MTRS)"/>
    <n v="6134985"/>
    <x v="0"/>
    <n v="2822093"/>
    <x v="0"/>
    <m/>
    <m/>
    <x v="0"/>
    <x v="0"/>
    <x v="0"/>
    <x v="1"/>
    <x v="0"/>
    <x v="0"/>
    <m/>
    <x v="0"/>
    <x v="1"/>
    <x v="0"/>
    <x v="0"/>
    <x v="0"/>
    <x v="2"/>
    <n v="4222.2883688919474"/>
    <n v="1942.2525808671714"/>
    <n v="0"/>
    <d v="2023-08-16T00:00:00"/>
    <x v="0"/>
  </r>
  <r>
    <n v="572"/>
    <d v="2023-07-17T00:00:00"/>
    <s v="KPPI-FS-2370-12-07-2023"/>
    <d v="2023-07-12T00:00:00"/>
    <x v="0"/>
    <x v="0"/>
    <n v="79249"/>
    <x v="1"/>
    <x v="0"/>
    <n v="5201.009"/>
    <n v="2.0282"/>
    <n v="0"/>
    <n v="0"/>
    <x v="0"/>
    <s v="Raw Cotton"/>
    <n v="45950785"/>
    <x v="0"/>
    <n v="13785235"/>
    <x v="0"/>
    <m/>
    <m/>
    <x v="0"/>
    <x v="0"/>
    <x v="0"/>
    <x v="1"/>
    <x v="0"/>
    <x v="0"/>
    <m/>
    <x v="0"/>
    <x v="1"/>
    <x v="0"/>
    <x v="0"/>
    <x v="0"/>
    <x v="0"/>
    <n v="579.82794735580262"/>
    <n v="173.9483778975129"/>
    <n v="0"/>
    <d v="2023-08-16T00:00:00"/>
    <x v="0"/>
  </r>
  <r>
    <n v="573"/>
    <d v="2023-07-17T00:00:00"/>
    <s v="KPPI-FS-2374-12-07-2023"/>
    <d v="2023-07-12T00:00:00"/>
    <x v="0"/>
    <x v="0"/>
    <n v="40625"/>
    <x v="1"/>
    <x v="0"/>
    <n v="5201.009"/>
    <n v="2.0282"/>
    <n v="0"/>
    <n v="0"/>
    <x v="0"/>
    <s v="Raw Cotton"/>
    <n v="23555511"/>
    <x v="0"/>
    <n v="7066653"/>
    <x v="0"/>
    <m/>
    <m/>
    <x v="0"/>
    <x v="0"/>
    <x v="0"/>
    <x v="1"/>
    <x v="0"/>
    <x v="0"/>
    <m/>
    <x v="0"/>
    <x v="1"/>
    <x v="0"/>
    <x v="0"/>
    <x v="0"/>
    <x v="0"/>
    <n v="579.82796307692308"/>
    <n v="173.94838153846155"/>
    <n v="0"/>
    <d v="2023-08-16T00:00:00"/>
    <x v="0"/>
  </r>
  <r>
    <n v="574"/>
    <d v="2023-07-17T00:00:00"/>
    <s v="KAPS-FS-5256-12-07-2023"/>
    <d v="2023-07-12T00:00:00"/>
    <x v="0"/>
    <x v="0"/>
    <n v="26000"/>
    <x v="1"/>
    <x v="0"/>
    <n v="3402.4189999999999"/>
    <s v="15.0 / 11.70"/>
    <n v="0"/>
    <n v="0"/>
    <x v="12"/>
    <s v="Chemical (WETMATIC / BEZATHREN)"/>
    <n v="12515348"/>
    <x v="0"/>
    <n v="6257674"/>
    <x v="0"/>
    <m/>
    <m/>
    <x v="0"/>
    <x v="0"/>
    <x v="0"/>
    <x v="1"/>
    <x v="0"/>
    <x v="0"/>
    <m/>
    <x v="0"/>
    <x v="1"/>
    <x v="0"/>
    <x v="0"/>
    <x v="0"/>
    <x v="5"/>
    <n v="481.35953846153848"/>
    <n v="240.67976923076924"/>
    <n v="0"/>
    <d v="2023-08-16T00:00:00"/>
    <x v="0"/>
  </r>
  <r>
    <n v="575"/>
    <d v="2023-07-20T00:00:00"/>
    <s v="KAPW-FS-7620-15-07-2023"/>
    <d v="2023-07-15T00:00:00"/>
    <x v="0"/>
    <x v="0"/>
    <n v="700"/>
    <x v="1"/>
    <x v="0"/>
    <n v="3204.1590000000001"/>
    <n v="120.02290000000001"/>
    <n v="0"/>
    <n v="0"/>
    <x v="5"/>
    <s v="Dyed (BEZATHREN)"/>
    <n v="23718790"/>
    <x v="0"/>
    <n v="10910643"/>
    <x v="0"/>
    <m/>
    <m/>
    <x v="0"/>
    <x v="0"/>
    <x v="0"/>
    <x v="1"/>
    <x v="0"/>
    <x v="0"/>
    <m/>
    <x v="0"/>
    <x v="1"/>
    <x v="0"/>
    <x v="0"/>
    <x v="0"/>
    <x v="4"/>
    <n v="33883.985714285714"/>
    <n v="15586.632857142857"/>
    <n v="0"/>
    <d v="2023-08-19T00:00:00"/>
    <x v="0"/>
  </r>
  <r>
    <n v="576"/>
    <d v="2023-07-17T00:00:00"/>
    <s v="KPAF-FS-2302-15-07-2023"/>
    <d v="2023-07-15T00:00:00"/>
    <x v="0"/>
    <x v="0"/>
    <n v="26"/>
    <x v="1"/>
    <x v="0"/>
    <n v="3809.9189999999999"/>
    <s v="41.8012 / 48.2322 / 41.8012 / 5.2032"/>
    <n v="0"/>
    <n v="0"/>
    <x v="12"/>
    <s v="BAYSCENT LAVENDER / EUCALYPTUS / JASMIN / TANAPUR ONE"/>
    <n v="287838"/>
    <x v="0"/>
    <n v="132405"/>
    <x v="0"/>
    <m/>
    <m/>
    <x v="0"/>
    <x v="0"/>
    <x v="0"/>
    <x v="1"/>
    <x v="0"/>
    <x v="0"/>
    <m/>
    <x v="0"/>
    <x v="1"/>
    <x v="0"/>
    <x v="0"/>
    <x v="0"/>
    <x v="5"/>
    <n v="11070.692307692309"/>
    <n v="5092.5"/>
    <n v="0"/>
    <d v="2023-08-16T00:00:00"/>
    <x v="0"/>
  </r>
  <r>
    <n v="577"/>
    <d v="2023-07-18T00:00:00"/>
    <s v="KAPW-IB-2468-06-07-2023"/>
    <d v="2023-07-06T00:00:00"/>
    <x v="0"/>
    <x v="0"/>
    <n v="6240"/>
    <x v="0"/>
    <x v="0"/>
    <n v="3906.9090000000001"/>
    <n v="10.5"/>
    <n v="0"/>
    <n v="0"/>
    <x v="12"/>
    <s v="WATER REPELLENT AGENT"/>
    <n v="18430290"/>
    <x v="0"/>
    <n v="5951104"/>
    <x v="0"/>
    <n v="152716853"/>
    <d v="2025-07-05T00:00:00"/>
    <x v="0"/>
    <x v="0"/>
    <x v="0"/>
    <x v="0"/>
    <x v="0"/>
    <x v="0"/>
    <d v="2025-05-06T00:00:00"/>
    <x v="0"/>
    <x v="1"/>
    <x v="0"/>
    <x v="0"/>
    <x v="0"/>
    <x v="5"/>
    <n v="2953.5721153846152"/>
    <n v="953.70256410256411"/>
    <n v="0"/>
    <d v="2023-08-17T00:00:00"/>
    <x v="0"/>
  </r>
  <r>
    <n v="578"/>
    <d v="2023-07-18T00:00:00"/>
    <s v="KAPW-IB-2040-06-07-2023"/>
    <d v="2023-07-06T00:00:00"/>
    <x v="0"/>
    <x v="0"/>
    <n v="5600"/>
    <x v="0"/>
    <x v="0"/>
    <n v="3204.1190000000001"/>
    <s v="3.30 / 16.20 / 4.95"/>
    <n v="0"/>
    <n v="0"/>
    <x v="5"/>
    <s v="DYES (FASFA)"/>
    <n v="14548452"/>
    <x v="0"/>
    <n v="4697666"/>
    <x v="0"/>
    <n v="152716852"/>
    <d v="2025-07-05T00:00:00"/>
    <x v="0"/>
    <x v="0"/>
    <x v="0"/>
    <x v="0"/>
    <x v="0"/>
    <x v="0"/>
    <d v="2025-05-06T00:00:00"/>
    <x v="0"/>
    <x v="1"/>
    <x v="0"/>
    <x v="0"/>
    <x v="0"/>
    <x v="4"/>
    <n v="2597.937857142857"/>
    <n v="838.86892857142857"/>
    <n v="0"/>
    <d v="2023-08-17T00:00:00"/>
    <x v="0"/>
  </r>
  <r>
    <n v="579"/>
    <d v="2023-07-17T00:00:00"/>
    <s v="KPPI-FS-2379-12-07-2023"/>
    <d v="2023-07-12T00:00:00"/>
    <x v="0"/>
    <x v="0"/>
    <n v="282495"/>
    <x v="1"/>
    <x v="0"/>
    <n v="5201.009"/>
    <n v="2.0282"/>
    <n v="0"/>
    <n v="0"/>
    <x v="0"/>
    <s v="Raw Cotton"/>
    <n v="163798497"/>
    <x v="0"/>
    <n v="49139549"/>
    <x v="0"/>
    <m/>
    <m/>
    <x v="0"/>
    <x v="0"/>
    <x v="0"/>
    <x v="1"/>
    <x v="0"/>
    <x v="0"/>
    <m/>
    <x v="0"/>
    <x v="1"/>
    <x v="0"/>
    <x v="0"/>
    <x v="0"/>
    <x v="0"/>
    <n v="579.82795093718471"/>
    <n v="173.94838492716684"/>
    <n v="0"/>
    <d v="2023-08-16T00:00:00"/>
    <x v="0"/>
  </r>
  <r>
    <n v="580"/>
    <d v="2023-07-22T00:00:00"/>
    <s v="KAPW-FS-6474-13-07-2023"/>
    <d v="2023-07-13T00:00:00"/>
    <x v="1"/>
    <x v="0"/>
    <n v="17893.824000000001"/>
    <x v="1"/>
    <x v="0"/>
    <n v="4810.29"/>
    <n v="0.86"/>
    <n v="0"/>
    <n v="0"/>
    <x v="9"/>
    <s v="2/S COATED ART BOARD "/>
    <n v="4378957"/>
    <x v="0"/>
    <n v="2189478"/>
    <x v="0"/>
    <m/>
    <m/>
    <x v="0"/>
    <x v="0"/>
    <x v="0"/>
    <x v="1"/>
    <x v="0"/>
    <x v="0"/>
    <m/>
    <x v="0"/>
    <x v="1"/>
    <x v="0"/>
    <x v="0"/>
    <x v="0"/>
    <x v="6"/>
    <n v="244.71890413139192"/>
    <n v="122.35942412309409"/>
    <n v="0"/>
    <d v="2023-07-27T00:00:00"/>
    <x v="0"/>
  </r>
  <r>
    <n v="581"/>
    <d v="2023-07-20T00:00:00"/>
    <s v="KAPS-FS-6492-14-07-2023"/>
    <d v="2023-07-14T00:00:00"/>
    <x v="0"/>
    <x v="0"/>
    <n v="24480"/>
    <x v="1"/>
    <x v="0"/>
    <n v="5402.33"/>
    <n v="1.35"/>
    <n v="0"/>
    <n v="0"/>
    <x v="6"/>
    <s v="100% POLYESTER TEXTURED YARN DTY 150D/48F HIM RW SD GRADE AA"/>
    <n v="9365267"/>
    <x v="0"/>
    <n v="3839759"/>
    <x v="0"/>
    <m/>
    <m/>
    <x v="0"/>
    <x v="0"/>
    <x v="0"/>
    <x v="1"/>
    <x v="0"/>
    <x v="0"/>
    <m/>
    <x v="0"/>
    <x v="1"/>
    <x v="0"/>
    <x v="0"/>
    <x v="0"/>
    <x v="3"/>
    <n v="382.56809640522874"/>
    <n v="156.8529003267974"/>
    <n v="0"/>
    <d v="2023-08-19T00:00:00"/>
    <x v="0"/>
  </r>
  <r>
    <n v="582"/>
    <d v="2023-07-24T00:00:00"/>
    <s v="KAPW-FS-7622-15-07-2023"/>
    <d v="2023-07-15T00:00:00"/>
    <x v="1"/>
    <x v="0"/>
    <n v="17893.824000000001"/>
    <x v="1"/>
    <x v="0"/>
    <n v="4810.29"/>
    <n v="0.86"/>
    <n v="0"/>
    <n v="0"/>
    <x v="9"/>
    <s v="2/S COATED ART BOARD "/>
    <n v="4344422"/>
    <x v="0"/>
    <n v="2172211"/>
    <x v="0"/>
    <m/>
    <m/>
    <x v="0"/>
    <x v="0"/>
    <x v="0"/>
    <x v="1"/>
    <x v="0"/>
    <x v="0"/>
    <m/>
    <x v="0"/>
    <x v="1"/>
    <x v="0"/>
    <x v="0"/>
    <x v="0"/>
    <x v="6"/>
    <n v="242.78890862009149"/>
    <n v="121.39445431004575"/>
    <n v="0"/>
    <d v="2023-07-29T00:00:00"/>
    <x v="0"/>
  </r>
  <r>
    <n v="583"/>
    <d v="2023-07-20T00:00:00"/>
    <s v="KAPW-FS-7623-15-07-2023"/>
    <d v="2023-07-15T00:00:00"/>
    <x v="0"/>
    <x v="0"/>
    <n v="157320"/>
    <x v="1"/>
    <x v="0"/>
    <n v="5503.201"/>
    <n v="1"/>
    <n v="0"/>
    <n v="0"/>
    <x v="1"/>
    <s v="Polyester Staple Fiber"/>
    <n v="44413430"/>
    <x v="0"/>
    <n v="18209506"/>
    <x v="0"/>
    <m/>
    <m/>
    <x v="0"/>
    <x v="0"/>
    <x v="0"/>
    <x v="1"/>
    <x v="0"/>
    <x v="0"/>
    <m/>
    <x v="0"/>
    <x v="1"/>
    <x v="0"/>
    <x v="0"/>
    <x v="0"/>
    <x v="1"/>
    <n v="282.3126748029494"/>
    <n v="115.74819476226799"/>
    <n v="0"/>
    <d v="2023-08-19T00:00:00"/>
    <x v="0"/>
  </r>
  <r>
    <n v="584"/>
    <d v="2023-07-25T00:00:00"/>
    <s v="KAPW-FS-10367-20-07-2023"/>
    <d v="2023-07-20T00:00:00"/>
    <x v="1"/>
    <x v="0"/>
    <n v="794.7"/>
    <x v="1"/>
    <x v="0"/>
    <n v="5807.9"/>
    <n v="15.127800000000001"/>
    <n v="0"/>
    <n v="0"/>
    <x v="9"/>
    <s v="GREY POLYESTER REFLECTIVE PIPING SIZE 1CM (139318/MTRS)"/>
    <n v="3474308"/>
    <x v="0"/>
    <n v="1424466"/>
    <x v="0"/>
    <m/>
    <m/>
    <x v="0"/>
    <x v="0"/>
    <x v="0"/>
    <x v="1"/>
    <x v="0"/>
    <x v="0"/>
    <m/>
    <x v="0"/>
    <x v="1"/>
    <x v="0"/>
    <x v="0"/>
    <x v="0"/>
    <x v="6"/>
    <n v="4371.8484962879074"/>
    <n v="1792.4575311438277"/>
    <n v="0"/>
    <d v="2023-07-30T00:00:00"/>
    <x v="0"/>
  </r>
  <r>
    <n v="585"/>
    <d v="2023-07-25T00:00:00"/>
    <s v="KAPW-FS-10366-20-07-2023"/>
    <d v="2023-07-20T00:00:00"/>
    <x v="1"/>
    <x v="0"/>
    <n v="31.6"/>
    <x v="1"/>
    <x v="0"/>
    <n v="5807.9"/>
    <n v="16.549700000000001"/>
    <n v="0"/>
    <n v="0"/>
    <x v="9"/>
    <s v="GREY POLYESTER REFLECTIVE PIPING SIZE 1CM (5682/MTRS)"/>
    <n v="151136"/>
    <x v="0"/>
    <n v="61965"/>
    <x v="0"/>
    <m/>
    <m/>
    <x v="0"/>
    <x v="0"/>
    <x v="0"/>
    <x v="1"/>
    <x v="0"/>
    <x v="0"/>
    <m/>
    <x v="0"/>
    <x v="1"/>
    <x v="0"/>
    <x v="0"/>
    <x v="0"/>
    <x v="6"/>
    <n v="4782.7848101265818"/>
    <n v="1960.9177215189873"/>
    <n v="0"/>
    <d v="2023-07-30T00:00:00"/>
    <x v="0"/>
  </r>
  <r>
    <n v="586"/>
    <d v="2023-07-25T00:00:00"/>
    <s v="KAPW-FS-10509-20-07-2023"/>
    <d v="2023-07-20T00:00:00"/>
    <x v="0"/>
    <x v="1"/>
    <n v="4750"/>
    <x v="1"/>
    <x v="0"/>
    <n v="5407.52"/>
    <n v="14.866199999999999"/>
    <n v="4750"/>
    <n v="4750"/>
    <x v="11"/>
    <s v="100% POLYMIDE CORDURA FABRIC 500X500 1/1 57 CUTTABLE WIDTH:210GSM ECO BIONIC FINISH (15351/MTRS)"/>
    <n v="20407176"/>
    <x v="0"/>
    <n v="9387301"/>
    <x v="0"/>
    <m/>
    <m/>
    <x v="0"/>
    <x v="0"/>
    <x v="0"/>
    <x v="0"/>
    <x v="0"/>
    <x v="0"/>
    <m/>
    <x v="0"/>
    <x v="1"/>
    <x v="0"/>
    <x v="0"/>
    <x v="0"/>
    <x v="2"/>
    <n v="4296.2475789473683"/>
    <n v="1976.2738947368421"/>
    <n v="9387301"/>
    <d v="2023-08-24T00:00:00"/>
    <x v="0"/>
  </r>
  <r>
    <n v="587"/>
    <d v="2023-07-27T00:00:00"/>
    <s v="KAPW-FS-11807-22-07-2023"/>
    <d v="2023-07-22T00:00:00"/>
    <x v="0"/>
    <x v="0"/>
    <n v="3600"/>
    <x v="1"/>
    <x v="0"/>
    <s v="3204.1600 / 3204.1190"/>
    <s v="11.15 / 24.98 / 8.25"/>
    <n v="0"/>
    <n v="0"/>
    <x v="5"/>
    <s v="DYES (NOVACRON / TERASIL)"/>
    <n v="9557649"/>
    <x v="0"/>
    <n v="4036174"/>
    <x v="0"/>
    <m/>
    <m/>
    <x v="0"/>
    <x v="0"/>
    <x v="0"/>
    <x v="1"/>
    <x v="0"/>
    <x v="0"/>
    <m/>
    <x v="0"/>
    <x v="1"/>
    <x v="0"/>
    <x v="0"/>
    <x v="0"/>
    <x v="4"/>
    <n v="2654.9025000000001"/>
    <n v="1121.1594444444445"/>
    <n v="0"/>
    <d v="2023-08-26T00:00:00"/>
    <x v="0"/>
  </r>
  <r>
    <n v="588"/>
    <d v="2023-07-25T00:00:00"/>
    <s v="KAPS-FS-9486-22-07-2023"/>
    <d v="2023-07-22T00:00:00"/>
    <x v="0"/>
    <x v="0"/>
    <n v="44000"/>
    <x v="1"/>
    <x v="0"/>
    <n v="2832.1089999999999"/>
    <n v="2.1"/>
    <n v="0"/>
    <n v="0"/>
    <x v="12"/>
    <s v="HYDROBLUE 90"/>
    <n v="26905729"/>
    <x v="0"/>
    <n v="8071718"/>
    <x v="0"/>
    <m/>
    <m/>
    <x v="0"/>
    <x v="0"/>
    <x v="0"/>
    <x v="1"/>
    <x v="0"/>
    <x v="0"/>
    <m/>
    <x v="0"/>
    <x v="1"/>
    <x v="0"/>
    <x v="0"/>
    <x v="0"/>
    <x v="5"/>
    <n v="611.49384090909086"/>
    <n v="183.44813636363637"/>
    <n v="0"/>
    <d v="2023-08-24T00:00:00"/>
    <x v="0"/>
  </r>
  <r>
    <n v="589"/>
    <d v="2023-07-25T00:00:00"/>
    <s v="KAPW-FS-11808-22-07-2023"/>
    <d v="2023-07-22T00:00:00"/>
    <x v="0"/>
    <x v="0"/>
    <n v="25600"/>
    <x v="1"/>
    <x v="0"/>
    <n v="3910"/>
    <n v="1.7"/>
    <n v="0"/>
    <n v="0"/>
    <x v="12"/>
    <s v="CHEMICAL (SILICONE)"/>
    <n v="17517843"/>
    <x v="0"/>
    <n v="5255353"/>
    <x v="0"/>
    <m/>
    <m/>
    <x v="0"/>
    <x v="0"/>
    <x v="0"/>
    <x v="1"/>
    <x v="0"/>
    <x v="0"/>
    <m/>
    <x v="0"/>
    <x v="1"/>
    <x v="0"/>
    <x v="0"/>
    <x v="0"/>
    <x v="5"/>
    <n v="684.29074218749997"/>
    <n v="205.2872265625"/>
    <n v="0"/>
    <d v="2023-08-24T00:00:00"/>
    <x v="0"/>
  </r>
  <r>
    <n v="590"/>
    <d v="2023-07-25T00:00:00"/>
    <s v="KAPE-FS-5500-22-07-2023"/>
    <d v="2023-07-22T00:00:00"/>
    <x v="0"/>
    <x v="0"/>
    <n v="299311.59999999998"/>
    <x v="1"/>
    <x v="0"/>
    <n v="5503.201"/>
    <n v="0.96499999999999997"/>
    <n v="0"/>
    <n v="0"/>
    <x v="1"/>
    <s v="Polyester Staple Fiber"/>
    <n v="84105357"/>
    <x v="0"/>
    <n v="34483196"/>
    <x v="0"/>
    <m/>
    <m/>
    <x v="0"/>
    <x v="0"/>
    <x v="0"/>
    <x v="1"/>
    <x v="0"/>
    <x v="0"/>
    <m/>
    <x v="0"/>
    <x v="1"/>
    <x v="0"/>
    <x v="0"/>
    <x v="0"/>
    <x v="1"/>
    <n v="280.99598211362343"/>
    <n v="115.20835143041568"/>
    <n v="0"/>
    <d v="2023-08-24T00:00:00"/>
    <x v="0"/>
  </r>
  <r>
    <n v="591"/>
    <d v="2023-07-26T00:00:00"/>
    <s v="KAPW-FS-11805-22-07-2023"/>
    <d v="2023-07-22T00:00:00"/>
    <x v="0"/>
    <x v="0"/>
    <n v="19155.400000000001"/>
    <x v="1"/>
    <x v="0"/>
    <n v="5402.33"/>
    <n v="1.95"/>
    <n v="0"/>
    <n v="0"/>
    <x v="6"/>
    <s v="ACY YARN 300/96 WHITE +70D INVISTALYCRA"/>
    <n v="10876737"/>
    <x v="0"/>
    <n v="4459462"/>
    <x v="0"/>
    <m/>
    <m/>
    <x v="0"/>
    <x v="0"/>
    <x v="0"/>
    <x v="1"/>
    <x v="0"/>
    <x v="0"/>
    <m/>
    <x v="0"/>
    <x v="1"/>
    <x v="0"/>
    <x v="0"/>
    <x v="0"/>
    <x v="3"/>
    <n v="567.81570732012904"/>
    <n v="232.80443112647086"/>
    <n v="0"/>
    <d v="2023-08-25T00:00:00"/>
    <x v="0"/>
  </r>
  <r>
    <n v="592"/>
    <d v="2023-07-27T00:00:00"/>
    <s v="KAPW-FS-12038-24-07-2023"/>
    <d v="2023-07-24T00:00:00"/>
    <x v="0"/>
    <x v="0"/>
    <n v="1000"/>
    <x v="1"/>
    <x v="0"/>
    <n v="3204.16"/>
    <n v="11.25"/>
    <n v="0"/>
    <n v="0"/>
    <x v="5"/>
    <s v="DYES (NOVACRON)"/>
    <n v="3275860"/>
    <x v="0"/>
    <n v="1506896"/>
    <x v="0"/>
    <m/>
    <m/>
    <x v="0"/>
    <x v="0"/>
    <x v="0"/>
    <x v="1"/>
    <x v="0"/>
    <x v="0"/>
    <m/>
    <x v="0"/>
    <x v="1"/>
    <x v="0"/>
    <x v="0"/>
    <x v="0"/>
    <x v="4"/>
    <n v="3275.86"/>
    <n v="1506.896"/>
    <n v="0"/>
    <d v="2023-08-26T00:00:00"/>
    <x v="0"/>
  </r>
  <r>
    <n v="593"/>
    <d v="2023-08-01T00:00:00"/>
    <s v="KAPW-FS-12037-24-07-2023"/>
    <d v="2023-07-24T00:00:00"/>
    <x v="0"/>
    <x v="0"/>
    <n v="500"/>
    <x v="1"/>
    <x v="0"/>
    <n v="3204.172"/>
    <n v="28.08"/>
    <n v="0"/>
    <n v="0"/>
    <x v="5"/>
    <s v="PRINTING PIGMENT DYES) NEMOTO'S "/>
    <n v="4088273"/>
    <x v="0"/>
    <n v="1676192"/>
    <x v="0"/>
    <m/>
    <m/>
    <x v="0"/>
    <x v="0"/>
    <x v="0"/>
    <x v="1"/>
    <x v="0"/>
    <x v="0"/>
    <m/>
    <x v="0"/>
    <x v="1"/>
    <x v="0"/>
    <x v="0"/>
    <x v="0"/>
    <x v="4"/>
    <n v="8176.5460000000003"/>
    <n v="3352.384"/>
    <n v="0"/>
    <d v="2023-08-31T00:00:00"/>
    <x v="0"/>
  </r>
  <r>
    <n v="594"/>
    <d v="2023-07-31T00:00:00"/>
    <s v="KAPW-FS-12729-25-07-2023"/>
    <d v="2023-07-25T00:00:00"/>
    <x v="0"/>
    <x v="0"/>
    <n v="300336"/>
    <x v="1"/>
    <x v="0"/>
    <n v="5503.201"/>
    <n v="0.96499999999999997"/>
    <n v="0"/>
    <n v="0"/>
    <x v="1"/>
    <s v="Polyester Staple Fiber"/>
    <n v="84940161"/>
    <x v="0"/>
    <n v="34825466"/>
    <x v="0"/>
    <m/>
    <m/>
    <x v="0"/>
    <x v="0"/>
    <x v="0"/>
    <x v="1"/>
    <x v="0"/>
    <x v="0"/>
    <m/>
    <x v="0"/>
    <x v="1"/>
    <x v="0"/>
    <x v="0"/>
    <x v="0"/>
    <x v="1"/>
    <n v="282.81711483138884"/>
    <n v="115.95501704757338"/>
    <n v="0"/>
    <d v="2023-08-30T00:00:00"/>
    <x v="0"/>
  </r>
  <r>
    <n v="595"/>
    <d v="2023-07-31T00:00:00"/>
    <s v="KAPW-FS-13483-26-07-2023"/>
    <d v="2023-07-26T00:00:00"/>
    <x v="0"/>
    <x v="0"/>
    <n v="12729.93"/>
    <x v="1"/>
    <x v="0"/>
    <n v="5509.21"/>
    <n v="1.95"/>
    <n v="0"/>
    <n v="0"/>
    <x v="3"/>
    <s v="WOVEN -50% POST CONS POLY -25% POST CONS REC COTTON- 25% PRE CONS REC COTTON YARN RAW WHITE 14/1"/>
    <n v="7302955"/>
    <x v="0"/>
    <n v="2994212"/>
    <x v="0"/>
    <m/>
    <m/>
    <x v="0"/>
    <x v="0"/>
    <x v="0"/>
    <x v="1"/>
    <x v="0"/>
    <x v="0"/>
    <m/>
    <x v="0"/>
    <x v="1"/>
    <x v="0"/>
    <x v="0"/>
    <x v="0"/>
    <x v="3"/>
    <n v="573.68383015460415"/>
    <n v="235.21040571315004"/>
    <n v="0"/>
    <d v="2023-08-30T00:00:00"/>
    <x v="0"/>
  </r>
  <r>
    <n v="596"/>
    <d v="2023-07-26T00:00:00"/>
    <s v="KAPS-FS-10920-26-07-2023"/>
    <d v="2023-07-26T00:00:00"/>
    <x v="0"/>
    <x v="0"/>
    <n v="19300"/>
    <x v="1"/>
    <x v="0"/>
    <s v="3906.9090 / 3809.9190"/>
    <s v="3.20 / 1.55"/>
    <n v="0"/>
    <n v="0"/>
    <x v="12"/>
    <s v="CHEMICAL (PERIPRINT / PERIGEN)"/>
    <n v="16771371"/>
    <x v="0"/>
    <n v="7035683"/>
    <x v="0"/>
    <m/>
    <m/>
    <x v="0"/>
    <x v="0"/>
    <x v="0"/>
    <x v="1"/>
    <x v="0"/>
    <x v="0"/>
    <m/>
    <x v="0"/>
    <x v="1"/>
    <x v="0"/>
    <x v="0"/>
    <x v="0"/>
    <x v="5"/>
    <n v="868.98295336787567"/>
    <n v="364.54316062176167"/>
    <n v="0"/>
    <d v="2023-08-25T00:00:00"/>
    <x v="0"/>
  </r>
  <r>
    <n v="597"/>
    <d v="2023-08-07T00:00:00"/>
    <s v="KAPS-FS-13465-02-08-2023"/>
    <d v="2023-08-02T00:00:00"/>
    <x v="0"/>
    <x v="0"/>
    <n v="8070"/>
    <x v="1"/>
    <x v="0"/>
    <n v="5407.52"/>
    <n v="5.2"/>
    <n v="0"/>
    <n v="0"/>
    <x v="11"/>
    <s v="100% POLYESTER FABRIC ASSORTIS 2401+2402 82GSM,WIDTH:242,269CM (38813/MTRS) "/>
    <n v="12290026"/>
    <x v="0"/>
    <n v="5653412"/>
    <x v="0"/>
    <m/>
    <m/>
    <x v="0"/>
    <x v="0"/>
    <x v="0"/>
    <x v="2"/>
    <x v="0"/>
    <x v="0"/>
    <m/>
    <x v="0"/>
    <x v="1"/>
    <x v="0"/>
    <x v="0"/>
    <x v="0"/>
    <x v="2"/>
    <n v="1522.9276332094175"/>
    <n v="700.54671623296156"/>
    <n v="0"/>
    <d v="2023-09-06T00:00:00"/>
    <x v="0"/>
  </r>
  <r>
    <n v="598"/>
    <d v="2023-08-08T00:00:00"/>
    <s v="KAPS-FS-14443-04-08-2023"/>
    <d v="2023-08-04T00:00:00"/>
    <x v="0"/>
    <x v="0"/>
    <n v="44000"/>
    <x v="1"/>
    <x v="0"/>
    <n v="2832.1089999999999"/>
    <n v="1.9"/>
    <n v="0"/>
    <n v="0"/>
    <x v="12"/>
    <s v="HYDROBLUE 90"/>
    <n v="24714248"/>
    <x v="0"/>
    <n v="7414275"/>
    <x v="0"/>
    <m/>
    <m/>
    <x v="0"/>
    <x v="0"/>
    <x v="0"/>
    <x v="1"/>
    <x v="0"/>
    <x v="0"/>
    <m/>
    <x v="0"/>
    <x v="1"/>
    <x v="0"/>
    <x v="0"/>
    <x v="0"/>
    <x v="5"/>
    <n v="561.68745454545456"/>
    <n v="168.50624999999999"/>
    <n v="0"/>
    <d v="2023-09-07T00:00:00"/>
    <x v="0"/>
  </r>
  <r>
    <n v="599"/>
    <d v="2023-08-07T00:00:00"/>
    <s v="KAPS-FS-14441-04-08-2023"/>
    <d v="2023-08-04T00:00:00"/>
    <x v="0"/>
    <x v="0"/>
    <n v="19720"/>
    <x v="1"/>
    <x v="0"/>
    <n v="3906.9029999999998"/>
    <n v="2.4"/>
    <n v="0"/>
    <n v="0"/>
    <x v="12"/>
    <s v="Chemical ACRYLIC POLYMER EMULSION M-PRINT RT"/>
    <n v="13991339"/>
    <x v="0"/>
    <n v="4617142"/>
    <x v="0"/>
    <m/>
    <m/>
    <x v="0"/>
    <x v="0"/>
    <x v="0"/>
    <x v="1"/>
    <x v="0"/>
    <x v="0"/>
    <m/>
    <x v="0"/>
    <x v="1"/>
    <x v="0"/>
    <x v="0"/>
    <x v="0"/>
    <x v="5"/>
    <n v="709.49994929006084"/>
    <n v="234.13498985801218"/>
    <n v="0"/>
    <d v="2023-09-06T00:00:00"/>
    <x v="0"/>
  </r>
  <r>
    <n v="600"/>
    <d v="2023-08-17T00:00:00"/>
    <s v="KAPE-FS-9023-07-08-2023"/>
    <d v="2023-08-07T00:00:00"/>
    <x v="1"/>
    <x v="0"/>
    <n v="17893.82"/>
    <x v="1"/>
    <x v="0"/>
    <n v="4810.29"/>
    <n v="0.92"/>
    <n v="0"/>
    <n v="0"/>
    <x v="9"/>
    <s v="2/S COATED ART BOARD "/>
    <n v="4829727"/>
    <x v="0"/>
    <n v="2414863"/>
    <x v="0"/>
    <m/>
    <m/>
    <x v="0"/>
    <x v="0"/>
    <x v="0"/>
    <x v="1"/>
    <x v="0"/>
    <x v="0"/>
    <m/>
    <x v="0"/>
    <x v="1"/>
    <x v="0"/>
    <x v="0"/>
    <x v="0"/>
    <x v="6"/>
    <n v="269.91033775906988"/>
    <n v="134.95514093692682"/>
    <n v="0"/>
    <d v="2023-08-22T00:00:00"/>
    <x v="0"/>
  </r>
  <r>
    <n v="601"/>
    <d v="2023-08-09T00:00:00"/>
    <s v="KAPS-FS-15439-07-08-2023"/>
    <d v="2023-08-07T00:00:00"/>
    <x v="0"/>
    <x v="0"/>
    <n v="26000"/>
    <x v="1"/>
    <x v="0"/>
    <s v="3402.4190 / 3402.4200"/>
    <s v="15.00 / 11.70"/>
    <n v="0"/>
    <n v="0"/>
    <x v="12"/>
    <s v="Chemical (DYMAFIX / WETMATIC)"/>
    <n v="14105572"/>
    <x v="0"/>
    <n v="6783968"/>
    <x v="0"/>
    <m/>
    <m/>
    <x v="0"/>
    <x v="0"/>
    <x v="0"/>
    <x v="1"/>
    <x v="0"/>
    <x v="0"/>
    <m/>
    <x v="0"/>
    <x v="1"/>
    <x v="0"/>
    <x v="0"/>
    <x v="0"/>
    <x v="5"/>
    <n v="542.52200000000005"/>
    <n v="260.92184615384616"/>
    <n v="0"/>
    <d v="2023-09-08T00:00:00"/>
    <x v="0"/>
  </r>
  <r>
    <n v="602"/>
    <d v="2023-08-07T00:00:00"/>
    <s v="KAPS-FS-15113-07-08-2023"/>
    <d v="2023-08-07T00:00:00"/>
    <x v="0"/>
    <x v="0"/>
    <n v="11800"/>
    <x v="1"/>
    <x v="0"/>
    <s v="3204.1190 /3204.1600 / 3204.1590"/>
    <s v="28.1332 / 9.7964 / 17.5832 / 11.8561 / 8.7414 / 8.9926 / 19.0904 / 226.5724 / 62.7972"/>
    <n v="0"/>
    <n v="0"/>
    <x v="5"/>
    <s v="DYES (BEMCARON / BEZAKTIV / BEZATHREN)"/>
    <n v="108882935"/>
    <x v="0"/>
    <n v="49529757"/>
    <x v="0"/>
    <m/>
    <m/>
    <x v="0"/>
    <x v="0"/>
    <x v="0"/>
    <x v="1"/>
    <x v="0"/>
    <x v="0"/>
    <m/>
    <x v="0"/>
    <x v="1"/>
    <x v="0"/>
    <x v="0"/>
    <x v="0"/>
    <x v="4"/>
    <n v="9227.3673728813555"/>
    <n v="4197.4370338983053"/>
    <n v="0"/>
    <d v="2023-09-06T00:00:00"/>
    <x v="0"/>
  </r>
  <r>
    <n v="603"/>
    <d v="2023-08-08T00:00:00"/>
    <s v="KAPE-FS-9119-08-08-2023"/>
    <d v="2023-08-08T00:00:00"/>
    <x v="0"/>
    <x v="0"/>
    <n v="1780"/>
    <x v="1"/>
    <x v="0"/>
    <n v="5407.52"/>
    <n v="7.6867000000000001"/>
    <n v="0"/>
    <n v="0"/>
    <x v="2"/>
    <s v="78% POLYESTER 17% VISCOSE ,5% ELSTANE FABRIC 57 CUTTABLE WIDTH WEIGTH :200GSM (6108.2/MTRS"/>
    <n v="4012038"/>
    <x v="0"/>
    <n v="1845538"/>
    <x v="0"/>
    <m/>
    <m/>
    <x v="0"/>
    <x v="0"/>
    <x v="0"/>
    <x v="1"/>
    <x v="0"/>
    <x v="0"/>
    <m/>
    <x v="0"/>
    <x v="1"/>
    <x v="0"/>
    <x v="0"/>
    <x v="0"/>
    <x v="2"/>
    <n v="2253.9539325842698"/>
    <n v="1036.8191011235956"/>
    <n v="0"/>
    <d v="2023-09-07T00:00:00"/>
    <x v="0"/>
  </r>
  <r>
    <n v="604"/>
    <d v="2023-08-11T00:00:00"/>
    <s v="KAPW-FS-20224-10-08-2023"/>
    <d v="2023-08-10T00:00:00"/>
    <x v="0"/>
    <x v="0"/>
    <n v="4800"/>
    <x v="1"/>
    <x v="0"/>
    <n v="3204.1590000000001"/>
    <n v="47.046799999999998"/>
    <n v="0"/>
    <n v="0"/>
    <x v="5"/>
    <s v="DYES (FARBANTHREN)"/>
    <n v="66425377"/>
    <x v="0"/>
    <n v="30555673"/>
    <x v="0"/>
    <m/>
    <m/>
    <x v="0"/>
    <x v="0"/>
    <x v="0"/>
    <x v="1"/>
    <x v="0"/>
    <x v="0"/>
    <m/>
    <x v="0"/>
    <x v="1"/>
    <x v="0"/>
    <x v="0"/>
    <x v="0"/>
    <x v="4"/>
    <n v="13838.620208333334"/>
    <n v="6365.7652083333332"/>
    <n v="0"/>
    <d v="2023-09-10T00:00:00"/>
    <x v="0"/>
  </r>
  <r>
    <n v="605"/>
    <d v="2023-08-17T00:00:00"/>
    <s v="KAPE-FS-9741-10-08-2023"/>
    <d v="2023-08-10T00:00:00"/>
    <x v="0"/>
    <x v="0"/>
    <n v="3050"/>
    <x v="1"/>
    <x v="0"/>
    <n v="3204.1590000000001"/>
    <n v="32.131100000000004"/>
    <n v="0"/>
    <n v="0"/>
    <x v="5"/>
    <s v="DYES (INDANTHREN)"/>
    <n v="28826249"/>
    <x v="0"/>
    <n v="13260075"/>
    <x v="0"/>
    <m/>
    <m/>
    <x v="0"/>
    <x v="0"/>
    <x v="0"/>
    <x v="1"/>
    <x v="0"/>
    <x v="0"/>
    <m/>
    <x v="0"/>
    <x v="1"/>
    <x v="0"/>
    <x v="0"/>
    <x v="0"/>
    <x v="4"/>
    <n v="9451.2291803278695"/>
    <n v="4347.5655737704919"/>
    <n v="0"/>
    <d v="2023-09-16T00:00:00"/>
    <x v="0"/>
  </r>
  <r>
    <n v="606"/>
    <d v="2023-08-15T00:00:00"/>
    <s v="KPPI-FS-8359-10-08-2023"/>
    <d v="2023-08-10T00:00:00"/>
    <x v="0"/>
    <x v="0"/>
    <n v="25890"/>
    <x v="1"/>
    <x v="0"/>
    <n v="5201.009"/>
    <n v="1.962"/>
    <n v="0"/>
    <n v="0"/>
    <x v="0"/>
    <s v="Raw Cotton"/>
    <n v="14941485"/>
    <x v="0"/>
    <n v="4482445"/>
    <x v="0"/>
    <m/>
    <m/>
    <x v="0"/>
    <x v="0"/>
    <x v="0"/>
    <x v="1"/>
    <x v="0"/>
    <x v="0"/>
    <m/>
    <x v="0"/>
    <x v="1"/>
    <x v="0"/>
    <x v="0"/>
    <x v="0"/>
    <x v="0"/>
    <n v="577.11413673232903"/>
    <n v="173.13422170722288"/>
    <n v="0"/>
    <d v="2023-09-14T00:00:00"/>
    <x v="0"/>
  </r>
  <r>
    <n v="607"/>
    <d v="2023-08-15T00:00:00"/>
    <s v="KPPI-FS-8357-10-08-2023"/>
    <d v="2023-08-10T00:00:00"/>
    <x v="0"/>
    <x v="0"/>
    <n v="241865"/>
    <x v="1"/>
    <x v="0"/>
    <n v="5201.009"/>
    <n v="1.962"/>
    <n v="0"/>
    <n v="0"/>
    <x v="0"/>
    <s v="Raw Cotton"/>
    <n v="139583709"/>
    <x v="0"/>
    <n v="41875113"/>
    <x v="0"/>
    <m/>
    <m/>
    <x v="0"/>
    <x v="0"/>
    <x v="0"/>
    <x v="1"/>
    <x v="0"/>
    <x v="0"/>
    <m/>
    <x v="0"/>
    <x v="1"/>
    <x v="0"/>
    <x v="0"/>
    <x v="0"/>
    <x v="0"/>
    <n v="577.11412978314354"/>
    <n v="173.1342401753044"/>
    <n v="0"/>
    <d v="2023-09-14T00:00:00"/>
    <x v="0"/>
  </r>
  <r>
    <n v="608"/>
    <d v="2023-08-16T00:00:00"/>
    <s v="KAPS-FS-17123-11-08-2023"/>
    <d v="2023-08-11T00:00:00"/>
    <x v="0"/>
    <x v="0"/>
    <n v="24480"/>
    <x v="1"/>
    <x v="0"/>
    <n v="5402.33"/>
    <n v="1.3"/>
    <n v="0"/>
    <n v="0"/>
    <x v="6"/>
    <s v="100% POLYESTER YARN DTY 300D/96F SD RW HIM AA GRADE"/>
    <n v="9346288"/>
    <x v="0"/>
    <n v="3831979"/>
    <x v="0"/>
    <m/>
    <m/>
    <x v="0"/>
    <x v="0"/>
    <x v="0"/>
    <x v="1"/>
    <x v="0"/>
    <x v="0"/>
    <m/>
    <x v="0"/>
    <x v="1"/>
    <x v="0"/>
    <x v="0"/>
    <x v="0"/>
    <x v="3"/>
    <n v="381.79281045751634"/>
    <n v="156.53508986928105"/>
    <n v="0"/>
    <d v="2023-09-15T00:00:00"/>
    <x v="0"/>
  </r>
  <r>
    <n v="609"/>
    <d v="2023-08-22T00:00:00"/>
    <s v="KAPW-FS-23513-17-08-2023"/>
    <d v="2023-08-17T00:00:00"/>
    <x v="0"/>
    <x v="0"/>
    <n v="500"/>
    <x v="1"/>
    <x v="0"/>
    <n v="3204.16"/>
    <n v="24.36"/>
    <n v="0"/>
    <n v="0"/>
    <x v="5"/>
    <s v="DYES (EVERZOL)"/>
    <n v="3626804"/>
    <x v="0"/>
    <n v="1668330"/>
    <x v="0"/>
    <m/>
    <m/>
    <x v="0"/>
    <x v="0"/>
    <x v="0"/>
    <x v="1"/>
    <x v="0"/>
    <x v="0"/>
    <m/>
    <x v="0"/>
    <x v="1"/>
    <x v="0"/>
    <x v="0"/>
    <x v="0"/>
    <x v="4"/>
    <n v="7253.6080000000002"/>
    <n v="3336.66"/>
    <n v="0"/>
    <d v="2023-09-21T00:00:00"/>
    <x v="0"/>
  </r>
  <r>
    <n v="610"/>
    <d v="2023-08-27T00:00:00"/>
    <s v="KPPI-FS-10403-22-08-2023"/>
    <d v="2023-08-22T00:00:00"/>
    <x v="0"/>
    <x v="0"/>
    <n v="274493"/>
    <x v="1"/>
    <x v="0"/>
    <n v="5201.009"/>
    <n v="2.0282"/>
    <n v="0"/>
    <n v="0"/>
    <x v="0"/>
    <s v="Raw Cotton"/>
    <n v="168216989"/>
    <x v="0"/>
    <n v="50465097"/>
    <x v="0"/>
    <m/>
    <m/>
    <x v="0"/>
    <x v="0"/>
    <x v="0"/>
    <x v="1"/>
    <x v="0"/>
    <x v="0"/>
    <m/>
    <x v="0"/>
    <x v="1"/>
    <x v="0"/>
    <x v="0"/>
    <x v="0"/>
    <x v="0"/>
    <n v="612.82797375525058"/>
    <n v="183.84839321949923"/>
    <n v="0"/>
    <d v="2023-09-26T00:00:00"/>
    <x v="0"/>
  </r>
  <r>
    <n v="611"/>
    <d v="2023-08-26T00:00:00"/>
    <s v="KAPE-FS-12872-22-08-2023"/>
    <d v="2023-08-22T00:00:00"/>
    <x v="0"/>
    <x v="0"/>
    <n v="102083"/>
    <x v="1"/>
    <x v="0"/>
    <n v="5201.009"/>
    <n v="2.0777999999999999"/>
    <n v="0"/>
    <n v="0"/>
    <x v="0"/>
    <s v="Raw Cotton"/>
    <n v="64089217"/>
    <x v="0"/>
    <n v="19226765"/>
    <x v="0"/>
    <m/>
    <m/>
    <x v="0"/>
    <x v="0"/>
    <x v="0"/>
    <x v="1"/>
    <x v="0"/>
    <x v="0"/>
    <m/>
    <x v="0"/>
    <x v="1"/>
    <x v="0"/>
    <x v="0"/>
    <x v="0"/>
    <x v="0"/>
    <n v="627.81478796665454"/>
    <n v="188.34443541040133"/>
    <n v="0"/>
    <d v="2023-09-25T00:00:00"/>
    <x v="0"/>
  </r>
  <r>
    <n v="612"/>
    <d v="2023-08-29T00:00:00"/>
    <s v="KAPS-FS-22034-24-08-2023"/>
    <d v="2023-08-24T00:00:00"/>
    <x v="0"/>
    <x v="0"/>
    <n v="157320"/>
    <x v="1"/>
    <x v="0"/>
    <n v="5503.201"/>
    <n v="1"/>
    <n v="0"/>
    <n v="0"/>
    <x v="1"/>
    <s v="Polyester Staple Fiber"/>
    <n v="48048350"/>
    <x v="0"/>
    <n v="19699824"/>
    <x v="0"/>
    <m/>
    <m/>
    <x v="0"/>
    <x v="0"/>
    <x v="0"/>
    <x v="1"/>
    <x v="0"/>
    <x v="0"/>
    <m/>
    <x v="0"/>
    <x v="1"/>
    <x v="0"/>
    <x v="0"/>
    <x v="0"/>
    <x v="1"/>
    <n v="305.41793796084414"/>
    <n v="125.22135774218154"/>
    <n v="0"/>
    <d v="2023-09-28T00:00:00"/>
    <x v="0"/>
  </r>
  <r>
    <n v="613"/>
    <d v="2023-08-30T00:00:00"/>
    <s v="KPPI-FS-11015-24-08-2023"/>
    <d v="2023-08-24T00:00:00"/>
    <x v="0"/>
    <x v="0"/>
    <n v="237435.2"/>
    <x v="1"/>
    <x v="0"/>
    <n v="5201.009"/>
    <n v="1.9466000000000001"/>
    <n v="0"/>
    <n v="0"/>
    <x v="0"/>
    <s v="Raw Cotton"/>
    <n v="141161533"/>
    <x v="0"/>
    <n v="42348460"/>
    <x v="0"/>
    <m/>
    <m/>
    <x v="0"/>
    <x v="0"/>
    <x v="0"/>
    <x v="1"/>
    <x v="0"/>
    <x v="0"/>
    <m/>
    <x v="0"/>
    <x v="1"/>
    <x v="0"/>
    <x v="0"/>
    <x v="0"/>
    <x v="0"/>
    <n v="594.52656135231837"/>
    <n v="178.35796882686307"/>
    <n v="0"/>
    <d v="2023-09-29T00:00:00"/>
    <x v="0"/>
  </r>
  <r>
    <n v="614"/>
    <d v="2023-08-25T00:00:00"/>
    <s v="KAPE-FS-13569-24-08-2023"/>
    <d v="2023-08-24T00:00:00"/>
    <x v="0"/>
    <x v="0"/>
    <n v="299746.59999999998"/>
    <x v="1"/>
    <x v="0"/>
    <n v="5503.201"/>
    <n v="0.96"/>
    <n v="0"/>
    <n v="0"/>
    <x v="1"/>
    <s v="Polyester Staple Fiber"/>
    <n v="87886070"/>
    <x v="0"/>
    <n v="36033289"/>
    <x v="0"/>
    <m/>
    <m/>
    <x v="0"/>
    <x v="0"/>
    <x v="0"/>
    <x v="1"/>
    <x v="0"/>
    <x v="0"/>
    <m/>
    <x v="0"/>
    <x v="1"/>
    <x v="0"/>
    <x v="0"/>
    <x v="0"/>
    <x v="1"/>
    <n v="293.20122396717761"/>
    <n v="120.21250282738821"/>
    <n v="0"/>
    <d v="2023-09-24T00:00:00"/>
    <x v="0"/>
  </r>
  <r>
    <n v="615"/>
    <d v="2023-09-01T00:00:00"/>
    <s v="KPPI-FS-11649-28-08-2023"/>
    <d v="2023-08-28T00:00:00"/>
    <x v="0"/>
    <x v="0"/>
    <n v="198962"/>
    <x v="1"/>
    <x v="0"/>
    <n v="5201.009"/>
    <n v="2.0282"/>
    <n v="0"/>
    <n v="0"/>
    <x v="0"/>
    <s v="Raw Cotton"/>
    <n v="123699556"/>
    <x v="0"/>
    <n v="37109867"/>
    <x v="0"/>
    <m/>
    <m/>
    <x v="0"/>
    <x v="0"/>
    <x v="0"/>
    <x v="1"/>
    <x v="0"/>
    <x v="0"/>
    <m/>
    <x v="0"/>
    <x v="1"/>
    <x v="0"/>
    <x v="0"/>
    <x v="0"/>
    <x v="0"/>
    <n v="621.72453031232089"/>
    <n v="186.51736009891337"/>
    <n v="0"/>
    <d v="2023-10-01T00:00:00"/>
    <x v="0"/>
  </r>
  <r>
    <n v="616"/>
    <d v="2023-09-01T00:00:00"/>
    <s v="KPPI-FS-11650-28-08-2023"/>
    <d v="2023-08-28T00:00:00"/>
    <x v="0"/>
    <x v="0"/>
    <n v="24648"/>
    <x v="1"/>
    <x v="0"/>
    <n v="5201.009"/>
    <n v="2.0282"/>
    <n v="0"/>
    <n v="0"/>
    <x v="0"/>
    <s v="Raw Cotton"/>
    <n v="15324266"/>
    <x v="0"/>
    <n v="4597280"/>
    <x v="0"/>
    <m/>
    <m/>
    <x v="0"/>
    <x v="0"/>
    <x v="0"/>
    <x v="1"/>
    <x v="0"/>
    <x v="0"/>
    <m/>
    <x v="0"/>
    <x v="1"/>
    <x v="0"/>
    <x v="0"/>
    <x v="0"/>
    <x v="0"/>
    <n v="621.72452125933137"/>
    <n v="186.51736449204805"/>
    <n v="0"/>
    <d v="2023-10-01T00:00:00"/>
    <x v="0"/>
  </r>
  <r>
    <n v="617"/>
    <d v="2023-08-29T00:00:00"/>
    <s v="KAPS-FS-23283-28-08-2023"/>
    <d v="2023-08-28T00:00:00"/>
    <x v="0"/>
    <x v="0"/>
    <n v="24480"/>
    <x v="1"/>
    <x v="0"/>
    <n v="5402.33"/>
    <n v="1.3"/>
    <n v="0"/>
    <n v="0"/>
    <x v="6"/>
    <s v="100% POLYESTER TEXTRED YARN (DTY 300D/96F)"/>
    <n v="9755331"/>
    <x v="0"/>
    <n v="3999686"/>
    <x v="0"/>
    <m/>
    <m/>
    <x v="0"/>
    <x v="0"/>
    <x v="0"/>
    <x v="1"/>
    <x v="0"/>
    <x v="0"/>
    <m/>
    <x v="0"/>
    <x v="1"/>
    <x v="0"/>
    <x v="0"/>
    <x v="0"/>
    <x v="3"/>
    <n v="398.50208333333336"/>
    <n v="163.3858660130719"/>
    <n v="0"/>
    <d v="2023-09-28T00:00:00"/>
    <x v="0"/>
  </r>
  <r>
    <n v="618"/>
    <d v="2023-09-06T00:00:00"/>
    <s v="KAPS-FS-23743-29-08-2023"/>
    <d v="2023-08-29T00:00:00"/>
    <x v="0"/>
    <x v="0"/>
    <n v="4000"/>
    <x v="1"/>
    <x v="0"/>
    <n v="3906.9090000000001"/>
    <n v="12.6"/>
    <n v="0"/>
    <n v="0"/>
    <x v="12"/>
    <s v="CHEMICAL (NUVA)"/>
    <n v="15498461"/>
    <x v="0"/>
    <n v="6354369"/>
    <x v="0"/>
    <m/>
    <m/>
    <x v="0"/>
    <x v="0"/>
    <x v="0"/>
    <x v="1"/>
    <x v="0"/>
    <x v="0"/>
    <m/>
    <x v="0"/>
    <x v="1"/>
    <x v="0"/>
    <x v="0"/>
    <x v="0"/>
    <x v="5"/>
    <n v="3874.6152499999998"/>
    <n v="1588.5922499999999"/>
    <n v="0"/>
    <d v="2023-10-06T00:00:00"/>
    <x v="0"/>
  </r>
  <r>
    <n v="619"/>
    <d v="2023-09-01T00:00:00"/>
    <s v="KAPW-FS-29391-29-08-2023"/>
    <d v="2023-08-29T00:00:00"/>
    <x v="0"/>
    <x v="0"/>
    <n v="1471.5"/>
    <x v="1"/>
    <x v="0"/>
    <n v="5407.52"/>
    <n v="5.3358999999999996"/>
    <n v="0"/>
    <n v="0"/>
    <x v="11"/>
    <s v="100% POLYESTER MESH FABRIC WHITE AND BLACK 170GSM,WIDTH:150CM, (18719.8/MTRS) "/>
    <n v="2414493"/>
    <x v="0"/>
    <n v="1110667"/>
    <x v="0"/>
    <m/>
    <m/>
    <x v="0"/>
    <x v="0"/>
    <x v="0"/>
    <x v="2"/>
    <x v="0"/>
    <x v="0"/>
    <m/>
    <x v="0"/>
    <x v="1"/>
    <x v="0"/>
    <x v="0"/>
    <x v="0"/>
    <x v="2"/>
    <n v="1640.8379204892967"/>
    <n v="754.78559293238197"/>
    <n v="0"/>
    <d v="2023-10-01T00:00:00"/>
    <x v="0"/>
  </r>
  <r>
    <n v="620"/>
    <d v="2023-09-05T00:00:00"/>
    <s v="KAPE-FS-15673-01-09-2023"/>
    <d v="2023-09-01T00:00:00"/>
    <x v="0"/>
    <x v="0"/>
    <n v="298629.40000000002"/>
    <x v="1"/>
    <x v="0"/>
    <n v="5503.201"/>
    <n v="0.96"/>
    <n v="0"/>
    <n v="0"/>
    <x v="1"/>
    <s v="Polyester Staple Fiber"/>
    <n v="89166961"/>
    <x v="0"/>
    <n v="36558454"/>
    <x v="0"/>
    <m/>
    <m/>
    <x v="0"/>
    <x v="0"/>
    <x v="0"/>
    <x v="1"/>
    <x v="0"/>
    <x v="0"/>
    <m/>
    <x v="0"/>
    <x v="1"/>
    <x v="0"/>
    <x v="0"/>
    <x v="0"/>
    <x v="1"/>
    <n v="298.58734940364207"/>
    <n v="122.42081322200693"/>
    <n v="0"/>
    <d v="2023-10-05T00:00:00"/>
    <x v="0"/>
  </r>
  <r>
    <n v="621"/>
    <d v="2023-09-06T00:00:00"/>
    <s v="KPPI-FS-12579-01-09-2023"/>
    <d v="2023-09-01T00:00:00"/>
    <x v="0"/>
    <x v="0"/>
    <n v="38080"/>
    <x v="1"/>
    <x v="0"/>
    <n v="2915.11"/>
    <n v="0.77"/>
    <n v="0"/>
    <n v="0"/>
    <x v="12"/>
    <s v="Chemical (Formic Acid)"/>
    <n v="9119853"/>
    <x v="0"/>
    <n v="4195132"/>
    <x v="0"/>
    <m/>
    <m/>
    <x v="0"/>
    <x v="0"/>
    <x v="0"/>
    <x v="1"/>
    <x v="0"/>
    <x v="0"/>
    <m/>
    <x v="0"/>
    <x v="1"/>
    <x v="0"/>
    <x v="0"/>
    <x v="0"/>
    <x v="5"/>
    <n v="239.49193802521009"/>
    <n v="110.16628151260504"/>
    <n v="0"/>
    <d v="2023-10-06T00:00:00"/>
    <x v="0"/>
  </r>
  <r>
    <n v="622"/>
    <d v="2023-09-10T00:00:00"/>
    <s v="KAPW-FS-31229-01-09-2023"/>
    <d v="2023-09-01T00:00:00"/>
    <x v="0"/>
    <x v="0"/>
    <n v="225570"/>
    <x v="1"/>
    <x v="0"/>
    <n v="5201.009"/>
    <n v="1.8926000000000001"/>
    <n v="0"/>
    <n v="0"/>
    <x v="0"/>
    <s v="Raw Cotton"/>
    <n v="132782349"/>
    <x v="0"/>
    <n v="39834705"/>
    <x v="0"/>
    <m/>
    <m/>
    <x v="0"/>
    <x v="0"/>
    <x v="0"/>
    <x v="1"/>
    <x v="0"/>
    <x v="0"/>
    <m/>
    <x v="0"/>
    <x v="1"/>
    <x v="0"/>
    <x v="0"/>
    <x v="0"/>
    <x v="0"/>
    <n v="588.65252028195243"/>
    <n v="176.59575741454981"/>
    <n v="0"/>
    <d v="2023-10-10T00:00:00"/>
    <x v="0"/>
  </r>
  <r>
    <n v="623"/>
    <d v="2023-09-06T00:00:00"/>
    <s v="KPPI-FS-12580-01-09-2023"/>
    <d v="2023-09-01T00:00:00"/>
    <x v="0"/>
    <x v="0"/>
    <n v="80982"/>
    <x v="1"/>
    <x v="0"/>
    <n v="5201.009"/>
    <n v="2.2265999999999999"/>
    <n v="0"/>
    <n v="0"/>
    <x v="0"/>
    <s v="Raw Cotton"/>
    <n v="56082953"/>
    <x v="0"/>
    <n v="16824886"/>
    <x v="0"/>
    <m/>
    <m/>
    <x v="0"/>
    <x v="0"/>
    <x v="0"/>
    <x v="1"/>
    <x v="0"/>
    <x v="0"/>
    <m/>
    <x v="0"/>
    <x v="1"/>
    <x v="0"/>
    <x v="0"/>
    <x v="0"/>
    <x v="0"/>
    <n v="692.53603269862435"/>
    <n v="207.76081104442963"/>
    <n v="0"/>
    <d v="2023-10-06T00:00:00"/>
    <x v="0"/>
  </r>
  <r>
    <n v="624"/>
    <d v="2023-09-05T00:00:00"/>
    <s v="KAPS-FS-24917-01-09-2023"/>
    <d v="2023-09-01T00:00:00"/>
    <x v="0"/>
    <x v="0"/>
    <n v="38080"/>
    <x v="1"/>
    <x v="0"/>
    <n v="2915.11"/>
    <n v="0.89"/>
    <n v="0"/>
    <n v="0"/>
    <x v="12"/>
    <s v="Chemical (Formic Acid)"/>
    <n v="10541129"/>
    <x v="0"/>
    <n v="4848919"/>
    <x v="0"/>
    <m/>
    <m/>
    <x v="0"/>
    <x v="0"/>
    <x v="0"/>
    <x v="1"/>
    <x v="0"/>
    <x v="0"/>
    <m/>
    <x v="0"/>
    <x v="1"/>
    <x v="0"/>
    <x v="0"/>
    <x v="0"/>
    <x v="5"/>
    <n v="276.81536239495796"/>
    <n v="127.33505777310924"/>
    <n v="0"/>
    <d v="2023-10-05T00:00:00"/>
    <x v="0"/>
  </r>
  <r>
    <n v="625"/>
    <d v="2023-09-12T00:00:00"/>
    <s v="KPPI-FS-13437-05-09-2023"/>
    <d v="2023-06-05T00:00:00"/>
    <x v="0"/>
    <x v="0"/>
    <n v="231329.8"/>
    <x v="1"/>
    <x v="0"/>
    <n v="5201.009"/>
    <n v="1.962"/>
    <n v="0"/>
    <n v="0"/>
    <x v="0"/>
    <s v="Raw Cotton"/>
    <n v="141606053"/>
    <x v="0"/>
    <n v="42481816"/>
    <x v="0"/>
    <m/>
    <m/>
    <x v="0"/>
    <x v="0"/>
    <x v="0"/>
    <x v="1"/>
    <x v="0"/>
    <x v="0"/>
    <m/>
    <x v="0"/>
    <x v="1"/>
    <x v="0"/>
    <x v="0"/>
    <x v="0"/>
    <x v="0"/>
    <n v="612.13926178123188"/>
    <n v="183.64177896665282"/>
    <n v="0"/>
    <d v="2023-10-12T00:00:00"/>
    <x v="0"/>
  </r>
  <r>
    <n v="626"/>
    <d v="2023-09-12T00:00:00"/>
    <s v="KPPI-FS-13434-05-09-2023"/>
    <d v="2023-06-05T00:00:00"/>
    <x v="0"/>
    <x v="0"/>
    <n v="20139"/>
    <x v="1"/>
    <x v="0"/>
    <n v="5201.009"/>
    <n v="2.0777999999999999"/>
    <n v="0"/>
    <n v="0"/>
    <x v="0"/>
    <s v="Raw Cotton"/>
    <n v="13055481"/>
    <x v="0"/>
    <n v="3916645"/>
    <x v="0"/>
    <m/>
    <m/>
    <x v="0"/>
    <x v="0"/>
    <x v="0"/>
    <x v="1"/>
    <x v="0"/>
    <x v="0"/>
    <m/>
    <x v="0"/>
    <x v="1"/>
    <x v="0"/>
    <x v="0"/>
    <x v="0"/>
    <x v="0"/>
    <n v="648.26858334574706"/>
    <n v="194.48060976215302"/>
    <n v="0"/>
    <d v="2023-10-12T00:00:00"/>
    <x v="0"/>
  </r>
  <r>
    <n v="627"/>
    <d v="2023-09-07T00:00:00"/>
    <s v="KAPE-FS-16848-06-09-2023"/>
    <d v="2023-09-06T00:00:00"/>
    <x v="0"/>
    <x v="0"/>
    <n v="24480"/>
    <x v="1"/>
    <x v="0"/>
    <n v="5402.33"/>
    <n v="1.35"/>
    <n v="0"/>
    <n v="0"/>
    <x v="6"/>
    <s v="100% POLYESTER TEXTRED YARN (DTY 150D/48F) HIM RW SD AA GRADE"/>
    <n v="10315953"/>
    <x v="0"/>
    <n v="4229541"/>
    <x v="0"/>
    <m/>
    <m/>
    <x v="0"/>
    <x v="0"/>
    <x v="0"/>
    <x v="1"/>
    <x v="0"/>
    <x v="0"/>
    <m/>
    <x v="0"/>
    <x v="1"/>
    <x v="0"/>
    <x v="0"/>
    <x v="0"/>
    <x v="3"/>
    <n v="421.40330882352941"/>
    <n v="172.77536764705883"/>
    <n v="0"/>
    <d v="2023-10-07T00:00:00"/>
    <x v="0"/>
  </r>
  <r>
    <n v="628"/>
    <d v="2023-09-07T00:00:00"/>
    <s v="KAPS-FS-26675-06-09-2023"/>
    <d v="2023-09-06T00:00:00"/>
    <x v="0"/>
    <x v="0"/>
    <n v="26000"/>
    <x v="1"/>
    <x v="0"/>
    <n v="3402.4189999999999"/>
    <s v="15.0 / 11.70"/>
    <n v="0"/>
    <n v="0"/>
    <x v="12"/>
    <s v="Chemical (DYMAFIX / WETMATIC )"/>
    <n v="14789457"/>
    <x v="0"/>
    <n v="7394728"/>
    <x v="0"/>
    <m/>
    <m/>
    <x v="0"/>
    <x v="0"/>
    <x v="0"/>
    <x v="1"/>
    <x v="0"/>
    <x v="0"/>
    <m/>
    <x v="0"/>
    <x v="1"/>
    <x v="0"/>
    <x v="0"/>
    <x v="0"/>
    <x v="5"/>
    <n v="568.82526923076921"/>
    <n v="284.41261538461538"/>
    <n v="0"/>
    <d v="2023-10-07T00:00:00"/>
    <x v="0"/>
  </r>
  <r>
    <n v="629"/>
    <d v="2023-09-13T00:00:00"/>
    <s v="KAPW-FS-35299-08-09-2023"/>
    <d v="2023-09-08T00:00:00"/>
    <x v="0"/>
    <x v="0"/>
    <n v="7170"/>
    <x v="1"/>
    <x v="0"/>
    <n v="5407.52"/>
    <n v="14.380800000000001"/>
    <n v="0"/>
    <n v="0"/>
    <x v="11"/>
    <s v="100% POLYMIDE CORDURA FABRIC 500X500 1/1 57&quot; CUTTABLE WIDTH 210GSM COLOR: BLACK, (23171/MTRS) DETAILS AS PER INVOICE NO.HT033B23 DATED:16-AUG-2023 AND PACKING LIST"/>
    <n v="32338468"/>
    <x v="0"/>
    <n v="14875695"/>
    <x v="0"/>
    <m/>
    <m/>
    <x v="0"/>
    <x v="0"/>
    <x v="0"/>
    <x v="0"/>
    <x v="0"/>
    <x v="0"/>
    <m/>
    <x v="0"/>
    <x v="1"/>
    <x v="0"/>
    <x v="0"/>
    <x v="0"/>
    <x v="2"/>
    <n v="4510.2465829846587"/>
    <n v="2074.7133891213389"/>
    <n v="0"/>
    <d v="2023-10-13T00:00:00"/>
    <x v="0"/>
  </r>
  <r>
    <n v="630"/>
    <d v="2023-09-12T00:00:00"/>
    <s v="KAPW-FS-35066-08-09-2023"/>
    <d v="2023-09-08T00:00:00"/>
    <x v="0"/>
    <x v="0"/>
    <n v="19483.900000000001"/>
    <x v="1"/>
    <x v="0"/>
    <n v="5402.33"/>
    <n v="1.52"/>
    <n v="0"/>
    <n v="0"/>
    <x v="6"/>
    <s v="ACY YARN 300/96 WHITE +70D SPANDEX"/>
    <n v="9288310"/>
    <x v="0"/>
    <n v="3808207"/>
    <x v="0"/>
    <m/>
    <m/>
    <x v="0"/>
    <x v="0"/>
    <x v="0"/>
    <x v="1"/>
    <x v="0"/>
    <x v="0"/>
    <m/>
    <x v="0"/>
    <x v="1"/>
    <x v="0"/>
    <x v="0"/>
    <x v="0"/>
    <x v="3"/>
    <n v="476.71718701081403"/>
    <n v="195.45404154199107"/>
    <n v="0"/>
    <d v="2023-10-12T00:00:00"/>
    <x v="0"/>
  </r>
  <r>
    <n v="631"/>
    <d v="2023-09-08T00:00:00"/>
    <s v="KAPW-FS-35064-08-09-2023"/>
    <d v="2023-09-08T00:00:00"/>
    <x v="0"/>
    <x v="0"/>
    <n v="23100"/>
    <x v="1"/>
    <x v="0"/>
    <n v="5402.33"/>
    <n v="1.35"/>
    <n v="0"/>
    <n v="0"/>
    <x v="6"/>
    <s v="100% POLYESTER YARN (DTY 150D/48F SD RW HIM AA GRADE)"/>
    <n v="9780544"/>
    <x v="0"/>
    <n v="4010023"/>
    <x v="0"/>
    <m/>
    <m/>
    <x v="0"/>
    <x v="0"/>
    <x v="0"/>
    <x v="1"/>
    <x v="0"/>
    <x v="0"/>
    <m/>
    <x v="0"/>
    <x v="1"/>
    <x v="0"/>
    <x v="0"/>
    <x v="0"/>
    <x v="3"/>
    <n v="423.40017316017315"/>
    <n v="173.59406926406928"/>
    <n v="0"/>
    <d v="2023-10-08T00:00:00"/>
    <x v="0"/>
  </r>
  <r>
    <n v="632"/>
    <d v="2023-09-10T00:00:00"/>
    <s v="KAPW-FS-35531-08-09-2023"/>
    <d v="2023-09-08T00:00:00"/>
    <x v="0"/>
    <x v="0"/>
    <n v="235727"/>
    <x v="1"/>
    <x v="0"/>
    <n v="5201.009"/>
    <n v="1.8926000000000001"/>
    <n v="0"/>
    <n v="0"/>
    <x v="0"/>
    <s v="Raw Cotton"/>
    <n v="139921809"/>
    <x v="0"/>
    <n v="41976543"/>
    <x v="0"/>
    <m/>
    <m/>
    <x v="0"/>
    <x v="0"/>
    <x v="0"/>
    <x v="1"/>
    <x v="0"/>
    <x v="0"/>
    <m/>
    <x v="0"/>
    <x v="1"/>
    <x v="0"/>
    <x v="0"/>
    <x v="0"/>
    <x v="0"/>
    <n v="593.57565743423538"/>
    <n v="178.07269850292923"/>
    <n v="0"/>
    <d v="2023-10-10T00:00:00"/>
    <x v="0"/>
  </r>
  <r>
    <n v="633"/>
    <d v="2023-09-12T00:00:00"/>
    <s v="KPPI-FS-13968-08-09-2023"/>
    <d v="2023-09-08T00:00:00"/>
    <x v="0"/>
    <x v="0"/>
    <n v="321933"/>
    <x v="1"/>
    <x v="0"/>
    <n v="5201.009"/>
    <n v="2.2265999999999999"/>
    <n v="0"/>
    <n v="0"/>
    <x v="0"/>
    <s v="Raw Cotton"/>
    <n v="224814825"/>
    <x v="0"/>
    <n v="67444448"/>
    <x v="0"/>
    <m/>
    <m/>
    <x v="0"/>
    <x v="0"/>
    <x v="0"/>
    <x v="1"/>
    <x v="0"/>
    <x v="0"/>
    <m/>
    <x v="0"/>
    <x v="1"/>
    <x v="0"/>
    <x v="0"/>
    <x v="0"/>
    <x v="0"/>
    <n v="698.3279906067412"/>
    <n v="209.49839873514054"/>
    <n v="0"/>
    <d v="2023-10-12T00:00:00"/>
    <x v="0"/>
  </r>
  <r>
    <n v="634"/>
    <d v="2023-09-12T00:00:00"/>
    <s v="KAPW-FS-36581-12-09-2023"/>
    <d v="2023-09-12T00:00:00"/>
    <x v="0"/>
    <x v="0"/>
    <n v="3992"/>
    <x v="1"/>
    <x v="0"/>
    <n v="5407.52"/>
    <n v="5.2751999999999999"/>
    <n v="0"/>
    <n v="0"/>
    <x v="11"/>
    <s v="100% POLYESTER MICROFIBER DYED FABRIC WIDTH:242,269CM, 82GSM (19169/MTRS) DETAILS AS PER INVOICE NO.SF23124 DATED:09-AUG-2023 AND PACKING LIST"/>
    <n v="6518675"/>
    <x v="0"/>
    <n v="2998591"/>
    <x v="0"/>
    <m/>
    <m/>
    <x v="0"/>
    <x v="0"/>
    <x v="0"/>
    <x v="2"/>
    <x v="0"/>
    <x v="0"/>
    <m/>
    <x v="0"/>
    <x v="1"/>
    <x v="0"/>
    <x v="0"/>
    <x v="0"/>
    <x v="2"/>
    <n v="1632.9346192384769"/>
    <n v="751.15005010020036"/>
    <n v="0"/>
    <d v="2023-10-12T00:00:00"/>
    <x v="0"/>
  </r>
  <r>
    <n v="635"/>
    <d v="2023-09-14T00:00:00"/>
    <s v="KPPI-FS-13969-08-09-2023"/>
    <d v="2023-09-08T00:00:00"/>
    <x v="0"/>
    <x v="0"/>
    <n v="80601"/>
    <x v="1"/>
    <x v="0"/>
    <n v="5201.009"/>
    <n v="2.2265999999999999"/>
    <n v="0"/>
    <n v="0"/>
    <x v="0"/>
    <s v="Raw Cotton"/>
    <n v="56285934"/>
    <x v="0"/>
    <n v="16885780"/>
    <x v="0"/>
    <m/>
    <m/>
    <x v="0"/>
    <x v="0"/>
    <x v="0"/>
    <x v="1"/>
    <x v="0"/>
    <x v="0"/>
    <m/>
    <x v="0"/>
    <x v="1"/>
    <x v="0"/>
    <x v="0"/>
    <x v="0"/>
    <x v="0"/>
    <n v="698.32798600513638"/>
    <n v="209.49839332018215"/>
    <n v="0"/>
    <d v="2023-10-14T00:00:00"/>
    <x v="0"/>
  </r>
  <r>
    <n v="636"/>
    <d v="2023-09-15T00:00:00"/>
    <s v="KAPW-FS-37553-13-09-2023"/>
    <d v="2023-09-13T00:00:00"/>
    <x v="0"/>
    <x v="0"/>
    <n v="4450"/>
    <x v="1"/>
    <x v="0"/>
    <n v="3204.1590000000001"/>
    <n v="45.301600000000001"/>
    <n v="0"/>
    <n v="0"/>
    <x v="5"/>
    <s v="DYES (FARBANTHREN)"/>
    <n v="62011985"/>
    <x v="0"/>
    <n v="28525513"/>
    <x v="0"/>
    <m/>
    <m/>
    <x v="0"/>
    <x v="0"/>
    <x v="0"/>
    <x v="1"/>
    <x v="0"/>
    <x v="0"/>
    <m/>
    <x v="0"/>
    <x v="1"/>
    <x v="0"/>
    <x v="0"/>
    <x v="0"/>
    <x v="4"/>
    <n v="13935.277528089888"/>
    <n v="6410.2276404494378"/>
    <n v="0"/>
    <d v="2023-10-15T00:00:00"/>
    <x v="0"/>
  </r>
  <r>
    <n v="637"/>
    <d v="2023-09-16T00:00:00"/>
    <s v="KAPE-FS-17348-08-09-2023"/>
    <d v="2023-09-08T00:00:00"/>
    <x v="0"/>
    <x v="0"/>
    <n v="1950"/>
    <x v="1"/>
    <x v="0"/>
    <n v="3204.1590000000001"/>
    <n v="40"/>
    <n v="0"/>
    <n v="0"/>
    <x v="5"/>
    <s v="DYES (INDANTHREN)"/>
    <n v="24463120"/>
    <x v="0"/>
    <n v="11253035"/>
    <x v="0"/>
    <m/>
    <m/>
    <x v="0"/>
    <x v="0"/>
    <x v="0"/>
    <x v="1"/>
    <x v="0"/>
    <x v="0"/>
    <m/>
    <x v="0"/>
    <x v="1"/>
    <x v="0"/>
    <x v="0"/>
    <x v="0"/>
    <x v="4"/>
    <n v="12545.189743589744"/>
    <n v="5770.7871794871799"/>
    <n v="0"/>
    <d v="2023-10-16T00:00:00"/>
    <x v="0"/>
  </r>
  <r>
    <n v="638"/>
    <d v="2023-09-18T00:00:00"/>
    <s v="KAPE-FS-19649-18-09-2023"/>
    <d v="2023-09-18T00:00:00"/>
    <x v="0"/>
    <x v="0"/>
    <n v="24480"/>
    <x v="1"/>
    <x v="0"/>
    <n v="5402.33"/>
    <n v="1.43"/>
    <n v="0"/>
    <n v="0"/>
    <x v="6"/>
    <s v="100% POLYESTER TEXTRED YARN (DTY 100D/48F) HIM RW SD AA GRADE"/>
    <n v="10650516"/>
    <x v="0"/>
    <n v="4366712"/>
    <x v="0"/>
    <m/>
    <m/>
    <x v="0"/>
    <x v="0"/>
    <x v="0"/>
    <x v="1"/>
    <x v="0"/>
    <x v="0"/>
    <m/>
    <x v="0"/>
    <x v="1"/>
    <x v="0"/>
    <x v="0"/>
    <x v="0"/>
    <x v="3"/>
    <n v="435.07009803921568"/>
    <n v="178.37875816993463"/>
    <n v="0"/>
    <d v="2023-10-18T00:00:00"/>
    <x v="0"/>
  </r>
  <r>
    <n v="639"/>
    <d v="2023-09-19T00:00:00"/>
    <s v="KAPW-FS-37554-13-09-2023"/>
    <d v="2023-09-13T00:00:00"/>
    <x v="0"/>
    <x v="0"/>
    <n v="3500"/>
    <x v="1"/>
    <x v="0"/>
    <n v="3204.1109999999999"/>
    <n v="5.4142000000000001"/>
    <n v="0"/>
    <n v="0"/>
    <x v="5"/>
    <s v="DYES (FASFA)"/>
    <n v="5829139"/>
    <x v="0"/>
    <n v="1748742"/>
    <x v="0"/>
    <m/>
    <m/>
    <x v="0"/>
    <x v="0"/>
    <x v="0"/>
    <x v="1"/>
    <x v="0"/>
    <x v="0"/>
    <m/>
    <x v="0"/>
    <x v="1"/>
    <x v="0"/>
    <x v="0"/>
    <x v="0"/>
    <x v="4"/>
    <n v="1665.4682857142857"/>
    <n v="499.64057142857143"/>
    <n v="0"/>
    <d v="2023-10-19T00:00:00"/>
    <x v="0"/>
  </r>
  <r>
    <n v="640"/>
    <d v="2023-09-19T00:00:00"/>
    <s v="KAPS-FS-31014-19-09-2023"/>
    <d v="2023-09-19T00:00:00"/>
    <x v="0"/>
    <x v="0"/>
    <n v="6500"/>
    <x v="1"/>
    <x v="0"/>
    <n v="3204.16"/>
    <n v="11.142300000000001"/>
    <n v="0"/>
    <n v="0"/>
    <x v="5"/>
    <s v="DYES  (SETAZOL)"/>
    <n v="21961036"/>
    <x v="0"/>
    <n v="10102076"/>
    <x v="0"/>
    <m/>
    <m/>
    <x v="0"/>
    <x v="0"/>
    <x v="0"/>
    <x v="1"/>
    <x v="0"/>
    <x v="0"/>
    <m/>
    <x v="0"/>
    <x v="1"/>
    <x v="0"/>
    <x v="0"/>
    <x v="0"/>
    <x v="4"/>
    <n v="3378.6209230769232"/>
    <n v="1554.1655384615385"/>
    <n v="0"/>
    <d v="2023-10-19T00:00:00"/>
    <x v="0"/>
  </r>
  <r>
    <n v="641"/>
    <d v="2023-09-21T00:00:00"/>
    <s v="KAPW-FS-39892-18-09-2023"/>
    <d v="2023-09-18T00:00:00"/>
    <x v="0"/>
    <x v="0"/>
    <n v="12000"/>
    <x v="1"/>
    <x v="0"/>
    <n v="3204.16"/>
    <s v="3.10 / 4.80"/>
    <n v="0"/>
    <n v="0"/>
    <x v="5"/>
    <s v="DYES  (LIYUANSOL)"/>
    <n v="13903989"/>
    <x v="0"/>
    <n v="6395834"/>
    <x v="0"/>
    <m/>
    <m/>
    <x v="0"/>
    <x v="0"/>
    <x v="0"/>
    <x v="1"/>
    <x v="0"/>
    <x v="0"/>
    <m/>
    <x v="0"/>
    <x v="1"/>
    <x v="0"/>
    <x v="0"/>
    <x v="0"/>
    <x v="4"/>
    <n v="1158.6657499999999"/>
    <n v="532.98616666666669"/>
    <n v="0"/>
    <d v="2023-10-21T00:00:00"/>
    <x v="0"/>
  </r>
  <r>
    <n v="642"/>
    <d v="2023-09-21T00:00:00"/>
    <s v="KAPW-FS-39893-18-09-2023"/>
    <d v="2023-09-18T00:00:00"/>
    <x v="0"/>
    <x v="2"/>
    <n v="8080"/>
    <x v="1"/>
    <x v="0"/>
    <n v="5407.51"/>
    <n v="3.8"/>
    <n v="8080"/>
    <n v="8080"/>
    <x v="11"/>
    <s v="MICROFIBER GREIGE FABRIC 90GSM(+/-2G) 112&quot; (19239/MTRS) / MICROFIBER DYED FABRIC 100GSM(+/-2G) 105&quot; (12734/MTRS) "/>
    <n v="9341533"/>
    <x v="0"/>
    <n v="3830029"/>
    <x v="0"/>
    <m/>
    <m/>
    <x v="0"/>
    <x v="0"/>
    <x v="0"/>
    <x v="1"/>
    <x v="0"/>
    <x v="0"/>
    <m/>
    <x v="0"/>
    <x v="1"/>
    <x v="0"/>
    <x v="0"/>
    <x v="0"/>
    <x v="2"/>
    <n v="1156.1303217821783"/>
    <n v="474.01349009900991"/>
    <n v="3830029"/>
    <d v="2023-10-21T00:00:00"/>
    <x v="0"/>
  </r>
  <r>
    <n v="642"/>
    <d v="2023-09-21T00:00:00"/>
    <s v="KAPW-FS-39893-18-09-2023"/>
    <d v="2023-09-18T00:00:00"/>
    <x v="0"/>
    <x v="2"/>
    <n v="3300"/>
    <x v="1"/>
    <x v="0"/>
    <n v="5407.52"/>
    <n v="5.2"/>
    <n v="8080"/>
    <n v="3300"/>
    <x v="11"/>
    <s v="MICROFIBER GREIGE FABRIC 90GSM(+/-2G) 112&quot; (19239/MTRS) / MICROFIBER DYED FABRIC 100GSM(+/-2G) 105&quot; (12734/MTRS) "/>
    <n v="5220841"/>
    <x v="0"/>
    <n v="2401587"/>
    <x v="0"/>
    <m/>
    <m/>
    <x v="0"/>
    <x v="0"/>
    <x v="0"/>
    <x v="1"/>
    <x v="0"/>
    <x v="0"/>
    <m/>
    <x v="0"/>
    <x v="1"/>
    <x v="0"/>
    <x v="0"/>
    <x v="0"/>
    <x v="2"/>
    <n v="1582.0730303030302"/>
    <n v="727.75363636363636"/>
    <n v="5880249.3818181818"/>
    <d v="2023-10-21T00:00:00"/>
    <x v="0"/>
  </r>
  <r>
    <n v="643"/>
    <d v="2023-09-22T00:00:00"/>
    <s v="KPPI-FS-15582-16-09-2023"/>
    <d v="2023-09-16T00:00:00"/>
    <x v="0"/>
    <x v="0"/>
    <n v="38080"/>
    <x v="1"/>
    <x v="0"/>
    <n v="2915.11"/>
    <n v="0.77"/>
    <n v="0"/>
    <n v="0"/>
    <x v="12"/>
    <s v="FORMIC ACID 85%"/>
    <n v="8920945"/>
    <x v="0"/>
    <n v="4103634"/>
    <x v="0"/>
    <m/>
    <m/>
    <x v="0"/>
    <x v="0"/>
    <x v="0"/>
    <x v="1"/>
    <x v="0"/>
    <x v="0"/>
    <m/>
    <x v="0"/>
    <x v="1"/>
    <x v="0"/>
    <x v="0"/>
    <x v="0"/>
    <x v="5"/>
    <n v="234.26851365546219"/>
    <n v="107.76349789915966"/>
    <n v="0"/>
    <d v="2023-10-22T00:00:00"/>
    <x v="0"/>
  </r>
  <r>
    <n v="644"/>
    <d v="2023-09-22T00:00:00"/>
    <s v="KAPW-FS-40378-19-09-2023"/>
    <d v="2023-09-19T00:00:00"/>
    <x v="0"/>
    <x v="0"/>
    <n v="6100"/>
    <x v="1"/>
    <x v="0"/>
    <s v="3204.1110 / 3204.1590"/>
    <s v="11.3906 / 32.50"/>
    <n v="0"/>
    <n v="0"/>
    <x v="5"/>
    <s v="DYES  (BEMACRON / BEZATHREN)"/>
    <n v="49872874"/>
    <x v="0"/>
    <n v="22057321"/>
    <x v="0"/>
    <m/>
    <m/>
    <x v="0"/>
    <x v="0"/>
    <x v="0"/>
    <x v="1"/>
    <x v="0"/>
    <x v="0"/>
    <m/>
    <x v="0"/>
    <x v="1"/>
    <x v="0"/>
    <x v="0"/>
    <x v="0"/>
    <x v="4"/>
    <n v="8175.8809836065575"/>
    <n v="3615.9542622950821"/>
    <n v="0"/>
    <d v="2023-10-22T00:00:00"/>
    <x v="0"/>
  </r>
  <r>
    <n v="645"/>
    <d v="2023-09-26T00:00:00"/>
    <s v="KAPS-FS-32026-22-09-2023"/>
    <d v="2023-09-19T00:00:00"/>
    <x v="0"/>
    <x v="0"/>
    <n v="24480"/>
    <x v="1"/>
    <x v="0"/>
    <n v="5402.33"/>
    <n v="1.43"/>
    <n v="0"/>
    <n v="0"/>
    <x v="6"/>
    <s v="100% POLYESTER TEXTURED YARN DTY 100D/48F HIM RW SD GRADE-AA"/>
    <n v="10505890"/>
    <x v="0"/>
    <n v="4307415"/>
    <x v="0"/>
    <m/>
    <m/>
    <x v="0"/>
    <x v="0"/>
    <x v="0"/>
    <x v="1"/>
    <x v="0"/>
    <x v="0"/>
    <m/>
    <x v="0"/>
    <x v="1"/>
    <x v="0"/>
    <x v="0"/>
    <x v="0"/>
    <x v="3"/>
    <n v="429.16217320261438"/>
    <n v="175.95649509803923"/>
    <n v="0"/>
    <d v="2023-10-26T00:00:00"/>
    <x v="0"/>
  </r>
  <r>
    <n v="646"/>
    <d v="2023-09-29T00:00:00"/>
    <s v="KAPW-FS-43777-26-09-2023"/>
    <d v="2023-09-19T00:00:00"/>
    <x v="0"/>
    <x v="0"/>
    <n v="49000"/>
    <x v="1"/>
    <x v="0"/>
    <n v="5201.009"/>
    <n v="1.8926000000000001"/>
    <n v="0"/>
    <n v="0"/>
    <x v="0"/>
    <s v="Raw Cotton"/>
    <n v="27633075"/>
    <x v="0"/>
    <n v="8289923"/>
    <x v="0"/>
    <m/>
    <m/>
    <x v="0"/>
    <x v="0"/>
    <x v="0"/>
    <x v="1"/>
    <x v="0"/>
    <x v="0"/>
    <m/>
    <x v="0"/>
    <x v="1"/>
    <x v="0"/>
    <x v="0"/>
    <x v="0"/>
    <x v="0"/>
    <n v="563.94030612244899"/>
    <n v="169.18210204081632"/>
    <n v="0"/>
    <d v="2023-10-29T00:00:00"/>
    <x v="0"/>
  </r>
  <r>
    <n v="647"/>
    <d v="2023-10-03T00:00:00"/>
    <s v="KAPS-FS-34666-02-10-2023"/>
    <d v="2023-10-02T00:00:00"/>
    <x v="0"/>
    <x v="0"/>
    <n v="24480"/>
    <x v="1"/>
    <x v="0"/>
    <n v="5402.33"/>
    <n v="1.43"/>
    <n v="0"/>
    <n v="0"/>
    <x v="6"/>
    <s v="100% POLYESTER TEXTURED YARN DTY 100D/48F HIM RW SD GRADE-AA"/>
    <n v="10323769"/>
    <x v="0"/>
    <n v="4232745"/>
    <x v="0"/>
    <m/>
    <m/>
    <x v="0"/>
    <x v="0"/>
    <x v="0"/>
    <x v="1"/>
    <x v="0"/>
    <x v="0"/>
    <m/>
    <x v="0"/>
    <x v="1"/>
    <x v="0"/>
    <x v="0"/>
    <x v="0"/>
    <x v="3"/>
    <n v="421.72258986928102"/>
    <n v="172.90625"/>
    <n v="0"/>
    <d v="2023-11-02T00:00:00"/>
    <x v="0"/>
  </r>
  <r>
    <n v="648"/>
    <d v="2023-10-11T00:00:00"/>
    <s v="KAPW-FS-46787-03-10-2023"/>
    <d v="2023-10-03T00:00:00"/>
    <x v="0"/>
    <x v="0"/>
    <n v="1000"/>
    <x v="1"/>
    <x v="0"/>
    <n v="3707.1"/>
    <n v="9.1999999999999993"/>
    <n v="0"/>
    <n v="0"/>
    <x v="12"/>
    <s v="Chemical (Emulsion Aquasol)"/>
    <n v="2703795"/>
    <x v="0"/>
    <n v="811138"/>
    <x v="0"/>
    <m/>
    <m/>
    <x v="0"/>
    <x v="0"/>
    <x v="0"/>
    <x v="1"/>
    <x v="0"/>
    <x v="0"/>
    <m/>
    <x v="0"/>
    <x v="1"/>
    <x v="0"/>
    <x v="0"/>
    <x v="0"/>
    <x v="5"/>
    <n v="2703.7950000000001"/>
    <n v="811.13800000000003"/>
    <n v="0"/>
    <d v="2023-11-10T00:00:00"/>
    <x v="0"/>
  </r>
  <r>
    <n v="649"/>
    <d v="2023-10-12T00:00:00"/>
    <s v="KPPI-FS-19300-05-10-2023"/>
    <d v="2023-10-05T00:00:00"/>
    <x v="0"/>
    <x v="0"/>
    <n v="198509"/>
    <x v="1"/>
    <x v="0"/>
    <n v="5201.009"/>
    <n v="2.1351"/>
    <n v="0"/>
    <n v="0"/>
    <x v="0"/>
    <s v="Raw Cotton"/>
    <n v="123696960"/>
    <x v="0"/>
    <n v="37109088"/>
    <x v="0"/>
    <m/>
    <m/>
    <x v="0"/>
    <x v="0"/>
    <x v="0"/>
    <x v="1"/>
    <x v="0"/>
    <x v="0"/>
    <m/>
    <x v="0"/>
    <x v="1"/>
    <x v="0"/>
    <x v="0"/>
    <x v="0"/>
    <x v="0"/>
    <n v="623.13023590869932"/>
    <n v="186.9390707726098"/>
    <n v="0"/>
    <d v="2023-11-11T00:00:00"/>
    <x v="0"/>
  </r>
  <r>
    <n v="650"/>
    <d v="2023-10-14T00:00:00"/>
    <s v="KAPW-FS-49134-06-10-2023"/>
    <d v="2023-10-06T00:00:00"/>
    <x v="0"/>
    <x v="0"/>
    <n v="1150"/>
    <x v="1"/>
    <x v="0"/>
    <n v="3204.1190000000001"/>
    <s v="11.8 / 32.75"/>
    <n v="0"/>
    <n v="0"/>
    <x v="5"/>
    <s v="DYES (SUNCRON)"/>
    <n v="4859652"/>
    <x v="0"/>
    <n v="1992458"/>
    <x v="0"/>
    <m/>
    <m/>
    <x v="0"/>
    <x v="0"/>
    <x v="0"/>
    <x v="1"/>
    <x v="0"/>
    <x v="0"/>
    <m/>
    <x v="0"/>
    <x v="1"/>
    <x v="0"/>
    <x v="0"/>
    <x v="0"/>
    <x v="4"/>
    <n v="4225.7843478260866"/>
    <n v="1732.5721739130436"/>
    <n v="0"/>
    <d v="2023-11-13T00:00:00"/>
    <x v="0"/>
  </r>
  <r>
    <n v="651"/>
    <d v="2023-10-10T00:00:00"/>
    <s v="KAPW-FS-49133-06-10-2023"/>
    <d v="2023-10-06T00:00:00"/>
    <x v="0"/>
    <x v="0"/>
    <n v="298757.2"/>
    <x v="1"/>
    <x v="0"/>
    <n v="5503.201"/>
    <n v="0.97"/>
    <n v="0"/>
    <n v="0"/>
    <x v="1"/>
    <s v="Polyester Staple Fiber"/>
    <n v="84266297"/>
    <x v="0"/>
    <n v="34549182"/>
    <x v="0"/>
    <m/>
    <m/>
    <x v="0"/>
    <x v="0"/>
    <x v="0"/>
    <x v="1"/>
    <x v="0"/>
    <x v="0"/>
    <m/>
    <x v="0"/>
    <x v="1"/>
    <x v="0"/>
    <x v="0"/>
    <x v="0"/>
    <x v="1"/>
    <n v="282.05612115791683"/>
    <n v="115.64301044460183"/>
    <n v="0"/>
    <d v="2023-11-09T00:00:00"/>
    <x v="0"/>
  </r>
  <r>
    <n v="652"/>
    <d v="2023-10-10T00:00:00"/>
    <s v="KAPS-FS-36818-06-10-2023"/>
    <d v="2023-10-06T00:00:00"/>
    <x v="0"/>
    <x v="0"/>
    <n v="25867.5"/>
    <x v="1"/>
    <x v="0"/>
    <n v="5503.201"/>
    <s v="1.14 / 1.07"/>
    <n v="0"/>
    <n v="0"/>
    <x v="1"/>
    <s v="Polyester Staple Fiber"/>
    <n v="8520080"/>
    <x v="0"/>
    <n v="3493233"/>
    <x v="0"/>
    <m/>
    <m/>
    <x v="0"/>
    <x v="0"/>
    <x v="0"/>
    <x v="1"/>
    <x v="0"/>
    <x v="0"/>
    <m/>
    <x v="0"/>
    <x v="1"/>
    <x v="0"/>
    <x v="0"/>
    <x v="0"/>
    <x v="1"/>
    <n v="329.37392480912342"/>
    <n v="135.04331690345029"/>
    <n v="0"/>
    <d v="2023-11-09T00:00:00"/>
    <x v="0"/>
  </r>
  <r>
    <n v="653"/>
    <d v="2023-10-14T00:00:00"/>
    <s v="KAPE-FS-26063-13-10-2023"/>
    <d v="2023-10-13T00:00:00"/>
    <x v="0"/>
    <x v="0"/>
    <n v="500"/>
    <x v="1"/>
    <x v="0"/>
    <n v="3204.1590000000001"/>
    <n v="36.659999999999997"/>
    <n v="0"/>
    <n v="0"/>
    <x v="5"/>
    <s v="DYES (BEZATHREN)"/>
    <n v="5233691"/>
    <x v="0"/>
    <n v="2407498"/>
    <x v="0"/>
    <m/>
    <m/>
    <x v="0"/>
    <x v="0"/>
    <x v="0"/>
    <x v="1"/>
    <x v="0"/>
    <x v="0"/>
    <m/>
    <x v="0"/>
    <x v="1"/>
    <x v="0"/>
    <x v="0"/>
    <x v="0"/>
    <x v="4"/>
    <n v="10467.382"/>
    <n v="4814.9960000000001"/>
    <n v="0"/>
    <d v="2023-11-13T00:00:00"/>
    <x v="0"/>
  </r>
  <r>
    <n v="654"/>
    <d v="2023-10-17T00:00:00"/>
    <s v="KPAF-FS-18179-17-10-2023"/>
    <d v="2023-10-17T00:00:00"/>
    <x v="0"/>
    <x v="0"/>
    <n v="164"/>
    <x v="1"/>
    <x v="0"/>
    <n v="5402.33"/>
    <s v="9.2713 / 8.6392"/>
    <n v="0"/>
    <n v="0"/>
    <x v="13"/>
    <s v="POLYESER FILAMENT YARN RTSS FDY 150D/72F &amp; 300D/144F"/>
    <n v="416136"/>
    <x v="0"/>
    <n v="170617"/>
    <x v="0"/>
    <m/>
    <m/>
    <x v="0"/>
    <x v="0"/>
    <x v="0"/>
    <x v="1"/>
    <x v="0"/>
    <x v="0"/>
    <m/>
    <x v="0"/>
    <x v="1"/>
    <x v="0"/>
    <x v="0"/>
    <x v="0"/>
    <x v="3"/>
    <n v="2537.4146341463415"/>
    <n v="1040.3475609756097"/>
    <n v="0"/>
    <d v="2023-11-16T00:00:00"/>
    <x v="0"/>
  </r>
  <r>
    <n v="655"/>
    <d v="2023-10-19T00:00:00"/>
    <s v="KAPW-FS-55507-18-10-2023"/>
    <d v="2023-10-18T00:00:00"/>
    <x v="0"/>
    <x v="0"/>
    <n v="416"/>
    <x v="1"/>
    <x v="0"/>
    <n v="5210.41"/>
    <n v="16.226299999999998"/>
    <n v="0"/>
    <n v="0"/>
    <x v="2"/>
    <s v="60%COTTON 40%POLYESTER FABRIC 110X70 - 45X45 +/- 148/150 CM (3037/MTRS)"/>
    <n v="2015961"/>
    <x v="0"/>
    <n v="826544"/>
    <x v="0"/>
    <m/>
    <m/>
    <x v="0"/>
    <x v="0"/>
    <x v="0"/>
    <x v="1"/>
    <x v="0"/>
    <x v="0"/>
    <m/>
    <x v="0"/>
    <x v="1"/>
    <x v="0"/>
    <x v="0"/>
    <x v="0"/>
    <x v="2"/>
    <n v="4846.0600961538457"/>
    <n v="1986.8846153846155"/>
    <n v="0"/>
    <d v="2023-11-18T00:00:00"/>
    <x v="0"/>
  </r>
  <r>
    <n v="656"/>
    <d v="2023-10-20T00:00:00"/>
    <s v="KAPS-FS-41324-18-10-2023"/>
    <d v="2023-10-18T00:00:00"/>
    <x v="0"/>
    <x v="0"/>
    <n v="24480"/>
    <x v="1"/>
    <x v="0"/>
    <n v="5402.33"/>
    <n v="1.43"/>
    <n v="0"/>
    <n v="0"/>
    <x v="6"/>
    <s v="100% POLYESTER TEXTURED YARN DTY 100D/48F HIM RW SD GRADE-AA"/>
    <n v="9893463"/>
    <x v="0"/>
    <n v="4056320"/>
    <x v="0"/>
    <m/>
    <m/>
    <x v="0"/>
    <x v="0"/>
    <x v="0"/>
    <x v="1"/>
    <x v="0"/>
    <x v="0"/>
    <m/>
    <x v="0"/>
    <x v="1"/>
    <x v="0"/>
    <x v="0"/>
    <x v="0"/>
    <x v="3"/>
    <n v="404.14473039215687"/>
    <n v="165.69934640522877"/>
    <n v="0"/>
    <d v="2023-11-19T00:00:00"/>
    <x v="0"/>
  </r>
  <r>
    <n v="657"/>
    <d v="2023-10-20T00:00:00"/>
    <s v="KAPW-FS-57519-20-10-2023"/>
    <d v="2023-10-20T00:00:00"/>
    <x v="0"/>
    <x v="0"/>
    <n v="19915"/>
    <x v="1"/>
    <x v="0"/>
    <n v="5201.009"/>
    <n v="2.23"/>
    <n v="0"/>
    <n v="0"/>
    <x v="0"/>
    <s v="Raw Cotton"/>
    <n v="12699453"/>
    <x v="0"/>
    <n v="3809836"/>
    <x v="0"/>
    <m/>
    <m/>
    <x v="0"/>
    <x v="0"/>
    <x v="0"/>
    <x v="1"/>
    <x v="0"/>
    <x v="0"/>
    <m/>
    <x v="0"/>
    <x v="1"/>
    <x v="0"/>
    <x v="0"/>
    <x v="0"/>
    <x v="0"/>
    <n v="637.68280190810947"/>
    <n v="191.30484559377354"/>
    <n v="0"/>
    <d v="2023-11-19T00:00:00"/>
    <x v="0"/>
  </r>
  <r>
    <n v="658"/>
    <d v="2023-10-24T00:00:00"/>
    <s v="KAPE-FS-27472-18-10-2023"/>
    <d v="2023-10-18T00:00:00"/>
    <x v="0"/>
    <x v="1"/>
    <n v="288"/>
    <x v="1"/>
    <x v="0"/>
    <n v="5402.39"/>
    <n v="8.8800000000000008"/>
    <n v="288"/>
    <n v="288"/>
    <x v="13"/>
    <s v="NYLON FILAMENT TYPE 440 560 DTEX 140 FIL_x000a_500 DEN TU MERGE 5KBA3 DETAILS AS PE INVOICE AND PACKING LIST"/>
    <n v="722601"/>
    <x v="0"/>
    <n v="296266"/>
    <x v="0"/>
    <m/>
    <m/>
    <x v="0"/>
    <x v="0"/>
    <x v="0"/>
    <x v="0"/>
    <x v="0"/>
    <x v="0"/>
    <m/>
    <x v="0"/>
    <x v="1"/>
    <x v="0"/>
    <x v="0"/>
    <x v="0"/>
    <x v="3"/>
    <n v="2509.03125"/>
    <n v="1028.7013888888889"/>
    <n v="296266"/>
    <d v="2023-11-23T00:00:00"/>
    <x v="0"/>
  </r>
  <r>
    <n v="659"/>
    <d v="2023-10-25T00:00:00"/>
    <s v="KAPE-FS-28369-20-10-2023"/>
    <d v="2023-10-20T00:00:00"/>
    <x v="0"/>
    <x v="0"/>
    <n v="300267.28000000003"/>
    <x v="1"/>
    <x v="0"/>
    <n v="5503.201"/>
    <n v="0.97"/>
    <n v="0"/>
    <n v="0"/>
    <x v="1"/>
    <s v="Polyester Staple Fiber"/>
    <n v="83414636"/>
    <x v="0"/>
    <n v="34200000"/>
    <x v="0"/>
    <m/>
    <m/>
    <x v="0"/>
    <x v="0"/>
    <x v="0"/>
    <x v="1"/>
    <x v="0"/>
    <x v="0"/>
    <m/>
    <x v="0"/>
    <x v="1"/>
    <x v="0"/>
    <x v="0"/>
    <x v="0"/>
    <x v="1"/>
    <n v="277.80128424249222"/>
    <n v="113.89852400834349"/>
    <n v="0"/>
    <d v="2023-11-24T00:00:00"/>
    <x v="0"/>
  </r>
  <r>
    <n v="660"/>
    <d v="2023-10-26T00:00:00"/>
    <s v="KAPS-FS-44579-26-10-2023"/>
    <d v="2023-10-26T00:00:00"/>
    <x v="0"/>
    <x v="0"/>
    <n v="15000"/>
    <x v="1"/>
    <x v="0"/>
    <n v="3809.9189999999999"/>
    <n v="2.62"/>
    <n v="0"/>
    <n v="0"/>
    <x v="12"/>
    <s v="TEXTILE CHEMICAL (DROPCEL 300)"/>
    <n v="11917133"/>
    <x v="0"/>
    <n v="5481881"/>
    <x v="0"/>
    <m/>
    <m/>
    <x v="0"/>
    <x v="0"/>
    <x v="0"/>
    <x v="1"/>
    <x v="0"/>
    <x v="0"/>
    <m/>
    <x v="0"/>
    <x v="1"/>
    <x v="0"/>
    <x v="0"/>
    <x v="0"/>
    <x v="5"/>
    <n v="794.47553333333337"/>
    <n v="365.45873333333333"/>
    <n v="0"/>
    <d v="2023-11-25T00:00:00"/>
    <x v="0"/>
  </r>
  <r>
    <n v="661"/>
    <d v="2023-10-27T00:00:00"/>
    <s v="KAPE-FS-30144-27-10-2023"/>
    <d v="2023-10-27T00:00:00"/>
    <x v="0"/>
    <x v="0"/>
    <n v="24480"/>
    <x v="1"/>
    <x v="0"/>
    <n v="5402.33"/>
    <n v="1.43"/>
    <n v="0"/>
    <n v="0"/>
    <x v="6"/>
    <s v="100% POLYESTER TEXTURED YARN DTY 100D/48F HIM RW SD GRADE-AA"/>
    <n v="10009521"/>
    <x v="0"/>
    <n v="4103904"/>
    <x v="0"/>
    <m/>
    <m/>
    <x v="0"/>
    <x v="0"/>
    <x v="0"/>
    <x v="1"/>
    <x v="0"/>
    <x v="0"/>
    <m/>
    <x v="0"/>
    <x v="1"/>
    <x v="0"/>
    <x v="0"/>
    <x v="0"/>
    <x v="3"/>
    <n v="408.8856617647059"/>
    <n v="167.64313725490197"/>
    <n v="0"/>
    <d v="2023-11-26T00:00:00"/>
    <x v="0"/>
  </r>
  <r>
    <n v="662"/>
    <d v="2023-11-01T00:00:00"/>
    <s v="KPPI-FS-23796-28-10-2023"/>
    <d v="2023-10-28T00:00:00"/>
    <x v="0"/>
    <x v="0"/>
    <n v="200045"/>
    <x v="1"/>
    <x v="0"/>
    <n v="5201.009"/>
    <n v="2.1351"/>
    <n v="0"/>
    <n v="0"/>
    <x v="0"/>
    <s v="Raw Cotton"/>
    <n v="122192377"/>
    <x v="0"/>
    <n v="36657713"/>
    <x v="0"/>
    <m/>
    <m/>
    <x v="0"/>
    <x v="0"/>
    <x v="0"/>
    <x v="1"/>
    <x v="0"/>
    <x v="0"/>
    <m/>
    <x v="0"/>
    <x v="1"/>
    <x v="0"/>
    <x v="0"/>
    <x v="0"/>
    <x v="0"/>
    <n v="610.8244494988628"/>
    <n v="183.24733434977131"/>
    <n v="0"/>
    <d v="2023-12-01T00:00:00"/>
    <x v="0"/>
  </r>
  <r>
    <n v="663"/>
    <d v="2023-11-03T00:00:00"/>
    <s v="KAPS-FS-47366-01-11-2023"/>
    <d v="2023-11-01T00:00:00"/>
    <x v="0"/>
    <x v="0"/>
    <n v="18720"/>
    <x v="1"/>
    <x v="0"/>
    <n v="3906.9029999999998"/>
    <n v="2.0499999999999998"/>
    <n v="0"/>
    <n v="0"/>
    <x v="12"/>
    <s v="FLOPRINT 160 AF"/>
    <n v="11018024"/>
    <x v="0"/>
    <n v="3635948"/>
    <x v="0"/>
    <m/>
    <m/>
    <x v="0"/>
    <x v="0"/>
    <x v="0"/>
    <x v="1"/>
    <x v="0"/>
    <x v="0"/>
    <m/>
    <x v="0"/>
    <x v="1"/>
    <x v="0"/>
    <x v="0"/>
    <x v="0"/>
    <x v="5"/>
    <n v="588.56965811965813"/>
    <n v="194.22799145299146"/>
    <n v="0"/>
    <d v="2023-12-03T00:00:00"/>
    <x v="0"/>
  </r>
  <r>
    <n v="664"/>
    <d v="2023-11-04T00:00:00"/>
    <s v="KAPE-FS-31916-03-11-2023"/>
    <d v="2023-11-03T00:00:00"/>
    <x v="0"/>
    <x v="1"/>
    <n v="1300"/>
    <x v="1"/>
    <x v="0"/>
    <n v="5407.69"/>
    <n v="24.731000000000002"/>
    <n v="1300"/>
    <n v="1300"/>
    <x v="2"/>
    <s v="FABRICS FOR READYMADEGARMENTS INDUSTRY) 73% CTN/25%POLY/2% SP, CVC PRINT AND SD FABRIC WEIGHT :110+/-5 GSM 40S*75D+40D/133*72 48&quot;/50&quot; (9293/MTRS) "/>
    <n v="5386920"/>
    <x v="0"/>
    <n v="2693460"/>
    <x v="0"/>
    <m/>
    <m/>
    <x v="0"/>
    <x v="0"/>
    <x v="0"/>
    <x v="0"/>
    <x v="0"/>
    <x v="0"/>
    <m/>
    <x v="0"/>
    <x v="1"/>
    <x v="0"/>
    <x v="0"/>
    <x v="0"/>
    <x v="2"/>
    <n v="4143.7846153846158"/>
    <n v="2071.8923076923079"/>
    <n v="2693460.0000000005"/>
    <d v="2023-12-04T00:00:00"/>
    <x v="0"/>
  </r>
  <r>
    <n v="665"/>
    <d v="2023-11-04T00:00:00"/>
    <s v="KAPW-FS-65055-03-11-2023"/>
    <d v="2023-11-03T00:00:00"/>
    <x v="0"/>
    <x v="1"/>
    <n v="4132"/>
    <x v="1"/>
    <x v="0"/>
    <n v="5407.69"/>
    <n v="7.5561999999999996"/>
    <n v="4132"/>
    <n v="4132"/>
    <x v="2"/>
    <s v="70% POLYESTER 27% COTTON 3% ELASTAN FABRIC WIDTH:150CM WEIGHT 190GSM (13220.10/MTRS)"/>
    <n v="9283055"/>
    <x v="0"/>
    <n v="4270206"/>
    <x v="0"/>
    <m/>
    <m/>
    <x v="0"/>
    <x v="0"/>
    <x v="0"/>
    <x v="0"/>
    <x v="0"/>
    <x v="0"/>
    <m/>
    <x v="0"/>
    <x v="1"/>
    <x v="0"/>
    <x v="0"/>
    <x v="0"/>
    <x v="2"/>
    <n v="2246.6251210067762"/>
    <n v="1033.447725072604"/>
    <n v="4270206"/>
    <d v="2023-12-04T00:00:00"/>
    <x v="0"/>
  </r>
  <r>
    <n v="666"/>
    <d v="2023-11-06T00:00:00"/>
    <s v="KAPS-FS-47364-01-11-2023"/>
    <d v="2023-11-01T00:00:00"/>
    <x v="1"/>
    <x v="0"/>
    <n v="25017"/>
    <x v="1"/>
    <x v="0"/>
    <n v="4810.29"/>
    <n v="0.75"/>
    <n v="0"/>
    <n v="0"/>
    <x v="9"/>
    <s v="2/S COATED ART BOARD "/>
    <n v="9015082"/>
    <x v="0"/>
    <n v="4146938"/>
    <x v="0"/>
    <m/>
    <m/>
    <x v="0"/>
    <x v="0"/>
    <x v="0"/>
    <x v="1"/>
    <x v="0"/>
    <x v="0"/>
    <m/>
    <x v="0"/>
    <x v="1"/>
    <x v="0"/>
    <x v="0"/>
    <x v="0"/>
    <x v="6"/>
    <n v="360.35823639924848"/>
    <n v="165.76479993604349"/>
    <n v="0"/>
    <d v="2023-11-11T00:00:00"/>
    <x v="0"/>
  </r>
  <r>
    <n v="667"/>
    <d v="2023-11-10T00:00:00"/>
    <s v="KAPE-FS-32181-04-11-2023"/>
    <d v="2023-11-04T00:00:00"/>
    <x v="0"/>
    <x v="0"/>
    <n v="2000"/>
    <x v="1"/>
    <x v="0"/>
    <n v="3204.1590000000001"/>
    <n v="35"/>
    <n v="0"/>
    <n v="0"/>
    <x v="5"/>
    <s v="DYES (INDANTHREN)"/>
    <n v="20268877"/>
    <x v="0"/>
    <n v="9323683"/>
    <x v="0"/>
    <m/>
    <m/>
    <x v="0"/>
    <x v="0"/>
    <x v="0"/>
    <x v="1"/>
    <x v="0"/>
    <x v="0"/>
    <m/>
    <x v="0"/>
    <x v="1"/>
    <x v="0"/>
    <x v="0"/>
    <x v="0"/>
    <x v="4"/>
    <n v="10134.4385"/>
    <n v="4661.8415000000005"/>
    <n v="0"/>
    <d v="2023-12-10T00:00:00"/>
    <x v="0"/>
  </r>
  <r>
    <n v="668"/>
    <d v="2023-11-09T00:00:00"/>
    <s v="KAPS-FS-48907-06-11-2023"/>
    <d v="2023-11-06T00:00:00"/>
    <x v="0"/>
    <x v="0"/>
    <n v="26000"/>
    <x v="1"/>
    <x v="0"/>
    <n v="3402.4189999999999"/>
    <n v="11.7"/>
    <n v="0"/>
    <n v="0"/>
    <x v="12"/>
    <s v="Chemical (WETMATIC WTL)"/>
    <n v="12086747"/>
    <x v="0"/>
    <n v="6043373"/>
    <x v="0"/>
    <m/>
    <m/>
    <x v="0"/>
    <x v="0"/>
    <x v="0"/>
    <x v="1"/>
    <x v="0"/>
    <x v="0"/>
    <m/>
    <x v="0"/>
    <x v="1"/>
    <x v="0"/>
    <x v="0"/>
    <x v="0"/>
    <x v="5"/>
    <n v="464.87488461538459"/>
    <n v="232.43742307692307"/>
    <n v="0"/>
    <d v="2023-12-09T00:00:00"/>
    <x v="0"/>
  </r>
  <r>
    <n v="669"/>
    <d v="2023-11-16T00:00:00"/>
    <s v="KAPS-FS-50062-10-11-2023"/>
    <d v="2023-11-10T00:00:00"/>
    <x v="0"/>
    <x v="0"/>
    <n v="7560"/>
    <x v="1"/>
    <x v="0"/>
    <n v="3910"/>
    <n v="3"/>
    <n v="0"/>
    <n v="0"/>
    <x v="12"/>
    <s v="Chemical (MICROEMULSION)"/>
    <n v="7108727"/>
    <x v="0"/>
    <n v="2132618"/>
    <x v="0"/>
    <m/>
    <m/>
    <x v="0"/>
    <x v="0"/>
    <x v="0"/>
    <x v="1"/>
    <x v="0"/>
    <x v="0"/>
    <m/>
    <x v="0"/>
    <x v="1"/>
    <x v="0"/>
    <x v="0"/>
    <x v="0"/>
    <x v="5"/>
    <n v="940.30780423280419"/>
    <n v="282.09232804232806"/>
    <n v="0"/>
    <d v="2023-12-16T00:00:00"/>
    <x v="0"/>
  </r>
  <r>
    <n v="670"/>
    <d v="2023-11-16T00:00:00"/>
    <s v="KAPS-FS-51186-14-11-2023"/>
    <d v="2023-11-14T00:00:00"/>
    <x v="0"/>
    <x v="0"/>
    <n v="24480"/>
    <x v="1"/>
    <x v="0"/>
    <n v="5402.33"/>
    <n v="1.43"/>
    <n v="0"/>
    <n v="0"/>
    <x v="6"/>
    <s v="100% POLYESTER TEXTURED YARN DTY 100D/48F HIM RW SD GRADE-AA"/>
    <n v="10264848"/>
    <x v="0"/>
    <n v="4208588"/>
    <x v="0"/>
    <m/>
    <m/>
    <x v="0"/>
    <x v="0"/>
    <x v="0"/>
    <x v="1"/>
    <x v="0"/>
    <x v="0"/>
    <m/>
    <x v="0"/>
    <x v="1"/>
    <x v="0"/>
    <x v="0"/>
    <x v="0"/>
    <x v="3"/>
    <n v="419.3156862745098"/>
    <n v="171.91944444444445"/>
    <n v="0"/>
    <d v="2023-12-16T00:00:00"/>
    <x v="0"/>
  </r>
  <r>
    <n v="671"/>
    <d v="2023-11-16T00:00:00"/>
    <s v="KAPW-FS-68911-13-11-2023"/>
    <d v="2023-11-13T00:00:00"/>
    <x v="0"/>
    <x v="0"/>
    <n v="102000"/>
    <x v="1"/>
    <x v="0"/>
    <n v="2847"/>
    <n v="0.46"/>
    <n v="0"/>
    <n v="0"/>
    <x v="12"/>
    <s v="HYDROGEN PEROXIDE 50% "/>
    <n v="13758246"/>
    <x v="0"/>
    <n v="5640881"/>
    <x v="0"/>
    <m/>
    <m/>
    <x v="0"/>
    <x v="0"/>
    <x v="0"/>
    <x v="1"/>
    <x v="0"/>
    <x v="0"/>
    <m/>
    <x v="0"/>
    <x v="1"/>
    <x v="0"/>
    <x v="0"/>
    <x v="0"/>
    <x v="5"/>
    <n v="134.88476470588236"/>
    <n v="55.302754901960782"/>
    <n v="0"/>
    <d v="2023-12-16T00:00:00"/>
    <x v="0"/>
  </r>
  <r>
    <n v="672"/>
    <d v="2023-11-17T00:00:00"/>
    <s v="KAPS-FS-52107-16-11-2023"/>
    <d v="2023-11-16T00:00:00"/>
    <x v="0"/>
    <x v="0"/>
    <n v="18000"/>
    <x v="1"/>
    <x v="0"/>
    <n v="3906.9029999999998"/>
    <n v="3.2"/>
    <n v="0"/>
    <n v="0"/>
    <x v="12"/>
    <s v="CHEMICAL (LAMFINISH FIX)"/>
    <n v="16942800"/>
    <x v="0"/>
    <n v="5591124"/>
    <x v="0"/>
    <m/>
    <m/>
    <x v="0"/>
    <x v="0"/>
    <x v="0"/>
    <x v="1"/>
    <x v="0"/>
    <x v="0"/>
    <m/>
    <x v="0"/>
    <x v="1"/>
    <x v="0"/>
    <x v="0"/>
    <x v="0"/>
    <x v="5"/>
    <n v="941.26666666666665"/>
    <n v="310.61799999999999"/>
    <n v="0"/>
    <d v="2023-12-17T00:00:00"/>
    <x v="0"/>
  </r>
  <r>
    <n v="673"/>
    <d v="2023-11-18T00:00:00"/>
    <s v="KAPS-FS-51016-14-11-2023"/>
    <d v="2023-11-14T00:00:00"/>
    <x v="0"/>
    <x v="0"/>
    <n v="7200"/>
    <x v="1"/>
    <x v="0"/>
    <n v="3204.16"/>
    <n v="10.458299999999999"/>
    <n v="0"/>
    <n v="0"/>
    <x v="5"/>
    <s v="DYES (REACTIVE DYE AQUA PREMIUM)"/>
    <n v="23645434"/>
    <x v="0"/>
    <n v="10876899"/>
    <x v="0"/>
    <m/>
    <m/>
    <x v="0"/>
    <x v="0"/>
    <x v="0"/>
    <x v="1"/>
    <x v="0"/>
    <x v="0"/>
    <m/>
    <x v="0"/>
    <x v="1"/>
    <x v="0"/>
    <x v="0"/>
    <x v="0"/>
    <x v="4"/>
    <n v="3284.0880555555555"/>
    <n v="1510.6804166666666"/>
    <n v="0"/>
    <d v="2023-12-18T00:00:00"/>
    <x v="0"/>
  </r>
  <r>
    <n v="674"/>
    <d v="2023-11-20T00:00:00"/>
    <s v="KAPS-FS-51188-14-11-2023"/>
    <d v="2023-11-14T00:00:00"/>
    <x v="0"/>
    <x v="0"/>
    <n v="18000"/>
    <x v="1"/>
    <x v="0"/>
    <n v="3905.3"/>
    <n v="1.7"/>
    <n v="0"/>
    <n v="0"/>
    <x v="12"/>
    <s v="POLYVINYL ALCOHOL"/>
    <n v="8972769"/>
    <x v="0"/>
    <n v="2691830"/>
    <x v="0"/>
    <m/>
    <m/>
    <x v="0"/>
    <x v="0"/>
    <x v="0"/>
    <x v="1"/>
    <x v="0"/>
    <x v="0"/>
    <m/>
    <x v="0"/>
    <x v="1"/>
    <x v="0"/>
    <x v="0"/>
    <x v="0"/>
    <x v="5"/>
    <n v="498.48716666666667"/>
    <n v="149.54611111111112"/>
    <n v="0"/>
    <d v="2023-12-20T00:00:00"/>
    <x v="0"/>
  </r>
  <r>
    <n v="675"/>
    <d v="2023-11-24T00:00:00"/>
    <s v="KAPW-FS-75828-24-11-2023"/>
    <d v="2023-11-24T00:00:00"/>
    <x v="0"/>
    <x v="1"/>
    <n v="914"/>
    <x v="1"/>
    <x v="0"/>
    <n v="5210.41"/>
    <n v="23.8644"/>
    <n v="914"/>
    <n v="914"/>
    <x v="2"/>
    <s v="EFFEN WEEFSEL 58% BIO KAT 39% REC.PES3% STR"/>
    <n v="6940371"/>
    <x v="0"/>
    <n v="2845553"/>
    <x v="0"/>
    <m/>
    <m/>
    <x v="0"/>
    <x v="0"/>
    <x v="0"/>
    <x v="0"/>
    <x v="0"/>
    <x v="0"/>
    <m/>
    <x v="0"/>
    <x v="1"/>
    <x v="0"/>
    <x v="0"/>
    <x v="0"/>
    <x v="2"/>
    <n v="7593.4037199124723"/>
    <n v="3113.2964989059083"/>
    <n v="2845553"/>
    <d v="2023-12-24T00:00:00"/>
    <x v="0"/>
  </r>
  <r>
    <n v="676"/>
    <d v="2023-11-27T00:00:00"/>
    <s v="KAPS-FS-55283-23-11-2023"/>
    <d v="2023-11-23T00:00:00"/>
    <x v="0"/>
    <x v="0"/>
    <n v="18720"/>
    <x v="1"/>
    <x v="0"/>
    <n v="3906.9029999999998"/>
    <n v="2.0499999999999998"/>
    <n v="0"/>
    <n v="0"/>
    <x v="12"/>
    <s v="CHEMICAL (FLORPRINT)"/>
    <n v="11205931"/>
    <x v="0"/>
    <n v="3697958"/>
    <x v="0"/>
    <m/>
    <m/>
    <x v="0"/>
    <x v="0"/>
    <x v="0"/>
    <x v="1"/>
    <x v="0"/>
    <x v="0"/>
    <m/>
    <x v="0"/>
    <x v="1"/>
    <x v="0"/>
    <x v="0"/>
    <x v="0"/>
    <x v="5"/>
    <n v="598.60742521367524"/>
    <n v="197.54049145299146"/>
    <n v="0"/>
    <d v="2023-12-27T00:00:00"/>
    <x v="0"/>
  </r>
  <r>
    <n v="677"/>
    <d v="2023-11-30T00:00:00"/>
    <s v="KAPS-FS-57526-28-11-2023"/>
    <d v="2023-11-02T00:00:00"/>
    <x v="0"/>
    <x v="0"/>
    <n v="19300"/>
    <x v="1"/>
    <x v="0"/>
    <n v="3906.9029999999998"/>
    <s v="3.20 / 1.50"/>
    <n v="0"/>
    <n v="0"/>
    <x v="12"/>
    <s v="CHEMICALS (PERIPRINT / PERIGEN)"/>
    <n v="16421881"/>
    <x v="0"/>
    <n v="5419222"/>
    <x v="0"/>
    <m/>
    <m/>
    <x v="0"/>
    <x v="0"/>
    <x v="0"/>
    <x v="0"/>
    <x v="0"/>
    <x v="0"/>
    <m/>
    <x v="0"/>
    <x v="1"/>
    <x v="0"/>
    <x v="0"/>
    <x v="0"/>
    <x v="5"/>
    <n v="850.87466321243528"/>
    <n v="280.78870466321246"/>
    <n v="0"/>
    <d v="2023-12-30T00:00:00"/>
    <x v="0"/>
  </r>
  <r>
    <n v="678"/>
    <d v="2023-12-01T00:00:00"/>
    <s v="KAPS-FS-57525-28-11-2023"/>
    <d v="2023-11-28T00:00:00"/>
    <x v="0"/>
    <x v="0"/>
    <n v="102000"/>
    <x v="1"/>
    <x v="0"/>
    <n v="2847"/>
    <n v="0.46"/>
    <n v="0"/>
    <n v="0"/>
    <x v="12"/>
    <s v="HYDROGEN PEROXIDE 50%)"/>
    <n v="13681665"/>
    <x v="0"/>
    <n v="5609483"/>
    <x v="0"/>
    <m/>
    <m/>
    <x v="0"/>
    <x v="0"/>
    <x v="0"/>
    <x v="2"/>
    <x v="0"/>
    <x v="0"/>
    <m/>
    <x v="0"/>
    <x v="1"/>
    <x v="0"/>
    <x v="0"/>
    <x v="0"/>
    <x v="5"/>
    <n v="134.13397058823529"/>
    <n v="54.994931372549019"/>
    <n v="0"/>
    <d v="2023-12-31T00:00:00"/>
    <x v="0"/>
  </r>
  <r>
    <n v="679"/>
    <d v="2023-12-01T00:00:00"/>
    <s v="KAPW-FS-80230-30-11-2023"/>
    <d v="2023-11-30T00:00:00"/>
    <x v="0"/>
    <x v="0"/>
    <n v="3050"/>
    <x v="1"/>
    <x v="0"/>
    <n v="3204.16"/>
    <n v="13.127000000000001"/>
    <n v="0"/>
    <n v="0"/>
    <x v="5"/>
    <s v="DYES (SYNOZOL / SYNOLON)"/>
    <n v="11680841"/>
    <x v="0"/>
    <n v="5373187"/>
    <x v="0"/>
    <m/>
    <m/>
    <x v="0"/>
    <x v="0"/>
    <x v="0"/>
    <x v="1"/>
    <x v="0"/>
    <x v="0"/>
    <m/>
    <x v="0"/>
    <x v="1"/>
    <x v="0"/>
    <x v="0"/>
    <x v="0"/>
    <x v="4"/>
    <n v="3829.7839344262297"/>
    <n v="1761.7006557377049"/>
    <n v="0"/>
    <d v="2023-12-31T00:00:00"/>
    <x v="0"/>
  </r>
  <r>
    <n v="680"/>
    <d v="2023-12-05T00:00:00"/>
    <s v="KAPW-FS-81819-04-12-2023"/>
    <d v="2023-12-04T00:00:00"/>
    <x v="0"/>
    <x v="0"/>
    <n v="2000"/>
    <x v="1"/>
    <x v="0"/>
    <n v="3204.16"/>
    <n v="10.5"/>
    <n v="0"/>
    <n v="0"/>
    <x v="5"/>
    <s v="DYES (REACTIVE DYE AQUA PREMIUM)"/>
    <n v="6685195"/>
    <x v="0"/>
    <n v="3075189"/>
    <x v="0"/>
    <m/>
    <m/>
    <x v="0"/>
    <x v="0"/>
    <x v="0"/>
    <x v="1"/>
    <x v="0"/>
    <x v="0"/>
    <m/>
    <x v="0"/>
    <x v="1"/>
    <x v="0"/>
    <x v="0"/>
    <x v="0"/>
    <x v="4"/>
    <n v="3342.5974999999999"/>
    <n v="1537.5944999999999"/>
    <n v="0"/>
    <d v="2024-01-04T00:00:00"/>
    <x v="0"/>
  </r>
  <r>
    <n v="681"/>
    <d v="2023-12-07T00:00:00"/>
    <s v="KAPW-FS-80233-30-11-2023"/>
    <d v="2023-11-30T00:00:00"/>
    <x v="0"/>
    <x v="0"/>
    <n v="240"/>
    <x v="1"/>
    <x v="0"/>
    <n v="3809.9189999999999"/>
    <n v="2.0832999999999999"/>
    <n v="0"/>
    <n v="0"/>
    <x v="12"/>
    <s v="CHEMICALS (PERSOFT)"/>
    <n v="145872"/>
    <x v="0"/>
    <n v="67102"/>
    <x v="0"/>
    <m/>
    <m/>
    <x v="0"/>
    <x v="0"/>
    <x v="0"/>
    <x v="1"/>
    <x v="0"/>
    <x v="0"/>
    <m/>
    <x v="0"/>
    <x v="1"/>
    <x v="0"/>
    <x v="0"/>
    <x v="0"/>
    <x v="5"/>
    <n v="607.79999999999995"/>
    <n v="279.59166666666664"/>
    <n v="0"/>
    <d v="2024-01-06T00:00:00"/>
    <x v="0"/>
  </r>
  <r>
    <n v="682"/>
    <d v="2023-12-07T00:00:00"/>
    <s v="KAPW-FS-80231-30-11-2023"/>
    <d v="2023-11-30T00:00:00"/>
    <x v="0"/>
    <x v="0"/>
    <n v="1200"/>
    <x v="1"/>
    <x v="0"/>
    <n v="3809.9189999999999"/>
    <n v="2.2999999999999998"/>
    <n v="0"/>
    <n v="0"/>
    <x v="12"/>
    <s v="CHEMICALS (PERFIX)"/>
    <n v="805226"/>
    <x v="0"/>
    <n v="370404"/>
    <x v="0"/>
    <m/>
    <m/>
    <x v="0"/>
    <x v="0"/>
    <x v="0"/>
    <x v="1"/>
    <x v="0"/>
    <x v="0"/>
    <m/>
    <x v="0"/>
    <x v="1"/>
    <x v="0"/>
    <x v="0"/>
    <x v="0"/>
    <x v="5"/>
    <n v="671.02166666666665"/>
    <n v="308.67"/>
    <n v="0"/>
    <d v="2024-01-06T00:00:00"/>
    <x v="0"/>
  </r>
  <r>
    <n v="683"/>
    <d v="2023-12-09T00:00:00"/>
    <s v="KAPW-FS-82713-05-12-2023"/>
    <d v="2023-12-05T00:00:00"/>
    <x v="0"/>
    <x v="0"/>
    <n v="500"/>
    <x v="1"/>
    <x v="0"/>
    <n v="3707.1"/>
    <n v="15.76"/>
    <n v="0"/>
    <n v="0"/>
    <x v="12"/>
    <s v="PHOTO EMULSION"/>
    <n v="2294156"/>
    <x v="0"/>
    <n v="688247"/>
    <x v="0"/>
    <m/>
    <m/>
    <x v="0"/>
    <x v="0"/>
    <x v="0"/>
    <x v="1"/>
    <x v="0"/>
    <x v="0"/>
    <m/>
    <x v="0"/>
    <x v="1"/>
    <x v="0"/>
    <x v="0"/>
    <x v="0"/>
    <x v="5"/>
    <n v="4588.3119999999999"/>
    <n v="1376.4939999999999"/>
    <n v="0"/>
    <d v="2024-01-08T00:00:00"/>
    <x v="0"/>
  </r>
  <r>
    <n v="684"/>
    <d v="2023-12-09T00:00:00"/>
    <s v="KAPW-FS-84073-07-12-2023"/>
    <d v="2023-12-07T00:00:00"/>
    <x v="0"/>
    <x v="1"/>
    <n v="1871"/>
    <x v="1"/>
    <x v="0"/>
    <n v="5407.52"/>
    <n v="6.3274999999999997"/>
    <n v="1871"/>
    <n v="1871"/>
    <x v="11"/>
    <s v="100% POLYESTER FABRIC TAFFETA,190T  W/R + PU COATING,"/>
    <n v="3439447"/>
    <x v="0"/>
    <n v="1582146"/>
    <x v="0"/>
    <m/>
    <m/>
    <x v="0"/>
    <x v="0"/>
    <x v="0"/>
    <x v="0"/>
    <x v="0"/>
    <x v="0"/>
    <m/>
    <x v="0"/>
    <x v="1"/>
    <x v="0"/>
    <x v="0"/>
    <x v="0"/>
    <x v="2"/>
    <n v="1838.2934259754143"/>
    <n v="845.61517904863706"/>
    <n v="1582146"/>
    <d v="2024-01-08T00:00:00"/>
    <x v="0"/>
  </r>
  <r>
    <n v="685"/>
    <d v="2023-12-13T00:00:00"/>
    <s v="KAPS-FS-62965-12-12-2023"/>
    <d v="2023-12-12T00:00:00"/>
    <x v="0"/>
    <x v="0"/>
    <n v="24480"/>
    <x v="1"/>
    <x v="0"/>
    <n v="5402.33"/>
    <n v="1.43"/>
    <n v="0"/>
    <n v="0"/>
    <x v="6"/>
    <s v="100% POLYESTER TEXTURED YARN DTY 100D/48F HIM RW SD GRADE-AA"/>
    <n v="10152361"/>
    <x v="0"/>
    <n v="4162468"/>
    <x v="0"/>
    <m/>
    <m/>
    <x v="0"/>
    <x v="0"/>
    <x v="0"/>
    <x v="2"/>
    <x v="0"/>
    <x v="0"/>
    <m/>
    <x v="0"/>
    <x v="1"/>
    <x v="0"/>
    <x v="0"/>
    <x v="0"/>
    <x v="3"/>
    <n v="414.7206290849673"/>
    <n v="170.03545751633987"/>
    <n v="0"/>
    <d v="2024-01-12T00:00:00"/>
    <x v="0"/>
  </r>
  <r>
    <n v="686"/>
    <d v="2023-12-14T00:00:00"/>
    <s v="KAPE-FS-41875-13-12-2023"/>
    <d v="2023-12-13T00:00:00"/>
    <x v="0"/>
    <x v="1"/>
    <n v="200"/>
    <x v="1"/>
    <x v="0"/>
    <n v="3402.39"/>
    <n v="24.25"/>
    <n v="200"/>
    <n v="200"/>
    <x v="12"/>
    <s v="CHEMICAL (SOLUTION CLEANER REGGIANI"/>
    <n v="1517690"/>
    <x v="0"/>
    <n v="758845"/>
    <x v="0"/>
    <m/>
    <m/>
    <x v="0"/>
    <x v="0"/>
    <x v="0"/>
    <x v="0"/>
    <x v="0"/>
    <x v="0"/>
    <m/>
    <x v="0"/>
    <x v="1"/>
    <x v="0"/>
    <x v="0"/>
    <x v="0"/>
    <x v="5"/>
    <n v="7588.45"/>
    <n v="3794.2249999999999"/>
    <n v="758845"/>
    <d v="2024-01-13T00:00:00"/>
    <x v="0"/>
  </r>
  <r>
    <n v="687"/>
    <d v="2023-12-16T00:00:00"/>
    <s v="KPAF-FS-28587-15-12-2023"/>
    <d v="2023-12-15T00:00:00"/>
    <x v="0"/>
    <x v="1"/>
    <n v="132"/>
    <x v="1"/>
    <x v="0"/>
    <n v="5210.1099999999997"/>
    <n v="27.692399999999999"/>
    <n v="132"/>
    <n v="132"/>
    <x v="2"/>
    <s v="73%CTN 25% POLY 2%SP POPLIN, WEIGHT: 110+/-5GSM 40S*75D+40D/133*72 48/50&quot; Y/D CVC POPLIN 940/MTRS"/>
    <n v="1059186"/>
    <x v="0"/>
    <n v="434265"/>
    <x v="0"/>
    <m/>
    <m/>
    <x v="0"/>
    <x v="0"/>
    <x v="0"/>
    <x v="0"/>
    <x v="0"/>
    <x v="0"/>
    <m/>
    <x v="0"/>
    <x v="1"/>
    <x v="0"/>
    <x v="0"/>
    <x v="0"/>
    <x v="2"/>
    <n v="8024.136363636364"/>
    <n v="3289.8863636363635"/>
    <n v="434265"/>
    <d v="2024-01-15T00:00:00"/>
    <x v="0"/>
  </r>
  <r>
    <n v="688"/>
    <d v="2023-12-18T00:00:00"/>
    <s v="KAPE-FS-43019-18-12-2023"/>
    <d v="2023-12-18T00:00:00"/>
    <x v="0"/>
    <x v="0"/>
    <n v="1711"/>
    <x v="1"/>
    <x v="0"/>
    <n v="5210.41"/>
    <n v="24.180399999999999"/>
    <n v="0"/>
    <n v="0"/>
    <x v="2"/>
    <s v="58%ORGANIC COTTON 39%RECYCLE POLY 3%SPDX EFFEN WEEFSEL 58% BIO KAT 39% REC.PES3% STR 135X75 45X45+40D +/142 FABRIC 145CM DETAILS AS PER INVOICE AND PACKING LIST"/>
    <n v="13202757"/>
    <x v="0"/>
    <n v="5413130"/>
    <x v="0"/>
    <m/>
    <m/>
    <x v="0"/>
    <x v="0"/>
    <x v="0"/>
    <x v="0"/>
    <x v="0"/>
    <x v="0"/>
    <m/>
    <x v="0"/>
    <x v="1"/>
    <x v="0"/>
    <x v="0"/>
    <x v="0"/>
    <x v="2"/>
    <n v="7716.3980128579778"/>
    <n v="3163.7229690239624"/>
    <n v="0"/>
    <d v="2024-01-17T00:00:00"/>
    <x v="0"/>
  </r>
  <r>
    <n v="689"/>
    <d v="2023-12-19T00:00:00"/>
    <s v="KAPS-FS-64757-16-12-2023"/>
    <d v="2023-12-16T00:00:00"/>
    <x v="0"/>
    <x v="0"/>
    <n v="24480"/>
    <x v="1"/>
    <x v="0"/>
    <n v="5402.33"/>
    <n v="1.43"/>
    <n v="0"/>
    <n v="0"/>
    <x v="6"/>
    <s v="100% POLYESTER TEXTURED YARN DTY 100D/48F HIM RW SD GRADE-AA"/>
    <n v="10139863"/>
    <x v="0"/>
    <n v="4157344"/>
    <x v="0"/>
    <m/>
    <m/>
    <x v="0"/>
    <x v="0"/>
    <x v="0"/>
    <x v="2"/>
    <x v="0"/>
    <x v="0"/>
    <m/>
    <x v="0"/>
    <x v="1"/>
    <x v="0"/>
    <x v="0"/>
    <x v="0"/>
    <x v="3"/>
    <n v="414.21008986928103"/>
    <n v="169.82614379084967"/>
    <n v="0"/>
    <d v="2024-01-18T00:00:00"/>
    <x v="0"/>
  </r>
  <r>
    <n v="690"/>
    <d v="2023-12-21T00:00:00"/>
    <s v="KAPS-FS-65794-19-12-2023"/>
    <d v="2023-12-19T00:00:00"/>
    <x v="0"/>
    <x v="0"/>
    <n v="18720"/>
    <x v="1"/>
    <x v="0"/>
    <n v="3906.9029999999998"/>
    <n v="2.0499999999999998"/>
    <n v="0"/>
    <n v="0"/>
    <x v="12"/>
    <s v="CHEMICAL FLORPRINT TA160 "/>
    <n v="11106105"/>
    <x v="0"/>
    <n v="3665015"/>
    <x v="0"/>
    <m/>
    <m/>
    <x v="0"/>
    <x v="0"/>
    <x v="0"/>
    <x v="1"/>
    <x v="0"/>
    <x v="0"/>
    <m/>
    <x v="0"/>
    <x v="1"/>
    <x v="0"/>
    <x v="0"/>
    <x v="0"/>
    <x v="5"/>
    <n v="593.27483974358972"/>
    <n v="195.78071581196582"/>
    <n v="0"/>
    <d v="2024-01-20T00:00:00"/>
    <x v="0"/>
  </r>
  <r>
    <n v="691"/>
    <d v="2023-12-22T00:00:00"/>
    <s v="KAPS-FS-67466-21-12-2023"/>
    <d v="2023-12-21T00:00:00"/>
    <x v="1"/>
    <x v="2"/>
    <n v="4050"/>
    <x v="1"/>
    <x v="0"/>
    <n v="5901.9089999999997"/>
    <n v="2.9110999999999998"/>
    <n v="618.79000000000008"/>
    <n v="4050"/>
    <x v="9"/>
    <s v="100% POLYESTER NON WOVEN INTERLINING 52GSM WIDTH:32&quot; COLOR WHITE (90000/MTRS)"/>
    <n v="3409034"/>
    <x v="0"/>
    <n v="1397704"/>
    <x v="0"/>
    <m/>
    <m/>
    <x v="0"/>
    <x v="0"/>
    <x v="0"/>
    <x v="0"/>
    <x v="0"/>
    <x v="0"/>
    <m/>
    <x v="0"/>
    <x v="1"/>
    <x v="0"/>
    <x v="0"/>
    <x v="0"/>
    <x v="6"/>
    <n v="841.73679012345679"/>
    <n v="345.11209876543211"/>
    <n v="213551.91559506176"/>
    <d v="2023-12-27T00:00:00"/>
    <x v="0"/>
  </r>
  <r>
    <n v="692"/>
    <d v="2023-12-26T00:00:00"/>
    <s v="KAPS-FS-67818-22-12-2023"/>
    <d v="2023-12-22T00:00:00"/>
    <x v="1"/>
    <x v="0"/>
    <n v="25017"/>
    <x v="1"/>
    <x v="0"/>
    <n v="4810.29"/>
    <n v="0.9"/>
    <n v="0"/>
    <n v="0"/>
    <x v="9"/>
    <s v="2/S COATED ART BOARD "/>
    <n v="6507942"/>
    <x v="0"/>
    <n v="3253971"/>
    <x v="0"/>
    <m/>
    <m/>
    <x v="0"/>
    <x v="0"/>
    <x v="0"/>
    <x v="1"/>
    <x v="0"/>
    <x v="0"/>
    <m/>
    <x v="0"/>
    <x v="1"/>
    <x v="0"/>
    <x v="0"/>
    <x v="0"/>
    <x v="6"/>
    <n v="260.14078426669863"/>
    <n v="130.07039213334932"/>
    <n v="0"/>
    <d v="2023-12-31T00:00:00"/>
    <x v="0"/>
  </r>
  <r>
    <n v="693"/>
    <d v="2023-12-28T00:00:00"/>
    <s v="KAPS-FS-68864-26-12-2023"/>
    <d v="2024-12-26T00:00:00"/>
    <x v="0"/>
    <x v="0"/>
    <n v="24480"/>
    <x v="1"/>
    <x v="0"/>
    <n v="5402.33"/>
    <n v="1.43"/>
    <n v="0"/>
    <n v="0"/>
    <x v="6"/>
    <s v="100% POLYESTER TEXTURED YARD DTY 100D/48F HIM RW SD GRADE -AA"/>
    <n v="10113080"/>
    <x v="0"/>
    <n v="4146363"/>
    <x v="0"/>
    <m/>
    <m/>
    <x v="0"/>
    <x v="0"/>
    <x v="0"/>
    <x v="0"/>
    <x v="0"/>
    <x v="0"/>
    <m/>
    <x v="0"/>
    <x v="1"/>
    <x v="0"/>
    <x v="0"/>
    <x v="0"/>
    <x v="3"/>
    <n v="413.11601307189545"/>
    <n v="169.37757352941176"/>
    <n v="0"/>
    <d v="2024-01-27T00:00:00"/>
    <x v="0"/>
  </r>
  <r>
    <n v="694"/>
    <d v="2024-01-02T00:00:00"/>
    <s v="KAPS-FS-69884-28-12-2023"/>
    <d v="2023-12-28T00:00:00"/>
    <x v="1"/>
    <x v="0"/>
    <n v="25017"/>
    <x v="1"/>
    <x v="0"/>
    <n v="4810.29"/>
    <n v="0.9"/>
    <n v="0"/>
    <n v="0"/>
    <x v="9"/>
    <s v="2/S COATED ART BOARD "/>
    <n v="6495310"/>
    <x v="0"/>
    <n v="3247655"/>
    <x v="0"/>
    <m/>
    <m/>
    <x v="0"/>
    <x v="0"/>
    <x v="0"/>
    <x v="2"/>
    <x v="0"/>
    <x v="0"/>
    <m/>
    <x v="0"/>
    <x v="1"/>
    <x v="0"/>
    <x v="0"/>
    <x v="0"/>
    <x v="6"/>
    <n v="259.63584762361592"/>
    <n v="129.81792381180796"/>
    <n v="0"/>
    <d v="2024-01-07T00:00:00"/>
    <x v="0"/>
  </r>
  <r>
    <n v="695"/>
    <d v="2024-01-04T00:00:00"/>
    <s v="KAPS-FS-72689-04-01-2024"/>
    <d v="2024-01-04T00:00:00"/>
    <x v="0"/>
    <x v="0"/>
    <n v="24480"/>
    <x v="1"/>
    <x v="0"/>
    <n v="5402.33"/>
    <n v="1.43"/>
    <n v="0"/>
    <n v="0"/>
    <x v="6"/>
    <s v="100% POLYESTER TEXTURED YARN DTY 100D/48F HIM RW SD GRADE -AA"/>
    <n v="10082727"/>
    <x v="0"/>
    <n v="4133918"/>
    <x v="0"/>
    <m/>
    <m/>
    <x v="0"/>
    <x v="0"/>
    <x v="0"/>
    <x v="0"/>
    <x v="0"/>
    <x v="0"/>
    <m/>
    <x v="0"/>
    <x v="1"/>
    <x v="0"/>
    <x v="0"/>
    <x v="0"/>
    <x v="3"/>
    <n v="411.8761029411765"/>
    <n v="168.86919934640522"/>
    <n v="0"/>
    <d v="2024-02-03T00:00:00"/>
    <x v="0"/>
  </r>
  <r>
    <n v="696"/>
    <d v="2024-01-04T00:00:00"/>
    <s v="KAPE-FS-46606-04-01-2024"/>
    <d v="2024-01-04T00:00:00"/>
    <x v="0"/>
    <x v="0"/>
    <n v="73440"/>
    <x v="1"/>
    <x v="0"/>
    <n v="5402.33"/>
    <n v="1.35"/>
    <n v="0"/>
    <n v="0"/>
    <x v="6"/>
    <s v="100% POLYESTER TEXTURED YARN DTY 150D/48F HIM RW SD GRADE-AA"/>
    <n v="28555974"/>
    <x v="0"/>
    <n v="11707949"/>
    <x v="0"/>
    <m/>
    <m/>
    <x v="0"/>
    <x v="0"/>
    <x v="0"/>
    <x v="0"/>
    <x v="0"/>
    <x v="0"/>
    <m/>
    <x v="0"/>
    <x v="1"/>
    <x v="0"/>
    <x v="0"/>
    <x v="0"/>
    <x v="3"/>
    <n v="388.83406862745096"/>
    <n v="159.42196350762526"/>
    <n v="0"/>
    <d v="2024-02-03T00:00:00"/>
    <x v="0"/>
  </r>
  <r>
    <n v="697"/>
    <d v="2024-01-05T00:00:00"/>
    <s v="KPAF-FS-31625-02-01-2024"/>
    <d v="2024-01-02T00:00:00"/>
    <x v="0"/>
    <x v="0"/>
    <n v="800"/>
    <x v="1"/>
    <x v="0"/>
    <n v="3204.16"/>
    <n v="29.9"/>
    <n v="0"/>
    <n v="0"/>
    <x v="5"/>
    <s v="DYES (SYNOLON)"/>
    <n v="6890784"/>
    <x v="0"/>
    <n v="3169760"/>
    <x v="0"/>
    <m/>
    <m/>
    <x v="0"/>
    <x v="0"/>
    <x v="0"/>
    <x v="1"/>
    <x v="0"/>
    <x v="0"/>
    <m/>
    <x v="0"/>
    <x v="1"/>
    <x v="0"/>
    <x v="0"/>
    <x v="0"/>
    <x v="4"/>
    <n v="8613.48"/>
    <n v="3962.2"/>
    <n v="0"/>
    <d v="2024-02-04T00:00:00"/>
    <x v="0"/>
  </r>
  <r>
    <n v="698"/>
    <d v="2024-01-05T00:00:00"/>
    <s v="KAPS-FS-72691-04-01-2024"/>
    <d v="2024-01-04T00:00:00"/>
    <x v="0"/>
    <x v="2"/>
    <n v="24480"/>
    <x v="1"/>
    <x v="0"/>
    <n v="5402.33"/>
    <n v="1.43"/>
    <n v="14595.79"/>
    <n v="24480"/>
    <x v="6"/>
    <s v="100% POLYESTER TEXTURED YARN DTY 100D/48F HIM RW SD GRADE-AA"/>
    <n v="10082727"/>
    <x v="0"/>
    <n v="4133918"/>
    <x v="0"/>
    <m/>
    <m/>
    <x v="0"/>
    <x v="0"/>
    <x v="0"/>
    <x v="0"/>
    <x v="0"/>
    <x v="0"/>
    <m/>
    <x v="0"/>
    <x v="1"/>
    <x v="0"/>
    <x v="0"/>
    <x v="0"/>
    <x v="3"/>
    <n v="411.8761029411765"/>
    <n v="168.86919934640522"/>
    <n v="2464779.3711282681"/>
    <d v="2024-02-04T00:00:00"/>
    <x v="0"/>
  </r>
  <r>
    <n v="699"/>
    <d v="2024-01-08T00:00:00"/>
    <s v="KAPE-FS-45579-01-01-2024"/>
    <d v="2024-01-01T00:00:00"/>
    <x v="0"/>
    <x v="0"/>
    <n v="5000"/>
    <x v="1"/>
    <x v="0"/>
    <n v="3204.2"/>
    <n v="6.92"/>
    <n v="0"/>
    <n v="0"/>
    <x v="5"/>
    <s v="DYES (VEEBRIGHT EHT)"/>
    <n v="9967438"/>
    <x v="0"/>
    <n v="4983720"/>
    <x v="0"/>
    <m/>
    <m/>
    <x v="0"/>
    <x v="0"/>
    <x v="0"/>
    <x v="1"/>
    <x v="0"/>
    <x v="0"/>
    <m/>
    <x v="0"/>
    <x v="1"/>
    <x v="0"/>
    <x v="0"/>
    <x v="0"/>
    <x v="4"/>
    <n v="1993.4875999999999"/>
    <n v="996.74400000000003"/>
    <n v="0"/>
    <d v="2024-02-07T00:00:00"/>
    <x v="0"/>
  </r>
  <r>
    <n v="700"/>
    <d v="2024-01-10T00:00:00"/>
    <s v="KAPS-FS-75024-10-01-2024"/>
    <d v="2024-01-10T00:00:00"/>
    <x v="0"/>
    <x v="1"/>
    <n v="7536"/>
    <x v="1"/>
    <x v="0"/>
    <n v="5402.33"/>
    <n v="4.55"/>
    <n v="7536"/>
    <n v="7536"/>
    <x v="13"/>
    <s v="POLYESTER FILAMENT YARN RTSS DT 150D/72F"/>
    <n v="9855053"/>
    <x v="0"/>
    <n v="4040572"/>
    <x v="0"/>
    <m/>
    <m/>
    <x v="0"/>
    <x v="0"/>
    <x v="0"/>
    <x v="0"/>
    <x v="0"/>
    <x v="0"/>
    <m/>
    <x v="0"/>
    <x v="1"/>
    <x v="0"/>
    <x v="0"/>
    <x v="0"/>
    <x v="3"/>
    <n v="1307.7299628450105"/>
    <n v="536.16932059447981"/>
    <n v="4040572"/>
    <d v="2024-02-09T00:00:00"/>
    <x v="0"/>
  </r>
  <r>
    <n v="701"/>
    <d v="2024-01-11T00:00:00"/>
    <s v="KAPW-FS-100035-05-01-2024"/>
    <d v="2024-01-05T00:00:00"/>
    <x v="0"/>
    <x v="1"/>
    <n v="19300"/>
    <x v="1"/>
    <x v="0"/>
    <n v="3906.9029999999998"/>
    <s v="3.20 / 1.55"/>
    <n v="19300"/>
    <n v="19300"/>
    <x v="12"/>
    <s v="CHEMICAL (PERIPRINT / PRIGEN)"/>
    <n v="16184520"/>
    <x v="0"/>
    <n v="5340892"/>
    <x v="0"/>
    <m/>
    <m/>
    <x v="0"/>
    <x v="0"/>
    <x v="0"/>
    <x v="0"/>
    <x v="0"/>
    <x v="0"/>
    <m/>
    <x v="0"/>
    <x v="1"/>
    <x v="0"/>
    <x v="0"/>
    <x v="0"/>
    <x v="5"/>
    <n v="838.57616580310878"/>
    <n v="276.73015544041453"/>
    <n v="5340892.0000000009"/>
    <d v="2024-02-10T00:00:00"/>
    <x v="0"/>
  </r>
  <r>
    <n v="702"/>
    <d v="2024-01-12T00:00:00"/>
    <s v="KAPS-FS-76288-12-01-2024"/>
    <d v="2024-01-12T00:00:00"/>
    <x v="0"/>
    <x v="0"/>
    <n v="22000"/>
    <x v="1"/>
    <x v="0"/>
    <n v="2915.11"/>
    <n v="1.32"/>
    <n v="0"/>
    <n v="0"/>
    <x v="12"/>
    <s v="HYDROBLUE 90"/>
    <n v="8342035"/>
    <x v="0"/>
    <n v="3837336"/>
    <x v="0"/>
    <m/>
    <m/>
    <x v="0"/>
    <x v="0"/>
    <x v="0"/>
    <x v="1"/>
    <x v="0"/>
    <x v="0"/>
    <m/>
    <x v="0"/>
    <x v="1"/>
    <x v="0"/>
    <x v="0"/>
    <x v="0"/>
    <x v="5"/>
    <n v="379.18340909090909"/>
    <n v="174.42436363636364"/>
    <n v="0"/>
    <d v="2024-02-11T00:00:00"/>
    <x v="0"/>
  </r>
  <r>
    <n v="703"/>
    <d v="2024-01-13T00:00:00"/>
    <s v="KAPS-FS-76290-12-01-2024"/>
    <d v="2024-01-12T00:00:00"/>
    <x v="0"/>
    <x v="0"/>
    <n v="22000"/>
    <x v="1"/>
    <x v="0"/>
    <n v="2915.11"/>
    <n v="1.32"/>
    <n v="0"/>
    <n v="0"/>
    <x v="12"/>
    <s v="HYDROBLUE R 90"/>
    <n v="8342035"/>
    <x v="0"/>
    <n v="3837336"/>
    <x v="0"/>
    <m/>
    <m/>
    <x v="0"/>
    <x v="0"/>
    <x v="0"/>
    <x v="1"/>
    <x v="0"/>
    <x v="0"/>
    <m/>
    <x v="0"/>
    <x v="1"/>
    <x v="0"/>
    <x v="0"/>
    <x v="0"/>
    <x v="5"/>
    <n v="379.18340909090909"/>
    <n v="174.42436363636364"/>
    <n v="0"/>
    <d v="2024-02-12T00:00:00"/>
    <x v="0"/>
  </r>
  <r>
    <n v="704"/>
    <d v="2024-01-17T00:00:00"/>
    <s v="KAPW-FS-104585-12-01-2024"/>
    <d v="2024-01-12T00:00:00"/>
    <x v="0"/>
    <x v="1"/>
    <n v="24480"/>
    <x v="1"/>
    <x v="0"/>
    <n v="5402.33"/>
    <n v="1.3"/>
    <n v="24480"/>
    <n v="24480"/>
    <x v="6"/>
    <s v="100% POLYESTER TEXTURED YARN (DTY 300D/96F HIM SD RW AA GRADE)"/>
    <n v="9141767"/>
    <x v="0"/>
    <n v="3748124"/>
    <x v="0"/>
    <m/>
    <m/>
    <x v="0"/>
    <x v="0"/>
    <x v="0"/>
    <x v="0"/>
    <x v="0"/>
    <x v="0"/>
    <m/>
    <x v="0"/>
    <x v="1"/>
    <x v="0"/>
    <x v="0"/>
    <x v="0"/>
    <x v="3"/>
    <n v="373.43819444444443"/>
    <n v="153.10964052287582"/>
    <n v="3748124"/>
    <d v="2024-02-16T00:00:00"/>
    <x v="0"/>
  </r>
  <r>
    <n v="705"/>
    <d v="2024-01-17T00:00:00"/>
    <s v="KAPS-FS-77946-16-01-2024"/>
    <d v="2024-01-16T00:00:00"/>
    <x v="0"/>
    <x v="0"/>
    <n v="26000"/>
    <x v="1"/>
    <x v="0"/>
    <n v="3402.4189999999999"/>
    <n v="11.7"/>
    <n v="0"/>
    <n v="0"/>
    <x v="12"/>
    <s v="(WETMATIC WTL)"/>
    <n v="12195357"/>
    <x v="0"/>
    <n v="6097678"/>
    <x v="0"/>
    <m/>
    <m/>
    <x v="0"/>
    <x v="0"/>
    <x v="0"/>
    <x v="0"/>
    <x v="0"/>
    <x v="0"/>
    <m/>
    <x v="0"/>
    <x v="1"/>
    <x v="0"/>
    <x v="0"/>
    <x v="0"/>
    <x v="5"/>
    <n v="469.05219230769228"/>
    <n v="234.52607692307691"/>
    <n v="0"/>
    <d v="2024-02-16T00:00:00"/>
    <x v="0"/>
  </r>
  <r>
    <n v="706"/>
    <d v="2024-01-18T00:00:00"/>
    <s v="KAPW-FS-104588-12-01-2024"/>
    <d v="2024-01-12T00:00:00"/>
    <x v="0"/>
    <x v="1"/>
    <n v="23100"/>
    <x v="1"/>
    <x v="0"/>
    <n v="5402.33"/>
    <n v="1.35"/>
    <n v="23100"/>
    <n v="23100"/>
    <x v="6"/>
    <s v="100% POLYESTER YARN DTY 150D/48F SD RW HIM AA GRADE"/>
    <n v="8958208"/>
    <x v="0"/>
    <n v="3672865"/>
    <x v="0"/>
    <m/>
    <m/>
    <x v="0"/>
    <x v="0"/>
    <x v="0"/>
    <x v="0"/>
    <x v="0"/>
    <x v="0"/>
    <m/>
    <x v="0"/>
    <x v="1"/>
    <x v="0"/>
    <x v="0"/>
    <x v="0"/>
    <x v="3"/>
    <n v="387.80121212121213"/>
    <n v="158.99848484848485"/>
    <n v="3672865"/>
    <d v="2024-02-17T00:00:00"/>
    <x v="0"/>
  </r>
  <r>
    <n v="707"/>
    <d v="2024-01-18T00:00:00"/>
    <s v="KAPW-FS-104587-12-01-2024"/>
    <d v="2024-01-12T00:00:00"/>
    <x v="0"/>
    <x v="1"/>
    <n v="24480"/>
    <x v="1"/>
    <x v="0"/>
    <n v="5402.33"/>
    <n v="1.3"/>
    <n v="24480"/>
    <n v="24480"/>
    <x v="6"/>
    <s v="100% POLYSTER TEXTURED YARN DTY 300D/96F HIM SD RW AA GRADE"/>
    <n v="9141767"/>
    <x v="0"/>
    <n v="3748124"/>
    <x v="0"/>
    <m/>
    <m/>
    <x v="0"/>
    <x v="0"/>
    <x v="0"/>
    <x v="0"/>
    <x v="0"/>
    <x v="0"/>
    <m/>
    <x v="0"/>
    <x v="1"/>
    <x v="0"/>
    <x v="0"/>
    <x v="0"/>
    <x v="3"/>
    <n v="373.43819444444443"/>
    <n v="153.10964052287582"/>
    <n v="3748124"/>
    <d v="2024-02-17T00:00:00"/>
    <x v="0"/>
  </r>
  <r>
    <n v="708"/>
    <d v="2024-01-19T00:00:00"/>
    <s v="KAPW-FS-107833-18-01-2024"/>
    <d v="2024-01-18T00:00:00"/>
    <x v="0"/>
    <x v="0"/>
    <n v="240"/>
    <x v="1"/>
    <x v="0"/>
    <n v="3809.9189999999999"/>
    <n v="2.6166999999999998"/>
    <n v="0"/>
    <n v="0"/>
    <x v="12"/>
    <s v="(PERSOFT NSA 10)"/>
    <n v="179857"/>
    <x v="0"/>
    <n v="82734"/>
    <x v="0"/>
    <m/>
    <m/>
    <x v="0"/>
    <x v="0"/>
    <x v="0"/>
    <x v="1"/>
    <x v="0"/>
    <x v="0"/>
    <m/>
    <x v="0"/>
    <x v="1"/>
    <x v="0"/>
    <x v="0"/>
    <x v="0"/>
    <x v="5"/>
    <n v="749.4041666666667"/>
    <n v="344.72500000000002"/>
    <n v="0"/>
    <d v="2024-02-18T00:00:00"/>
    <x v="0"/>
  </r>
  <r>
    <n v="709"/>
    <d v="2024-01-20T00:00:00"/>
    <s v="KAPW-FS-107064-16-01-2024"/>
    <d v="2024-01-16T00:00:00"/>
    <x v="0"/>
    <x v="1"/>
    <n v="956"/>
    <x v="1"/>
    <x v="0"/>
    <n v="5407.69"/>
    <n v="7.7263999999999999"/>
    <n v="956"/>
    <n v="956"/>
    <x v="2"/>
    <s v="FABRIC (70% POLYESTER 27% COTTON 3%ELASTAN) WIDTH: 150CM WEIGHT: 190GSM CONSTRUCTION: PLAIN (QTY: 3105/MTRS)"/>
    <n v="2116178"/>
    <x v="0"/>
    <n v="973441"/>
    <x v="0"/>
    <m/>
    <m/>
    <x v="0"/>
    <x v="0"/>
    <x v="0"/>
    <x v="0"/>
    <x v="0"/>
    <x v="0"/>
    <m/>
    <x v="0"/>
    <x v="1"/>
    <x v="0"/>
    <x v="0"/>
    <x v="0"/>
    <x v="2"/>
    <n v="2213.5753138075315"/>
    <n v="1018.2437238493724"/>
    <n v="973441"/>
    <d v="2024-02-19T00:00:00"/>
    <x v="0"/>
  </r>
  <r>
    <n v="710"/>
    <d v="2024-01-19T00:00:00"/>
    <s v="KPPI-FS-40049-16-01-2024"/>
    <d v="2024-01-16T00:00:00"/>
    <x v="0"/>
    <x v="0"/>
    <n v="273814"/>
    <x v="1"/>
    <x v="0"/>
    <n v="5201.009"/>
    <n v="2.0337000000000001"/>
    <n v="0"/>
    <n v="0"/>
    <x v="0"/>
    <s v="Raw Cotton"/>
    <n v="159536373"/>
    <x v="0"/>
    <n v="47860912"/>
    <x v="0"/>
    <m/>
    <m/>
    <x v="0"/>
    <x v="0"/>
    <x v="0"/>
    <x v="2"/>
    <x v="0"/>
    <x v="0"/>
    <m/>
    <x v="0"/>
    <x v="1"/>
    <x v="0"/>
    <x v="0"/>
    <x v="0"/>
    <x v="0"/>
    <n v="582.64505467214974"/>
    <n v="174.79351676685633"/>
    <n v="0"/>
    <d v="2024-02-18T00:00:00"/>
    <x v="0"/>
  </r>
  <r>
    <n v="711"/>
    <d v="2024-01-19T00:00:00"/>
    <s v="KAPS-FS-78557-18-01-2024"/>
    <d v="2024-01-18T00:00:00"/>
    <x v="0"/>
    <x v="1"/>
    <n v="23100"/>
    <x v="1"/>
    <x v="0"/>
    <n v="5402.33"/>
    <n v="1.35"/>
    <n v="23100"/>
    <n v="23100"/>
    <x v="6"/>
    <s v="100% POLYESTER YARN DTY 150D/48F SD RW HIM AA GRADE"/>
    <n v="8931168"/>
    <x v="0"/>
    <n v="3661778"/>
    <x v="0"/>
    <m/>
    <m/>
    <x v="0"/>
    <x v="0"/>
    <x v="0"/>
    <x v="0"/>
    <x v="0"/>
    <x v="0"/>
    <m/>
    <x v="0"/>
    <x v="1"/>
    <x v="0"/>
    <x v="0"/>
    <x v="0"/>
    <x v="3"/>
    <n v="386.63064935064938"/>
    <n v="158.51852813852813"/>
    <n v="3661777.9999999995"/>
    <d v="2024-02-18T00:00:00"/>
    <x v="0"/>
  </r>
  <r>
    <n v="712"/>
    <d v="2024-01-21T00:00:00"/>
    <s v="KAPW-FS-107801-18-01-2024"/>
    <d v="2024-01-18T00:00:00"/>
    <x v="0"/>
    <x v="0"/>
    <n v="102000"/>
    <x v="1"/>
    <x v="0"/>
    <n v="2847"/>
    <n v="0.46"/>
    <n v="0"/>
    <n v="0"/>
    <x v="12"/>
    <s v="HYDROGEN PEROXIDE"/>
    <n v="13437563"/>
    <x v="0"/>
    <n v="5509401"/>
    <x v="0"/>
    <m/>
    <m/>
    <x v="0"/>
    <x v="0"/>
    <x v="0"/>
    <x v="0"/>
    <x v="0"/>
    <x v="0"/>
    <m/>
    <x v="0"/>
    <x v="1"/>
    <x v="0"/>
    <x v="0"/>
    <x v="0"/>
    <x v="5"/>
    <n v="131.7408137254902"/>
    <n v="54.013735294117645"/>
    <n v="0"/>
    <d v="2024-02-20T00:00:00"/>
    <x v="0"/>
  </r>
  <r>
    <n v="713"/>
    <d v="2024-01-24T00:00:00"/>
    <s v="KAPW-FS-110804-23-01-2024"/>
    <d v="2024-01-23T00:00:00"/>
    <x v="0"/>
    <x v="1"/>
    <n v="23100"/>
    <x v="1"/>
    <x v="0"/>
    <n v="5402.33"/>
    <n v="1.35"/>
    <n v="23100"/>
    <n v="23100"/>
    <x v="6"/>
    <s v="100% POLYESTER YARN DTY 150D/48F SD RW HIM AA GRADE"/>
    <n v="8916853"/>
    <x v="0"/>
    <n v="3655910"/>
    <x v="0"/>
    <m/>
    <m/>
    <x v="0"/>
    <x v="0"/>
    <x v="0"/>
    <x v="0"/>
    <x v="0"/>
    <x v="0"/>
    <m/>
    <x v="0"/>
    <x v="1"/>
    <x v="0"/>
    <x v="0"/>
    <x v="0"/>
    <x v="3"/>
    <n v="386.0109523809524"/>
    <n v="158.26450216450218"/>
    <n v="3655910.0000000005"/>
    <d v="2024-02-23T00:00:00"/>
    <x v="0"/>
  </r>
  <r>
    <n v="714"/>
    <d v="2024-01-25T00:00:00"/>
    <s v="KAPS-FS-80327-23-01-2024"/>
    <d v="2024-01-23T00:00:00"/>
    <x v="0"/>
    <x v="1"/>
    <n v="24480"/>
    <x v="1"/>
    <x v="0"/>
    <n v="5402.33"/>
    <n v="1.43"/>
    <n v="24480"/>
    <n v="24480"/>
    <x v="6"/>
    <s v="100% POLYESTER TEXTURED YARN DTY 100D/48F HIM RW SD GRADE-AA"/>
    <n v="10009521"/>
    <x v="0"/>
    <n v="4103904"/>
    <x v="0"/>
    <m/>
    <m/>
    <x v="0"/>
    <x v="0"/>
    <x v="0"/>
    <x v="0"/>
    <x v="0"/>
    <x v="0"/>
    <m/>
    <x v="0"/>
    <x v="1"/>
    <x v="0"/>
    <x v="0"/>
    <x v="0"/>
    <x v="3"/>
    <n v="408.8856617647059"/>
    <n v="167.64313725490197"/>
    <n v="4103904.0000000005"/>
    <d v="2024-02-24T00:00:00"/>
    <x v="0"/>
  </r>
  <r>
    <n v="715"/>
    <d v="2024-01-26T00:00:00"/>
    <s v="KAPS-FS-78581-18-01-2024"/>
    <d v="2024-01-18T00:00:00"/>
    <x v="0"/>
    <x v="0"/>
    <n v="22000"/>
    <x v="1"/>
    <x v="0"/>
    <n v="2915.11"/>
    <n v="1.32"/>
    <n v="0"/>
    <n v="0"/>
    <x v="12"/>
    <s v="HYDROBLUE®90"/>
    <n v="8316855"/>
    <x v="0"/>
    <n v="3825754"/>
    <x v="0"/>
    <m/>
    <m/>
    <x v="0"/>
    <x v="0"/>
    <x v="0"/>
    <x v="2"/>
    <x v="0"/>
    <x v="0"/>
    <m/>
    <x v="0"/>
    <x v="1"/>
    <x v="0"/>
    <x v="0"/>
    <x v="0"/>
    <x v="5"/>
    <n v="378.03886363636366"/>
    <n v="173.89790909090908"/>
    <n v="0"/>
    <d v="2024-02-25T00:00:00"/>
    <x v="0"/>
  </r>
  <r>
    <n v="716"/>
    <d v="2024-01-26T00:00:00"/>
    <s v="KAPS-FS-78582-18-01-2024"/>
    <d v="2024-01-18T00:00:00"/>
    <x v="0"/>
    <x v="0"/>
    <n v="22000"/>
    <x v="1"/>
    <x v="0"/>
    <n v="2915.11"/>
    <n v="1.32"/>
    <n v="0"/>
    <n v="0"/>
    <x v="12"/>
    <s v="HYDROBLUE®90"/>
    <n v="8316855"/>
    <x v="0"/>
    <n v="3825754"/>
    <x v="0"/>
    <m/>
    <m/>
    <x v="0"/>
    <x v="0"/>
    <x v="0"/>
    <x v="2"/>
    <x v="0"/>
    <x v="0"/>
    <m/>
    <x v="0"/>
    <x v="1"/>
    <x v="0"/>
    <x v="0"/>
    <x v="0"/>
    <x v="5"/>
    <n v="378.03886363636366"/>
    <n v="173.89790909090908"/>
    <n v="0"/>
    <d v="2024-02-25T00:00:00"/>
    <x v="0"/>
  </r>
  <r>
    <n v="717"/>
    <d v="2024-01-29T00:00:00"/>
    <s v="KAPS-FS-80270-23-01-2024"/>
    <d v="2024-01-23T00:00:00"/>
    <x v="0"/>
    <x v="1"/>
    <n v="23100"/>
    <x v="1"/>
    <x v="0"/>
    <n v="5402.33"/>
    <n v="1.35"/>
    <n v="23100"/>
    <n v="23100"/>
    <x v="6"/>
    <s v="100% POLYESTER YARN DTY 150D48F SD RW HIM AA GRADE"/>
    <n v="8916853"/>
    <x v="0"/>
    <n v="3655910"/>
    <x v="0"/>
    <m/>
    <m/>
    <x v="0"/>
    <x v="0"/>
    <x v="0"/>
    <x v="0"/>
    <x v="0"/>
    <x v="0"/>
    <m/>
    <x v="0"/>
    <x v="1"/>
    <x v="0"/>
    <x v="0"/>
    <x v="0"/>
    <x v="3"/>
    <n v="386.0109523809524"/>
    <n v="158.26450216450218"/>
    <n v="3655910.0000000005"/>
    <d v="2024-02-28T00:00:00"/>
    <x v="0"/>
  </r>
  <r>
    <n v="718"/>
    <d v="2024-01-29T00:00:00"/>
    <s v="KAPW-FS-110799-23-01-2024"/>
    <d v="2024-01-23T00:00:00"/>
    <x v="0"/>
    <x v="0"/>
    <n v="25600"/>
    <x v="1"/>
    <x v="0"/>
    <n v="3910"/>
    <n v="1.7"/>
    <n v="0"/>
    <n v="0"/>
    <x v="12"/>
    <s v="Chemical (SILICONE HT-40)"/>
    <n v="17201791"/>
    <x v="0"/>
    <n v="5160537"/>
    <x v="0"/>
    <m/>
    <m/>
    <x v="0"/>
    <x v="0"/>
    <x v="0"/>
    <x v="2"/>
    <x v="0"/>
    <x v="0"/>
    <m/>
    <x v="0"/>
    <x v="1"/>
    <x v="0"/>
    <x v="0"/>
    <x v="0"/>
    <x v="5"/>
    <n v="671.94496093750001"/>
    <n v="201.58347656250001"/>
    <n v="0"/>
    <d v="2024-02-28T00:00:00"/>
    <x v="0"/>
  </r>
  <r>
    <n v="719"/>
    <d v="2024-01-30T00:00:00"/>
    <s v="KAPW-FS-112745-25-01-2024"/>
    <d v="2024-01-25T00:00:00"/>
    <x v="0"/>
    <x v="0"/>
    <n v="2760"/>
    <x v="1"/>
    <x v="0"/>
    <n v="3910"/>
    <n v="3.2"/>
    <n v="0"/>
    <n v="0"/>
    <x v="12"/>
    <s v="Chemical (SILYOUWET DS-618C)"/>
    <n v="2524919"/>
    <x v="0"/>
    <n v="757475"/>
    <x v="0"/>
    <m/>
    <m/>
    <x v="0"/>
    <x v="0"/>
    <x v="0"/>
    <x v="0"/>
    <x v="0"/>
    <x v="0"/>
    <m/>
    <x v="0"/>
    <x v="1"/>
    <x v="0"/>
    <x v="0"/>
    <x v="0"/>
    <x v="5"/>
    <n v="914.82572463768111"/>
    <n v="274.44746376811594"/>
    <n v="0"/>
    <d v="2024-02-29T00:00:00"/>
    <x v="0"/>
  </r>
  <r>
    <n v="720"/>
    <d v="2024-02-01T00:00:00"/>
    <s v="KAPS-FS-84174-31-01-2024"/>
    <d v="2024-01-31T00:00:00"/>
    <x v="0"/>
    <x v="0"/>
    <n v="17460"/>
    <x v="1"/>
    <x v="0"/>
    <s v="3402.4200  / 3809.9190  / 3906.9090"/>
    <s v="2.10 / 3.85 / 4.85"/>
    <n v="0"/>
    <n v="0"/>
    <x v="12"/>
    <s v="CHEMICALS (NEOPAT BINDER / NEOPAT / TILASOL)"/>
    <n v="11482966"/>
    <x v="0"/>
    <n v="4802052"/>
    <x v="0"/>
    <m/>
    <m/>
    <x v="0"/>
    <x v="0"/>
    <x v="0"/>
    <x v="0"/>
    <x v="0"/>
    <x v="0"/>
    <m/>
    <x v="0"/>
    <x v="1"/>
    <x v="0"/>
    <x v="0"/>
    <x v="0"/>
    <x v="5"/>
    <n v="657.67273768613973"/>
    <n v="275.03161512027492"/>
    <n v="0"/>
    <d v="2024-03-02T00:00:00"/>
    <x v="0"/>
  </r>
  <r>
    <n v="721"/>
    <d v="2024-02-01T00:00:00"/>
    <s v="KAPW-FS-116119-31-01-2024"/>
    <d v="2024-01-31T00:00:00"/>
    <x v="0"/>
    <x v="1"/>
    <n v="23100"/>
    <x v="1"/>
    <x v="0"/>
    <n v="5402.33"/>
    <n v="1.35"/>
    <n v="23100"/>
    <n v="23100"/>
    <x v="6"/>
    <s v="100% POLYESTER YARN DTY 150D/48F SD RW HIM AA GRADE"/>
    <n v="8912081"/>
    <x v="0"/>
    <n v="3653954"/>
    <x v="0"/>
    <m/>
    <m/>
    <x v="0"/>
    <x v="0"/>
    <x v="0"/>
    <x v="0"/>
    <x v="0"/>
    <x v="0"/>
    <m/>
    <x v="0"/>
    <x v="1"/>
    <x v="0"/>
    <x v="0"/>
    <x v="0"/>
    <x v="3"/>
    <n v="385.80437229437229"/>
    <n v="158.17982683982683"/>
    <n v="3653954"/>
    <d v="2024-03-02T00:00:00"/>
    <x v="0"/>
  </r>
  <r>
    <n v="722"/>
    <d v="2024-02-02T00:00:00"/>
    <s v="KAPW-FS-116120-31-01-2024"/>
    <d v="2024-01-31T00:00:00"/>
    <x v="0"/>
    <x v="1"/>
    <n v="23100"/>
    <x v="1"/>
    <x v="0"/>
    <n v="5402.33"/>
    <n v="1.18"/>
    <n v="23100"/>
    <n v="23100"/>
    <x v="6"/>
    <s v="100% POLYESTER YARN DTY 150D/48F SD RW HIM AA GRADE"/>
    <n v="7789819"/>
    <x v="0"/>
    <n v="3193825"/>
    <x v="0"/>
    <m/>
    <m/>
    <x v="0"/>
    <x v="0"/>
    <x v="0"/>
    <x v="0"/>
    <x v="0"/>
    <x v="0"/>
    <m/>
    <x v="0"/>
    <x v="1"/>
    <x v="0"/>
    <x v="0"/>
    <x v="0"/>
    <x v="3"/>
    <n v="337.22160173160171"/>
    <n v="138.26082251082252"/>
    <n v="3193825.0000000005"/>
    <d v="2024-03-03T00:00:00"/>
    <x v="0"/>
  </r>
  <r>
    <n v="723"/>
    <d v="2024-02-01T00:00:00"/>
    <s v="KAPS-FS-84173-31-01-2024"/>
    <d v="2024-01-31T00:00:00"/>
    <x v="0"/>
    <x v="0"/>
    <n v="17900"/>
    <x v="1"/>
    <x v="0"/>
    <s v="3809.9190  / 3906.9090"/>
    <s v="23.10 / 3.85"/>
    <n v="0"/>
    <n v="0"/>
    <x v="12"/>
    <s v="CHEMICALS (NEOPAT BINDER / NEOPAT)"/>
    <n v="11692730"/>
    <x v="0"/>
    <n v="4898545"/>
    <x v="0"/>
    <m/>
    <m/>
    <x v="0"/>
    <x v="0"/>
    <x v="0"/>
    <x v="2"/>
    <x v="0"/>
    <x v="0"/>
    <m/>
    <x v="0"/>
    <x v="1"/>
    <x v="0"/>
    <x v="0"/>
    <x v="0"/>
    <x v="5"/>
    <n v="653.22513966480449"/>
    <n v="273.66173184357541"/>
    <n v="0"/>
    <d v="2024-03-02T00:00:00"/>
    <x v="0"/>
  </r>
  <r>
    <n v="724"/>
    <d v="2024-02-01T00:00:00"/>
    <s v="KAPW-FS-117024-01-02-2024"/>
    <d v="2024-02-01T00:00:00"/>
    <x v="0"/>
    <x v="1"/>
    <n v="23100"/>
    <x v="1"/>
    <x v="0"/>
    <n v="5402.33"/>
    <n v="1.35"/>
    <n v="23100"/>
    <n v="23100"/>
    <x v="6"/>
    <s v="100% POLYESTER YARN DTY 150D/48F SD RW HIM AA GRADE"/>
    <n v="8908900"/>
    <x v="0"/>
    <n v="3652649"/>
    <x v="0"/>
    <m/>
    <m/>
    <x v="0"/>
    <x v="0"/>
    <x v="0"/>
    <x v="0"/>
    <x v="0"/>
    <x v="0"/>
    <m/>
    <x v="0"/>
    <x v="1"/>
    <x v="0"/>
    <x v="0"/>
    <x v="0"/>
    <x v="3"/>
    <n v="385.66666666666669"/>
    <n v="158.12333333333333"/>
    <n v="3652649"/>
    <d v="2024-03-02T00:00:00"/>
    <x v="0"/>
  </r>
  <r>
    <n v="725"/>
    <d v="2024-02-02T00:00:00"/>
    <s v="KPAF-FS-36895-02-02-2024"/>
    <d v="2024-02-02T00:00:00"/>
    <x v="0"/>
    <x v="1"/>
    <n v="184.78"/>
    <x v="1"/>
    <x v="0"/>
    <n v="5407.52"/>
    <n v="184.78"/>
    <n v="184.78"/>
    <n v="184.78"/>
    <x v="2"/>
    <s v="NAVY BARBARA LIGHT STRETCH KNIT 250G 73.00% VISCOSE 22.00% POLIAMIDE 5.00% ELASTANE"/>
    <n v="550059"/>
    <x v="0"/>
    <n v="253027"/>
    <x v="0"/>
    <m/>
    <m/>
    <x v="0"/>
    <x v="0"/>
    <x v="0"/>
    <x v="0"/>
    <x v="0"/>
    <x v="0"/>
    <m/>
    <x v="0"/>
    <x v="1"/>
    <x v="0"/>
    <x v="0"/>
    <x v="0"/>
    <x v="2"/>
    <n v="2976.8319082151747"/>
    <n v="1369.3419201212253"/>
    <n v="253027"/>
    <d v="2024-03-03T00:00:00"/>
    <x v="0"/>
  </r>
  <r>
    <n v="726"/>
    <d v="2024-02-04T00:00:00"/>
    <s v="KAPW-FS-118330-02-02-2024"/>
    <d v="2024-02-02T00:00:00"/>
    <x v="0"/>
    <x v="1"/>
    <n v="23100"/>
    <x v="1"/>
    <x v="0"/>
    <n v="5402.33"/>
    <n v="1.35"/>
    <n v="23100"/>
    <n v="23100"/>
    <x v="6"/>
    <s v="100% POLYESTER YARN DTY 150D/48F SD RW HIM AA GRADE"/>
    <n v="8908900"/>
    <x v="0"/>
    <n v="3652649"/>
    <x v="0"/>
    <m/>
    <m/>
    <x v="0"/>
    <x v="0"/>
    <x v="0"/>
    <x v="0"/>
    <x v="0"/>
    <x v="0"/>
    <m/>
    <x v="0"/>
    <x v="1"/>
    <x v="0"/>
    <x v="0"/>
    <x v="0"/>
    <x v="3"/>
    <n v="385.66666666666669"/>
    <n v="158.12333333333333"/>
    <n v="3652649"/>
    <d v="2024-03-05T00:00:00"/>
    <x v="0"/>
  </r>
  <r>
    <n v="727"/>
    <d v="2024-02-03T00:00:00"/>
    <s v="KAPW-FS-118328-02-02-2024"/>
    <d v="2024-02-02T00:00:00"/>
    <x v="0"/>
    <x v="1"/>
    <n v="23100"/>
    <x v="1"/>
    <x v="0"/>
    <n v="5402.33"/>
    <n v="1.35"/>
    <n v="23100"/>
    <n v="23100"/>
    <x v="6"/>
    <s v="100% POLYESTER YARN DTY 150D/48F SD RW HIM AA GRADE"/>
    <n v="8908900"/>
    <x v="0"/>
    <n v="3652649"/>
    <x v="0"/>
    <m/>
    <m/>
    <x v="0"/>
    <x v="0"/>
    <x v="0"/>
    <x v="0"/>
    <x v="0"/>
    <x v="0"/>
    <m/>
    <x v="0"/>
    <x v="1"/>
    <x v="0"/>
    <x v="0"/>
    <x v="0"/>
    <x v="3"/>
    <n v="385.66666666666669"/>
    <n v="158.12333333333333"/>
    <n v="3652649"/>
    <d v="2024-03-04T00:00:00"/>
    <x v="0"/>
  </r>
  <r>
    <n v="728"/>
    <d v="2024-02-09T00:00:00"/>
    <s v="KAPS-FS-86837-06-02-2024"/>
    <d v="2024-02-06T00:00:00"/>
    <x v="0"/>
    <x v="1"/>
    <n v="24480"/>
    <x v="1"/>
    <x v="0"/>
    <n v="5402.33"/>
    <n v="1.35"/>
    <n v="24480"/>
    <n v="24480"/>
    <x v="6"/>
    <s v="100% POLYESTER TEXTURED YARN DTY 150D/48F HIM RW SD GRADE-AA"/>
    <n v="9441120"/>
    <x v="0"/>
    <n v="3870859"/>
    <x v="0"/>
    <m/>
    <m/>
    <x v="0"/>
    <x v="0"/>
    <x v="0"/>
    <x v="0"/>
    <x v="0"/>
    <x v="0"/>
    <m/>
    <x v="0"/>
    <x v="1"/>
    <x v="0"/>
    <x v="0"/>
    <x v="0"/>
    <x v="3"/>
    <n v="385.66666666666669"/>
    <n v="158.1233251633987"/>
    <n v="3870859.0000000005"/>
    <d v="2024-03-10T00:00:00"/>
    <x v="0"/>
  </r>
  <r>
    <n v="729"/>
    <d v="2024-02-06T00:00:00"/>
    <s v="KAPW-FS-119331-06-02-2024"/>
    <d v="2024-02-06T00:00:00"/>
    <x v="0"/>
    <x v="0"/>
    <n v="7250"/>
    <x v="1"/>
    <x v="0"/>
    <n v="3204.16"/>
    <s v="32/ 36.50 / 222.85 / 116 / 61.20"/>
    <n v="0"/>
    <n v="0"/>
    <x v="5"/>
    <s v="DYES (BEZATHREN)"/>
    <n v="158273311"/>
    <x v="0"/>
    <n v="72805723"/>
    <x v="0"/>
    <m/>
    <m/>
    <x v="0"/>
    <x v="0"/>
    <x v="0"/>
    <x v="2"/>
    <x v="0"/>
    <x v="0"/>
    <m/>
    <x v="0"/>
    <x v="1"/>
    <x v="0"/>
    <x v="0"/>
    <x v="0"/>
    <x v="4"/>
    <n v="21830.80151724138"/>
    <n v="10042.168689655173"/>
    <n v="0"/>
    <d v="2024-03-07T00:00:00"/>
    <x v="0"/>
  </r>
  <r>
    <n v="730"/>
    <d v="2024-02-10T00:00:00"/>
    <s v="KAPW-FS-119521-06-02-2024"/>
    <d v="2024-02-06T00:00:00"/>
    <x v="0"/>
    <x v="0"/>
    <n v="2048.1999999999998"/>
    <x v="1"/>
    <x v="0"/>
    <n v="5407.52"/>
    <n v="2.8441000000000001"/>
    <n v="0"/>
    <n v="0"/>
    <x v="11"/>
    <s v="100% POLYESTER MESH FABRIC WHITE AND BLACK 170GSM, WIDTH:150CM, (18719.8/MTRS) DETAILS AS PER INVOICE AND PACKING LIST"/>
    <n v="1664162"/>
    <x v="0"/>
    <n v="765514"/>
    <x v="0"/>
    <m/>
    <m/>
    <x v="0"/>
    <x v="0"/>
    <x v="0"/>
    <x v="2"/>
    <x v="0"/>
    <x v="0"/>
    <m/>
    <x v="0"/>
    <x v="1"/>
    <x v="0"/>
    <x v="0"/>
    <x v="0"/>
    <x v="2"/>
    <n v="812.49975588321456"/>
    <n v="373.74963382482184"/>
    <n v="0"/>
    <d v="2024-03-11T00:00:00"/>
    <x v="0"/>
  </r>
  <r>
    <n v="731"/>
    <d v="2024-02-09T00:00:00"/>
    <s v="KPFI-FS-26918-07-02-2024"/>
    <d v="2024-02-07T00:00:00"/>
    <x v="0"/>
    <x v="1"/>
    <n v="889"/>
    <x v="1"/>
    <x v="0"/>
    <n v="5407.52"/>
    <n v="10.967499999999999"/>
    <n v="889"/>
    <n v="889"/>
    <x v="2"/>
    <s v="FABRIC SBANDMASTER 65%OES 35% CO (IRIDE, KELLY GREEN, NS ORANGE, ROYAL BOX, SUPLHOR) 3058.7/MTRS"/>
    <n v="2995562"/>
    <x v="0"/>
    <n v="1377958"/>
    <x v="0"/>
    <m/>
    <m/>
    <x v="0"/>
    <x v="0"/>
    <x v="0"/>
    <x v="0"/>
    <x v="0"/>
    <x v="0"/>
    <m/>
    <x v="0"/>
    <x v="1"/>
    <x v="0"/>
    <x v="0"/>
    <x v="0"/>
    <x v="2"/>
    <n v="3369.5860517435322"/>
    <n v="1550.0089988751406"/>
    <n v="1377958"/>
    <d v="2024-03-10T00:00:00"/>
    <x v="0"/>
  </r>
  <r>
    <n v="732"/>
    <d v="2024-02-09T00:00:00"/>
    <s v="KPFI-FS-26919-07-02-2024"/>
    <d v="2024-02-07T00:00:00"/>
    <x v="1"/>
    <x v="0"/>
    <n v="591"/>
    <x v="1"/>
    <x v="0"/>
    <s v="4821.1090  / 5806.3200"/>
    <s v="10.3334 / 10.3332"/>
    <n v="0"/>
    <n v="0"/>
    <x v="9"/>
    <s v="TAGS 68000/PCS  /  ELASTIC 14213/PCS"/>
    <n v="3752528"/>
    <x v="0"/>
    <n v="1647830"/>
    <x v="0"/>
    <m/>
    <m/>
    <x v="0"/>
    <x v="0"/>
    <x v="0"/>
    <x v="0"/>
    <x v="0"/>
    <x v="0"/>
    <m/>
    <x v="0"/>
    <x v="1"/>
    <x v="0"/>
    <x v="0"/>
    <x v="0"/>
    <x v="6"/>
    <n v="6349.455160744501"/>
    <n v="2788.2064297800339"/>
    <n v="0"/>
    <d v="2024-02-14T00:00:00"/>
    <x v="0"/>
  </r>
  <r>
    <n v="733"/>
    <d v="2024-02-09T00:00:00"/>
    <s v="KPFI-FS-26920-07-02-2024"/>
    <d v="2024-02-07T00:00:00"/>
    <x v="1"/>
    <x v="0"/>
    <n v="283.5"/>
    <x v="1"/>
    <x v="0"/>
    <n v="9606.2909999999993"/>
    <n v="5.8658999999999999"/>
    <n v="0"/>
    <n v="0"/>
    <x v="9"/>
    <s v="WHITE BUTTON 243000/PCS"/>
    <n v="510924"/>
    <x v="0"/>
    <n v="168605"/>
    <x v="0"/>
    <m/>
    <m/>
    <x v="0"/>
    <x v="0"/>
    <x v="0"/>
    <x v="0"/>
    <x v="0"/>
    <x v="0"/>
    <m/>
    <x v="0"/>
    <x v="1"/>
    <x v="0"/>
    <x v="0"/>
    <x v="0"/>
    <x v="6"/>
    <n v="1802.2010582010582"/>
    <n v="594.72663139329802"/>
    <n v="0"/>
    <d v="2024-02-14T00:00:00"/>
    <x v="0"/>
  </r>
  <r>
    <n v="734"/>
    <d v="2024-02-13T00:00:00"/>
    <s v="KAPW-FS-122316-10-02-2024"/>
    <d v="2024-02-10T00:00:00"/>
    <x v="0"/>
    <x v="0"/>
    <n v="26000"/>
    <x v="1"/>
    <x v="0"/>
    <n v="3402.4189999999999"/>
    <n v="11.7"/>
    <n v="0"/>
    <n v="0"/>
    <x v="12"/>
    <s v="TEXTILE CHEMICAL ( WETMATIC WTL )"/>
    <n v="12099159"/>
    <x v="0"/>
    <n v="6049580"/>
    <x v="0"/>
    <m/>
    <m/>
    <x v="0"/>
    <x v="0"/>
    <x v="0"/>
    <x v="0"/>
    <x v="0"/>
    <x v="0"/>
    <m/>
    <x v="0"/>
    <x v="1"/>
    <x v="0"/>
    <x v="0"/>
    <x v="0"/>
    <x v="5"/>
    <n v="465.35226923076925"/>
    <n v="232.67615384615385"/>
    <n v="0"/>
    <d v="2024-03-14T00:00:00"/>
    <x v="0"/>
  </r>
  <r>
    <n v="735"/>
    <d v="2024-02-12T00:00:00"/>
    <s v="KAPS-FS-89059-12-02-2024"/>
    <d v="2024-02-12T00:00:00"/>
    <x v="0"/>
    <x v="1"/>
    <n v="24480"/>
    <x v="1"/>
    <x v="0"/>
    <n v="5402.33"/>
    <n v="1.43"/>
    <n v="24480"/>
    <n v="24480"/>
    <x v="6"/>
    <s v="100% POLYESTER TEXTURED YARN DTY 100D/48F HIM RW SD GRADE-AA"/>
    <n v="9991666"/>
    <x v="0"/>
    <n v="4096583"/>
    <x v="0"/>
    <m/>
    <m/>
    <x v="0"/>
    <x v="0"/>
    <x v="0"/>
    <x v="0"/>
    <x v="0"/>
    <x v="0"/>
    <m/>
    <x v="0"/>
    <x v="1"/>
    <x v="0"/>
    <x v="0"/>
    <x v="0"/>
    <x v="3"/>
    <n v="408.15629084967321"/>
    <n v="167.34407679738561"/>
    <n v="4096582.9999999995"/>
    <d v="2024-03-13T00:00:00"/>
    <x v="0"/>
  </r>
  <r>
    <n v="736"/>
    <d v="2024-02-16T00:00:00"/>
    <s v="KAPW-FS-124277-14-02-2024"/>
    <d v="2024-02-14T00:00:00"/>
    <x v="1"/>
    <x v="2"/>
    <n v="7555"/>
    <x v="1"/>
    <x v="0"/>
    <n v="5807.1009999999997"/>
    <n v="3.5413000000000001"/>
    <n v="22.569999999999965"/>
    <n v="7555"/>
    <x v="9"/>
    <s v="RIBBONS"/>
    <n v="7636382"/>
    <x v="0"/>
    <n v="3130917"/>
    <x v="0"/>
    <m/>
    <m/>
    <x v="0"/>
    <x v="0"/>
    <x v="0"/>
    <x v="0"/>
    <x v="0"/>
    <x v="0"/>
    <m/>
    <x v="0"/>
    <x v="1"/>
    <x v="0"/>
    <x v="0"/>
    <x v="0"/>
    <x v="6"/>
    <n v="1010.7719391131701"/>
    <n v="414.41654533421575"/>
    <n v="9353.3814281932355"/>
    <d v="2024-02-21T00:00:00"/>
    <x v="0"/>
  </r>
  <r>
    <n v="737"/>
    <d v="2024-02-17T00:00:00"/>
    <s v="KAPW-FS-124476-14-02-2024"/>
    <d v="2024-02-14T00:00:00"/>
    <x v="0"/>
    <x v="0"/>
    <n v="4000"/>
    <x v="1"/>
    <x v="0"/>
    <n v="3204.16"/>
    <s v="16.55 / 11 / 4 / 7.15 / 26.60 / 29.90 / 8.90"/>
    <n v="0"/>
    <n v="0"/>
    <x v="5"/>
    <s v="TEXTILE DYES (SYNOLON"/>
    <n v="18769481"/>
    <x v="0"/>
    <n v="8633962"/>
    <x v="0"/>
    <m/>
    <m/>
    <x v="0"/>
    <x v="0"/>
    <x v="0"/>
    <x v="2"/>
    <x v="0"/>
    <x v="0"/>
    <m/>
    <x v="0"/>
    <x v="1"/>
    <x v="0"/>
    <x v="0"/>
    <x v="0"/>
    <x v="4"/>
    <n v="4692.3702499999999"/>
    <n v="2158.4904999999999"/>
    <n v="0"/>
    <d v="2024-03-18T00:00:00"/>
    <x v="0"/>
  </r>
  <r>
    <n v="738"/>
    <d v="2024-02-17T00:00:00"/>
    <s v="KAPW-FS-125038-15-02-2024"/>
    <d v="2024-02-15T00:00:00"/>
    <x v="0"/>
    <x v="2"/>
    <n v="1699.2"/>
    <x v="1"/>
    <x v="0"/>
    <n v="5210.41"/>
    <n v="23.6312"/>
    <n v="1080.79"/>
    <n v="1699.2"/>
    <x v="2"/>
    <s v="58%ORGANIC COTTON 39%RECYCLE POLY 3%SPDX EFFEN WEEFSEL 58% BIO KAT 39% REC.PES3% STR 135X75 45X45+40D +/142 FABRIC 145CM DETAILS AS PER INVOICE AND PACKING LIST"/>
    <n v="12301478"/>
    <x v="0"/>
    <n v="5043606"/>
    <x v="0"/>
    <m/>
    <m/>
    <x v="0"/>
    <x v="0"/>
    <x v="0"/>
    <x v="0"/>
    <x v="0"/>
    <x v="0"/>
    <m/>
    <x v="0"/>
    <x v="1"/>
    <x v="0"/>
    <x v="0"/>
    <x v="0"/>
    <x v="2"/>
    <n v="7239.5703860640297"/>
    <n v="2968.2238700564972"/>
    <n v="3208026.6765183615"/>
    <d v="2024-03-18T00:00:00"/>
    <x v="0"/>
  </r>
  <r>
    <n v="739"/>
    <d v="2024-02-16T00:00:00"/>
    <s v="KAPS-FS-91865-16-02-2024"/>
    <d v="2024-02-16T00:00:00"/>
    <x v="0"/>
    <x v="1"/>
    <n v="24480"/>
    <x v="1"/>
    <x v="0"/>
    <n v="5402.33"/>
    <n v="1.43"/>
    <n v="24480"/>
    <n v="24480"/>
    <x v="6"/>
    <s v="100% POLYESTER TEXTURED YARN DTY 100D/48F HIM RW SD GRADE-AA"/>
    <n v="9991666"/>
    <x v="0"/>
    <n v="4096583"/>
    <x v="0"/>
    <m/>
    <m/>
    <x v="0"/>
    <x v="0"/>
    <x v="0"/>
    <x v="0"/>
    <x v="0"/>
    <x v="0"/>
    <m/>
    <x v="0"/>
    <x v="1"/>
    <x v="0"/>
    <x v="0"/>
    <x v="0"/>
    <x v="3"/>
    <n v="408.15629084967321"/>
    <n v="167.34407679738561"/>
    <n v="4096582.9999999995"/>
    <d v="2024-03-17T00:00:00"/>
    <x v="0"/>
  </r>
  <r>
    <n v="740"/>
    <d v="2024-02-22T00:00:00"/>
    <s v="KPPI-FS-46101-21-02-2024"/>
    <d v="2024-02-21T00:00:00"/>
    <x v="0"/>
    <x v="0"/>
    <n v="24634"/>
    <x v="1"/>
    <x v="0"/>
    <n v="5201.009"/>
    <n v="2.0337000000000001"/>
    <n v="0"/>
    <n v="0"/>
    <x v="0"/>
    <s v="Raw Cotton"/>
    <n v="14299218"/>
    <x v="0"/>
    <n v="4289765"/>
    <x v="0"/>
    <m/>
    <m/>
    <x v="0"/>
    <x v="0"/>
    <x v="0"/>
    <x v="2"/>
    <x v="0"/>
    <x v="0"/>
    <m/>
    <x v="0"/>
    <x v="1"/>
    <x v="0"/>
    <x v="0"/>
    <x v="0"/>
    <x v="0"/>
    <n v="580.46675326784123"/>
    <n v="174.14000974263215"/>
    <n v="0"/>
    <d v="2024-03-23T00:00:00"/>
    <x v="0"/>
  </r>
  <r>
    <n v="741"/>
    <d v="2024-02-25T00:00:00"/>
    <s v="KAPS-FS-95844-23-02-2024"/>
    <d v="2024-02-23T00:00:00"/>
    <x v="0"/>
    <x v="0"/>
    <n v="300822.59999999998"/>
    <x v="1"/>
    <x v="0"/>
    <n v="5503.201"/>
    <n v="0.93"/>
    <n v="0"/>
    <n v="0"/>
    <x v="1"/>
    <s v="Polyester Staple Fiber"/>
    <n v="79894453"/>
    <x v="0"/>
    <n v="32756726"/>
    <x v="0"/>
    <m/>
    <m/>
    <x v="0"/>
    <x v="0"/>
    <x v="0"/>
    <x v="2"/>
    <x v="0"/>
    <x v="0"/>
    <m/>
    <x v="0"/>
    <x v="1"/>
    <x v="0"/>
    <x v="0"/>
    <x v="0"/>
    <x v="1"/>
    <n v="265.58660486279956"/>
    <n v="108.89050889128677"/>
    <n v="0"/>
    <d v="2024-03-26T00:00:00"/>
    <x v="0"/>
  </r>
  <r>
    <n v="742"/>
    <d v="2024-02-27T00:00:00"/>
    <s v="KAPW-FS-131726-27-02-2024"/>
    <d v="2024-02-27T00:00:00"/>
    <x v="0"/>
    <x v="2"/>
    <n v="21000"/>
    <x v="1"/>
    <x v="0"/>
    <n v="3912.31"/>
    <n v="2.5"/>
    <n v="3.68"/>
    <n v="21000"/>
    <x v="12"/>
    <s v="Chemical (SODIUM CARBOXYMETHYL CELLULOSE FINNFIX 700)"/>
    <n v="14984759"/>
    <x v="0"/>
    <n v="6143751"/>
    <x v="0"/>
    <m/>
    <m/>
    <x v="0"/>
    <x v="0"/>
    <x v="0"/>
    <x v="0"/>
    <x v="0"/>
    <x v="0"/>
    <m/>
    <x v="0"/>
    <x v="1"/>
    <x v="0"/>
    <x v="0"/>
    <x v="0"/>
    <x v="5"/>
    <n v="713.55995238095238"/>
    <n v="292.55957142857142"/>
    <n v="1076.6192228571429"/>
    <d v="2024-03-28T00:00:00"/>
    <x v="0"/>
  </r>
  <r>
    <n v="743"/>
    <d v="2024-03-05T00:00:00"/>
    <s v="KAPW-FS-132705-28-02-2024"/>
    <d v="2024-02-28T00:00:00"/>
    <x v="0"/>
    <x v="0"/>
    <n v="102000"/>
    <x v="1"/>
    <x v="0"/>
    <n v="2847"/>
    <n v="0.46"/>
    <n v="0"/>
    <n v="0"/>
    <x v="12"/>
    <s v="HYDROGEN PEROXIDE "/>
    <n v="13387307"/>
    <x v="0"/>
    <n v="5488796"/>
    <x v="0"/>
    <m/>
    <m/>
    <x v="0"/>
    <x v="0"/>
    <x v="0"/>
    <x v="0"/>
    <x v="0"/>
    <x v="0"/>
    <m/>
    <x v="0"/>
    <x v="1"/>
    <x v="0"/>
    <x v="0"/>
    <x v="0"/>
    <x v="5"/>
    <n v="131.24810784313726"/>
    <n v="53.811725490196082"/>
    <n v="0"/>
    <d v="2024-04-04T00:00:00"/>
    <x v="0"/>
  </r>
  <r>
    <n v="744"/>
    <d v="2024-03-07T00:00:00"/>
    <s v="KAPW-FS-137643-07-03-2024"/>
    <d v="2024-03-07T00:00:00"/>
    <x v="1"/>
    <x v="0"/>
    <n v="24908"/>
    <x v="1"/>
    <x v="0"/>
    <n v="4810.29"/>
    <n v="0.9"/>
    <n v="0"/>
    <n v="0"/>
    <x v="9"/>
    <s v="2/S COATED ART BOARD "/>
    <n v="6397263"/>
    <x v="0"/>
    <n v="3198632"/>
    <x v="0"/>
    <m/>
    <m/>
    <x v="0"/>
    <x v="0"/>
    <x v="0"/>
    <x v="2"/>
    <x v="0"/>
    <x v="0"/>
    <m/>
    <x v="0"/>
    <x v="1"/>
    <x v="0"/>
    <x v="0"/>
    <x v="0"/>
    <x v="6"/>
    <n v="256.83567528504898"/>
    <n v="128.41785771639633"/>
    <n v="0"/>
    <d v="2024-03-12T00:00:00"/>
    <x v="0"/>
  </r>
  <r>
    <n v="745"/>
    <d v="2024-03-08T00:00:00"/>
    <s v="KAPW-FS-137770-07-03-2024"/>
    <d v="2024-03-07T00:00:00"/>
    <x v="0"/>
    <x v="1"/>
    <n v="1920"/>
    <x v="1"/>
    <x v="0"/>
    <n v="5407.52"/>
    <n v="5.9276999999999997"/>
    <n v="1920"/>
    <n v="1920"/>
    <x v="2"/>
    <s v="BLENDED FABRIC 78%POLYESTER,17%VISCOSE, 5%ELASTANE, 57” CUTTABLE WIDTH,WEIGHT:200 GSM(+/-5%)"/>
    <n v="3247882"/>
    <x v="0"/>
    <n v="1494026"/>
    <x v="0"/>
    <m/>
    <m/>
    <x v="0"/>
    <x v="0"/>
    <x v="0"/>
    <x v="0"/>
    <x v="0"/>
    <x v="0"/>
    <m/>
    <x v="0"/>
    <x v="1"/>
    <x v="0"/>
    <x v="0"/>
    <x v="0"/>
    <x v="2"/>
    <n v="1691.6052083333334"/>
    <n v="778.1385416666667"/>
    <n v="1494026"/>
    <d v="2024-04-07T00:00:00"/>
    <x v="0"/>
  </r>
  <r>
    <n v="746"/>
    <d v="2024-03-08T00:00:00"/>
    <s v="KAPW-FS-137771-07-03-2024"/>
    <d v="2024-03-07T00:00:00"/>
    <x v="0"/>
    <x v="1"/>
    <n v="1000"/>
    <x v="1"/>
    <x v="0"/>
    <n v="5407.52"/>
    <n v="7.6779999999999999"/>
    <n v="1000"/>
    <n v="1000"/>
    <x v="2"/>
    <s v="BLENDED FABRIC 78%POLYESTER,17%VISCOSE, 5%ELASTANE, 57” CUTTABLE WIDTH,WEIGHT:200 GSM(+/-5%) "/>
    <n v="2191094"/>
    <x v="0"/>
    <n v="1007903"/>
    <x v="0"/>
    <m/>
    <m/>
    <x v="0"/>
    <x v="0"/>
    <x v="0"/>
    <x v="0"/>
    <x v="0"/>
    <x v="0"/>
    <m/>
    <x v="0"/>
    <x v="1"/>
    <x v="0"/>
    <x v="0"/>
    <x v="0"/>
    <x v="2"/>
    <n v="2191.0940000000001"/>
    <n v="1007.903"/>
    <n v="1007903"/>
    <d v="2024-04-07T00:00:00"/>
    <x v="0"/>
  </r>
  <r>
    <n v="747"/>
    <d v="2024-03-11T00:00:00"/>
    <s v="KAPW-FS-139283-09-03-2024"/>
    <d v="2024-03-09T00:00:00"/>
    <x v="0"/>
    <x v="0"/>
    <n v="302023.8"/>
    <x v="1"/>
    <x v="0"/>
    <n v="5503.201"/>
    <n v="0.93"/>
    <n v="0"/>
    <n v="0"/>
    <x v="1"/>
    <s v="Polyester Staple Fiber"/>
    <n v="80156170"/>
    <x v="0"/>
    <n v="32864030"/>
    <x v="0"/>
    <m/>
    <m/>
    <x v="0"/>
    <x v="0"/>
    <x v="0"/>
    <x v="0"/>
    <x v="0"/>
    <x v="0"/>
    <m/>
    <x v="0"/>
    <x v="1"/>
    <x v="0"/>
    <x v="0"/>
    <x v="0"/>
    <x v="1"/>
    <n v="265.3968660747928"/>
    <n v="108.81271608396425"/>
    <n v="0"/>
    <d v="2024-04-10T00:00:00"/>
    <x v="0"/>
  </r>
  <r>
    <n v="748"/>
    <d v="2024-03-11T00:00:00"/>
    <s v="KAPS-FS-102925-09-03-2024"/>
    <d v="2024-03-09T00:00:00"/>
    <x v="0"/>
    <x v="1"/>
    <n v="24480"/>
    <x v="1"/>
    <x v="0"/>
    <n v="5402.33"/>
    <n v="1.43"/>
    <n v="24480"/>
    <n v="24480"/>
    <x v="6"/>
    <s v="100% POLYESTER TEXTURED YARN DTY 100D/48F HIM RW SD GRADE-AA"/>
    <n v="9989881"/>
    <x v="0"/>
    <n v="4095852"/>
    <x v="0"/>
    <m/>
    <m/>
    <x v="0"/>
    <x v="0"/>
    <x v="0"/>
    <x v="0"/>
    <x v="0"/>
    <x v="0"/>
    <m/>
    <x v="0"/>
    <x v="1"/>
    <x v="0"/>
    <x v="0"/>
    <x v="0"/>
    <x v="3"/>
    <n v="408.08337418300653"/>
    <n v="167.31421568627451"/>
    <n v="4095852"/>
    <d v="2024-04-10T00:00:00"/>
    <x v="0"/>
  </r>
  <r>
    <n v="749"/>
    <d v="2024-03-13T00:00:00"/>
    <s v="KPAF-FS-43681-11-03-2024"/>
    <d v="2024-03-11T00:00:00"/>
    <x v="0"/>
    <x v="0"/>
    <n v="700"/>
    <x v="1"/>
    <x v="0"/>
    <n v="3204.16"/>
    <n v="13.367100000000001"/>
    <n v="0"/>
    <n v="0"/>
    <x v="5"/>
    <s v="REACTIVE DYE AQAUA PREMIUM BLACK LP ( 78070163)"/>
    <n v="2928515"/>
    <x v="0"/>
    <n v="1347117"/>
    <x v="0"/>
    <m/>
    <m/>
    <x v="0"/>
    <x v="0"/>
    <x v="0"/>
    <x v="2"/>
    <x v="0"/>
    <x v="0"/>
    <m/>
    <x v="0"/>
    <x v="1"/>
    <x v="0"/>
    <x v="0"/>
    <x v="0"/>
    <x v="4"/>
    <n v="4183.5928571428567"/>
    <n v="1924.4528571428571"/>
    <n v="0"/>
    <d v="2024-04-12T00:00:00"/>
    <x v="0"/>
  </r>
  <r>
    <n v="750"/>
    <d v="2024-03-15T00:00:00"/>
    <s v="KAPS-FS-104215-12-03-2024"/>
    <d v="2024-03-12T00:00:00"/>
    <x v="0"/>
    <x v="2"/>
    <n v="18720"/>
    <x v="1"/>
    <x v="0"/>
    <n v="3906.9029999999998"/>
    <n v="1.98"/>
    <n v="81.080000000000013"/>
    <n v="18720"/>
    <x v="12"/>
    <s v="CHEMICAL FLORPRINT TA160 AF PIGMENT THICKENER"/>
    <n v="10568068"/>
    <x v="0"/>
    <n v="3487462"/>
    <x v="0"/>
    <m/>
    <m/>
    <x v="0"/>
    <x v="0"/>
    <x v="0"/>
    <x v="0"/>
    <x v="0"/>
    <x v="0"/>
    <m/>
    <x v="0"/>
    <x v="1"/>
    <x v="0"/>
    <x v="0"/>
    <x v="0"/>
    <x v="5"/>
    <n v="564.53354700854698"/>
    <n v="186.29604700854702"/>
    <n v="15104.883491452994"/>
    <d v="2024-04-14T00:00:00"/>
    <x v="0"/>
  </r>
  <r>
    <n v="751"/>
    <d v="2024-03-18T00:00:00"/>
    <s v="KAPS-FS-104803-13-03-2024"/>
    <d v="2024-03-13T00:00:00"/>
    <x v="0"/>
    <x v="0"/>
    <n v="3500"/>
    <x v="1"/>
    <x v="0"/>
    <n v="3204.16"/>
    <s v="40.6467 / 41.4022 / 51.7276 / 43.4169"/>
    <n v="0"/>
    <n v="0"/>
    <x v="5"/>
    <s v="DYES (FARBANTHREN)"/>
    <n v="42967276"/>
    <x v="0"/>
    <n v="19764945"/>
    <x v="0"/>
    <m/>
    <m/>
    <x v="0"/>
    <x v="0"/>
    <x v="0"/>
    <x v="2"/>
    <x v="0"/>
    <x v="0"/>
    <m/>
    <x v="0"/>
    <x v="1"/>
    <x v="0"/>
    <x v="0"/>
    <x v="0"/>
    <x v="4"/>
    <n v="12276.364571428572"/>
    <n v="5647.1271428571426"/>
    <n v="0"/>
    <d v="2024-04-17T00:00:00"/>
    <x v="0"/>
  </r>
  <r>
    <n v="752"/>
    <d v="2024-03-15T00:00:00"/>
    <s v="KAPE-FS-60621-13-03-2024"/>
    <d v="2024-03-13T00:00:00"/>
    <x v="0"/>
    <x v="0"/>
    <n v="2520"/>
    <x v="1"/>
    <x v="0"/>
    <n v="3204.16"/>
    <s v="63.8051 / 54.8483 / 6.9944 / 9.8123"/>
    <n v="0"/>
    <n v="0"/>
    <x v="5"/>
    <s v="DYES (BEZATHREN /  BEZAKTIV / BEMACRON)"/>
    <n v="12573131"/>
    <x v="0"/>
    <n v="5783641"/>
    <x v="0"/>
    <m/>
    <m/>
    <x v="0"/>
    <x v="0"/>
    <x v="0"/>
    <x v="2"/>
    <x v="0"/>
    <x v="0"/>
    <m/>
    <x v="0"/>
    <x v="1"/>
    <x v="0"/>
    <x v="0"/>
    <x v="0"/>
    <x v="4"/>
    <n v="4989.337698412698"/>
    <n v="2295.0956349206349"/>
    <n v="0"/>
    <d v="2024-04-14T00:00:00"/>
    <x v="0"/>
  </r>
  <r>
    <n v="753"/>
    <d v="2024-03-16T00:00:00"/>
    <s v="KAPW-FS-142293-15-03-2024"/>
    <d v="2024-03-15T00:00:00"/>
    <x v="0"/>
    <x v="1"/>
    <n v="23100"/>
    <x v="1"/>
    <x v="0"/>
    <n v="5402.33"/>
    <n v="1.35"/>
    <n v="23100"/>
    <n v="23100"/>
    <x v="6"/>
    <s v="100% POLYESTER TEXTURED YARN DTY 150D/48F SD RW HIM AA GRADE"/>
    <n v="8883450"/>
    <x v="0"/>
    <n v="3642215"/>
    <x v="0"/>
    <m/>
    <m/>
    <x v="0"/>
    <x v="0"/>
    <x v="0"/>
    <x v="0"/>
    <x v="0"/>
    <x v="0"/>
    <m/>
    <x v="0"/>
    <x v="1"/>
    <x v="0"/>
    <x v="0"/>
    <x v="0"/>
    <x v="3"/>
    <n v="384.56493506493507"/>
    <n v="157.67164502164502"/>
    <n v="3642215"/>
    <d v="2024-04-15T00:00:00"/>
    <x v="0"/>
  </r>
  <r>
    <n v="754"/>
    <d v="2024-03-15T00:00:00"/>
    <s v="KAPW-FS-142294-15-03-2024"/>
    <d v="2024-03-15T00:00:00"/>
    <x v="0"/>
    <x v="1"/>
    <n v="24480"/>
    <x v="1"/>
    <x v="0"/>
    <n v="5402.33"/>
    <n v="1.43"/>
    <n v="24480"/>
    <n v="24480"/>
    <x v="6"/>
    <s v="100% POLYESTER TEXTURED YARN DTY 100D/48F HIM RW SD GRADE-AA"/>
    <n v="9972025"/>
    <x v="0"/>
    <n v="4088531"/>
    <x v="0"/>
    <m/>
    <m/>
    <x v="0"/>
    <x v="0"/>
    <x v="0"/>
    <x v="0"/>
    <x v="0"/>
    <x v="0"/>
    <m/>
    <x v="0"/>
    <x v="1"/>
    <x v="0"/>
    <x v="0"/>
    <x v="0"/>
    <x v="3"/>
    <n v="407.35396241830063"/>
    <n v="167.01515522875818"/>
    <n v="4088531"/>
    <d v="2024-04-14T00:00:00"/>
    <x v="0"/>
  </r>
  <r>
    <n v="755"/>
    <d v="2024-03-21T00:00:00"/>
    <s v="KPAF-FS-44664-15-03-2024"/>
    <d v="2024-03-15T00:00:00"/>
    <x v="0"/>
    <x v="1"/>
    <n v="187.56"/>
    <x v="1"/>
    <x v="0"/>
    <n v="5407.52"/>
    <n v="13.0358"/>
    <n v="187.56"/>
    <n v="187.56"/>
    <x v="2"/>
    <s v="NAVY BARBARA LIGHT STRETCH KNIT 73% VISCOSE 22% POLIAMIDE 5% ELASTANE"/>
    <n v="696488"/>
    <x v="0"/>
    <n v="320385"/>
    <x v="0"/>
    <m/>
    <m/>
    <x v="0"/>
    <x v="0"/>
    <x v="0"/>
    <x v="0"/>
    <x v="0"/>
    <x v="0"/>
    <m/>
    <x v="0"/>
    <x v="1"/>
    <x v="0"/>
    <x v="0"/>
    <x v="0"/>
    <x v="2"/>
    <n v="3713.4143740669651"/>
    <n v="1708.1733845169545"/>
    <n v="320385"/>
    <d v="2024-04-20T00:00:00"/>
    <x v="0"/>
  </r>
  <r>
    <n v="756"/>
    <d v="2024-03-20T00:00:00"/>
    <s v="KAPS-FS-106915-18-03-2024"/>
    <d v="2024-03-18T00:00:00"/>
    <x v="0"/>
    <x v="1"/>
    <n v="24480"/>
    <x v="1"/>
    <x v="0"/>
    <n v="5402.33"/>
    <n v="1.43"/>
    <n v="24480"/>
    <n v="24480"/>
    <x v="6"/>
    <s v="100% POLYESTER TEXTURED YARN DTY 100D/48F HIM RW SD GRADE-AA"/>
    <n v="9979167"/>
    <x v="0"/>
    <n v="4091458"/>
    <x v="0"/>
    <m/>
    <m/>
    <x v="0"/>
    <x v="0"/>
    <x v="0"/>
    <x v="0"/>
    <x v="0"/>
    <x v="0"/>
    <m/>
    <x v="0"/>
    <x v="1"/>
    <x v="0"/>
    <x v="0"/>
    <x v="0"/>
    <x v="3"/>
    <n v="407.64571078431374"/>
    <n v="167.13472222222222"/>
    <n v="4091458"/>
    <d v="2024-04-19T00:00:00"/>
    <x v="0"/>
  </r>
  <r>
    <n v="757"/>
    <d v="2024-03-21T00:00:00"/>
    <s v="KAPS-FS-106914-18-03-2024"/>
    <d v="2024-03-18T00:00:00"/>
    <x v="0"/>
    <x v="2"/>
    <n v="16000"/>
    <x v="1"/>
    <x v="0"/>
    <n v="3402.4189999999999"/>
    <n v="11.7"/>
    <n v="116.82999999999916"/>
    <n v="16000"/>
    <x v="12"/>
    <s v="CHEMICAL (WETMATIC WTL)"/>
    <n v="7451365"/>
    <x v="0"/>
    <n v="3725683"/>
    <x v="0"/>
    <m/>
    <m/>
    <x v="0"/>
    <x v="0"/>
    <x v="0"/>
    <x v="0"/>
    <x v="0"/>
    <x v="0"/>
    <m/>
    <x v="0"/>
    <x v="1"/>
    <x v="0"/>
    <x v="0"/>
    <x v="0"/>
    <x v="5"/>
    <n v="465.71031249999999"/>
    <n v="232.8551875"/>
    <n v="27204.471555624805"/>
    <d v="2024-04-20T00:00:00"/>
    <x v="0"/>
  </r>
  <r>
    <n v="758"/>
    <d v="2024-03-21T00:00:00"/>
    <s v="KAPS-FS-106916-18-03-2024"/>
    <d v="2024-03-18T00:00:00"/>
    <x v="1"/>
    <x v="0"/>
    <n v="24908"/>
    <x v="1"/>
    <x v="0"/>
    <n v="4810.29"/>
    <n v="0.78"/>
    <n v="0"/>
    <n v="0"/>
    <x v="9"/>
    <s v="2/S COATED ART BOARD "/>
    <n v="5538349"/>
    <x v="0"/>
    <n v="2769175"/>
    <x v="0"/>
    <m/>
    <m/>
    <x v="0"/>
    <x v="0"/>
    <x v="0"/>
    <x v="2"/>
    <x v="0"/>
    <x v="0"/>
    <m/>
    <x v="0"/>
    <x v="1"/>
    <x v="0"/>
    <x v="0"/>
    <x v="0"/>
    <x v="6"/>
    <n v="222.35221615545206"/>
    <n v="111.17612815159788"/>
    <n v="0"/>
    <d v="2024-03-26T00:00:00"/>
    <x v="0"/>
  </r>
  <r>
    <n v="759"/>
    <d v="2024-03-21T00:00:00"/>
    <s v="KAPS-FS-106917-18-03-2024"/>
    <d v="2024-03-18T00:00:00"/>
    <x v="1"/>
    <x v="0"/>
    <n v="24908"/>
    <x v="1"/>
    <x v="0"/>
    <n v="4810.29"/>
    <n v="0.78"/>
    <n v="0"/>
    <n v="0"/>
    <x v="9"/>
    <s v="2/S COATED ART BOARD "/>
    <n v="5538349"/>
    <x v="0"/>
    <n v="2769175"/>
    <x v="0"/>
    <m/>
    <m/>
    <x v="0"/>
    <x v="0"/>
    <x v="0"/>
    <x v="0"/>
    <x v="0"/>
    <x v="0"/>
    <m/>
    <x v="0"/>
    <x v="1"/>
    <x v="0"/>
    <x v="0"/>
    <x v="0"/>
    <x v="6"/>
    <n v="222.35221615545206"/>
    <n v="111.17612815159788"/>
    <n v="0"/>
    <d v="2024-03-26T00:00:00"/>
    <x v="0"/>
  </r>
  <r>
    <n v="760"/>
    <d v="2024-03-21T00:00:00"/>
    <s v="KAPS-FS-106918-18-03-2024"/>
    <d v="2024-03-18T00:00:00"/>
    <x v="1"/>
    <x v="0"/>
    <n v="24908"/>
    <x v="1"/>
    <x v="0"/>
    <n v="4810.29"/>
    <n v="0.78"/>
    <n v="0"/>
    <n v="0"/>
    <x v="9"/>
    <s v="2/S COATED ART BOARD "/>
    <n v="5538349"/>
    <x v="0"/>
    <n v="2769175"/>
    <x v="0"/>
    <m/>
    <m/>
    <x v="0"/>
    <x v="0"/>
    <x v="0"/>
    <x v="0"/>
    <x v="0"/>
    <x v="0"/>
    <m/>
    <x v="0"/>
    <x v="1"/>
    <x v="0"/>
    <x v="0"/>
    <x v="0"/>
    <x v="6"/>
    <n v="222.35221615545206"/>
    <n v="111.17612815159788"/>
    <n v="0"/>
    <d v="2024-03-26T00:00:00"/>
    <x v="0"/>
  </r>
  <r>
    <n v="761"/>
    <d v="2024-03-25T00:00:00"/>
    <s v="KAPS-FS-107200-19-03-2024"/>
    <d v="2024-03-19T00:00:00"/>
    <x v="0"/>
    <x v="0"/>
    <n v="4100"/>
    <x v="1"/>
    <x v="0"/>
    <n v="3204.16"/>
    <s v="16.40 / 10.50 / 8.20 / 16.0 / 5.50"/>
    <n v="0"/>
    <n v="0"/>
    <x v="5"/>
    <s v="DYES (INDANTHREN / IMPERON / REMAZOL)"/>
    <n v="11993145"/>
    <x v="0"/>
    <n v="5516847"/>
    <x v="0"/>
    <m/>
    <m/>
    <x v="0"/>
    <x v="0"/>
    <x v="0"/>
    <x v="2"/>
    <x v="0"/>
    <x v="0"/>
    <m/>
    <x v="0"/>
    <x v="1"/>
    <x v="0"/>
    <x v="0"/>
    <x v="0"/>
    <x v="4"/>
    <n v="2925.1573170731708"/>
    <n v="1345.5724390243902"/>
    <n v="0"/>
    <d v="2024-04-24T00:00:00"/>
    <x v="0"/>
  </r>
  <r>
    <n v="762"/>
    <d v="2024-03-21T00:00:00"/>
    <s v="KAPS-FS-108088-21-03-2024"/>
    <d v="2024-03-21T00:00:00"/>
    <x v="0"/>
    <x v="0"/>
    <n v="17440"/>
    <x v="1"/>
    <x v="0"/>
    <s v="3906.9090 / 3402.4200"/>
    <s v="2.1 / 4.85"/>
    <n v="0"/>
    <n v="0"/>
    <x v="12"/>
    <s v="CHEMICALS (NEOPAT BINDER / TILASOL)"/>
    <n v="11554667"/>
    <x v="0"/>
    <n v="4836835"/>
    <x v="0"/>
    <m/>
    <m/>
    <x v="0"/>
    <x v="0"/>
    <x v="0"/>
    <x v="0"/>
    <x v="0"/>
    <x v="0"/>
    <m/>
    <x v="0"/>
    <x v="1"/>
    <x v="0"/>
    <x v="0"/>
    <x v="0"/>
    <x v="5"/>
    <n v="662.53824541284405"/>
    <n v="277.34145642201833"/>
    <n v="0"/>
    <d v="2024-04-20T00:00:00"/>
    <x v="0"/>
  </r>
  <r>
    <n v="763"/>
    <d v="2024-03-28T00:00:00"/>
    <s v="KAPW-FS-148199-27-03-2024"/>
    <d v="2024-03-27T00:00:00"/>
    <x v="0"/>
    <x v="1"/>
    <n v="23100"/>
    <x v="1"/>
    <x v="0"/>
    <n v="5402.33"/>
    <n v="1.35"/>
    <n v="23100"/>
    <n v="23100"/>
    <x v="6"/>
    <s v="100% POLYESTER YARN DTY 150D/48F SD RW HIM AA GRADE"/>
    <n v="8862773"/>
    <x v="0"/>
    <n v="3633737"/>
    <x v="0"/>
    <m/>
    <m/>
    <x v="0"/>
    <x v="0"/>
    <x v="0"/>
    <x v="0"/>
    <x v="0"/>
    <x v="0"/>
    <m/>
    <x v="0"/>
    <x v="1"/>
    <x v="0"/>
    <x v="0"/>
    <x v="0"/>
    <x v="3"/>
    <n v="383.66982683982684"/>
    <n v="157.30463203463202"/>
    <n v="3633736.9999999995"/>
    <d v="2024-04-27T00:00:00"/>
    <x v="0"/>
  </r>
  <r>
    <n v="764"/>
    <d v="2024-04-02T00:00:00"/>
    <s v="KAPW-FS-150133-30-03-2024"/>
    <d v="2024-03-30T00:00:00"/>
    <x v="0"/>
    <x v="0"/>
    <n v="5400"/>
    <x v="1"/>
    <x v="0"/>
    <n v="3809.9189999999999"/>
    <n v="1.637"/>
    <n v="0"/>
    <n v="0"/>
    <x v="12"/>
    <s v="CHEMICAL (PERSOFT PE 25)"/>
    <n v="2511368"/>
    <x v="0"/>
    <n v="1155229"/>
    <x v="0"/>
    <m/>
    <m/>
    <x v="0"/>
    <x v="0"/>
    <x v="0"/>
    <x v="2"/>
    <x v="0"/>
    <x v="0"/>
    <m/>
    <x v="0"/>
    <x v="1"/>
    <x v="0"/>
    <x v="0"/>
    <x v="0"/>
    <x v="5"/>
    <n v="465.06814814814817"/>
    <n v="213.9312962962963"/>
    <n v="0"/>
    <d v="2024-05-02T00:00:00"/>
    <x v="0"/>
  </r>
  <r>
    <n v="765"/>
    <d v="2024-04-01T00:00:00"/>
    <s v="KAPW-FS-150846-01-04-2024"/>
    <d v="2024-04-01T00:00:00"/>
    <x v="0"/>
    <x v="1"/>
    <n v="23100"/>
    <x v="1"/>
    <x v="0"/>
    <n v="5402.33"/>
    <n v="1.35"/>
    <n v="23100"/>
    <n v="23100"/>
    <x v="6"/>
    <s v="POLYESTER DRAWN TEXURED YARN (DTY),2) DTY 150D/48F, SD RW HIM AA GRADE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01T00:00:00"/>
    <x v="0"/>
  </r>
  <r>
    <n v="766"/>
    <d v="2024-04-01T00:00:00"/>
    <s v="KAPS-FS-110169-27-03-2024"/>
    <d v="2024-03-27T00:00:00"/>
    <x v="0"/>
    <x v="0"/>
    <n v="197206"/>
    <x v="1"/>
    <x v="0"/>
    <n v="5201.009"/>
    <n v="1.8683000000000001"/>
    <n v="0"/>
    <n v="0"/>
    <x v="0"/>
    <s v="Raw Cotton"/>
    <n v="104710588"/>
    <x v="0"/>
    <n v="31413177"/>
    <x v="0"/>
    <m/>
    <m/>
    <x v="0"/>
    <x v="0"/>
    <x v="0"/>
    <x v="2"/>
    <x v="0"/>
    <x v="0"/>
    <m/>
    <x v="0"/>
    <x v="1"/>
    <x v="0"/>
    <x v="0"/>
    <x v="0"/>
    <x v="0"/>
    <n v="530.97059927182738"/>
    <n v="159.29118282405202"/>
    <n v="0"/>
    <d v="2024-05-01T00:00:00"/>
    <x v="0"/>
  </r>
  <r>
    <n v="767"/>
    <d v="2024-04-03T00:00:00"/>
    <s v="KAPW-FS-150842-01-04-2024"/>
    <d v="2024-04-01T00:00:00"/>
    <x v="0"/>
    <x v="1"/>
    <n v="23100"/>
    <x v="1"/>
    <x v="0"/>
    <n v="5402.33"/>
    <n v="1.35"/>
    <n v="23100"/>
    <n v="23100"/>
    <x v="6"/>
    <s v="POLYESTER DRAWN TEXURED YARN (DTY 150D/48F, SD RW HIM AA GRADE)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03T00:00:00"/>
    <x v="0"/>
  </r>
  <r>
    <n v="768"/>
    <d v="2024-04-02T00:00:00"/>
    <s v="KAPW-FS-150848-01-04-2024"/>
    <d v="2024-04-01T00:00:00"/>
    <x v="0"/>
    <x v="1"/>
    <n v="23100"/>
    <x v="1"/>
    <x v="0"/>
    <n v="5402.33"/>
    <n v="1.35"/>
    <n v="23100"/>
    <n v="23100"/>
    <x v="6"/>
    <s v="POLYESTER DRAWN TEXURED YARN (DTY 150D/48F, SD RW HIM AA GRADE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02T00:00:00"/>
    <x v="0"/>
  </r>
  <r>
    <n v="769"/>
    <d v="2024-04-04T00:00:00"/>
    <s v="KAPE-FS-64665-03-04-2024"/>
    <d v="2024-04-03T00:00:00"/>
    <x v="0"/>
    <x v="0"/>
    <n v="1150"/>
    <x v="1"/>
    <x v="0"/>
    <n v="3204.16"/>
    <s v="17.2724 / 5.2524  / 5.2019"/>
    <n v="0"/>
    <n v="0"/>
    <x v="5"/>
    <s v="DYES (SYNOZOL)"/>
    <n v="3416279"/>
    <x v="0"/>
    <n v="1571488"/>
    <x v="0"/>
    <m/>
    <m/>
    <x v="0"/>
    <x v="0"/>
    <x v="0"/>
    <x v="2"/>
    <x v="0"/>
    <x v="0"/>
    <m/>
    <x v="0"/>
    <x v="1"/>
    <x v="0"/>
    <x v="0"/>
    <x v="0"/>
    <x v="4"/>
    <n v="2970.677391304348"/>
    <n v="1366.5113043478261"/>
    <n v="0"/>
    <d v="2024-05-04T00:00:00"/>
    <x v="0"/>
  </r>
  <r>
    <n v="770"/>
    <d v="2024-04-07T00:00:00"/>
    <s v="KAPS-FS-114599-05-04-2024"/>
    <d v="2024-04-05T00:00:00"/>
    <x v="0"/>
    <x v="0"/>
    <n v="125550"/>
    <x v="1"/>
    <x v="0"/>
    <n v="5201.009"/>
    <n v="1.8683000000000001"/>
    <n v="0"/>
    <n v="0"/>
    <x v="0"/>
    <s v="Raw Cotton"/>
    <n v="66603539"/>
    <x v="0"/>
    <n v="19981062"/>
    <x v="0"/>
    <m/>
    <m/>
    <x v="0"/>
    <x v="0"/>
    <x v="0"/>
    <x v="2"/>
    <x v="0"/>
    <x v="0"/>
    <m/>
    <x v="0"/>
    <x v="1"/>
    <x v="0"/>
    <x v="0"/>
    <x v="0"/>
    <x v="0"/>
    <n v="530.49413779370764"/>
    <n v="159.14824372759855"/>
    <n v="0"/>
    <d v="2024-05-07T00:00:00"/>
    <x v="0"/>
  </r>
  <r>
    <n v="771"/>
    <d v="2024-04-16T00:00:00"/>
    <s v="KAPE-FS-65450-08-04-2024"/>
    <d v="2024-04-08T00:00:00"/>
    <x v="0"/>
    <x v="1"/>
    <n v="24480"/>
    <x v="1"/>
    <x v="0"/>
    <n v="5402.33"/>
    <n v="1.43"/>
    <n v="24480"/>
    <n v="24480"/>
    <x v="6"/>
    <s v="100% POLYESTER TEXTURED YARN"/>
    <n v="9938101"/>
    <x v="0"/>
    <n v="4074621"/>
    <x v="0"/>
    <m/>
    <m/>
    <x v="0"/>
    <x v="0"/>
    <x v="0"/>
    <x v="0"/>
    <x v="0"/>
    <x v="0"/>
    <m/>
    <x v="0"/>
    <x v="1"/>
    <x v="0"/>
    <x v="0"/>
    <x v="0"/>
    <x v="3"/>
    <n v="405.96817810457514"/>
    <n v="166.4469362745098"/>
    <n v="4074621"/>
    <d v="2024-05-16T00:00:00"/>
    <x v="0"/>
  </r>
  <r>
    <n v="772"/>
    <d v="2024-04-15T00:00:00"/>
    <s v="KPAF-FS-50053-15-04-2024"/>
    <d v="2024-04-15T00:00:00"/>
    <x v="1"/>
    <x v="1"/>
    <n v="384.88"/>
    <x v="1"/>
    <x v="0"/>
    <n v="5407.52"/>
    <n v="23.847899999999999"/>
    <n v="384.88"/>
    <n v="384.88"/>
    <x v="9"/>
    <s v="CIRCULAR KNITCUFFING 9013.50 METRES"/>
    <n v="3298141"/>
    <x v="0"/>
    <n v="1517145"/>
    <x v="0"/>
    <m/>
    <m/>
    <x v="0"/>
    <x v="0"/>
    <x v="0"/>
    <x v="0"/>
    <x v="0"/>
    <x v="0"/>
    <m/>
    <x v="0"/>
    <x v="1"/>
    <x v="0"/>
    <x v="0"/>
    <x v="0"/>
    <x v="6"/>
    <n v="8569.2709415921854"/>
    <n v="3941.8649968821451"/>
    <n v="1517145"/>
    <d v="2024-04-20T00:00:00"/>
    <x v="0"/>
  </r>
  <r>
    <n v="773"/>
    <d v="2024-04-25T00:00:00"/>
    <s v="KAPS-FS-119046-18-04-2024"/>
    <d v="2024-04-18T00:00:00"/>
    <x v="0"/>
    <x v="1"/>
    <n v="24300"/>
    <x v="1"/>
    <x v="0"/>
    <n v="5402.33"/>
    <n v="1.3"/>
    <n v="24300"/>
    <n v="24300"/>
    <x v="6"/>
    <s v="100% POLYESTER YARN"/>
    <n v="8977874"/>
    <x v="0"/>
    <n v="3680928"/>
    <x v="0"/>
    <m/>
    <m/>
    <x v="0"/>
    <x v="0"/>
    <x v="0"/>
    <x v="0"/>
    <x v="0"/>
    <x v="0"/>
    <m/>
    <x v="0"/>
    <x v="1"/>
    <x v="0"/>
    <x v="0"/>
    <x v="0"/>
    <x v="3"/>
    <n v="369.45983539094652"/>
    <n v="151.47851851851851"/>
    <n v="3680928"/>
    <d v="2024-05-25T00:00:00"/>
    <x v="0"/>
  </r>
  <r>
    <n v="774"/>
    <d v="2024-04-19T00:00:00"/>
    <s v="KAPW-FS-158790-18-04-2024"/>
    <d v="2024-04-18T00:00:00"/>
    <x v="1"/>
    <x v="2"/>
    <n v="14500"/>
    <x v="1"/>
    <x v="0"/>
    <n v="4007.009"/>
    <n v="2.7761999999999998"/>
    <n v="36.21"/>
    <n v="14500"/>
    <x v="9"/>
    <s v="RUBBER THREAD"/>
    <n v="11440437"/>
    <x v="0"/>
    <n v="5262601"/>
    <x v="0"/>
    <m/>
    <m/>
    <x v="0"/>
    <x v="0"/>
    <x v="0"/>
    <x v="0"/>
    <x v="0"/>
    <x v="0"/>
    <m/>
    <x v="0"/>
    <x v="1"/>
    <x v="0"/>
    <x v="0"/>
    <x v="0"/>
    <x v="6"/>
    <n v="788.99565517241376"/>
    <n v="362.93799999999999"/>
    <n v="13141.984979999999"/>
    <d v="2024-04-24T00:00:00"/>
    <x v="0"/>
  </r>
  <r>
    <n v="775"/>
    <d v="2024-04-25T00:00:00"/>
    <s v="KAPW-FS-158798-18-04-2024"/>
    <d v="2024-04-18T00:00:00"/>
    <x v="0"/>
    <x v="1"/>
    <n v="2263"/>
    <x v="1"/>
    <x v="0"/>
    <n v="5407.52"/>
    <n v="7.6708999999999996"/>
    <n v="2263"/>
    <n v="2263"/>
    <x v="2"/>
    <s v="BLENDED FABRIC 78%POLYESTER,17%VISCOSE, 5%ELASTANE, 57” CUTTABLE"/>
    <n v="4933495"/>
    <x v="0"/>
    <n v="2269407"/>
    <x v="0"/>
    <m/>
    <m/>
    <x v="0"/>
    <x v="0"/>
    <x v="0"/>
    <x v="0"/>
    <x v="0"/>
    <x v="0"/>
    <m/>
    <x v="0"/>
    <x v="1"/>
    <x v="0"/>
    <x v="0"/>
    <x v="0"/>
    <x v="2"/>
    <n v="2180.0684931506848"/>
    <n v="1002.8311975254087"/>
    <n v="2269407"/>
    <d v="2024-05-25T00:00:00"/>
    <x v="0"/>
  </r>
  <r>
    <n v="776"/>
    <d v="2024-04-19T00:00:00"/>
    <s v="KAPW-FS-158859-18-04-2024"/>
    <d v="2024-04-18T00:00:00"/>
    <x v="0"/>
    <x v="1"/>
    <n v="23100"/>
    <x v="1"/>
    <x v="0"/>
    <n v="5402.33"/>
    <n v="1.35"/>
    <n v="23100"/>
    <n v="23100"/>
    <x v="6"/>
    <s v="POLYESTER DRAWN TEXURED YARN"/>
    <n v="8862773"/>
    <x v="0"/>
    <n v="3633737"/>
    <x v="0"/>
    <m/>
    <m/>
    <x v="0"/>
    <x v="0"/>
    <x v="0"/>
    <x v="0"/>
    <x v="0"/>
    <x v="0"/>
    <m/>
    <x v="0"/>
    <x v="1"/>
    <x v="0"/>
    <x v="0"/>
    <x v="0"/>
    <x v="3"/>
    <n v="383.66982683982684"/>
    <n v="157.30463203463202"/>
    <n v="3633736.9999999995"/>
    <d v="2024-05-19T00:00:00"/>
    <x v="0"/>
  </r>
  <r>
    <n v="777"/>
    <d v="2024-04-20T00:00:00"/>
    <s v="KAPW-FS-158867-18-04-2024"/>
    <d v="2024-04-18T00:00:00"/>
    <x v="0"/>
    <x v="1"/>
    <n v="23100"/>
    <x v="1"/>
    <x v="0"/>
    <n v="5402.33"/>
    <n v="1.35"/>
    <n v="23100"/>
    <n v="23100"/>
    <x v="6"/>
    <s v="POLYESTER DRAWN TEXURED YARN (DTY 150D/48F"/>
    <n v="8862773"/>
    <x v="0"/>
    <n v="3633737"/>
    <x v="0"/>
    <m/>
    <m/>
    <x v="0"/>
    <x v="0"/>
    <x v="0"/>
    <x v="0"/>
    <x v="0"/>
    <x v="0"/>
    <m/>
    <x v="0"/>
    <x v="1"/>
    <x v="0"/>
    <x v="0"/>
    <x v="0"/>
    <x v="3"/>
    <n v="383.66982683982684"/>
    <n v="157.30463203463202"/>
    <n v="3633736.9999999995"/>
    <d v="2024-05-20T00:00:00"/>
    <x v="0"/>
  </r>
  <r>
    <n v="778"/>
    <d v="2024-04-18T00:00:00"/>
    <s v="KAPW-FS-158784-18-04-2024"/>
    <d v="2024-04-18T00:00:00"/>
    <x v="1"/>
    <x v="1"/>
    <n v="4050"/>
    <x v="1"/>
    <x v="0"/>
    <n v="5901.9089999999997"/>
    <n v="2.9727999999999999"/>
    <n v="4050"/>
    <n v="4050"/>
    <x v="9"/>
    <s v="100% POLYESTER NON WOVEN INTERLINING"/>
    <n v="3421721"/>
    <x v="0"/>
    <n v="1402906"/>
    <x v="0"/>
    <m/>
    <m/>
    <x v="0"/>
    <x v="0"/>
    <x v="0"/>
    <x v="0"/>
    <x v="0"/>
    <x v="0"/>
    <m/>
    <x v="0"/>
    <x v="1"/>
    <x v="0"/>
    <x v="0"/>
    <x v="0"/>
    <x v="6"/>
    <n v="844.86938271604936"/>
    <n v="346.39654320987654"/>
    <n v="1402906"/>
    <d v="2024-04-23T00:00:00"/>
    <x v="0"/>
  </r>
  <r>
    <n v="779"/>
    <d v="2024-04-22T00:00:00"/>
    <s v="KAPS-FS-119025-18-04-2024"/>
    <d v="2024-04-18T00:00:00"/>
    <x v="0"/>
    <x v="1"/>
    <n v="18720"/>
    <x v="1"/>
    <x v="0"/>
    <n v="3906.9029999999998"/>
    <n v="1.98"/>
    <n v="18720"/>
    <n v="18720"/>
    <x v="12"/>
    <s v="TEXTILE CHEMICAL (FLOPRINT"/>
    <n v="10534038"/>
    <x v="0"/>
    <n v="3476233"/>
    <x v="0"/>
    <m/>
    <m/>
    <x v="0"/>
    <x v="0"/>
    <x v="0"/>
    <x v="0"/>
    <x v="0"/>
    <x v="0"/>
    <m/>
    <x v="0"/>
    <x v="1"/>
    <x v="0"/>
    <x v="0"/>
    <x v="0"/>
    <x v="5"/>
    <n v="562.71570512820517"/>
    <n v="185.69620726495725"/>
    <n v="3476232.9999999995"/>
    <d v="2024-05-22T00:00:00"/>
    <x v="0"/>
  </r>
  <r>
    <n v="780"/>
    <d v="2024-04-20T00:00:00"/>
    <s v="KAPS-FS-119014-18-04-2024"/>
    <d v="2024-04-18T00:00:00"/>
    <x v="0"/>
    <x v="1"/>
    <n v="24480"/>
    <x v="1"/>
    <x v="0"/>
    <n v="5402.33"/>
    <n v="1.43"/>
    <n v="24480"/>
    <n v="24480"/>
    <x v="6"/>
    <s v="100% POLYESTER TEXTURED YARN DTY 100D/48F HIM RW SD GRADE-AA"/>
    <n v="9948814"/>
    <x v="0"/>
    <n v="4079015"/>
    <x v="0"/>
    <m/>
    <m/>
    <x v="0"/>
    <x v="0"/>
    <x v="0"/>
    <x v="0"/>
    <x v="0"/>
    <x v="0"/>
    <m/>
    <x v="0"/>
    <x v="1"/>
    <x v="0"/>
    <x v="0"/>
    <x v="0"/>
    <x v="3"/>
    <n v="406.40580065359478"/>
    <n v="166.62642973856208"/>
    <n v="4079014.9999999995"/>
    <d v="2024-05-20T00:00:00"/>
    <x v="0"/>
  </r>
  <r>
    <n v="781"/>
    <d v="2024-04-23T00:00:00"/>
    <s v="KAPS-FS-120629-22-04-2024"/>
    <d v="2024-04-22T00:00:00"/>
    <x v="0"/>
    <x v="1"/>
    <n v="24480"/>
    <x v="1"/>
    <x v="0"/>
    <n v="5402.33"/>
    <n v="1.43"/>
    <n v="24480"/>
    <n v="24480"/>
    <x v="6"/>
    <s v="100% POLYESTER TEXURED YARN"/>
    <n v="9957741"/>
    <x v="0"/>
    <n v="4082674"/>
    <x v="0"/>
    <m/>
    <m/>
    <x v="0"/>
    <x v="0"/>
    <x v="0"/>
    <x v="0"/>
    <x v="0"/>
    <x v="0"/>
    <m/>
    <x v="0"/>
    <x v="1"/>
    <x v="0"/>
    <x v="0"/>
    <x v="0"/>
    <x v="3"/>
    <n v="406.77046568627452"/>
    <n v="166.77589869281044"/>
    <n v="4082673.9999999995"/>
    <d v="2024-05-23T00:00:00"/>
    <x v="0"/>
  </r>
  <r>
    <n v="782"/>
    <d v="2024-04-26T00:00:00"/>
    <s v="KAPW-FS-161911-24-04-2024"/>
    <d v="2024-04-24T00:00:00"/>
    <x v="0"/>
    <x v="1"/>
    <n v="23100"/>
    <x v="1"/>
    <x v="0"/>
    <n v="5402.33"/>
    <n v="1.35"/>
    <n v="23100"/>
    <n v="23100"/>
    <x v="6"/>
    <s v="POLYESTER DRAWN TEXURED YARN (DTY 150D/48F, "/>
    <n v="8867544"/>
    <x v="0"/>
    <n v="3635693"/>
    <x v="0"/>
    <m/>
    <m/>
    <x v="0"/>
    <x v="0"/>
    <x v="0"/>
    <x v="0"/>
    <x v="0"/>
    <x v="0"/>
    <m/>
    <x v="0"/>
    <x v="1"/>
    <x v="0"/>
    <x v="0"/>
    <x v="0"/>
    <x v="3"/>
    <n v="383.87636363636364"/>
    <n v="157.38930735930737"/>
    <n v="3635693"/>
    <d v="2024-05-26T00:00:00"/>
    <x v="0"/>
  </r>
  <r>
    <n v="783"/>
    <d v="2024-04-26T00:00:00"/>
    <s v="KAPS-FS-122706-25-04-2024"/>
    <d v="2024-04-25T00:00:00"/>
    <x v="0"/>
    <x v="1"/>
    <n v="24300"/>
    <x v="1"/>
    <x v="0"/>
    <n v="5402.33"/>
    <n v="1.3"/>
    <n v="24300"/>
    <n v="24300"/>
    <x v="6"/>
    <s v="100% POLYESTER YARN DTY 300D/96F"/>
    <n v="8984319"/>
    <x v="0"/>
    <n v="3683570"/>
    <x v="0"/>
    <m/>
    <m/>
    <x v="0"/>
    <x v="0"/>
    <x v="0"/>
    <x v="0"/>
    <x v="0"/>
    <x v="0"/>
    <m/>
    <x v="0"/>
    <x v="1"/>
    <x v="0"/>
    <x v="0"/>
    <x v="0"/>
    <x v="3"/>
    <n v="369.72506172839508"/>
    <n v="151.58724279835391"/>
    <n v="3683570"/>
    <d v="2024-05-26T00:00:00"/>
    <x v="0"/>
  </r>
  <r>
    <n v="784"/>
    <d v="2024-04-27T00:00:00"/>
    <s v="KPPI-FS-59812-25-04-2024"/>
    <d v="2024-04-25T00:00:00"/>
    <x v="0"/>
    <x v="0"/>
    <n v="198416"/>
    <x v="1"/>
    <x v="0"/>
    <n v="5201.009"/>
    <n v="1.8958999999999999"/>
    <n v="0"/>
    <n v="0"/>
    <x v="0"/>
    <s v="Raw Cotton"/>
    <n v="106986168"/>
    <x v="0"/>
    <n v="32095850"/>
    <x v="0"/>
    <m/>
    <m/>
    <x v="0"/>
    <x v="0"/>
    <x v="0"/>
    <x v="0"/>
    <x v="0"/>
    <x v="0"/>
    <m/>
    <x v="0"/>
    <x v="1"/>
    <x v="0"/>
    <x v="0"/>
    <x v="0"/>
    <x v="0"/>
    <n v="539.20131441012825"/>
    <n v="161.76039230707201"/>
    <n v="0"/>
    <d v="2024-05-27T00:00:00"/>
    <x v="0"/>
  </r>
  <r>
    <n v="785"/>
    <d v="2024-04-30T00:00:00"/>
    <s v="KAPW-FS-163540-25-04-2024"/>
    <d v="2024-04-25T00:00:00"/>
    <x v="0"/>
    <x v="1"/>
    <n v="23100"/>
    <x v="1"/>
    <x v="0"/>
    <n v="5402.33"/>
    <n v="1.35"/>
    <n v="23100"/>
    <n v="23100"/>
    <x v="6"/>
    <s v="POLYESTER DRAWN TEXTURED YARN DTY 150D/48F"/>
    <n v="8869135"/>
    <x v="0"/>
    <n v="3636345"/>
    <x v="0"/>
    <m/>
    <m/>
    <x v="0"/>
    <x v="0"/>
    <x v="0"/>
    <x v="0"/>
    <x v="0"/>
    <x v="0"/>
    <m/>
    <x v="0"/>
    <x v="1"/>
    <x v="0"/>
    <x v="0"/>
    <x v="0"/>
    <x v="3"/>
    <n v="383.9452380952381"/>
    <n v="157.41753246753248"/>
    <n v="3636345.0000000005"/>
    <d v="2024-05-30T00:00:00"/>
    <x v="0"/>
  </r>
  <r>
    <n v="786"/>
    <d v="2024-04-27T00:00:00"/>
    <s v="KAPS-FS-122708-25-04-2024"/>
    <d v="2024-04-25T00:00:00"/>
    <x v="0"/>
    <x v="1"/>
    <n v="24480"/>
    <x v="1"/>
    <x v="0"/>
    <n v="5402.33"/>
    <n v="1.43"/>
    <n v="24480"/>
    <n v="24480"/>
    <x v="6"/>
    <s v="100% POLYESTER TEXTURED YARN DTY 100D/48F"/>
    <n v="9955956"/>
    <x v="0"/>
    <n v="4081942"/>
    <x v="0"/>
    <m/>
    <m/>
    <x v="0"/>
    <x v="0"/>
    <x v="0"/>
    <x v="0"/>
    <x v="0"/>
    <x v="0"/>
    <m/>
    <x v="0"/>
    <x v="1"/>
    <x v="0"/>
    <x v="0"/>
    <x v="0"/>
    <x v="3"/>
    <n v="406.69754901960783"/>
    <n v="166.74599673202616"/>
    <n v="4081942.0000000005"/>
    <d v="2024-05-27T00:00:00"/>
    <x v="0"/>
  </r>
  <r>
    <n v="787"/>
    <d v="2024-04-30T00:00:00"/>
    <s v="KAPW-FS-164826-27-04-2024"/>
    <d v="2024-04-27T00:00:00"/>
    <x v="0"/>
    <x v="1"/>
    <n v="23100"/>
    <x v="1"/>
    <x v="0"/>
    <n v="5402.33"/>
    <n v="1.35"/>
    <n v="23100"/>
    <n v="23100"/>
    <x v="6"/>
    <s v="POLYESTER DRAWN TEXTURED YARN DTY 150D/48F"/>
    <n v="8859591"/>
    <x v="0"/>
    <n v="3632432"/>
    <x v="0"/>
    <m/>
    <m/>
    <x v="0"/>
    <x v="0"/>
    <x v="0"/>
    <x v="0"/>
    <x v="0"/>
    <x v="0"/>
    <m/>
    <x v="0"/>
    <x v="1"/>
    <x v="0"/>
    <x v="0"/>
    <x v="0"/>
    <x v="3"/>
    <n v="383.53207792207792"/>
    <n v="157.24813852813853"/>
    <n v="3632432"/>
    <d v="2024-05-30T00:00:00"/>
    <x v="0"/>
  </r>
  <r>
    <n v="788"/>
    <d v="2024-05-02T00:00:00"/>
    <s v="KAPS-FS-123714-27-04-2024"/>
    <d v="2024-04-27T00:00:00"/>
    <x v="0"/>
    <x v="1"/>
    <n v="24480"/>
    <x v="1"/>
    <x v="0"/>
    <n v="5402.33"/>
    <n v="1.43"/>
    <n v="24480"/>
    <n v="24480"/>
    <x v="6"/>
    <s v="100% POLYESTER TEXURED YARN (DTY 100D/48F"/>
    <n v="9945243"/>
    <x v="0"/>
    <n v="4077550"/>
    <x v="0"/>
    <m/>
    <m/>
    <x v="0"/>
    <x v="0"/>
    <x v="0"/>
    <x v="0"/>
    <x v="0"/>
    <x v="0"/>
    <m/>
    <x v="0"/>
    <x v="1"/>
    <x v="0"/>
    <x v="0"/>
    <x v="0"/>
    <x v="3"/>
    <n v="406.25992647058825"/>
    <n v="166.56658496732027"/>
    <n v="4077550"/>
    <d v="2024-06-01T00:00:00"/>
    <x v="0"/>
  </r>
  <r>
    <n v="789"/>
    <d v="2024-05-02T00:00:00"/>
    <s v="KAPS-FS-125753-02-05-2024"/>
    <d v="2024-05-02T00:00:00"/>
    <x v="0"/>
    <x v="1"/>
    <n v="5087"/>
    <x v="1"/>
    <x v="0"/>
    <n v="5210.41"/>
    <n v="9.7925000000000004"/>
    <n v="5087"/>
    <n v="5087"/>
    <x v="2"/>
    <s v="EFFEN WEEFSEL 55% KATCEN 45% POLYESTER FABRIC (136X72-45X45 +/- 148/150 CM) "/>
    <n v="15191867"/>
    <x v="0"/>
    <n v="6228665"/>
    <x v="0"/>
    <m/>
    <m/>
    <x v="0"/>
    <x v="0"/>
    <x v="0"/>
    <x v="0"/>
    <x v="0"/>
    <x v="0"/>
    <m/>
    <x v="0"/>
    <x v="1"/>
    <x v="0"/>
    <x v="0"/>
    <x v="0"/>
    <x v="2"/>
    <n v="2986.4098682917238"/>
    <n v="1224.427953607234"/>
    <n v="6228664.9999999991"/>
    <d v="2024-06-01T00:00:00"/>
    <x v="0"/>
  </r>
  <r>
    <n v="790"/>
    <d v="2024-05-07T00:00:00"/>
    <s v="KPPI-FS-61552-04-05-2024"/>
    <d v="2024-05-04T00:00:00"/>
    <x v="0"/>
    <x v="0"/>
    <n v="175604"/>
    <x v="1"/>
    <x v="0"/>
    <n v="5201.009"/>
    <n v="1.8683000000000001"/>
    <n v="0"/>
    <n v="0"/>
    <x v="0"/>
    <s v="Raw Cotton"/>
    <n v="93140158"/>
    <x v="0"/>
    <n v="27942047"/>
    <x v="0"/>
    <m/>
    <m/>
    <x v="0"/>
    <x v="0"/>
    <x v="0"/>
    <x v="0"/>
    <x v="0"/>
    <x v="0"/>
    <m/>
    <x v="0"/>
    <x v="1"/>
    <x v="0"/>
    <x v="0"/>
    <x v="0"/>
    <x v="0"/>
    <n v="530.39884057310769"/>
    <n v="159.11964989407986"/>
    <n v="0"/>
    <d v="2024-06-06T00:00:00"/>
    <x v="0"/>
  </r>
  <r>
    <n v="791"/>
    <d v="2024-05-07T00:00:00"/>
    <s v="KAPS-FS-127354-06-05-2024"/>
    <d v="2024-05-06T00:00:00"/>
    <x v="0"/>
    <x v="0"/>
    <n v="6000"/>
    <x v="1"/>
    <x v="0"/>
    <n v="3204.16"/>
    <n v="8.19"/>
    <n v="0"/>
    <n v="0"/>
    <x v="5"/>
    <s v="REACTIVE DYE AQUA PREMIUM"/>
    <n v="15027788"/>
    <x v="0"/>
    <n v="6912785"/>
    <x v="0"/>
    <m/>
    <m/>
    <x v="0"/>
    <x v="0"/>
    <x v="0"/>
    <x v="0"/>
    <x v="0"/>
    <x v="0"/>
    <m/>
    <x v="0"/>
    <x v="1"/>
    <x v="0"/>
    <x v="0"/>
    <x v="0"/>
    <x v="4"/>
    <n v="2504.6313333333333"/>
    <n v="1152.1308333333334"/>
    <n v="0"/>
    <d v="2024-06-06T00:00:00"/>
    <x v="0"/>
  </r>
  <r>
    <n v="792"/>
    <d v="2024-05-07T00:00:00"/>
    <s v="KAPS-FS-127356-06-05-2024"/>
    <d v="2024-05-06T00:00:00"/>
    <x v="0"/>
    <x v="2"/>
    <n v="18000"/>
    <x v="1"/>
    <x v="0"/>
    <n v="3909.5"/>
    <n v="3.05"/>
    <n v="1.1300000000000026"/>
    <n v="18000"/>
    <x v="12"/>
    <s v="CHEMICAL ( LAMFINISH FIX )"/>
    <n v="15585771"/>
    <x v="0"/>
    <n v="4675732"/>
    <x v="0"/>
    <m/>
    <m/>
    <x v="0"/>
    <x v="0"/>
    <x v="0"/>
    <x v="0"/>
    <x v="0"/>
    <x v="0"/>
    <m/>
    <x v="0"/>
    <x v="1"/>
    <x v="0"/>
    <x v="0"/>
    <x v="0"/>
    <x v="5"/>
    <n v="865.87616666666668"/>
    <n v="259.76288888888888"/>
    <n v="293.5320644444451"/>
    <d v="2024-06-06T00:00:00"/>
    <x v="0"/>
  </r>
  <r>
    <n v="793"/>
    <d v="2024-05-14T00:00:00"/>
    <s v="KPAF-FS-55270-07-05-2024"/>
    <d v="2024-05-07T00:00:00"/>
    <x v="0"/>
    <x v="1"/>
    <n v="300"/>
    <x v="1"/>
    <x v="0"/>
    <n v="5407.52"/>
    <n v="19.799900000000001"/>
    <n v="300"/>
    <n v="300"/>
    <x v="16"/>
    <s v="100% NYLON WOVEN FABRIC 1000/MTRS"/>
    <n v="1685715"/>
    <x v="0"/>
    <n v="775429"/>
    <x v="0"/>
    <m/>
    <m/>
    <x v="0"/>
    <x v="0"/>
    <x v="0"/>
    <x v="0"/>
    <x v="0"/>
    <x v="0"/>
    <m/>
    <x v="0"/>
    <x v="1"/>
    <x v="0"/>
    <x v="0"/>
    <x v="0"/>
    <x v="2"/>
    <n v="5619.05"/>
    <n v="2584.7633333333333"/>
    <n v="775429"/>
    <d v="2024-06-13T00:00:00"/>
    <x v="0"/>
  </r>
  <r>
    <n v="794"/>
    <d v="2024-05-11T00:00:00"/>
    <s v="KAPW-FS-171598-09-05-2024"/>
    <d v="2024-05-09T00:00:00"/>
    <x v="0"/>
    <x v="1"/>
    <n v="480"/>
    <x v="1"/>
    <x v="0"/>
    <n v="3809.9110000000001"/>
    <n v="6.8666999999999998"/>
    <n v="480"/>
    <n v="480"/>
    <x v="12"/>
    <s v="CHEMICAL (RAROPRINT AL)"/>
    <n v="1006562"/>
    <x v="0"/>
    <n v="301968"/>
    <x v="0"/>
    <m/>
    <m/>
    <x v="0"/>
    <x v="0"/>
    <x v="0"/>
    <x v="0"/>
    <x v="0"/>
    <x v="0"/>
    <m/>
    <x v="0"/>
    <x v="1"/>
    <x v="0"/>
    <x v="0"/>
    <x v="0"/>
    <x v="5"/>
    <n v="2097.0041666666666"/>
    <n v="629.1"/>
    <n v="301968"/>
    <d v="2024-06-10T00:00:00"/>
    <x v="0"/>
  </r>
  <r>
    <n v="795"/>
    <d v="2024-05-14T00:00:00"/>
    <s v="KAPS-FS-130888-11-05-2024"/>
    <d v="2024-05-11T00:00:00"/>
    <x v="0"/>
    <x v="2"/>
    <n v="302371.5"/>
    <x v="1"/>
    <x v="0"/>
    <n v="5503.201"/>
    <n v="0.97"/>
    <n v="30179.65"/>
    <n v="302371.5"/>
    <x v="1"/>
    <s v="Polyester Staple Fiber"/>
    <n v="83236242"/>
    <x v="0"/>
    <n v="34126860"/>
    <x v="0"/>
    <m/>
    <m/>
    <x v="0"/>
    <x v="0"/>
    <x v="0"/>
    <x v="0"/>
    <x v="0"/>
    <x v="0"/>
    <m/>
    <x v="0"/>
    <x v="1"/>
    <x v="0"/>
    <x v="0"/>
    <x v="0"/>
    <x v="1"/>
    <n v="275.27806688130329"/>
    <n v="112.86401000094254"/>
    <n v="3406196.3194249459"/>
    <d v="2024-06-13T00:00:00"/>
    <x v="0"/>
  </r>
  <r>
    <n v="796"/>
    <d v="2024-05-15T00:00:00"/>
    <s v="KAPS-FS-131674-14-05-2024"/>
    <d v="2024-05-14T00:00:00"/>
    <x v="0"/>
    <x v="1"/>
    <n v="18720"/>
    <x v="1"/>
    <x v="0"/>
    <n v="3906.9029999999998"/>
    <n v="1.98"/>
    <n v="18720"/>
    <n v="18720"/>
    <x v="12"/>
    <s v="CHEMICAL (FLOPRINT TA 160) "/>
    <n v="10515133"/>
    <x v="0"/>
    <n v="3469994"/>
    <x v="0"/>
    <m/>
    <m/>
    <x v="0"/>
    <x v="0"/>
    <x v="0"/>
    <x v="0"/>
    <x v="0"/>
    <x v="0"/>
    <m/>
    <x v="0"/>
    <x v="1"/>
    <x v="0"/>
    <x v="0"/>
    <x v="0"/>
    <x v="5"/>
    <n v="561.70582264957261"/>
    <n v="185.36292735042736"/>
    <n v="3469994"/>
    <d v="2024-06-14T00:00:00"/>
    <x v="0"/>
  </r>
  <r>
    <n v="797"/>
    <d v="2024-05-16T00:00:00"/>
    <s v="KAPS-FS-131938-14-05-2024"/>
    <d v="2024-05-14T00:00:00"/>
    <x v="0"/>
    <x v="0"/>
    <n v="5100"/>
    <x v="1"/>
    <x v="0"/>
    <n v="3204.16"/>
    <s v="8.19 / 7.10"/>
    <n v="0"/>
    <n v="0"/>
    <x v="5"/>
    <s v="REACTIVE DYE AQUA PREMIUM"/>
    <n v="12759408"/>
    <x v="0"/>
    <n v="5869326"/>
    <x v="0"/>
    <m/>
    <m/>
    <x v="0"/>
    <x v="0"/>
    <x v="0"/>
    <x v="0"/>
    <x v="0"/>
    <x v="0"/>
    <m/>
    <x v="0"/>
    <x v="1"/>
    <x v="0"/>
    <x v="0"/>
    <x v="0"/>
    <x v="4"/>
    <n v="2501.8447058823531"/>
    <n v="1150.8482352941176"/>
    <n v="0"/>
    <d v="2024-06-15T00:00:00"/>
    <x v="0"/>
  </r>
  <r>
    <n v="798"/>
    <d v="2024-05-16T00:00:00"/>
    <s v="KAPW-FS-174553-15-05-2024"/>
    <d v="2024-05-15T00:00:00"/>
    <x v="0"/>
    <x v="0"/>
    <n v="241549"/>
    <x v="1"/>
    <x v="0"/>
    <n v="5201.009"/>
    <n v="1.929"/>
    <n v="0"/>
    <n v="0"/>
    <x v="0"/>
    <s v="Raw Cotton"/>
    <n v="132232237"/>
    <x v="0"/>
    <n v="39669671"/>
    <x v="0"/>
    <m/>
    <m/>
    <x v="0"/>
    <x v="0"/>
    <x v="0"/>
    <x v="0"/>
    <x v="0"/>
    <x v="0"/>
    <m/>
    <x v="0"/>
    <x v="1"/>
    <x v="0"/>
    <x v="0"/>
    <x v="0"/>
    <x v="0"/>
    <n v="547.43442117334371"/>
    <n v="164.23032593800843"/>
    <n v="0"/>
    <d v="2024-06-15T00:00:00"/>
    <x v="0"/>
  </r>
  <r>
    <n v="799"/>
    <d v="2024-05-18T00:00:00"/>
    <s v="KAPW-FS-174554-15-05-2024"/>
    <d v="2024-05-15T00:00:00"/>
    <x v="0"/>
    <x v="0"/>
    <n v="255813.1"/>
    <x v="1"/>
    <x v="0"/>
    <n v="5201.009"/>
    <n v="1.929"/>
    <n v="0"/>
    <n v="0"/>
    <x v="0"/>
    <s v="Raw Cotton"/>
    <n v="140040896"/>
    <x v="0"/>
    <n v="42012269"/>
    <x v="0"/>
    <m/>
    <m/>
    <x v="0"/>
    <x v="0"/>
    <x v="0"/>
    <x v="0"/>
    <x v="0"/>
    <x v="0"/>
    <m/>
    <x v="0"/>
    <x v="1"/>
    <x v="0"/>
    <x v="0"/>
    <x v="0"/>
    <x v="0"/>
    <n v="547.43441989483722"/>
    <n v="164.23032675027198"/>
    <n v="0"/>
    <d v="2024-06-17T00:00:00"/>
    <x v="0"/>
  </r>
  <r>
    <n v="800"/>
    <d v="2024-05-17T00:00:00"/>
    <s v="KAPS-FS-133478-17-05-2024"/>
    <d v="2024-05-17T00:00:00"/>
    <x v="0"/>
    <x v="1"/>
    <n v="596305.5"/>
    <x v="1"/>
    <x v="0"/>
    <n v="5503.201"/>
    <n v="0.95499999999999996"/>
    <n v="596305.5"/>
    <n v="596305.5"/>
    <x v="1"/>
    <s v="Polyester Staple Fiber"/>
    <n v="161640471"/>
    <x v="0"/>
    <n v="66272594"/>
    <x v="0"/>
    <m/>
    <m/>
    <x v="0"/>
    <x v="0"/>
    <x v="0"/>
    <x v="0"/>
    <x v="0"/>
    <x v="0"/>
    <m/>
    <x v="0"/>
    <x v="1"/>
    <x v="0"/>
    <x v="0"/>
    <x v="0"/>
    <x v="1"/>
    <n v="271.06989789629642"/>
    <n v="111.13865963000509"/>
    <n v="66272594"/>
    <d v="2024-06-16T00:00:00"/>
    <x v="0"/>
  </r>
  <r>
    <n v="801"/>
    <d v="2024-05-23T00:00:00"/>
    <s v="KPFI-FS-35857-18-05-2024"/>
    <d v="2024-05-18T00:00:00"/>
    <x v="0"/>
    <x v="1"/>
    <n v="180"/>
    <x v="1"/>
    <x v="0"/>
    <n v="5407.52"/>
    <n v="9.0832999999999995"/>
    <n v="180"/>
    <n v="180"/>
    <x v="2"/>
    <s v="FABRIC PC65:35"/>
    <n v="505244"/>
    <x v="0"/>
    <n v="232412"/>
    <x v="0"/>
    <m/>
    <m/>
    <x v="0"/>
    <x v="0"/>
    <x v="0"/>
    <x v="0"/>
    <x v="0"/>
    <x v="0"/>
    <m/>
    <x v="0"/>
    <x v="1"/>
    <x v="0"/>
    <x v="0"/>
    <x v="0"/>
    <x v="2"/>
    <n v="2806.911111111111"/>
    <n v="1291.1777777777777"/>
    <n v="232411.99999999997"/>
    <d v="2024-06-22T00:00:00"/>
    <x v="0"/>
  </r>
  <r>
    <n v="802"/>
    <d v="2024-05-23T00:00:00"/>
    <s v="KPPI-FS-65099-21-05-2024"/>
    <d v="2024-05-21T00:00:00"/>
    <x v="0"/>
    <x v="0"/>
    <n v="299905.71999999997"/>
    <x v="1"/>
    <x v="0"/>
    <n v="5201.009"/>
    <n v="1.8958999999999999"/>
    <n v="0"/>
    <n v="0"/>
    <x v="0"/>
    <s v="Raw Cotton"/>
    <n v="161361547"/>
    <x v="0"/>
    <n v="48408464"/>
    <x v="0"/>
    <m/>
    <m/>
    <x v="0"/>
    <x v="0"/>
    <x v="0"/>
    <x v="0"/>
    <x v="0"/>
    <x v="0"/>
    <m/>
    <x v="0"/>
    <x v="1"/>
    <x v="0"/>
    <x v="0"/>
    <x v="0"/>
    <x v="0"/>
    <n v="538.04091165717023"/>
    <n v="161.41227316371294"/>
    <n v="0"/>
    <d v="2024-06-22T00:00:00"/>
    <x v="0"/>
  </r>
  <r>
    <n v="803"/>
    <d v="2024-05-31T00:00:00"/>
    <s v="KAPS-FS-136023-22-05-2024"/>
    <d v="2024-05-22T00:00:00"/>
    <x v="0"/>
    <x v="0"/>
    <n v="19040"/>
    <x v="1"/>
    <x v="0"/>
    <n v="2915.11"/>
    <n v="0.6"/>
    <n v="0"/>
    <n v="0"/>
    <x v="12"/>
    <s v="FORMIC ACID 85%"/>
    <n v="3243203"/>
    <x v="0"/>
    <n v="1491873"/>
    <x v="0"/>
    <m/>
    <m/>
    <x v="0"/>
    <x v="0"/>
    <x v="0"/>
    <x v="0"/>
    <x v="0"/>
    <x v="0"/>
    <m/>
    <x v="0"/>
    <x v="1"/>
    <x v="0"/>
    <x v="0"/>
    <x v="0"/>
    <x v="5"/>
    <n v="170.33629201680671"/>
    <n v="78.354674369747897"/>
    <n v="0"/>
    <d v="2024-06-30T00:00:00"/>
    <x v="0"/>
  </r>
  <r>
    <n v="804"/>
    <d v="2024-05-31T00:00:00"/>
    <s v="KAPW-FS-179692-23-05-2024"/>
    <d v="2024-05-23T00:00:00"/>
    <x v="0"/>
    <x v="1"/>
    <n v="302527.5"/>
    <x v="1"/>
    <x v="0"/>
    <n v="5503.201"/>
    <n v="0.97"/>
    <n v="302527.5"/>
    <n v="302527.5"/>
    <x v="1"/>
    <s v="Polyester Staple Fiber"/>
    <n v="83339055"/>
    <x v="0"/>
    <n v="34169013"/>
    <x v="0"/>
    <m/>
    <m/>
    <x v="0"/>
    <x v="0"/>
    <x v="0"/>
    <x v="0"/>
    <x v="0"/>
    <x v="0"/>
    <m/>
    <x v="0"/>
    <x v="1"/>
    <x v="0"/>
    <x v="0"/>
    <x v="0"/>
    <x v="1"/>
    <n v="275.47596499491783"/>
    <n v="112.94514713538439"/>
    <n v="34169013"/>
    <d v="2024-06-30T00:00:00"/>
    <x v="0"/>
  </r>
  <r>
    <n v="805"/>
    <d v="2024-05-30T00:00:00"/>
    <s v="KAPS-FS-136823-23-05-2024"/>
    <d v="2024-05-23T00:00:00"/>
    <x v="0"/>
    <x v="0"/>
    <n v="10080"/>
    <x v="1"/>
    <x v="0"/>
    <n v="3910"/>
    <s v="3.6  / 2.85"/>
    <n v="10080"/>
    <n v="10080"/>
    <x v="12"/>
    <s v="( FLUID MS 1000 / MICROS 50 HS )"/>
    <n v="9011195"/>
    <x v="0"/>
    <n v="2703358"/>
    <x v="0"/>
    <m/>
    <m/>
    <x v="0"/>
    <x v="0"/>
    <x v="0"/>
    <x v="0"/>
    <x v="0"/>
    <x v="0"/>
    <m/>
    <x v="0"/>
    <x v="1"/>
    <x v="0"/>
    <x v="0"/>
    <x v="0"/>
    <x v="5"/>
    <n v="893.96775793650795"/>
    <n v="268.19027777777779"/>
    <n v="2703358"/>
    <d v="2024-06-29T00:00:00"/>
    <x v="0"/>
  </r>
  <r>
    <n v="806"/>
    <d v="2024-05-29T00:00:00"/>
    <s v="KAPS-FS-136827-23-05-2024"/>
    <d v="2024-05-23T00:00:00"/>
    <x v="0"/>
    <x v="2"/>
    <n v="15330"/>
    <x v="1"/>
    <x v="0"/>
    <n v="3809.9189999999999"/>
    <s v="3.45 / 3.35 / 2.20 / 1.95 / 2.5"/>
    <n v="375.29"/>
    <n v="15330"/>
    <x v="12"/>
    <s v="POLYSOFT / ENZYME / POLYWAX / POLYPAN / WINZYME "/>
    <n v="13439677"/>
    <x v="0"/>
    <n v="6182252"/>
    <x v="0"/>
    <m/>
    <m/>
    <x v="0"/>
    <x v="0"/>
    <x v="0"/>
    <x v="0"/>
    <x v="0"/>
    <x v="0"/>
    <m/>
    <x v="0"/>
    <x v="1"/>
    <x v="0"/>
    <x v="0"/>
    <x v="0"/>
    <x v="5"/>
    <n v="876.69125896934111"/>
    <n v="403.27801696020873"/>
    <n v="151346.20698499674"/>
    <d v="2024-06-28T00:00:00"/>
    <x v="0"/>
  </r>
  <r>
    <n v="807"/>
    <d v="2024-06-03T00:00:00"/>
    <s v="KAPW-FS-184827-01-06-2024"/>
    <d v="2024-06-01T00:00:00"/>
    <x v="0"/>
    <x v="2"/>
    <n v="81600"/>
    <x v="1"/>
    <x v="0"/>
    <n v="2847"/>
    <n v="0.46"/>
    <n v="0"/>
    <n v="81600"/>
    <x v="12"/>
    <s v="HYDROGEN PEROXIDE"/>
    <n v="10663897"/>
    <x v="0"/>
    <n v="4372198"/>
    <x v="0"/>
    <m/>
    <m/>
    <x v="0"/>
    <x v="0"/>
    <x v="0"/>
    <x v="0"/>
    <x v="0"/>
    <x v="0"/>
    <m/>
    <x v="0"/>
    <x v="1"/>
    <x v="0"/>
    <x v="0"/>
    <x v="0"/>
    <x v="5"/>
    <n v="130.68501225490195"/>
    <n v="53.580857843137252"/>
    <n v="0"/>
    <d v="2024-07-03T00:00:00"/>
    <x v="0"/>
  </r>
  <r>
    <n v="808"/>
    <d v="2024-06-03T00:00:00"/>
    <s v="KAPS-FS-140861-03-06-2024"/>
    <d v="2024-06-03T00:00:00"/>
    <x v="0"/>
    <x v="1"/>
    <n v="19562.62"/>
    <x v="1"/>
    <x v="0"/>
    <n v="5509.99"/>
    <n v="1.95"/>
    <n v="19562.62"/>
    <n v="19562.62"/>
    <x v="3"/>
    <s v="WOVEN -50% POST CONS POLY -25% POST CONS REC COTTON- 25% PRE CONS REC COTTON YARN RAW WHITE 14/1"/>
    <n v="10837512"/>
    <x v="0"/>
    <n v="4443379"/>
    <x v="0"/>
    <m/>
    <m/>
    <x v="0"/>
    <x v="0"/>
    <x v="0"/>
    <x v="0"/>
    <x v="0"/>
    <x v="0"/>
    <m/>
    <x v="0"/>
    <x v="1"/>
    <x v="0"/>
    <x v="0"/>
    <x v="0"/>
    <x v="3"/>
    <n v="553.99082535979335"/>
    <n v="227.13619136904975"/>
    <n v="4443379"/>
    <d v="2024-07-03T00:00:00"/>
    <x v="0"/>
  </r>
  <r>
    <n v="809"/>
    <d v="2024-06-10T00:00:00"/>
    <s v="KAPS-FS-141691-04-06-2024"/>
    <d v="2024-06-04T00:00:00"/>
    <x v="0"/>
    <x v="1"/>
    <n v="51680"/>
    <x v="1"/>
    <x v="0"/>
    <n v="5503.201"/>
    <n v="0.95"/>
    <n v="51680"/>
    <n v="51680"/>
    <x v="1"/>
    <s v="Polyester Staple Fiber"/>
    <n v="13938051"/>
    <x v="0"/>
    <n v="5714601"/>
    <x v="0"/>
    <m/>
    <m/>
    <x v="0"/>
    <x v="0"/>
    <x v="0"/>
    <x v="0"/>
    <x v="0"/>
    <x v="0"/>
    <m/>
    <x v="0"/>
    <x v="1"/>
    <x v="0"/>
    <x v="0"/>
    <x v="0"/>
    <x v="1"/>
    <n v="269.69912925696593"/>
    <n v="110.5766447368421"/>
    <n v="5714601"/>
    <d v="2024-07-10T00:00:00"/>
    <x v="0"/>
  </r>
  <r>
    <n v="810"/>
    <d v="2024-06-10T00:00:00"/>
    <s v="KAPS-FS-144067-08-06-2024"/>
    <d v="2024-06-08T00:00:00"/>
    <x v="0"/>
    <x v="1"/>
    <n v="24480"/>
    <x v="1"/>
    <x v="0"/>
    <n v="5402.33"/>
    <n v="1.35"/>
    <n v="24480"/>
    <n v="24480"/>
    <x v="6"/>
    <s v="100% POLYESTER TEXTURED YARN DTY 158 DTEX /48F HIM RW SD GRADE AA"/>
    <n v="9393923"/>
    <x v="0"/>
    <n v="3851509"/>
    <x v="0"/>
    <m/>
    <m/>
    <x v="0"/>
    <x v="0"/>
    <x v="0"/>
    <x v="0"/>
    <x v="0"/>
    <x v="0"/>
    <m/>
    <x v="0"/>
    <x v="1"/>
    <x v="0"/>
    <x v="0"/>
    <x v="0"/>
    <x v="3"/>
    <n v="383.73868464052288"/>
    <n v="157.3328839869281"/>
    <n v="3851509"/>
    <d v="2024-07-10T00:00:00"/>
    <x v="0"/>
  </r>
  <r>
    <n v="811"/>
    <d v="2024-06-10T00:00:00"/>
    <s v="KAPW-FS-190514-08-06-2024"/>
    <d v="2024-06-08T00:00:00"/>
    <x v="0"/>
    <x v="1"/>
    <n v="24480"/>
    <x v="1"/>
    <x v="0"/>
    <n v="5402.33"/>
    <n v="1.35"/>
    <n v="24480"/>
    <n v="24480"/>
    <x v="6"/>
    <s v="100%POLYESTER TEXTURED YARN DTY 158/48F, SD RW HIM AA GRADE"/>
    <n v="9393923"/>
    <x v="0"/>
    <n v="3851509"/>
    <x v="0"/>
    <m/>
    <m/>
    <x v="0"/>
    <x v="0"/>
    <x v="0"/>
    <x v="0"/>
    <x v="0"/>
    <x v="0"/>
    <m/>
    <x v="0"/>
    <x v="1"/>
    <x v="0"/>
    <x v="0"/>
    <x v="0"/>
    <x v="3"/>
    <n v="383.73868464052288"/>
    <n v="157.3328839869281"/>
    <n v="3851509"/>
    <d v="2024-07-10T00:00:00"/>
    <x v="0"/>
  </r>
  <r>
    <n v="812"/>
    <d v="2024-06-13T00:00:00"/>
    <s v="KAPW-FS-192860-11-06-2024"/>
    <d v="2024-06-11T00:00:00"/>
    <x v="0"/>
    <x v="1"/>
    <n v="3609"/>
    <x v="1"/>
    <x v="0"/>
    <n v="5407.52"/>
    <n v="5.36"/>
    <n v="3609"/>
    <n v="3609"/>
    <x v="11"/>
    <s v="100% POLYESTER MICRO FIBER FABRIC PLAIN 90GSM WIDTH: 101''  (QTY: 15851/MTRS)"/>
    <n v="5501220"/>
    <x v="0"/>
    <n v="2530561"/>
    <x v="0"/>
    <m/>
    <m/>
    <x v="0"/>
    <x v="0"/>
    <x v="0"/>
    <x v="0"/>
    <x v="0"/>
    <x v="0"/>
    <m/>
    <x v="0"/>
    <x v="1"/>
    <x v="0"/>
    <x v="0"/>
    <x v="0"/>
    <x v="2"/>
    <n v="1524.3059019118868"/>
    <n v="701.18065946245497"/>
    <n v="2530561"/>
    <d v="2024-07-13T00:00:00"/>
    <x v="0"/>
  </r>
  <r>
    <n v="813"/>
    <d v="2024-06-13T00:00:00"/>
    <s v="KAPW-FS-192862-11-06-2024"/>
    <d v="2024-06-11T00:00:00"/>
    <x v="0"/>
    <x v="1"/>
    <n v="1959.1"/>
    <x v="1"/>
    <x v="0"/>
    <n v="5407.52"/>
    <n v="5.4"/>
    <n v="1959.1"/>
    <n v="1959.1"/>
    <x v="11"/>
    <s v="100% POLYESTER MESH FABRIC WHITE 170GSM,WIDTH:150CM, (7424.8/MTRS) DETAILS AS PER INVOICE AND PACKING LIST"/>
    <n v="3008929"/>
    <x v="0"/>
    <n v="1384107"/>
    <x v="0"/>
    <m/>
    <m/>
    <x v="0"/>
    <x v="0"/>
    <x v="0"/>
    <x v="0"/>
    <x v="0"/>
    <x v="0"/>
    <m/>
    <x v="0"/>
    <x v="1"/>
    <x v="0"/>
    <x v="0"/>
    <x v="0"/>
    <x v="2"/>
    <n v="1535.8731049971927"/>
    <n v="706.50145474962994"/>
    <n v="1384107"/>
    <d v="2024-07-13T00:00:00"/>
    <x v="0"/>
  </r>
  <r>
    <n v="814"/>
    <d v="2024-06-12T00:00:00"/>
    <s v="KAPW-FS-192859-11-06-2024"/>
    <d v="2024-06-11T00:00:00"/>
    <x v="0"/>
    <x v="1"/>
    <n v="8500"/>
    <x v="1"/>
    <x v="0"/>
    <n v="3809.9189999999999"/>
    <n v="1.95"/>
    <n v="8500"/>
    <n v="8500"/>
    <x v="12"/>
    <s v="SOFTENER FLAKE"/>
    <n v="4710613"/>
    <x v="0"/>
    <n v="2166882"/>
    <x v="0"/>
    <m/>
    <m/>
    <x v="0"/>
    <x v="0"/>
    <x v="0"/>
    <x v="0"/>
    <x v="0"/>
    <x v="0"/>
    <m/>
    <x v="0"/>
    <x v="1"/>
    <x v="0"/>
    <x v="0"/>
    <x v="0"/>
    <x v="5"/>
    <n v="554.18976470588234"/>
    <n v="254.92729411764705"/>
    <n v="2166882"/>
    <d v="2024-07-12T00:00:00"/>
    <x v="0"/>
  </r>
  <r>
    <n v="815"/>
    <d v="2024-06-12T00:00:00"/>
    <s v="KAPW-FS-192762-11-06-2024"/>
    <d v="2024-06-11T00:00:00"/>
    <x v="0"/>
    <x v="0"/>
    <n v="500"/>
    <x v="1"/>
    <x v="0"/>
    <n v="3204.16"/>
    <n v="10.9"/>
    <n v="0"/>
    <n v="0"/>
    <x v="5"/>
    <s v="Dyes (NOVAVRON BLUE)"/>
    <n v="1548889"/>
    <x v="0"/>
    <n v="712489"/>
    <x v="0"/>
    <m/>
    <m/>
    <x v="0"/>
    <x v="0"/>
    <x v="0"/>
    <x v="0"/>
    <x v="0"/>
    <x v="0"/>
    <m/>
    <x v="0"/>
    <x v="1"/>
    <x v="0"/>
    <x v="0"/>
    <x v="0"/>
    <x v="4"/>
    <n v="3097.7779999999998"/>
    <n v="1424.9780000000001"/>
    <n v="0"/>
    <d v="2024-07-12T00:00:00"/>
    <x v="0"/>
  </r>
  <r>
    <n v="816"/>
    <d v="2024-06-13T00:00:00"/>
    <s v="KAPS-FS-146211-12-06-2024"/>
    <d v="2024-06-12T00:00:00"/>
    <x v="1"/>
    <x v="0"/>
    <n v="24908"/>
    <x v="1"/>
    <x v="0"/>
    <n v="4810.29"/>
    <n v="0.77"/>
    <n v="0"/>
    <n v="0"/>
    <x v="9"/>
    <s v="2/S COATED ART BOARD "/>
    <n v="5453649"/>
    <x v="0"/>
    <n v="2726825"/>
    <x v="0"/>
    <m/>
    <m/>
    <x v="0"/>
    <x v="0"/>
    <x v="0"/>
    <x v="0"/>
    <x v="0"/>
    <x v="0"/>
    <m/>
    <x v="0"/>
    <x v="1"/>
    <x v="0"/>
    <x v="0"/>
    <x v="0"/>
    <x v="6"/>
    <n v="218.95170226433274"/>
    <n v="109.47587120603822"/>
    <n v="0"/>
    <d v="2024-06-18T00:00:00"/>
    <x v="0"/>
  </r>
  <r>
    <n v="817"/>
    <d v="2024-06-13T00:00:00"/>
    <s v="KAPS-FS-146216-12-06-2024"/>
    <d v="2024-06-12T00:00:00"/>
    <x v="1"/>
    <x v="0"/>
    <n v="24908"/>
    <x v="1"/>
    <x v="0"/>
    <n v="4810.29"/>
    <n v="0.77"/>
    <n v="0"/>
    <n v="0"/>
    <x v="9"/>
    <s v="2/S COATED ART BOARD "/>
    <n v="5453649"/>
    <x v="0"/>
    <n v="2726825"/>
    <x v="0"/>
    <m/>
    <m/>
    <x v="0"/>
    <x v="0"/>
    <x v="0"/>
    <x v="0"/>
    <x v="0"/>
    <x v="0"/>
    <m/>
    <x v="0"/>
    <x v="1"/>
    <x v="0"/>
    <x v="0"/>
    <x v="0"/>
    <x v="6"/>
    <n v="218.95170226433274"/>
    <n v="109.47587120603822"/>
    <n v="0"/>
    <d v="2024-06-18T00:00:00"/>
    <x v="0"/>
  </r>
  <r>
    <n v="818"/>
    <d v="2024-06-13T00:00:00"/>
    <s v="KAPS-FS-146212-12-06-2024"/>
    <d v="2024-06-12T00:00:00"/>
    <x v="1"/>
    <x v="2"/>
    <n v="24908"/>
    <x v="1"/>
    <x v="0"/>
    <n v="4810.29"/>
    <n v="0.77"/>
    <n v="2.3099999999999881"/>
    <n v="24908"/>
    <x v="9"/>
    <s v="2/S COATED ART BOARD "/>
    <n v="5453649"/>
    <x v="0"/>
    <n v="2726825"/>
    <x v="0"/>
    <m/>
    <m/>
    <x v="0"/>
    <x v="0"/>
    <x v="0"/>
    <x v="0"/>
    <x v="0"/>
    <x v="0"/>
    <m/>
    <x v="0"/>
    <x v="1"/>
    <x v="0"/>
    <x v="0"/>
    <x v="0"/>
    <x v="6"/>
    <n v="218.95170226433274"/>
    <n v="109.47587120603822"/>
    <n v="252.88926248594697"/>
    <d v="2024-06-18T00:00:00"/>
    <x v="0"/>
  </r>
  <r>
    <n v="819"/>
    <d v="2024-06-13T00:00:00"/>
    <s v="KAPW-FS-192984-12-06-2024"/>
    <d v="2024-06-12T00:00:00"/>
    <x v="0"/>
    <x v="1"/>
    <n v="18912"/>
    <x v="1"/>
    <x v="0"/>
    <n v="5402.33"/>
    <n v="4.3499999999999996"/>
    <n v="18912"/>
    <n v="18912"/>
    <x v="6"/>
    <s v="POLYESTER FILAMENT YARN TRSS DT 150D/72F SD RW AA"/>
    <n v="23392915"/>
    <x v="0"/>
    <n v="9591096"/>
    <x v="0"/>
    <m/>
    <m/>
    <x v="0"/>
    <x v="0"/>
    <x v="0"/>
    <x v="0"/>
    <x v="0"/>
    <x v="0"/>
    <m/>
    <x v="0"/>
    <x v="1"/>
    <x v="0"/>
    <x v="0"/>
    <x v="0"/>
    <x v="3"/>
    <n v="1236.9350148054145"/>
    <n v="507.14340101522845"/>
    <n v="9591096"/>
    <d v="2024-07-13T00:00:00"/>
    <x v="0"/>
  </r>
  <r>
    <n v="820"/>
    <d v="2024-06-14T00:00:00"/>
    <s v="KAPE-FS-79606-13-06-2024"/>
    <d v="2024-06-13T00:00:00"/>
    <x v="0"/>
    <x v="0"/>
    <n v="4000"/>
    <x v="1"/>
    <x v="0"/>
    <n v="3204.16"/>
    <n v="7.04"/>
    <n v="0"/>
    <n v="0"/>
    <x v="5"/>
    <s v="DYES (BEZAKTIV BLUE)"/>
    <n v="13343327"/>
    <x v="0"/>
    <n v="6137930"/>
    <x v="0"/>
    <m/>
    <m/>
    <x v="0"/>
    <x v="0"/>
    <x v="0"/>
    <x v="0"/>
    <x v="0"/>
    <x v="0"/>
    <m/>
    <x v="0"/>
    <x v="1"/>
    <x v="0"/>
    <x v="0"/>
    <x v="0"/>
    <x v="4"/>
    <n v="3335.8317499999998"/>
    <n v="1534.4825000000001"/>
    <n v="0"/>
    <d v="2024-07-14T00:00:00"/>
    <x v="0"/>
  </r>
  <r>
    <n v="821"/>
    <d v="2024-06-20T00:00:00"/>
    <s v="KAPS-FS-147645-17-06-2024"/>
    <d v="2024-06-17T00:00:00"/>
    <x v="0"/>
    <x v="1"/>
    <n v="22000"/>
    <x v="1"/>
    <x v="0"/>
    <n v="5402.33"/>
    <n v="1.45"/>
    <n v="22000"/>
    <n v="22000"/>
    <x v="6"/>
    <s v="100% POLYESTER MVS UNWAXED FOR AIRJET WEAVING YARN 24/1"/>
    <n v="9078992"/>
    <x v="0"/>
    <n v="3722387"/>
    <x v="0"/>
    <m/>
    <m/>
    <x v="0"/>
    <x v="0"/>
    <x v="0"/>
    <x v="0"/>
    <x v="0"/>
    <x v="0"/>
    <m/>
    <x v="0"/>
    <x v="1"/>
    <x v="0"/>
    <x v="0"/>
    <x v="0"/>
    <x v="3"/>
    <n v="412.68145454545453"/>
    <n v="169.19940909090909"/>
    <n v="3722387"/>
    <d v="2024-07-20T00:00:00"/>
    <x v="0"/>
  </r>
  <r>
    <n v="822"/>
    <d v="2024-06-21T00:00:00"/>
    <s v="KAPW-FS-195627-20-06-2024"/>
    <d v="2024-06-20T00:00:00"/>
    <x v="0"/>
    <x v="0"/>
    <n v="300"/>
    <x v="1"/>
    <x v="0"/>
    <n v="3204.16"/>
    <n v="7.15"/>
    <n v="0"/>
    <n v="0"/>
    <x v="5"/>
    <s v="DYES (SYNOZOL)"/>
    <n v="610484"/>
    <x v="0"/>
    <n v="280822"/>
    <x v="0"/>
    <m/>
    <m/>
    <x v="0"/>
    <x v="0"/>
    <x v="0"/>
    <x v="0"/>
    <x v="0"/>
    <x v="0"/>
    <m/>
    <x v="0"/>
    <x v="1"/>
    <x v="0"/>
    <x v="0"/>
    <x v="0"/>
    <x v="4"/>
    <n v="2034.9466666666667"/>
    <n v="936.07333333333338"/>
    <n v="0"/>
    <d v="2024-07-21T00:00:00"/>
    <x v="0"/>
  </r>
  <r>
    <n v="823"/>
    <d v="2024-06-26T00:00:00"/>
    <s v="KAPW-FS-199126-26-06-2024"/>
    <d v="2024-06-26T00:00:00"/>
    <x v="1"/>
    <x v="1"/>
    <n v="888"/>
    <x v="1"/>
    <x v="0"/>
    <n v="5807.9"/>
    <n v="8.1295000000000002"/>
    <n v="888"/>
    <n v="888"/>
    <x v="9"/>
    <s v="Piping Cord"/>
    <n v="2054583"/>
    <x v="0"/>
    <n v="842379"/>
    <x v="0"/>
    <m/>
    <m/>
    <x v="0"/>
    <x v="0"/>
    <x v="0"/>
    <x v="0"/>
    <x v="0"/>
    <x v="0"/>
    <m/>
    <x v="0"/>
    <x v="1"/>
    <x v="0"/>
    <x v="0"/>
    <x v="0"/>
    <x v="6"/>
    <n v="2313.7195945945946"/>
    <n v="948.625"/>
    <n v="842379"/>
    <d v="2024-07-01T00:00:00"/>
    <x v="0"/>
  </r>
  <r>
    <n v="824"/>
    <d v="2024-07-01T00:00:00"/>
    <s v="KAPW-FS-199895-27-06-2024"/>
    <d v="2024-06-27T00:00:00"/>
    <x v="0"/>
    <x v="2"/>
    <n v="81600"/>
    <x v="1"/>
    <x v="0"/>
    <n v="2847"/>
    <n v="0.46"/>
    <n v="67627.110000000015"/>
    <n v="81600"/>
    <x v="12"/>
    <s v="HYDROGEN PEROXIDE 50%"/>
    <n v="10679213"/>
    <x v="0"/>
    <n v="4378477"/>
    <x v="0"/>
    <m/>
    <m/>
    <x v="0"/>
    <x v="0"/>
    <x v="0"/>
    <x v="0"/>
    <x v="0"/>
    <x v="0"/>
    <m/>
    <x v="0"/>
    <x v="1"/>
    <x v="0"/>
    <x v="0"/>
    <x v="0"/>
    <x v="5"/>
    <n v="130.87270833333332"/>
    <n v="53.657806372549018"/>
    <n v="3628722.3739150744"/>
    <d v="2024-07-31T00:00:00"/>
    <x v="0"/>
  </r>
  <r>
    <n v="825"/>
    <d v="2024-07-01T00:00:00"/>
    <s v="KAPS-FS-153945-29-06-2024"/>
    <d v="2024-06-29T00:00:00"/>
    <x v="0"/>
    <x v="1"/>
    <n v="22000"/>
    <x v="1"/>
    <x v="0"/>
    <n v="5402.33"/>
    <n v="1.45"/>
    <n v="22000"/>
    <n v="22000"/>
    <x v="6"/>
    <s v="100% POLYESTER MVS UNWAXED FOR AIRJET WEAVING YARN 24/1"/>
    <n v="9072484"/>
    <x v="0"/>
    <n v="3719718"/>
    <x v="0"/>
    <m/>
    <m/>
    <x v="0"/>
    <x v="0"/>
    <x v="0"/>
    <x v="0"/>
    <x v="0"/>
    <x v="0"/>
    <m/>
    <x v="0"/>
    <x v="1"/>
    <x v="0"/>
    <x v="0"/>
    <x v="0"/>
    <x v="3"/>
    <n v="412.38563636363637"/>
    <n v="169.07809090909092"/>
    <n v="3719718"/>
    <d v="2024-07-31T00:00:00"/>
    <x v="0"/>
  </r>
  <r>
    <n v="826"/>
    <d v="2024-07-05T00:00:00"/>
    <s v="KPFI-FS-49-01-07-2024"/>
    <d v="2024-07-01T00:00:00"/>
    <x v="1"/>
    <x v="0"/>
    <n v="51"/>
    <x v="1"/>
    <x v="0"/>
    <n v="4821.8999999999996"/>
    <n v="20.631699999999999"/>
    <n v="0"/>
    <n v="0"/>
    <x v="9"/>
    <s v="HANG TAG (QTY: 61425 PCS)"/>
    <n v="299255"/>
    <x v="0"/>
    <n v="137658"/>
    <x v="0"/>
    <m/>
    <m/>
    <x v="0"/>
    <x v="0"/>
    <x v="0"/>
    <x v="0"/>
    <x v="0"/>
    <x v="0"/>
    <m/>
    <x v="0"/>
    <x v="1"/>
    <x v="0"/>
    <x v="0"/>
    <x v="0"/>
    <x v="6"/>
    <n v="5867.7450980392159"/>
    <n v="2699.1764705882351"/>
    <n v="0"/>
    <d v="2024-07-10T00:00:00"/>
    <x v="0"/>
  </r>
  <r>
    <n v="827"/>
    <d v="2024-07-02T00:00:00"/>
    <s v="KPAF-FS-119-01-07-2024"/>
    <d v="2024-07-01T00:00:00"/>
    <x v="1"/>
    <x v="0"/>
    <n v="55"/>
    <x v="1"/>
    <x v="0"/>
    <n v="4821.8999999999996"/>
    <n v="28.124700000000001"/>
    <n v="0"/>
    <n v="0"/>
    <x v="9"/>
    <s v="LABELS (QTY: 36759 PCS)"/>
    <n v="439933"/>
    <x v="0"/>
    <n v="202369"/>
    <x v="0"/>
    <m/>
    <m/>
    <x v="0"/>
    <x v="0"/>
    <x v="0"/>
    <x v="0"/>
    <x v="0"/>
    <x v="0"/>
    <m/>
    <x v="0"/>
    <x v="1"/>
    <x v="0"/>
    <x v="0"/>
    <x v="0"/>
    <x v="6"/>
    <n v="7998.7818181818184"/>
    <n v="3679.4363636363637"/>
    <n v="0"/>
    <d v="2024-07-07T00:00:00"/>
    <x v="0"/>
  </r>
  <r>
    <n v="828"/>
    <d v="2024-07-05T00:00:00"/>
    <s v="KAPS-FS-1283-03-07-2024"/>
    <d v="2024-07-03T00:00:00"/>
    <x v="0"/>
    <x v="0"/>
    <n v="19040"/>
    <x v="1"/>
    <x v="0"/>
    <n v="2915.11"/>
    <n v="0.6"/>
    <n v="0"/>
    <n v="0"/>
    <x v="12"/>
    <s v="FORMIC ACID 85%"/>
    <n v="3248447"/>
    <x v="0"/>
    <n v="1494286"/>
    <x v="0"/>
    <m/>
    <m/>
    <x v="0"/>
    <x v="0"/>
    <x v="0"/>
    <x v="0"/>
    <x v="0"/>
    <x v="0"/>
    <m/>
    <x v="0"/>
    <x v="1"/>
    <x v="0"/>
    <x v="0"/>
    <x v="0"/>
    <x v="5"/>
    <n v="170.61171218487394"/>
    <n v="78.481407563025215"/>
    <n v="0"/>
    <d v="2024-08-04T00:00:00"/>
    <x v="0"/>
  </r>
  <r>
    <n v="829"/>
    <d v="2024-07-05T00:00:00"/>
    <s v="KAPS-FS-2067-04-07-2024"/>
    <d v="2024-07-04T00:00:00"/>
    <x v="0"/>
    <x v="1"/>
    <n v="19300"/>
    <x v="1"/>
    <x v="0"/>
    <n v="3906.9029999999998"/>
    <s v="3.20 / 1.55"/>
    <n v="19300"/>
    <n v="19300"/>
    <x v="12"/>
    <s v="CHEMICALS PRIGEN DLS"/>
    <n v="15710324"/>
    <x v="0"/>
    <n v="5184407"/>
    <x v="0"/>
    <m/>
    <m/>
    <x v="0"/>
    <x v="0"/>
    <x v="0"/>
    <x v="0"/>
    <x v="0"/>
    <x v="0"/>
    <m/>
    <x v="0"/>
    <x v="1"/>
    <x v="0"/>
    <x v="0"/>
    <x v="0"/>
    <x v="5"/>
    <n v="814.00642487046628"/>
    <n v="268.62212435233158"/>
    <n v="5184406.9999999991"/>
    <d v="2024-08-04T00:00:00"/>
    <x v="0"/>
  </r>
  <r>
    <n v="830"/>
    <d v="2024-07-05T00:00:00"/>
    <s v="KAPW-FS-2055-04-07-2024"/>
    <d v="2024-07-04T00:00:00"/>
    <x v="0"/>
    <x v="1"/>
    <n v="16500"/>
    <x v="1"/>
    <x v="0"/>
    <n v="3809.9189999999999"/>
    <n v="1.95"/>
    <n v="16500"/>
    <n v="16500"/>
    <x v="12"/>
    <s v="SOFTENER FLAKE V17"/>
    <n v="9150695"/>
    <x v="0"/>
    <n v="4209319"/>
    <x v="0"/>
    <m/>
    <m/>
    <x v="0"/>
    <x v="0"/>
    <x v="0"/>
    <x v="0"/>
    <x v="0"/>
    <x v="0"/>
    <m/>
    <x v="0"/>
    <x v="1"/>
    <x v="0"/>
    <x v="0"/>
    <x v="0"/>
    <x v="5"/>
    <n v="554.58757575757579"/>
    <n v="255.11024242424241"/>
    <n v="4209319"/>
    <d v="2024-08-04T00:00:00"/>
    <x v="0"/>
  </r>
  <r>
    <n v="831"/>
    <d v="2024-07-05T00:00:00"/>
    <s v="KAPS-FS-1801-04-07-2024"/>
    <d v="2024-07-04T00:00:00"/>
    <x v="0"/>
    <x v="1"/>
    <n v="22000"/>
    <x v="1"/>
    <x v="0"/>
    <n v="5402.33"/>
    <n v="1.45"/>
    <n v="22000"/>
    <n v="22000"/>
    <x v="6"/>
    <s v="100% POLYESTER MVS UNWAXED FOR AIRJET WEAVING YARN 24/1"/>
    <n v="9072484"/>
    <x v="0"/>
    <n v="3719718"/>
    <x v="0"/>
    <m/>
    <m/>
    <x v="0"/>
    <x v="0"/>
    <x v="0"/>
    <x v="0"/>
    <x v="0"/>
    <x v="0"/>
    <m/>
    <x v="0"/>
    <x v="1"/>
    <x v="0"/>
    <x v="0"/>
    <x v="0"/>
    <x v="3"/>
    <n v="412.38563636363637"/>
    <n v="169.07809090909092"/>
    <n v="3719718"/>
    <d v="2024-08-04T00:00:00"/>
    <x v="0"/>
  </r>
  <r>
    <n v="832"/>
    <d v="2024-07-05T00:00:00"/>
    <s v="KAPS-FS-2075-04-07-2024"/>
    <d v="2024-07-04T00:00:00"/>
    <x v="0"/>
    <x v="1"/>
    <n v="25600"/>
    <x v="1"/>
    <x v="0"/>
    <n v="3910"/>
    <n v="1.55"/>
    <n v="25600"/>
    <n v="25600"/>
    <x v="12"/>
    <s v="SILICONE HT-40"/>
    <n v="17109737"/>
    <x v="0"/>
    <n v="5132921"/>
    <x v="0"/>
    <m/>
    <m/>
    <x v="0"/>
    <x v="0"/>
    <x v="0"/>
    <x v="0"/>
    <x v="0"/>
    <x v="0"/>
    <m/>
    <x v="0"/>
    <x v="1"/>
    <x v="0"/>
    <x v="0"/>
    <x v="0"/>
    <x v="5"/>
    <n v="668.34910156249998"/>
    <n v="200.5047265625"/>
    <n v="5132921"/>
    <d v="2024-08-04T00:00:00"/>
    <x v="0"/>
  </r>
  <r>
    <n v="833"/>
    <d v="2024-07-04T00:00:00"/>
    <s v="KAPS-FS-2068-04-07-2024"/>
    <d v="2024-07-04T00:00:00"/>
    <x v="0"/>
    <x v="1"/>
    <n v="21800"/>
    <x v="1"/>
    <x v="0"/>
    <n v="3809.9189999999999"/>
    <n v="1.66"/>
    <n v="21800"/>
    <n v="21800"/>
    <x v="12"/>
    <s v="DROPSIZE PS150"/>
    <n v="11068338"/>
    <x v="0"/>
    <n v="5091436"/>
    <x v="0"/>
    <m/>
    <m/>
    <x v="0"/>
    <x v="0"/>
    <x v="0"/>
    <x v="0"/>
    <x v="0"/>
    <x v="0"/>
    <m/>
    <x v="0"/>
    <x v="1"/>
    <x v="0"/>
    <x v="0"/>
    <x v="0"/>
    <x v="5"/>
    <n v="507.72192660550456"/>
    <n v="233.55211009174312"/>
    <n v="5091436"/>
    <d v="2024-08-03T00:00:00"/>
    <x v="0"/>
  </r>
  <r>
    <n v="834"/>
    <d v="2024-07-05T00:00:00"/>
    <s v="KAPW-FS-2045-04-07-2024"/>
    <d v="2024-07-04T00:00:00"/>
    <x v="0"/>
    <x v="1"/>
    <n v="8099"/>
    <x v="1"/>
    <x v="0"/>
    <n v="5407.52"/>
    <n v="12.988099999999999"/>
    <n v="8099"/>
    <n v="8099"/>
    <x v="11"/>
    <s v="100% NYLON CORDURA 500D*500D BRANDED CORDURA FULL WIDTH :150CM"/>
    <n v="29916621"/>
    <x v="0"/>
    <n v="13761646"/>
    <x v="0"/>
    <m/>
    <m/>
    <x v="0"/>
    <x v="0"/>
    <x v="0"/>
    <x v="0"/>
    <x v="0"/>
    <x v="0"/>
    <m/>
    <x v="0"/>
    <x v="1"/>
    <x v="0"/>
    <x v="0"/>
    <x v="0"/>
    <x v="2"/>
    <n v="3693.8660328435608"/>
    <n v="1699.1784170885294"/>
    <n v="13761646"/>
    <d v="2024-08-04T00:00:00"/>
    <x v="0"/>
  </r>
  <r>
    <n v="835"/>
    <d v="2024-07-05T00:00:00"/>
    <s v="KAPS-FS-3081-05-07-2024"/>
    <d v="2024-07-05T00:00:00"/>
    <x v="0"/>
    <x v="1"/>
    <n v="2214.8000000000002"/>
    <x v="1"/>
    <x v="0"/>
    <n v="5509.99"/>
    <n v="0.98040000000000005"/>
    <n v="2214.8000000000002"/>
    <n v="2214.8000000000002"/>
    <x v="3"/>
    <s v="70% COTTON 20% RECYCLED PET 100% PCR YARN NM34"/>
    <n v="666726"/>
    <x v="0"/>
    <n v="273358"/>
    <x v="0"/>
    <m/>
    <m/>
    <x v="0"/>
    <x v="0"/>
    <x v="0"/>
    <x v="0"/>
    <x v="0"/>
    <x v="0"/>
    <m/>
    <x v="0"/>
    <x v="1"/>
    <x v="0"/>
    <x v="0"/>
    <x v="0"/>
    <x v="3"/>
    <n v="301.03214737222322"/>
    <n v="123.42333393534403"/>
    <n v="273358"/>
    <d v="2024-08-04T00:00:00"/>
    <x v="0"/>
  </r>
  <r>
    <n v="836"/>
    <d v="2024-07-08T00:00:00"/>
    <s v="KAPW-FS-3540-06-07-2024"/>
    <d v="2024-07-06T00:00:00"/>
    <x v="0"/>
    <x v="1"/>
    <n v="2077"/>
    <x v="1"/>
    <x v="0"/>
    <n v="5210.41"/>
    <n v="22.76"/>
    <n v="2077"/>
    <n v="2077"/>
    <x v="2"/>
    <s v="Blended Fabric (58%ORGANIC COTTON 39%RECYCLE POLY 3%SPDX EFFEN WEEFSEL 58% BIO KAT 39% REC.PES3%)"/>
    <n v="14565179"/>
    <x v="0"/>
    <n v="5971723"/>
    <x v="0"/>
    <m/>
    <m/>
    <x v="0"/>
    <x v="0"/>
    <x v="0"/>
    <x v="0"/>
    <x v="0"/>
    <x v="0"/>
    <m/>
    <x v="0"/>
    <x v="1"/>
    <x v="0"/>
    <x v="0"/>
    <x v="0"/>
    <x v="2"/>
    <n v="7012.6042368801154"/>
    <n v="2875.1675493500243"/>
    <n v="5971723"/>
    <d v="2024-08-07T00:00:00"/>
    <x v="0"/>
  </r>
  <r>
    <n v="837"/>
    <d v="2024-07-19T00:00:00"/>
    <s v="KPAF-FS-1624-08-07-2024"/>
    <d v="2024-07-08T00:00:00"/>
    <x v="1"/>
    <x v="1"/>
    <n v="4.5"/>
    <x v="1"/>
    <x v="0"/>
    <n v="4821.8999999999996"/>
    <n v="878.44"/>
    <n v="4.5"/>
    <n v="4.5"/>
    <x v="9"/>
    <s v="RFID LABELS (QTY: 15000 PCS)"/>
    <n v="1217882"/>
    <x v="0"/>
    <n v="560226"/>
    <x v="0"/>
    <m/>
    <m/>
    <x v="0"/>
    <x v="0"/>
    <x v="0"/>
    <x v="0"/>
    <x v="0"/>
    <x v="0"/>
    <m/>
    <x v="0"/>
    <x v="1"/>
    <x v="0"/>
    <x v="0"/>
    <x v="0"/>
    <x v="6"/>
    <n v="270640.44444444444"/>
    <n v="124494.66666666667"/>
    <n v="560226"/>
    <d v="2024-07-24T00:00:00"/>
    <x v="0"/>
  </r>
  <r>
    <n v="838"/>
    <d v="2024-07-10T00:00:00"/>
    <s v="KPAF-FS-1625-08-07-2024"/>
    <d v="2024-07-08T00:00:00"/>
    <x v="1"/>
    <x v="1"/>
    <n v="396"/>
    <x v="1"/>
    <x v="0"/>
    <n v="4821.8999999999996"/>
    <n v="13.81"/>
    <n v="396"/>
    <n v="396"/>
    <x v="9"/>
    <s v="PAPER HANG TAG (QTY: 478224 PCS)"/>
    <n v="1555782"/>
    <x v="0"/>
    <n v="715660"/>
    <x v="0"/>
    <m/>
    <m/>
    <x v="0"/>
    <x v="0"/>
    <x v="0"/>
    <x v="0"/>
    <x v="0"/>
    <x v="0"/>
    <m/>
    <x v="0"/>
    <x v="1"/>
    <x v="0"/>
    <x v="0"/>
    <x v="0"/>
    <x v="6"/>
    <n v="3928.742424242424"/>
    <n v="1807.2222222222222"/>
    <n v="715660"/>
    <d v="2024-07-15T00:00:00"/>
    <x v="0"/>
  </r>
  <r>
    <n v="839"/>
    <d v="2024-07-11T00:00:00"/>
    <s v="KAPW-FS-5672-10-07-2024"/>
    <d v="2024-07-10T00:00:00"/>
    <x v="1"/>
    <x v="1"/>
    <n v="135"/>
    <x v="1"/>
    <x v="0"/>
    <n v="4821.1090000000004"/>
    <n v="21.74"/>
    <n v="135"/>
    <n v="135"/>
    <x v="9"/>
    <s v="PLAIN LABEL RF 4X4 (QTY: 300000/PCS)"/>
    <n v="1067776"/>
    <x v="0"/>
    <n v="533888"/>
    <x v="0"/>
    <m/>
    <m/>
    <x v="0"/>
    <x v="0"/>
    <x v="0"/>
    <x v="0"/>
    <x v="0"/>
    <x v="0"/>
    <m/>
    <x v="0"/>
    <x v="1"/>
    <x v="0"/>
    <x v="0"/>
    <x v="0"/>
    <x v="6"/>
    <n v="7909.4518518518516"/>
    <n v="3954.7259259259258"/>
    <n v="533888"/>
    <d v="2024-07-16T00:00:00"/>
    <x v="0"/>
  </r>
  <r>
    <n v="840"/>
    <d v="2024-07-11T00:00:00"/>
    <s v="KAPE-FS-1698-10-07-2024"/>
    <d v="2024-07-10T00:00:00"/>
    <x v="1"/>
    <x v="1"/>
    <n v="114.25999999999999"/>
    <x v="1"/>
    <x v="0"/>
    <n v="9606.2919999999995"/>
    <s v="12.55 / 13.62 "/>
    <n v="114.25999999999999"/>
    <n v="114.25999999999999"/>
    <x v="9"/>
    <s v="Button"/>
    <n v="424695"/>
    <x v="0"/>
    <n v="174124"/>
    <x v="0"/>
    <m/>
    <m/>
    <x v="0"/>
    <x v="0"/>
    <x v="0"/>
    <x v="0"/>
    <x v="0"/>
    <x v="0"/>
    <m/>
    <x v="0"/>
    <x v="1"/>
    <x v="0"/>
    <x v="0"/>
    <x v="0"/>
    <x v="6"/>
    <n v="3716.9175564502016"/>
    <n v="1523.9278837738493"/>
    <n v="174124"/>
    <d v="2024-07-16T00:00:00"/>
    <x v="0"/>
  </r>
  <r>
    <n v="841"/>
    <d v="2024-07-11T00:00:00"/>
    <s v="KAPE-FS-1698-10-07-2024"/>
    <d v="2024-07-10T00:00:00"/>
    <x v="1"/>
    <x v="1"/>
    <n v="184.05"/>
    <x v="1"/>
    <x v="0"/>
    <n v="7318.23"/>
    <s v="21.45 / 22.29"/>
    <n v="114.25999999999999"/>
    <n v="184.05"/>
    <x v="9"/>
    <s v="RIVETS/Cap"/>
    <n v="1144699"/>
    <x v="0"/>
    <n v="572350"/>
    <x v="0"/>
    <m/>
    <m/>
    <x v="0"/>
    <x v="0"/>
    <x v="0"/>
    <x v="0"/>
    <x v="0"/>
    <x v="0"/>
    <m/>
    <x v="0"/>
    <x v="1"/>
    <x v="0"/>
    <x v="0"/>
    <x v="0"/>
    <x v="6"/>
    <n v="6219.5001358326535"/>
    <n v="3109.7527845694103"/>
    <n v="355320.35316490079"/>
    <d v="2024-07-16T00:00:00"/>
    <x v="0"/>
  </r>
  <r>
    <n v="842"/>
    <d v="2024-07-11T00:00:00"/>
    <s v="KAPW-FS-5673-10-07-2024"/>
    <d v="2024-07-10T00:00:00"/>
    <x v="1"/>
    <x v="1"/>
    <n v="9125"/>
    <x v="1"/>
    <x v="0"/>
    <n v="3926.9099000000001"/>
    <n v="7.0000000000000007E-2"/>
    <n v="9125"/>
    <n v="9125"/>
    <x v="9"/>
    <s v="PATCH SILICONE"/>
    <n v="173680"/>
    <x v="0"/>
    <n v="86840"/>
    <x v="0"/>
    <m/>
    <m/>
    <x v="0"/>
    <x v="0"/>
    <x v="0"/>
    <x v="0"/>
    <x v="0"/>
    <x v="0"/>
    <m/>
    <x v="0"/>
    <x v="1"/>
    <x v="0"/>
    <x v="0"/>
    <x v="0"/>
    <x v="6"/>
    <n v="19.033424657534248"/>
    <n v="9.5167123287671238"/>
    <n v="86840"/>
    <d v="2024-07-16T00:00:00"/>
    <x v="0"/>
  </r>
  <r>
    <n v="843"/>
    <d v="2024-07-11T00:00:00"/>
    <s v="KAPW-FS-5673-10-07-2024"/>
    <d v="2024-07-10T00:00:00"/>
    <x v="1"/>
    <x v="1"/>
    <n v="229.5"/>
    <x v="1"/>
    <x v="0"/>
    <n v="9606.2099999999991"/>
    <n v="7.38"/>
    <n v="9125"/>
    <n v="229.5"/>
    <x v="9"/>
    <s v="PATCH SILICONE"/>
    <n v="481936"/>
    <x v="0"/>
    <n v="221690"/>
    <x v="0"/>
    <m/>
    <m/>
    <x v="0"/>
    <x v="0"/>
    <x v="0"/>
    <x v="0"/>
    <x v="0"/>
    <x v="0"/>
    <m/>
    <x v="0"/>
    <x v="1"/>
    <x v="0"/>
    <x v="0"/>
    <x v="0"/>
    <x v="6"/>
    <n v="2099.9389978213508"/>
    <n v="965.96949891067538"/>
    <n v="8814471.6775599122"/>
    <d v="2024-07-16T00:00:00"/>
    <x v="0"/>
  </r>
  <r>
    <n v="844"/>
    <d v="2024-07-12T00:00:00"/>
    <s v="KPPI-FS-2177-10-07-2024"/>
    <d v="2024-07-10T00:00:00"/>
    <x v="0"/>
    <x v="0"/>
    <n v="25596"/>
    <x v="1"/>
    <x v="0"/>
    <n v="5201.009"/>
    <n v="2"/>
    <n v="0"/>
    <n v="0"/>
    <x v="0"/>
    <s v="Raw Cotton"/>
    <n v="14528743"/>
    <x v="0"/>
    <n v="4358623"/>
    <x v="0"/>
    <m/>
    <m/>
    <x v="0"/>
    <x v="0"/>
    <x v="0"/>
    <x v="0"/>
    <x v="0"/>
    <x v="0"/>
    <m/>
    <x v="0"/>
    <x v="1"/>
    <x v="0"/>
    <x v="0"/>
    <x v="0"/>
    <x v="0"/>
    <n v="567.6177137052664"/>
    <n v="170.28531801844039"/>
    <n v="0"/>
    <d v="2024-08-11T00:00:00"/>
    <x v="0"/>
  </r>
  <r>
    <n v="845"/>
    <d v="2024-07-12T00:00:00"/>
    <s v="KAPS-FS-5048-10-07-2024"/>
    <d v="2024-07-10T00:00:00"/>
    <x v="0"/>
    <x v="0"/>
    <n v="19040"/>
    <x v="1"/>
    <x v="0"/>
    <n v="2915.11"/>
    <n v="0.6"/>
    <n v="0"/>
    <n v="0"/>
    <x v="12"/>
    <s v="FORMIC ACID 85%"/>
    <n v="3250195"/>
    <x v="0"/>
    <n v="1495089"/>
    <x v="0"/>
    <m/>
    <m/>
    <x v="0"/>
    <x v="0"/>
    <x v="0"/>
    <x v="0"/>
    <x v="0"/>
    <x v="0"/>
    <m/>
    <x v="0"/>
    <x v="1"/>
    <x v="0"/>
    <x v="0"/>
    <x v="0"/>
    <x v="5"/>
    <n v="170.70351890756302"/>
    <n v="78.523581932773112"/>
    <n v="0"/>
    <d v="2024-08-11T00:00:00"/>
    <x v="0"/>
  </r>
  <r>
    <n v="846"/>
    <d v="2024-07-19T00:00:00"/>
    <s v="KPAF-FS-2405-11-07-2024"/>
    <d v="2024-07-11T00:00:00"/>
    <x v="1"/>
    <x v="1"/>
    <n v="68"/>
    <x v="1"/>
    <x v="0"/>
    <n v="4821.8999999999996"/>
    <n v="495.62"/>
    <n v="68"/>
    <n v="68"/>
    <x v="9"/>
    <s v="SMART TAG (QTY: 150 000 PCS)"/>
    <n v="10377080"/>
    <x v="0"/>
    <n v="4773457"/>
    <x v="0"/>
    <m/>
    <m/>
    <x v="0"/>
    <x v="0"/>
    <x v="0"/>
    <x v="0"/>
    <x v="0"/>
    <x v="0"/>
    <m/>
    <x v="0"/>
    <x v="1"/>
    <x v="0"/>
    <x v="0"/>
    <x v="0"/>
    <x v="6"/>
    <n v="152604.11764705883"/>
    <n v="70197.897058823524"/>
    <n v="4773457"/>
    <d v="2024-07-24T00:00:00"/>
    <x v="0"/>
  </r>
  <r>
    <n v="847"/>
    <d v="2024-07-20T00:00:00"/>
    <s v="KPAF-FS-2766-12-07-2024"/>
    <d v="2024-07-12T00:00:00"/>
    <x v="1"/>
    <x v="1"/>
    <n v="105000"/>
    <x v="1"/>
    <x v="0"/>
    <n v="8523.5990000000002"/>
    <n v="0.06"/>
    <n v="105000"/>
    <n v="105000"/>
    <x v="9"/>
    <s v="SECURITY LABEL QTY = 105000 PCS  BRAND/ORIGIN: NOT SHOWN (SHIPPED FROM CHINA)."/>
    <n v="1675882"/>
    <x v="0"/>
    <n v="687112"/>
    <x v="0"/>
    <m/>
    <m/>
    <x v="0"/>
    <x v="0"/>
    <x v="0"/>
    <x v="0"/>
    <x v="0"/>
    <x v="0"/>
    <m/>
    <x v="0"/>
    <x v="1"/>
    <x v="0"/>
    <x v="0"/>
    <x v="0"/>
    <x v="6"/>
    <n v="15.960780952380953"/>
    <n v="6.5439238095238093"/>
    <n v="687112"/>
    <d v="2024-07-25T00:00:00"/>
    <x v="0"/>
  </r>
  <r>
    <n v="848"/>
    <d v="2024-07-15T00:00:00"/>
    <s v="KPAF-FS-2629-12-07-2024"/>
    <d v="2024-07-12T00:00:00"/>
    <x v="1"/>
    <x v="1"/>
    <n v="21000"/>
    <x v="1"/>
    <x v="0"/>
    <n v="8523.5990000000002"/>
    <n v="0.06"/>
    <n v="21000"/>
    <n v="21000"/>
    <x v="9"/>
    <s v="SECURITY LABEL (QTY: 21000 PCS) DETAIL AS PER INVOICE (UNDER: EXPORT FACILITATION SCHEMES)"/>
    <n v="351308"/>
    <x v="0"/>
    <n v="144036"/>
    <x v="0"/>
    <m/>
    <m/>
    <x v="0"/>
    <x v="0"/>
    <x v="0"/>
    <x v="0"/>
    <x v="0"/>
    <x v="0"/>
    <m/>
    <x v="0"/>
    <x v="1"/>
    <x v="0"/>
    <x v="0"/>
    <x v="0"/>
    <x v="6"/>
    <n v="16.728952380952382"/>
    <n v="6.8588571428571425"/>
    <n v="144036"/>
    <d v="2024-07-20T00:00:00"/>
    <x v="0"/>
  </r>
  <r>
    <n v="849"/>
    <d v="2024-07-19T00:00:00"/>
    <s v="KAPS-FS-6940-13-07-2024"/>
    <d v="2024-07-13T00:00:00"/>
    <x v="0"/>
    <x v="1"/>
    <n v="15080"/>
    <x v="1"/>
    <x v="0"/>
    <n v="3809.9189999999999"/>
    <s v="1.95 / 3.45"/>
    <n v="15080"/>
    <n v="15080"/>
    <x v="12"/>
    <s v="TEXTILE CHEMICALS ( POLYPAN CONS ), TEXTILE CHEMICAL ( POLY SOFT ESQ CONS )"/>
    <n v="14345946"/>
    <x v="0"/>
    <n v="6599134"/>
    <x v="0"/>
    <m/>
    <m/>
    <x v="0"/>
    <x v="0"/>
    <x v="0"/>
    <x v="0"/>
    <x v="0"/>
    <x v="0"/>
    <m/>
    <x v="0"/>
    <x v="1"/>
    <x v="0"/>
    <x v="0"/>
    <x v="0"/>
    <x v="5"/>
    <n v="951.32267904509285"/>
    <n v="437.60835543766581"/>
    <n v="6599134"/>
    <d v="2024-08-18T00:00:00"/>
    <x v="0"/>
  </r>
  <r>
    <n v="850"/>
    <d v="2024-07-20T00:00:00"/>
    <s v="KPAF-FS-3174-15-07-2024"/>
    <d v="2024-07-15T00:00:00"/>
    <x v="1"/>
    <x v="1"/>
    <n v="133"/>
    <x v="1"/>
    <x v="0"/>
    <n v="6006.32"/>
    <n v="19.03"/>
    <n v="133"/>
    <n v="133"/>
    <x v="9"/>
    <s v="CIRCULAR KNIT CUFFING/POLYESTER FABRIC  ETC (QTY: 2120 MTR)"/>
    <n v="720457"/>
    <x v="0"/>
    <n v="295387"/>
    <x v="0"/>
    <m/>
    <m/>
    <x v="0"/>
    <x v="0"/>
    <x v="0"/>
    <x v="0"/>
    <x v="0"/>
    <x v="0"/>
    <m/>
    <x v="0"/>
    <x v="1"/>
    <x v="0"/>
    <x v="0"/>
    <x v="0"/>
    <x v="6"/>
    <n v="5416.9699248120305"/>
    <n v="2220.9548872180453"/>
    <n v="295387"/>
    <d v="2024-07-25T00:00:00"/>
    <x v="0"/>
  </r>
  <r>
    <n v="851"/>
    <d v="2024-07-18T00:00:00"/>
    <s v="KPPI-FS-2930-15-07-2024"/>
    <d v="2024-07-15T00:00:00"/>
    <x v="0"/>
    <x v="0"/>
    <n v="25175"/>
    <x v="1"/>
    <x v="0"/>
    <n v="5201.009"/>
    <n v="2"/>
    <n v="0"/>
    <n v="0"/>
    <x v="0"/>
    <s v="Raw Cotton"/>
    <n v="14294899"/>
    <x v="0"/>
    <n v="4288470"/>
    <x v="0"/>
    <m/>
    <m/>
    <x v="0"/>
    <x v="0"/>
    <x v="0"/>
    <x v="0"/>
    <x v="0"/>
    <x v="0"/>
    <m/>
    <x v="0"/>
    <x v="1"/>
    <x v="0"/>
    <x v="0"/>
    <x v="0"/>
    <x v="0"/>
    <n v="567.8212115193644"/>
    <n v="170.34637537239325"/>
    <n v="0"/>
    <d v="2024-08-17T00:00:00"/>
    <x v="0"/>
  </r>
  <r>
    <n v="852"/>
    <d v="2024-07-18T00:00:00"/>
    <s v="KPPI-FS-2931-15-07-2024"/>
    <d v="2024-07-15T00:00:00"/>
    <x v="0"/>
    <x v="2"/>
    <n v="461512"/>
    <x v="1"/>
    <x v="0"/>
    <n v="5201.009"/>
    <n v="2"/>
    <n v="3556.8600000000033"/>
    <n v="461512"/>
    <x v="0"/>
    <s v="Raw Cotton"/>
    <n v="262056307"/>
    <x v="0"/>
    <n v="78616892"/>
    <x v="0"/>
    <m/>
    <m/>
    <x v="0"/>
    <x v="0"/>
    <x v="0"/>
    <x v="0"/>
    <x v="0"/>
    <x v="0"/>
    <m/>
    <x v="0"/>
    <x v="1"/>
    <x v="0"/>
    <x v="0"/>
    <x v="0"/>
    <x v="0"/>
    <n v="567.82122024996102"/>
    <n v="170.34636585830921"/>
    <n v="605898.17486678623"/>
    <d v="2024-08-17T00:00:00"/>
    <x v="0"/>
  </r>
  <r>
    <n v="853"/>
    <d v="2024-07-22T00:00:00"/>
    <s v="KPAF-FS-3882-20-07-2024"/>
    <d v="2024-07-20T00:00:00"/>
    <x v="0"/>
    <x v="0"/>
    <n v="800"/>
    <x v="1"/>
    <x v="0"/>
    <n v="3204.16"/>
    <n v="32.590000000000003"/>
    <n v="0"/>
    <n v="0"/>
    <x v="5"/>
    <s v="Dyes (NEMOTO`S)"/>
    <n v="7410523"/>
    <x v="0"/>
    <n v="3408841"/>
    <x v="0"/>
    <m/>
    <m/>
    <x v="0"/>
    <x v="0"/>
    <x v="0"/>
    <x v="0"/>
    <x v="0"/>
    <x v="0"/>
    <m/>
    <x v="0"/>
    <x v="1"/>
    <x v="0"/>
    <x v="0"/>
    <x v="0"/>
    <x v="4"/>
    <n v="9263.1537499999995"/>
    <n v="4261.0512500000004"/>
    <n v="0"/>
    <d v="2024-08-21T00:00:00"/>
    <x v="0"/>
  </r>
  <r>
    <n v="854"/>
    <d v="2024-07-23T00:00:00"/>
    <s v="KPAF-FS-4060-22-07-2024"/>
    <d v="2024-07-22T00:00:00"/>
    <x v="0"/>
    <x v="1"/>
    <n v="1665.5"/>
    <x v="1"/>
    <x v="0"/>
    <n v="5503.201"/>
    <n v="5.4"/>
    <n v="1665.5"/>
    <n v="1665.5"/>
    <x v="1"/>
    <s v="Polyester Staple Fiber"/>
    <n v="2555156"/>
    <x v="0"/>
    <n v="1047614"/>
    <x v="0"/>
    <m/>
    <m/>
    <x v="0"/>
    <x v="0"/>
    <x v="0"/>
    <x v="0"/>
    <x v="0"/>
    <x v="0"/>
    <m/>
    <x v="0"/>
    <x v="1"/>
    <x v="0"/>
    <x v="0"/>
    <x v="0"/>
    <x v="1"/>
    <n v="1534.1675172620835"/>
    <n v="629.00870609426602"/>
    <n v="1047614"/>
    <d v="2024-08-22T00:00:00"/>
    <x v="0"/>
  </r>
  <r>
    <n v="855"/>
    <d v="2024-07-24T00:00:00"/>
    <s v="PQZI-EI-2074-23-07-2024"/>
    <d v="2024-07-23T00:00:00"/>
    <x v="1"/>
    <x v="1"/>
    <n v="388.28"/>
    <x v="1"/>
    <x v="0"/>
    <n v="9607.11"/>
    <n v="20.21"/>
    <n v="388.28"/>
    <n v="388.28"/>
    <x v="9"/>
    <s v="YKK ZIPPERS"/>
    <n v="2229763"/>
    <x v="0"/>
    <n v="1114882"/>
    <x v="0"/>
    <m/>
    <m/>
    <x v="0"/>
    <x v="0"/>
    <x v="0"/>
    <x v="0"/>
    <x v="0"/>
    <x v="0"/>
    <m/>
    <x v="0"/>
    <x v="1"/>
    <x v="0"/>
    <x v="0"/>
    <x v="0"/>
    <x v="6"/>
    <n v="5742.6676625115897"/>
    <n v="2871.3351189862988"/>
    <n v="1114882"/>
    <d v="2024-07-29T00:00:00"/>
    <x v="0"/>
  </r>
  <r>
    <n v="856"/>
    <d v="2024-07-24T00:00:00"/>
    <s v="PQZI-EI-2074-23-07-2024"/>
    <d v="2024-07-23T00:00:00"/>
    <x v="1"/>
    <x v="1"/>
    <n v="125.5"/>
    <x v="1"/>
    <x v="0"/>
    <n v="9607.19"/>
    <n v="9.5500000000000007"/>
    <n v="388.28"/>
    <n v="125.5"/>
    <x v="9"/>
    <s v="YKK ZIPPERS"/>
    <n v="340431"/>
    <x v="0"/>
    <n v="156599"/>
    <x v="0"/>
    <m/>
    <m/>
    <x v="0"/>
    <x v="0"/>
    <x v="0"/>
    <x v="0"/>
    <x v="0"/>
    <x v="0"/>
    <m/>
    <x v="0"/>
    <x v="1"/>
    <x v="0"/>
    <x v="0"/>
    <x v="0"/>
    <x v="6"/>
    <n v="2712.597609561753"/>
    <n v="1247.800796812749"/>
    <n v="484496.09338645416"/>
    <d v="2024-07-29T00:00:00"/>
    <x v="0"/>
  </r>
  <r>
    <n v="857"/>
    <d v="2024-07-24T00:00:00"/>
    <s v="PQZI-EI-2074-23-07-2024"/>
    <d v="2024-07-23T00:00:00"/>
    <x v="1"/>
    <x v="1"/>
    <n v="12"/>
    <x v="1"/>
    <x v="0"/>
    <n v="9607.2000000000007"/>
    <n v="21.19"/>
    <n v="388.28"/>
    <n v="12"/>
    <x v="9"/>
    <s v="YKK ZIPPERS"/>
    <n v="72240"/>
    <x v="0"/>
    <n v="33230"/>
    <x v="0"/>
    <m/>
    <m/>
    <x v="0"/>
    <x v="0"/>
    <x v="0"/>
    <x v="0"/>
    <x v="0"/>
    <x v="0"/>
    <m/>
    <x v="0"/>
    <x v="1"/>
    <x v="0"/>
    <x v="0"/>
    <x v="0"/>
    <x v="6"/>
    <n v="6020"/>
    <n v="2769.1666666666665"/>
    <n v="1075212.0333333332"/>
    <d v="2024-07-29T00:00:00"/>
    <x v="0"/>
  </r>
  <r>
    <n v="858"/>
    <d v="2024-07-24T00:00:00"/>
    <s v="PQZI-EI-2075-23-07-2024"/>
    <d v="2024-07-23T00:00:00"/>
    <x v="1"/>
    <x v="1"/>
    <n v="461.73"/>
    <x v="1"/>
    <x v="0"/>
    <n v="9607.11"/>
    <n v="16.38"/>
    <n v="461.73"/>
    <n v="461.73"/>
    <x v="9"/>
    <s v="YKK ZIPPERS"/>
    <n v="2148369"/>
    <x v="0"/>
    <n v="1074184"/>
    <x v="0"/>
    <m/>
    <m/>
    <x v="0"/>
    <x v="0"/>
    <x v="0"/>
    <x v="0"/>
    <x v="0"/>
    <x v="0"/>
    <m/>
    <x v="0"/>
    <x v="1"/>
    <x v="0"/>
    <x v="0"/>
    <x v="0"/>
    <x v="6"/>
    <n v="4652.8685595477873"/>
    <n v="2326.4331968899573"/>
    <n v="1074184"/>
    <d v="2024-07-29T00:00:00"/>
    <x v="0"/>
  </r>
  <r>
    <n v="859"/>
    <d v="2024-07-24T00:00:00"/>
    <s v="PQZI-EI-2076-23-07-2024"/>
    <d v="2024-07-23T00:00:00"/>
    <x v="1"/>
    <x v="0"/>
    <n v="1156"/>
    <x v="1"/>
    <x v="0"/>
    <n v="3923.29"/>
    <n v="3.02"/>
    <n v="0"/>
    <n v="0"/>
    <x v="9"/>
    <s v="PACKING BAGS"/>
    <n v="992674"/>
    <x v="0"/>
    <n v="496337"/>
    <x v="0"/>
    <m/>
    <m/>
    <x v="0"/>
    <x v="0"/>
    <x v="0"/>
    <x v="0"/>
    <x v="0"/>
    <x v="0"/>
    <m/>
    <x v="0"/>
    <x v="1"/>
    <x v="0"/>
    <x v="0"/>
    <x v="0"/>
    <x v="6"/>
    <n v="858.71453287197232"/>
    <n v="429.35726643598616"/>
    <n v="0"/>
    <d v="2024-07-29T00:00:00"/>
    <x v="0"/>
  </r>
  <r>
    <n v="860"/>
    <d v="2024-07-23T00:00:00"/>
    <s v="KAPS-FS-11539-23-07-2024"/>
    <d v="2024-07-23T00:00:00"/>
    <x v="0"/>
    <x v="0"/>
    <n v="19040"/>
    <x v="1"/>
    <x v="0"/>
    <n v="2915.11"/>
    <n v="0.6"/>
    <n v="0"/>
    <n v="0"/>
    <x v="12"/>
    <s v="FORMIC ACID 85%"/>
    <n v="3245534"/>
    <x v="0"/>
    <n v="1492945"/>
    <x v="0"/>
    <m/>
    <m/>
    <x v="0"/>
    <x v="0"/>
    <x v="0"/>
    <x v="0"/>
    <x v="0"/>
    <x v="0"/>
    <m/>
    <x v="0"/>
    <x v="1"/>
    <x v="0"/>
    <x v="0"/>
    <x v="0"/>
    <x v="5"/>
    <n v="170.45871848739495"/>
    <n v="78.410976890756302"/>
    <n v="0"/>
    <d v="2024-08-22T00:00:00"/>
    <x v="0"/>
  </r>
  <r>
    <n v="861"/>
    <d v="2024-07-25T00:00:00"/>
    <s v="KAPW-FS-11659-23-07-2024"/>
    <d v="2024-07-23T00:00:00"/>
    <x v="0"/>
    <x v="0"/>
    <n v="540"/>
    <x v="1"/>
    <x v="0"/>
    <n v="3204.16"/>
    <n v="6.79"/>
    <n v="0"/>
    <n v="0"/>
    <x v="5"/>
    <s v="DYES ( SCHECOTON)"/>
    <n v="1042072"/>
    <x v="0"/>
    <n v="479354"/>
    <x v="0"/>
    <m/>
    <m/>
    <x v="0"/>
    <x v="0"/>
    <x v="0"/>
    <x v="0"/>
    <x v="0"/>
    <x v="0"/>
    <m/>
    <x v="0"/>
    <x v="1"/>
    <x v="0"/>
    <x v="0"/>
    <x v="0"/>
    <x v="4"/>
    <n v="1929.762962962963"/>
    <n v="887.69259259259263"/>
    <n v="0"/>
    <d v="2024-08-24T00:00:00"/>
    <x v="0"/>
  </r>
  <r>
    <n v="862"/>
    <d v="2024-07-23T00:00:00"/>
    <s v="KAPS-FS-11538-23-07-2024"/>
    <d v="2024-07-23T00:00:00"/>
    <x v="0"/>
    <x v="1"/>
    <n v="24000"/>
    <x v="1"/>
    <x v="0"/>
    <n v="3809.9189999999999"/>
    <s v="1.64 / 2.25"/>
    <n v="24000"/>
    <n v="24000"/>
    <x v="12"/>
    <s v="CHEMICALS (VERACARE  / VERAPRO ZF-D LIQ)"/>
    <n v="13238846"/>
    <x v="0"/>
    <n v="6089870"/>
    <x v="0"/>
    <m/>
    <m/>
    <x v="0"/>
    <x v="0"/>
    <x v="0"/>
    <x v="0"/>
    <x v="0"/>
    <x v="0"/>
    <m/>
    <x v="0"/>
    <x v="1"/>
    <x v="0"/>
    <x v="0"/>
    <x v="0"/>
    <x v="5"/>
    <n v="551.61858333333328"/>
    <n v="253.74458333333334"/>
    <n v="6089870"/>
    <d v="2024-08-22T00:00:00"/>
    <x v="0"/>
  </r>
  <r>
    <n v="863"/>
    <d v="2024-07-25T00:00:00"/>
    <s v="PQZI-EI-2207-24-07-2024"/>
    <d v="2024-07-24T00:00:00"/>
    <x v="1"/>
    <x v="1"/>
    <n v="260"/>
    <x v="1"/>
    <x v="0"/>
    <n v="9607.11"/>
    <n v="7.74"/>
    <n v="260"/>
    <n v="260"/>
    <x v="9"/>
    <s v="NYLON ZIPPER"/>
    <n v="572063"/>
    <x v="0"/>
    <n v="286032"/>
    <x v="0"/>
    <m/>
    <m/>
    <x v="0"/>
    <x v="0"/>
    <x v="0"/>
    <x v="0"/>
    <x v="0"/>
    <x v="0"/>
    <m/>
    <x v="0"/>
    <x v="1"/>
    <x v="0"/>
    <x v="0"/>
    <x v="0"/>
    <x v="6"/>
    <n v="2200.2423076923078"/>
    <n v="1100.123076923077"/>
    <n v="286032"/>
    <d v="2024-07-30T00:00:00"/>
    <x v="0"/>
  </r>
  <r>
    <n v="864"/>
    <d v="2024-07-25T00:00:00"/>
    <s v="PQZI-EI-2208-24-07-2024"/>
    <d v="2024-07-24T00:00:00"/>
    <x v="1"/>
    <x v="1"/>
    <n v="324"/>
    <x v="1"/>
    <x v="0"/>
    <n v="9607.11"/>
    <n v="7.77"/>
    <n v="1"/>
    <n v="324"/>
    <x v="9"/>
    <s v="Zipper"/>
    <n v="715881"/>
    <x v="0"/>
    <n v="357941"/>
    <x v="0"/>
    <m/>
    <m/>
    <x v="0"/>
    <x v="0"/>
    <x v="0"/>
    <x v="0"/>
    <x v="0"/>
    <x v="0"/>
    <m/>
    <x v="0"/>
    <x v="1"/>
    <x v="0"/>
    <x v="0"/>
    <x v="0"/>
    <x v="6"/>
    <n v="2209.5092592592591"/>
    <n v="1104.7561728395062"/>
    <n v="1104.7561728395062"/>
    <d v="2024-07-30T00:00:00"/>
    <x v="0"/>
  </r>
  <r>
    <n v="865"/>
    <d v="2024-07-25T00:00:00"/>
    <s v="PQZI-EI-2208-24-07-2024"/>
    <d v="2024-07-24T00:00:00"/>
    <x v="1"/>
    <x v="1"/>
    <n v="1"/>
    <x v="1"/>
    <x v="0"/>
    <n v="9607.2000000000007"/>
    <n v="19.079999999999998"/>
    <n v="1"/>
    <n v="1"/>
    <x v="9"/>
    <s v="Zipper"/>
    <n v="5423"/>
    <x v="0"/>
    <n v="2495"/>
    <x v="0"/>
    <m/>
    <m/>
    <x v="0"/>
    <x v="0"/>
    <x v="0"/>
    <x v="0"/>
    <x v="0"/>
    <x v="0"/>
    <m/>
    <x v="0"/>
    <x v="1"/>
    <x v="0"/>
    <x v="0"/>
    <x v="0"/>
    <x v="6"/>
    <n v="5423"/>
    <n v="2495"/>
    <n v="2495"/>
    <d v="2024-07-30T00:00:00"/>
    <x v="0"/>
  </r>
  <r>
    <n v="866"/>
    <d v="2024-07-24T00:00:00"/>
    <s v="KPAF-FS-4893-24-07-2024"/>
    <d v="2024-07-24T00:00:00"/>
    <x v="1"/>
    <x v="1"/>
    <n v="376"/>
    <x v="1"/>
    <x v="0"/>
    <n v="9606.2199999999993"/>
    <n v="42.8"/>
    <n v="376"/>
    <n v="376"/>
    <x v="9"/>
    <s v="METAL SNAP BUTTON"/>
    <n v="4574700"/>
    <x v="0"/>
    <n v="2104362"/>
    <x v="0"/>
    <m/>
    <m/>
    <x v="0"/>
    <x v="0"/>
    <x v="0"/>
    <x v="0"/>
    <x v="0"/>
    <x v="0"/>
    <m/>
    <x v="0"/>
    <x v="1"/>
    <x v="0"/>
    <x v="0"/>
    <x v="0"/>
    <x v="6"/>
    <n v="12166.755319148937"/>
    <n v="5596.7074468085102"/>
    <n v="2104362"/>
    <d v="2024-07-29T00:00:00"/>
    <x v="0"/>
  </r>
  <r>
    <n v="867"/>
    <d v="2024-07-29T00:00:00"/>
    <s v="KPAF-FS-4618-23-07-2024"/>
    <d v="2024-07-23T00:00:00"/>
    <x v="1"/>
    <x v="1"/>
    <n v="13000"/>
    <x v="1"/>
    <x v="0"/>
    <n v="8523.5990000000002"/>
    <n v="0.5"/>
    <n v="13000"/>
    <n v="13000"/>
    <x v="9"/>
    <s v="RFID TAGS (QTY: 13000 PCS)"/>
    <n v="2015519"/>
    <x v="0"/>
    <n v="826362"/>
    <x v="0"/>
    <m/>
    <m/>
    <x v="0"/>
    <x v="0"/>
    <x v="0"/>
    <x v="0"/>
    <x v="0"/>
    <x v="0"/>
    <m/>
    <x v="0"/>
    <x v="1"/>
    <x v="0"/>
    <x v="0"/>
    <x v="0"/>
    <x v="6"/>
    <n v="155.03992307692309"/>
    <n v="63.566307692307696"/>
    <n v="826362"/>
    <d v="2024-08-03T00:00:00"/>
    <x v="0"/>
  </r>
  <r>
    <n v="868"/>
    <d v="2024-07-24T00:00:00"/>
    <s v="KAPS-FS-11548-23-07-2024"/>
    <d v="2024-07-23T00:00:00"/>
    <x v="1"/>
    <x v="1"/>
    <n v="11042"/>
    <x v="1"/>
    <x v="0"/>
    <n v="9607.19"/>
    <n v="2.64"/>
    <n v="11042"/>
    <n v="11042"/>
    <x v="9"/>
    <s v="NYLON ZIPPER LONG CHAIN WITH PLASTIC SLIDER (QTY:5000/ROLLS AND 300000/PCS)"/>
    <n v="8295505"/>
    <x v="0"/>
    <n v="3815933"/>
    <x v="0"/>
    <m/>
    <m/>
    <x v="0"/>
    <x v="0"/>
    <x v="0"/>
    <x v="0"/>
    <x v="0"/>
    <x v="0"/>
    <m/>
    <x v="0"/>
    <x v="1"/>
    <x v="0"/>
    <x v="0"/>
    <x v="0"/>
    <x v="6"/>
    <n v="751.26833906900924"/>
    <n v="345.58349936605686"/>
    <n v="3815933"/>
    <d v="2024-07-29T00:00:00"/>
    <x v="0"/>
  </r>
  <r>
    <n v="869"/>
    <d v="2024-07-29T00:00:00"/>
    <s v="KPPI-FS-4684-24-07-2024"/>
    <d v="2024-07-24T00:00:00"/>
    <x v="0"/>
    <x v="1"/>
    <n v="74176"/>
    <x v="1"/>
    <x v="0"/>
    <n v="5201.009"/>
    <n v="1.88"/>
    <n v="74176"/>
    <n v="74176"/>
    <x v="0"/>
    <s v="Raw Cotton"/>
    <n v="39633493"/>
    <x v="0"/>
    <n v="11890048"/>
    <x v="0"/>
    <m/>
    <m/>
    <x v="0"/>
    <x v="0"/>
    <x v="0"/>
    <x v="0"/>
    <x v="0"/>
    <x v="0"/>
    <m/>
    <x v="0"/>
    <x v="1"/>
    <x v="0"/>
    <x v="0"/>
    <x v="0"/>
    <x v="0"/>
    <n v="534.31693539689388"/>
    <n v="160.29508196721312"/>
    <n v="11890048"/>
    <d v="2024-08-28T00:00:00"/>
    <x v="0"/>
  </r>
  <r>
    <n v="870"/>
    <d v="2024-07-25T00:00:00"/>
    <s v="PQZI-EI-2225-24-07-2024"/>
    <d v="2024-07-24T00:00:00"/>
    <x v="1"/>
    <x v="1"/>
    <n v="27.42"/>
    <x v="1"/>
    <x v="0"/>
    <n v="9607.11"/>
    <n v="24.14"/>
    <n v="27.42"/>
    <n v="27.42"/>
    <x v="9"/>
    <s v="YKK ZIPPERS ( QTY 1855 PCS)"/>
    <n v="188179"/>
    <x v="0"/>
    <n v="94089"/>
    <x v="0"/>
    <m/>
    <m/>
    <x v="0"/>
    <x v="0"/>
    <x v="0"/>
    <x v="0"/>
    <x v="0"/>
    <x v="0"/>
    <m/>
    <x v="0"/>
    <x v="1"/>
    <x v="0"/>
    <x v="0"/>
    <x v="0"/>
    <x v="6"/>
    <n v="6862.837345003647"/>
    <n v="3431.4004376367611"/>
    <n v="94089"/>
    <d v="2024-07-30T00:00:00"/>
    <x v="0"/>
  </r>
  <r>
    <n v="871"/>
    <d v="2024-07-24T00:00:00"/>
    <s v="KAPW-FS-12332-24-07-2024"/>
    <d v="2024-07-24T00:00:00"/>
    <x v="0"/>
    <x v="1"/>
    <n v="163200"/>
    <x v="1"/>
    <x v="0"/>
    <n v="2847"/>
    <n v="0.46"/>
    <n v="163200"/>
    <n v="163200"/>
    <x v="12"/>
    <s v="HYDROGEN PEROXIDE (50% EXPORT STD)"/>
    <n v="21343110"/>
    <x v="0"/>
    <n v="8750675"/>
    <x v="0"/>
    <m/>
    <m/>
    <x v="0"/>
    <x v="0"/>
    <x v="0"/>
    <x v="0"/>
    <x v="0"/>
    <x v="0"/>
    <m/>
    <x v="0"/>
    <x v="1"/>
    <x v="0"/>
    <x v="0"/>
    <x v="0"/>
    <x v="5"/>
    <n v="130.77886029411764"/>
    <n v="53.619332107843135"/>
    <n v="8750675"/>
    <d v="2024-08-23T00:00:00"/>
    <x v="0"/>
  </r>
  <r>
    <n v="872"/>
    <d v="2024-07-26T00:00:00"/>
    <s v="KAPE-FS-4281-25-07-2024"/>
    <d v="2024-07-25T00:00:00"/>
    <x v="0"/>
    <x v="0"/>
    <n v="1000"/>
    <x v="1"/>
    <x v="0"/>
    <n v="3204.16"/>
    <n v="17.62"/>
    <n v="0"/>
    <n v="0"/>
    <x v="5"/>
    <s v="DYES ( BEZAKTIV GREY HP-N)"/>
    <n v="5011196"/>
    <x v="0"/>
    <n v="2305150"/>
    <x v="0"/>
    <m/>
    <m/>
    <x v="0"/>
    <x v="0"/>
    <x v="0"/>
    <x v="0"/>
    <x v="0"/>
    <x v="0"/>
    <m/>
    <x v="0"/>
    <x v="1"/>
    <x v="0"/>
    <x v="0"/>
    <x v="0"/>
    <x v="4"/>
    <n v="5011.1959999999999"/>
    <n v="2305.15"/>
    <n v="0"/>
    <d v="2024-08-25T00:00:00"/>
    <x v="0"/>
  </r>
  <r>
    <n v="873"/>
    <d v="2024-07-27T00:00:00"/>
    <s v="KAPW-FS-14136-26-07-2024"/>
    <d v="2024-07-26T00:00:00"/>
    <x v="0"/>
    <x v="0"/>
    <n v="500"/>
    <x v="1"/>
    <x v="0"/>
    <n v="3204.16"/>
    <n v="7.5"/>
    <n v="0"/>
    <n v="0"/>
    <x v="5"/>
    <s v="DYES ( SYNOLON BLACK EXWS HI CONC ) "/>
    <n v="1066897"/>
    <x v="0"/>
    <n v="490773"/>
    <x v="0"/>
    <m/>
    <m/>
    <x v="0"/>
    <x v="0"/>
    <x v="0"/>
    <x v="0"/>
    <x v="0"/>
    <x v="0"/>
    <m/>
    <x v="0"/>
    <x v="1"/>
    <x v="0"/>
    <x v="0"/>
    <x v="0"/>
    <x v="4"/>
    <n v="2133.7939999999999"/>
    <n v="981.54600000000005"/>
    <n v="0"/>
    <d v="2024-08-26T00:00:00"/>
    <x v="0"/>
  </r>
  <r>
    <n v="874"/>
    <d v="2024-07-31T00:00:00"/>
    <s v="KPAF-FS-6380-30-07-2024"/>
    <d v="2024-07-30T00:00:00"/>
    <x v="1"/>
    <x v="1"/>
    <n v="29"/>
    <x v="1"/>
    <x v="0"/>
    <n v="4821.8999999999996"/>
    <n v="58.79"/>
    <n v="29"/>
    <n v="29"/>
    <x v="9"/>
    <s v="RFID TAGS (QTY: 22698 PCS)"/>
    <n v="484680"/>
    <x v="0"/>
    <n v="222953"/>
    <x v="0"/>
    <m/>
    <m/>
    <x v="0"/>
    <x v="0"/>
    <x v="0"/>
    <x v="0"/>
    <x v="0"/>
    <x v="0"/>
    <m/>
    <x v="0"/>
    <x v="1"/>
    <x v="0"/>
    <x v="0"/>
    <x v="0"/>
    <x v="6"/>
    <n v="16713.103448275862"/>
    <n v="7688.0344827586205"/>
    <n v="222953"/>
    <d v="2024-08-05T00:00:00"/>
    <x v="0"/>
  </r>
  <r>
    <n v="875"/>
    <d v="2024-07-31T00:00:00"/>
    <s v="PQZI-EI-3010-30-07-2024"/>
    <d v="2024-07-30T00:00:00"/>
    <x v="1"/>
    <x v="2"/>
    <n v="1092"/>
    <x v="1"/>
    <x v="0"/>
    <n v="3923.29"/>
    <n v="3.08"/>
    <n v="0"/>
    <n v="1092"/>
    <x v="9"/>
    <s v="PACKING BAGS VINYL "/>
    <n v="955495"/>
    <x v="0"/>
    <n v="477747"/>
    <x v="0"/>
    <m/>
    <m/>
    <x v="0"/>
    <x v="0"/>
    <x v="0"/>
    <x v="0"/>
    <x v="0"/>
    <x v="0"/>
    <m/>
    <x v="0"/>
    <x v="1"/>
    <x v="0"/>
    <x v="0"/>
    <x v="0"/>
    <x v="6"/>
    <n v="874.9954212454212"/>
    <n v="437.49725274725273"/>
    <n v="0"/>
    <d v="2024-08-05T00:00:00"/>
    <x v="0"/>
  </r>
  <r>
    <n v="876"/>
    <d v="2024-08-01T00:00:00"/>
    <s v="KPAF-FS-6152-30-07-2024"/>
    <d v="2024-07-30T00:00:00"/>
    <x v="0"/>
    <x v="1"/>
    <n v="149.20000000000002"/>
    <x v="1"/>
    <x v="0"/>
    <n v="5407.52"/>
    <s v="6.53 / 11.18 / 11.54 "/>
    <n v="149.20000000000002"/>
    <n v="149.20000000000002"/>
    <x v="11"/>
    <s v="TAFEETA FABRIC ( 145 METERS) / FABRIC 100% POLY , MICRO FIBER (385/METERS ) / FABRIC 92% POLYESTER 8% ELASTANE 4 WAY STRECH (165 METERS) "/>
    <n v="459580"/>
    <x v="0"/>
    <n v="211406"/>
    <x v="0"/>
    <m/>
    <m/>
    <x v="0"/>
    <x v="0"/>
    <x v="0"/>
    <x v="0"/>
    <x v="0"/>
    <x v="0"/>
    <m/>
    <x v="0"/>
    <x v="1"/>
    <x v="0"/>
    <x v="0"/>
    <x v="0"/>
    <x v="7"/>
    <n v="3080.2949061662193"/>
    <n v="1416.930294906166"/>
    <n v="211405.99999999997"/>
    <d v="2024-08-31T00:00:00"/>
    <x v="0"/>
  </r>
  <r>
    <n v="876"/>
    <d v="2024-08-01T00:00:00"/>
    <s v="KPAF-FS-6152-30-07-2024"/>
    <d v="2024-07-30T00:00:00"/>
    <x v="0"/>
    <x v="1"/>
    <n v="247.89999999999998"/>
    <x v="1"/>
    <x v="0"/>
    <n v="6006.32"/>
    <s v="4.87 / 5.55 / 7.27 / 8.34 / 11.92 "/>
    <n v="149.20000000000002"/>
    <n v="247.89999999999998"/>
    <x v="11"/>
    <s v="FABRIC MESH ( 200/METERS ) / FABRIC BURSHED TRICOT (220 GSM /285 METERS ) / FABRIC BURSHED TRICOT( 240 GSM /105 METERS ) / RIB 1X2 520 GSM (80/METERS) / RIB 1X1 520 GSM (10/METERS ) "/>
    <n v="458991"/>
    <x v="0"/>
    <n v="188185"/>
    <x v="0"/>
    <m/>
    <m/>
    <x v="0"/>
    <x v="0"/>
    <x v="0"/>
    <x v="0"/>
    <x v="0"/>
    <x v="0"/>
    <m/>
    <x v="0"/>
    <x v="1"/>
    <x v="0"/>
    <x v="0"/>
    <x v="0"/>
    <x v="7"/>
    <n v="1851.5167406212183"/>
    <n v="759.11657926583302"/>
    <n v="113260.19362646231"/>
    <d v="2024-08-31T00:00:00"/>
    <x v="0"/>
  </r>
  <r>
    <n v="877"/>
    <d v="2024-08-01T00:00:00"/>
    <s v="KPAF-FS-6483-31-07-2024"/>
    <d v="2024-07-31T00:00:00"/>
    <x v="0"/>
    <x v="1"/>
    <n v="1415"/>
    <x v="1"/>
    <x v="0"/>
    <n v="5503.2089999999998"/>
    <n v="5.32"/>
    <n v="1415"/>
    <n v="1415"/>
    <x v="1"/>
    <s v="REPREVE STAPLE 1.2DX x 38MM WW"/>
    <n v="2140053"/>
    <x v="0"/>
    <n v="877422"/>
    <x v="0"/>
    <m/>
    <m/>
    <x v="0"/>
    <x v="0"/>
    <x v="0"/>
    <x v="0"/>
    <x v="0"/>
    <x v="0"/>
    <m/>
    <x v="0"/>
    <x v="1"/>
    <x v="0"/>
    <x v="0"/>
    <x v="0"/>
    <x v="1"/>
    <n v="1512.4049469964664"/>
    <n v="620.08621908127213"/>
    <n v="877422.00000000012"/>
    <d v="2024-08-31T00:00:00"/>
    <x v="0"/>
  </r>
  <r>
    <n v="878"/>
    <d v="2024-08-02T00:00:00"/>
    <s v="KAPS-FS-16818-31-07-2024"/>
    <d v="2024-07-31T00:00:00"/>
    <x v="0"/>
    <x v="1"/>
    <n v="310080"/>
    <x v="1"/>
    <x v="0"/>
    <n v="5503.201"/>
    <n v="1.06"/>
    <n v="310080"/>
    <n v="310080"/>
    <x v="1"/>
    <s v="Polyester Staple Fiber"/>
    <n v="93512762"/>
    <x v="0"/>
    <n v="38340232"/>
    <x v="0"/>
    <m/>
    <m/>
    <x v="0"/>
    <x v="0"/>
    <x v="0"/>
    <x v="0"/>
    <x v="0"/>
    <x v="0"/>
    <m/>
    <x v="0"/>
    <x v="1"/>
    <x v="0"/>
    <x v="0"/>
    <x v="0"/>
    <x v="1"/>
    <n v="301.57624484004128"/>
    <n v="123.64625902992776"/>
    <n v="38340232"/>
    <d v="2024-09-01T00:00:00"/>
    <x v="0"/>
  </r>
  <r>
    <n v="879"/>
    <d v="2024-08-06T00:00:00"/>
    <s v="KAPS-FS-18211-03-08-2024"/>
    <d v="2024-08-03T00:00:00"/>
    <x v="0"/>
    <x v="1"/>
    <n v="16826.11"/>
    <x v="1"/>
    <x v="0"/>
    <n v="5205.26"/>
    <n v="3.3"/>
    <n v="16826.11"/>
    <n v="16826.11"/>
    <x v="3"/>
    <s v="50%PES 50% PRECONSUMER COTTON"/>
    <n v="17045349"/>
    <x v="0"/>
    <n v="6988593"/>
    <x v="0"/>
    <m/>
    <m/>
    <x v="0"/>
    <x v="0"/>
    <x v="0"/>
    <x v="0"/>
    <x v="0"/>
    <x v="0"/>
    <m/>
    <x v="0"/>
    <x v="1"/>
    <x v="0"/>
    <x v="0"/>
    <x v="0"/>
    <x v="3"/>
    <n v="1013.0296901660573"/>
    <n v="415.34216761925364"/>
    <n v="6988593"/>
    <d v="2024-09-05T00:00:00"/>
    <x v="0"/>
  </r>
  <r>
    <n v="880"/>
    <d v="2024-08-09T00:00:00"/>
    <s v="KAPW-FS-18088-03-08-2024"/>
    <d v="2024-08-03T00:00:00"/>
    <x v="0"/>
    <x v="1"/>
    <n v="6000"/>
    <x v="1"/>
    <x v="0"/>
    <n v="2832.1089999999999"/>
    <n v="3.45"/>
    <n v="6000"/>
    <n v="6000"/>
    <x v="12"/>
    <s v="IDROSOL FIE "/>
    <n v="6354459"/>
    <x v="0"/>
    <n v="1906338"/>
    <x v="0"/>
    <m/>
    <m/>
    <x v="0"/>
    <x v="0"/>
    <x v="0"/>
    <x v="0"/>
    <x v="0"/>
    <x v="0"/>
    <m/>
    <x v="0"/>
    <x v="1"/>
    <x v="0"/>
    <x v="0"/>
    <x v="0"/>
    <x v="5"/>
    <n v="1059.0764999999999"/>
    <n v="317.72300000000001"/>
    <n v="1906338"/>
    <d v="2024-09-08T00:00:00"/>
    <x v="0"/>
  </r>
  <r>
    <n v="881"/>
    <d v="2024-08-05T00:00:00"/>
    <s v="PQZI-EI-3647-05-08-2024"/>
    <d v="2024-08-05T00:00:00"/>
    <x v="1"/>
    <x v="1"/>
    <n v="1302.57"/>
    <x v="1"/>
    <x v="0"/>
    <n v="9607.11"/>
    <n v="15.91"/>
    <n v="1302.57"/>
    <n v="1302.57"/>
    <x v="9"/>
    <s v="YKK ZIPPER"/>
    <n v="5897460"/>
    <x v="0"/>
    <n v="2948730"/>
    <x v="0"/>
    <m/>
    <m/>
    <x v="0"/>
    <x v="0"/>
    <x v="0"/>
    <x v="0"/>
    <x v="0"/>
    <x v="0"/>
    <m/>
    <x v="0"/>
    <x v="1"/>
    <x v="0"/>
    <x v="0"/>
    <x v="0"/>
    <x v="6"/>
    <n v="4527.5570602731523"/>
    <n v="2263.7785301365761"/>
    <n v="2948730"/>
    <d v="2024-08-10T00:00:00"/>
    <x v="0"/>
  </r>
  <r>
    <n v="882"/>
    <d v="2024-08-07T00:00:00"/>
    <s v="PQZI-EI-3893-06-08-2024"/>
    <d v="2024-08-06T00:00:00"/>
    <x v="1"/>
    <x v="1"/>
    <n v="1302.57"/>
    <x v="1"/>
    <x v="0"/>
    <n v="9607.11"/>
    <n v="15.91"/>
    <n v="1302.57"/>
    <n v="1302.57"/>
    <x v="9"/>
    <s v="YKK ZIPPER"/>
    <n v="5894253"/>
    <x v="0"/>
    <n v="2947127"/>
    <x v="0"/>
    <m/>
    <m/>
    <x v="0"/>
    <x v="0"/>
    <x v="0"/>
    <x v="0"/>
    <x v="0"/>
    <x v="0"/>
    <m/>
    <x v="0"/>
    <x v="1"/>
    <x v="0"/>
    <x v="0"/>
    <x v="0"/>
    <x v="6"/>
    <n v="4525.0950044911215"/>
    <n v="2262.5478861020906"/>
    <n v="2947127"/>
    <d v="2024-08-12T00:00:00"/>
    <x v="0"/>
  </r>
  <r>
    <n v="883"/>
    <d v="2024-08-09T00:00:00"/>
    <s v="PQZI-EI-3887-06-08-2024"/>
    <d v="2024-08-06T00:00:00"/>
    <x v="1"/>
    <x v="1"/>
    <n v="5.98"/>
    <x v="1"/>
    <x v="0"/>
    <n v="9607.19"/>
    <n v="10.51"/>
    <n v="5.98"/>
    <n v="5.98"/>
    <x v="9"/>
    <s v="YKK ZIPPER"/>
    <n v="17877"/>
    <x v="0"/>
    <n v="8223"/>
    <x v="0"/>
    <m/>
    <m/>
    <x v="0"/>
    <x v="0"/>
    <x v="0"/>
    <x v="0"/>
    <x v="0"/>
    <x v="0"/>
    <m/>
    <x v="0"/>
    <x v="1"/>
    <x v="0"/>
    <x v="0"/>
    <x v="0"/>
    <x v="6"/>
    <n v="2989.4648829431435"/>
    <n v="1375.0836120401336"/>
    <n v="8223"/>
    <d v="2024-08-14T00:00:00"/>
    <x v="0"/>
  </r>
  <r>
    <n v="883"/>
    <d v="2024-08-09T00:00:00"/>
    <s v="PQZI-EI-3887-06-08-2024"/>
    <d v="2024-08-06T00:00:00"/>
    <x v="1"/>
    <x v="1"/>
    <n v="1.92"/>
    <x v="1"/>
    <x v="0"/>
    <n v="9607.2000000000007"/>
    <n v="23.37"/>
    <n v="5.98"/>
    <n v="1.92"/>
    <x v="9"/>
    <s v="YKK ZIPPER"/>
    <n v="12765"/>
    <x v="0"/>
    <n v="5872"/>
    <x v="0"/>
    <m/>
    <m/>
    <x v="0"/>
    <x v="0"/>
    <x v="0"/>
    <x v="0"/>
    <x v="0"/>
    <x v="0"/>
    <m/>
    <x v="0"/>
    <x v="1"/>
    <x v="0"/>
    <x v="0"/>
    <x v="0"/>
    <x v="6"/>
    <n v="6648.4375"/>
    <n v="3058.3333333333335"/>
    <n v="18288.833333333336"/>
    <d v="2024-08-14T00:00:00"/>
    <x v="0"/>
  </r>
  <r>
    <n v="884"/>
    <d v="2024-08-06T00:00:00"/>
    <s v="PQZI-EI-3871-06-08-2024"/>
    <d v="2024-08-06T00:00:00"/>
    <x v="1"/>
    <x v="2"/>
    <n v="1156"/>
    <x v="1"/>
    <x v="0"/>
    <n v="3923.29"/>
    <n v="2.42"/>
    <n v="36.75"/>
    <n v="1156"/>
    <x v="9"/>
    <s v="PACKING BAGS"/>
    <n v="797490"/>
    <x v="0"/>
    <n v="398745"/>
    <x v="0"/>
    <m/>
    <m/>
    <x v="0"/>
    <x v="0"/>
    <x v="0"/>
    <x v="0"/>
    <x v="0"/>
    <x v="0"/>
    <m/>
    <x v="0"/>
    <x v="1"/>
    <x v="0"/>
    <x v="0"/>
    <x v="0"/>
    <x v="6"/>
    <n v="689.87024221453282"/>
    <n v="344.93512110726641"/>
    <n v="12676.36570069204"/>
    <d v="2024-08-11T00:00:00"/>
    <x v="0"/>
  </r>
  <r>
    <n v="885"/>
    <d v="2024-08-09T00:00:00"/>
    <s v="KAPW-FS-19999-07-08-2024"/>
    <d v="2024-08-07T00:00:00"/>
    <x v="0"/>
    <x v="1"/>
    <n v="163200"/>
    <x v="1"/>
    <x v="0"/>
    <n v="2847"/>
    <n v="0.46"/>
    <n v="163200"/>
    <n v="163200"/>
    <x v="12"/>
    <s v="HYDROGEN PEROXIDE"/>
    <n v="21366084"/>
    <x v="0"/>
    <n v="8760094"/>
    <x v="0"/>
    <m/>
    <m/>
    <x v="0"/>
    <x v="0"/>
    <x v="0"/>
    <x v="0"/>
    <x v="0"/>
    <x v="0"/>
    <m/>
    <x v="0"/>
    <x v="1"/>
    <x v="0"/>
    <x v="0"/>
    <x v="0"/>
    <x v="5"/>
    <n v="130.91963235294116"/>
    <n v="53.677046568627453"/>
    <n v="8760094"/>
    <d v="2024-09-08T00:00:00"/>
    <x v="0"/>
  </r>
  <r>
    <n v="886"/>
    <d v="2024-08-07T00:00:00"/>
    <s v="KAPS-FS-19691-07-08-2024"/>
    <d v="2024-08-07T00:00:00"/>
    <x v="0"/>
    <x v="2"/>
    <n v="18000"/>
    <x v="1"/>
    <x v="0"/>
    <n v="3905.3"/>
    <n v="1.88"/>
    <n v="18000"/>
    <n v="18000"/>
    <x v="12"/>
    <s v="POLYVINYL ALCOHOL PVA"/>
    <n v="9605517"/>
    <x v="0"/>
    <n v="2881655"/>
    <x v="0"/>
    <m/>
    <m/>
    <x v="0"/>
    <x v="0"/>
    <x v="0"/>
    <x v="0"/>
    <x v="0"/>
    <x v="0"/>
    <m/>
    <x v="0"/>
    <x v="1"/>
    <x v="0"/>
    <x v="0"/>
    <x v="0"/>
    <x v="5"/>
    <n v="533.63983333333329"/>
    <n v="160.09194444444444"/>
    <n v="2881655"/>
    <d v="2024-09-06T00:00:00"/>
    <x v="0"/>
  </r>
  <r>
    <n v="887"/>
    <d v="2024-08-09T00:00:00"/>
    <s v="KPFI-FS-3849-08-08-2024"/>
    <d v="2024-08-08T00:00:00"/>
    <x v="1"/>
    <x v="1"/>
    <n v="8.1"/>
    <x v="1"/>
    <x v="0"/>
    <n v="9606.2099999999991"/>
    <n v="77.86"/>
    <n v="8.1"/>
    <n v="8.1"/>
    <x v="9"/>
    <s v="PLASTIC BUTTONS "/>
    <n v="179526"/>
    <x v="0"/>
    <n v="82582"/>
    <x v="0"/>
    <m/>
    <m/>
    <x v="0"/>
    <x v="0"/>
    <x v="0"/>
    <x v="0"/>
    <x v="0"/>
    <x v="0"/>
    <m/>
    <x v="0"/>
    <x v="1"/>
    <x v="0"/>
    <x v="0"/>
    <x v="0"/>
    <x v="6"/>
    <n v="22163.703703703704"/>
    <n v="10195.308641975309"/>
    <n v="82582"/>
    <d v="2024-08-14T00:00:00"/>
    <x v="0"/>
  </r>
  <r>
    <n v="888"/>
    <d v="2024-08-08T00:00:00"/>
    <s v="KPPI-FS-7424-08-08-2024"/>
    <d v="2024-08-08T00:00:00"/>
    <x v="0"/>
    <x v="1"/>
    <n v="398648"/>
    <x v="1"/>
    <x v="0"/>
    <n v="5201.009"/>
    <n v="1.8"/>
    <n v="398648"/>
    <n v="398648"/>
    <x v="0"/>
    <s v="Raw Cotton"/>
    <n v="204511319"/>
    <x v="0"/>
    <n v="61353395"/>
    <x v="0"/>
    <m/>
    <m/>
    <x v="0"/>
    <x v="0"/>
    <x v="0"/>
    <x v="0"/>
    <x v="0"/>
    <x v="0"/>
    <m/>
    <x v="0"/>
    <x v="1"/>
    <x v="0"/>
    <x v="0"/>
    <x v="0"/>
    <x v="0"/>
    <n v="513.01227900303024"/>
    <n v="153.90368194497401"/>
    <n v="61353395"/>
    <d v="2024-09-07T00:00:00"/>
    <x v="0"/>
  </r>
  <r>
    <n v="889"/>
    <d v="2024-08-13T00:00:00"/>
    <s v="KPPI-FS-7423-08-08-2024"/>
    <d v="2024-08-08T00:00:00"/>
    <x v="0"/>
    <x v="1"/>
    <n v="100384"/>
    <x v="1"/>
    <x v="0"/>
    <n v="5201.009"/>
    <n v="1.8"/>
    <n v="100384"/>
    <n v="100384"/>
    <x v="0"/>
    <s v="Raw Cotton"/>
    <n v="51498225"/>
    <x v="0"/>
    <n v="15449468"/>
    <x v="0"/>
    <m/>
    <m/>
    <x v="0"/>
    <x v="0"/>
    <x v="0"/>
    <x v="0"/>
    <x v="0"/>
    <x v="0"/>
    <m/>
    <x v="0"/>
    <x v="1"/>
    <x v="0"/>
    <x v="0"/>
    <x v="0"/>
    <x v="0"/>
    <n v="513.01228283391777"/>
    <n v="153.90368983104878"/>
    <n v="15449468"/>
    <d v="2024-09-12T00:00:00"/>
    <x v="0"/>
  </r>
  <r>
    <n v="890"/>
    <d v="2024-08-15T00:00:00"/>
    <s v="KAPW-FS-20695-08-08-2024"/>
    <d v="2024-08-08T00:00:00"/>
    <x v="0"/>
    <x v="0"/>
    <n v="2000"/>
    <x v="1"/>
    <x v="0"/>
    <n v="3204.16"/>
    <n v="5.3"/>
    <n v="0"/>
    <n v="0"/>
    <x v="5"/>
    <s v="DYES REMAZOL"/>
    <n v="3017384"/>
    <x v="0"/>
    <n v="1387996"/>
    <x v="0"/>
    <m/>
    <m/>
    <x v="0"/>
    <x v="0"/>
    <x v="0"/>
    <x v="0"/>
    <x v="0"/>
    <x v="0"/>
    <m/>
    <x v="0"/>
    <x v="1"/>
    <x v="0"/>
    <x v="0"/>
    <x v="0"/>
    <x v="4"/>
    <n v="1508.692"/>
    <n v="693.99800000000005"/>
    <n v="0"/>
    <d v="2024-09-14T00:00:00"/>
    <x v="0"/>
  </r>
  <r>
    <n v="891"/>
    <d v="2024-08-12T00:00:00"/>
    <s v="KAPE-FS-7207-09-08-2024"/>
    <d v="2024-08-09T00:00:00"/>
    <x v="0"/>
    <x v="2"/>
    <n v="1000"/>
    <x v="1"/>
    <x v="0"/>
    <n v="3707.1"/>
    <n v="9.25"/>
    <n v="1000"/>
    <n v="1000"/>
    <x v="12"/>
    <s v="EMULSION AQUASOL SHARP"/>
    <n v="2633567"/>
    <x v="0"/>
    <n v="790070"/>
    <x v="0"/>
    <m/>
    <m/>
    <x v="0"/>
    <x v="0"/>
    <x v="0"/>
    <x v="0"/>
    <x v="0"/>
    <x v="0"/>
    <m/>
    <x v="0"/>
    <x v="1"/>
    <x v="0"/>
    <x v="0"/>
    <x v="0"/>
    <x v="5"/>
    <n v="2633.567"/>
    <n v="790.07"/>
    <n v="790070"/>
    <d v="2024-09-11T00:00:00"/>
    <x v="0"/>
  </r>
  <r>
    <n v="892"/>
    <d v="2024-08-12T00:00:00"/>
    <s v="KAPS-FS-22010-10-08-2024"/>
    <d v="2024-08-10T00:00:00"/>
    <x v="1"/>
    <x v="1"/>
    <n v="14714"/>
    <x v="1"/>
    <x v="0"/>
    <n v="5901.9089999999997"/>
    <s v="1.67 / 3.49 "/>
    <n v="14714"/>
    <n v="14714"/>
    <x v="9"/>
    <s v="EMBROIDERY FUSING / NON WOVEN INTERLINING"/>
    <n v="13996407"/>
    <x v="0"/>
    <n v="5738527"/>
    <x v="0"/>
    <m/>
    <m/>
    <x v="0"/>
    <x v="0"/>
    <x v="0"/>
    <x v="0"/>
    <x v="0"/>
    <x v="0"/>
    <m/>
    <x v="0"/>
    <x v="1"/>
    <x v="0"/>
    <x v="0"/>
    <x v="0"/>
    <x v="6"/>
    <n v="951.23059671061571"/>
    <n v="390.00455348647546"/>
    <n v="5738527"/>
    <d v="2024-08-17T00:00:00"/>
    <x v="0"/>
  </r>
  <r>
    <n v="893"/>
    <d v="2024-08-10T00:00:00"/>
    <s v="PQZI-EI-4453-10-08-2024"/>
    <d v="2024-08-10T00:00:00"/>
    <x v="1"/>
    <x v="1"/>
    <n v="288.66000000000003"/>
    <x v="1"/>
    <x v="0"/>
    <n v="9607.19"/>
    <n v="9.9600000000000009"/>
    <n v="288.66000000000003"/>
    <n v="288.66000000000003"/>
    <x v="9"/>
    <s v="YKK ZIPPER"/>
    <n v="818375"/>
    <x v="0"/>
    <n v="376453"/>
    <x v="0"/>
    <m/>
    <m/>
    <x v="0"/>
    <x v="0"/>
    <x v="0"/>
    <x v="0"/>
    <x v="0"/>
    <x v="0"/>
    <m/>
    <x v="0"/>
    <x v="1"/>
    <x v="0"/>
    <x v="0"/>
    <x v="0"/>
    <x v="6"/>
    <n v="2835.082796369431"/>
    <n v="1304.1398184715581"/>
    <n v="376453"/>
    <d v="2024-08-15T00:00:00"/>
    <x v="0"/>
  </r>
  <r>
    <n v="893"/>
    <d v="2024-08-10T00:00:00"/>
    <s v="PQZI-EI-4453-10-08-2024"/>
    <d v="2024-08-10T00:00:00"/>
    <x v="1"/>
    <x v="1"/>
    <n v="114.52"/>
    <x v="1"/>
    <x v="0"/>
    <n v="9607.2000000000007"/>
    <n v="21.22"/>
    <n v="288.66000000000003"/>
    <n v="114.52"/>
    <x v="9"/>
    <s v="YKK ZIPPER"/>
    <n v="691907"/>
    <x v="0"/>
    <n v="318277"/>
    <x v="0"/>
    <m/>
    <m/>
    <x v="0"/>
    <x v="0"/>
    <x v="0"/>
    <x v="0"/>
    <x v="0"/>
    <x v="0"/>
    <m/>
    <x v="0"/>
    <x v="1"/>
    <x v="0"/>
    <x v="0"/>
    <x v="0"/>
    <x v="6"/>
    <n v="6041.8005588543492"/>
    <n v="2779.2263360111774"/>
    <n v="802251.47415298654"/>
    <d v="2024-08-15T00:00:00"/>
    <x v="0"/>
  </r>
  <r>
    <n v="894"/>
    <d v="2024-08-10T00:00:00"/>
    <s v="PQZI-EI-4454-10-08-2024"/>
    <d v="2024-08-10T00:00:00"/>
    <x v="1"/>
    <x v="1"/>
    <n v="350.46"/>
    <x v="1"/>
    <x v="0"/>
    <n v="9607.19"/>
    <n v="17.68"/>
    <n v="350.46"/>
    <n v="350.46"/>
    <x v="9"/>
    <s v="YKK ZIPPER"/>
    <n v="1764220"/>
    <x v="0"/>
    <n v="811541"/>
    <x v="0"/>
    <m/>
    <m/>
    <x v="0"/>
    <x v="0"/>
    <x v="0"/>
    <x v="0"/>
    <x v="0"/>
    <x v="0"/>
    <m/>
    <x v="0"/>
    <x v="1"/>
    <x v="0"/>
    <x v="0"/>
    <x v="0"/>
    <x v="6"/>
    <n v="5034.0124407921021"/>
    <n v="2315.64515208583"/>
    <n v="811540.99999999988"/>
    <d v="2024-08-15T00:00:00"/>
    <x v="0"/>
  </r>
  <r>
    <n v="895"/>
    <d v="2024-08-12T00:00:00"/>
    <s v="KPAF-FS-8892-12-08-2024"/>
    <d v="2024-08-12T00:00:00"/>
    <x v="1"/>
    <x v="1"/>
    <n v="25"/>
    <x v="1"/>
    <x v="0"/>
    <n v="4821.8999999999996"/>
    <n v="157.87"/>
    <n v="25"/>
    <n v="25"/>
    <x v="9"/>
    <s v="RFID STICKER"/>
    <n v="1123713"/>
    <x v="0"/>
    <n v="516908"/>
    <x v="0"/>
    <m/>
    <m/>
    <x v="0"/>
    <x v="0"/>
    <x v="0"/>
    <x v="0"/>
    <x v="0"/>
    <x v="0"/>
    <m/>
    <x v="0"/>
    <x v="1"/>
    <x v="0"/>
    <x v="0"/>
    <x v="0"/>
    <x v="6"/>
    <n v="44948.52"/>
    <n v="20676.32"/>
    <n v="516908"/>
    <d v="2024-08-17T00:00:00"/>
    <x v="0"/>
  </r>
  <r>
    <n v="896"/>
    <d v="2024-08-12T00:00:00"/>
    <s v="KPAF-FS-8894-12-08-2024"/>
    <d v="2024-08-12T00:00:00"/>
    <x v="1"/>
    <x v="1"/>
    <n v="44"/>
    <x v="1"/>
    <x v="0"/>
    <n v="4821.8999999999996"/>
    <n v="120.61"/>
    <n v="44"/>
    <n v="44"/>
    <x v="9"/>
    <s v="RFID STICKER"/>
    <n v="1510935"/>
    <x v="0"/>
    <n v="695030"/>
    <x v="0"/>
    <m/>
    <m/>
    <x v="0"/>
    <x v="0"/>
    <x v="0"/>
    <x v="0"/>
    <x v="0"/>
    <x v="0"/>
    <m/>
    <x v="0"/>
    <x v="1"/>
    <x v="0"/>
    <x v="0"/>
    <x v="0"/>
    <x v="6"/>
    <n v="34339.431818181816"/>
    <n v="15796.136363636364"/>
    <n v="695030"/>
    <d v="2024-08-17T00:00:00"/>
    <x v="0"/>
  </r>
  <r>
    <n v="897"/>
    <d v="2024-08-20T00:00:00"/>
    <s v="KPAF-FS-9057-12-08-2024"/>
    <d v="2024-08-12T00:00:00"/>
    <x v="1"/>
    <x v="1"/>
    <n v="41000"/>
    <x v="1"/>
    <x v="0"/>
    <n v="8523.5990000000002"/>
    <n v="0.35"/>
    <n v="41000"/>
    <n v="41000"/>
    <x v="9"/>
    <s v="RFID STICKER"/>
    <n v="4476873"/>
    <x v="0"/>
    <n v="1835518"/>
    <x v="0"/>
    <m/>
    <m/>
    <x v="0"/>
    <x v="0"/>
    <x v="0"/>
    <x v="0"/>
    <x v="0"/>
    <x v="0"/>
    <m/>
    <x v="0"/>
    <x v="1"/>
    <x v="0"/>
    <x v="0"/>
    <x v="0"/>
    <x v="6"/>
    <n v="109.1920243902439"/>
    <n v="44.768731707317073"/>
    <n v="1835518"/>
    <d v="2024-08-25T00:00:00"/>
    <x v="0"/>
  </r>
  <r>
    <n v="898"/>
    <d v="2024-08-16T00:00:00"/>
    <s v="KPFI-FS-4334-13-08-2024"/>
    <d v="2024-08-13T00:00:00"/>
    <x v="1"/>
    <x v="1"/>
    <n v="18"/>
    <x v="1"/>
    <x v="0"/>
    <n v="5807.1030000000001"/>
    <n v="38.06"/>
    <n v="18"/>
    <n v="18"/>
    <x v="9"/>
    <s v="REFLECTIVE TAPE"/>
    <n v="194921"/>
    <x v="0"/>
    <n v="79918"/>
    <x v="0"/>
    <m/>
    <m/>
    <x v="0"/>
    <x v="0"/>
    <x v="0"/>
    <x v="0"/>
    <x v="0"/>
    <x v="0"/>
    <m/>
    <x v="0"/>
    <x v="1"/>
    <x v="0"/>
    <x v="0"/>
    <x v="0"/>
    <x v="6"/>
    <n v="10828.944444444445"/>
    <n v="4439.8888888888887"/>
    <n v="79918"/>
    <d v="2024-08-21T00:00:00"/>
    <x v="0"/>
  </r>
  <r>
    <n v="899"/>
    <d v="2024-08-15T00:00:00"/>
    <s v="KAPW-FS-23706-13-08-2024"/>
    <d v="2024-08-13T00:00:00"/>
    <x v="0"/>
    <x v="1"/>
    <n v="5040"/>
    <x v="1"/>
    <x v="0"/>
    <n v="3906.9029999999998"/>
    <n v="1.9"/>
    <n v="5040"/>
    <n v="5040"/>
    <x v="12"/>
    <s v="CHEMICALS JINSOFECO"/>
    <n v="2724917"/>
    <x v="0"/>
    <n v="899223"/>
    <x v="0"/>
    <m/>
    <m/>
    <x v="0"/>
    <x v="0"/>
    <x v="0"/>
    <x v="0"/>
    <x v="0"/>
    <x v="0"/>
    <m/>
    <x v="0"/>
    <x v="1"/>
    <x v="0"/>
    <x v="0"/>
    <x v="0"/>
    <x v="5"/>
    <n v="540.65813492063489"/>
    <n v="178.41726190476192"/>
    <n v="899223"/>
    <d v="2024-09-14T00:00:00"/>
    <x v="0"/>
  </r>
  <r>
    <n v="900"/>
    <d v="2024-08-13T00:00:00"/>
    <s v="PQZI-EI-4789-13-08-2024"/>
    <d v="2024-08-13T00:00:00"/>
    <x v="1"/>
    <x v="1"/>
    <n v="1271.5999999999999"/>
    <x v="1"/>
    <x v="0"/>
    <n v="9607.11"/>
    <n v="16.3"/>
    <n v="1271.5999999999999"/>
    <n v="1271.5999999999999"/>
    <x v="9"/>
    <s v="YKK ZIPPER"/>
    <n v="5898866"/>
    <x v="0"/>
    <n v="2949433"/>
    <x v="0"/>
    <m/>
    <m/>
    <x v="0"/>
    <x v="0"/>
    <x v="0"/>
    <x v="0"/>
    <x v="0"/>
    <x v="0"/>
    <m/>
    <x v="0"/>
    <x v="1"/>
    <x v="0"/>
    <x v="0"/>
    <x v="0"/>
    <x v="6"/>
    <n v="4638.9320541050647"/>
    <n v="2319.4660270525324"/>
    <n v="2949433"/>
    <d v="2024-08-18T00:00:00"/>
    <x v="0"/>
  </r>
  <r>
    <n v="901"/>
    <d v="2024-08-20T00:00:00"/>
    <s v="KAPW-FS-24925-15-08-2024"/>
    <d v="2024-08-15T00:00:00"/>
    <x v="0"/>
    <x v="1"/>
    <n v="310080"/>
    <x v="1"/>
    <x v="0"/>
    <n v="5503.201"/>
    <n v="1.06"/>
    <n v="310080"/>
    <n v="310080"/>
    <x v="1"/>
    <s v="Polyester Staple Fiber"/>
    <n v="93579820"/>
    <x v="0"/>
    <n v="38367726"/>
    <x v="0"/>
    <m/>
    <m/>
    <x v="0"/>
    <x v="0"/>
    <x v="0"/>
    <x v="0"/>
    <x v="0"/>
    <x v="0"/>
    <m/>
    <x v="0"/>
    <x v="1"/>
    <x v="0"/>
    <x v="0"/>
    <x v="0"/>
    <x v="1"/>
    <n v="301.79250515995869"/>
    <n v="123.73492647058823"/>
    <n v="38367726"/>
    <d v="2024-09-19T00:00:00"/>
    <x v="0"/>
  </r>
  <r>
    <n v="902"/>
    <d v="2024-08-17T00:00:00"/>
    <s v="PQZI-EI-5074-16-08-2024"/>
    <d v="2024-08-16T00:00:00"/>
    <x v="1"/>
    <x v="1"/>
    <n v="22.65"/>
    <x v="1"/>
    <x v="0"/>
    <n v="9607.11"/>
    <n v="19.510000000000002"/>
    <n v="22.65"/>
    <n v="22.65"/>
    <x v="9"/>
    <s v="YKK ZIPPER"/>
    <n v="125795"/>
    <x v="0"/>
    <n v="62897"/>
    <x v="0"/>
    <m/>
    <m/>
    <x v="0"/>
    <x v="0"/>
    <x v="0"/>
    <x v="0"/>
    <x v="0"/>
    <x v="0"/>
    <m/>
    <x v="0"/>
    <x v="1"/>
    <x v="0"/>
    <x v="0"/>
    <x v="0"/>
    <x v="6"/>
    <n v="5553.8631346578368"/>
    <n v="2776.9094922737308"/>
    <n v="62897"/>
    <d v="2024-08-22T00:00:00"/>
    <x v="0"/>
  </r>
  <r>
    <n v="902"/>
    <d v="2024-08-17T00:00:00"/>
    <s v="PQZI-EI-5074-16-08-2024"/>
    <d v="2024-08-16T00:00:00"/>
    <x v="1"/>
    <x v="1"/>
    <n v="329.74"/>
    <x v="1"/>
    <x v="0"/>
    <n v="9607.19"/>
    <n v="19.55"/>
    <n v="22.65"/>
    <n v="329.74"/>
    <x v="9"/>
    <s v="YKK ZIPPER"/>
    <n v="1835378"/>
    <x v="0"/>
    <n v="844273"/>
    <x v="0"/>
    <m/>
    <m/>
    <x v="0"/>
    <x v="0"/>
    <x v="0"/>
    <x v="0"/>
    <x v="0"/>
    <x v="0"/>
    <m/>
    <x v="0"/>
    <x v="1"/>
    <x v="0"/>
    <x v="0"/>
    <x v="0"/>
    <x v="6"/>
    <n v="5566.1369563898825"/>
    <n v="2560.4203311700126"/>
    <n v="57993.520501000778"/>
    <d v="2024-08-22T00:00:00"/>
    <x v="0"/>
  </r>
  <r>
    <n v="903"/>
    <d v="2024-08-16T00:00:00"/>
    <s v="PQZI-EI-5069-16-08-2024"/>
    <d v="2024-08-16T00:00:00"/>
    <x v="1"/>
    <x v="1"/>
    <n v="94.28"/>
    <x v="1"/>
    <x v="0"/>
    <n v="9607.11"/>
    <n v="20.57"/>
    <n v="94.28"/>
    <n v="94.28"/>
    <x v="9"/>
    <s v="YKK ZIPPER"/>
    <n v="552192"/>
    <x v="0"/>
    <n v="276096"/>
    <x v="0"/>
    <m/>
    <m/>
    <x v="0"/>
    <x v="0"/>
    <x v="0"/>
    <x v="0"/>
    <x v="0"/>
    <x v="0"/>
    <m/>
    <x v="0"/>
    <x v="1"/>
    <x v="0"/>
    <x v="0"/>
    <x v="0"/>
    <x v="6"/>
    <n v="5856.9367840475179"/>
    <n v="2928.468392023759"/>
    <n v="276096"/>
    <d v="2024-08-21T00:00:00"/>
    <x v="0"/>
  </r>
  <r>
    <n v="904"/>
    <d v="2024-08-21T00:00:00"/>
    <s v="KAPW-FS-25994-17-08-2024"/>
    <d v="2024-08-17T00:00:00"/>
    <x v="1"/>
    <x v="1"/>
    <n v="24908"/>
    <x v="1"/>
    <x v="0"/>
    <n v="4810.29"/>
    <n v="0.78"/>
    <n v="24908"/>
    <n v="24908"/>
    <x v="9"/>
    <s v="Inlay-Card"/>
    <n v="5531412"/>
    <x v="0"/>
    <n v="2765705"/>
    <x v="0"/>
    <m/>
    <m/>
    <x v="0"/>
    <x v="0"/>
    <x v="0"/>
    <x v="0"/>
    <x v="0"/>
    <x v="0"/>
    <m/>
    <x v="0"/>
    <x v="1"/>
    <x v="0"/>
    <x v="0"/>
    <x v="0"/>
    <x v="6"/>
    <n v="222.07371125742733"/>
    <n v="111.03681548096996"/>
    <n v="2765705"/>
    <d v="2024-08-26T00:00:00"/>
    <x v="0"/>
  </r>
  <r>
    <n v="905"/>
    <d v="2024-08-21T00:00:00"/>
    <s v="KAPW-FS-25993-17-08-2024"/>
    <d v="2024-08-17T00:00:00"/>
    <x v="1"/>
    <x v="1"/>
    <n v="24908"/>
    <x v="1"/>
    <x v="0"/>
    <n v="4810.29"/>
    <n v="0.78"/>
    <n v="24908"/>
    <n v="24908"/>
    <x v="9"/>
    <s v="Inlay-Card"/>
    <n v="5531412"/>
    <x v="0"/>
    <n v="2765705"/>
    <x v="0"/>
    <m/>
    <m/>
    <x v="0"/>
    <x v="0"/>
    <x v="0"/>
    <x v="0"/>
    <x v="0"/>
    <x v="0"/>
    <m/>
    <x v="0"/>
    <x v="1"/>
    <x v="0"/>
    <x v="0"/>
    <x v="0"/>
    <x v="6"/>
    <n v="222.07371125742733"/>
    <n v="111.03681548096996"/>
    <n v="2765705"/>
    <d v="2024-08-26T00:00:00"/>
    <x v="0"/>
  </r>
  <r>
    <n v="906"/>
    <d v="2024-08-21T00:00:00"/>
    <s v="KAPW-FS-25992-17-08-2024"/>
    <d v="2024-08-17T00:00:00"/>
    <x v="1"/>
    <x v="1"/>
    <n v="24908"/>
    <x v="1"/>
    <x v="0"/>
    <n v="4810.29"/>
    <n v="0.78"/>
    <n v="24908"/>
    <n v="24908"/>
    <x v="9"/>
    <s v="Inlay-Card"/>
    <n v="5531412"/>
    <x v="0"/>
    <n v="2765705"/>
    <x v="0"/>
    <m/>
    <m/>
    <x v="0"/>
    <x v="0"/>
    <x v="0"/>
    <x v="0"/>
    <x v="0"/>
    <x v="0"/>
    <m/>
    <x v="0"/>
    <x v="1"/>
    <x v="0"/>
    <x v="0"/>
    <x v="0"/>
    <x v="6"/>
    <n v="222.07371125742733"/>
    <n v="111.03681548096996"/>
    <n v="2765705"/>
    <d v="2024-08-26T00:00:00"/>
    <x v="0"/>
  </r>
  <r>
    <n v="907"/>
    <d v="2024-08-17T00:00:00"/>
    <s v="KPAF-FS-10104-17-08-2024"/>
    <d v="2024-08-17T00:00:00"/>
    <x v="1"/>
    <x v="1"/>
    <n v="594"/>
    <x v="1"/>
    <x v="0"/>
    <n v="9606.2199999999993"/>
    <n v="19.32"/>
    <n v="594"/>
    <n v="594"/>
    <x v="9"/>
    <s v="Brass Cap"/>
    <n v="3267827"/>
    <x v="0"/>
    <n v="1503200"/>
    <x v="0"/>
    <m/>
    <m/>
    <x v="0"/>
    <x v="0"/>
    <x v="0"/>
    <x v="0"/>
    <x v="0"/>
    <x v="0"/>
    <m/>
    <x v="0"/>
    <x v="1"/>
    <x v="0"/>
    <x v="0"/>
    <x v="0"/>
    <x v="6"/>
    <n v="5501.3922558922559"/>
    <n v="2530.6397306397307"/>
    <n v="1503200"/>
    <d v="2024-08-22T00:00:00"/>
    <x v="0"/>
  </r>
  <r>
    <n v="908"/>
    <d v="2024-08-21T00:00:00"/>
    <s v="KAPW-FS-26955-20-08-2024"/>
    <d v="2024-08-20T00:00:00"/>
    <x v="1"/>
    <x v="1"/>
    <n v="24908"/>
    <x v="1"/>
    <x v="0"/>
    <n v="4810.29"/>
    <n v="0.78"/>
    <n v="24908"/>
    <n v="24908"/>
    <x v="9"/>
    <s v="Inlay-Card"/>
    <n v="5528440"/>
    <x v="0"/>
    <n v="2764220"/>
    <x v="0"/>
    <m/>
    <m/>
    <x v="0"/>
    <x v="0"/>
    <x v="0"/>
    <x v="0"/>
    <x v="0"/>
    <x v="0"/>
    <m/>
    <x v="0"/>
    <x v="1"/>
    <x v="0"/>
    <x v="0"/>
    <x v="0"/>
    <x v="6"/>
    <n v="221.95439216316043"/>
    <n v="110.97719608158022"/>
    <n v="2764220"/>
    <d v="2024-08-26T00:00:00"/>
    <x v="0"/>
  </r>
  <r>
    <n v="909"/>
    <d v="2024-08-21T00:00:00"/>
    <s v="PQZI-EI-5500-20-08-2024"/>
    <d v="2024-08-20T00:00:00"/>
    <x v="1"/>
    <x v="1"/>
    <n v="56.67"/>
    <x v="1"/>
    <x v="0"/>
    <n v="9607.11"/>
    <n v="20.52"/>
    <n v="56.67"/>
    <n v="56.67"/>
    <x v="9"/>
    <s v="YKK ZIPPER"/>
    <n v="330955"/>
    <x v="0"/>
    <n v="165478"/>
    <x v="0"/>
    <m/>
    <m/>
    <x v="0"/>
    <x v="0"/>
    <x v="0"/>
    <x v="0"/>
    <x v="0"/>
    <x v="0"/>
    <m/>
    <x v="0"/>
    <x v="1"/>
    <x v="0"/>
    <x v="0"/>
    <x v="0"/>
    <x v="6"/>
    <n v="5840.0388212458092"/>
    <n v="2920.0282336333157"/>
    <n v="165478"/>
    <d v="2024-08-26T00:00:00"/>
    <x v="0"/>
  </r>
  <r>
    <n v="909"/>
    <d v="2024-08-21T00:00:00"/>
    <s v="PQZI-EI-5500-20-08-2024"/>
    <d v="2024-08-20T00:00:00"/>
    <x v="1"/>
    <x v="1"/>
    <n v="453.4"/>
    <x v="1"/>
    <x v="0"/>
    <n v="9607.19"/>
    <n v="21.63"/>
    <n v="56.67"/>
    <n v="453.4"/>
    <x v="9"/>
    <s v="YKK ZIPPER"/>
    <n v="2790274"/>
    <x v="0"/>
    <n v="1283526"/>
    <x v="0"/>
    <m/>
    <m/>
    <x v="0"/>
    <x v="0"/>
    <x v="0"/>
    <x v="0"/>
    <x v="0"/>
    <x v="0"/>
    <m/>
    <x v="0"/>
    <x v="1"/>
    <x v="0"/>
    <x v="0"/>
    <x v="0"/>
    <x v="6"/>
    <n v="6154.1111601235116"/>
    <n v="2830.891045434495"/>
    <n v="160426.59554477283"/>
    <d v="2024-08-26T00:00:00"/>
    <x v="0"/>
  </r>
  <r>
    <n v="910"/>
    <d v="2024-08-23T00:00:00"/>
    <s v="KPPI-FS-10311-21-08-2024"/>
    <d v="2024-08-21T00:00:00"/>
    <x v="0"/>
    <x v="1"/>
    <n v="124220"/>
    <x v="1"/>
    <x v="0"/>
    <n v="5201.009"/>
    <n v="1.88"/>
    <n v="124220"/>
    <n v="124220"/>
    <x v="0"/>
    <s v="Raw Cotton"/>
    <n v="66408572"/>
    <x v="0"/>
    <n v="19922572"/>
    <x v="0"/>
    <m/>
    <m/>
    <x v="0"/>
    <x v="0"/>
    <x v="0"/>
    <x v="0"/>
    <x v="0"/>
    <x v="0"/>
    <m/>
    <x v="0"/>
    <x v="1"/>
    <x v="0"/>
    <x v="0"/>
    <x v="0"/>
    <x v="0"/>
    <n v="534.60450813073578"/>
    <n v="160.38135565931412"/>
    <n v="19922572"/>
    <d v="2024-09-22T00:00:00"/>
    <x v="0"/>
  </r>
  <r>
    <n v="911"/>
    <d v="2024-08-29T00:00:00"/>
    <s v="KAPW-FS-29063-22-08-2024"/>
    <d v="2024-08-22T00:00:00"/>
    <x v="0"/>
    <x v="1"/>
    <n v="5000"/>
    <x v="1"/>
    <x v="0"/>
    <n v="3204.2"/>
    <n v="6.95"/>
    <n v="5000"/>
    <n v="5000"/>
    <x v="5"/>
    <s v="DYES VEEBRIGHT EHT "/>
    <n v="9881262"/>
    <x v="0"/>
    <n v="4940630"/>
    <x v="0"/>
    <m/>
    <m/>
    <x v="0"/>
    <x v="0"/>
    <x v="0"/>
    <x v="0"/>
    <x v="0"/>
    <x v="0"/>
    <m/>
    <x v="0"/>
    <x v="1"/>
    <x v="0"/>
    <x v="0"/>
    <x v="0"/>
    <x v="4"/>
    <n v="1976.2524000000001"/>
    <n v="988.12599999999998"/>
    <n v="4940630"/>
    <d v="2024-09-28T00:00:00"/>
    <x v="0"/>
  </r>
  <r>
    <n v="912"/>
    <d v="2024-08-26T00:00:00"/>
    <s v="KAPS-FS-27864-22-08-2024"/>
    <d v="2024-08-22T00:00:00"/>
    <x v="0"/>
    <x v="1"/>
    <n v="10418"/>
    <x v="1"/>
    <x v="0"/>
    <n v="5407.52"/>
    <n v="5.2"/>
    <n v="10418"/>
    <n v="10418"/>
    <x v="11"/>
    <s v="100% POLYESTER MICROFIBER FABRIC 82GSM 242/269CM (QTY: 50177/MTRS) "/>
    <n v="15404419"/>
    <x v="0"/>
    <n v="7086032"/>
    <x v="0"/>
    <m/>
    <m/>
    <x v="0"/>
    <x v="0"/>
    <x v="0"/>
    <x v="0"/>
    <x v="0"/>
    <x v="0"/>
    <m/>
    <x v="0"/>
    <x v="1"/>
    <x v="0"/>
    <x v="0"/>
    <x v="0"/>
    <x v="2"/>
    <n v="1478.6349587252832"/>
    <n v="680.17200998272222"/>
    <n v="7086032"/>
    <d v="2024-09-25T00:00:00"/>
    <x v="0"/>
  </r>
  <r>
    <n v="913"/>
    <d v="2024-08-29T00:00:00"/>
    <s v="KAPW-FS-29065-22-08-2024"/>
    <d v="2024-08-22T00:00:00"/>
    <x v="1"/>
    <x v="1"/>
    <n v="16620"/>
    <x v="1"/>
    <x v="0"/>
    <n v="3926.9099000000001"/>
    <n v="0.12"/>
    <n v="16620"/>
    <n v="16620"/>
    <x v="9"/>
    <s v="PLASTIC HANGERS &amp; SIZERS"/>
    <n v="554826"/>
    <x v="0"/>
    <n v="277413"/>
    <x v="0"/>
    <m/>
    <m/>
    <x v="0"/>
    <x v="0"/>
    <x v="0"/>
    <x v="0"/>
    <x v="0"/>
    <x v="0"/>
    <m/>
    <x v="0"/>
    <x v="1"/>
    <x v="0"/>
    <x v="0"/>
    <x v="0"/>
    <x v="6"/>
    <n v="33.383032490974728"/>
    <n v="16.691516245487364"/>
    <n v="277413"/>
    <d v="2024-09-03T00:00:00"/>
    <x v="0"/>
  </r>
  <r>
    <n v="914"/>
    <d v="2024-08-29T00:00:00"/>
    <s v="KAPW-FS-29550-23-08-2024"/>
    <d v="2024-08-23T00:00:00"/>
    <x v="0"/>
    <x v="1"/>
    <n v="2000"/>
    <x v="1"/>
    <x v="0"/>
    <n v="3204.1109999999999"/>
    <n v="11.8"/>
    <n v="2000"/>
    <n v="2000"/>
    <x v="5"/>
    <s v="DYES ( FASFA TURQ. BLUE CGL )"/>
    <n v="6715543"/>
    <x v="0"/>
    <n v="2014663"/>
    <x v="0"/>
    <m/>
    <m/>
    <x v="0"/>
    <x v="0"/>
    <x v="0"/>
    <x v="0"/>
    <x v="0"/>
    <x v="0"/>
    <m/>
    <x v="0"/>
    <x v="1"/>
    <x v="0"/>
    <x v="0"/>
    <x v="0"/>
    <x v="4"/>
    <n v="3357.7714999999998"/>
    <n v="1007.3315"/>
    <n v="2014663"/>
    <d v="2024-09-28T00:00:00"/>
    <x v="0"/>
  </r>
  <r>
    <n v="915"/>
    <d v="2024-08-24T00:00:00"/>
    <s v="PQZI-EI-6103-23-08-2024"/>
    <d v="2024-08-23T00:00:00"/>
    <x v="1"/>
    <x v="1"/>
    <n v="1080.9000000000001"/>
    <x v="1"/>
    <x v="0"/>
    <n v="9607.11"/>
    <n v="16.39"/>
    <n v="1080.9000000000001"/>
    <n v="1080.9000000000001"/>
    <x v="9"/>
    <s v="YKK ZIPPER"/>
    <n v="5041534"/>
    <x v="0"/>
    <n v="2520767"/>
    <x v="0"/>
    <m/>
    <m/>
    <x v="0"/>
    <x v="0"/>
    <x v="0"/>
    <x v="0"/>
    <x v="0"/>
    <x v="0"/>
    <m/>
    <x v="0"/>
    <x v="1"/>
    <x v="0"/>
    <x v="0"/>
    <x v="0"/>
    <x v="6"/>
    <n v="4664.200203534092"/>
    <n v="2332.100101767046"/>
    <n v="2520767"/>
    <d v="2024-08-29T00:00:00"/>
    <x v="0"/>
  </r>
  <r>
    <n v="916"/>
    <d v="2024-08-24T00:00:00"/>
    <s v="PQZI-EI-6283-24-08-2024"/>
    <d v="2024-08-24T00:00:00"/>
    <x v="1"/>
    <x v="1"/>
    <n v="948"/>
    <x v="1"/>
    <x v="0"/>
    <n v="3923.29"/>
    <n v="2.92"/>
    <n v="948"/>
    <n v="948"/>
    <x v="9"/>
    <s v="PACKING BAGS"/>
    <n v="787286"/>
    <x v="0"/>
    <n v="393642"/>
    <x v="0"/>
    <m/>
    <m/>
    <x v="0"/>
    <x v="0"/>
    <x v="0"/>
    <x v="0"/>
    <x v="0"/>
    <x v="0"/>
    <m/>
    <x v="0"/>
    <x v="1"/>
    <x v="0"/>
    <x v="0"/>
    <x v="0"/>
    <x v="6"/>
    <n v="830.47046413502107"/>
    <n v="415.23417721518985"/>
    <n v="393642"/>
    <d v="2024-08-29T00:00:00"/>
    <x v="0"/>
  </r>
  <r>
    <n v="917"/>
    <d v="2024-08-28T00:00:00"/>
    <s v="KPAF-FS-11887-27-08-2024"/>
    <d v="2024-08-27T00:00:00"/>
    <x v="1"/>
    <x v="1"/>
    <n v="74"/>
    <x v="1"/>
    <x v="0"/>
    <n v="4821.8999999999996"/>
    <n v="50.55"/>
    <n v="74"/>
    <n v="74"/>
    <x v="9"/>
    <s v="SECURITY LABELS (QTY: 67000 PCS)"/>
    <n v="1064196"/>
    <x v="0"/>
    <n v="489530"/>
    <x v="0"/>
    <m/>
    <m/>
    <x v="0"/>
    <x v="0"/>
    <x v="0"/>
    <x v="0"/>
    <x v="0"/>
    <x v="0"/>
    <m/>
    <x v="0"/>
    <x v="1"/>
    <x v="0"/>
    <x v="0"/>
    <x v="0"/>
    <x v="6"/>
    <n v="14381.027027027027"/>
    <n v="6615.27027027027"/>
    <n v="489530"/>
    <d v="2024-09-02T00:00:00"/>
    <x v="0"/>
  </r>
  <r>
    <n v="918"/>
    <d v="2024-08-27T00:00:00"/>
    <s v="KPAF-FS-11794-27-08-2024"/>
    <d v="2024-08-27T00:00:00"/>
    <x v="1"/>
    <x v="1"/>
    <n v="94.8"/>
    <x v="1"/>
    <x v="0"/>
    <n v="4821.1090000000004"/>
    <n v="67.349999999999994"/>
    <n v="94.8"/>
    <n v="94.8"/>
    <x v="9"/>
    <s v="RFID TAG/LABELS &quot;CENTRIC&quot; "/>
    <n v="1816588"/>
    <x v="0"/>
    <n v="908295"/>
    <x v="0"/>
    <m/>
    <m/>
    <x v="0"/>
    <x v="0"/>
    <x v="0"/>
    <x v="0"/>
    <x v="0"/>
    <x v="0"/>
    <m/>
    <x v="0"/>
    <x v="1"/>
    <x v="0"/>
    <x v="0"/>
    <x v="0"/>
    <x v="6"/>
    <n v="19162.320675105486"/>
    <n v="9581.17088607595"/>
    <n v="908295"/>
    <d v="2024-09-01T00:00:00"/>
    <x v="0"/>
  </r>
  <r>
    <n v="919"/>
    <d v="2024-08-31T00:00:00"/>
    <s v="KAPW-FS-31082-27-08-2024"/>
    <d v="2024-08-27T00:00:00"/>
    <x v="0"/>
    <x v="2"/>
    <n v="3000"/>
    <x v="1"/>
    <x v="0"/>
    <n v="3204.16"/>
    <s v="2.95 / 3.05 "/>
    <n v="2905.38"/>
    <n v="3000"/>
    <x v="5"/>
    <s v="DYES ( LIYANSOL  ) "/>
    <n v="2546328"/>
    <x v="0"/>
    <n v="1171311"/>
    <x v="0"/>
    <m/>
    <m/>
    <x v="0"/>
    <x v="0"/>
    <x v="0"/>
    <x v="0"/>
    <x v="0"/>
    <x v="0"/>
    <m/>
    <x v="0"/>
    <x v="1"/>
    <x v="0"/>
    <x v="0"/>
    <x v="0"/>
    <x v="4"/>
    <n v="848.77599999999995"/>
    <n v="390.43700000000001"/>
    <n v="1134367.85106"/>
    <d v="2024-09-30T00:00:00"/>
    <x v="0"/>
  </r>
  <r>
    <n v="920"/>
    <d v="2024-08-30T00:00:00"/>
    <s v="KPAF-FS-12346-28-08-2024"/>
    <d v="2024-08-28T00:00:00"/>
    <x v="1"/>
    <x v="1"/>
    <n v="79.5"/>
    <x v="1"/>
    <x v="0"/>
    <n v="4821.1090000000004"/>
    <n v="27.71"/>
    <n v="79.5"/>
    <n v="79.5"/>
    <x v="9"/>
    <s v="RFID TAG/LABELS &quot;CENTRIC&quot; "/>
    <n v="626623"/>
    <x v="0"/>
    <n v="313312"/>
    <x v="0"/>
    <m/>
    <m/>
    <x v="0"/>
    <x v="0"/>
    <x v="0"/>
    <x v="0"/>
    <x v="0"/>
    <x v="0"/>
    <m/>
    <x v="0"/>
    <x v="1"/>
    <x v="0"/>
    <x v="0"/>
    <x v="0"/>
    <x v="6"/>
    <n v="7882.0503144654085"/>
    <n v="3941.0314465408806"/>
    <n v="313312"/>
    <d v="2024-09-04T00:00:00"/>
    <x v="0"/>
  </r>
  <r>
    <n v="921"/>
    <d v="2024-08-28T00:00:00"/>
    <s v="PQZI-EI-6670-28-08-2024"/>
    <d v="2024-08-28T00:00:00"/>
    <x v="1"/>
    <x v="1"/>
    <n v="620"/>
    <x v="1"/>
    <x v="0"/>
    <n v="3923.29"/>
    <n v="2.82"/>
    <n v="620"/>
    <n v="620"/>
    <x v="9"/>
    <s v="PACKING BAGS"/>
    <n v="497729"/>
    <x v="0"/>
    <n v="248864"/>
    <x v="0"/>
    <m/>
    <m/>
    <x v="0"/>
    <x v="0"/>
    <x v="0"/>
    <x v="0"/>
    <x v="0"/>
    <x v="0"/>
    <m/>
    <x v="0"/>
    <x v="1"/>
    <x v="0"/>
    <x v="0"/>
    <x v="0"/>
    <x v="6"/>
    <n v="802.78870967741932"/>
    <n v="401.39354838709676"/>
    <n v="248864"/>
    <d v="2024-09-02T00:00:00"/>
    <x v="0"/>
  </r>
  <r>
    <n v="922"/>
    <d v="2024-08-30T00:00:00"/>
    <s v="KPAF-FS-12702-30-08-2024"/>
    <d v="2024-08-30T00:00:00"/>
    <x v="1"/>
    <x v="1"/>
    <n v="80"/>
    <x v="1"/>
    <x v="0"/>
    <n v="9606.1"/>
    <n v="154.97999999999999"/>
    <n v="80"/>
    <n v="80"/>
    <x v="9"/>
    <s v="Plastic Cap / Socket / Stud "/>
    <n v="3526672"/>
    <x v="0"/>
    <n v="1622270"/>
    <x v="0"/>
    <m/>
    <m/>
    <x v="0"/>
    <x v="0"/>
    <x v="0"/>
    <x v="0"/>
    <x v="0"/>
    <x v="0"/>
    <m/>
    <x v="0"/>
    <x v="1"/>
    <x v="0"/>
    <x v="0"/>
    <x v="0"/>
    <x v="6"/>
    <n v="44083.4"/>
    <n v="20278.375"/>
    <n v="1622270"/>
    <d v="2024-09-04T00:00:00"/>
    <x v="0"/>
  </r>
  <r>
    <n v="923"/>
    <d v="2024-08-31T00:00:00"/>
    <s v="KAPW-FS-33323-30-08-2024"/>
    <d v="2024-08-30T00:00:00"/>
    <x v="1"/>
    <x v="1"/>
    <n v="647"/>
    <x v="1"/>
    <x v="0"/>
    <n v="9606.2199999999993"/>
    <n v="30.3"/>
    <n v="647"/>
    <n v="647"/>
    <x v="9"/>
    <s v="METAL SNAP BUTTONS "/>
    <n v="5576721"/>
    <x v="0"/>
    <n v="2565292"/>
    <x v="0"/>
    <m/>
    <m/>
    <x v="0"/>
    <x v="0"/>
    <x v="0"/>
    <x v="0"/>
    <x v="0"/>
    <x v="0"/>
    <m/>
    <x v="0"/>
    <x v="1"/>
    <x v="0"/>
    <x v="0"/>
    <x v="0"/>
    <x v="6"/>
    <n v="8619.3523956723348"/>
    <n v="3964.9026275115921"/>
    <n v="2565292"/>
    <d v="2024-09-05T00:00:00"/>
    <x v="0"/>
  </r>
  <r>
    <n v="924"/>
    <d v="2024-08-31T00:00:00"/>
    <s v="KAPW-FS-33321-30-08-2024"/>
    <d v="2024-08-30T00:00:00"/>
    <x v="1"/>
    <x v="1"/>
    <n v="1312"/>
    <x v="1"/>
    <x v="0"/>
    <n v="9606.2199999999993"/>
    <n v="32.1"/>
    <n v="1312"/>
    <n v="1312"/>
    <x v="9"/>
    <s v="METAL SNAP BUTTONS "/>
    <n v="11981218"/>
    <x v="0"/>
    <n v="5511360"/>
    <x v="0"/>
    <m/>
    <m/>
    <x v="0"/>
    <x v="0"/>
    <x v="0"/>
    <x v="0"/>
    <x v="0"/>
    <x v="0"/>
    <m/>
    <x v="0"/>
    <x v="1"/>
    <x v="0"/>
    <x v="0"/>
    <x v="0"/>
    <x v="6"/>
    <n v="9132.0259146341468"/>
    <n v="4200.7317073170734"/>
    <n v="5511360"/>
    <d v="2024-09-05T00:00:00"/>
    <x v="0"/>
  </r>
  <r>
    <n v="925"/>
    <d v="2024-08-31T00:00:00"/>
    <s v="KPPI-FS-12207-30-08-2024"/>
    <d v="2024-08-30T00:00:00"/>
    <x v="0"/>
    <x v="1"/>
    <n v="500600"/>
    <x v="1"/>
    <x v="0"/>
    <n v="5201.009"/>
    <n v="1.87"/>
    <n v="500600"/>
    <n v="500600"/>
    <x v="0"/>
    <s v="Raw Cotton"/>
    <n v="266839828"/>
    <x v="0"/>
    <n v="80051948"/>
    <x v="0"/>
    <m/>
    <m/>
    <x v="0"/>
    <x v="0"/>
    <x v="0"/>
    <x v="0"/>
    <x v="0"/>
    <x v="0"/>
    <m/>
    <x v="0"/>
    <x v="1"/>
    <x v="0"/>
    <x v="0"/>
    <x v="0"/>
    <x v="0"/>
    <n v="533.04000799041148"/>
    <n v="159.9120015980823"/>
    <n v="80051948"/>
    <d v="2024-09-30T00:00:00"/>
    <x v="0"/>
  </r>
  <r>
    <n v="926"/>
    <d v="2024-08-31T00:00:00"/>
    <s v="KAPW-FS-32816-30-08-2024"/>
    <d v="2024-08-30T00:00:00"/>
    <x v="0"/>
    <x v="1"/>
    <n v="1550"/>
    <x v="1"/>
    <x v="0"/>
    <n v="3204.16"/>
    <s v="3.75 / 5.85 / 7.3 / 7.5 / 32.25 "/>
    <n v="1550"/>
    <n v="1550"/>
    <x v="5"/>
    <s v="DYES (SYNOZOL ) "/>
    <n v="4433941"/>
    <x v="0"/>
    <n v="2039611"/>
    <x v="0"/>
    <m/>
    <m/>
    <x v="0"/>
    <x v="0"/>
    <x v="0"/>
    <x v="0"/>
    <x v="0"/>
    <x v="0"/>
    <m/>
    <x v="0"/>
    <x v="1"/>
    <x v="0"/>
    <x v="0"/>
    <x v="0"/>
    <x v="4"/>
    <n v="2860.6070967741935"/>
    <n v="1315.8780645161291"/>
    <n v="2039611.0000000002"/>
    <d v="2024-09-30T00:00:00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n v="1"/>
    <d v="2023-07-29T00:00:00"/>
    <s v="PCSE-PF-12-25-07-2023"/>
    <d v="2023-07-25T00:00:00"/>
    <x v="0"/>
    <x v="0"/>
    <n v="17010"/>
    <x v="3"/>
    <x v="0"/>
    <n v="5205.24"/>
    <n v="3.36"/>
    <n v="0"/>
    <n v="0"/>
    <x v="10"/>
    <s v="40/1 Cotton Yarn Combed"/>
    <n v="16593858.854999999"/>
    <x v="0"/>
    <n v="2986894.5938999997"/>
    <x v="0"/>
    <m/>
    <m/>
    <x v="0"/>
    <x v="0"/>
    <x v="0"/>
    <x v="3"/>
    <x v="0"/>
    <x v="0"/>
    <m/>
    <x v="0"/>
    <x v="1"/>
    <x v="0"/>
    <x v="0"/>
    <x v="0"/>
    <x v="3"/>
    <n v="975.53549999999996"/>
    <n v="175.59638999999999"/>
    <n v="0"/>
    <d v="2023-08-28T00:00:00"/>
    <x v="0"/>
  </r>
  <r>
    <n v="2"/>
    <d v="2023-07-29T00:00:00"/>
    <s v="PCSE-PF-15-25-07-2023"/>
    <d v="2023-07-25T00:00:00"/>
    <x v="0"/>
    <x v="0"/>
    <n v="226800"/>
    <x v="3"/>
    <x v="0"/>
    <n v="5205.24"/>
    <n v="3.36"/>
    <n v="0"/>
    <n v="0"/>
    <x v="10"/>
    <s v="40/1 Cotton Yarn Combed"/>
    <n v="221251451.39999998"/>
    <x v="0"/>
    <n v="39825261.251999997"/>
    <x v="0"/>
    <m/>
    <m/>
    <x v="0"/>
    <x v="0"/>
    <x v="0"/>
    <x v="3"/>
    <x v="0"/>
    <x v="0"/>
    <m/>
    <x v="0"/>
    <x v="1"/>
    <x v="0"/>
    <x v="0"/>
    <x v="0"/>
    <x v="3"/>
    <n v="975.53549999999984"/>
    <n v="175.59638999999999"/>
    <n v="0"/>
    <d v="2023-08-28T00:00:00"/>
    <x v="0"/>
  </r>
  <r>
    <n v="3"/>
    <d v="2023-07-29T00:00:00"/>
    <s v="PCSE-PF-10-25-07-2023"/>
    <d v="2023-07-25T00:00:00"/>
    <x v="0"/>
    <x v="0"/>
    <n v="99.792000000000002"/>
    <x v="3"/>
    <x v="0"/>
    <n v="5402.39"/>
    <n v="2.4700000000000002"/>
    <n v="0"/>
    <n v="0"/>
    <x v="3"/>
    <s v="CVC60:40 - 24/1"/>
    <n v="71500.469039999996"/>
    <x v="0"/>
    <n v="12870.084427199999"/>
    <x v="0"/>
    <m/>
    <m/>
    <x v="0"/>
    <x v="0"/>
    <x v="0"/>
    <x v="3"/>
    <x v="0"/>
    <x v="0"/>
    <m/>
    <x v="0"/>
    <x v="1"/>
    <x v="0"/>
    <x v="0"/>
    <x v="0"/>
    <x v="3"/>
    <n v="716.495"/>
    <n v="128.9691"/>
    <n v="0"/>
    <d v="2023-08-28T00:00:00"/>
    <x v="0"/>
  </r>
  <r>
    <n v="4"/>
    <d v="2023-07-29T00:00:00"/>
    <s v="PCSE-PF-14-25-07-2023"/>
    <d v="2023-07-25T00:00:00"/>
    <x v="0"/>
    <x v="0"/>
    <n v="10704.96"/>
    <x v="3"/>
    <x v="0"/>
    <n v="5402.39"/>
    <n v="2.66"/>
    <n v="0"/>
    <n v="0"/>
    <x v="3"/>
    <s v="CVC60:40 - 40/1"/>
    <n v="8260054.1855999995"/>
    <x v="0"/>
    <n v="1486809.7534079999"/>
    <x v="0"/>
    <m/>
    <m/>
    <x v="0"/>
    <x v="0"/>
    <x v="0"/>
    <x v="3"/>
    <x v="0"/>
    <x v="0"/>
    <m/>
    <x v="0"/>
    <x v="1"/>
    <x v="0"/>
    <x v="0"/>
    <x v="0"/>
    <x v="3"/>
    <n v="771.61"/>
    <n v="138.88980000000001"/>
    <n v="0"/>
    <d v="2023-08-28T00:00:00"/>
    <x v="0"/>
  </r>
  <r>
    <n v="5"/>
    <d v="2023-07-29T00:00:00"/>
    <s v="PCSE-PF-11-25-07-2023"/>
    <d v="2023-07-25T00:00:00"/>
    <x v="0"/>
    <x v="0"/>
    <n v="13789.44"/>
    <x v="3"/>
    <x v="0"/>
    <n v="5402.39"/>
    <n v="2.27"/>
    <n v="0"/>
    <n v="0"/>
    <x v="3"/>
    <s v="PC52:48 - 24/1"/>
    <n v="9059259.4283520002"/>
    <x v="0"/>
    <n v="1630666.69710336"/>
    <x v="0"/>
    <m/>
    <m/>
    <x v="0"/>
    <x v="0"/>
    <x v="0"/>
    <x v="3"/>
    <x v="0"/>
    <x v="0"/>
    <m/>
    <x v="0"/>
    <x v="1"/>
    <x v="0"/>
    <x v="0"/>
    <x v="0"/>
    <x v="3"/>
    <n v="656.97079999999994"/>
    <n v="118.25474399999999"/>
    <n v="0"/>
    <d v="2023-08-28T00:00:00"/>
    <x v="0"/>
  </r>
  <r>
    <n v="6"/>
    <d v="2023-07-29T00:00:00"/>
    <s v="PCSE-PF-13-25-07-2023"/>
    <d v="2023-07-25T00:00:00"/>
    <x v="0"/>
    <x v="0"/>
    <n v="18416.16"/>
    <x v="3"/>
    <x v="0"/>
    <n v="5402.39"/>
    <n v="2.5099999999999998"/>
    <n v="0"/>
    <n v="0"/>
    <x v="3"/>
    <s v="PC52:48 - 40/1"/>
    <n v="13398087.89088"/>
    <x v="0"/>
    <n v="2411655.8203583998"/>
    <x v="0"/>
    <m/>
    <m/>
    <x v="0"/>
    <x v="0"/>
    <x v="0"/>
    <x v="3"/>
    <x v="0"/>
    <x v="0"/>
    <m/>
    <x v="0"/>
    <x v="1"/>
    <x v="0"/>
    <x v="0"/>
    <x v="0"/>
    <x v="3"/>
    <n v="727.51800000000003"/>
    <n v="130.95323999999999"/>
    <n v="0"/>
    <d v="2023-08-28T00:00:00"/>
    <x v="0"/>
  </r>
  <r>
    <n v="7"/>
    <d v="2023-07-29T00:00:00"/>
    <s v="PCSE-PF-9-25-07-2023"/>
    <d v="2023-07-25T00:00:00"/>
    <x v="0"/>
    <x v="0"/>
    <n v="26399.52"/>
    <x v="3"/>
    <x v="0"/>
    <n v="5402.39"/>
    <n v="2.11"/>
    <n v="0"/>
    <n v="0"/>
    <x v="3"/>
    <s v="PC65:35 - 8/1"/>
    <n v="16179706.138176"/>
    <x v="0"/>
    <n v="2912347.10487168"/>
    <x v="0"/>
    <m/>
    <m/>
    <x v="0"/>
    <x v="0"/>
    <x v="0"/>
    <x v="3"/>
    <x v="0"/>
    <x v="0"/>
    <m/>
    <x v="0"/>
    <x v="1"/>
    <x v="0"/>
    <x v="0"/>
    <x v="0"/>
    <x v="3"/>
    <n v="612.87879999999996"/>
    <n v="110.318184"/>
    <n v="0"/>
    <d v="2023-08-28T00:00:00"/>
    <x v="0"/>
  </r>
  <r>
    <n v="8"/>
    <d v="2023-08-08T00:00:00"/>
    <s v="PCSE-PF-16-04-08-2023"/>
    <d v="2023-08-04T00:00:00"/>
    <x v="0"/>
    <x v="0"/>
    <n v="25129.439999999999"/>
    <x v="3"/>
    <x v="0"/>
    <n v="5205.22"/>
    <n v="3.12"/>
    <n v="0"/>
    <n v="0"/>
    <x v="10"/>
    <s v="24/1 Cotton Yarn Combed"/>
    <n v="22714149"/>
    <x v="0"/>
    <n v="4088546.82"/>
    <x v="0"/>
    <m/>
    <m/>
    <x v="0"/>
    <x v="0"/>
    <x v="0"/>
    <x v="3"/>
    <x v="0"/>
    <x v="0"/>
    <m/>
    <x v="0"/>
    <x v="1"/>
    <x v="0"/>
    <x v="0"/>
    <x v="0"/>
    <x v="3"/>
    <n v="903.88599984719121"/>
    <n v="162.6994799724944"/>
    <n v="0"/>
    <d v="2023-09-07T00:00:00"/>
    <x v="0"/>
  </r>
  <r>
    <n v="9"/>
    <d v="2023-08-04T00:00:00"/>
    <s v="PCSE-PF-22-04-08-2023"/>
    <d v="2023-08-04T00:00:00"/>
    <x v="0"/>
    <x v="0"/>
    <n v="21682.080000000002"/>
    <x v="3"/>
    <x v="0"/>
    <n v="5205.2299999999996"/>
    <n v="3.23"/>
    <n v="0"/>
    <n v="0"/>
    <x v="10"/>
    <s v="30/1 Cotton Yarn Combed"/>
    <n v="20315133"/>
    <x v="0"/>
    <n v="3656723.94"/>
    <x v="0"/>
    <m/>
    <m/>
    <x v="0"/>
    <x v="0"/>
    <x v="0"/>
    <x v="3"/>
    <x v="0"/>
    <x v="0"/>
    <m/>
    <x v="0"/>
    <x v="1"/>
    <x v="0"/>
    <x v="0"/>
    <x v="0"/>
    <x v="3"/>
    <n v="936.95498771335588"/>
    <n v="168.65189778840406"/>
    <n v="0"/>
    <d v="2023-09-03T00:00:00"/>
    <x v="0"/>
  </r>
  <r>
    <n v="10"/>
    <d v="2023-08-04T00:00:00"/>
    <s v="PCSE-PF-19-04-08-2023"/>
    <d v="2023-08-04T00:00:00"/>
    <x v="0"/>
    <x v="0"/>
    <n v="226800"/>
    <x v="3"/>
    <x v="0"/>
    <n v="5205.24"/>
    <n v="3.36"/>
    <n v="0"/>
    <n v="0"/>
    <x v="10"/>
    <s v="40/1 Cotton Yarn Combed"/>
    <n v="221001450"/>
    <x v="0"/>
    <n v="39780261"/>
    <x v="0"/>
    <m/>
    <m/>
    <x v="0"/>
    <x v="0"/>
    <x v="0"/>
    <x v="3"/>
    <x v="0"/>
    <x v="0"/>
    <m/>
    <x v="0"/>
    <x v="1"/>
    <x v="0"/>
    <x v="0"/>
    <x v="0"/>
    <x v="3"/>
    <n v="974.43320105820101"/>
    <n v="175.39797619047619"/>
    <n v="0"/>
    <d v="2023-09-03T00:00:00"/>
    <x v="0"/>
  </r>
  <r>
    <n v="11"/>
    <d v="2023-08-04T00:00:00"/>
    <s v="PCSE-PF-21-04-08-2023"/>
    <d v="2023-08-04T00:00:00"/>
    <x v="0"/>
    <x v="0"/>
    <n v="18280.080000000002"/>
    <x v="3"/>
    <x v="0"/>
    <n v="5205.2700000000004"/>
    <n v="4.42"/>
    <n v="0"/>
    <n v="0"/>
    <x v="10"/>
    <s v="60/1 Cotton Yarn Combed"/>
    <n v="23454754"/>
    <x v="0"/>
    <n v="4221855.72"/>
    <x v="0"/>
    <m/>
    <m/>
    <x v="0"/>
    <x v="0"/>
    <x v="0"/>
    <x v="3"/>
    <x v="0"/>
    <x v="0"/>
    <m/>
    <x v="0"/>
    <x v="1"/>
    <x v="0"/>
    <x v="0"/>
    <x v="0"/>
    <x v="3"/>
    <n v="1283.077207539573"/>
    <n v="230.95389735712314"/>
    <n v="0"/>
    <d v="2023-09-03T00:00:00"/>
    <x v="0"/>
  </r>
  <r>
    <n v="12"/>
    <d v="2023-08-04T00:00:00"/>
    <s v="PCSE-PF-17-04-08-2023"/>
    <d v="2023-08-04T00:00:00"/>
    <x v="0"/>
    <x v="2"/>
    <n v="75660.479999999996"/>
    <x v="3"/>
    <x v="0"/>
    <n v="5402.39"/>
    <n v="1.98"/>
    <n v="53763.08"/>
    <n v="75660.479999999996"/>
    <x v="3"/>
    <s v="PC65:35 Carded RING - 18/1"/>
    <n v="43535086"/>
    <x v="0"/>
    <n v="7836315.4799999995"/>
    <x v="0"/>
    <m/>
    <m/>
    <x v="0"/>
    <x v="0"/>
    <x v="0"/>
    <x v="0"/>
    <x v="0"/>
    <x v="0"/>
    <m/>
    <x v="0"/>
    <x v="1"/>
    <x v="0"/>
    <x v="0"/>
    <x v="0"/>
    <x v="3"/>
    <n v="575.40060544157268"/>
    <n v="103.57210897948308"/>
    <n v="5568355.5808326667"/>
    <d v="2023-09-03T00:00:00"/>
    <x v="0"/>
  </r>
  <r>
    <n v="13"/>
    <d v="2023-08-08T00:00:00"/>
    <s v="PCSE-PF-18-04-08-2023"/>
    <d v="2023-08-04T00:00:00"/>
    <x v="0"/>
    <x v="1"/>
    <n v="55702.080000000002"/>
    <x v="3"/>
    <x v="0"/>
    <n v="5402.39"/>
    <n v="2.04"/>
    <n v="55702.080000000002"/>
    <n v="55702.080000000002"/>
    <x v="3"/>
    <s v="PC65:35 - 24/1 - Gadoon return"/>
    <n v="33033417"/>
    <x v="0"/>
    <n v="5946015.0599999996"/>
    <x v="0"/>
    <m/>
    <m/>
    <x v="0"/>
    <x v="0"/>
    <x v="0"/>
    <x v="0"/>
    <x v="0"/>
    <x v="0"/>
    <m/>
    <x v="0"/>
    <x v="1"/>
    <x v="0"/>
    <x v="0"/>
    <x v="0"/>
    <x v="3"/>
    <n v="593.03740542543471"/>
    <n v="106.74673297657824"/>
    <n v="5946015.0599999996"/>
    <d v="2023-09-07T00:00:00"/>
    <x v="0"/>
  </r>
  <r>
    <n v="14"/>
    <d v="2023-08-08T00:00:00"/>
    <s v="PCSE-PF-20-04-08-2023"/>
    <d v="2023-08-04T00:00:00"/>
    <x v="0"/>
    <x v="0"/>
    <n v="7665.84"/>
    <x v="3"/>
    <x v="0"/>
    <n v="5402.39"/>
    <n v="2.5499999999999998"/>
    <n v="0"/>
    <n v="0"/>
    <x v="3"/>
    <s v="PC52:48 - 40/1"/>
    <n v="5661537"/>
    <x v="0"/>
    <n v="1019076.6599999999"/>
    <x v="0"/>
    <m/>
    <m/>
    <x v="0"/>
    <x v="0"/>
    <x v="0"/>
    <x v="3"/>
    <x v="0"/>
    <x v="0"/>
    <m/>
    <x v="0"/>
    <x v="1"/>
    <x v="0"/>
    <x v="0"/>
    <x v="0"/>
    <x v="3"/>
    <n v="738.54098181021254"/>
    <n v="132.93737672583825"/>
    <n v="0"/>
    <d v="2023-09-07T00:00:00"/>
    <x v="0"/>
  </r>
  <r>
    <n v="15"/>
    <d v="2023-08-08T00:00:00"/>
    <s v="PCSE-PF-23-04-08-2023"/>
    <d v="2023-08-04T00:00:00"/>
    <x v="0"/>
    <x v="0"/>
    <n v="1432.922"/>
    <x v="3"/>
    <x v="0"/>
    <n v="5402.39"/>
    <n v="2.5499999999999998"/>
    <n v="0"/>
    <n v="0"/>
    <x v="3"/>
    <s v="CVC60:40 - 30/1"/>
    <n v="1058272"/>
    <x v="0"/>
    <n v="190488.95999999999"/>
    <x v="0"/>
    <m/>
    <m/>
    <x v="0"/>
    <x v="0"/>
    <x v="0"/>
    <x v="3"/>
    <x v="0"/>
    <x v="0"/>
    <m/>
    <x v="0"/>
    <x v="1"/>
    <x v="0"/>
    <x v="0"/>
    <x v="0"/>
    <x v="3"/>
    <n v="738.54124648794561"/>
    <n v="132.9374243678302"/>
    <n v="0"/>
    <d v="2023-09-07T00:00:00"/>
    <x v="0"/>
  </r>
  <r>
    <n v="16"/>
    <d v="2023-08-20T00:00:00"/>
    <s v="PCSE-PF-34-16-08-2023"/>
    <d v="2023-08-16T00:00:00"/>
    <x v="0"/>
    <x v="0"/>
    <n v="68040"/>
    <x v="3"/>
    <x v="0"/>
    <n v="5402.39"/>
    <n v="2.71"/>
    <n v="0"/>
    <n v="0"/>
    <x v="3"/>
    <s v="PC52:48 - 40/1"/>
    <n v="53550351"/>
    <x v="0"/>
    <n v="9639063.1799999997"/>
    <x v="0"/>
    <m/>
    <m/>
    <x v="0"/>
    <x v="0"/>
    <x v="0"/>
    <x v="3"/>
    <x v="0"/>
    <x v="0"/>
    <m/>
    <x v="0"/>
    <x v="1"/>
    <x v="0"/>
    <x v="0"/>
    <x v="0"/>
    <x v="3"/>
    <n v="787.04219576719572"/>
    <n v="141.66759523809523"/>
    <n v="0"/>
    <d v="2023-09-19T00:00:00"/>
    <x v="0"/>
  </r>
  <r>
    <n v="17"/>
    <d v="2023-08-20T00:00:00"/>
    <s v="PCSE-PF-35-16-08-2023"/>
    <d v="2023-08-16T00:00:00"/>
    <x v="0"/>
    <x v="0"/>
    <n v="6305.04"/>
    <x v="3"/>
    <x v="0"/>
    <n v="5402.33"/>
    <n v="1.75"/>
    <n v="0"/>
    <n v="0"/>
    <x v="6"/>
    <s v="100% Polyester"/>
    <n v="3197021"/>
    <x v="0"/>
    <n v="575463.78"/>
    <x v="0"/>
    <m/>
    <m/>
    <x v="0"/>
    <x v="0"/>
    <x v="0"/>
    <x v="3"/>
    <x v="0"/>
    <x v="0"/>
    <m/>
    <x v="0"/>
    <x v="1"/>
    <x v="0"/>
    <x v="0"/>
    <x v="0"/>
    <x v="3"/>
    <n v="507.05800439013871"/>
    <n v="91.270440790224967"/>
    <n v="0"/>
    <d v="2023-09-19T00:00:00"/>
    <x v="0"/>
  </r>
  <r>
    <n v="18"/>
    <d v="2023-09-16T00:00:00"/>
    <s v="PCSE-PF-92-12-09-2023"/>
    <d v="2023-09-12T00:00:00"/>
    <x v="0"/>
    <x v="0"/>
    <n v="14106.96"/>
    <x v="3"/>
    <x v="0"/>
    <n v="5402.39"/>
    <n v="2.83"/>
    <n v="0"/>
    <n v="0"/>
    <x v="3"/>
    <s v="PC52:48 - 40/1"/>
    <n v="11569276"/>
    <x v="0"/>
    <n v="2082469.68"/>
    <x v="0"/>
    <m/>
    <m/>
    <x v="0"/>
    <x v="0"/>
    <x v="0"/>
    <x v="3"/>
    <x v="0"/>
    <x v="0"/>
    <m/>
    <x v="0"/>
    <x v="1"/>
    <x v="0"/>
    <x v="0"/>
    <x v="0"/>
    <x v="3"/>
    <n v="820.11120751742408"/>
    <n v="147.62001735313632"/>
    <n v="0"/>
    <d v="2023-10-16T00:00:00"/>
    <x v="0"/>
  </r>
  <r>
    <n v="19"/>
    <d v="2023-09-16T00:00:00"/>
    <s v="PCSE-PF-93-12-09-2023"/>
    <d v="2023-09-12T00:00:00"/>
    <x v="0"/>
    <x v="0"/>
    <n v="54432"/>
    <x v="3"/>
    <x v="0"/>
    <n v="5402.39"/>
    <n v="2.78"/>
    <n v="0"/>
    <n v="0"/>
    <x v="3"/>
    <s v="PC52:48 - 40/1"/>
    <n v="43920288"/>
    <x v="0"/>
    <n v="7905651.8399999999"/>
    <x v="0"/>
    <m/>
    <m/>
    <x v="0"/>
    <x v="0"/>
    <x v="0"/>
    <x v="3"/>
    <x v="0"/>
    <x v="0"/>
    <m/>
    <x v="0"/>
    <x v="1"/>
    <x v="0"/>
    <x v="0"/>
    <x v="0"/>
    <x v="3"/>
    <n v="806.88359788359787"/>
    <n v="145.23904761904762"/>
    <n v="0"/>
    <d v="2023-10-16T00:00:00"/>
    <x v="0"/>
  </r>
  <r>
    <n v="20"/>
    <d v="2023-08-22T00:00:00"/>
    <s v="GWDE-PF-11-18-08-2023"/>
    <d v="2023-08-18T00:00:00"/>
    <x v="0"/>
    <x v="0"/>
    <n v="2223"/>
    <x v="3"/>
    <x v="0"/>
    <n v="5205.12"/>
    <n v="2.58"/>
    <n v="0"/>
    <n v="0"/>
    <x v="10"/>
    <s v="12/1 Cotton Yarn "/>
    <n v="1666000"/>
    <x v="0"/>
    <n v="299880"/>
    <x v="0"/>
    <m/>
    <m/>
    <x v="0"/>
    <x v="0"/>
    <x v="0"/>
    <x v="3"/>
    <x v="0"/>
    <x v="0"/>
    <m/>
    <x v="0"/>
    <x v="1"/>
    <x v="0"/>
    <x v="0"/>
    <x v="0"/>
    <x v="3"/>
    <n v="749.43769680611786"/>
    <n v="134.89878542510121"/>
    <n v="0"/>
    <d v="2023-09-21T00:00:00"/>
    <x v="0"/>
  </r>
  <r>
    <n v="21"/>
    <d v="2023-10-06T00:00:00"/>
    <s v="PCSE-PF-113-02-10-2023"/>
    <d v="2023-10-02T00:00:00"/>
    <x v="0"/>
    <x v="0"/>
    <n v="226800"/>
    <x v="3"/>
    <x v="0"/>
    <n v="5205.24"/>
    <n v="3.52"/>
    <n v="0"/>
    <n v="0"/>
    <x v="10"/>
    <s v="40/1 Cotton Yarn Combed"/>
    <n v="231251517"/>
    <x v="0"/>
    <n v="41625273.059999995"/>
    <x v="0"/>
    <m/>
    <m/>
    <x v="0"/>
    <x v="0"/>
    <x v="0"/>
    <x v="3"/>
    <x v="0"/>
    <x v="0"/>
    <m/>
    <x v="0"/>
    <x v="1"/>
    <x v="0"/>
    <x v="0"/>
    <x v="0"/>
    <x v="3"/>
    <n v="1019.6275000000001"/>
    <n v="183.53294999999997"/>
    <n v="0"/>
    <d v="2023-11-05T00:00:00"/>
    <x v="0"/>
  </r>
  <r>
    <n v="22"/>
    <d v="2023-10-06T00:00:00"/>
    <s v="PCSE-PF-114-02-10-2023"/>
    <d v="2023-10-02T00:00:00"/>
    <x v="0"/>
    <x v="0"/>
    <n v="6894.72"/>
    <x v="3"/>
    <x v="0"/>
    <n v="5205.12"/>
    <n v="3.06"/>
    <n v="0"/>
    <n v="0"/>
    <x v="10"/>
    <s v="14/1 Cotton Yarn Carded"/>
    <n v="6110440"/>
    <x v="0"/>
    <n v="1099879.2"/>
    <x v="0"/>
    <m/>
    <m/>
    <x v="0"/>
    <x v="0"/>
    <x v="0"/>
    <x v="3"/>
    <x v="0"/>
    <x v="0"/>
    <m/>
    <x v="0"/>
    <x v="1"/>
    <x v="0"/>
    <x v="0"/>
    <x v="0"/>
    <x v="3"/>
    <n v="886.24918778427548"/>
    <n v="159.52485380116957"/>
    <n v="0"/>
    <d v="2023-11-05T00:00:00"/>
    <x v="0"/>
  </r>
  <r>
    <n v="23"/>
    <d v="2023-10-06T00:00:00"/>
    <s v="PCSE-PF-115-02-10-2023"/>
    <d v="2023-10-02T00:00:00"/>
    <x v="0"/>
    <x v="0"/>
    <n v="8618.4"/>
    <x v="3"/>
    <x v="0"/>
    <n v="5205.12"/>
    <n v="3.27"/>
    <n v="0"/>
    <n v="0"/>
    <x v="10"/>
    <s v="20/1 Cotton Yarn Carded"/>
    <n v="8170054"/>
    <x v="0"/>
    <n v="1470609.72"/>
    <x v="0"/>
    <m/>
    <m/>
    <x v="0"/>
    <x v="0"/>
    <x v="0"/>
    <x v="3"/>
    <x v="0"/>
    <x v="0"/>
    <m/>
    <x v="0"/>
    <x v="1"/>
    <x v="0"/>
    <x v="0"/>
    <x v="0"/>
    <x v="3"/>
    <n v="947.97804696927506"/>
    <n v="170.63604845446952"/>
    <n v="0"/>
    <d v="2023-11-05T00:00:00"/>
    <x v="0"/>
  </r>
  <r>
    <n v="24"/>
    <d v="2023-10-06T00:00:00"/>
    <s v="PCSE-PF-116-02-10-2023"/>
    <d v="2023-10-02T00:00:00"/>
    <x v="0"/>
    <x v="0"/>
    <n v="13970.88"/>
    <x v="3"/>
    <x v="0"/>
    <n v="5205.2700000000004"/>
    <n v="4.9000000000000004"/>
    <n v="0"/>
    <n v="0"/>
    <x v="10"/>
    <s v="60/1 Cotton Yarn Combed"/>
    <n v="19866130"/>
    <x v="0"/>
    <n v="3575903.4"/>
    <x v="0"/>
    <m/>
    <m/>
    <x v="0"/>
    <x v="0"/>
    <x v="0"/>
    <x v="3"/>
    <x v="0"/>
    <x v="0"/>
    <m/>
    <x v="0"/>
    <x v="1"/>
    <x v="0"/>
    <x v="0"/>
    <x v="0"/>
    <x v="3"/>
    <n v="1421.9669770265009"/>
    <n v="255.95405586477017"/>
    <n v="0"/>
    <d v="2023-11-05T00:00:00"/>
    <x v="0"/>
  </r>
  <r>
    <n v="25"/>
    <d v="2023-10-06T00:00:00"/>
    <s v="PCSE-PF-117-02-10-2023"/>
    <d v="2023-10-02T00:00:00"/>
    <x v="0"/>
    <x v="0"/>
    <n v="5171.04"/>
    <x v="3"/>
    <x v="0"/>
    <n v="5402.33"/>
    <n v="1.94"/>
    <n v="0"/>
    <n v="0"/>
    <x v="6"/>
    <s v="100% Polyester"/>
    <n v="2907019"/>
    <x v="0"/>
    <n v="523263.42"/>
    <x v="0"/>
    <m/>
    <m/>
    <x v="0"/>
    <x v="0"/>
    <x v="0"/>
    <x v="3"/>
    <x v="0"/>
    <x v="0"/>
    <m/>
    <x v="0"/>
    <x v="1"/>
    <x v="0"/>
    <x v="0"/>
    <x v="0"/>
    <x v="3"/>
    <n v="562.17298647854204"/>
    <n v="101.19113756613757"/>
    <n v="0"/>
    <d v="2023-11-05T00:00:00"/>
    <x v="0"/>
  </r>
  <r>
    <n v="26"/>
    <d v="2023-10-06T00:00:00"/>
    <s v="PCSE-PF-119-02-10-2023"/>
    <d v="2023-10-02T00:00:00"/>
    <x v="0"/>
    <x v="0"/>
    <n v="8346.24"/>
    <x v="3"/>
    <x v="0"/>
    <n v="5402.33"/>
    <n v="1.92"/>
    <n v="0"/>
    <n v="0"/>
    <x v="6"/>
    <s v="100% Polyester"/>
    <n v="4636830"/>
    <x v="0"/>
    <n v="834629.4"/>
    <x v="0"/>
    <m/>
    <m/>
    <x v="0"/>
    <x v="0"/>
    <x v="0"/>
    <x v="3"/>
    <x v="0"/>
    <x v="0"/>
    <m/>
    <x v="0"/>
    <x v="1"/>
    <x v="0"/>
    <x v="0"/>
    <x v="0"/>
    <x v="3"/>
    <n v="555.55914998849778"/>
    <n v="100.00064699792961"/>
    <n v="0"/>
    <d v="2023-11-05T00:00:00"/>
    <x v="0"/>
  </r>
  <r>
    <n v="27"/>
    <d v="2023-10-06T00:00:00"/>
    <s v="PCSE-PF-121-02-10-2023"/>
    <d v="2023-10-02T00:00:00"/>
    <x v="0"/>
    <x v="0"/>
    <n v="15739.92"/>
    <x v="3"/>
    <x v="0"/>
    <n v="5205.13"/>
    <n v="3.23"/>
    <n v="0"/>
    <n v="0"/>
    <x v="10"/>
    <s v="26/1 Cotton Yarn Carded"/>
    <n v="14747597"/>
    <x v="0"/>
    <n v="2654567.46"/>
    <x v="0"/>
    <m/>
    <m/>
    <x v="0"/>
    <x v="0"/>
    <x v="0"/>
    <x v="3"/>
    <x v="0"/>
    <x v="0"/>
    <m/>
    <x v="0"/>
    <x v="1"/>
    <x v="0"/>
    <x v="0"/>
    <x v="0"/>
    <x v="3"/>
    <n v="936.95501628979059"/>
    <n v="168.6519029321623"/>
    <n v="0"/>
    <d v="2023-11-05T00:00:00"/>
    <x v="0"/>
  </r>
  <r>
    <n v="28"/>
    <d v="2023-10-06T00:00:00"/>
    <s v="PCSE-PF-123-02-10-2023"/>
    <d v="2023-10-02T00:00:00"/>
    <x v="0"/>
    <x v="0"/>
    <n v="73982.16"/>
    <x v="3"/>
    <x v="0"/>
    <n v="5205.12"/>
    <n v="2.9"/>
    <n v="0"/>
    <n v="0"/>
    <x v="10"/>
    <s v="20/1 Cotton Yarn Carded"/>
    <n v="62304609"/>
    <x v="0"/>
    <n v="11214829.619999999"/>
    <x v="0"/>
    <m/>
    <m/>
    <x v="0"/>
    <x v="0"/>
    <x v="0"/>
    <x v="3"/>
    <x v="0"/>
    <x v="0"/>
    <m/>
    <x v="0"/>
    <x v="1"/>
    <x v="0"/>
    <x v="0"/>
    <x v="0"/>
    <x v="3"/>
    <n v="842.15720384481881"/>
    <n v="151.58829669206736"/>
    <n v="0"/>
    <d v="2023-11-05T00:00:00"/>
    <x v="0"/>
  </r>
  <r>
    <n v="29"/>
    <d v="2023-10-06T00:00:00"/>
    <s v="PCSE-PF-125-02-10-2023"/>
    <d v="2023-10-02T00:00:00"/>
    <x v="0"/>
    <x v="2"/>
    <n v="68040"/>
    <x v="3"/>
    <x v="0"/>
    <n v="5402.39"/>
    <n v="2.39"/>
    <n v="10577.43"/>
    <n v="68040"/>
    <x v="3"/>
    <s v="PC52:48 - 31/1"/>
    <n v="47250310"/>
    <x v="0"/>
    <n v="8505055.7999999989"/>
    <x v="0"/>
    <m/>
    <m/>
    <x v="0"/>
    <x v="0"/>
    <x v="0"/>
    <x v="0"/>
    <x v="0"/>
    <x v="0"/>
    <m/>
    <x v="0"/>
    <x v="1"/>
    <x v="0"/>
    <x v="0"/>
    <x v="0"/>
    <x v="3"/>
    <n v="694.44900058788949"/>
    <n v="125.00082010582008"/>
    <n v="1322187.4246119047"/>
    <d v="2023-11-05T00:00:00"/>
    <x v="0"/>
  </r>
  <r>
    <n v="30"/>
    <d v="2023-10-16T00:00:00"/>
    <s v="PCSE-PF-145-12-10-2023"/>
    <d v="2023-10-12T00:00:00"/>
    <x v="0"/>
    <x v="0"/>
    <n v="9616.2999999999993"/>
    <x v="3"/>
    <x v="0"/>
    <n v="5205.13"/>
    <n v="3.27"/>
    <n v="0"/>
    <n v="0"/>
    <x v="10"/>
    <s v="30/1 Cotton Yarn Carded"/>
    <n v="9116041"/>
    <x v="0"/>
    <n v="1640887.38"/>
    <x v="0"/>
    <m/>
    <m/>
    <x v="0"/>
    <x v="0"/>
    <x v="0"/>
    <x v="3"/>
    <x v="0"/>
    <x v="0"/>
    <m/>
    <x v="0"/>
    <x v="1"/>
    <x v="0"/>
    <x v="0"/>
    <x v="0"/>
    <x v="3"/>
    <n v="947.97801649282997"/>
    <n v="170.63604296870938"/>
    <n v="0"/>
    <d v="2023-11-15T00:00:00"/>
    <x v="0"/>
  </r>
  <r>
    <n v="31"/>
    <d v="2023-10-16T00:00:00"/>
    <s v="PCSE-PF-146-12-10-2023"/>
    <d v="2023-10-12T00:00:00"/>
    <x v="0"/>
    <x v="0"/>
    <n v="226800"/>
    <x v="3"/>
    <x v="0"/>
    <n v="5205.24"/>
    <n v="3.53"/>
    <n v="0"/>
    <n v="0"/>
    <x v="10"/>
    <s v="40/1 Cotton Yarn Combed"/>
    <n v="232001522"/>
    <x v="0"/>
    <n v="41760273.960000001"/>
    <x v="0"/>
    <m/>
    <m/>
    <x v="0"/>
    <x v="0"/>
    <x v="0"/>
    <x v="2"/>
    <x v="0"/>
    <x v="0"/>
    <m/>
    <x v="0"/>
    <x v="1"/>
    <x v="0"/>
    <x v="0"/>
    <x v="0"/>
    <x v="3"/>
    <n v="1022.9344003527336"/>
    <n v="184.12819206349207"/>
    <n v="0"/>
    <d v="2023-11-15T00:00:00"/>
    <x v="0"/>
  </r>
  <r>
    <n v="32"/>
    <d v="2023-10-16T00:00:00"/>
    <s v="PCSE-PF-147-12-10-2023"/>
    <d v="2023-10-12T00:00:00"/>
    <x v="0"/>
    <x v="2"/>
    <n v="8573.0400000000009"/>
    <x v="3"/>
    <x v="0"/>
    <n v="5402.39"/>
    <n v="2.5"/>
    <n v="8573.0399999999991"/>
    <n v="8573.0400000000009"/>
    <x v="3"/>
    <s v="PC52:48 - 30/1"/>
    <n v="6218141"/>
    <x v="0"/>
    <n v="1119265.3799999999"/>
    <x v="0"/>
    <m/>
    <m/>
    <x v="0"/>
    <x v="0"/>
    <x v="0"/>
    <x v="0"/>
    <x v="0"/>
    <x v="0"/>
    <m/>
    <x v="0"/>
    <x v="1"/>
    <x v="0"/>
    <x v="0"/>
    <x v="0"/>
    <x v="3"/>
    <n v="725.31342440954427"/>
    <n v="130.55641639371797"/>
    <n v="1119265.3799999997"/>
    <d v="2023-11-15T00:00:00"/>
    <x v="0"/>
  </r>
  <r>
    <n v="33"/>
    <d v="2023-10-16T00:00:00"/>
    <s v="PCSE-PF-148-12-10-2023"/>
    <d v="2023-10-12T00:00:00"/>
    <x v="0"/>
    <x v="1"/>
    <n v="6259.68"/>
    <x v="3"/>
    <x v="0"/>
    <n v="5402.39"/>
    <n v="2.84"/>
    <n v="6259.68"/>
    <n v="6259.68"/>
    <x v="3"/>
    <s v="PC52:48 - 30/2 - Gadoon return"/>
    <n v="5161234"/>
    <x v="0"/>
    <n v="929022.12"/>
    <x v="0"/>
    <m/>
    <m/>
    <x v="0"/>
    <x v="0"/>
    <x v="0"/>
    <x v="0"/>
    <x v="0"/>
    <x v="0"/>
    <m/>
    <x v="0"/>
    <x v="1"/>
    <x v="0"/>
    <x v="0"/>
    <x v="0"/>
    <x v="3"/>
    <n v="824.52042276921497"/>
    <n v="148.41367609845869"/>
    <n v="929022.12"/>
    <d v="2023-11-15T00:00:00"/>
    <x v="0"/>
  </r>
  <r>
    <n v="34"/>
    <d v="2023-10-21T00:00:00"/>
    <s v="PCSE-PF-152-17-10-2023"/>
    <d v="2023-10-17T00:00:00"/>
    <x v="0"/>
    <x v="0"/>
    <n v="9480.24"/>
    <x v="3"/>
    <x v="0"/>
    <n v="5402.33"/>
    <n v="1.82"/>
    <n v="0"/>
    <n v="0"/>
    <x v="6"/>
    <s v="100% Polyester"/>
    <n v="5016033"/>
    <x v="0"/>
    <n v="902885.94"/>
    <x v="0"/>
    <m/>
    <m/>
    <x v="0"/>
    <x v="0"/>
    <x v="0"/>
    <x v="3"/>
    <x v="0"/>
    <x v="0"/>
    <m/>
    <x v="0"/>
    <x v="1"/>
    <x v="0"/>
    <x v="0"/>
    <x v="0"/>
    <x v="3"/>
    <n v="529.10401002506262"/>
    <n v="95.238721804511272"/>
    <n v="0"/>
    <d v="2023-11-20T00:00:00"/>
    <x v="0"/>
  </r>
  <r>
    <n v="35"/>
    <d v="2023-10-21T00:00:00"/>
    <s v="PCSE-PF-153-17-10-2023"/>
    <d v="2023-10-17T00:00:00"/>
    <x v="0"/>
    <x v="1"/>
    <n v="5760.72"/>
    <x v="3"/>
    <x v="0"/>
    <n v="5402.39"/>
    <n v="2.65"/>
    <n v="5760.72"/>
    <n v="5760.72"/>
    <x v="3"/>
    <s v="PC52:48 - 40/1 - Gadoon return"/>
    <n v="4432329"/>
    <x v="0"/>
    <n v="797819.22"/>
    <x v="0"/>
    <m/>
    <m/>
    <x v="0"/>
    <x v="0"/>
    <x v="0"/>
    <x v="0"/>
    <x v="0"/>
    <x v="0"/>
    <m/>
    <x v="0"/>
    <x v="1"/>
    <x v="0"/>
    <x v="0"/>
    <x v="0"/>
    <x v="3"/>
    <n v="769.40538682664669"/>
    <n v="138.4929696287964"/>
    <n v="797819.22000000009"/>
    <d v="2023-11-20T00:00:00"/>
    <x v="0"/>
  </r>
  <r>
    <n v="36"/>
    <d v="2023-10-21T00:00:00"/>
    <s v="PCSE-PF-154-17-10-2023"/>
    <d v="2023-10-17T00:00:00"/>
    <x v="0"/>
    <x v="0"/>
    <n v="58514.400000000001"/>
    <x v="3"/>
    <x v="0"/>
    <n v="5205.13"/>
    <n v="2.85"/>
    <n v="0"/>
    <n v="0"/>
    <x v="10"/>
    <s v="30/1 Cotton Yarn Carded"/>
    <n v="48375317"/>
    <x v="0"/>
    <n v="8707557.0600000005"/>
    <x v="0"/>
    <m/>
    <m/>
    <x v="0"/>
    <x v="0"/>
    <x v="0"/>
    <x v="3"/>
    <x v="0"/>
    <x v="0"/>
    <m/>
    <x v="0"/>
    <x v="1"/>
    <x v="0"/>
    <x v="0"/>
    <x v="0"/>
    <x v="3"/>
    <n v="826.7249941894645"/>
    <n v="148.81049895410362"/>
    <n v="0"/>
    <d v="2023-11-20T00:00:00"/>
    <x v="0"/>
  </r>
  <r>
    <n v="37"/>
    <d v="2023-10-05T00:00:00"/>
    <s v="KPEX-PF-66592-21-10-2023"/>
    <d v="2023-10-21T00:00:00"/>
    <x v="0"/>
    <x v="0"/>
    <n v="19408"/>
    <x v="3"/>
    <x v="0"/>
    <n v="5209.42"/>
    <n v="3.47"/>
    <n v="0"/>
    <n v="0"/>
    <x v="19"/>
    <s v="Denim Fabric 99% 1% (33140 Mtr)"/>
    <n v="19552599"/>
    <x v="0"/>
    <n v="3519467.82"/>
    <x v="0"/>
    <m/>
    <m/>
    <x v="0"/>
    <x v="0"/>
    <x v="0"/>
    <x v="3"/>
    <x v="0"/>
    <x v="0"/>
    <m/>
    <x v="0"/>
    <x v="1"/>
    <x v="0"/>
    <x v="0"/>
    <x v="0"/>
    <x v="2"/>
    <n v="1007.4504843363561"/>
    <n v="181.34108718054409"/>
    <n v="0"/>
    <d v="2023-11-04T00:00:00"/>
    <x v="0"/>
  </r>
  <r>
    <n v="38"/>
    <d v="2023-10-05T00:00:00"/>
    <s v="KPEX-PF-66597-21-10-2023"/>
    <d v="2023-10-21T00:00:00"/>
    <x v="0"/>
    <x v="0"/>
    <n v="14715"/>
    <x v="3"/>
    <x v="0"/>
    <n v="5209.42"/>
    <n v="3.46"/>
    <n v="0"/>
    <n v="0"/>
    <x v="19"/>
    <s v="Denim Fabric 99% 1% (25000 Mtr)"/>
    <n v="14750000"/>
    <x v="0"/>
    <n v="2655000"/>
    <x v="0"/>
    <m/>
    <m/>
    <x v="0"/>
    <x v="0"/>
    <x v="0"/>
    <x v="3"/>
    <x v="0"/>
    <x v="0"/>
    <m/>
    <x v="0"/>
    <x v="1"/>
    <x v="0"/>
    <x v="0"/>
    <x v="0"/>
    <x v="2"/>
    <n v="1002.3785253143051"/>
    <n v="180.42813455657492"/>
    <n v="0"/>
    <d v="2023-11-04T00:00:00"/>
    <x v="0"/>
  </r>
  <r>
    <n v="39"/>
    <d v="2023-10-25T00:00:00"/>
    <s v="PCSE-PF-172-21-10-2023"/>
    <d v="2023-10-21T00:00:00"/>
    <x v="0"/>
    <x v="0"/>
    <n v="21546"/>
    <x v="3"/>
    <x v="0"/>
    <n v="5205.2700000000004"/>
    <n v="4.68"/>
    <n v="0"/>
    <n v="0"/>
    <x v="10"/>
    <s v="60/1 Cotton Yarn Combed"/>
    <n v="29212692"/>
    <x v="0"/>
    <n v="5258284.5599999996"/>
    <x v="0"/>
    <m/>
    <m/>
    <x v="0"/>
    <x v="0"/>
    <x v="0"/>
    <x v="3"/>
    <x v="0"/>
    <x v="0"/>
    <m/>
    <x v="0"/>
    <x v="1"/>
    <x v="0"/>
    <x v="0"/>
    <x v="0"/>
    <x v="3"/>
    <n v="1355.8290169869117"/>
    <n v="244.0492230576441"/>
    <n v="0"/>
    <d v="2023-11-24T00:00:00"/>
    <x v="0"/>
  </r>
  <r>
    <n v="40"/>
    <d v="2023-10-25T00:00:00"/>
    <s v="PCSE-PF-173-21-10-2023"/>
    <d v="2023-10-21T00:00:00"/>
    <x v="0"/>
    <x v="1"/>
    <n v="26127.360000000001"/>
    <x v="3"/>
    <x v="0"/>
    <n v="5402.39"/>
    <n v="2.2400000000000002"/>
    <n v="26127.360000000001"/>
    <n v="26127.360000000001"/>
    <x v="3"/>
    <s v="PC52:48 - 31/1 - Gadoon return"/>
    <n v="16992111"/>
    <x v="0"/>
    <n v="3058579.98"/>
    <x v="0"/>
    <m/>
    <m/>
    <x v="0"/>
    <x v="0"/>
    <x v="0"/>
    <x v="0"/>
    <x v="0"/>
    <x v="0"/>
    <m/>
    <x v="0"/>
    <x v="1"/>
    <x v="0"/>
    <x v="0"/>
    <x v="0"/>
    <x v="3"/>
    <n v="650.35698210611406"/>
    <n v="117.06425677910053"/>
    <n v="3058579.98"/>
    <d v="2023-11-24T00:00:00"/>
    <x v="0"/>
  </r>
  <r>
    <n v="41"/>
    <d v="2023-10-27T00:00:00"/>
    <s v="PCSE-PF-174-23-10-2023"/>
    <d v="2023-10-23T00:00:00"/>
    <x v="0"/>
    <x v="0"/>
    <n v="226800"/>
    <x v="3"/>
    <x v="0"/>
    <n v="5205.24"/>
    <n v="3.34"/>
    <n v="0"/>
    <n v="0"/>
    <x v="10"/>
    <s v="40/1 Cotton Yarn Combed"/>
    <n v="220001443"/>
    <x v="0"/>
    <n v="39600259.740000002"/>
    <x v="0"/>
    <m/>
    <m/>
    <x v="0"/>
    <x v="0"/>
    <x v="0"/>
    <x v="2"/>
    <x v="0"/>
    <x v="0"/>
    <m/>
    <x v="0"/>
    <x v="1"/>
    <x v="0"/>
    <x v="0"/>
    <x v="0"/>
    <x v="3"/>
    <n v="970.02399911816576"/>
    <n v="174.60431984126984"/>
    <n v="0"/>
    <d v="2023-11-26T00:00:00"/>
    <x v="0"/>
  </r>
  <r>
    <n v="42"/>
    <d v="2023-10-29T00:00:00"/>
    <s v="PCSE-PF-177-25-10-2023"/>
    <d v="2023-10-25T00:00:00"/>
    <x v="0"/>
    <x v="0"/>
    <n v="48126.96"/>
    <x v="3"/>
    <x v="0"/>
    <n v="5205.2700000000004"/>
    <n v="7.75"/>
    <n v="0"/>
    <n v="0"/>
    <x v="10"/>
    <s v="60/1 Cotton Yarn Combed"/>
    <n v="108222710"/>
    <x v="0"/>
    <n v="19480087.800000001"/>
    <x v="0"/>
    <m/>
    <m/>
    <x v="0"/>
    <x v="0"/>
    <x v="0"/>
    <x v="0"/>
    <x v="0"/>
    <x v="0"/>
    <m/>
    <x v="0"/>
    <x v="1"/>
    <x v="0"/>
    <x v="0"/>
    <x v="0"/>
    <x v="3"/>
    <n v="2248.692001323167"/>
    <n v="404.76456023817008"/>
    <n v="0"/>
    <d v="2023-11-28T00:00:00"/>
    <x v="0"/>
  </r>
  <r>
    <n v="43"/>
    <d v="2023-11-01T00:00:00"/>
    <s v="LPEX-PF-721-16-10-2023"/>
    <d v="2023-10-16T00:00:00"/>
    <x v="0"/>
    <x v="2"/>
    <n v="3084.4596999999999"/>
    <x v="3"/>
    <x v="0"/>
    <n v="5205.28"/>
    <n v="6.35"/>
    <n v="3084.4596999999999"/>
    <n v="3084.4596999999999"/>
    <x v="10"/>
    <s v="80/1 Cotton Combed "/>
    <n v="5678000"/>
    <x v="0"/>
    <n v="1022040"/>
    <x v="0"/>
    <m/>
    <m/>
    <x v="0"/>
    <x v="0"/>
    <x v="0"/>
    <x v="0"/>
    <x v="0"/>
    <x v="0"/>
    <m/>
    <x v="0"/>
    <x v="1"/>
    <x v="0"/>
    <x v="0"/>
    <x v="0"/>
    <x v="3"/>
    <n v="1840.8410393560987"/>
    <n v="331.35138708409778"/>
    <n v="1022040.0000000001"/>
    <d v="2023-12-01T00:00:00"/>
    <x v="0"/>
  </r>
  <r>
    <n v="44"/>
    <d v="2023-11-03T00:00:00"/>
    <s v="PCSE-PF-182-30-10-2023"/>
    <d v="2023-10-30T00:00:00"/>
    <x v="0"/>
    <x v="0"/>
    <n v="10024.56"/>
    <x v="3"/>
    <x v="0"/>
    <n v="5402.33"/>
    <n v="1.79"/>
    <n v="0"/>
    <n v="0"/>
    <x v="6"/>
    <s v="100% POLYESTER"/>
    <n v="5193534"/>
    <x v="0"/>
    <n v="934836.12"/>
    <x v="0"/>
    <m/>
    <m/>
    <x v="0"/>
    <x v="0"/>
    <x v="0"/>
    <x v="3"/>
    <x v="0"/>
    <x v="0"/>
    <m/>
    <x v="0"/>
    <x v="1"/>
    <x v="0"/>
    <x v="0"/>
    <x v="0"/>
    <x v="3"/>
    <n v="518.08099308099315"/>
    <n v="93.254578754578759"/>
    <n v="0"/>
    <d v="2023-12-03T00:00:00"/>
    <x v="0"/>
  </r>
  <r>
    <n v="45"/>
    <d v="2023-11-05T00:00:00"/>
    <s v="PCSE-PF-184-01-11-2023"/>
    <d v="2023-11-01T00:00:00"/>
    <x v="0"/>
    <x v="0"/>
    <n v="42683.76"/>
    <x v="3"/>
    <x v="0"/>
    <n v="5402.33"/>
    <n v="1.75"/>
    <n v="0"/>
    <n v="0"/>
    <x v="6"/>
    <s v="100% POLYESTER"/>
    <n v="21643142"/>
    <x v="0"/>
    <n v="3895765.56"/>
    <x v="0"/>
    <m/>
    <m/>
    <x v="0"/>
    <x v="0"/>
    <x v="0"/>
    <x v="3"/>
    <x v="0"/>
    <x v="0"/>
    <m/>
    <x v="0"/>
    <x v="1"/>
    <x v="0"/>
    <x v="0"/>
    <x v="0"/>
    <x v="3"/>
    <n v="507.05800051354424"/>
    <n v="91.270440092437966"/>
    <n v="0"/>
    <d v="2023-12-05T00:00:00"/>
    <x v="0"/>
  </r>
  <r>
    <n v="46"/>
    <d v="2023-11-05T00:00:00"/>
    <s v="PCSE-PF-185-01-11-2023"/>
    <d v="2023-11-01T00:00:00"/>
    <x v="0"/>
    <x v="0"/>
    <n v="28440.720000000001"/>
    <x v="3"/>
    <x v="0"/>
    <n v="5205.2299999999996"/>
    <n v="3.18"/>
    <n v="0"/>
    <n v="0"/>
    <x v="10"/>
    <s v="30/1 Cotton Yarn Combed"/>
    <n v="26208772"/>
    <x v="0"/>
    <n v="4717578.96"/>
    <x v="0"/>
    <m/>
    <m/>
    <x v="0"/>
    <x v="0"/>
    <x v="0"/>
    <x v="3"/>
    <x v="0"/>
    <x v="0"/>
    <m/>
    <x v="0"/>
    <x v="1"/>
    <x v="0"/>
    <x v="0"/>
    <x v="0"/>
    <x v="3"/>
    <n v="921.52280251695447"/>
    <n v="165.87410445305181"/>
    <n v="0"/>
    <d v="2023-12-05T00:00:00"/>
    <x v="0"/>
  </r>
  <r>
    <n v="47"/>
    <d v="2023-11-07T00:00:00"/>
    <s v="PCSE-PF-195-03-11-2023"/>
    <d v="2023-11-03T00:00:00"/>
    <x v="0"/>
    <x v="1"/>
    <n v="4762.8"/>
    <x v="3"/>
    <x v="0"/>
    <n v="5402.39"/>
    <n v="2.5499999999999998"/>
    <n v="4762.8"/>
    <n v="4762.8"/>
    <x v="3"/>
    <s v="CVC60:40 - 30/1 - Gadoon return"/>
    <n v="3517523"/>
    <x v="0"/>
    <n v="633154.14"/>
    <x v="0"/>
    <m/>
    <m/>
    <x v="0"/>
    <x v="0"/>
    <x v="0"/>
    <x v="0"/>
    <x v="0"/>
    <x v="0"/>
    <m/>
    <x v="0"/>
    <x v="1"/>
    <x v="0"/>
    <x v="0"/>
    <x v="0"/>
    <x v="3"/>
    <n v="738.54098429495252"/>
    <n v="132.93737717309145"/>
    <n v="633154.14"/>
    <d v="2023-12-07T00:00:00"/>
    <x v="0"/>
  </r>
  <r>
    <n v="48"/>
    <d v="2023-11-01T00:00:00"/>
    <s v="KPEX-PF-61133-13-10-2023"/>
    <d v="2023-11-03T00:00:00"/>
    <x v="0"/>
    <x v="0"/>
    <n v="11067.77"/>
    <x v="3"/>
    <x v="0"/>
    <n v="5206.12"/>
    <n v="2.5499999999999998"/>
    <n v="0"/>
    <n v="0"/>
    <x v="3"/>
    <s v="PC52:48"/>
    <n v="7686001"/>
    <x v="0"/>
    <n v="1383480.18"/>
    <x v="0"/>
    <m/>
    <m/>
    <x v="0"/>
    <x v="0"/>
    <x v="0"/>
    <x v="3"/>
    <x v="0"/>
    <x v="0"/>
    <m/>
    <x v="0"/>
    <x v="1"/>
    <x v="0"/>
    <x v="0"/>
    <x v="0"/>
    <x v="3"/>
    <n v="694.44892692927294"/>
    <n v="125.00080684726913"/>
    <n v="0"/>
    <d v="2023-12-01T00:00:00"/>
    <x v="0"/>
  </r>
  <r>
    <n v="49"/>
    <d v="2023-11-11T00:00:00"/>
    <s v="PCSE-PF-205-07-11-2023"/>
    <d v="2023-11-07T00:00:00"/>
    <x v="0"/>
    <x v="1"/>
    <n v="7393.68"/>
    <x v="3"/>
    <x v="0"/>
    <n v="5205.22"/>
    <n v="3.15"/>
    <n v="7393.68"/>
    <n v="7393.68"/>
    <x v="10"/>
    <s v="24/1 Cotton Yarn Combed"/>
    <n v="6764544"/>
    <x v="0"/>
    <n v="1217617.9199999999"/>
    <x v="0"/>
    <m/>
    <m/>
    <x v="0"/>
    <x v="0"/>
    <x v="0"/>
    <x v="0"/>
    <x v="0"/>
    <x v="0"/>
    <m/>
    <x v="0"/>
    <x v="1"/>
    <x v="0"/>
    <x v="0"/>
    <x v="0"/>
    <x v="3"/>
    <n v="914.90894926477745"/>
    <n v="164.68361086765992"/>
    <n v="1217617.9199999999"/>
    <d v="2023-12-11T00:00:00"/>
    <x v="0"/>
  </r>
  <r>
    <n v="50"/>
    <d v="2023-11-11T00:00:00"/>
    <s v="KPEX-PF-76735-07-11-2023"/>
    <d v="2023-11-07T00:00:00"/>
    <x v="0"/>
    <x v="0"/>
    <n v="49702"/>
    <x v="3"/>
    <x v="0"/>
    <n v="5209.42"/>
    <n v="3.47"/>
    <n v="0"/>
    <n v="0"/>
    <x v="19"/>
    <s v="Denim Fabric 99% 1% (84861 Mtr)"/>
    <n v="50067991"/>
    <x v="0"/>
    <n v="9012238.379999999"/>
    <x v="0"/>
    <m/>
    <m/>
    <x v="0"/>
    <x v="0"/>
    <x v="0"/>
    <x v="3"/>
    <x v="0"/>
    <x v="0"/>
    <m/>
    <x v="0"/>
    <x v="1"/>
    <x v="0"/>
    <x v="0"/>
    <x v="0"/>
    <x v="2"/>
    <n v="1007.3637076978794"/>
    <n v="181.32546738561825"/>
    <n v="0"/>
    <d v="2023-12-11T00:00:00"/>
    <x v="0"/>
  </r>
  <r>
    <n v="51"/>
    <d v="2023-11-17T00:00:00"/>
    <s v="PCSE-PF-211-13-11-2023"/>
    <d v="2023-11-13T00:00:00"/>
    <x v="0"/>
    <x v="0"/>
    <n v="226800"/>
    <x v="3"/>
    <x v="0"/>
    <n v="5205.24"/>
    <n v="3.38"/>
    <n v="0"/>
    <n v="0"/>
    <x v="10"/>
    <s v="40/1 Cotton Yarn Combed"/>
    <n v="222501460"/>
    <x v="0"/>
    <n v="40050262.799999997"/>
    <x v="0"/>
    <m/>
    <m/>
    <x v="0"/>
    <x v="0"/>
    <x v="0"/>
    <x v="3"/>
    <x v="0"/>
    <x v="0"/>
    <m/>
    <x v="0"/>
    <x v="1"/>
    <x v="0"/>
    <x v="0"/>
    <x v="0"/>
    <x v="3"/>
    <n v="981.04700176366839"/>
    <n v="176.58846031746032"/>
    <n v="0"/>
    <d v="2023-12-17T00:00:00"/>
    <x v="0"/>
  </r>
  <r>
    <n v="52"/>
    <d v="2023-11-17T00:00:00"/>
    <s v="PCSE-PF-210-13-11-2023"/>
    <d v="2023-11-13T00:00:00"/>
    <x v="0"/>
    <x v="0"/>
    <n v="31661.279999999999"/>
    <x v="3"/>
    <x v="0"/>
    <n v="5205.12"/>
    <n v="2.63"/>
    <n v="31661.279999999999"/>
    <n v="31661.279999999999"/>
    <x v="10"/>
    <s v="20/1 Cotton Yarn Carded"/>
    <n v="24150958"/>
    <x v="0"/>
    <n v="4347172.4399999995"/>
    <x v="0"/>
    <m/>
    <m/>
    <x v="0"/>
    <x v="0"/>
    <x v="0"/>
    <x v="2"/>
    <x v="0"/>
    <x v="0"/>
    <m/>
    <x v="0"/>
    <x v="1"/>
    <x v="0"/>
    <x v="0"/>
    <x v="0"/>
    <x v="3"/>
    <n v="762.79158644249378"/>
    <n v="137.30248555964886"/>
    <n v="4347172.4399999995"/>
    <d v="2023-12-17T00:00:00"/>
    <x v="0"/>
  </r>
  <r>
    <n v="53"/>
    <d v="2023-11-17T00:00:00"/>
    <s v="PCSE-PF-209-13-11-2023"/>
    <d v="2023-11-13T00:00:00"/>
    <x v="0"/>
    <x v="0"/>
    <n v="19958.400000000001"/>
    <x v="3"/>
    <x v="0"/>
    <n v="5206.24"/>
    <n v="4.5599999999999996"/>
    <n v="0"/>
    <n v="0"/>
    <x v="3"/>
    <s v="CVC60:40 - 60/1"/>
    <n v="26400173"/>
    <x v="0"/>
    <n v="4752031.1399999997"/>
    <x v="0"/>
    <m/>
    <m/>
    <x v="0"/>
    <x v="0"/>
    <x v="0"/>
    <x v="3"/>
    <x v="0"/>
    <x v="0"/>
    <m/>
    <x v="0"/>
    <x v="1"/>
    <x v="0"/>
    <x v="0"/>
    <x v="0"/>
    <x v="3"/>
    <n v="1322.759990780824"/>
    <n v="238.0967983405483"/>
    <n v="0"/>
    <d v="2023-12-17T00:00:00"/>
    <x v="0"/>
  </r>
  <r>
    <n v="54"/>
    <d v="2023-11-17T00:00:00"/>
    <s v="PCSE-PF-208-13-11-2023"/>
    <d v="2023-11-13T00:00:00"/>
    <x v="0"/>
    <x v="0"/>
    <n v="5896.8"/>
    <x v="3"/>
    <x v="0"/>
    <n v="5402.33"/>
    <n v="1.84"/>
    <n v="0"/>
    <n v="0"/>
    <x v="6"/>
    <s v="100% POLYESTER"/>
    <n v="3146021"/>
    <x v="0"/>
    <n v="566283.78"/>
    <x v="0"/>
    <m/>
    <m/>
    <x v="0"/>
    <x v="0"/>
    <x v="0"/>
    <x v="3"/>
    <x v="0"/>
    <x v="0"/>
    <m/>
    <x v="0"/>
    <x v="1"/>
    <x v="0"/>
    <x v="0"/>
    <x v="0"/>
    <x v="3"/>
    <n v="533.51326142992809"/>
    <n v="96.032387057387055"/>
    <n v="0"/>
    <d v="2023-12-17T00:00:00"/>
    <x v="0"/>
  </r>
  <r>
    <n v="55"/>
    <d v="2023-11-27T00:00:00"/>
    <s v="PCSE-PF-227-23-11-2023"/>
    <d v="2023-11-23T00:00:00"/>
    <x v="0"/>
    <x v="0"/>
    <n v="4898.88"/>
    <x v="3"/>
    <x v="0"/>
    <n v="5205.12"/>
    <n v="2.63"/>
    <n v="0"/>
    <n v="0"/>
    <x v="10"/>
    <s v="20/1 Cotton Yarn Carded"/>
    <n v="3736825"/>
    <x v="0"/>
    <n v="672628.5"/>
    <x v="0"/>
    <m/>
    <m/>
    <x v="0"/>
    <x v="0"/>
    <x v="0"/>
    <x v="2"/>
    <x v="0"/>
    <x v="0"/>
    <m/>
    <x v="0"/>
    <x v="1"/>
    <x v="0"/>
    <x v="0"/>
    <x v="0"/>
    <x v="3"/>
    <n v="762.7916993271931"/>
    <n v="137.30250587889478"/>
    <n v="0"/>
    <d v="2023-12-27T00:00:00"/>
    <x v="0"/>
  </r>
  <r>
    <n v="56"/>
    <d v="2023-11-27T00:00:00"/>
    <s v="PCSE-PF-228-23-11-2023"/>
    <d v="2023-11-23T00:00:00"/>
    <x v="0"/>
    <x v="0"/>
    <n v="8890.56"/>
    <x v="3"/>
    <x v="0"/>
    <n v="5402.33"/>
    <n v="1.84"/>
    <n v="0"/>
    <n v="0"/>
    <x v="6"/>
    <s v="100% Polyester"/>
    <n v="4743231"/>
    <x v="0"/>
    <n v="853781.58"/>
    <x v="0"/>
    <m/>
    <m/>
    <x v="0"/>
    <x v="0"/>
    <x v="0"/>
    <x v="3"/>
    <x v="0"/>
    <x v="0"/>
    <m/>
    <x v="0"/>
    <x v="1"/>
    <x v="0"/>
    <x v="0"/>
    <x v="0"/>
    <x v="3"/>
    <n v="533.51318702084006"/>
    <n v="96.032373663751216"/>
    <n v="0"/>
    <d v="2023-12-27T00:00:00"/>
    <x v="0"/>
  </r>
  <r>
    <n v="57"/>
    <d v="2023-11-28T00:00:00"/>
    <s v="KPEX-PF-87079-24-11-2023"/>
    <d v="2023-11-24T00:00:00"/>
    <x v="0"/>
    <x v="0"/>
    <n v="20780"/>
    <x v="3"/>
    <x v="0"/>
    <n v="5209.42"/>
    <n v="3.4"/>
    <n v="0"/>
    <n v="0"/>
    <x v="19"/>
    <s v="Denim Fabric 99% 1% (34686 Mtr)"/>
    <n v="20464740"/>
    <x v="0"/>
    <n v="3683653.1999999997"/>
    <x v="0"/>
    <m/>
    <m/>
    <x v="0"/>
    <x v="0"/>
    <x v="0"/>
    <x v="3"/>
    <x v="0"/>
    <x v="0"/>
    <m/>
    <x v="0"/>
    <x v="1"/>
    <x v="0"/>
    <x v="0"/>
    <x v="0"/>
    <x v="2"/>
    <n v="984.82868142444659"/>
    <n v="177.26916265640037"/>
    <n v="0"/>
    <d v="2023-12-28T00:00:00"/>
    <x v="0"/>
  </r>
  <r>
    <n v="58"/>
    <d v="2023-12-04T00:00:00"/>
    <s v="KPPE-PF-113533-30-11-2023"/>
    <d v="2023-11-30T00:00:00"/>
    <x v="1"/>
    <x v="0"/>
    <n v="4808.2"/>
    <x v="3"/>
    <x v="0"/>
    <n v="3919.9090000000001"/>
    <n v="2.1"/>
    <n v="0"/>
    <n v="0"/>
    <x v="9"/>
    <s v="PACKING/ CARTON TAPE"/>
    <n v="2933002"/>
    <x v="0"/>
    <n v="527940.36"/>
    <x v="0"/>
    <m/>
    <m/>
    <x v="0"/>
    <x v="0"/>
    <x v="0"/>
    <x v="3"/>
    <x v="0"/>
    <x v="0"/>
    <m/>
    <x v="0"/>
    <x v="1"/>
    <x v="0"/>
    <x v="0"/>
    <x v="0"/>
    <x v="6"/>
    <n v="610"/>
    <n v="109.8"/>
    <n v="0"/>
    <d v="2023-12-09T00:00:00"/>
    <x v="0"/>
  </r>
  <r>
    <n v="59"/>
    <d v="2023-12-08T00:00:00"/>
    <s v="PCSE-PF-241-04-12-2023"/>
    <d v="2023-12-04T00:00:00"/>
    <x v="0"/>
    <x v="0"/>
    <n v="8618.4"/>
    <x v="3"/>
    <x v="0"/>
    <n v="5205.12"/>
    <n v="2.63"/>
    <n v="0"/>
    <n v="0"/>
    <x v="10"/>
    <s v="20/1 Cotton Yarn Carded"/>
    <n v="6574043"/>
    <x v="0"/>
    <n v="1183327.74"/>
    <x v="0"/>
    <m/>
    <m/>
    <x v="0"/>
    <x v="0"/>
    <x v="0"/>
    <x v="2"/>
    <x v="0"/>
    <x v="0"/>
    <m/>
    <x v="0"/>
    <x v="1"/>
    <x v="0"/>
    <x v="0"/>
    <x v="0"/>
    <x v="3"/>
    <n v="762.79158544509426"/>
    <n v="137.30248538011696"/>
    <n v="0"/>
    <d v="2024-01-07T00:00:00"/>
    <x v="0"/>
  </r>
  <r>
    <n v="60"/>
    <d v="2023-12-09T00:00:00"/>
    <s v="PCSE-PF-242-05-12-2023"/>
    <d v="2023-12-05T00:00:00"/>
    <x v="0"/>
    <x v="0"/>
    <n v="68040"/>
    <x v="3"/>
    <x v="0"/>
    <n v="5402.33"/>
    <n v="1.92"/>
    <n v="0"/>
    <n v="0"/>
    <x v="6"/>
    <s v="100% Polyester"/>
    <n v="37950249"/>
    <x v="0"/>
    <n v="6831044.8199999994"/>
    <x v="0"/>
    <m/>
    <m/>
    <x v="0"/>
    <x v="0"/>
    <x v="0"/>
    <x v="3"/>
    <x v="0"/>
    <x v="0"/>
    <m/>
    <x v="0"/>
    <x v="1"/>
    <x v="0"/>
    <x v="0"/>
    <x v="0"/>
    <x v="3"/>
    <n v="557.76380070546736"/>
    <n v="100.39748412698411"/>
    <n v="0"/>
    <d v="2024-01-08T00:00:00"/>
    <x v="0"/>
  </r>
  <r>
    <n v="61"/>
    <d v="2023-12-08T00:00:00"/>
    <s v="PCSE-PF-240-04-12-2023"/>
    <d v="2023-12-04T00:00:00"/>
    <x v="0"/>
    <x v="0"/>
    <n v="12882.24"/>
    <x v="3"/>
    <x v="0"/>
    <n v="5205.24"/>
    <n v="3.34"/>
    <n v="0"/>
    <n v="0"/>
    <x v="10"/>
    <s v="36/1 Cotton Yarn Combed"/>
    <n v="12496082"/>
    <x v="0"/>
    <n v="2249294.7599999998"/>
    <x v="0"/>
    <m/>
    <m/>
    <x v="0"/>
    <x v="0"/>
    <x v="0"/>
    <x v="0"/>
    <x v="0"/>
    <x v="0"/>
    <m/>
    <x v="0"/>
    <x v="1"/>
    <x v="0"/>
    <x v="0"/>
    <x v="0"/>
    <x v="3"/>
    <n v="970.02400203691286"/>
    <n v="174.60432036664429"/>
    <n v="0"/>
    <d v="2024-01-07T00:00:00"/>
    <x v="0"/>
  </r>
  <r>
    <n v="62"/>
    <d v="2023-12-09T00:00:00"/>
    <s v="PCSE-PF-243-05-12-2023"/>
    <d v="2023-12-05T00:00:00"/>
    <x v="0"/>
    <x v="0"/>
    <n v="226800"/>
    <x v="3"/>
    <x v="0"/>
    <n v="5205.24"/>
    <n v="3.36"/>
    <n v="0"/>
    <n v="0"/>
    <x v="10"/>
    <s v="40/1 Cotton Yarn Combed"/>
    <n v="221251451"/>
    <x v="0"/>
    <n v="39825261.18"/>
    <x v="0"/>
    <m/>
    <m/>
    <x v="0"/>
    <x v="0"/>
    <x v="0"/>
    <x v="0"/>
    <x v="0"/>
    <x v="0"/>
    <m/>
    <x v="0"/>
    <x v="1"/>
    <x v="0"/>
    <x v="0"/>
    <x v="0"/>
    <x v="3"/>
    <n v="975.53549823633159"/>
    <n v="175.59638968253969"/>
    <n v="0"/>
    <d v="2024-01-08T00:00:00"/>
    <x v="0"/>
  </r>
  <r>
    <n v="63"/>
    <d v="2023-12-11T00:00:00"/>
    <s v="PCSE-PF-247-07-12-2023"/>
    <d v="2023-12-07T00:00:00"/>
    <x v="0"/>
    <x v="0"/>
    <n v="4581.3599999999997"/>
    <x v="3"/>
    <x v="0"/>
    <n v="5206.24"/>
    <n v="4.33"/>
    <n v="0"/>
    <n v="0"/>
    <x v="3"/>
    <s v="CVC60:40 - 40/1"/>
    <n v="5757038"/>
    <x v="0"/>
    <n v="1036266.84"/>
    <x v="0"/>
    <m/>
    <m/>
    <x v="0"/>
    <x v="0"/>
    <x v="0"/>
    <x v="3"/>
    <x v="0"/>
    <x v="0"/>
    <m/>
    <x v="0"/>
    <x v="1"/>
    <x v="0"/>
    <x v="0"/>
    <x v="0"/>
    <x v="3"/>
    <n v="1256.6220510939984"/>
    <n v="226.1919691969197"/>
    <n v="0"/>
    <d v="2024-01-10T00:00:00"/>
    <x v="0"/>
  </r>
  <r>
    <n v="64"/>
    <d v="2023-12-11T00:00:00"/>
    <s v="PCSE-PF-248-07-12-2023"/>
    <d v="2023-12-07T00:00:00"/>
    <x v="0"/>
    <x v="0"/>
    <n v="4490.6400000000003"/>
    <x v="3"/>
    <x v="0"/>
    <n v="5206.25"/>
    <n v="5.59"/>
    <n v="0"/>
    <n v="0"/>
    <x v="3"/>
    <s v="CVC60:40 - 60/1"/>
    <n v="7276548"/>
    <x v="0"/>
    <n v="1309778.6399999999"/>
    <x v="0"/>
    <m/>
    <m/>
    <x v="0"/>
    <x v="0"/>
    <x v="0"/>
    <x v="3"/>
    <x v="0"/>
    <x v="0"/>
    <m/>
    <x v="0"/>
    <x v="1"/>
    <x v="0"/>
    <x v="0"/>
    <x v="0"/>
    <x v="3"/>
    <n v="1620.3810592699481"/>
    <n v="291.66859066859064"/>
    <n v="0"/>
    <d v="2024-01-10T00:00:00"/>
    <x v="0"/>
  </r>
  <r>
    <n v="65"/>
    <d v="2023-12-11T00:00:00"/>
    <s v="PCSE-PF-249-07-12-2023"/>
    <d v="2023-12-07T00:00:00"/>
    <x v="0"/>
    <x v="2"/>
    <n v="17645.04"/>
    <x v="3"/>
    <x v="0"/>
    <n v="5205.26"/>
    <n v="4.37"/>
    <n v="7871.3100000000013"/>
    <n v="17645.04"/>
    <x v="10"/>
    <s v="52/1 Cotton Yarn Combed"/>
    <n v="22367647"/>
    <x v="0"/>
    <n v="4026176.46"/>
    <x v="0"/>
    <m/>
    <m/>
    <x v="0"/>
    <x v="0"/>
    <x v="0"/>
    <x v="0"/>
    <x v="0"/>
    <x v="0"/>
    <m/>
    <x v="0"/>
    <x v="1"/>
    <x v="0"/>
    <x v="0"/>
    <x v="0"/>
    <x v="3"/>
    <n v="1267.6450152564119"/>
    <n v="228.17610274615416"/>
    <n v="1796044.8393068309"/>
    <d v="2024-01-10T00:00:00"/>
    <x v="0"/>
  </r>
  <r>
    <n v="66"/>
    <d v="2023-12-11T00:00:00"/>
    <s v="KPEX-PF-95472-07-12-2023"/>
    <d v="2023-12-07T00:00:00"/>
    <x v="0"/>
    <x v="0"/>
    <n v="68315"/>
    <x v="3"/>
    <x v="0"/>
    <n v="5209.42"/>
    <n v="3.47"/>
    <n v="0"/>
    <n v="0"/>
    <x v="19"/>
    <s v="Denim Fabric 99% 1% (116586 Mtr)"/>
    <n v="68785738"/>
    <x v="0"/>
    <n v="12381432.84"/>
    <x v="0"/>
    <m/>
    <m/>
    <x v="0"/>
    <x v="0"/>
    <x v="0"/>
    <x v="3"/>
    <x v="0"/>
    <x v="0"/>
    <m/>
    <x v="0"/>
    <x v="1"/>
    <x v="0"/>
    <x v="0"/>
    <x v="0"/>
    <x v="2"/>
    <n v="1006.8906975042084"/>
    <n v="181.24032555075752"/>
    <n v="0"/>
    <d v="2024-01-10T00:00:00"/>
    <x v="0"/>
  </r>
  <r>
    <n v="67"/>
    <d v="2023-12-01T00:00:00"/>
    <s v="LPEX-PF-2286-23-11-2023"/>
    <d v="2023-11-23T00:00:00"/>
    <x v="0"/>
    <x v="0"/>
    <n v="4762.7700000000004"/>
    <x v="3"/>
    <x v="0"/>
    <n v="5206.12"/>
    <n v="2.2400000000000002"/>
    <n v="0"/>
    <n v="0"/>
    <x v="3"/>
    <s v="PC 65:35"/>
    <n v="3045000"/>
    <x v="0"/>
    <n v="548100"/>
    <x v="0"/>
    <m/>
    <m/>
    <x v="0"/>
    <x v="0"/>
    <x v="0"/>
    <x v="2"/>
    <x v="0"/>
    <x v="0"/>
    <m/>
    <x v="0"/>
    <x v="1"/>
    <x v="0"/>
    <x v="0"/>
    <x v="0"/>
    <x v="3"/>
    <n v="639.33383304253607"/>
    <n v="115.0800899476565"/>
    <n v="0"/>
    <d v="2023-12-31T00:00:00"/>
    <x v="0"/>
  </r>
  <r>
    <n v="68"/>
    <d v="2023-12-08T00:00:00"/>
    <s v="LPEX-PF-2815-04-12-2023"/>
    <d v="2023-12-04T00:00:00"/>
    <x v="0"/>
    <x v="0"/>
    <n v="16284.13"/>
    <x v="3"/>
    <x v="0"/>
    <n v="5206.12"/>
    <n v="2.2400000000000002"/>
    <n v="0"/>
    <n v="0"/>
    <x v="3"/>
    <s v="PC 65:35"/>
    <n v="10411000"/>
    <x v="0"/>
    <n v="1873980"/>
    <x v="0"/>
    <m/>
    <m/>
    <x v="0"/>
    <x v="0"/>
    <x v="0"/>
    <x v="0"/>
    <x v="0"/>
    <x v="0"/>
    <m/>
    <x v="0"/>
    <x v="1"/>
    <x v="0"/>
    <x v="0"/>
    <x v="0"/>
    <x v="3"/>
    <n v="639.33412469686743"/>
    <n v="115.08014244543614"/>
    <n v="0"/>
    <d v="2024-01-07T00:00:00"/>
    <x v="0"/>
  </r>
  <r>
    <n v="69"/>
    <d v="2023-12-18T00:00:00"/>
    <s v="PCSE-PF-265-14-12-2023"/>
    <d v="2023-12-14T00:00:00"/>
    <x v="0"/>
    <x v="0"/>
    <n v="68040"/>
    <x v="3"/>
    <x v="0"/>
    <n v="5402.33"/>
    <n v="1.91"/>
    <n v="0"/>
    <n v="0"/>
    <x v="6"/>
    <s v="100% Polyester"/>
    <n v="37050243"/>
    <x v="0"/>
    <n v="6669043.7399999993"/>
    <x v="0"/>
    <m/>
    <m/>
    <x v="0"/>
    <x v="0"/>
    <x v="0"/>
    <x v="2"/>
    <x v="0"/>
    <x v="0"/>
    <m/>
    <x v="0"/>
    <x v="1"/>
    <x v="0"/>
    <x v="0"/>
    <x v="0"/>
    <x v="3"/>
    <n v="544.53619929453259"/>
    <n v="98.016515873015862"/>
    <n v="0"/>
    <d v="2024-01-17T00:00:00"/>
    <x v="0"/>
  </r>
  <r>
    <n v="70"/>
    <d v="2023-12-18T00:00:00"/>
    <s v="LPEX-PF-3489-14-12-2023"/>
    <d v="2023-12-14T00:00:00"/>
    <x v="0"/>
    <x v="0"/>
    <n v="18143.881000000001"/>
    <x v="3"/>
    <x v="0"/>
    <n v="5205.24"/>
    <n v="3.33"/>
    <n v="0"/>
    <n v="0"/>
    <x v="10"/>
    <s v="40/1 Cotton Yarn Combed"/>
    <n v="17200000"/>
    <x v="0"/>
    <n v="3096000"/>
    <x v="0"/>
    <m/>
    <m/>
    <x v="0"/>
    <x v="0"/>
    <x v="0"/>
    <x v="0"/>
    <x v="0"/>
    <x v="0"/>
    <m/>
    <x v="0"/>
    <x v="1"/>
    <x v="0"/>
    <x v="0"/>
    <x v="0"/>
    <x v="3"/>
    <n v="947.97799875340888"/>
    <n v="170.6360397756136"/>
    <n v="0"/>
    <d v="2024-01-17T00:00:00"/>
    <x v="0"/>
  </r>
  <r>
    <n v="71"/>
    <d v="2023-12-22T00:00:00"/>
    <s v="PCSE-PF-267-18-12-2023"/>
    <d v="2023-12-18T00:00:00"/>
    <x v="0"/>
    <x v="0"/>
    <n v="7711.2"/>
    <x v="3"/>
    <x v="0"/>
    <n v="5205.12"/>
    <n v="2.5099999999999998"/>
    <n v="0"/>
    <n v="0"/>
    <x v="10"/>
    <s v="20/1 Cotton Yarn Carded"/>
    <n v="5525036"/>
    <x v="0"/>
    <n v="994506.48"/>
    <x v="0"/>
    <m/>
    <m/>
    <x v="0"/>
    <x v="0"/>
    <x v="0"/>
    <x v="0"/>
    <x v="0"/>
    <x v="0"/>
    <m/>
    <x v="0"/>
    <x v="1"/>
    <x v="0"/>
    <x v="0"/>
    <x v="0"/>
    <x v="3"/>
    <n v="716.49496835771345"/>
    <n v="128.96909430438842"/>
    <n v="0"/>
    <d v="2024-01-21T00:00:00"/>
    <x v="0"/>
  </r>
  <r>
    <n v="72"/>
    <d v="2023-12-22T00:00:00"/>
    <s v="PCSE-PF-268-18-12-2023"/>
    <d v="2023-12-18T00:00:00"/>
    <x v="0"/>
    <x v="0"/>
    <n v="9072"/>
    <x v="3"/>
    <x v="0"/>
    <n v="5205.12"/>
    <n v="3.17"/>
    <n v="0"/>
    <n v="0"/>
    <x v="10"/>
    <s v="20/1 Cotton Yarn Carded"/>
    <n v="8200054"/>
    <x v="0"/>
    <n v="1476009.72"/>
    <x v="0"/>
    <m/>
    <m/>
    <x v="0"/>
    <x v="0"/>
    <x v="0"/>
    <x v="0"/>
    <x v="0"/>
    <x v="0"/>
    <m/>
    <x v="0"/>
    <x v="1"/>
    <x v="0"/>
    <x v="0"/>
    <x v="0"/>
    <x v="3"/>
    <n v="903.88602292768962"/>
    <n v="162.69948412698412"/>
    <n v="0"/>
    <d v="2024-01-21T00:00:00"/>
    <x v="0"/>
  </r>
  <r>
    <n v="73"/>
    <d v="2023-12-22T00:00:00"/>
    <s v="PCSE-PF-269-18-12-2023"/>
    <d v="2023-12-18T00:00:00"/>
    <x v="0"/>
    <x v="1"/>
    <n v="8482.32"/>
    <x v="3"/>
    <x v="0"/>
    <n v="5205.26"/>
    <n v="29.76"/>
    <n v="8482.32"/>
    <n v="8482.32"/>
    <x v="10"/>
    <s v="52/1 Cotton Yarn Combed"/>
    <n v="71949753"/>
    <x v="0"/>
    <n v="12950955.539999999"/>
    <x v="0"/>
    <m/>
    <m/>
    <x v="0"/>
    <x v="0"/>
    <x v="0"/>
    <x v="0"/>
    <x v="0"/>
    <x v="0"/>
    <m/>
    <x v="0"/>
    <x v="1"/>
    <x v="0"/>
    <x v="0"/>
    <x v="0"/>
    <x v="3"/>
    <n v="8482.3200492318138"/>
    <n v="1526.8176088617265"/>
    <n v="12950955.539999999"/>
    <d v="2024-01-21T00:00:00"/>
    <x v="0"/>
  </r>
  <r>
    <n v="74"/>
    <d v="2023-12-22T00:00:00"/>
    <s v="PCSE-PF-270-18-12-2023"/>
    <d v="2023-12-18T00:00:00"/>
    <x v="0"/>
    <x v="0"/>
    <n v="5942.16"/>
    <x v="3"/>
    <x v="0"/>
    <n v="5205.24"/>
    <n v="3.36"/>
    <n v="0"/>
    <n v="0"/>
    <x v="10"/>
    <s v="36/1 Cotton Yarn Combed"/>
    <n v="5698537"/>
    <x v="0"/>
    <n v="1025736.6599999999"/>
    <x v="0"/>
    <m/>
    <m/>
    <x v="0"/>
    <x v="0"/>
    <x v="0"/>
    <x v="0"/>
    <x v="0"/>
    <x v="0"/>
    <m/>
    <x v="0"/>
    <x v="1"/>
    <x v="0"/>
    <x v="0"/>
    <x v="0"/>
    <x v="3"/>
    <n v="959.00093568668638"/>
    <n v="172.62016842360353"/>
    <n v="0"/>
    <d v="2024-01-21T00:00:00"/>
    <x v="0"/>
  </r>
  <r>
    <n v="75"/>
    <d v="2023-12-12T00:00:00"/>
    <s v="LPEX-PF-3200-08-12-2023"/>
    <d v="2023-12-08T00:00:00"/>
    <x v="0"/>
    <x v="0"/>
    <n v="18143.88"/>
    <x v="3"/>
    <x v="0"/>
    <n v="5206.12"/>
    <n v="2.2400000000000002"/>
    <n v="0"/>
    <n v="0"/>
    <x v="3"/>
    <s v="PC65:35"/>
    <n v="11599999"/>
    <x v="0"/>
    <n v="2087999.8199999998"/>
    <x v="0"/>
    <m/>
    <m/>
    <x v="0"/>
    <x v="0"/>
    <x v="0"/>
    <x v="0"/>
    <x v="0"/>
    <x v="0"/>
    <m/>
    <x v="0"/>
    <x v="1"/>
    <x v="0"/>
    <x v="0"/>
    <x v="0"/>
    <x v="3"/>
    <n v="639.33397928116801"/>
    <n v="115.08011627061023"/>
    <n v="0"/>
    <d v="2024-01-11T00:00:00"/>
    <x v="0"/>
  </r>
  <r>
    <n v="76"/>
    <d v="2023-12-01T00:00:00"/>
    <s v="KPPE-PF-92855-04-11-2023"/>
    <d v="2023-11-04T00:00:00"/>
    <x v="0"/>
    <x v="0"/>
    <n v="13608"/>
    <x v="3"/>
    <x v="0"/>
    <n v="5205.24"/>
    <n v="3.4"/>
    <n v="0"/>
    <n v="0"/>
    <x v="10"/>
    <s v="40/1 Cotton Yarn Combed"/>
    <n v="13200000"/>
    <x v="0"/>
    <n v="2376000"/>
    <x v="0"/>
    <m/>
    <m/>
    <x v="0"/>
    <x v="0"/>
    <x v="0"/>
    <x v="2"/>
    <x v="0"/>
    <x v="0"/>
    <m/>
    <x v="0"/>
    <x v="1"/>
    <x v="0"/>
    <x v="0"/>
    <x v="0"/>
    <x v="3"/>
    <n v="970.0176366843034"/>
    <n v="174.60317460317461"/>
    <n v="0"/>
    <d v="2023-12-31T00:00:00"/>
    <x v="0"/>
  </r>
  <r>
    <n v="77"/>
    <d v="2023-12-31T00:00:00"/>
    <s v="KPEX-PF-109996-28-12-2023"/>
    <d v="2023-12-28T00:00:00"/>
    <x v="0"/>
    <x v="0"/>
    <n v="32933"/>
    <x v="3"/>
    <x v="0"/>
    <n v="5209.42"/>
    <n v="3.62"/>
    <n v="0"/>
    <n v="0"/>
    <x v="19"/>
    <s v="Denim Fabric 99% 1% "/>
    <n v="33963941"/>
    <x v="0"/>
    <n v="6113509.3799999999"/>
    <x v="0"/>
    <m/>
    <m/>
    <x v="0"/>
    <x v="0"/>
    <x v="0"/>
    <x v="3"/>
    <x v="0"/>
    <x v="0"/>
    <m/>
    <x v="0"/>
    <x v="1"/>
    <x v="0"/>
    <x v="0"/>
    <x v="0"/>
    <x v="2"/>
    <n v="1031.304193362281"/>
    <n v="185.63475480521058"/>
    <n v="0"/>
    <d v="2024-01-30T00:00:00"/>
    <x v="0"/>
  </r>
  <r>
    <n v="78"/>
    <d v="2024-01-03T00:00:00"/>
    <s v="PCSE-PF-292-30-12-2023"/>
    <d v="2023-12-30T00:00:00"/>
    <x v="0"/>
    <x v="0"/>
    <n v="11748.24"/>
    <x v="3"/>
    <x v="0"/>
    <n v="5205.12"/>
    <n v="2.5499999999999998"/>
    <n v="0"/>
    <n v="0"/>
    <x v="10"/>
    <s v="20/1 Cotton Yarn Carded"/>
    <n v="8547056"/>
    <x v="0"/>
    <n v="1538470.0799999998"/>
    <x v="0"/>
    <m/>
    <m/>
    <x v="0"/>
    <x v="0"/>
    <x v="0"/>
    <x v="0"/>
    <x v="0"/>
    <x v="0"/>
    <m/>
    <x v="0"/>
    <x v="1"/>
    <x v="0"/>
    <x v="0"/>
    <x v="0"/>
    <x v="3"/>
    <n v="727.51799418466089"/>
    <n v="130.95323895323895"/>
    <n v="0"/>
    <d v="2024-02-02T00:00:00"/>
    <x v="0"/>
  </r>
  <r>
    <n v="79"/>
    <d v="2024-01-03T00:00:00"/>
    <s v="PCSE-PF-293-30-12-2023"/>
    <d v="2023-12-30T00:00:00"/>
    <x v="0"/>
    <x v="0"/>
    <n v="7620.48"/>
    <x v="3"/>
    <x v="0"/>
    <n v="5205.2700000000004"/>
    <n v="4.72"/>
    <n v="0"/>
    <n v="0"/>
    <x v="10"/>
    <s v="60/1 Cotton Yarn Combed"/>
    <n v="10248067"/>
    <x v="0"/>
    <n v="1844652.0599999998"/>
    <x v="0"/>
    <m/>
    <m/>
    <x v="0"/>
    <x v="0"/>
    <x v="0"/>
    <x v="3"/>
    <x v="0"/>
    <x v="0"/>
    <m/>
    <x v="0"/>
    <x v="1"/>
    <x v="0"/>
    <x v="0"/>
    <x v="0"/>
    <x v="3"/>
    <n v="1344.8059702275973"/>
    <n v="242.06507464096748"/>
    <n v="0"/>
    <d v="2024-02-02T00:00:00"/>
    <x v="0"/>
  </r>
  <r>
    <n v="80"/>
    <d v="2024-01-03T00:00:00"/>
    <s v="PCSE-PF-294-30-12-2023"/>
    <d v="2023-12-30T00:00:00"/>
    <x v="0"/>
    <x v="1"/>
    <n v="226800"/>
    <x v="3"/>
    <x v="0"/>
    <n v="5205.24"/>
    <n v="3.36"/>
    <n v="226800"/>
    <n v="226800"/>
    <x v="10"/>
    <s v="40/1 Cotton Yarn Combed"/>
    <n v="217501427"/>
    <x v="0"/>
    <n v="39150256.859999999"/>
    <x v="0"/>
    <m/>
    <m/>
    <x v="0"/>
    <x v="0"/>
    <x v="0"/>
    <x v="0"/>
    <x v="0"/>
    <x v="0"/>
    <m/>
    <x v="0"/>
    <x v="1"/>
    <x v="0"/>
    <x v="0"/>
    <x v="0"/>
    <x v="3"/>
    <n v="959.00100088183422"/>
    <n v="172.62018015873016"/>
    <n v="39150256.859999999"/>
    <d v="2024-02-02T00:00:00"/>
    <x v="0"/>
  </r>
  <r>
    <n v="81"/>
    <d v="2024-01-03T00:00:00"/>
    <s v="PCSE-PF-295-30-12-2023"/>
    <d v="2023-12-30T00:00:00"/>
    <x v="0"/>
    <x v="0"/>
    <n v="28440.720000000001"/>
    <x v="3"/>
    <x v="0"/>
    <n v="5206.25"/>
    <n v="4.53"/>
    <n v="0"/>
    <n v="0"/>
    <x v="3"/>
    <s v="CVC60:40 - 60/1"/>
    <n v="36679741"/>
    <x v="0"/>
    <n v="6602353.3799999999"/>
    <x v="0"/>
    <m/>
    <m/>
    <x v="0"/>
    <x v="0"/>
    <x v="0"/>
    <x v="3"/>
    <x v="0"/>
    <x v="0"/>
    <m/>
    <x v="0"/>
    <x v="1"/>
    <x v="0"/>
    <x v="0"/>
    <x v="0"/>
    <x v="3"/>
    <n v="1289.6910134483232"/>
    <n v="232.14438242069821"/>
    <n v="0"/>
    <d v="2024-02-02T00:00:00"/>
    <x v="0"/>
  </r>
  <r>
    <n v="82"/>
    <d v="2024-01-03T00:00:00"/>
    <s v="KPPE-PF-138364-30-12-2023"/>
    <d v="2023-12-30T00:00:00"/>
    <x v="0"/>
    <x v="0"/>
    <n v="15000"/>
    <x v="3"/>
    <x v="0"/>
    <n v="3809.9189999999999"/>
    <n v="0.54"/>
    <n v="0"/>
    <n v="0"/>
    <x v="12"/>
    <s v="SOFTEX "/>
    <n v="2325000"/>
    <x v="0"/>
    <n v="418500"/>
    <x v="0"/>
    <m/>
    <m/>
    <x v="0"/>
    <x v="0"/>
    <x v="0"/>
    <x v="3"/>
    <x v="0"/>
    <x v="0"/>
    <m/>
    <x v="0"/>
    <x v="1"/>
    <x v="0"/>
    <x v="0"/>
    <x v="0"/>
    <x v="5"/>
    <n v="155"/>
    <n v="27.9"/>
    <n v="0"/>
    <d v="2024-02-02T00:00:00"/>
    <x v="0"/>
  </r>
  <r>
    <n v="83"/>
    <d v="2024-01-07T00:00:00"/>
    <s v="PCSE-PF-302-03-01-2024"/>
    <d v="2024-01-03T00:00:00"/>
    <x v="0"/>
    <x v="2"/>
    <n v="5896.8"/>
    <x v="3"/>
    <x v="0"/>
    <n v="5205.2700000000004"/>
    <n v="8.82"/>
    <n v="2463.3900000000003"/>
    <n v="5896.8"/>
    <x v="10"/>
    <s v="60/2 Cotton Yarn Combed"/>
    <n v="14820097"/>
    <x v="0"/>
    <n v="2667617.46"/>
    <x v="0"/>
    <m/>
    <m/>
    <x v="0"/>
    <x v="0"/>
    <x v="0"/>
    <x v="0"/>
    <x v="0"/>
    <x v="0"/>
    <m/>
    <x v="0"/>
    <x v="1"/>
    <x v="0"/>
    <x v="0"/>
    <x v="0"/>
    <x v="3"/>
    <n v="2513.2439628272959"/>
    <n v="452.38391330891329"/>
    <n v="1114398.0082060441"/>
    <d v="2024-02-06T00:00:00"/>
    <x v="0"/>
  </r>
  <r>
    <n v="84"/>
    <d v="2024-01-07T00:00:00"/>
    <s v="LPEX-PF-4732-03-01-2024"/>
    <d v="2024-01-03T00:00:00"/>
    <x v="0"/>
    <x v="0"/>
    <n v="16870.03"/>
    <x v="3"/>
    <x v="0"/>
    <n v="5206.12"/>
    <n v="2.2400000000000002"/>
    <n v="0"/>
    <n v="0"/>
    <x v="3"/>
    <s v="PC65:35"/>
    <n v="10785580"/>
    <x v="0"/>
    <n v="1941404.4"/>
    <x v="0"/>
    <m/>
    <m/>
    <x v="0"/>
    <x v="0"/>
    <x v="0"/>
    <x v="0"/>
    <x v="0"/>
    <x v="0"/>
    <m/>
    <x v="0"/>
    <x v="1"/>
    <x v="0"/>
    <x v="0"/>
    <x v="0"/>
    <x v="3"/>
    <n v="639.33377711835726"/>
    <n v="115.0800798813043"/>
    <n v="0"/>
    <d v="2024-02-06T00:00:00"/>
    <x v="0"/>
  </r>
  <r>
    <n v="85"/>
    <d v="2024-01-01T00:00:00"/>
    <s v="LPEX-PF-2828-04-12-2023"/>
    <d v="2023-12-04T00:00:00"/>
    <x v="0"/>
    <x v="0"/>
    <n v="16783.09"/>
    <x v="3"/>
    <x v="0"/>
    <n v="5206.12"/>
    <n v="2.2400000000000002"/>
    <n v="0"/>
    <n v="0"/>
    <x v="3"/>
    <s v="PC65:35"/>
    <n v="10730000"/>
    <x v="0"/>
    <n v="1931400"/>
    <x v="0"/>
    <m/>
    <m/>
    <x v="0"/>
    <x v="0"/>
    <x v="0"/>
    <x v="0"/>
    <x v="0"/>
    <x v="0"/>
    <m/>
    <x v="0"/>
    <x v="1"/>
    <x v="0"/>
    <x v="0"/>
    <x v="0"/>
    <x v="3"/>
    <n v="639.33399630223039"/>
    <n v="115.08011933440147"/>
    <n v="0"/>
    <d v="2024-01-31T00:00:00"/>
    <x v="0"/>
  </r>
  <r>
    <n v="86"/>
    <d v="2024-01-14T00:00:00"/>
    <s v="KPPE-PF-147335-10-01-2024"/>
    <d v="2024-01-10T00:00:00"/>
    <x v="0"/>
    <x v="1"/>
    <n v="4536"/>
    <x v="3"/>
    <x v="0"/>
    <n v="5205.24"/>
    <n v="3.36"/>
    <n v="4536"/>
    <n v="4536"/>
    <x v="10"/>
    <s v="40/1 Cotton Yarn Combed"/>
    <n v="4350000"/>
    <x v="0"/>
    <n v="783000"/>
    <x v="0"/>
    <m/>
    <m/>
    <x v="0"/>
    <x v="0"/>
    <x v="0"/>
    <x v="0"/>
    <x v="0"/>
    <x v="0"/>
    <m/>
    <x v="0"/>
    <x v="1"/>
    <x v="0"/>
    <x v="0"/>
    <x v="0"/>
    <x v="3"/>
    <n v="958.99470899470896"/>
    <n v="172.61904761904762"/>
    <n v="783000"/>
    <d v="2024-02-13T00:00:00"/>
    <x v="0"/>
  </r>
  <r>
    <n v="87"/>
    <d v="2024-01-16T00:00:00"/>
    <s v="PCSE-PF-320-12-01-2024"/>
    <d v="2024-01-12T00:00:00"/>
    <x v="0"/>
    <x v="2"/>
    <n v="226798.5123"/>
    <x v="3"/>
    <x v="0"/>
    <n v="5205.24"/>
    <n v="3.52"/>
    <n v="48183.479300000006"/>
    <n v="226798.5123"/>
    <x v="10"/>
    <s v="40/1 Cotton Yarn Combed"/>
    <n v="227500000"/>
    <x v="0"/>
    <n v="40950000"/>
    <x v="0"/>
    <m/>
    <m/>
    <x v="0"/>
    <x v="0"/>
    <x v="0"/>
    <x v="0"/>
    <x v="0"/>
    <x v="0"/>
    <m/>
    <x v="0"/>
    <x v="1"/>
    <x v="0"/>
    <x v="0"/>
    <x v="0"/>
    <x v="3"/>
    <n v="1003.0929995655002"/>
    <n v="180.55673992179004"/>
    <n v="8699851.9404970556"/>
    <d v="2024-02-15T00:00:00"/>
    <x v="0"/>
  </r>
  <r>
    <n v="88"/>
    <d v="2024-01-15T00:00:00"/>
    <s v="KPEX-PF-119701-12-01-2024"/>
    <d v="2024-01-12T00:00:00"/>
    <x v="0"/>
    <x v="0"/>
    <n v="31661"/>
    <x v="3"/>
    <x v="0"/>
    <n v="5209.42"/>
    <n v="3.55"/>
    <n v="0"/>
    <n v="0"/>
    <x v="19"/>
    <s v="Denim Fabric 99% 1% "/>
    <n v="32001011"/>
    <x v="0"/>
    <n v="5760181.9799999995"/>
    <x v="0"/>
    <m/>
    <m/>
    <x v="0"/>
    <x v="0"/>
    <x v="0"/>
    <x v="3"/>
    <x v="0"/>
    <x v="0"/>
    <m/>
    <x v="0"/>
    <x v="1"/>
    <x v="0"/>
    <x v="0"/>
    <x v="0"/>
    <x v="2"/>
    <n v="1010.7391112093743"/>
    <n v="181.93304001768735"/>
    <n v="0"/>
    <d v="2024-02-14T00:00:00"/>
    <x v="0"/>
  </r>
  <r>
    <n v="89"/>
    <d v="2024-01-16T00:00:00"/>
    <s v="FPEX-PF-2106-13-01-2024"/>
    <d v="2024-01-13T00:00:00"/>
    <x v="0"/>
    <x v="0"/>
    <n v="18224"/>
    <x v="3"/>
    <x v="0"/>
    <n v="5210.1099999999997"/>
    <n v="3.44"/>
    <n v="0"/>
    <n v="0"/>
    <x v="2"/>
    <s v="CVC 60:40 fabric "/>
    <n v="17865990"/>
    <x v="0"/>
    <n v="3215878.1999999997"/>
    <x v="0"/>
    <m/>
    <m/>
    <x v="0"/>
    <x v="0"/>
    <x v="0"/>
    <x v="0"/>
    <x v="0"/>
    <x v="0"/>
    <m/>
    <x v="0"/>
    <x v="1"/>
    <x v="0"/>
    <x v="0"/>
    <x v="0"/>
    <x v="2"/>
    <n v="980.35502633889382"/>
    <n v="176.46390474100087"/>
    <n v="0"/>
    <d v="2024-02-15T00:00:00"/>
    <x v="0"/>
  </r>
  <r>
    <n v="90"/>
    <d v="2024-01-16T00:00:00"/>
    <s v="FPEX-PF-2105-13-01-2024"/>
    <d v="2024-01-13T00:00:00"/>
    <x v="0"/>
    <x v="0"/>
    <n v="12725"/>
    <x v="3"/>
    <x v="0"/>
    <n v="5210.1099999999997"/>
    <n v="3.46"/>
    <n v="0"/>
    <n v="0"/>
    <x v="2"/>
    <s v="CVC 60:40 fabric "/>
    <n v="12530000"/>
    <x v="0"/>
    <n v="2255400"/>
    <x v="0"/>
    <m/>
    <m/>
    <x v="0"/>
    <x v="0"/>
    <x v="0"/>
    <x v="2"/>
    <x v="0"/>
    <x v="0"/>
    <m/>
    <x v="0"/>
    <x v="1"/>
    <x v="0"/>
    <x v="0"/>
    <x v="0"/>
    <x v="2"/>
    <n v="984.67583497053045"/>
    <n v="177.24165029469549"/>
    <n v="0"/>
    <d v="2024-02-15T00:00:00"/>
    <x v="0"/>
  </r>
  <r>
    <n v="91"/>
    <d v="2024-01-16T00:00:00"/>
    <s v="FPEX-PF-2104-13-01-2024"/>
    <d v="2024-01-13T00:00:00"/>
    <x v="0"/>
    <x v="2"/>
    <n v="18165"/>
    <x v="3"/>
    <x v="0"/>
    <n v="5210.1099999999997"/>
    <n v="3.46"/>
    <n v="416.07999999999993"/>
    <n v="18165"/>
    <x v="2"/>
    <s v="CVC 60:40 fabric "/>
    <n v="17900000"/>
    <x v="0"/>
    <n v="3222000"/>
    <x v="0"/>
    <m/>
    <m/>
    <x v="0"/>
    <x v="0"/>
    <x v="0"/>
    <x v="0"/>
    <x v="0"/>
    <x v="0"/>
    <m/>
    <x v="0"/>
    <x v="1"/>
    <x v="0"/>
    <x v="0"/>
    <x v="0"/>
    <x v="2"/>
    <n v="985.41150564271948"/>
    <n v="177.37407101568951"/>
    <n v="73801.803468208076"/>
    <d v="2024-02-15T00:00:00"/>
    <x v="0"/>
  </r>
  <r>
    <n v="92"/>
    <d v="2024-01-20T00:00:00"/>
    <s v="PCSE-PF-331-16-01-2024"/>
    <d v="2024-01-16T00:00:00"/>
    <x v="0"/>
    <x v="1"/>
    <n v="5443.1643000000004"/>
    <x v="3"/>
    <x v="0"/>
    <n v="5205.2700000000004"/>
    <n v="4.87"/>
    <n v="5443.1643000000004"/>
    <n v="5443.1643000000004"/>
    <x v="10"/>
    <s v="60/1 Cotton Yarn Combed"/>
    <n v="7560000"/>
    <x v="0"/>
    <n v="1360800"/>
    <x v="0"/>
    <m/>
    <m/>
    <x v="0"/>
    <x v="0"/>
    <x v="0"/>
    <x v="0"/>
    <x v="0"/>
    <x v="0"/>
    <m/>
    <x v="0"/>
    <x v="1"/>
    <x v="0"/>
    <x v="0"/>
    <x v="0"/>
    <x v="3"/>
    <n v="1388.897998173599"/>
    <n v="250.00163967124783"/>
    <n v="1360800"/>
    <d v="2024-02-19T00:00:00"/>
    <x v="0"/>
  </r>
  <r>
    <n v="93"/>
    <d v="2024-01-20T00:00:00"/>
    <s v="PCSE-PF-330-16-01-2024"/>
    <d v="2024-01-16T00:00:00"/>
    <x v="0"/>
    <x v="0"/>
    <n v="7529.7106999999996"/>
    <x v="3"/>
    <x v="0"/>
    <n v="5205.12"/>
    <n v="2.71"/>
    <n v="0"/>
    <n v="0"/>
    <x v="10"/>
    <s v="20/1 Cotton Yarn Carded"/>
    <n v="5810000"/>
    <x v="0"/>
    <n v="1045800"/>
    <x v="0"/>
    <m/>
    <m/>
    <x v="0"/>
    <x v="0"/>
    <x v="0"/>
    <x v="2"/>
    <x v="0"/>
    <x v="0"/>
    <m/>
    <x v="0"/>
    <x v="1"/>
    <x v="0"/>
    <x v="0"/>
    <x v="0"/>
    <x v="3"/>
    <n v="771.60999027492517"/>
    <n v="138.88979824948655"/>
    <n v="0"/>
    <d v="2024-02-19T00:00:00"/>
    <x v="0"/>
  </r>
  <r>
    <n v="94"/>
    <d v="2024-01-20T00:00:00"/>
    <s v="PCSE-PF-329-16-01-2024"/>
    <d v="2024-01-16T00:00:00"/>
    <x v="0"/>
    <x v="0"/>
    <n v="36242.402199999997"/>
    <x v="3"/>
    <x v="0"/>
    <n v="5206.25"/>
    <n v="4.6399999999999997"/>
    <n v="0"/>
    <n v="0"/>
    <x v="3"/>
    <s v="CVC60:40 - 60/1"/>
    <n v="47940000"/>
    <x v="0"/>
    <n v="8629200"/>
    <x v="0"/>
    <m/>
    <m/>
    <x v="0"/>
    <x v="0"/>
    <x v="0"/>
    <x v="3"/>
    <x v="0"/>
    <x v="0"/>
    <m/>
    <x v="0"/>
    <x v="1"/>
    <x v="0"/>
    <x v="0"/>
    <x v="0"/>
    <x v="3"/>
    <n v="1322.7600018190849"/>
    <n v="238.09680032743526"/>
    <n v="0"/>
    <d v="2024-02-19T00:00:00"/>
    <x v="0"/>
  </r>
  <r>
    <n v="95"/>
    <d v="2024-01-20T00:00:00"/>
    <s v="LPEX-PF-5727-16-01-2024"/>
    <d v="2024-01-16T00:00:00"/>
    <x v="0"/>
    <x v="0"/>
    <n v="9071.9403999999995"/>
    <x v="3"/>
    <x v="0"/>
    <n v="5206.1400000000003"/>
    <n v="2.75"/>
    <n v="0"/>
    <n v="0"/>
    <x v="3"/>
    <s v="CVC60:40 - 40/1"/>
    <n v="7100000"/>
    <x v="0"/>
    <n v="1278000"/>
    <x v="0"/>
    <m/>
    <m/>
    <x v="0"/>
    <x v="0"/>
    <x v="0"/>
    <x v="3"/>
    <x v="0"/>
    <x v="0"/>
    <m/>
    <x v="0"/>
    <x v="1"/>
    <x v="0"/>
    <x v="0"/>
    <x v="0"/>
    <x v="3"/>
    <n v="782.63300759780122"/>
    <n v="140.87394136760423"/>
    <n v="0"/>
    <d v="2024-02-19T00:00:00"/>
    <x v="0"/>
  </r>
  <r>
    <n v="96"/>
    <d v="2024-01-20T00:00:00"/>
    <s v="LPEX-PF-5733-16-01-2024"/>
    <d v="2024-01-16T00:00:00"/>
    <x v="0"/>
    <x v="2"/>
    <n v="6758.5955999999996"/>
    <x v="3"/>
    <x v="0"/>
    <n v="5206.12"/>
    <n v="2.0699999999999998"/>
    <n v="179.59559999999965"/>
    <n v="6758.5955999999996"/>
    <x v="3"/>
    <s v="PC 65:35- 24/1"/>
    <n v="3978300"/>
    <x v="0"/>
    <n v="716094"/>
    <x v="0"/>
    <m/>
    <m/>
    <x v="0"/>
    <x v="0"/>
    <x v="0"/>
    <x v="0"/>
    <x v="0"/>
    <x v="0"/>
    <m/>
    <x v="0"/>
    <x v="1"/>
    <x v="0"/>
    <x v="0"/>
    <x v="0"/>
    <x v="3"/>
    <n v="588.62820554021607"/>
    <n v="105.9530769972389"/>
    <n v="19028.706435165281"/>
    <d v="2024-02-19T00:00:00"/>
    <x v="0"/>
  </r>
  <r>
    <n v="97"/>
    <d v="2024-01-20T00:00:00"/>
    <s v="LPEX-PF-5740-16-01-2024"/>
    <d v="2024-01-16T00:00:00"/>
    <x v="0"/>
    <x v="2"/>
    <n v="3311.2582000000002"/>
    <x v="3"/>
    <x v="0"/>
    <n v="5206.12"/>
    <n v="2.1"/>
    <n v="671.39819999999997"/>
    <n v="3311.2582000000002"/>
    <x v="3"/>
    <s v="PC 65:35- 24/1"/>
    <n v="1985600"/>
    <x v="0"/>
    <n v="357408"/>
    <x v="0"/>
    <m/>
    <m/>
    <x v="0"/>
    <x v="0"/>
    <x v="0"/>
    <x v="0"/>
    <x v="0"/>
    <x v="0"/>
    <m/>
    <x v="0"/>
    <x v="1"/>
    <x v="0"/>
    <x v="0"/>
    <x v="0"/>
    <x v="3"/>
    <n v="599.65121415176861"/>
    <n v="107.93721854731835"/>
    <n v="72468.85424567615"/>
    <d v="2024-02-19T00:00:00"/>
    <x v="0"/>
  </r>
  <r>
    <n v="98"/>
    <d v="2024-01-20T00:00:00"/>
    <s v="LPEX-PF-5659-16-01-2024"/>
    <d v="2024-01-16T00:00:00"/>
    <x v="0"/>
    <x v="0"/>
    <n v="9071.9403999999995"/>
    <x v="3"/>
    <x v="0"/>
    <n v="5206.1400000000003"/>
    <n v="2.75"/>
    <n v="0"/>
    <n v="0"/>
    <x v="3"/>
    <s v="CVC60:40 - 40/1"/>
    <n v="7100000"/>
    <x v="0"/>
    <n v="1278000"/>
    <x v="0"/>
    <m/>
    <m/>
    <x v="0"/>
    <x v="0"/>
    <x v="0"/>
    <x v="3"/>
    <x v="0"/>
    <x v="0"/>
    <m/>
    <x v="0"/>
    <x v="1"/>
    <x v="0"/>
    <x v="0"/>
    <x v="0"/>
    <x v="3"/>
    <n v="782.63300759780122"/>
    <n v="140.87394136760423"/>
    <n v="0"/>
    <d v="2024-02-19T00:00:00"/>
    <x v="0"/>
  </r>
  <r>
    <n v="99"/>
    <d v="2024-01-20T00:00:00"/>
    <s v="LPEX-PF-5661-16-01-2024"/>
    <d v="2024-01-16T00:00:00"/>
    <x v="0"/>
    <x v="0"/>
    <n v="9071.9403999999995"/>
    <x v="3"/>
    <x v="0"/>
    <n v="5206.1400000000003"/>
    <n v="2.75"/>
    <n v="0"/>
    <n v="0"/>
    <x v="3"/>
    <s v="CVC60:40 - 40/1"/>
    <n v="7100000"/>
    <x v="0"/>
    <n v="1278000"/>
    <x v="0"/>
    <m/>
    <m/>
    <x v="0"/>
    <x v="0"/>
    <x v="0"/>
    <x v="3"/>
    <x v="0"/>
    <x v="0"/>
    <m/>
    <x v="0"/>
    <x v="1"/>
    <x v="0"/>
    <x v="0"/>
    <x v="0"/>
    <x v="3"/>
    <n v="782.63300759780122"/>
    <n v="140.87394136760423"/>
    <n v="0"/>
    <d v="2024-02-19T00:00:00"/>
    <x v="0"/>
  </r>
  <r>
    <n v="100"/>
    <d v="2024-01-28T00:00:00"/>
    <s v="KPEX-PF-127903-24-01-2024"/>
    <d v="2024-01-24T00:00:00"/>
    <x v="0"/>
    <x v="0"/>
    <n v="12176"/>
    <x v="3"/>
    <x v="0"/>
    <n v="5209.42"/>
    <n v="3.62"/>
    <n v="0"/>
    <n v="0"/>
    <x v="19"/>
    <s v="Denim Fabric 99% 1% "/>
    <n v="12573490"/>
    <x v="0"/>
    <n v="2263228.1999999997"/>
    <x v="0"/>
    <m/>
    <m/>
    <x v="0"/>
    <x v="0"/>
    <x v="0"/>
    <x v="3"/>
    <x v="0"/>
    <x v="0"/>
    <m/>
    <x v="0"/>
    <x v="1"/>
    <x v="0"/>
    <x v="0"/>
    <x v="0"/>
    <x v="2"/>
    <n v="1032.6453679369251"/>
    <n v="185.8761662286465"/>
    <n v="0"/>
    <d v="2024-02-27T00:00:00"/>
    <x v="0"/>
  </r>
  <r>
    <n v="101"/>
    <d v="2024-01-27T00:00:00"/>
    <s v="PCSE-PF-378-23-01-2024"/>
    <d v="2024-01-23T00:00:00"/>
    <x v="0"/>
    <x v="1"/>
    <n v="10160.64"/>
    <x v="3"/>
    <x v="0"/>
    <n v="5509.21"/>
    <n v="1.66"/>
    <n v="10160.64"/>
    <n v="10160.64"/>
    <x v="6"/>
    <s v="100% Polyester"/>
    <n v="4816000"/>
    <x v="0"/>
    <n v="866880"/>
    <x v="0"/>
    <m/>
    <m/>
    <x v="0"/>
    <x v="0"/>
    <x v="0"/>
    <x v="0"/>
    <x v="0"/>
    <x v="0"/>
    <m/>
    <x v="0"/>
    <x v="1"/>
    <x v="0"/>
    <x v="0"/>
    <x v="0"/>
    <x v="3"/>
    <n v="473.98589065255737"/>
    <n v="85.317460317460316"/>
    <n v="866879.99999999988"/>
    <d v="2024-02-26T00:00:00"/>
    <x v="0"/>
  </r>
  <r>
    <n v="102"/>
    <d v="2024-01-29T00:00:00"/>
    <s v="PCSE-PF-379-25-01-2024"/>
    <d v="2024-01-25T00:00:00"/>
    <x v="0"/>
    <x v="1"/>
    <n v="11067.84"/>
    <x v="3"/>
    <x v="0"/>
    <n v="5509.21"/>
    <n v="1.66"/>
    <n v="11067.84"/>
    <n v="11067.84"/>
    <x v="6"/>
    <s v="100% Polyester"/>
    <n v="5246000"/>
    <x v="0"/>
    <n v="944280"/>
    <x v="0"/>
    <m/>
    <m/>
    <x v="0"/>
    <x v="0"/>
    <x v="0"/>
    <x v="0"/>
    <x v="0"/>
    <x v="0"/>
    <m/>
    <x v="0"/>
    <x v="1"/>
    <x v="0"/>
    <x v="0"/>
    <x v="0"/>
    <x v="3"/>
    <n v="473.98589065255732"/>
    <n v="85.317460317460316"/>
    <n v="944280"/>
    <d v="2024-02-28T00:00:00"/>
    <x v="0"/>
  </r>
  <r>
    <n v="103"/>
    <d v="2024-01-28T00:00:00"/>
    <s v="KPEX-PF-128435-24-01-2024"/>
    <d v="2024-01-24T00:00:00"/>
    <x v="0"/>
    <x v="0"/>
    <n v="28803.409999999996"/>
    <x v="3"/>
    <x v="0"/>
    <n v="5205.12"/>
    <n v="3.02"/>
    <n v="28803.409999999996"/>
    <n v="28803.409999999996"/>
    <x v="10"/>
    <s v="16/1 Carded 70D Spandex 3.9 "/>
    <n v="24828499"/>
    <x v="0"/>
    <n v="4469129.82"/>
    <x v="0"/>
    <m/>
    <m/>
    <x v="0"/>
    <x v="0"/>
    <x v="0"/>
    <x v="2"/>
    <x v="0"/>
    <x v="0"/>
    <m/>
    <x v="0"/>
    <x v="1"/>
    <x v="0"/>
    <x v="0"/>
    <x v="0"/>
    <x v="3"/>
    <n v="861.99859669393322"/>
    <n v="155.15974740490799"/>
    <n v="4469129.82"/>
    <d v="2024-02-27T00:00:00"/>
    <x v="0"/>
  </r>
  <r>
    <n v="104"/>
    <d v="2024-01-28T00:00:00"/>
    <s v="KPEX-PF-128446-24-01-2024"/>
    <d v="2024-01-24T00:00:00"/>
    <x v="0"/>
    <x v="0"/>
    <n v="2267.9900000000002"/>
    <x v="3"/>
    <x v="0"/>
    <n v="5205.13"/>
    <n v="3.98"/>
    <n v="0"/>
    <n v="0"/>
    <x v="10"/>
    <s v="30/1 Carded 40D Spandex 3.25"/>
    <n v="2575000"/>
    <x v="0"/>
    <n v="463500"/>
    <x v="0"/>
    <m/>
    <m/>
    <x v="0"/>
    <x v="0"/>
    <x v="0"/>
    <x v="3"/>
    <x v="0"/>
    <x v="0"/>
    <m/>
    <x v="0"/>
    <x v="1"/>
    <x v="0"/>
    <x v="0"/>
    <x v="0"/>
    <x v="3"/>
    <n v="1135.3665580536069"/>
    <n v="204.36598044964921"/>
    <n v="0"/>
    <d v="2024-02-27T00:00:00"/>
    <x v="0"/>
  </r>
  <r>
    <n v="105"/>
    <d v="2024-02-03T00:00:00"/>
    <s v="KPPE-PF-164011-30-01-2024"/>
    <d v="2024-01-30T00:00:00"/>
    <x v="1"/>
    <x v="0"/>
    <n v="2011.2"/>
    <x v="3"/>
    <x v="0"/>
    <n v="3919.9090000000001"/>
    <n v="2.19"/>
    <n v="0"/>
    <n v="0"/>
    <x v="9"/>
    <s v="PACKING/ CARTON TAPE"/>
    <n v="1257000"/>
    <x v="0"/>
    <n v="226260"/>
    <x v="0"/>
    <m/>
    <m/>
    <x v="0"/>
    <x v="0"/>
    <x v="0"/>
    <x v="3"/>
    <x v="0"/>
    <x v="0"/>
    <m/>
    <x v="0"/>
    <x v="1"/>
    <x v="0"/>
    <x v="0"/>
    <x v="0"/>
    <x v="6"/>
    <n v="625"/>
    <n v="112.5"/>
    <n v="0"/>
    <d v="2024-02-08T00:00:00"/>
    <x v="0"/>
  </r>
  <r>
    <n v="106"/>
    <d v="2024-02-03T00:00:00"/>
    <s v="KPPE-PF-164013-30-01-2024"/>
    <d v="2024-01-30T00:00:00"/>
    <x v="1"/>
    <x v="0"/>
    <n v="1396.67"/>
    <x v="3"/>
    <x v="0"/>
    <n v="3919.9090000000001"/>
    <n v="2.11"/>
    <n v="0"/>
    <n v="0"/>
    <x v="9"/>
    <s v="PACKING/ CARTON TAPE"/>
    <n v="838002"/>
    <x v="0"/>
    <n v="150840.35999999999"/>
    <x v="0"/>
    <m/>
    <m/>
    <x v="0"/>
    <x v="0"/>
    <x v="0"/>
    <x v="2"/>
    <x v="0"/>
    <x v="0"/>
    <m/>
    <x v="0"/>
    <x v="1"/>
    <x v="0"/>
    <x v="0"/>
    <x v="0"/>
    <x v="6"/>
    <n v="600"/>
    <n v="107.99999999999999"/>
    <n v="0"/>
    <d v="2024-02-08T00:00:00"/>
    <x v="0"/>
  </r>
  <r>
    <n v="107"/>
    <d v="2024-02-06T00:00:00"/>
    <s v="LPEX-PF-7269-02-02-2024"/>
    <d v="2024-02-02T00:00:00"/>
    <x v="0"/>
    <x v="0"/>
    <n v="18143.88"/>
    <x v="3"/>
    <x v="0"/>
    <n v="5206.1400000000003"/>
    <n v="2.82"/>
    <n v="0"/>
    <n v="0"/>
    <x v="3"/>
    <s v="CVC60:40 - 40/1"/>
    <n v="14599999"/>
    <x v="0"/>
    <n v="2627999.8199999998"/>
    <x v="0"/>
    <m/>
    <m/>
    <x v="0"/>
    <x v="0"/>
    <x v="0"/>
    <x v="3"/>
    <x v="0"/>
    <x v="0"/>
    <m/>
    <x v="0"/>
    <x v="1"/>
    <x v="0"/>
    <x v="0"/>
    <x v="0"/>
    <x v="3"/>
    <n v="804.67898817672949"/>
    <n v="144.8422178718113"/>
    <n v="0"/>
    <d v="2024-03-07T00:00:00"/>
    <x v="0"/>
  </r>
  <r>
    <n v="108"/>
    <d v="2024-02-13T00:00:00"/>
    <s v="PCSE-PF-424-09-02-2024"/>
    <d v="2024-02-09T00:00:00"/>
    <x v="0"/>
    <x v="1"/>
    <n v="4490.6104999999998"/>
    <x v="3"/>
    <x v="0"/>
    <n v="5205.2700000000004"/>
    <n v="4.91"/>
    <n v="4490.6104999999998"/>
    <n v="4490.6104999999998"/>
    <x v="10"/>
    <s v="60/1 Cotton Yarn Combed"/>
    <n v="6286500"/>
    <x v="0"/>
    <n v="1131570"/>
    <x v="0"/>
    <m/>
    <m/>
    <x v="0"/>
    <x v="0"/>
    <x v="0"/>
    <x v="0"/>
    <x v="0"/>
    <x v="0"/>
    <m/>
    <x v="0"/>
    <x v="1"/>
    <x v="0"/>
    <x v="0"/>
    <x v="0"/>
    <x v="3"/>
    <n v="1399.9210129669452"/>
    <n v="251.98578233405013"/>
    <n v="1131570"/>
    <d v="2024-03-14T00:00:00"/>
    <x v="0"/>
  </r>
  <r>
    <n v="109"/>
    <d v="2024-02-13T00:00:00"/>
    <s v="KPEX-PF-139851-09-02-2024"/>
    <d v="2024-02-09T00:00:00"/>
    <x v="0"/>
    <x v="0"/>
    <n v="15286.22"/>
    <x v="3"/>
    <x v="0"/>
    <n v="5205.12"/>
    <n v="3.02"/>
    <n v="15286.22"/>
    <n v="15286.22"/>
    <x v="10"/>
    <s v="16/1 95% Cotton 05% Lycra Carded yarn"/>
    <n v="13176700"/>
    <x v="0"/>
    <n v="2371806"/>
    <x v="0"/>
    <m/>
    <m/>
    <x v="0"/>
    <x v="0"/>
    <x v="0"/>
    <x v="2"/>
    <x v="0"/>
    <x v="0"/>
    <m/>
    <x v="0"/>
    <x v="1"/>
    <x v="0"/>
    <x v="0"/>
    <x v="0"/>
    <x v="3"/>
    <n v="861.99858434590112"/>
    <n v="155.15974518226221"/>
    <n v="2371806"/>
    <d v="2024-03-14T00:00:00"/>
    <x v="0"/>
  </r>
  <r>
    <n v="110"/>
    <d v="2024-02-13T00:00:00"/>
    <s v="KPEX-PF-139864-09-02-2024"/>
    <d v="2024-02-09T00:00:00"/>
    <x v="0"/>
    <x v="0"/>
    <n v="3764.86"/>
    <x v="3"/>
    <x v="0"/>
    <n v="5205.13"/>
    <n v="3.98"/>
    <n v="0"/>
    <n v="0"/>
    <x v="10"/>
    <s v="30/1 95% Cotton 05% Lycra Carded yarn"/>
    <n v="4274500"/>
    <x v="0"/>
    <n v="769410"/>
    <x v="0"/>
    <m/>
    <m/>
    <x v="0"/>
    <x v="0"/>
    <x v="0"/>
    <x v="2"/>
    <x v="0"/>
    <x v="0"/>
    <m/>
    <x v="0"/>
    <x v="1"/>
    <x v="0"/>
    <x v="0"/>
    <x v="0"/>
    <x v="3"/>
    <n v="1135.367583389555"/>
    <n v="204.36616501011989"/>
    <n v="0"/>
    <d v="2024-03-14T00:00:00"/>
    <x v="0"/>
  </r>
  <r>
    <n v="111"/>
    <d v="2024-02-17T00:00:00"/>
    <s v="LPEX-PF-7853-13-02-2024"/>
    <d v="2024-02-13T00:00:00"/>
    <x v="0"/>
    <x v="0"/>
    <n v="2857.6612"/>
    <x v="3"/>
    <x v="0"/>
    <n v="5206.1400000000003"/>
    <n v="2.75"/>
    <n v="0"/>
    <n v="0"/>
    <x v="3"/>
    <s v="CVC60:40 - 40/1"/>
    <n v="2236500"/>
    <x v="0"/>
    <n v="402570"/>
    <x v="0"/>
    <m/>
    <m/>
    <x v="0"/>
    <x v="0"/>
    <x v="0"/>
    <x v="2"/>
    <x v="0"/>
    <x v="0"/>
    <m/>
    <x v="0"/>
    <x v="1"/>
    <x v="0"/>
    <x v="0"/>
    <x v="0"/>
    <x v="3"/>
    <n v="782.63301471846978"/>
    <n v="140.87394264932456"/>
    <n v="0"/>
    <d v="2024-03-18T00:00:00"/>
    <x v="0"/>
  </r>
  <r>
    <n v="112"/>
    <d v="2024-02-17T00:00:00"/>
    <s v="LPEX-PF-7864-13-02-2024"/>
    <d v="2024-02-13T00:00:00"/>
    <x v="0"/>
    <x v="0"/>
    <n v="15286.2197"/>
    <x v="3"/>
    <x v="0"/>
    <n v="5206.1400000000003"/>
    <n v="2.8"/>
    <n v="0"/>
    <n v="0"/>
    <x v="3"/>
    <s v="CVC60:40 - 40/1"/>
    <n v="12199400"/>
    <x v="0"/>
    <n v="2195892"/>
    <x v="0"/>
    <m/>
    <m/>
    <x v="0"/>
    <x v="0"/>
    <x v="0"/>
    <x v="2"/>
    <x v="0"/>
    <x v="0"/>
    <m/>
    <x v="0"/>
    <x v="1"/>
    <x v="0"/>
    <x v="0"/>
    <x v="0"/>
    <x v="3"/>
    <n v="798.06520116939055"/>
    <n v="143.6517362104903"/>
    <n v="0"/>
    <d v="2024-03-18T00:00:00"/>
    <x v="0"/>
  </r>
  <r>
    <n v="113"/>
    <d v="2024-02-17T00:00:00"/>
    <s v="LPEX-PF-7865-13-02-2024"/>
    <d v="2024-02-13T00:00:00"/>
    <x v="0"/>
    <x v="1"/>
    <n v="9071.9403999999995"/>
    <x v="3"/>
    <x v="0"/>
    <n v="5206.12"/>
    <n v="2.2200000000000002"/>
    <n v="9071.9403999999995"/>
    <n v="9071.9403999999995"/>
    <x v="3"/>
    <s v="PC 65:35- 24/1"/>
    <n v="5740000"/>
    <x v="0"/>
    <n v="1033200"/>
    <x v="0"/>
    <m/>
    <m/>
    <x v="0"/>
    <x v="0"/>
    <x v="0"/>
    <x v="0"/>
    <x v="0"/>
    <x v="0"/>
    <m/>
    <x v="0"/>
    <x v="1"/>
    <x v="0"/>
    <x v="0"/>
    <x v="0"/>
    <x v="3"/>
    <n v="632.72020614244775"/>
    <n v="113.8896371056406"/>
    <n v="1033200"/>
    <d v="2024-03-18T00:00:00"/>
    <x v="0"/>
  </r>
  <r>
    <n v="114"/>
    <d v="2024-02-17T00:00:00"/>
    <s v="LPEX-PF-7866-13-02-2024"/>
    <d v="2024-02-13T00:00:00"/>
    <x v="0"/>
    <x v="0"/>
    <n v="9071.9403999999995"/>
    <x v="3"/>
    <x v="0"/>
    <n v="5206.1400000000003"/>
    <n v="2.8"/>
    <n v="0"/>
    <n v="0"/>
    <x v="3"/>
    <s v="CVC60:40 - 40/1"/>
    <n v="7240000"/>
    <x v="0"/>
    <n v="1303200"/>
    <x v="0"/>
    <m/>
    <m/>
    <x v="0"/>
    <x v="0"/>
    <x v="0"/>
    <x v="2"/>
    <x v="0"/>
    <x v="0"/>
    <m/>
    <x v="0"/>
    <x v="1"/>
    <x v="0"/>
    <x v="0"/>
    <x v="0"/>
    <x v="3"/>
    <n v="798.06520774761714"/>
    <n v="143.65173739457109"/>
    <n v="0"/>
    <d v="2024-03-18T00:00:00"/>
    <x v="0"/>
  </r>
  <r>
    <n v="115"/>
    <d v="2024-02-17T00:00:00"/>
    <s v="LPEX-PF-7867-13-02-2024"/>
    <d v="2024-02-13T00:00:00"/>
    <x v="0"/>
    <x v="1"/>
    <n v="15875.8958"/>
    <x v="3"/>
    <x v="0"/>
    <n v="5206.12"/>
    <n v="2.2200000000000002"/>
    <n v="15875.8958"/>
    <n v="15875.8958"/>
    <x v="3"/>
    <s v="PC 65:35- 24/1"/>
    <n v="10045000"/>
    <x v="0"/>
    <n v="1808100"/>
    <x v="0"/>
    <m/>
    <m/>
    <x v="0"/>
    <x v="0"/>
    <x v="0"/>
    <x v="0"/>
    <x v="0"/>
    <x v="0"/>
    <m/>
    <x v="0"/>
    <x v="1"/>
    <x v="0"/>
    <x v="0"/>
    <x v="0"/>
    <x v="3"/>
    <n v="632.72020215703355"/>
    <n v="113.88963638826604"/>
    <n v="1808100"/>
    <d v="2024-03-18T00:00:00"/>
    <x v="0"/>
  </r>
  <r>
    <n v="116"/>
    <d v="2024-02-18T00:00:00"/>
    <s v="LPEX-PF-7995-14-02-2024"/>
    <d v="2024-02-14T00:00:00"/>
    <x v="0"/>
    <x v="0"/>
    <n v="18143.88"/>
    <x v="3"/>
    <x v="0"/>
    <n v="5206.1400000000003"/>
    <n v="2.82"/>
    <n v="0"/>
    <n v="0"/>
    <x v="3"/>
    <s v="CVC60:40"/>
    <n v="14599999"/>
    <x v="0"/>
    <n v="2627999.8199999998"/>
    <x v="0"/>
    <m/>
    <m/>
    <x v="0"/>
    <x v="0"/>
    <x v="0"/>
    <x v="2"/>
    <x v="0"/>
    <x v="0"/>
    <m/>
    <x v="0"/>
    <x v="1"/>
    <x v="0"/>
    <x v="0"/>
    <x v="0"/>
    <x v="3"/>
    <n v="804.67898817672949"/>
    <n v="144.8422178718113"/>
    <n v="0"/>
    <d v="2024-03-19T00:00:00"/>
    <x v="0"/>
  </r>
  <r>
    <n v="117"/>
    <d v="2024-02-01T00:00:00"/>
    <s v="LPEX-PF-6657-26-01-2024"/>
    <d v="2024-01-26T00:00:00"/>
    <x v="0"/>
    <x v="0"/>
    <n v="6168.96"/>
    <x v="3"/>
    <x v="0"/>
    <n v="5205.12"/>
    <n v="2.86"/>
    <n v="0"/>
    <n v="0"/>
    <x v="10"/>
    <s v="24/1 Cotton Yarn Carded"/>
    <n v="5032000"/>
    <x v="0"/>
    <n v="905760"/>
    <x v="0"/>
    <m/>
    <m/>
    <x v="0"/>
    <x v="0"/>
    <x v="0"/>
    <x v="0"/>
    <x v="0"/>
    <x v="0"/>
    <m/>
    <x v="0"/>
    <x v="1"/>
    <x v="0"/>
    <x v="0"/>
    <x v="0"/>
    <x v="3"/>
    <n v="815.69664902998238"/>
    <n v="146.82539682539684"/>
    <n v="0"/>
    <d v="2024-03-02T00:00:00"/>
    <x v="0"/>
  </r>
  <r>
    <n v="118"/>
    <d v="2024-02-18T00:00:00"/>
    <s v="GWDE-PF-143-14-02-2024"/>
    <d v="2024-02-14T00:00:00"/>
    <x v="0"/>
    <x v="0"/>
    <n v="18325.439999999999"/>
    <x v="3"/>
    <x v="0"/>
    <n v="5205.12"/>
    <n v="2.72"/>
    <n v="0"/>
    <n v="0"/>
    <x v="10"/>
    <s v="16/1 Cotton Yarn "/>
    <n v="14180400"/>
    <x v="0"/>
    <n v="2552472"/>
    <x v="0"/>
    <m/>
    <m/>
    <x v="0"/>
    <x v="0"/>
    <x v="0"/>
    <x v="0"/>
    <x v="0"/>
    <x v="0"/>
    <m/>
    <x v="0"/>
    <x v="1"/>
    <x v="0"/>
    <x v="0"/>
    <x v="0"/>
    <x v="3"/>
    <n v="773.80952380952385"/>
    <n v="139.28571428571431"/>
    <n v="0"/>
    <d v="2024-03-19T00:00:00"/>
    <x v="0"/>
  </r>
  <r>
    <n v="119"/>
    <d v="2024-02-18T00:00:00"/>
    <s v="GWDE-PF-142-14-02-2024"/>
    <d v="2024-02-14T00:00:00"/>
    <x v="0"/>
    <x v="2"/>
    <n v="13335.84"/>
    <x v="3"/>
    <x v="0"/>
    <n v="5205.12"/>
    <n v="2.59"/>
    <n v="11668.24"/>
    <n v="13335.84"/>
    <x v="10"/>
    <s v="12/1 Cotton Yarn "/>
    <n v="9849001"/>
    <x v="0"/>
    <n v="1772820.18"/>
    <x v="0"/>
    <m/>
    <m/>
    <x v="0"/>
    <x v="0"/>
    <x v="0"/>
    <x v="0"/>
    <x v="0"/>
    <x v="0"/>
    <m/>
    <x v="0"/>
    <x v="1"/>
    <x v="0"/>
    <x v="0"/>
    <x v="0"/>
    <x v="3"/>
    <n v="738.53623018872452"/>
    <n v="132.9365214339704"/>
    <n v="1551135.2368567106"/>
    <d v="2024-03-19T00:00:00"/>
    <x v="0"/>
  </r>
  <r>
    <n v="120"/>
    <d v="2024-02-18T00:00:00"/>
    <s v="GWDE-PF-141-14-02-2024"/>
    <d v="2024-02-14T00:00:00"/>
    <x v="0"/>
    <x v="1"/>
    <n v="11884.32"/>
    <x v="3"/>
    <x v="0"/>
    <n v="5205.12"/>
    <n v="2.67"/>
    <n v="11884.32"/>
    <n v="11884.32"/>
    <x v="10"/>
    <s v="12/1 Cotton Yarn "/>
    <n v="9039000"/>
    <x v="0"/>
    <n v="1627020"/>
    <x v="0"/>
    <m/>
    <m/>
    <x v="0"/>
    <x v="0"/>
    <x v="0"/>
    <x v="0"/>
    <x v="0"/>
    <x v="0"/>
    <m/>
    <x v="0"/>
    <x v="1"/>
    <x v="0"/>
    <x v="0"/>
    <x v="0"/>
    <x v="3"/>
    <n v="760.58201058201064"/>
    <n v="136.9047619047619"/>
    <n v="1627019.9999999998"/>
    <d v="2024-03-19T00:00:00"/>
    <x v="0"/>
  </r>
  <r>
    <n v="121"/>
    <d v="2024-02-19T00:00:00"/>
    <s v="PCSE-PF-439-15-02-2024"/>
    <d v="2024-02-15T00:00:00"/>
    <x v="0"/>
    <x v="1"/>
    <n v="1451.52"/>
    <x v="3"/>
    <x v="0"/>
    <n v="5509.21"/>
    <n v="1.66"/>
    <n v="1451.52"/>
    <n v="1451.52"/>
    <x v="6"/>
    <s v="100% Polyester"/>
    <n v="688000"/>
    <x v="0"/>
    <n v="123840"/>
    <x v="0"/>
    <m/>
    <m/>
    <x v="0"/>
    <x v="0"/>
    <x v="0"/>
    <x v="0"/>
    <x v="0"/>
    <x v="0"/>
    <m/>
    <x v="0"/>
    <x v="1"/>
    <x v="0"/>
    <x v="0"/>
    <x v="0"/>
    <x v="3"/>
    <n v="473.98589065255732"/>
    <n v="85.317460317460316"/>
    <n v="123840"/>
    <d v="2024-03-20T00:00:00"/>
    <x v="0"/>
  </r>
  <r>
    <n v="122"/>
    <d v="2024-02-19T00:00:00"/>
    <s v="GWDE-PF-145-15-02-2024"/>
    <d v="2024-02-15T00:00:00"/>
    <x v="0"/>
    <x v="1"/>
    <n v="12020.4"/>
    <x v="3"/>
    <x v="0"/>
    <n v="5205.12"/>
    <n v="42.18"/>
    <n v="12020.4"/>
    <n v="12020.4"/>
    <x v="10"/>
    <s v="10/1 Cotton Yarn "/>
    <n v="144490016"/>
    <x v="0"/>
    <n v="26008202.879999999"/>
    <x v="0"/>
    <m/>
    <m/>
    <x v="0"/>
    <x v="0"/>
    <x v="0"/>
    <x v="0"/>
    <x v="0"/>
    <x v="0"/>
    <m/>
    <x v="0"/>
    <x v="1"/>
    <x v="0"/>
    <x v="0"/>
    <x v="0"/>
    <x v="3"/>
    <n v="12020.399986689295"/>
    <n v="2163.6719976040731"/>
    <n v="26008202.879999999"/>
    <d v="2024-03-20T00:00:00"/>
    <x v="0"/>
  </r>
  <r>
    <n v="123"/>
    <d v="2024-02-20T00:00:00"/>
    <s v="PCSE-PF-452-16-02-2024"/>
    <d v="2024-02-16T00:00:00"/>
    <x v="0"/>
    <x v="1"/>
    <n v="226798.5122"/>
    <x v="3"/>
    <x v="0"/>
    <n v="5205.24"/>
    <n v="3.6"/>
    <n v="226798.5122"/>
    <n v="226798.5122"/>
    <x v="10"/>
    <s v="40/1 Cotton Yarn Combed"/>
    <n v="232500000"/>
    <x v="0"/>
    <n v="41850000"/>
    <x v="0"/>
    <m/>
    <m/>
    <x v="0"/>
    <x v="0"/>
    <x v="0"/>
    <x v="0"/>
    <x v="0"/>
    <x v="0"/>
    <m/>
    <x v="0"/>
    <x v="1"/>
    <x v="0"/>
    <x v="0"/>
    <x v="0"/>
    <x v="3"/>
    <n v="1025.139000007955"/>
    <n v="184.52502000143193"/>
    <n v="41850000"/>
    <d v="2024-03-21T00:00:00"/>
    <x v="0"/>
  </r>
  <r>
    <n v="124"/>
    <d v="2024-02-23T00:00:00"/>
    <s v="PCSE-PF-458-19-02-2024"/>
    <d v="2024-02-19T00:00:00"/>
    <x v="0"/>
    <x v="1"/>
    <n v="16420.212299999999"/>
    <x v="3"/>
    <x v="0"/>
    <n v="5205.2700000000004"/>
    <n v="7.81"/>
    <n v="16420.212299999999"/>
    <n v="16420.212299999999"/>
    <x v="10"/>
    <s v="60/2 Cotton Yarn Combed"/>
    <n v="36562000"/>
    <x v="0"/>
    <n v="6581160"/>
    <x v="0"/>
    <m/>
    <m/>
    <x v="0"/>
    <x v="0"/>
    <x v="0"/>
    <x v="0"/>
    <x v="0"/>
    <x v="0"/>
    <m/>
    <x v="0"/>
    <x v="1"/>
    <x v="0"/>
    <x v="0"/>
    <x v="0"/>
    <x v="3"/>
    <n v="2226.6459977499803"/>
    <n v="400.79627959499646"/>
    <n v="6581160"/>
    <d v="2024-03-24T00:00:00"/>
    <x v="0"/>
  </r>
  <r>
    <n v="125"/>
    <d v="2024-02-24T00:00:00"/>
    <s v="KPPE-PF-180676-20-02-2024"/>
    <d v="2024-02-20T00:00:00"/>
    <x v="0"/>
    <x v="1"/>
    <n v="54432"/>
    <x v="3"/>
    <x v="0"/>
    <n v="5205.24"/>
    <n v="3.38"/>
    <n v="54432"/>
    <n v="54432"/>
    <x v="10"/>
    <s v="40/1 Cotton Yarn Combed"/>
    <n v="52500001"/>
    <x v="0"/>
    <n v="9450000.1799999997"/>
    <x v="0"/>
    <m/>
    <m/>
    <x v="0"/>
    <x v="0"/>
    <x v="0"/>
    <x v="0"/>
    <x v="0"/>
    <x v="0"/>
    <m/>
    <x v="0"/>
    <x v="1"/>
    <x v="0"/>
    <x v="0"/>
    <x v="0"/>
    <x v="3"/>
    <n v="964.50619121105228"/>
    <n v="173.6111144179894"/>
    <n v="9450000.1799999997"/>
    <d v="2024-03-25T00:00:00"/>
    <x v="0"/>
  </r>
  <r>
    <n v="126"/>
    <d v="2024-02-25T00:00:00"/>
    <s v="KPEX-PF-147892-21-02-2024"/>
    <d v="2024-02-21T00:00:00"/>
    <x v="0"/>
    <x v="0"/>
    <n v="39987"/>
    <x v="3"/>
    <x v="0"/>
    <n v="5209.42"/>
    <n v="3.66"/>
    <n v="0"/>
    <n v="0"/>
    <x v="19"/>
    <s v="Denim Fabric 99% 1% "/>
    <n v="41725979"/>
    <x v="0"/>
    <n v="7510676.2199999997"/>
    <x v="0"/>
    <m/>
    <m/>
    <x v="0"/>
    <x v="0"/>
    <x v="0"/>
    <x v="2"/>
    <x v="0"/>
    <x v="0"/>
    <m/>
    <x v="0"/>
    <x v="1"/>
    <x v="0"/>
    <x v="0"/>
    <x v="0"/>
    <x v="2"/>
    <n v="1043.4886087978593"/>
    <n v="187.82794958361467"/>
    <n v="0"/>
    <d v="2024-03-26T00:00:00"/>
    <x v="0"/>
  </r>
  <r>
    <n v="127"/>
    <d v="2024-02-26T00:00:00"/>
    <s v="PCSE-PF-469-22-02-2024"/>
    <d v="2024-02-22T00:00:00"/>
    <x v="0"/>
    <x v="0"/>
    <n v="34564.0933"/>
    <x v="3"/>
    <x v="0"/>
    <n v="5206.25"/>
    <n v="4.8"/>
    <n v="0"/>
    <n v="0"/>
    <x v="3"/>
    <s v="CVC60:40 - 60/1"/>
    <n v="47244000"/>
    <x v="0"/>
    <n v="8503920"/>
    <x v="0"/>
    <m/>
    <m/>
    <x v="0"/>
    <x v="0"/>
    <x v="0"/>
    <x v="3"/>
    <x v="0"/>
    <x v="0"/>
    <m/>
    <x v="0"/>
    <x v="1"/>
    <x v="0"/>
    <x v="0"/>
    <x v="0"/>
    <x v="3"/>
    <n v="1366.8519984003167"/>
    <n v="246.03335971205701"/>
    <n v="0"/>
    <d v="2024-03-27T00:00:00"/>
    <x v="0"/>
  </r>
  <r>
    <n v="128"/>
    <d v="2024-02-26T00:00:00"/>
    <s v="PCSE-PF-470-22-02-2024"/>
    <d v="2024-02-22T00:00:00"/>
    <x v="0"/>
    <x v="1"/>
    <n v="6304.9985999999999"/>
    <x v="3"/>
    <x v="0"/>
    <n v="5205.2700000000004"/>
    <n v="22.12"/>
    <n v="6304.9985999999999"/>
    <n v="6304.9985999999999"/>
    <x v="10"/>
    <s v="60/1 Cotton Yarn Combed"/>
    <n v="39753007"/>
    <x v="0"/>
    <n v="7155541.2599999998"/>
    <x v="0"/>
    <m/>
    <m/>
    <x v="0"/>
    <x v="0"/>
    <x v="0"/>
    <x v="0"/>
    <x v="0"/>
    <x v="0"/>
    <m/>
    <x v="0"/>
    <x v="1"/>
    <x v="0"/>
    <x v="0"/>
    <x v="0"/>
    <x v="3"/>
    <n v="6304.9985451225957"/>
    <n v="1134.8997381220672"/>
    <n v="7155541.2600000007"/>
    <d v="2024-03-27T00:00:00"/>
    <x v="0"/>
  </r>
  <r>
    <n v="129"/>
    <d v="2024-02-29T00:00:00"/>
    <s v="KPEX-PF-151682-26-02-2024"/>
    <d v="2024-02-26T00:00:00"/>
    <x v="0"/>
    <x v="0"/>
    <n v="41549.49"/>
    <x v="3"/>
    <x v="0"/>
    <n v="5205.12"/>
    <n v="3.02"/>
    <n v="0"/>
    <n v="0"/>
    <x v="10"/>
    <s v="16/1 95% Cotton 05% Lycra Carded yarn"/>
    <n v="35815602"/>
    <x v="0"/>
    <n v="6446808.3599999994"/>
    <x v="0"/>
    <m/>
    <m/>
    <x v="0"/>
    <x v="0"/>
    <x v="0"/>
    <x v="0"/>
    <x v="0"/>
    <x v="0"/>
    <m/>
    <x v="0"/>
    <x v="1"/>
    <x v="0"/>
    <x v="0"/>
    <x v="0"/>
    <x v="3"/>
    <n v="861.99859492860207"/>
    <n v="155.15974708714836"/>
    <n v="0"/>
    <d v="2024-03-30T00:00:00"/>
    <x v="0"/>
  </r>
  <r>
    <n v="130"/>
    <d v="2024-02-29T00:00:00"/>
    <s v="KPEX-PF-151687-26-02-2024"/>
    <d v="2024-02-26T00:00:00"/>
    <x v="0"/>
    <x v="0"/>
    <n v="6032.84"/>
    <x v="3"/>
    <x v="0"/>
    <n v="5205.13"/>
    <n v="3.98"/>
    <n v="0"/>
    <n v="0"/>
    <x v="10"/>
    <s v="30/1 95% Cotton 05% Lycra Carded yarn"/>
    <n v="6849500"/>
    <x v="0"/>
    <n v="1232910"/>
    <x v="0"/>
    <m/>
    <m/>
    <x v="0"/>
    <x v="0"/>
    <x v="0"/>
    <x v="2"/>
    <x v="0"/>
    <x v="0"/>
    <m/>
    <x v="0"/>
    <x v="1"/>
    <x v="0"/>
    <x v="0"/>
    <x v="0"/>
    <x v="3"/>
    <n v="1135.369079902666"/>
    <n v="204.36643438247989"/>
    <n v="0"/>
    <d v="2024-03-30T00:00:00"/>
    <x v="0"/>
  </r>
  <r>
    <n v="131"/>
    <d v="2024-02-25T00:00:00"/>
    <s v="PQEB-PF-466-22-02-2024"/>
    <d v="2024-02-22T00:00:00"/>
    <x v="1"/>
    <x v="0"/>
    <n v="3455"/>
    <x v="3"/>
    <x v="0"/>
    <n v="4821.8999999999996"/>
    <n v="1.1100000000000001"/>
    <n v="0"/>
    <n v="0"/>
    <x v="9"/>
    <s v="Inlay Card"/>
    <n v="1088325"/>
    <x v="0"/>
    <n v="195898.5"/>
    <x v="0"/>
    <m/>
    <m/>
    <x v="0"/>
    <x v="0"/>
    <x v="0"/>
    <x v="2"/>
    <x v="0"/>
    <x v="0"/>
    <m/>
    <x v="0"/>
    <x v="1"/>
    <x v="0"/>
    <x v="0"/>
    <x v="0"/>
    <x v="6"/>
    <n v="315"/>
    <n v="56.7"/>
    <n v="0"/>
    <d v="2024-03-01T00:00:00"/>
    <x v="0"/>
  </r>
  <r>
    <n v="132"/>
    <d v="2024-02-29T00:00:00"/>
    <s v="PQEB-PF-476-28-02-2024"/>
    <d v="2024-02-28T00:00:00"/>
    <x v="1"/>
    <x v="0"/>
    <n v="3961"/>
    <x v="3"/>
    <x v="0"/>
    <n v="4821.8999999999996"/>
    <n v="1.1100000000000001"/>
    <n v="0"/>
    <n v="0"/>
    <x v="9"/>
    <s v="Inlay-Card"/>
    <n v="1247715"/>
    <x v="0"/>
    <n v="224588.69999999998"/>
    <x v="0"/>
    <m/>
    <m/>
    <x v="0"/>
    <x v="0"/>
    <x v="0"/>
    <x v="2"/>
    <x v="0"/>
    <x v="0"/>
    <m/>
    <x v="0"/>
    <x v="1"/>
    <x v="0"/>
    <x v="0"/>
    <x v="0"/>
    <x v="6"/>
    <n v="315"/>
    <n v="56.699999999999996"/>
    <n v="0"/>
    <d v="2024-03-05T00:00:00"/>
    <x v="0"/>
  </r>
  <r>
    <n v="133"/>
    <d v="2024-02-29T00:00:00"/>
    <s v="PQEB-PF-477-28-02-2024"/>
    <d v="2024-02-28T00:00:00"/>
    <x v="1"/>
    <x v="0"/>
    <n v="148"/>
    <x v="3"/>
    <x v="0"/>
    <n v="4821.8999999999996"/>
    <n v="1.1100000000000001"/>
    <n v="0"/>
    <n v="0"/>
    <x v="9"/>
    <s v="Inlay-Card"/>
    <n v="46620"/>
    <x v="0"/>
    <n v="8391.6"/>
    <x v="0"/>
    <m/>
    <m/>
    <x v="0"/>
    <x v="0"/>
    <x v="0"/>
    <x v="2"/>
    <x v="0"/>
    <x v="0"/>
    <m/>
    <x v="0"/>
    <x v="1"/>
    <x v="0"/>
    <x v="0"/>
    <x v="0"/>
    <x v="6"/>
    <n v="315"/>
    <n v="56.7"/>
    <n v="0"/>
    <d v="2024-03-05T00:00:00"/>
    <x v="0"/>
  </r>
  <r>
    <n v="134"/>
    <d v="2024-03-05T00:00:00"/>
    <s v="PCSE-PF-508-04-03-2024"/>
    <d v="2024-03-04T00:00:00"/>
    <x v="0"/>
    <x v="1"/>
    <n v="33974.417099999999"/>
    <x v="3"/>
    <x v="0"/>
    <n v="5402.33"/>
    <n v="1.96"/>
    <n v="33974.417099999999"/>
    <n v="33974.417099999999"/>
    <x v="6"/>
    <s v="100% Polyester"/>
    <n v="19024600"/>
    <x v="0"/>
    <n v="3424428"/>
    <x v="0"/>
    <m/>
    <m/>
    <x v="0"/>
    <x v="0"/>
    <x v="0"/>
    <x v="0"/>
    <x v="0"/>
    <x v="0"/>
    <m/>
    <x v="0"/>
    <x v="1"/>
    <x v="0"/>
    <x v="0"/>
    <x v="0"/>
    <x v="3"/>
    <n v="559.96840045859096"/>
    <n v="100.79431208254637"/>
    <n v="3424428"/>
    <d v="2024-04-04T00:00:00"/>
    <x v="0"/>
  </r>
  <r>
    <n v="135"/>
    <d v="2024-03-02T00:00:00"/>
    <s v="LPEX-PF-9440-01-03-2024"/>
    <d v="2024-03-01T00:00:00"/>
    <x v="0"/>
    <x v="0"/>
    <n v="9071.9403999999995"/>
    <x v="3"/>
    <x v="0"/>
    <n v="5206.1400000000003"/>
    <n v="2.8"/>
    <n v="0"/>
    <n v="0"/>
    <x v="3"/>
    <s v="CVC60:40 - 40/1"/>
    <n v="7240000"/>
    <x v="0"/>
    <n v="1303200"/>
    <x v="0"/>
    <m/>
    <m/>
    <x v="0"/>
    <x v="0"/>
    <x v="0"/>
    <x v="2"/>
    <x v="0"/>
    <x v="0"/>
    <m/>
    <x v="0"/>
    <x v="1"/>
    <x v="0"/>
    <x v="0"/>
    <x v="0"/>
    <x v="3"/>
    <n v="798.06520774761714"/>
    <n v="143.65173739457109"/>
    <n v="0"/>
    <d v="2024-04-01T00:00:00"/>
    <x v="0"/>
  </r>
  <r>
    <n v="136"/>
    <d v="2024-03-09T00:00:00"/>
    <s v="KPEX-PF-156873-05-03-2024"/>
    <d v="2024-03-05T00:00:00"/>
    <x v="0"/>
    <x v="0"/>
    <n v="13256"/>
    <x v="3"/>
    <x v="0"/>
    <n v="5209.42"/>
    <n v="3.71"/>
    <n v="0"/>
    <n v="0"/>
    <x v="19"/>
    <s v="Denim Fabric 99% 1% (33140 Mtr)"/>
    <n v="14018399"/>
    <x v="0"/>
    <n v="2523311.8199999998"/>
    <x v="0"/>
    <m/>
    <m/>
    <x v="0"/>
    <x v="0"/>
    <x v="0"/>
    <x v="0"/>
    <x v="0"/>
    <x v="0"/>
    <m/>
    <x v="0"/>
    <x v="1"/>
    <x v="0"/>
    <x v="0"/>
    <x v="0"/>
    <x v="2"/>
    <n v="1057.5135033192516"/>
    <n v="190.35243059746529"/>
    <n v="0"/>
    <d v="2024-04-08T00:00:00"/>
    <x v="0"/>
  </r>
  <r>
    <n v="137"/>
    <d v="2024-03-02T00:00:00"/>
    <s v="KPEX-PF-152493-27-02-2024"/>
    <d v="2024-02-27T00:00:00"/>
    <x v="1"/>
    <x v="0"/>
    <n v="24"/>
    <x v="3"/>
    <x v="0"/>
    <n v="3919.9090000000001"/>
    <n v="1.82"/>
    <n v="0"/>
    <n v="0"/>
    <x v="9"/>
    <s v="PACKING/ CARTON TAPE"/>
    <n v="12480"/>
    <x v="0"/>
    <n v="2246.4"/>
    <x v="0"/>
    <m/>
    <m/>
    <x v="0"/>
    <x v="0"/>
    <x v="0"/>
    <x v="2"/>
    <x v="0"/>
    <x v="0"/>
    <m/>
    <x v="0"/>
    <x v="1"/>
    <x v="0"/>
    <x v="0"/>
    <x v="0"/>
    <x v="6"/>
    <n v="520"/>
    <n v="93.600000000000009"/>
    <n v="0"/>
    <d v="2024-03-07T00:00:00"/>
    <x v="0"/>
  </r>
  <r>
    <n v="138"/>
    <d v="2024-03-15T00:00:00"/>
    <s v="PCSE-PF-512-11-03-2024"/>
    <d v="2024-03-11T00:00:00"/>
    <x v="0"/>
    <x v="1"/>
    <n v="226798.5122"/>
    <x v="3"/>
    <x v="0"/>
    <n v="5205.24"/>
    <n v="3.69"/>
    <n v="226798.5122"/>
    <n v="226798.5122"/>
    <x v="10"/>
    <s v="40/1 Cotton Yarn Combed"/>
    <n v="238750000"/>
    <x v="0"/>
    <n v="42975000"/>
    <x v="0"/>
    <m/>
    <m/>
    <x v="0"/>
    <x v="0"/>
    <x v="0"/>
    <x v="0"/>
    <x v="0"/>
    <x v="0"/>
    <m/>
    <x v="0"/>
    <x v="1"/>
    <x v="0"/>
    <x v="0"/>
    <x v="0"/>
    <x v="3"/>
    <n v="1052.6965000081689"/>
    <n v="189.48537000147041"/>
    <n v="42975000"/>
    <d v="2024-04-14T00:00:00"/>
    <x v="0"/>
  </r>
  <r>
    <n v="139"/>
    <d v="2024-03-16T00:00:00"/>
    <s v="KPEX-PF-161676-12-03-2024"/>
    <d v="2024-03-12T00:00:00"/>
    <x v="0"/>
    <x v="0"/>
    <n v="994"/>
    <x v="3"/>
    <x v="0"/>
    <n v="5209.42"/>
    <n v="3.7"/>
    <n v="0"/>
    <n v="0"/>
    <x v="19"/>
    <s v="Denim Fabric 99% 1% "/>
    <n v="1049020"/>
    <x v="0"/>
    <n v="188823.6"/>
    <x v="0"/>
    <m/>
    <m/>
    <x v="0"/>
    <x v="0"/>
    <x v="0"/>
    <x v="0"/>
    <x v="0"/>
    <x v="0"/>
    <m/>
    <x v="0"/>
    <x v="1"/>
    <x v="0"/>
    <x v="0"/>
    <x v="0"/>
    <x v="2"/>
    <n v="1055.3521126760563"/>
    <n v="189.96338028169015"/>
    <n v="0"/>
    <d v="2024-04-15T00:00:00"/>
    <x v="0"/>
  </r>
  <r>
    <n v="140"/>
    <d v="2024-03-22T00:00:00"/>
    <s v="KPEX-PF-165497-18-03-2024"/>
    <d v="2024-03-18T00:00:00"/>
    <x v="0"/>
    <x v="1"/>
    <n v="28758.05"/>
    <x v="3"/>
    <x v="0"/>
    <n v="5205.12"/>
    <n v="3.02"/>
    <n v="28758.05"/>
    <n v="28758.05"/>
    <x v="10"/>
    <s v="16/1 95% Cotton 05% Lycra Carded yarn"/>
    <n v="24789402"/>
    <x v="0"/>
    <n v="4462092.3599999994"/>
    <x v="0"/>
    <m/>
    <m/>
    <x v="0"/>
    <x v="0"/>
    <x v="0"/>
    <x v="0"/>
    <x v="0"/>
    <x v="0"/>
    <m/>
    <x v="0"/>
    <x v="1"/>
    <x v="0"/>
    <x v="0"/>
    <x v="0"/>
    <x v="3"/>
    <n v="861.99870992643798"/>
    <n v="155.15976778675883"/>
    <n v="4462092.3599999994"/>
    <d v="2024-04-21T00:00:00"/>
    <x v="0"/>
  </r>
  <r>
    <n v="141"/>
    <d v="2024-03-22T00:00:00"/>
    <s v="KPEX-PF-165506-18-03-2024"/>
    <d v="2024-03-18T00:00:00"/>
    <x v="0"/>
    <x v="0"/>
    <n v="22362.33"/>
    <x v="3"/>
    <x v="0"/>
    <n v="5205.12"/>
    <n v="3.02"/>
    <n v="22362.33"/>
    <n v="0"/>
    <x v="10"/>
    <s v="16/1 95% Cotton 05% Lycra Carded yarn"/>
    <n v="19276302"/>
    <x v="0"/>
    <n v="3469734.36"/>
    <x v="0"/>
    <m/>
    <m/>
    <x v="0"/>
    <x v="0"/>
    <x v="0"/>
    <x v="0"/>
    <x v="0"/>
    <x v="0"/>
    <m/>
    <x v="0"/>
    <x v="1"/>
    <x v="0"/>
    <x v="0"/>
    <x v="0"/>
    <x v="3"/>
    <n v="861.99881676014968"/>
    <n v="155.15978701682695"/>
    <n v="3469734.3600000003"/>
    <d v="2024-04-21T00:00:00"/>
    <x v="0"/>
  </r>
  <r>
    <n v="142"/>
    <d v="2024-03-23T00:00:00"/>
    <s v="LPEX-PF-11369-19-03-2024"/>
    <d v="2024-03-19T00:00:00"/>
    <x v="0"/>
    <x v="0"/>
    <n v="9071.94"/>
    <x v="3"/>
    <x v="0"/>
    <n v="5206.1400000000003"/>
    <n v="2.82"/>
    <n v="0"/>
    <n v="0"/>
    <x v="3"/>
    <s v="CVC60:40"/>
    <n v="7300000"/>
    <x v="0"/>
    <n v="1314000"/>
    <x v="0"/>
    <m/>
    <m/>
    <x v="0"/>
    <x v="0"/>
    <x v="0"/>
    <x v="2"/>
    <x v="0"/>
    <x v="0"/>
    <m/>
    <x v="0"/>
    <x v="1"/>
    <x v="0"/>
    <x v="0"/>
    <x v="0"/>
    <x v="3"/>
    <n v="804.67904329173246"/>
    <n v="144.84222779251184"/>
    <n v="0"/>
    <d v="2024-04-22T00:00:00"/>
    <x v="0"/>
  </r>
  <r>
    <n v="143"/>
    <d v="2024-03-24T00:00:00"/>
    <s v="LPEX-PF-11402-20-03-2024"/>
    <d v="2024-03-20T00:00:00"/>
    <x v="0"/>
    <x v="0"/>
    <n v="9071.94"/>
    <x v="3"/>
    <x v="0"/>
    <n v="5206.1400000000003"/>
    <n v="2.82"/>
    <n v="0"/>
    <n v="0"/>
    <x v="3"/>
    <s v="CVC60:40"/>
    <n v="7300000"/>
    <x v="0"/>
    <n v="1314000"/>
    <x v="0"/>
    <m/>
    <m/>
    <x v="0"/>
    <x v="0"/>
    <x v="0"/>
    <x v="2"/>
    <x v="0"/>
    <x v="0"/>
    <m/>
    <x v="0"/>
    <x v="1"/>
    <x v="0"/>
    <x v="0"/>
    <x v="0"/>
    <x v="3"/>
    <n v="804.67904329173246"/>
    <n v="144.84222779251184"/>
    <n v="0"/>
    <d v="2024-04-23T00:00:00"/>
    <x v="0"/>
  </r>
  <r>
    <n v="144"/>
    <d v="2024-03-25T00:00:00"/>
    <s v="PCSE-PF-529-21-03-2024"/>
    <d v="2024-03-21T00:00:00"/>
    <x v="0"/>
    <x v="0"/>
    <n v="6032.8404"/>
    <x v="3"/>
    <x v="0"/>
    <n v="5509.53"/>
    <n v="2.71"/>
    <n v="0"/>
    <n v="0"/>
    <x v="3"/>
    <s v="PC52:48 - 30/1"/>
    <n v="4655000"/>
    <x v="0"/>
    <n v="837900"/>
    <x v="0"/>
    <m/>
    <m/>
    <x v="0"/>
    <x v="0"/>
    <x v="0"/>
    <x v="0"/>
    <x v="0"/>
    <x v="0"/>
    <m/>
    <x v="0"/>
    <x v="1"/>
    <x v="0"/>
    <x v="0"/>
    <x v="0"/>
    <x v="3"/>
    <n v="771.61000314213516"/>
    <n v="138.88980056558432"/>
    <n v="0"/>
    <d v="2024-04-24T00:00:00"/>
    <x v="0"/>
  </r>
  <r>
    <n v="145"/>
    <d v="2024-03-24T00:00:00"/>
    <s v="KPPE-PF-202915-20-03-2024"/>
    <d v="2024-03-20T00:00:00"/>
    <x v="0"/>
    <x v="0"/>
    <n v="16680"/>
    <x v="3"/>
    <x v="0"/>
    <n v="3809.9189999999999"/>
    <n v="0.53"/>
    <n v="0"/>
    <n v="0"/>
    <x v="12"/>
    <s v="SOFTEX "/>
    <n v="2502000"/>
    <x v="0"/>
    <n v="450360"/>
    <x v="0"/>
    <m/>
    <m/>
    <x v="0"/>
    <x v="0"/>
    <x v="0"/>
    <x v="2"/>
    <x v="0"/>
    <x v="0"/>
    <m/>
    <x v="0"/>
    <x v="1"/>
    <x v="0"/>
    <x v="0"/>
    <x v="0"/>
    <x v="5"/>
    <n v="150"/>
    <n v="27"/>
    <n v="0"/>
    <d v="2024-04-23T00:00:00"/>
    <x v="0"/>
  </r>
  <r>
    <n v="146"/>
    <d v="2024-03-24T00:00:00"/>
    <s v="PQEB-PF-553-20-03-2024"/>
    <d v="2024-03-20T00:00:00"/>
    <x v="1"/>
    <x v="0"/>
    <n v="20369"/>
    <x v="3"/>
    <x v="0"/>
    <n v="4821.8999999999996"/>
    <n v="0.64"/>
    <n v="0"/>
    <n v="0"/>
    <x v="9"/>
    <s v="Inlay-Card"/>
    <n v="3727527"/>
    <x v="0"/>
    <n v="670954.86"/>
    <x v="0"/>
    <m/>
    <m/>
    <x v="0"/>
    <x v="0"/>
    <x v="0"/>
    <x v="2"/>
    <x v="0"/>
    <x v="0"/>
    <m/>
    <x v="0"/>
    <x v="1"/>
    <x v="0"/>
    <x v="0"/>
    <x v="0"/>
    <x v="6"/>
    <n v="183"/>
    <n v="32.94"/>
    <n v="0"/>
    <d v="2024-03-29T00:00:00"/>
    <x v="0"/>
  </r>
  <r>
    <n v="147"/>
    <d v="2024-03-24T00:00:00"/>
    <s v="PQEB-PF-554-20-03-2024"/>
    <d v="2024-03-20T00:00:00"/>
    <x v="1"/>
    <x v="0"/>
    <n v="17465"/>
    <x v="3"/>
    <x v="0"/>
    <n v="4821.8999999999996"/>
    <n v="0.61"/>
    <n v="0"/>
    <n v="0"/>
    <x v="9"/>
    <s v="Inlay-Card"/>
    <n v="3021445"/>
    <x v="0"/>
    <n v="543860.1"/>
    <x v="0"/>
    <m/>
    <m/>
    <x v="0"/>
    <x v="0"/>
    <x v="0"/>
    <x v="0"/>
    <x v="0"/>
    <x v="0"/>
    <m/>
    <x v="0"/>
    <x v="1"/>
    <x v="0"/>
    <x v="0"/>
    <x v="0"/>
    <x v="6"/>
    <n v="173"/>
    <n v="31.139999999999997"/>
    <n v="0"/>
    <d v="2024-03-29T00:00:00"/>
    <x v="0"/>
  </r>
  <r>
    <n v="148"/>
    <d v="2024-03-24T00:00:00"/>
    <s v="PQEB-PF-555-20-03-2024"/>
    <d v="2024-03-20T00:00:00"/>
    <x v="1"/>
    <x v="0"/>
    <n v="11554"/>
    <x v="3"/>
    <x v="0"/>
    <n v="4821.8999999999996"/>
    <n v="0.61"/>
    <n v="11554"/>
    <n v="11554"/>
    <x v="9"/>
    <s v="Inlay-Card"/>
    <n v="1998842"/>
    <x v="0"/>
    <n v="359791.56"/>
    <x v="0"/>
    <m/>
    <m/>
    <x v="0"/>
    <x v="0"/>
    <x v="0"/>
    <x v="2"/>
    <x v="0"/>
    <x v="0"/>
    <m/>
    <x v="0"/>
    <x v="1"/>
    <x v="0"/>
    <x v="0"/>
    <x v="0"/>
    <x v="6"/>
    <n v="173"/>
    <n v="31.14"/>
    <n v="359791.56"/>
    <d v="2024-03-29T00:00:00"/>
    <x v="0"/>
  </r>
  <r>
    <n v="149"/>
    <d v="2024-03-25T00:00:00"/>
    <s v="KPEX-PF-167450-21-03-2024"/>
    <d v="2024-03-21T00:00:00"/>
    <x v="0"/>
    <x v="0"/>
    <n v="3356.5880000000002"/>
    <x v="3"/>
    <x v="0"/>
    <n v="5206.12"/>
    <n v="2.36"/>
    <n v="0"/>
    <n v="0"/>
    <x v="3"/>
    <s v="CVC60:40 - 10/1"/>
    <n v="2257000"/>
    <x v="0"/>
    <n v="406260"/>
    <x v="0"/>
    <m/>
    <m/>
    <x v="0"/>
    <x v="0"/>
    <x v="0"/>
    <x v="0"/>
    <x v="0"/>
    <x v="0"/>
    <m/>
    <x v="0"/>
    <x v="1"/>
    <x v="0"/>
    <x v="0"/>
    <x v="0"/>
    <x v="3"/>
    <n v="672.40900581185417"/>
    <n v="121.03362104613375"/>
    <n v="0"/>
    <d v="2024-04-24T00:00:00"/>
    <x v="0"/>
  </r>
  <r>
    <n v="150"/>
    <d v="2024-03-12T00:00:00"/>
    <s v="LPEX-PF-10311-08-03-2024"/>
    <d v="2024-03-08T00:00:00"/>
    <x v="0"/>
    <x v="0"/>
    <n v="18143.8809"/>
    <x v="3"/>
    <x v="0"/>
    <n v="5206.1400000000003"/>
    <n v="2.8"/>
    <n v="0"/>
    <n v="0"/>
    <x v="3"/>
    <s v="CVC60:40 - 40/1"/>
    <n v="14480000"/>
    <x v="0"/>
    <n v="2606400"/>
    <x v="0"/>
    <m/>
    <m/>
    <x v="0"/>
    <x v="0"/>
    <x v="0"/>
    <x v="2"/>
    <x v="0"/>
    <x v="0"/>
    <m/>
    <x v="0"/>
    <x v="1"/>
    <x v="0"/>
    <x v="0"/>
    <x v="0"/>
    <x v="3"/>
    <n v="798.06520334908066"/>
    <n v="143.65173660283452"/>
    <n v="0"/>
    <d v="2024-04-11T00:00:00"/>
    <x v="0"/>
  </r>
  <r>
    <n v="151"/>
    <d v="2024-03-23T00:00:00"/>
    <s v="LPEX-PF-11267-19-03-2024"/>
    <d v="2024-03-19T00:00:00"/>
    <x v="0"/>
    <x v="0"/>
    <n v="9071.94"/>
    <x v="3"/>
    <x v="0"/>
    <n v="5206.1400000000003"/>
    <n v="2.82"/>
    <n v="0"/>
    <n v="0"/>
    <x v="3"/>
    <s v="CVC60:40 "/>
    <n v="7300000"/>
    <x v="0"/>
    <n v="1314000"/>
    <x v="0"/>
    <m/>
    <m/>
    <x v="0"/>
    <x v="0"/>
    <x v="0"/>
    <x v="2"/>
    <x v="0"/>
    <x v="0"/>
    <m/>
    <x v="0"/>
    <x v="1"/>
    <x v="0"/>
    <x v="0"/>
    <x v="0"/>
    <x v="3"/>
    <n v="804.67904329173246"/>
    <n v="144.84222779251184"/>
    <n v="0"/>
    <d v="2024-04-22T00:00:00"/>
    <x v="0"/>
  </r>
  <r>
    <n v="152"/>
    <d v="2024-03-19T00:00:00"/>
    <s v="LPEX-PF-11080-15-03-2024"/>
    <d v="2024-03-15T00:00:00"/>
    <x v="0"/>
    <x v="0"/>
    <n v="14376"/>
    <x v="3"/>
    <x v="0"/>
    <n v="5208.1899999999996"/>
    <n v="3.99"/>
    <n v="0"/>
    <n v="0"/>
    <x v="14"/>
    <s v="40/1 cotton fabric"/>
    <n v="16329867"/>
    <x v="0"/>
    <n v="2939376.06"/>
    <x v="0"/>
    <m/>
    <m/>
    <x v="0"/>
    <x v="0"/>
    <x v="0"/>
    <x v="0"/>
    <x v="0"/>
    <x v="0"/>
    <m/>
    <x v="0"/>
    <x v="1"/>
    <x v="0"/>
    <x v="0"/>
    <x v="0"/>
    <x v="2"/>
    <n v="1135.9117278797996"/>
    <n v="204.46411101836395"/>
    <n v="0"/>
    <d v="2024-04-18T00:00:00"/>
    <x v="0"/>
  </r>
  <r>
    <n v="153"/>
    <d v="2024-03-19T00:00:00"/>
    <s v="LPEX-PF-11081-15-03-2024"/>
    <d v="2024-03-15T00:00:00"/>
    <x v="0"/>
    <x v="0"/>
    <n v="8970"/>
    <x v="3"/>
    <x v="0"/>
    <n v="5208.1899999999996"/>
    <n v="3.98"/>
    <n v="0"/>
    <n v="0"/>
    <x v="14"/>
    <s v="40/1 cotton fabric"/>
    <n v="10164690"/>
    <x v="0"/>
    <n v="1829644.2"/>
    <x v="0"/>
    <m/>
    <m/>
    <x v="0"/>
    <x v="0"/>
    <x v="0"/>
    <x v="0"/>
    <x v="0"/>
    <x v="0"/>
    <m/>
    <x v="0"/>
    <x v="1"/>
    <x v="0"/>
    <x v="0"/>
    <x v="0"/>
    <x v="2"/>
    <n v="1133.1872909698998"/>
    <n v="203.97371237458194"/>
    <n v="0"/>
    <d v="2024-04-18T00:00:00"/>
    <x v="0"/>
  </r>
  <r>
    <n v="154"/>
    <d v="2024-03-19T00:00:00"/>
    <s v="LPEX-PF-11084-15-03-2024"/>
    <d v="2024-03-15T00:00:00"/>
    <x v="0"/>
    <x v="0"/>
    <n v="9459"/>
    <x v="3"/>
    <x v="0"/>
    <n v="5208.1899999999996"/>
    <n v="3.98"/>
    <n v="0"/>
    <n v="0"/>
    <x v="14"/>
    <s v="40/1 cotton fabric"/>
    <n v="10734048"/>
    <x v="0"/>
    <n v="1932128.64"/>
    <x v="0"/>
    <m/>
    <m/>
    <x v="0"/>
    <x v="0"/>
    <x v="0"/>
    <x v="0"/>
    <x v="0"/>
    <x v="0"/>
    <m/>
    <x v="0"/>
    <x v="1"/>
    <x v="0"/>
    <x v="0"/>
    <x v="0"/>
    <x v="2"/>
    <n v="1134.7973358705995"/>
    <n v="204.26352045670788"/>
    <n v="0"/>
    <d v="2024-04-18T00:00:00"/>
    <x v="0"/>
  </r>
  <r>
    <n v="155"/>
    <d v="2024-03-19T00:00:00"/>
    <s v="LPEX-PF-11091-15-03-2024"/>
    <d v="2024-03-15T00:00:00"/>
    <x v="0"/>
    <x v="0"/>
    <n v="7047"/>
    <x v="3"/>
    <x v="0"/>
    <n v="5208.1899999999996"/>
    <n v="3.94"/>
    <n v="0"/>
    <n v="0"/>
    <x v="14"/>
    <s v="40/1 cotton fabric"/>
    <n v="7918625"/>
    <x v="0"/>
    <n v="1425352.5"/>
    <x v="0"/>
    <m/>
    <m/>
    <x v="0"/>
    <x v="0"/>
    <x v="0"/>
    <x v="0"/>
    <x v="0"/>
    <x v="0"/>
    <m/>
    <x v="0"/>
    <x v="1"/>
    <x v="0"/>
    <x v="0"/>
    <x v="0"/>
    <x v="2"/>
    <n v="1123.6873847027105"/>
    <n v="202.26372924648786"/>
    <n v="0"/>
    <d v="2024-04-18T00:00:00"/>
    <x v="0"/>
  </r>
  <r>
    <n v="156"/>
    <d v="2024-03-22T00:00:00"/>
    <s v="MCSE-PF-2911-18-03-2024"/>
    <d v="2024-03-18T00:00:00"/>
    <x v="0"/>
    <x v="2"/>
    <n v="9967"/>
    <x v="3"/>
    <x v="0"/>
    <n v="5208.1899999999996"/>
    <n v="2.86"/>
    <n v="1245.3799999999992"/>
    <n v="9967"/>
    <x v="14"/>
    <s v="16/1 cotton fabric"/>
    <n v="8112390"/>
    <x v="0"/>
    <n v="1460230.2"/>
    <x v="0"/>
    <m/>
    <m/>
    <x v="0"/>
    <x v="0"/>
    <x v="0"/>
    <x v="0"/>
    <x v="0"/>
    <x v="0"/>
    <m/>
    <x v="0"/>
    <x v="1"/>
    <x v="0"/>
    <x v="0"/>
    <x v="0"/>
    <x v="2"/>
    <n v="813.92495234273099"/>
    <n v="146.50649142169158"/>
    <n v="182456.25428674615"/>
    <d v="2024-04-21T00:00:00"/>
    <x v="0"/>
  </r>
  <r>
    <n v="157"/>
    <d v="2024-03-30T00:00:00"/>
    <s v="KPEX-PF-170454-26-03-2024"/>
    <d v="2024-03-26T00:00:00"/>
    <x v="0"/>
    <x v="0"/>
    <n v="42497"/>
    <x v="3"/>
    <x v="0"/>
    <n v="5209.42"/>
    <n v="3.66"/>
    <n v="0"/>
    <n v="0"/>
    <x v="19"/>
    <s v="Denim Fabric 99% 1%"/>
    <n v="44280450"/>
    <x v="0"/>
    <n v="7970481"/>
    <x v="0"/>
    <m/>
    <m/>
    <x v="0"/>
    <x v="0"/>
    <x v="0"/>
    <x v="0"/>
    <x v="0"/>
    <x v="0"/>
    <m/>
    <x v="0"/>
    <x v="1"/>
    <x v="0"/>
    <x v="0"/>
    <x v="0"/>
    <x v="2"/>
    <n v="1041.9664917523589"/>
    <n v="187.55396851542463"/>
    <n v="0"/>
    <d v="2024-04-29T00:00:00"/>
    <x v="0"/>
  </r>
  <r>
    <n v="158"/>
    <d v="2024-03-24T00:00:00"/>
    <s v="LPEX-PF-11426-20-03-2024"/>
    <d v="2024-03-20T00:00:00"/>
    <x v="0"/>
    <x v="0"/>
    <n v="7121.4732000000004"/>
    <x v="3"/>
    <x v="0"/>
    <n v="5206.1400000000003"/>
    <n v="2.8"/>
    <n v="0"/>
    <n v="0"/>
    <x v="3"/>
    <s v="CVC60:40 - 40/1"/>
    <n v="5683400"/>
    <x v="0"/>
    <n v="1023012"/>
    <x v="0"/>
    <m/>
    <m/>
    <x v="0"/>
    <x v="0"/>
    <x v="0"/>
    <x v="2"/>
    <x v="0"/>
    <x v="0"/>
    <m/>
    <x v="0"/>
    <x v="1"/>
    <x v="0"/>
    <x v="0"/>
    <x v="0"/>
    <x v="3"/>
    <n v="798.06520931652176"/>
    <n v="143.65173767697391"/>
    <n v="0"/>
    <d v="2024-04-23T00:00:00"/>
    <x v="0"/>
  </r>
  <r>
    <n v="159"/>
    <d v="2024-03-31T00:00:00"/>
    <s v="KPPE-PF-209601-28-03-2024"/>
    <d v="2024-03-28T00:00:00"/>
    <x v="0"/>
    <x v="0"/>
    <n v="902"/>
    <x v="3"/>
    <x v="0"/>
    <n v="5401.1"/>
    <n v="8.33"/>
    <n v="0"/>
    <n v="0"/>
    <x v="17"/>
    <s v="Stitching Thread PPCA 16/2, 21/2, 40/2"/>
    <n v="2140580"/>
    <x v="0"/>
    <n v="385304.39999999997"/>
    <x v="0"/>
    <m/>
    <m/>
    <x v="0"/>
    <x v="0"/>
    <x v="0"/>
    <x v="2"/>
    <x v="0"/>
    <x v="0"/>
    <m/>
    <x v="0"/>
    <x v="1"/>
    <x v="0"/>
    <x v="0"/>
    <x v="0"/>
    <x v="3"/>
    <n v="2373.1485587583147"/>
    <n v="427.16674057649664"/>
    <n v="0"/>
    <d v="2024-04-30T00:00:00"/>
    <x v="0"/>
  </r>
  <r>
    <n v="160"/>
    <d v="2024-03-31T00:00:00"/>
    <s v="KPPE-PF-209612-28-03-2024"/>
    <d v="2024-03-28T00:00:00"/>
    <x v="0"/>
    <x v="0"/>
    <n v="882"/>
    <x v="3"/>
    <x v="0"/>
    <n v="5401.2089999999998"/>
    <n v="3.09"/>
    <n v="0"/>
    <n v="0"/>
    <x v="17"/>
    <s v="Stitching Thread SSPA 21/2, 21/3, 50/3"/>
    <n v="777924"/>
    <x v="0"/>
    <n v="140026.32"/>
    <x v="0"/>
    <m/>
    <m/>
    <x v="0"/>
    <x v="0"/>
    <x v="0"/>
    <x v="2"/>
    <x v="0"/>
    <x v="0"/>
    <m/>
    <x v="0"/>
    <x v="1"/>
    <x v="0"/>
    <x v="0"/>
    <x v="0"/>
    <x v="3"/>
    <n v="882"/>
    <n v="158.76000000000002"/>
    <n v="0"/>
    <d v="2024-04-30T00:00:00"/>
    <x v="0"/>
  </r>
  <r>
    <n v="161"/>
    <d v="2024-04-04T00:00:00"/>
    <s v="PCSE-PF-563-03-04-2024"/>
    <d v="2024-04-03T00:00:00"/>
    <x v="0"/>
    <x v="1"/>
    <n v="5715.3225000000002"/>
    <x v="3"/>
    <x v="0"/>
    <n v="5205.2700000000004"/>
    <n v="5.07"/>
    <n v="5715.3225000000002"/>
    <n v="5715.3225000000002"/>
    <x v="10"/>
    <s v="60/1 Cotton Yarn Combed"/>
    <n v="8253000"/>
    <x v="0"/>
    <n v="1485540"/>
    <x v="0"/>
    <m/>
    <m/>
    <x v="0"/>
    <x v="0"/>
    <x v="0"/>
    <x v="0"/>
    <x v="0"/>
    <x v="0"/>
    <m/>
    <x v="0"/>
    <x v="1"/>
    <x v="0"/>
    <x v="0"/>
    <x v="0"/>
    <x v="3"/>
    <n v="1444.0130018909695"/>
    <n v="259.92234034037449"/>
    <n v="1485540"/>
    <d v="2024-05-04T00:00:00"/>
    <x v="0"/>
  </r>
  <r>
    <n v="162"/>
    <d v="2024-04-08T00:00:00"/>
    <s v="LPEX-PF-12823-03-04-2024"/>
    <d v="2024-04-03T00:00:00"/>
    <x v="0"/>
    <x v="1"/>
    <n v="8204"/>
    <x v="3"/>
    <x v="0"/>
    <n v="5208.1899999999996"/>
    <n v="4.0999999999999996"/>
    <n v="8204"/>
    <n v="8204"/>
    <x v="10"/>
    <s v="40/1 cotton fabric"/>
    <n v="9580104"/>
    <x v="0"/>
    <n v="1724418.72"/>
    <x v="0"/>
    <m/>
    <m/>
    <x v="0"/>
    <x v="0"/>
    <x v="0"/>
    <x v="0"/>
    <x v="0"/>
    <x v="0"/>
    <m/>
    <x v="0"/>
    <x v="1"/>
    <x v="0"/>
    <x v="0"/>
    <x v="0"/>
    <x v="3"/>
    <n v="1167.7357386640663"/>
    <n v="210.19243295953194"/>
    <n v="1724418.72"/>
    <d v="2024-05-08T00:00:00"/>
    <x v="0"/>
  </r>
  <r>
    <n v="163"/>
    <d v="2024-04-08T00:00:00"/>
    <s v="LPEX-PF-12827-03-04-2024"/>
    <d v="2024-04-03T00:00:00"/>
    <x v="0"/>
    <x v="1"/>
    <n v="4507"/>
    <x v="3"/>
    <x v="0"/>
    <n v="5208.1899999999996"/>
    <n v="4.0999999999999996"/>
    <n v="4507"/>
    <n v="4507"/>
    <x v="10"/>
    <s v="40/1 cotton fabric"/>
    <n v="5270157"/>
    <x v="0"/>
    <n v="948628.26"/>
    <x v="0"/>
    <m/>
    <m/>
    <x v="0"/>
    <x v="0"/>
    <x v="0"/>
    <x v="0"/>
    <x v="0"/>
    <x v="0"/>
    <m/>
    <x v="0"/>
    <x v="1"/>
    <x v="0"/>
    <x v="0"/>
    <x v="0"/>
    <x v="3"/>
    <n v="1169.327046816064"/>
    <n v="210.47886842689149"/>
    <n v="948628.26"/>
    <d v="2024-05-08T00:00:00"/>
    <x v="0"/>
  </r>
  <r>
    <n v="164"/>
    <d v="2024-04-08T00:00:00"/>
    <s v="LPEX-PF-12829-03-04-2024"/>
    <d v="2024-04-03T00:00:00"/>
    <x v="0"/>
    <x v="1"/>
    <n v="8130"/>
    <x v="3"/>
    <x v="0"/>
    <n v="5208.1899999999996"/>
    <n v="4.07"/>
    <n v="8130"/>
    <n v="8130"/>
    <x v="10"/>
    <s v="40/1 cotton fabric"/>
    <n v="9432356"/>
    <x v="0"/>
    <n v="1697824.0799999998"/>
    <x v="0"/>
    <m/>
    <m/>
    <x v="0"/>
    <x v="0"/>
    <x v="0"/>
    <x v="0"/>
    <x v="0"/>
    <x v="0"/>
    <m/>
    <x v="0"/>
    <x v="1"/>
    <x v="0"/>
    <x v="0"/>
    <x v="0"/>
    <x v="3"/>
    <n v="1160.1913899138992"/>
    <n v="208.83445018450183"/>
    <n v="1697824.0799999998"/>
    <d v="2024-05-08T00:00:00"/>
    <x v="0"/>
  </r>
  <r>
    <n v="165"/>
    <d v="2024-04-05T00:00:00"/>
    <s v="LPEX-PF-12204-28-03-2024"/>
    <d v="2024-03-28T00:00:00"/>
    <x v="0"/>
    <x v="0"/>
    <n v="13880.07"/>
    <x v="3"/>
    <x v="0"/>
    <n v="5206.1400000000003"/>
    <n v="2.8"/>
    <n v="0"/>
    <n v="0"/>
    <x v="3"/>
    <s v="CVC60:40 - 40/1"/>
    <n v="11077200"/>
    <x v="0"/>
    <n v="1993896"/>
    <x v="0"/>
    <m/>
    <m/>
    <x v="0"/>
    <x v="0"/>
    <x v="0"/>
    <x v="2"/>
    <x v="0"/>
    <x v="0"/>
    <m/>
    <x v="0"/>
    <x v="1"/>
    <x v="0"/>
    <x v="0"/>
    <x v="0"/>
    <x v="3"/>
    <n v="798.06513944093945"/>
    <n v="143.65172509936909"/>
    <n v="0"/>
    <d v="2024-05-05T00:00:00"/>
    <x v="0"/>
  </r>
  <r>
    <n v="166"/>
    <d v="2024-04-05T00:00:00"/>
    <s v="LPEX-PF-11487-20-03-2024"/>
    <d v="2024-03-20T00:00:00"/>
    <x v="0"/>
    <x v="0"/>
    <n v="7937.95"/>
    <x v="3"/>
    <x v="0"/>
    <n v="5206.1400000000003"/>
    <n v="2.82"/>
    <n v="0"/>
    <n v="0"/>
    <x v="3"/>
    <s v="CVC60:40 "/>
    <n v="6387500"/>
    <x v="0"/>
    <n v="1149750"/>
    <x v="0"/>
    <m/>
    <m/>
    <x v="0"/>
    <x v="0"/>
    <x v="0"/>
    <x v="0"/>
    <x v="0"/>
    <x v="0"/>
    <m/>
    <x v="0"/>
    <x v="1"/>
    <x v="0"/>
    <x v="0"/>
    <x v="0"/>
    <x v="3"/>
    <n v="804.67878986388178"/>
    <n v="144.84218217549872"/>
    <n v="0"/>
    <d v="2024-05-05T00:00:00"/>
    <x v="0"/>
  </r>
  <r>
    <n v="167"/>
    <d v="2024-04-04T00:00:00"/>
    <s v="PCSE-PF-575-04-04-2024"/>
    <d v="2024-04-04T00:00:00"/>
    <x v="0"/>
    <x v="1"/>
    <n v="226798.5122"/>
    <x v="3"/>
    <x v="0"/>
    <n v="5205.24"/>
    <n v="3.67"/>
    <n v="226798.5122"/>
    <n v="226798.5122"/>
    <x v="10"/>
    <s v="40/1 Cotton Yarn Combed"/>
    <n v="237500000"/>
    <x v="0"/>
    <n v="42750000"/>
    <x v="0"/>
    <m/>
    <m/>
    <x v="0"/>
    <x v="0"/>
    <x v="0"/>
    <x v="0"/>
    <x v="0"/>
    <x v="0"/>
    <m/>
    <x v="0"/>
    <x v="1"/>
    <x v="0"/>
    <x v="0"/>
    <x v="0"/>
    <x v="3"/>
    <n v="1047.1850000081263"/>
    <n v="188.4933000014627"/>
    <n v="42750000"/>
    <d v="2024-05-04T00:00:00"/>
    <x v="0"/>
  </r>
  <r>
    <n v="168"/>
    <d v="2024-04-09T00:00:00"/>
    <s v="PQEB-PF-634-05-04-2024"/>
    <d v="2024-04-05T00:00:00"/>
    <x v="1"/>
    <x v="0"/>
    <n v="370"/>
    <x v="3"/>
    <x v="0"/>
    <n v="4821.8999999999996"/>
    <n v="0.61"/>
    <n v="0"/>
    <n v="0"/>
    <x v="9"/>
    <s v="Inlay-Card"/>
    <n v="64010"/>
    <x v="0"/>
    <n v="11521.8"/>
    <x v="0"/>
    <m/>
    <m/>
    <x v="0"/>
    <x v="0"/>
    <x v="0"/>
    <x v="2"/>
    <x v="0"/>
    <x v="0"/>
    <m/>
    <x v="0"/>
    <x v="1"/>
    <x v="0"/>
    <x v="0"/>
    <x v="0"/>
    <x v="6"/>
    <n v="173"/>
    <n v="31.139999999999997"/>
    <n v="0"/>
    <d v="2024-04-14T00:00:00"/>
    <x v="0"/>
  </r>
  <r>
    <n v="169"/>
    <d v="2024-04-08T00:00:00"/>
    <s v="KPEX-PF-178431-06-04-2024"/>
    <d v="2024-04-16T00:00:00"/>
    <x v="0"/>
    <x v="0"/>
    <n v="59830"/>
    <x v="3"/>
    <x v="0"/>
    <n v="5209.42"/>
    <n v="3.67"/>
    <n v="0"/>
    <n v="0"/>
    <x v="19"/>
    <s v="Denim Fabric 99% 1%"/>
    <n v="62498221"/>
    <x v="0"/>
    <n v="11249679.779999999"/>
    <x v="0"/>
    <m/>
    <m/>
    <x v="0"/>
    <x v="0"/>
    <x v="0"/>
    <x v="0"/>
    <x v="0"/>
    <x v="0"/>
    <m/>
    <x v="0"/>
    <x v="1"/>
    <x v="0"/>
    <x v="0"/>
    <x v="0"/>
    <x v="2"/>
    <n v="1044.5967073374561"/>
    <n v="188.0274073207421"/>
    <n v="0"/>
    <d v="2024-05-08T00:00:00"/>
    <x v="0"/>
  </r>
  <r>
    <n v="170"/>
    <d v="2024-04-16T00:00:00"/>
    <s v="KPEX-PF-180715-15-04-2024"/>
    <d v="2024-04-15T00:00:00"/>
    <x v="0"/>
    <x v="1"/>
    <n v="11566.72"/>
    <x v="3"/>
    <x v="0"/>
    <n v="5205.12"/>
    <n v="3.19"/>
    <n v="11566.72"/>
    <n v="11566.72"/>
    <x v="10"/>
    <s v="16/1 95% Cotton 05% Lycra Carded yarn"/>
    <n v="10506001"/>
    <x v="0"/>
    <n v="1891080.18"/>
    <x v="0"/>
    <m/>
    <m/>
    <x v="0"/>
    <x v="0"/>
    <x v="0"/>
    <x v="0"/>
    <x v="0"/>
    <x v="0"/>
    <m/>
    <x v="0"/>
    <x v="1"/>
    <x v="0"/>
    <x v="0"/>
    <x v="0"/>
    <x v="3"/>
    <n v="908.29561016433354"/>
    <n v="163.49320982958005"/>
    <n v="1891080.1800000002"/>
    <d v="2024-05-16T00:00:00"/>
    <x v="0"/>
  </r>
  <r>
    <n v="171"/>
    <d v="2024-04-16T00:00:00"/>
    <s v="KPEX-PF-180718-15-04-2024"/>
    <d v="2024-04-15T00:00:00"/>
    <x v="0"/>
    <x v="1"/>
    <n v="12247.12"/>
    <x v="3"/>
    <x v="0"/>
    <n v="5205.12"/>
    <n v="3.1"/>
    <n v="12247.12"/>
    <n v="12247.12"/>
    <x v="10"/>
    <s v="16/1 95% Cotton 05% Lycra Carded yarn"/>
    <n v="10817001"/>
    <x v="0"/>
    <n v="1947060.18"/>
    <x v="0"/>
    <m/>
    <m/>
    <x v="0"/>
    <x v="0"/>
    <x v="0"/>
    <x v="0"/>
    <x v="0"/>
    <x v="0"/>
    <m/>
    <x v="0"/>
    <x v="1"/>
    <x v="0"/>
    <x v="0"/>
    <x v="0"/>
    <x v="3"/>
    <n v="883.22813853379398"/>
    <n v="158.98106493608293"/>
    <n v="1947060.1800000002"/>
    <d v="2024-05-16T00:00:00"/>
    <x v="0"/>
  </r>
  <r>
    <n v="172"/>
    <d v="2024-04-16T00:00:00"/>
    <s v="KPEX-PF-180742-15-04-2024"/>
    <d v="2024-04-15T00:00:00"/>
    <x v="0"/>
    <x v="0"/>
    <n v="5080.29"/>
    <x v="3"/>
    <x v="0"/>
    <n v="5205.12"/>
    <n v="3.48"/>
    <n v="0"/>
    <n v="0"/>
    <x v="10"/>
    <s v="20/1 95% Cotton 05% Lycra Carded yarn"/>
    <n v="5040000"/>
    <x v="0"/>
    <n v="907200"/>
    <x v="0"/>
    <m/>
    <m/>
    <x v="0"/>
    <x v="0"/>
    <x v="0"/>
    <x v="2"/>
    <x v="0"/>
    <x v="0"/>
    <m/>
    <x v="0"/>
    <x v="1"/>
    <x v="0"/>
    <x v="0"/>
    <x v="0"/>
    <x v="3"/>
    <n v="992.06935037173071"/>
    <n v="178.57248306691153"/>
    <n v="0"/>
    <d v="2024-05-16T00:00:00"/>
    <x v="0"/>
  </r>
  <r>
    <n v="173"/>
    <d v="2024-04-16T00:00:00"/>
    <s v="KPEX-PF-181007-16-04-2024"/>
    <d v="2024-04-16T00:00:00"/>
    <x v="0"/>
    <x v="1"/>
    <n v="6259.6390000000001"/>
    <x v="3"/>
    <x v="0"/>
    <n v="5205.22"/>
    <n v="3.4"/>
    <n v="6259.6390000000001"/>
    <n v="6259.6390000000001"/>
    <x v="10"/>
    <s v="24/1 Cotton Yarn Combed"/>
    <n v="6072000"/>
    <x v="0"/>
    <n v="1092960"/>
    <x v="0"/>
    <m/>
    <m/>
    <x v="0"/>
    <x v="0"/>
    <x v="0"/>
    <x v="0"/>
    <x v="0"/>
    <x v="0"/>
    <m/>
    <x v="0"/>
    <x v="1"/>
    <x v="0"/>
    <x v="0"/>
    <x v="0"/>
    <x v="3"/>
    <n v="970.02399020135181"/>
    <n v="174.60431823624333"/>
    <n v="1092960"/>
    <d v="2024-05-16T00:00:00"/>
    <x v="0"/>
  </r>
  <r>
    <n v="174"/>
    <d v="2024-04-16T00:00:00"/>
    <s v="KPEX-PF-181236-16-04-2024"/>
    <d v="2024-04-16T00:00:00"/>
    <x v="0"/>
    <x v="0"/>
    <n v="10478.091"/>
    <x v="3"/>
    <x v="0"/>
    <n v="5205.12"/>
    <n v="2.98"/>
    <n v="0"/>
    <n v="0"/>
    <x v="10"/>
    <s v="20/1 Cotton Yarn Carded"/>
    <n v="8893500"/>
    <x v="0"/>
    <n v="1600830"/>
    <x v="0"/>
    <m/>
    <m/>
    <x v="0"/>
    <x v="0"/>
    <x v="0"/>
    <x v="2"/>
    <x v="0"/>
    <x v="0"/>
    <m/>
    <x v="0"/>
    <x v="1"/>
    <x v="0"/>
    <x v="0"/>
    <x v="0"/>
    <x v="3"/>
    <n v="848.77102136257452"/>
    <n v="152.7787838452634"/>
    <n v="0"/>
    <d v="2024-05-16T00:00:00"/>
    <x v="0"/>
  </r>
  <r>
    <n v="175"/>
    <d v="2024-04-16T00:00:00"/>
    <s v="KPEX-PF-181243-16-04-2024"/>
    <d v="2024-04-16T00:00:00"/>
    <x v="0"/>
    <x v="0"/>
    <n v="4082.373"/>
    <x v="3"/>
    <x v="0"/>
    <n v="5205.12"/>
    <n v="2.98"/>
    <n v="0"/>
    <n v="0"/>
    <x v="10"/>
    <s v="20/1 Cotton Yarn Carded"/>
    <n v="3465000"/>
    <x v="0"/>
    <n v="623700"/>
    <x v="0"/>
    <m/>
    <m/>
    <x v="0"/>
    <x v="0"/>
    <x v="0"/>
    <x v="2"/>
    <x v="0"/>
    <x v="0"/>
    <m/>
    <x v="0"/>
    <x v="1"/>
    <x v="0"/>
    <x v="0"/>
    <x v="0"/>
    <x v="3"/>
    <n v="848.77104566388221"/>
    <n v="152.77878821949881"/>
    <n v="0"/>
    <d v="2024-05-16T00:00:00"/>
    <x v="0"/>
  </r>
  <r>
    <n v="176"/>
    <d v="2024-04-17T00:00:00"/>
    <s v="KPEX-PF-181238-16-04-2024"/>
    <d v="2024-04-16T00:00:00"/>
    <x v="0"/>
    <x v="0"/>
    <n v="6078.2"/>
    <x v="3"/>
    <x v="0"/>
    <n v="5205.2299999999996"/>
    <n v="3.56"/>
    <n v="0"/>
    <n v="0"/>
    <x v="10"/>
    <s v="30/1 Cotton Yarn Combed"/>
    <n v="6164000"/>
    <x v="0"/>
    <n v="1109520"/>
    <x v="0"/>
    <m/>
    <m/>
    <x v="0"/>
    <x v="0"/>
    <x v="0"/>
    <x v="0"/>
    <x v="0"/>
    <x v="0"/>
    <m/>
    <x v="0"/>
    <x v="1"/>
    <x v="0"/>
    <x v="0"/>
    <x v="0"/>
    <x v="3"/>
    <n v="1014.116021190484"/>
    <n v="182.54088381428713"/>
    <n v="0"/>
    <d v="2024-05-17T00:00:00"/>
    <x v="0"/>
  </r>
  <r>
    <n v="177"/>
    <d v="2024-04-17T00:00:00"/>
    <s v="KPPE-PF-222368-16-04-2024"/>
    <d v="2024-04-16T00:00:00"/>
    <x v="0"/>
    <x v="0"/>
    <n v="2880"/>
    <x v="3"/>
    <x v="0"/>
    <n v="3809.9189999999999"/>
    <n v="0.53"/>
    <n v="0"/>
    <n v="0"/>
    <x v="12"/>
    <s v="SOFTEX "/>
    <n v="432000"/>
    <x v="0"/>
    <n v="77760"/>
    <x v="0"/>
    <m/>
    <m/>
    <x v="0"/>
    <x v="0"/>
    <x v="0"/>
    <x v="2"/>
    <x v="0"/>
    <x v="0"/>
    <m/>
    <x v="0"/>
    <x v="1"/>
    <x v="0"/>
    <x v="0"/>
    <x v="0"/>
    <x v="5"/>
    <n v="150"/>
    <n v="27"/>
    <n v="0"/>
    <d v="2024-05-17T00:00:00"/>
    <x v="0"/>
  </r>
  <r>
    <n v="178"/>
    <d v="2024-04-18T00:00:00"/>
    <s v="PCSE-PF-597-18-04-2024"/>
    <d v="2024-04-18T00:00:00"/>
    <x v="0"/>
    <x v="1"/>
    <n v="28395.173699999999"/>
    <x v="3"/>
    <x v="0"/>
    <n v="5402.33"/>
    <n v="1.96"/>
    <n v="28395.173699999999"/>
    <n v="28395.173699999999"/>
    <x v="6"/>
    <s v="100% Polyester"/>
    <n v="15900400"/>
    <x v="0"/>
    <n v="2862072"/>
    <x v="0"/>
    <m/>
    <m/>
    <x v="0"/>
    <x v="0"/>
    <x v="0"/>
    <x v="0"/>
    <x v="0"/>
    <x v="0"/>
    <m/>
    <x v="0"/>
    <x v="1"/>
    <x v="0"/>
    <x v="0"/>
    <x v="0"/>
    <x v="3"/>
    <n v="559.96840054547727"/>
    <n v="100.7943120981859"/>
    <n v="2862072"/>
    <d v="2024-05-18T00:00:00"/>
    <x v="0"/>
  </r>
  <r>
    <n v="179"/>
    <d v="2024-04-21T00:00:00"/>
    <s v="KPEX-PF-182817-18-04-2024"/>
    <d v="2024-04-18T00:00:00"/>
    <x v="0"/>
    <x v="0"/>
    <n v="39096"/>
    <x v="3"/>
    <x v="0"/>
    <n v="5209.42"/>
    <n v="3.61"/>
    <n v="0"/>
    <n v="0"/>
    <x v="19"/>
    <s v="Denim Fabric 99% 1% "/>
    <n v="40264798"/>
    <x v="0"/>
    <n v="7247663.6399999997"/>
    <x v="0"/>
    <m/>
    <m/>
    <x v="0"/>
    <x v="0"/>
    <x v="0"/>
    <x v="0"/>
    <x v="0"/>
    <x v="0"/>
    <m/>
    <x v="0"/>
    <x v="1"/>
    <x v="0"/>
    <x v="0"/>
    <x v="0"/>
    <x v="2"/>
    <n v="1029.8955903417229"/>
    <n v="185.38120626151013"/>
    <n v="0"/>
    <d v="2024-05-21T00:00:00"/>
    <x v="0"/>
  </r>
  <r>
    <n v="180"/>
    <d v="2024-04-22T00:00:00"/>
    <s v="LPEX-PF-13736-19-04-2024"/>
    <d v="2024-04-19T00:00:00"/>
    <x v="0"/>
    <x v="0"/>
    <n v="1047.81"/>
    <x v="3"/>
    <x v="0"/>
    <n v="5508.1"/>
    <n v="6.53"/>
    <n v="0"/>
    <n v="0"/>
    <x v="17"/>
    <s v="Sewing Thread"/>
    <n v="1948724"/>
    <x v="0"/>
    <n v="350770.32"/>
    <x v="0"/>
    <m/>
    <m/>
    <x v="0"/>
    <x v="0"/>
    <x v="0"/>
    <x v="2"/>
    <x v="0"/>
    <x v="0"/>
    <m/>
    <x v="0"/>
    <x v="1"/>
    <x v="0"/>
    <x v="0"/>
    <x v="0"/>
    <x v="3"/>
    <n v="1859.8066443343737"/>
    <n v="334.76519598018729"/>
    <n v="0"/>
    <d v="2024-05-22T00:00:00"/>
    <x v="0"/>
  </r>
  <r>
    <n v="181"/>
    <d v="2024-04-25T00:00:00"/>
    <s v="PCSE-PF-601-22-04-2024"/>
    <d v="2024-04-22T00:00:00"/>
    <x v="0"/>
    <x v="1"/>
    <n v="7438.9912000000004"/>
    <x v="3"/>
    <x v="0"/>
    <n v="5402.33"/>
    <n v="1.88"/>
    <n v="7438.9912000000004"/>
    <n v="7438.9912000000004"/>
    <x v="6"/>
    <s v="100% Polyester"/>
    <n v="3985200"/>
    <x v="0"/>
    <n v="717336"/>
    <x v="0"/>
    <m/>
    <m/>
    <x v="0"/>
    <x v="0"/>
    <x v="0"/>
    <x v="0"/>
    <x v="0"/>
    <x v="0"/>
    <m/>
    <x v="0"/>
    <x v="1"/>
    <x v="0"/>
    <x v="0"/>
    <x v="0"/>
    <x v="3"/>
    <n v="535.71780001567947"/>
    <n v="96.429204002822317"/>
    <n v="717336"/>
    <d v="2024-05-25T00:00:00"/>
    <x v="0"/>
  </r>
  <r>
    <n v="182"/>
    <d v="2024-04-26T00:00:00"/>
    <s v="FPEX-PF-3657-23-04-2024"/>
    <d v="2024-04-23T00:00:00"/>
    <x v="0"/>
    <x v="1"/>
    <n v="15876"/>
    <x v="3"/>
    <x v="0"/>
    <n v="5205.2700000000004"/>
    <n v="4.87"/>
    <n v="15876"/>
    <n v="15876"/>
    <x v="10"/>
    <s v="60/1 Cotton Yarn Combed"/>
    <n v="22050000"/>
    <x v="0"/>
    <n v="3969000"/>
    <x v="0"/>
    <m/>
    <m/>
    <x v="0"/>
    <x v="0"/>
    <x v="0"/>
    <x v="0"/>
    <x v="0"/>
    <x v="0"/>
    <m/>
    <x v="0"/>
    <x v="1"/>
    <x v="0"/>
    <x v="0"/>
    <x v="0"/>
    <x v="3"/>
    <n v="1388.8888888888889"/>
    <n v="250"/>
    <n v="3969000"/>
    <d v="2024-05-26T00:00:00"/>
    <x v="0"/>
  </r>
  <r>
    <n v="183"/>
    <d v="2024-04-21T00:00:00"/>
    <s v="LPEX-PF-13687-18-04-2024"/>
    <d v="2024-04-18T00:00:00"/>
    <x v="0"/>
    <x v="0"/>
    <n v="9071.94"/>
    <x v="3"/>
    <x v="0"/>
    <n v="5205.13"/>
    <n v="3.23"/>
    <n v="0"/>
    <n v="0"/>
    <x v="10"/>
    <s v="30/1 Cotton Yarn Carded"/>
    <n v="8350000"/>
    <x v="0"/>
    <n v="1503000"/>
    <x v="0"/>
    <m/>
    <m/>
    <x v="0"/>
    <x v="0"/>
    <x v="0"/>
    <x v="0"/>
    <x v="0"/>
    <x v="0"/>
    <m/>
    <x v="0"/>
    <x v="1"/>
    <x v="0"/>
    <x v="0"/>
    <x v="0"/>
    <x v="3"/>
    <n v="920.42054951862553"/>
    <n v="165.67569891335259"/>
    <n v="0"/>
    <d v="2024-05-21T00:00:00"/>
    <x v="0"/>
  </r>
  <r>
    <n v="184"/>
    <d v="2024-04-06T00:00:00"/>
    <s v="KPPE-PF-214884-03-04-2024"/>
    <d v="2024-04-03T00:00:00"/>
    <x v="1"/>
    <x v="0"/>
    <n v="391.11"/>
    <x v="3"/>
    <x v="0"/>
    <n v="3919.9090000000001"/>
    <n v="1.58"/>
    <n v="0"/>
    <n v="0"/>
    <x v="9"/>
    <s v="PACKING/ CARTON TAPE"/>
    <n v="176000"/>
    <x v="0"/>
    <n v="31680"/>
    <x v="0"/>
    <m/>
    <m/>
    <x v="0"/>
    <x v="0"/>
    <x v="0"/>
    <x v="2"/>
    <x v="0"/>
    <x v="0"/>
    <m/>
    <x v="0"/>
    <x v="1"/>
    <x v="0"/>
    <x v="0"/>
    <x v="0"/>
    <x v="6"/>
    <n v="450.00127841272274"/>
    <n v="81.00023011429009"/>
    <n v="0"/>
    <d v="2024-04-11T00:00:00"/>
    <x v="0"/>
  </r>
  <r>
    <n v="185"/>
    <d v="2024-04-30T00:00:00"/>
    <s v="PCSE-PF-615-29-04-2024"/>
    <d v="2024-04-29T00:00:00"/>
    <x v="0"/>
    <x v="2"/>
    <n v="27215.821499999998"/>
    <x v="3"/>
    <x v="0"/>
    <n v="5206.25"/>
    <n v="4.91"/>
    <n v="486.53050000000007"/>
    <n v="27215.821499999998"/>
    <x v="3"/>
    <s v="CVC60:40 - 60/1"/>
    <n v="38100000"/>
    <x v="0"/>
    <n v="6858000"/>
    <x v="0"/>
    <m/>
    <m/>
    <x v="0"/>
    <x v="0"/>
    <x v="0"/>
    <x v="0"/>
    <x v="0"/>
    <x v="0"/>
    <m/>
    <x v="0"/>
    <x v="1"/>
    <x v="0"/>
    <x v="0"/>
    <x v="0"/>
    <x v="3"/>
    <n v="1399.9209981591039"/>
    <n v="251.98577966863871"/>
    <n v="122598.76737507265"/>
    <d v="2024-05-30T00:00:00"/>
    <x v="0"/>
  </r>
  <r>
    <n v="186"/>
    <d v="2024-04-30T00:00:00"/>
    <s v="PCSE-PF-617-29-04-2024"/>
    <d v="2024-04-29T00:00:00"/>
    <x v="0"/>
    <x v="1"/>
    <n v="226798.5122"/>
    <x v="3"/>
    <x v="0"/>
    <n v="5205.24"/>
    <n v="3.64"/>
    <n v="226798.5122"/>
    <n v="226798.5122"/>
    <x v="10"/>
    <s v="40/1 Cotton Yarn Combed"/>
    <n v="235000000"/>
    <x v="0"/>
    <n v="42300000"/>
    <x v="0"/>
    <m/>
    <m/>
    <x v="0"/>
    <x v="0"/>
    <x v="0"/>
    <x v="0"/>
    <x v="0"/>
    <x v="0"/>
    <m/>
    <x v="0"/>
    <x v="1"/>
    <x v="0"/>
    <x v="0"/>
    <x v="0"/>
    <x v="3"/>
    <n v="1036.1620000080406"/>
    <n v="186.50916000144733"/>
    <n v="42300000"/>
    <d v="2024-05-30T00:00:00"/>
    <x v="0"/>
  </r>
  <r>
    <n v="187"/>
    <d v="2024-04-10T00:00:00"/>
    <s v="KPPE-PF-232315-27-04-2024"/>
    <d v="2024-04-27T00:00:00"/>
    <x v="0"/>
    <x v="1"/>
    <n v="54432"/>
    <x v="3"/>
    <x v="0"/>
    <n v="5205.24"/>
    <n v="3.69"/>
    <n v="54432"/>
    <n v="54432"/>
    <x v="10"/>
    <s v="40/1 Cotton Yarn Combed"/>
    <n v="57240000"/>
    <x v="0"/>
    <n v="10303200"/>
    <x v="0"/>
    <m/>
    <m/>
    <x v="0"/>
    <x v="0"/>
    <x v="0"/>
    <x v="0"/>
    <x v="0"/>
    <x v="0"/>
    <m/>
    <x v="0"/>
    <x v="1"/>
    <x v="0"/>
    <x v="0"/>
    <x v="0"/>
    <x v="3"/>
    <n v="1051.5873015873017"/>
    <n v="189.28571428571428"/>
    <n v="10303200"/>
    <d v="2024-05-10T00:00:00"/>
    <x v="0"/>
  </r>
  <r>
    <n v="188"/>
    <d v="2024-05-06T00:00:00"/>
    <s v="KPPE-PF-236962-03-05-2024"/>
    <d v="2024-05-03T00:00:00"/>
    <x v="0"/>
    <x v="0"/>
    <n v="1350"/>
    <x v="3"/>
    <x v="0"/>
    <n v="5401.1"/>
    <n v="8.16"/>
    <n v="0"/>
    <n v="0"/>
    <x v="17"/>
    <s v="Sewing Thread PPCA 16/2, 20/2"/>
    <n v="3140154"/>
    <x v="0"/>
    <n v="565227.72"/>
    <x v="0"/>
    <m/>
    <m/>
    <x v="0"/>
    <x v="0"/>
    <x v="0"/>
    <x v="0"/>
    <x v="0"/>
    <x v="0"/>
    <m/>
    <x v="0"/>
    <x v="1"/>
    <x v="0"/>
    <x v="0"/>
    <x v="0"/>
    <x v="3"/>
    <n v="2326.04"/>
    <n v="418.68719999999996"/>
    <n v="0"/>
    <d v="2024-06-05T00:00:00"/>
    <x v="0"/>
  </r>
  <r>
    <n v="189"/>
    <d v="2024-05-06T00:00:00"/>
    <s v="KPPE-PF-237059-03-05-2024"/>
    <d v="2024-05-03T00:00:00"/>
    <x v="0"/>
    <x v="0"/>
    <n v="2085"/>
    <x v="3"/>
    <x v="0"/>
    <n v="5401.2089999999998"/>
    <n v="4.96"/>
    <n v="0"/>
    <n v="0"/>
    <x v="17"/>
    <s v="Sewing Thread SSPA21/2, 21/3, 50/3"/>
    <n v="2947846"/>
    <x v="0"/>
    <n v="530612.28"/>
    <x v="0"/>
    <m/>
    <m/>
    <x v="0"/>
    <x v="0"/>
    <x v="0"/>
    <x v="0"/>
    <x v="0"/>
    <x v="0"/>
    <m/>
    <x v="0"/>
    <x v="1"/>
    <x v="0"/>
    <x v="0"/>
    <x v="0"/>
    <x v="3"/>
    <n v="1413.8350119904076"/>
    <n v="254.49030215827341"/>
    <n v="0"/>
    <d v="2024-06-05T00:00:00"/>
    <x v="0"/>
  </r>
  <r>
    <n v="190"/>
    <d v="2024-05-05T00:00:00"/>
    <s v="LPEX-PF-15035-02-05-2024"/>
    <d v="2024-05-07T00:00:00"/>
    <x v="0"/>
    <x v="0"/>
    <n v="71.459999999999994"/>
    <x v="3"/>
    <x v="0"/>
    <n v="5508.1"/>
    <n v="7.61"/>
    <n v="0"/>
    <n v="0"/>
    <x v="17"/>
    <s v="Sewing Thread"/>
    <n v="154984"/>
    <x v="0"/>
    <n v="27897.119999999999"/>
    <x v="0"/>
    <m/>
    <m/>
    <x v="0"/>
    <x v="0"/>
    <x v="0"/>
    <x v="0"/>
    <x v="0"/>
    <x v="0"/>
    <m/>
    <x v="0"/>
    <x v="1"/>
    <x v="0"/>
    <x v="0"/>
    <x v="0"/>
    <x v="3"/>
    <n v="2168.8217184438849"/>
    <n v="390.38790931989928"/>
    <n v="0"/>
    <d v="2024-06-04T00:00:00"/>
    <x v="0"/>
  </r>
  <r>
    <n v="191"/>
    <d v="2024-05-06T00:00:00"/>
    <s v="KPEX-PF-192418-03-05-2024"/>
    <d v="2024-05-03T00:00:00"/>
    <x v="0"/>
    <x v="1"/>
    <n v="1542.23"/>
    <x v="3"/>
    <x v="0"/>
    <n v="5205.12"/>
    <n v="3.19"/>
    <n v="1542.23"/>
    <n v="1542.23"/>
    <x v="10"/>
    <s v="16/1 95% Cotton 05% Lycra Carded yarn"/>
    <n v="1400800"/>
    <x v="0"/>
    <n v="252144"/>
    <x v="0"/>
    <m/>
    <m/>
    <x v="0"/>
    <x v="0"/>
    <x v="0"/>
    <x v="0"/>
    <x v="0"/>
    <x v="0"/>
    <m/>
    <x v="0"/>
    <x v="1"/>
    <x v="0"/>
    <x v="0"/>
    <x v="0"/>
    <x v="3"/>
    <n v="908.29513107642833"/>
    <n v="163.49312359375708"/>
    <n v="252143.99999999997"/>
    <d v="2024-06-05T00:00:00"/>
    <x v="0"/>
  </r>
  <r>
    <n v="192"/>
    <d v="2024-05-06T00:00:00"/>
    <s v="KPEX-PF-192429-03-05-2024"/>
    <d v="2024-05-03T00:00:00"/>
    <x v="0"/>
    <x v="1"/>
    <n v="4535.97"/>
    <x v="3"/>
    <x v="0"/>
    <n v="5205.12"/>
    <n v="3.02"/>
    <n v="4535.97"/>
    <n v="4535.97"/>
    <x v="10"/>
    <s v="16/1 95% Cotton 05% Lycra Carded yarn"/>
    <n v="3910000"/>
    <x v="0"/>
    <n v="703800"/>
    <x v="0"/>
    <m/>
    <m/>
    <x v="0"/>
    <x v="0"/>
    <x v="0"/>
    <x v="0"/>
    <x v="0"/>
    <x v="0"/>
    <m/>
    <x v="0"/>
    <x v="1"/>
    <x v="0"/>
    <x v="0"/>
    <x v="0"/>
    <x v="3"/>
    <n v="861.99864637552707"/>
    <n v="155.15975634759488"/>
    <n v="703800"/>
    <d v="2024-06-05T00:00:00"/>
    <x v="0"/>
  </r>
  <r>
    <n v="193"/>
    <d v="2024-05-09T00:00:00"/>
    <s v="KPEX-PF-193818-06-05-2024"/>
    <d v="2024-05-06T00:00:00"/>
    <x v="0"/>
    <x v="1"/>
    <n v="42320.6"/>
    <x v="3"/>
    <x v="0"/>
    <n v="5205.12"/>
    <n v="3.23"/>
    <n v="42320.6"/>
    <n v="42320.6"/>
    <x v="10"/>
    <s v="16/1 95% Cotton 05% Lycra Carded yarn"/>
    <n v="38906102"/>
    <x v="0"/>
    <n v="7003098.3599999994"/>
    <x v="0"/>
    <m/>
    <m/>
    <x v="0"/>
    <x v="0"/>
    <x v="0"/>
    <x v="0"/>
    <x v="0"/>
    <x v="0"/>
    <m/>
    <x v="0"/>
    <x v="1"/>
    <x v="0"/>
    <x v="0"/>
    <x v="0"/>
    <x v="3"/>
    <n v="919.31829888990239"/>
    <n v="165.47729380018239"/>
    <n v="7003098.3599999985"/>
    <d v="2024-06-08T00:00:00"/>
    <x v="0"/>
  </r>
  <r>
    <n v="194"/>
    <d v="2024-05-09T00:00:00"/>
    <s v="KPEX-PF-193820-06-05-2024"/>
    <d v="2024-05-06T00:00:00"/>
    <x v="0"/>
    <x v="1"/>
    <n v="2585.5"/>
    <x v="3"/>
    <x v="0"/>
    <n v="5205.12"/>
    <n v="3.36"/>
    <n v="2585.5"/>
    <n v="2585.5"/>
    <x v="10"/>
    <s v="16/1 95% Cotton 05% Lycra Carded yarn"/>
    <n v="2479500"/>
    <x v="0"/>
    <n v="446310"/>
    <x v="0"/>
    <m/>
    <m/>
    <x v="0"/>
    <x v="0"/>
    <x v="0"/>
    <x v="0"/>
    <x v="0"/>
    <x v="0"/>
    <m/>
    <x v="0"/>
    <x v="1"/>
    <x v="0"/>
    <x v="0"/>
    <x v="0"/>
    <x v="3"/>
    <n v="959.00212724811445"/>
    <n v="172.6203829046606"/>
    <n v="446310"/>
    <d v="2024-06-08T00:00:00"/>
    <x v="0"/>
  </r>
  <r>
    <n v="195"/>
    <d v="2024-05-10T00:00:00"/>
    <s v="KPPE-PF-239595-07-05-2024"/>
    <d v="2024-05-07T00:00:00"/>
    <x v="1"/>
    <x v="0"/>
    <n v="698.33"/>
    <x v="3"/>
    <x v="0"/>
    <n v="3919.9090000000001"/>
    <n v="2.11"/>
    <n v="0"/>
    <n v="0"/>
    <x v="9"/>
    <s v="PACKING/ CARTON TAPE"/>
    <n v="418998"/>
    <x v="0"/>
    <n v="75419.64"/>
    <x v="0"/>
    <m/>
    <m/>
    <x v="0"/>
    <x v="0"/>
    <x v="0"/>
    <x v="2"/>
    <x v="0"/>
    <x v="0"/>
    <m/>
    <x v="0"/>
    <x v="1"/>
    <x v="0"/>
    <x v="0"/>
    <x v="0"/>
    <x v="6"/>
    <n v="600"/>
    <n v="107.99999999999999"/>
    <n v="0"/>
    <d v="2024-05-15T00:00:00"/>
    <x v="0"/>
  </r>
  <r>
    <n v="196"/>
    <d v="2024-05-11T00:00:00"/>
    <s v="PCSE-PF-628-08-05-2024"/>
    <d v="2024-05-08T00:00:00"/>
    <x v="0"/>
    <x v="1"/>
    <n v="27215.821499999998"/>
    <x v="3"/>
    <x v="0"/>
    <n v="5402.33"/>
    <n v="2.17"/>
    <n v="27215.821499999998"/>
    <n v="27215.821499999998"/>
    <x v="6"/>
    <s v="100% Polyester"/>
    <n v="16800000"/>
    <x v="0"/>
    <n v="3024000"/>
    <x v="0"/>
    <m/>
    <m/>
    <x v="0"/>
    <x v="0"/>
    <x v="0"/>
    <x v="0"/>
    <x v="0"/>
    <x v="0"/>
    <m/>
    <x v="0"/>
    <x v="1"/>
    <x v="0"/>
    <x v="0"/>
    <x v="0"/>
    <x v="3"/>
    <n v="617.28799918826633"/>
    <n v="111.11183985388794"/>
    <n v="3024000"/>
    <d v="2024-06-10T00:00:00"/>
    <x v="0"/>
  </r>
  <r>
    <n v="197"/>
    <d v="2024-05-17T00:00:00"/>
    <s v="PCSE-PF-643-14-05-2024"/>
    <d v="2024-05-14T00:00:00"/>
    <x v="0"/>
    <x v="1"/>
    <n v="27215.821499999998"/>
    <x v="3"/>
    <x v="0"/>
    <n v="5402.33"/>
    <n v="2.17"/>
    <n v="27215.821499999998"/>
    <n v="27215.821499999998"/>
    <x v="6"/>
    <s v="100% Polyester"/>
    <n v="16800000"/>
    <x v="0"/>
    <n v="3024000"/>
    <x v="0"/>
    <m/>
    <m/>
    <x v="0"/>
    <x v="0"/>
    <x v="0"/>
    <x v="0"/>
    <x v="0"/>
    <x v="0"/>
    <m/>
    <x v="0"/>
    <x v="1"/>
    <x v="0"/>
    <x v="0"/>
    <x v="0"/>
    <x v="3"/>
    <n v="617.28799918826633"/>
    <n v="111.11183985388794"/>
    <n v="3024000"/>
    <d v="2024-06-16T00:00:00"/>
    <x v="0"/>
  </r>
  <r>
    <n v="198"/>
    <d v="2024-05-17T00:00:00"/>
    <s v="KPEX-PF-198947-14-05-2024"/>
    <d v="2024-05-14T00:00:00"/>
    <x v="0"/>
    <x v="0"/>
    <n v="42758"/>
    <x v="3"/>
    <x v="0"/>
    <n v="5209.42"/>
    <n v="3.61"/>
    <n v="0"/>
    <n v="0"/>
    <x v="19"/>
    <s v="Denim Fabric 99% 1%"/>
    <n v="43939592"/>
    <x v="0"/>
    <n v="7909126.5599999996"/>
    <x v="0"/>
    <m/>
    <m/>
    <x v="0"/>
    <x v="0"/>
    <x v="0"/>
    <x v="0"/>
    <x v="0"/>
    <x v="0"/>
    <m/>
    <x v="0"/>
    <x v="1"/>
    <x v="0"/>
    <x v="0"/>
    <x v="0"/>
    <x v="2"/>
    <n v="1027.6344075962393"/>
    <n v="184.97419336732307"/>
    <n v="0"/>
    <d v="2024-06-16T00:00:00"/>
    <x v="0"/>
  </r>
  <r>
    <n v="199"/>
    <d v="2024-05-17T00:00:00"/>
    <s v="LPEX-PF-16461-14-05-2024"/>
    <d v="2024-05-14T00:00:00"/>
    <x v="0"/>
    <x v="2"/>
    <n v="7801.8688000000002"/>
    <x v="3"/>
    <x v="0"/>
    <n v="5205.13"/>
    <n v="3.23"/>
    <n v="358.44999999999982"/>
    <n v="7801.8688000000002"/>
    <x v="10"/>
    <s v="30/1 Cotton Yarn Carded"/>
    <n v="7181000"/>
    <x v="0"/>
    <n v="1292580"/>
    <x v="0"/>
    <m/>
    <m/>
    <x v="0"/>
    <x v="0"/>
    <x v="0"/>
    <x v="0"/>
    <x v="0"/>
    <x v="0"/>
    <m/>
    <x v="0"/>
    <x v="1"/>
    <x v="0"/>
    <x v="0"/>
    <x v="0"/>
    <x v="3"/>
    <n v="920.42050232887789"/>
    <n v="165.67569041919802"/>
    <n v="59386.4512307615"/>
    <d v="2024-06-16T00:00:00"/>
    <x v="0"/>
  </r>
  <r>
    <n v="200"/>
    <d v="2024-05-20T00:00:00"/>
    <s v="KPPE-PF-249139-17-05-2024"/>
    <d v="2024-05-17T00:00:00"/>
    <x v="0"/>
    <x v="0"/>
    <n v="11400"/>
    <x v="3"/>
    <x v="0"/>
    <n v="3809.9189999999999"/>
    <n v="0.53"/>
    <n v="0"/>
    <n v="0"/>
    <x v="12"/>
    <s v="SOFTEX "/>
    <n v="1710000"/>
    <x v="0"/>
    <n v="30780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6-19T00:00:00"/>
    <x v="0"/>
  </r>
  <r>
    <n v="201"/>
    <d v="2024-05-20T00:00:00"/>
    <s v="KPPE-PF-249168-17-05-2024"/>
    <d v="2024-05-17T00:00:00"/>
    <x v="0"/>
    <x v="0"/>
    <n v="11520"/>
    <x v="3"/>
    <x v="0"/>
    <n v="3809.9189999999999"/>
    <n v="0.53"/>
    <n v="0"/>
    <n v="0"/>
    <x v="12"/>
    <s v="SOFTEX "/>
    <n v="1728000"/>
    <x v="0"/>
    <n v="31104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6-19T00:00:00"/>
    <x v="0"/>
  </r>
  <r>
    <n v="202"/>
    <d v="2024-05-21T00:00:00"/>
    <s v="LPEX-PF-17174-18-05-2024"/>
    <d v="2024-05-18T00:00:00"/>
    <x v="0"/>
    <x v="0"/>
    <n v="6.57"/>
    <x v="3"/>
    <x v="0"/>
    <n v="5401.1"/>
    <n v="12.32"/>
    <n v="0"/>
    <n v="0"/>
    <x v="17"/>
    <s v="Sewing Thread"/>
    <n v="23074"/>
    <x v="0"/>
    <n v="4153.32"/>
    <x v="0"/>
    <m/>
    <m/>
    <x v="0"/>
    <x v="0"/>
    <x v="0"/>
    <x v="0"/>
    <x v="0"/>
    <x v="0"/>
    <m/>
    <x v="0"/>
    <x v="1"/>
    <x v="0"/>
    <x v="0"/>
    <x v="0"/>
    <x v="3"/>
    <n v="3512.0243531202432"/>
    <n v="632.16438356164372"/>
    <n v="0"/>
    <d v="2024-06-20T00:00:00"/>
    <x v="0"/>
  </r>
  <r>
    <n v="203"/>
    <d v="2024-05-21T00:00:00"/>
    <s v="LPEX-PF-17178-18-05-2024"/>
    <d v="2024-05-18T00:00:00"/>
    <x v="0"/>
    <x v="0"/>
    <n v="1925.32"/>
    <x v="3"/>
    <x v="0"/>
    <n v="5508.1"/>
    <n v="7.95"/>
    <n v="0"/>
    <n v="0"/>
    <x v="17"/>
    <s v="Sewing Thread"/>
    <n v="4361274"/>
    <x v="0"/>
    <n v="785029.32"/>
    <x v="0"/>
    <m/>
    <m/>
    <x v="0"/>
    <x v="0"/>
    <x v="0"/>
    <x v="0"/>
    <x v="0"/>
    <x v="0"/>
    <m/>
    <x v="0"/>
    <x v="1"/>
    <x v="0"/>
    <x v="0"/>
    <x v="0"/>
    <x v="3"/>
    <n v="2265.2203270105751"/>
    <n v="407.73965886190348"/>
    <n v="0"/>
    <d v="2024-06-20T00:00:00"/>
    <x v="0"/>
  </r>
  <r>
    <n v="204"/>
    <d v="2024-05-23T00:00:00"/>
    <s v="KPEX-PF-203176-20-05-2024"/>
    <d v="2024-05-20T00:00:00"/>
    <x v="0"/>
    <x v="0"/>
    <n v="114.425"/>
    <x v="3"/>
    <x v="0"/>
    <n v="5401.1"/>
    <n v="8.1999999999999993"/>
    <n v="0"/>
    <n v="0"/>
    <x v="17"/>
    <s v="Sewing Thread"/>
    <n v="267567"/>
    <x v="0"/>
    <n v="48162.06"/>
    <x v="0"/>
    <m/>
    <m/>
    <x v="0"/>
    <x v="0"/>
    <x v="0"/>
    <x v="0"/>
    <x v="0"/>
    <x v="0"/>
    <m/>
    <x v="0"/>
    <x v="1"/>
    <x v="0"/>
    <x v="0"/>
    <x v="0"/>
    <x v="3"/>
    <n v="2338.3613720777803"/>
    <n v="420.90504697400041"/>
    <n v="0"/>
    <d v="2024-06-22T00:00:00"/>
    <x v="0"/>
  </r>
  <r>
    <n v="205"/>
    <d v="2024-05-16T00:00:00"/>
    <s v="KPEX-PF-197897-13-05-2024"/>
    <d v="2024-05-13T00:00:00"/>
    <x v="0"/>
    <x v="0"/>
    <n v="3748.1759999999999"/>
    <x v="3"/>
    <x v="0"/>
    <n v="5508.1"/>
    <n v="11.45"/>
    <n v="0"/>
    <n v="0"/>
    <x v="17"/>
    <s v="Sewing Thread"/>
    <n v="12232938"/>
    <x v="0"/>
    <n v="2201928.84"/>
    <x v="0"/>
    <m/>
    <m/>
    <x v="0"/>
    <x v="0"/>
    <x v="0"/>
    <x v="0"/>
    <x v="0"/>
    <x v="0"/>
    <m/>
    <x v="0"/>
    <x v="1"/>
    <x v="0"/>
    <x v="0"/>
    <x v="0"/>
    <x v="3"/>
    <n v="3263.7042657548632"/>
    <n v="587.46676783587532"/>
    <n v="0"/>
    <d v="2024-06-15T00:00:00"/>
    <x v="0"/>
  </r>
  <r>
    <n v="206"/>
    <d v="2024-05-16T00:00:00"/>
    <s v="KPEX-PF-197895-13-05-2024"/>
    <d v="2024-05-13T00:00:00"/>
    <x v="0"/>
    <x v="0"/>
    <n v="706.173"/>
    <x v="3"/>
    <x v="0"/>
    <n v="5401.1"/>
    <n v="17.53"/>
    <n v="0"/>
    <n v="0"/>
    <x v="17"/>
    <s v="Sewing Thread"/>
    <n v="3528705"/>
    <x v="0"/>
    <n v="635166.9"/>
    <x v="0"/>
    <m/>
    <m/>
    <x v="0"/>
    <x v="0"/>
    <x v="0"/>
    <x v="0"/>
    <x v="0"/>
    <x v="0"/>
    <m/>
    <x v="0"/>
    <x v="1"/>
    <x v="0"/>
    <x v="0"/>
    <x v="0"/>
    <x v="3"/>
    <n v="4996.9412594364267"/>
    <n v="899.44942669855686"/>
    <n v="0"/>
    <d v="2024-06-15T00:00:00"/>
    <x v="0"/>
  </r>
  <r>
    <n v="207"/>
    <d v="2024-05-24T00:00:00"/>
    <s v="KPEX-PF-203809-21-05-2024"/>
    <d v="2024-05-21T00:00:00"/>
    <x v="0"/>
    <x v="1"/>
    <n v="7.56"/>
    <x v="3"/>
    <x v="0"/>
    <n v="5509.21"/>
    <n v="2.2200000000000002"/>
    <n v="7.56"/>
    <n v="7.56"/>
    <x v="6"/>
    <s v="100% Polyester yarn"/>
    <n v="4781"/>
    <x v="0"/>
    <n v="860.57999999999993"/>
    <x v="0"/>
    <m/>
    <m/>
    <x v="0"/>
    <x v="0"/>
    <x v="0"/>
    <x v="0"/>
    <x v="0"/>
    <x v="0"/>
    <m/>
    <x v="0"/>
    <x v="1"/>
    <x v="0"/>
    <x v="0"/>
    <x v="0"/>
    <x v="3"/>
    <n v="632.40740740740739"/>
    <n v="113.83333333333333"/>
    <n v="860.57999999999993"/>
    <d v="2024-06-23T00:00:00"/>
    <x v="0"/>
  </r>
  <r>
    <n v="208"/>
    <d v="2024-05-26T00:00:00"/>
    <s v="KPEX-PF-205236-23-05-2024"/>
    <d v="2024-05-26T00:00:00"/>
    <x v="0"/>
    <x v="1"/>
    <n v="7484.35"/>
    <x v="3"/>
    <x v="0"/>
    <n v="5205.12"/>
    <n v="3.23"/>
    <n v="7484.35"/>
    <n v="7484.35"/>
    <x v="10"/>
    <s v="16/1 95% Cotton 05% Lycra Carded yarn"/>
    <n v="6880501"/>
    <x v="0"/>
    <n v="1238490.18"/>
    <x v="0"/>
    <m/>
    <m/>
    <x v="0"/>
    <x v="0"/>
    <x v="0"/>
    <x v="0"/>
    <x v="0"/>
    <x v="0"/>
    <m/>
    <x v="0"/>
    <x v="1"/>
    <x v="0"/>
    <x v="0"/>
    <x v="0"/>
    <x v="3"/>
    <n v="919.31844448749723"/>
    <n v="165.47732000774948"/>
    <n v="1238490.18"/>
    <d v="2024-06-25T00:00:00"/>
    <x v="0"/>
  </r>
  <r>
    <n v="209"/>
    <d v="2024-05-28T00:00:00"/>
    <s v="KPEX-PF-206700-25-05-2024"/>
    <d v="2024-05-28T00:00:00"/>
    <x v="0"/>
    <x v="0"/>
    <n v="1503"/>
    <x v="3"/>
    <x v="0"/>
    <n v="5209.42"/>
    <n v="3.56"/>
    <n v="0"/>
    <n v="0"/>
    <x v="19"/>
    <s v="Denim Fabric 99% 1%"/>
    <n v="1524180"/>
    <x v="0"/>
    <n v="274352.39999999997"/>
    <x v="0"/>
    <m/>
    <m/>
    <x v="0"/>
    <x v="0"/>
    <x v="0"/>
    <x v="0"/>
    <x v="0"/>
    <x v="0"/>
    <m/>
    <x v="0"/>
    <x v="1"/>
    <x v="0"/>
    <x v="0"/>
    <x v="0"/>
    <x v="2"/>
    <n v="1014.0918163672654"/>
    <n v="182.53652694610776"/>
    <n v="0"/>
    <d v="2024-06-27T00:00:00"/>
    <x v="0"/>
  </r>
  <r>
    <n v="210"/>
    <d v="2024-05-08T00:00:00"/>
    <s v="KPEX-PF-206724-25-05-2024"/>
    <d v="2024-05-08T00:00:00"/>
    <x v="0"/>
    <x v="1"/>
    <n v="3764.855"/>
    <x v="3"/>
    <x v="0"/>
    <n v="5205.12"/>
    <n v="2.67"/>
    <n v="3764.855"/>
    <n v="3764.855"/>
    <x v="10"/>
    <s v="16/1 Carded yarn"/>
    <n v="2863500"/>
    <x v="0"/>
    <n v="515430"/>
    <x v="0"/>
    <m/>
    <m/>
    <x v="0"/>
    <x v="0"/>
    <x v="0"/>
    <x v="0"/>
    <x v="0"/>
    <x v="0"/>
    <m/>
    <x v="0"/>
    <x v="1"/>
    <x v="0"/>
    <x v="0"/>
    <x v="0"/>
    <x v="3"/>
    <n v="760.58706112187588"/>
    <n v="136.90567100193766"/>
    <n v="515430"/>
    <d v="2024-06-07T00:00:00"/>
    <x v="0"/>
  </r>
  <r>
    <n v="211"/>
    <d v="2024-05-28T00:00:00"/>
    <s v="KPEX-PF-206725-25-05-2024"/>
    <d v="2024-05-28T00:00:00"/>
    <x v="0"/>
    <x v="1"/>
    <n v="5624.6030000000001"/>
    <x v="3"/>
    <x v="0"/>
    <n v="5205.12"/>
    <n v="3.13"/>
    <n v="5624.6030000000001"/>
    <n v="5624.6030000000001"/>
    <x v="10"/>
    <s v="24/1 Cotton Yarn Carded"/>
    <n v="5022000"/>
    <x v="0"/>
    <n v="903960"/>
    <x v="0"/>
    <m/>
    <m/>
    <x v="0"/>
    <x v="0"/>
    <x v="0"/>
    <x v="0"/>
    <x v="0"/>
    <x v="0"/>
    <m/>
    <x v="0"/>
    <x v="1"/>
    <x v="0"/>
    <x v="0"/>
    <x v="0"/>
    <x v="3"/>
    <n v="892.8630162875495"/>
    <n v="160.71534293175893"/>
    <n v="903960.00000000012"/>
    <d v="2024-06-27T00:00:00"/>
    <x v="0"/>
  </r>
  <r>
    <n v="212"/>
    <d v="2024-05-31T00:00:00"/>
    <s v="KPPE-PF-259491-29-05-2024"/>
    <d v="2024-05-31T00:00:00"/>
    <x v="0"/>
    <x v="0"/>
    <n v="11760"/>
    <x v="3"/>
    <x v="0"/>
    <n v="3809.9189999999999"/>
    <n v="0.53"/>
    <n v="0"/>
    <n v="0"/>
    <x v="12"/>
    <s v="SOFTEX "/>
    <n v="1764000"/>
    <x v="0"/>
    <n v="31752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6-30T00:00:00"/>
    <x v="0"/>
  </r>
  <r>
    <n v="213"/>
    <d v="2024-05-31T00:00:00"/>
    <s v="HCSE-PF-2369-29-05-2024"/>
    <d v="2024-05-31T00:00:00"/>
    <x v="0"/>
    <x v="0"/>
    <n v="21400"/>
    <x v="3"/>
    <x v="0"/>
    <n v="3402.42"/>
    <n v="1.84"/>
    <n v="0"/>
    <n v="0"/>
    <x v="12"/>
    <s v="Kieralon 2010 liq 0200"/>
    <n v="11236400"/>
    <x v="0"/>
    <n v="2022552"/>
    <x v="0"/>
    <m/>
    <m/>
    <x v="0"/>
    <x v="0"/>
    <x v="0"/>
    <x v="0"/>
    <x v="0"/>
    <x v="0"/>
    <m/>
    <x v="0"/>
    <x v="1"/>
    <x v="0"/>
    <x v="0"/>
    <x v="0"/>
    <x v="5"/>
    <n v="525.06542056074761"/>
    <n v="94.511775700934578"/>
    <n v="0"/>
    <d v="2024-06-30T00:00:00"/>
    <x v="0"/>
  </r>
  <r>
    <n v="214"/>
    <d v="2024-05-31T00:00:00"/>
    <s v="HCSE-PF-2370-29-05-2024"/>
    <d v="2024-05-31T00:00:00"/>
    <x v="0"/>
    <x v="0"/>
    <n v="1800"/>
    <x v="3"/>
    <x v="0"/>
    <n v="3402.42"/>
    <n v="1.93"/>
    <n v="0"/>
    <n v="0"/>
    <x v="12"/>
    <s v="Kieralon 2010 liq 0200"/>
    <n v="990000"/>
    <x v="0"/>
    <n v="17820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6-30T00:00:00"/>
    <x v="0"/>
  </r>
  <r>
    <n v="215"/>
    <d v="2024-06-01T00:00:00"/>
    <s v="FPEX-PF-4287-16-05-2024"/>
    <d v="2024-05-16T00:00:00"/>
    <x v="0"/>
    <x v="1"/>
    <n v="9072"/>
    <x v="3"/>
    <x v="0"/>
    <n v="5205.2700000000004"/>
    <n v="4.87"/>
    <n v="9072"/>
    <n v="9072"/>
    <x v="10"/>
    <s v="60/1 Cotton Yarn Combed"/>
    <n v="12600000"/>
    <x v="0"/>
    <n v="2268000"/>
    <x v="0"/>
    <m/>
    <m/>
    <x v="0"/>
    <x v="0"/>
    <x v="0"/>
    <x v="0"/>
    <x v="0"/>
    <x v="0"/>
    <m/>
    <x v="0"/>
    <x v="1"/>
    <x v="0"/>
    <x v="0"/>
    <x v="0"/>
    <x v="3"/>
    <n v="1388.8888888888889"/>
    <n v="250"/>
    <n v="2268000"/>
    <d v="2024-07-01T00:00:00"/>
    <x v="0"/>
  </r>
  <r>
    <n v="216"/>
    <d v="2024-06-07T00:00:00"/>
    <s v="HCSE-PF-2471-03-06-2024"/>
    <d v="2024-06-03T00:00:00"/>
    <x v="0"/>
    <x v="0"/>
    <n v="11000"/>
    <x v="3"/>
    <x v="0"/>
    <n v="3402.42"/>
    <n v="1.84"/>
    <n v="0"/>
    <n v="0"/>
    <x v="12"/>
    <s v="Kieralon 2010 liq 0200"/>
    <n v="5753000"/>
    <x v="0"/>
    <n v="103554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7-07T00:00:00"/>
    <x v="0"/>
  </r>
  <r>
    <n v="217"/>
    <d v="2024-06-07T00:00:00"/>
    <s v="LPEX-PF-19066-03-06-2024"/>
    <d v="2024-06-03T00:00:00"/>
    <x v="0"/>
    <x v="0"/>
    <n v="7423.65"/>
    <x v="3"/>
    <x v="0"/>
    <n v="5508.1"/>
    <n v="6.99"/>
    <n v="0"/>
    <n v="0"/>
    <x v="17"/>
    <s v="Sewing Thread"/>
    <n v="9407745"/>
    <x v="0"/>
    <n v="1693394.0999999999"/>
    <x v="0"/>
    <m/>
    <m/>
    <x v="0"/>
    <x v="0"/>
    <x v="0"/>
    <x v="0"/>
    <x v="0"/>
    <x v="0"/>
    <m/>
    <x v="0"/>
    <x v="1"/>
    <x v="0"/>
    <x v="0"/>
    <x v="0"/>
    <x v="3"/>
    <n v="1267.2667757774141"/>
    <n v="228.10801963993453"/>
    <n v="0"/>
    <d v="2024-07-07T00:00:00"/>
    <x v="0"/>
  </r>
  <r>
    <n v="218"/>
    <d v="2024-06-08T00:00:00"/>
    <s v="KPEX-PF-213367-04-06-2024"/>
    <d v="2024-06-04T00:00:00"/>
    <x v="0"/>
    <x v="0"/>
    <n v="938.37199999999996"/>
    <x v="3"/>
    <x v="0"/>
    <n v="5401.1"/>
    <n v="16.13"/>
    <n v="0"/>
    <n v="0"/>
    <x v="17"/>
    <s v="Sewing Thread"/>
    <n v="4313285"/>
    <x v="0"/>
    <n v="776391.29999999993"/>
    <x v="0"/>
    <m/>
    <m/>
    <x v="0"/>
    <x v="0"/>
    <x v="0"/>
    <x v="0"/>
    <x v="0"/>
    <x v="0"/>
    <m/>
    <x v="0"/>
    <x v="1"/>
    <x v="0"/>
    <x v="0"/>
    <x v="0"/>
    <x v="3"/>
    <n v="4596.5619178747875"/>
    <n v="827.38114521746172"/>
    <n v="0"/>
    <d v="2024-07-08T00:00:00"/>
    <x v="0"/>
  </r>
  <r>
    <n v="219"/>
    <d v="2024-06-08T00:00:00"/>
    <s v="KPEX-PF-213370-04-06-2024"/>
    <d v="2024-06-04T00:00:00"/>
    <x v="0"/>
    <x v="0"/>
    <n v="2374.9830000000002"/>
    <x v="3"/>
    <x v="0"/>
    <n v="5508.1"/>
    <n v="11.64"/>
    <n v="0"/>
    <n v="0"/>
    <x v="17"/>
    <s v="Sewing Thread"/>
    <n v="7877475"/>
    <x v="0"/>
    <n v="1417945.5"/>
    <x v="0"/>
    <m/>
    <m/>
    <x v="0"/>
    <x v="0"/>
    <x v="0"/>
    <x v="0"/>
    <x v="0"/>
    <x v="0"/>
    <m/>
    <x v="0"/>
    <x v="1"/>
    <x v="0"/>
    <x v="0"/>
    <x v="0"/>
    <x v="3"/>
    <n v="3316.8553206486108"/>
    <n v="597.03395771674991"/>
    <n v="0"/>
    <d v="2024-07-08T00:00:00"/>
    <x v="0"/>
  </r>
  <r>
    <n v="220"/>
    <d v="2024-06-08T00:00:00"/>
    <s v="KPEX-PF-213372-04-06-2024"/>
    <d v="2024-06-04T00:00:00"/>
    <x v="0"/>
    <x v="0"/>
    <n v="428.24799999999999"/>
    <x v="3"/>
    <x v="0"/>
    <n v="5401.1"/>
    <n v="7.96"/>
    <n v="0"/>
    <n v="0"/>
    <x v="17"/>
    <s v="Sewing Thread"/>
    <n v="971880"/>
    <x v="0"/>
    <n v="174938.4"/>
    <x v="0"/>
    <m/>
    <m/>
    <x v="0"/>
    <x v="0"/>
    <x v="0"/>
    <x v="0"/>
    <x v="0"/>
    <x v="0"/>
    <m/>
    <x v="0"/>
    <x v="1"/>
    <x v="0"/>
    <x v="0"/>
    <x v="0"/>
    <x v="3"/>
    <n v="2269.4326651846595"/>
    <n v="408.49787973323868"/>
    <n v="0"/>
    <d v="2024-07-08T00:00:00"/>
    <x v="0"/>
  </r>
  <r>
    <n v="221"/>
    <d v="2024-06-10T00:00:00"/>
    <s v="PCSE-PF-710-06-06-2024"/>
    <d v="2024-06-06T00:00:00"/>
    <x v="0"/>
    <x v="1"/>
    <n v="45359.702400000002"/>
    <x v="3"/>
    <x v="0"/>
    <n v="5402.33"/>
    <n v="2.17"/>
    <n v="45359.702400000002"/>
    <n v="45359.702400000002"/>
    <x v="6"/>
    <s v="100% Polyester Yarn"/>
    <n v="28000000"/>
    <x v="0"/>
    <n v="5040000"/>
    <x v="0"/>
    <m/>
    <m/>
    <x v="0"/>
    <x v="0"/>
    <x v="0"/>
    <x v="0"/>
    <x v="0"/>
    <x v="0"/>
    <m/>
    <x v="0"/>
    <x v="1"/>
    <x v="0"/>
    <x v="0"/>
    <x v="0"/>
    <x v="3"/>
    <n v="617.28800054913938"/>
    <n v="111.11184009884509"/>
    <n v="5040000"/>
    <d v="2024-07-10T00:00:00"/>
    <x v="0"/>
  </r>
  <r>
    <n v="222"/>
    <d v="2024-06-10T00:00:00"/>
    <s v="KPEX-PF-214738-06-06-2024"/>
    <d v="2024-06-06T00:00:00"/>
    <x v="0"/>
    <x v="0"/>
    <n v="563"/>
    <x v="3"/>
    <x v="0"/>
    <n v="5209.42"/>
    <n v="3.55"/>
    <n v="0"/>
    <n v="0"/>
    <x v="19"/>
    <s v="Denim Fabric 99% 1%"/>
    <n v="568860"/>
    <x v="0"/>
    <n v="102394.8"/>
    <x v="0"/>
    <m/>
    <m/>
    <x v="0"/>
    <x v="0"/>
    <x v="0"/>
    <x v="0"/>
    <x v="0"/>
    <x v="0"/>
    <m/>
    <x v="0"/>
    <x v="1"/>
    <x v="0"/>
    <x v="0"/>
    <x v="0"/>
    <x v="2"/>
    <n v="1010.4085257548845"/>
    <n v="181.87353463587922"/>
    <n v="0"/>
    <d v="2024-07-10T00:00:00"/>
    <x v="0"/>
  </r>
  <r>
    <n v="223"/>
    <d v="2024-06-15T00:00:00"/>
    <s v="KPEX-PF-217704-11-06-2024"/>
    <d v="2024-06-11T00:00:00"/>
    <x v="0"/>
    <x v="0"/>
    <n v="1587.59"/>
    <x v="3"/>
    <x v="0"/>
    <n v="5205.2299999999996"/>
    <n v="3.48"/>
    <n v="0"/>
    <n v="0"/>
    <x v="10"/>
    <s v="30/1 Cotton Yarn Combed"/>
    <n v="1575000"/>
    <x v="0"/>
    <n v="283500"/>
    <x v="0"/>
    <m/>
    <m/>
    <x v="0"/>
    <x v="0"/>
    <x v="0"/>
    <x v="0"/>
    <x v="0"/>
    <x v="0"/>
    <m/>
    <x v="0"/>
    <x v="1"/>
    <x v="0"/>
    <x v="0"/>
    <x v="0"/>
    <x v="3"/>
    <n v="992.06974092807343"/>
    <n v="178.57255336705322"/>
    <n v="0"/>
    <d v="2024-07-15T00:00:00"/>
    <x v="0"/>
  </r>
  <r>
    <n v="224"/>
    <d v="2024-06-15T00:00:00"/>
    <s v="KPEX-PF-217707-11-06-2024"/>
    <d v="2024-06-11T00:00:00"/>
    <x v="0"/>
    <x v="0"/>
    <n v="1587.59"/>
    <x v="3"/>
    <x v="0"/>
    <n v="5205.2299999999996"/>
    <n v="3.56"/>
    <n v="0"/>
    <n v="0"/>
    <x v="10"/>
    <s v="30/1 Cotton Yarn Combed"/>
    <n v="1610000"/>
    <x v="0"/>
    <n v="289800"/>
    <x v="0"/>
    <m/>
    <m/>
    <x v="0"/>
    <x v="0"/>
    <x v="0"/>
    <x v="0"/>
    <x v="0"/>
    <x v="0"/>
    <m/>
    <x v="0"/>
    <x v="1"/>
    <x v="0"/>
    <x v="0"/>
    <x v="0"/>
    <x v="3"/>
    <n v="1014.1157351709195"/>
    <n v="182.54083233076551"/>
    <n v="0"/>
    <d v="2024-07-15T00:00:00"/>
    <x v="0"/>
  </r>
  <r>
    <n v="225"/>
    <d v="2024-06-15T00:00:00"/>
    <s v="KPPE-PF-272567-11-06-2024"/>
    <d v="2024-06-11T00:00:00"/>
    <x v="0"/>
    <x v="0"/>
    <n v="148.35679999999999"/>
    <x v="3"/>
    <x v="0"/>
    <n v="5401.1"/>
    <n v="8.35"/>
    <n v="0"/>
    <n v="0"/>
    <x v="17"/>
    <s v="Sewing Thread PPCA 16/2,21/2"/>
    <n v="353221"/>
    <x v="0"/>
    <n v="63579.78"/>
    <x v="0"/>
    <m/>
    <m/>
    <x v="0"/>
    <x v="0"/>
    <x v="0"/>
    <x v="0"/>
    <x v="0"/>
    <x v="0"/>
    <m/>
    <x v="0"/>
    <x v="1"/>
    <x v="0"/>
    <x v="0"/>
    <x v="0"/>
    <x v="3"/>
    <n v="2380.8885066272665"/>
    <n v="428.55993119290792"/>
    <n v="0"/>
    <d v="2024-07-15T00:00:00"/>
    <x v="0"/>
  </r>
  <r>
    <n v="226"/>
    <d v="2024-06-15T00:00:00"/>
    <s v="KPPE-PF-272620-11-06-2024"/>
    <d v="2024-06-11T00:00:00"/>
    <x v="0"/>
    <x v="0"/>
    <n v="189.10810000000001"/>
    <x v="3"/>
    <x v="0"/>
    <n v="5401.2089999999998"/>
    <n v="5.21"/>
    <n v="0"/>
    <n v="0"/>
    <x v="17"/>
    <s v="Sewing Thread SSPA 21/2, 21/3, 50/3"/>
    <n v="280754"/>
    <x v="0"/>
    <n v="50535.72"/>
    <x v="0"/>
    <m/>
    <m/>
    <x v="0"/>
    <x v="0"/>
    <x v="0"/>
    <x v="0"/>
    <x v="0"/>
    <x v="0"/>
    <m/>
    <x v="0"/>
    <x v="1"/>
    <x v="0"/>
    <x v="0"/>
    <x v="0"/>
    <x v="3"/>
    <n v="1484.621758666075"/>
    <n v="267.23191655989353"/>
    <n v="0"/>
    <d v="2024-07-15T00:00:00"/>
    <x v="0"/>
  </r>
  <r>
    <n v="227"/>
    <d v="2024-06-16T00:00:00"/>
    <s v="KPPE-PF-273411-12-06-2024"/>
    <d v="2024-06-12T00:00:00"/>
    <x v="0"/>
    <x v="0"/>
    <n v="5400"/>
    <x v="3"/>
    <x v="0"/>
    <n v="3809.9189999999999"/>
    <n v="0.53"/>
    <n v="0"/>
    <n v="0"/>
    <x v="12"/>
    <s v="Softex HC 25 Paste (240506)"/>
    <n v="810000"/>
    <x v="0"/>
    <n v="145800"/>
    <x v="0"/>
    <m/>
    <m/>
    <x v="0"/>
    <x v="0"/>
    <x v="0"/>
    <x v="0"/>
    <x v="0"/>
    <x v="0"/>
    <m/>
    <x v="0"/>
    <x v="1"/>
    <x v="0"/>
    <x v="0"/>
    <x v="0"/>
    <x v="5"/>
    <n v="150"/>
    <n v="27"/>
    <n v="0"/>
    <d v="2024-07-16T00:00:00"/>
    <x v="0"/>
  </r>
  <r>
    <n v="228"/>
    <d v="2024-06-13T00:00:00"/>
    <s v="PQEB-PF-835-11-06-2024"/>
    <d v="2024-06-11T00:00:00"/>
    <x v="1"/>
    <x v="0"/>
    <n v="11936"/>
    <x v="3"/>
    <x v="0"/>
    <n v="4821.8999999999996"/>
    <n v="0.64"/>
    <n v="0"/>
    <n v="0"/>
    <x v="9"/>
    <s v="Inlay-Card"/>
    <n v="2184288"/>
    <x v="0"/>
    <n v="393171.83999999997"/>
    <x v="0"/>
    <m/>
    <m/>
    <x v="0"/>
    <x v="0"/>
    <x v="0"/>
    <x v="0"/>
    <x v="0"/>
    <x v="0"/>
    <m/>
    <x v="0"/>
    <x v="1"/>
    <x v="0"/>
    <x v="0"/>
    <x v="0"/>
    <x v="6"/>
    <n v="183"/>
    <n v="32.94"/>
    <n v="0"/>
    <d v="2024-06-18T00:00:00"/>
    <x v="0"/>
  </r>
  <r>
    <n v="229"/>
    <d v="2024-06-17T00:00:00"/>
    <s v="KPEX-PF-219975-13-06-2024"/>
    <d v="2024-06-13T00:00:00"/>
    <x v="0"/>
    <x v="0"/>
    <n v="11459"/>
    <x v="3"/>
    <x v="0"/>
    <n v="5209.42"/>
    <n v="3.49"/>
    <n v="0"/>
    <n v="0"/>
    <x v="19"/>
    <s v="Denim Fabric 99% 1%"/>
    <n v="11404559"/>
    <x v="0"/>
    <n v="2052820.6199999999"/>
    <x v="0"/>
    <m/>
    <m/>
    <x v="0"/>
    <x v="0"/>
    <x v="0"/>
    <x v="0"/>
    <x v="0"/>
    <x v="0"/>
    <m/>
    <x v="0"/>
    <x v="1"/>
    <x v="0"/>
    <x v="0"/>
    <x v="0"/>
    <x v="2"/>
    <n v="995.24906187276372"/>
    <n v="179.14483113709747"/>
    <n v="0"/>
    <d v="2024-07-17T00:00:00"/>
    <x v="0"/>
  </r>
  <r>
    <n v="230"/>
    <d v="2024-06-18T00:00:00"/>
    <s v="KPPE-PF-276187-14-06-2024"/>
    <d v="2024-06-14T00:00:00"/>
    <x v="1"/>
    <x v="0"/>
    <n v="527"/>
    <x v="3"/>
    <x v="0"/>
    <n v="9606.2990000000009"/>
    <n v="21.3"/>
    <n v="0"/>
    <n v="0"/>
    <x v="9"/>
    <s v="Button / Rivert ( for Aldi )"/>
    <n v="3199006"/>
    <x v="0"/>
    <n v="575821.07999999996"/>
    <x v="0"/>
    <m/>
    <m/>
    <x v="0"/>
    <x v="0"/>
    <x v="0"/>
    <x v="0"/>
    <x v="0"/>
    <x v="0"/>
    <m/>
    <x v="0"/>
    <x v="1"/>
    <x v="0"/>
    <x v="0"/>
    <x v="0"/>
    <x v="6"/>
    <n v="6070.2201138519922"/>
    <n v="1092.6396204933585"/>
    <n v="0"/>
    <d v="2024-06-23T00:00:00"/>
    <x v="0"/>
  </r>
  <r>
    <n v="231"/>
    <d v="2024-06-24T00:00:00"/>
    <s v="PQEB-PF-855-20-06-2024"/>
    <d v="2024-06-20T00:00:00"/>
    <x v="1"/>
    <x v="0"/>
    <n v="1591"/>
    <x v="3"/>
    <x v="0"/>
    <n v="4821.8999999999996"/>
    <n v="0.64"/>
    <n v="0"/>
    <n v="0"/>
    <x v="9"/>
    <s v="Inlay-Card"/>
    <n v="288051"/>
    <x v="0"/>
    <n v="51849.18"/>
    <x v="0"/>
    <m/>
    <m/>
    <x v="0"/>
    <x v="0"/>
    <x v="0"/>
    <x v="0"/>
    <x v="0"/>
    <x v="0"/>
    <m/>
    <x v="0"/>
    <x v="1"/>
    <x v="0"/>
    <x v="0"/>
    <x v="0"/>
    <x v="6"/>
    <n v="181.05028284098051"/>
    <n v="32.589050911376496"/>
    <n v="0"/>
    <d v="2024-06-29T00:00:00"/>
    <x v="0"/>
  </r>
  <r>
    <n v="232"/>
    <d v="2024-06-24T00:00:00"/>
    <s v="GWDE-PF-170-20-06-2024"/>
    <d v="2024-06-20T00:00:00"/>
    <x v="0"/>
    <x v="1"/>
    <n v="13471.92"/>
    <x v="3"/>
    <x v="0"/>
    <n v="5205.12"/>
    <n v="2.4900000000000002"/>
    <n v="13471.92"/>
    <n v="13471.92"/>
    <x v="10"/>
    <s v="12/1 Cotton Yarn "/>
    <n v="9578250"/>
    <x v="0"/>
    <n v="1724085"/>
    <x v="0"/>
    <m/>
    <m/>
    <x v="0"/>
    <x v="0"/>
    <x v="0"/>
    <x v="0"/>
    <x v="0"/>
    <x v="0"/>
    <m/>
    <x v="0"/>
    <x v="1"/>
    <x v="0"/>
    <x v="0"/>
    <x v="0"/>
    <x v="3"/>
    <n v="710.97883597883595"/>
    <n v="127.97619047619048"/>
    <n v="1724085"/>
    <d v="2024-07-24T00:00:00"/>
    <x v="0"/>
  </r>
  <r>
    <n v="233"/>
    <d v="2024-06-24T00:00:00"/>
    <s v="GWDE-PF-171-20-06-2024"/>
    <d v="2024-06-20T00:00:00"/>
    <x v="0"/>
    <x v="1"/>
    <n v="12020.4"/>
    <x v="3"/>
    <x v="0"/>
    <n v="5205.12"/>
    <n v="2.57"/>
    <n v="12020.4"/>
    <n v="12020.4"/>
    <x v="10"/>
    <s v="16/1 Cotton Yarn "/>
    <n v="8811250"/>
    <x v="0"/>
    <n v="1586025"/>
    <x v="0"/>
    <m/>
    <m/>
    <x v="0"/>
    <x v="0"/>
    <x v="0"/>
    <x v="0"/>
    <x v="0"/>
    <x v="0"/>
    <m/>
    <x v="0"/>
    <x v="1"/>
    <x v="0"/>
    <x v="0"/>
    <x v="0"/>
    <x v="3"/>
    <n v="733.02469135802471"/>
    <n v="131.94444444444446"/>
    <n v="1586025"/>
    <d v="2024-07-24T00:00:00"/>
    <x v="0"/>
  </r>
  <r>
    <n v="234"/>
    <d v="2024-06-24T00:00:00"/>
    <s v="PQEB-PF-859-20-06-2024"/>
    <d v="2024-06-20T00:00:00"/>
    <x v="1"/>
    <x v="0"/>
    <n v="12997"/>
    <x v="3"/>
    <x v="0"/>
    <n v="4821.8999999999996"/>
    <n v="2.34"/>
    <n v="0"/>
    <n v="0"/>
    <x v="9"/>
    <s v="Inlay-Card"/>
    <n v="8665100"/>
    <x v="0"/>
    <n v="1559718"/>
    <x v="0"/>
    <m/>
    <m/>
    <x v="0"/>
    <x v="0"/>
    <x v="0"/>
    <x v="0"/>
    <x v="0"/>
    <x v="0"/>
    <m/>
    <x v="0"/>
    <x v="1"/>
    <x v="0"/>
    <x v="0"/>
    <x v="0"/>
    <x v="6"/>
    <n v="666.7000076940833"/>
    <n v="120.00600138493499"/>
    <n v="0"/>
    <d v="2024-06-29T00:00:00"/>
    <x v="0"/>
  </r>
  <r>
    <n v="235"/>
    <d v="2024-06-01T00:00:00"/>
    <s v="LPEX-PF-17738-22-05-2024"/>
    <d v="2024-05-22T00:00:00"/>
    <x v="0"/>
    <x v="0"/>
    <n v="22648"/>
    <x v="3"/>
    <x v="0"/>
    <n v="5209.42"/>
    <n v="3.39"/>
    <n v="0"/>
    <n v="0"/>
    <x v="19"/>
    <s v="Denim Fabric 99% 1%"/>
    <n v="21894168"/>
    <x v="0"/>
    <n v="3940950.2399999998"/>
    <x v="0"/>
    <m/>
    <m/>
    <x v="0"/>
    <x v="0"/>
    <x v="0"/>
    <x v="0"/>
    <x v="0"/>
    <x v="0"/>
    <m/>
    <x v="0"/>
    <x v="1"/>
    <x v="0"/>
    <x v="0"/>
    <x v="0"/>
    <x v="2"/>
    <n v="966.71529494878132"/>
    <n v="174.00875309078063"/>
    <n v="0"/>
    <d v="2024-07-01T00:00:00"/>
    <x v="0"/>
  </r>
  <r>
    <n v="236"/>
    <d v="2024-06-01T00:00:00"/>
    <s v="LPEX-PF-17745-22-05-2024"/>
    <d v="2024-05-22T00:00:00"/>
    <x v="0"/>
    <x v="0"/>
    <n v="5959"/>
    <x v="3"/>
    <x v="0"/>
    <n v="5209.42"/>
    <n v="3.41"/>
    <n v="0"/>
    <n v="0"/>
    <x v="19"/>
    <s v="Denim Fabric 99% 1%"/>
    <n v="5783512"/>
    <x v="0"/>
    <n v="1041032.1599999999"/>
    <x v="0"/>
    <m/>
    <m/>
    <x v="0"/>
    <x v="0"/>
    <x v="0"/>
    <x v="0"/>
    <x v="0"/>
    <x v="0"/>
    <m/>
    <x v="0"/>
    <x v="1"/>
    <x v="0"/>
    <x v="0"/>
    <x v="0"/>
    <x v="2"/>
    <n v="970.55076355093138"/>
    <n v="174.69913743916763"/>
    <n v="0"/>
    <d v="2024-07-01T00:00:00"/>
    <x v="0"/>
  </r>
  <r>
    <n v="237"/>
    <d v="2024-06-01T00:00:00"/>
    <s v="LPEX-PF-15809-09-05-2024"/>
    <d v="2024-05-09T00:00:00"/>
    <x v="0"/>
    <x v="0"/>
    <n v="28346"/>
    <x v="3"/>
    <x v="0"/>
    <n v="5209.42"/>
    <n v="3.45"/>
    <n v="0"/>
    <n v="0"/>
    <x v="19"/>
    <s v="Denim Fabric 99% 1%"/>
    <n v="27856156"/>
    <x v="0"/>
    <n v="5014108.08"/>
    <x v="0"/>
    <m/>
    <m/>
    <x v="0"/>
    <x v="0"/>
    <x v="0"/>
    <x v="0"/>
    <x v="0"/>
    <x v="0"/>
    <m/>
    <x v="0"/>
    <x v="1"/>
    <x v="0"/>
    <x v="0"/>
    <x v="0"/>
    <x v="2"/>
    <n v="982.71911380794472"/>
    <n v="176.88944048543004"/>
    <n v="0"/>
    <d v="2024-07-01T00:00:00"/>
    <x v="0"/>
  </r>
  <r>
    <n v="238"/>
    <d v="2024-06-15T00:00:00"/>
    <s v="LPEX-PF-19922-11-06-2024"/>
    <d v="2024-06-11T00:00:00"/>
    <x v="0"/>
    <x v="0"/>
    <n v="48.79"/>
    <x v="3"/>
    <x v="0"/>
    <n v="5401.1"/>
    <n v="11.49"/>
    <n v="0"/>
    <n v="0"/>
    <x v="17"/>
    <s v="Sewing Thread"/>
    <n v="159734"/>
    <x v="0"/>
    <n v="28752.12"/>
    <x v="0"/>
    <m/>
    <m/>
    <x v="0"/>
    <x v="0"/>
    <x v="0"/>
    <x v="0"/>
    <x v="0"/>
    <x v="0"/>
    <m/>
    <x v="0"/>
    <x v="1"/>
    <x v="0"/>
    <x v="0"/>
    <x v="0"/>
    <x v="3"/>
    <n v="3273.9085878253741"/>
    <n v="589.30354580856726"/>
    <n v="0"/>
    <d v="2024-07-15T00:00:00"/>
    <x v="0"/>
  </r>
  <r>
    <n v="239"/>
    <d v="2024-06-15T00:00:00"/>
    <s v="LPEX-PF-19923-11-06-2024"/>
    <d v="2024-06-11T00:00:00"/>
    <x v="0"/>
    <x v="0"/>
    <n v="1067.98"/>
    <x v="3"/>
    <x v="0"/>
    <n v="5508.1"/>
    <n v="6.95"/>
    <n v="0"/>
    <n v="0"/>
    <x v="17"/>
    <s v="Sewing Thread"/>
    <n v="2115503"/>
    <x v="0"/>
    <n v="380790.54"/>
    <x v="0"/>
    <m/>
    <m/>
    <x v="0"/>
    <x v="0"/>
    <x v="0"/>
    <x v="0"/>
    <x v="0"/>
    <x v="0"/>
    <m/>
    <x v="0"/>
    <x v="1"/>
    <x v="0"/>
    <x v="0"/>
    <x v="0"/>
    <x v="3"/>
    <n v="1980.8451469128636"/>
    <n v="356.55212644431543"/>
    <n v="0"/>
    <d v="2024-07-15T00:00:00"/>
    <x v="0"/>
  </r>
  <r>
    <n v="240"/>
    <d v="2024-06-16T00:00:00"/>
    <s v="KPEX-PF-218629-12-06-2024"/>
    <d v="2024-06-12T00:00:00"/>
    <x v="0"/>
    <x v="1"/>
    <n v="9071.94"/>
    <x v="3"/>
    <x v="0"/>
    <n v="5205.12"/>
    <n v="3.09"/>
    <n v="9071.94"/>
    <n v="9071.94"/>
    <x v="10"/>
    <s v="16/1 95% Cotton 05% Lycra Carded yarn"/>
    <n v="8000000"/>
    <x v="0"/>
    <n v="1440000"/>
    <x v="0"/>
    <m/>
    <m/>
    <x v="0"/>
    <x v="0"/>
    <x v="0"/>
    <x v="0"/>
    <x v="0"/>
    <x v="0"/>
    <m/>
    <x v="0"/>
    <x v="1"/>
    <x v="0"/>
    <x v="0"/>
    <x v="0"/>
    <x v="3"/>
    <n v="881.84004744299455"/>
    <n v="158.73120853973901"/>
    <n v="1440000"/>
    <d v="2024-07-16T00:00:00"/>
    <x v="0"/>
  </r>
  <r>
    <n v="241"/>
    <d v="2024-06-16T00:00:00"/>
    <s v="HCSE-PF-2661-12-06-2024"/>
    <d v="2024-06-12T00:00:00"/>
    <x v="0"/>
    <x v="0"/>
    <n v="240"/>
    <x v="3"/>
    <x v="0"/>
    <n v="3402.42"/>
    <n v="1.93"/>
    <n v="0"/>
    <n v="0"/>
    <x v="12"/>
    <s v="Kieralon AB-OL liq 0120"/>
    <n v="132000"/>
    <x v="0"/>
    <n v="2376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7-16T00:00:00"/>
    <x v="0"/>
  </r>
  <r>
    <n v="242"/>
    <d v="2024-06-16T00:00:00"/>
    <s v="HCSE-PF-2660-12-06-2024"/>
    <d v="2024-06-12T00:00:00"/>
    <x v="0"/>
    <x v="0"/>
    <n v="5600"/>
    <x v="3"/>
    <x v="0"/>
    <n v="3402.42"/>
    <n v="1.84"/>
    <n v="0"/>
    <n v="0"/>
    <x v="12"/>
    <s v="Kieralon 2010 liq 0200"/>
    <n v="2928800"/>
    <x v="0"/>
    <n v="527184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7-16T00:00:00"/>
    <x v="0"/>
  </r>
  <r>
    <n v="243"/>
    <d v="2024-06-30T00:00:00"/>
    <s v="KPPE-PF-282531-26-06-2024"/>
    <d v="2024-06-26T00:00:00"/>
    <x v="0"/>
    <x v="0"/>
    <n v="3584"/>
    <x v="3"/>
    <x v="0"/>
    <n v="5401.1"/>
    <n v="8.17"/>
    <n v="0"/>
    <n v="0"/>
    <x v="17"/>
    <s v="Sewing Thread"/>
    <n v="8341445"/>
    <x v="0"/>
    <n v="1501460.0999999999"/>
    <x v="0"/>
    <m/>
    <m/>
    <x v="0"/>
    <x v="0"/>
    <x v="0"/>
    <x v="0"/>
    <x v="0"/>
    <x v="0"/>
    <m/>
    <x v="0"/>
    <x v="1"/>
    <x v="0"/>
    <x v="0"/>
    <x v="0"/>
    <x v="3"/>
    <n v="2327.412109375"/>
    <n v="418.93417968749998"/>
    <n v="0"/>
    <d v="2024-07-30T00:00:00"/>
    <x v="0"/>
  </r>
  <r>
    <n v="244"/>
    <d v="2024-06-30T00:00:00"/>
    <s v="KPPE-PF-282570-26-06-2024"/>
    <d v="2024-06-26T00:00:00"/>
    <x v="0"/>
    <x v="2"/>
    <n v="4621"/>
    <x v="3"/>
    <x v="0"/>
    <n v="5401.2089999999998"/>
    <n v="5.04"/>
    <n v="19.501899999999999"/>
    <n v="4621"/>
    <x v="17"/>
    <s v="Sewing Thread"/>
    <n v="6642276"/>
    <x v="0"/>
    <n v="1195609.68"/>
    <x v="0"/>
    <m/>
    <m/>
    <x v="0"/>
    <x v="0"/>
    <x v="0"/>
    <x v="0"/>
    <x v="0"/>
    <x v="0"/>
    <m/>
    <x v="0"/>
    <x v="1"/>
    <x v="0"/>
    <x v="0"/>
    <x v="0"/>
    <x v="3"/>
    <n v="1437.4109500108202"/>
    <n v="258.73397100194762"/>
    <n v="5045.8040290828822"/>
    <d v="2024-07-30T00:00:00"/>
    <x v="0"/>
  </r>
  <r>
    <n v="245"/>
    <d v="2024-06-29T00:00:00"/>
    <s v="LPEX-PF-21049-25-06-2024"/>
    <d v="2024-06-25T00:00:00"/>
    <x v="0"/>
    <x v="0"/>
    <n v="181.99"/>
    <x v="3"/>
    <x v="0"/>
    <n v="5401.1"/>
    <n v="12.26"/>
    <n v="0"/>
    <n v="0"/>
    <x v="17"/>
    <s v="Sewing Thread"/>
    <n v="635761"/>
    <x v="0"/>
    <n v="114436.98"/>
    <x v="0"/>
    <m/>
    <m/>
    <x v="0"/>
    <x v="0"/>
    <x v="0"/>
    <x v="0"/>
    <x v="0"/>
    <x v="0"/>
    <m/>
    <x v="0"/>
    <x v="1"/>
    <x v="0"/>
    <x v="0"/>
    <x v="0"/>
    <x v="3"/>
    <n v="3493.3842518819715"/>
    <n v="628.80916533875484"/>
    <n v="0"/>
    <d v="2024-07-29T00:00:00"/>
    <x v="0"/>
  </r>
  <r>
    <n v="246"/>
    <d v="2024-06-29T00:00:00"/>
    <s v="LPEX-PF-21051-25-06-2024"/>
    <d v="2024-06-25T00:00:00"/>
    <x v="0"/>
    <x v="0"/>
    <n v="1597.26"/>
    <x v="3"/>
    <x v="0"/>
    <n v="5508.1"/>
    <n v="7.05"/>
    <n v="0"/>
    <n v="0"/>
    <x v="17"/>
    <s v="Sewing Thread"/>
    <n v="3210118"/>
    <x v="0"/>
    <n v="577821.24"/>
    <x v="0"/>
    <m/>
    <m/>
    <x v="0"/>
    <x v="0"/>
    <x v="0"/>
    <x v="0"/>
    <x v="0"/>
    <x v="0"/>
    <m/>
    <x v="0"/>
    <x v="1"/>
    <x v="0"/>
    <x v="0"/>
    <x v="0"/>
    <x v="3"/>
    <n v="2009.7654733731515"/>
    <n v="361.75778520716727"/>
    <n v="0"/>
    <d v="2024-07-29T00:00:00"/>
    <x v="0"/>
  </r>
  <r>
    <n v="247"/>
    <d v="2024-06-30T00:00:00"/>
    <s v="KPPE-PF-284294-28-06-2024"/>
    <d v="2024-06-28T00:00:00"/>
    <x v="1"/>
    <x v="0"/>
    <n v="698.33"/>
    <x v="3"/>
    <x v="0"/>
    <n v="3919.9090000000001"/>
    <n v="2.11"/>
    <n v="0"/>
    <n v="0"/>
    <x v="9"/>
    <s v="PACKING/ CARTON TAPE"/>
    <n v="418998"/>
    <x v="0"/>
    <n v="75419.64"/>
    <x v="0"/>
    <m/>
    <m/>
    <x v="0"/>
    <x v="0"/>
    <x v="0"/>
    <x v="0"/>
    <x v="0"/>
    <x v="0"/>
    <m/>
    <x v="0"/>
    <x v="1"/>
    <x v="0"/>
    <x v="0"/>
    <x v="0"/>
    <x v="6"/>
    <n v="600"/>
    <n v="107.99999999999999"/>
    <n v="0"/>
    <d v="2024-07-05T00:00:00"/>
    <x v="0"/>
  </r>
  <r>
    <n v="248"/>
    <d v="2024-06-30T00:00:00"/>
    <s v="KPEX-PF-227108-28-06-2024"/>
    <d v="2024-06-28T00:00:00"/>
    <x v="0"/>
    <x v="0"/>
    <n v="8606"/>
    <x v="3"/>
    <x v="0"/>
    <n v="5209.42"/>
    <n v="3.54"/>
    <n v="0"/>
    <n v="0"/>
    <x v="19"/>
    <s v="Denim Fabric 99% 1% "/>
    <n v="8688510"/>
    <x v="0"/>
    <n v="1563931.8"/>
    <x v="0"/>
    <m/>
    <m/>
    <x v="0"/>
    <x v="0"/>
    <x v="0"/>
    <x v="0"/>
    <x v="0"/>
    <x v="0"/>
    <m/>
    <x v="0"/>
    <x v="1"/>
    <x v="0"/>
    <x v="0"/>
    <x v="0"/>
    <x v="2"/>
    <n v="1009.5874970950499"/>
    <n v="181.72574947710899"/>
    <n v="0"/>
    <d v="2024-07-30T00:00:00"/>
    <x v="0"/>
  </r>
  <r>
    <n v="249"/>
    <d v="2024-06-30T00:00:00"/>
    <s v="KPEX-PF-227079-28-06-2024"/>
    <d v="2024-06-28T00:00:00"/>
    <x v="0"/>
    <x v="0"/>
    <n v="5197"/>
    <x v="3"/>
    <x v="0"/>
    <n v="5209.42"/>
    <n v="3.46"/>
    <n v="0"/>
    <n v="0"/>
    <x v="19"/>
    <s v="Denim Fabric 99% 1% "/>
    <n v="5130000"/>
    <x v="0"/>
    <n v="923400"/>
    <x v="0"/>
    <m/>
    <m/>
    <x v="0"/>
    <x v="0"/>
    <x v="0"/>
    <x v="0"/>
    <x v="0"/>
    <x v="0"/>
    <m/>
    <x v="0"/>
    <x v="1"/>
    <x v="0"/>
    <x v="0"/>
    <x v="0"/>
    <x v="2"/>
    <n v="987.10794689243789"/>
    <n v="177.67943044063884"/>
    <n v="0"/>
    <d v="2024-07-30T00:00:00"/>
    <x v="0"/>
  </r>
  <r>
    <n v="250"/>
    <d v="2024-06-30T00:00:00"/>
    <s v="LPEX-PF-21646-29-06-2024"/>
    <d v="2024-06-29T00:00:00"/>
    <x v="0"/>
    <x v="2"/>
    <n v="9071.94"/>
    <x v="3"/>
    <x v="0"/>
    <n v="5206.1400000000003"/>
    <n v="3.21"/>
    <n v="1523.64"/>
    <n v="9071.94"/>
    <x v="3"/>
    <s v="CVC60:40 - 40/1"/>
    <n v="8300000"/>
    <x v="0"/>
    <n v="1494000"/>
    <x v="0"/>
    <m/>
    <m/>
    <x v="0"/>
    <x v="0"/>
    <x v="0"/>
    <x v="0"/>
    <x v="0"/>
    <x v="0"/>
    <m/>
    <x v="0"/>
    <x v="1"/>
    <x v="0"/>
    <x v="0"/>
    <x v="0"/>
    <x v="3"/>
    <n v="914.90904922210677"/>
    <n v="164.68362885997922"/>
    <n v="250918.56427621876"/>
    <d v="2024-07-30T00:00:00"/>
    <x v="0"/>
  </r>
  <r>
    <n v="251"/>
    <d v="2024-06-28T00:00:00"/>
    <s v="HCSE-PF-2865-26-06-2024"/>
    <d v="2024-06-26T00:00:00"/>
    <x v="0"/>
    <x v="0"/>
    <n v="5000"/>
    <x v="3"/>
    <x v="0"/>
    <n v="3402.42"/>
    <n v="1.84"/>
    <n v="0"/>
    <n v="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7-28T00:00:00"/>
    <x v="0"/>
  </r>
  <r>
    <n v="252"/>
    <d v="2024-06-28T00:00:00"/>
    <s v="HCSE-PF-2866-26-06-2024"/>
    <d v="2024-06-26T00:00:00"/>
    <x v="0"/>
    <x v="0"/>
    <n v="5000"/>
    <x v="3"/>
    <x v="0"/>
    <n v="3402.42"/>
    <n v="1.84"/>
    <n v="0"/>
    <n v="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7-28T00:00:00"/>
    <x v="0"/>
  </r>
  <r>
    <n v="253"/>
    <d v="2024-06-26T00:00:00"/>
    <s v="HCSE-PF-2773-24-06-2024"/>
    <d v="2024-06-24T00:00:00"/>
    <x v="0"/>
    <x v="0"/>
    <n v="1080"/>
    <x v="3"/>
    <x v="0"/>
    <n v="3402.42"/>
    <n v="1.93"/>
    <n v="0"/>
    <n v="0"/>
    <x v="12"/>
    <s v="Kieralon AB-OL liq 0120"/>
    <n v="594000"/>
    <x v="0"/>
    <n v="10692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7-26T00:00:00"/>
    <x v="0"/>
  </r>
  <r>
    <n v="254"/>
    <d v="2024-06-27T00:00:00"/>
    <s v="KPEX-PF-224799-25-06-2024"/>
    <d v="2024-06-25T00:00:00"/>
    <x v="0"/>
    <x v="1"/>
    <n v="90.72"/>
    <x v="3"/>
    <x v="0"/>
    <n v="5205.12"/>
    <n v="2.96"/>
    <n v="90.72"/>
    <n v="90.72"/>
    <x v="10"/>
    <s v="12/1 95% Cotton 05% Lycra Carded yarn"/>
    <n v="76601"/>
    <x v="0"/>
    <n v="13788.18"/>
    <x v="0"/>
    <m/>
    <m/>
    <x v="0"/>
    <x v="0"/>
    <x v="0"/>
    <x v="0"/>
    <x v="0"/>
    <x v="0"/>
    <m/>
    <x v="0"/>
    <x v="1"/>
    <x v="0"/>
    <x v="0"/>
    <x v="0"/>
    <x v="3"/>
    <n v="844.36728395061732"/>
    <n v="151.98611111111111"/>
    <n v="13788.18"/>
    <d v="2024-07-27T00:00:00"/>
    <x v="0"/>
  </r>
  <r>
    <n v="255"/>
    <d v="2024-06-27T00:00:00"/>
    <s v="KPEX-PF-224811-25-06-2024"/>
    <d v="2024-06-25T00:00:00"/>
    <x v="0"/>
    <x v="1"/>
    <n v="7983.31"/>
    <x v="3"/>
    <x v="0"/>
    <n v="5205.12"/>
    <n v="3.09"/>
    <n v="7983.31"/>
    <n v="7983.31"/>
    <x v="10"/>
    <s v="16/1 95% Cotton 05% Lycra Carded yarn"/>
    <n v="7040002"/>
    <x v="0"/>
    <n v="1267200.3599999999"/>
    <x v="0"/>
    <m/>
    <m/>
    <x v="0"/>
    <x v="0"/>
    <x v="0"/>
    <x v="0"/>
    <x v="0"/>
    <x v="0"/>
    <m/>
    <x v="0"/>
    <x v="1"/>
    <x v="0"/>
    <x v="0"/>
    <x v="0"/>
    <x v="3"/>
    <n v="881.83998867637604"/>
    <n v="158.73119796174768"/>
    <n v="1267200.3599999999"/>
    <d v="2024-07-27T00:00:00"/>
    <x v="0"/>
  </r>
  <r>
    <n v="256"/>
    <d v="2024-06-30T00:00:00"/>
    <s v="KPEX-PF-228386-29-06-2024"/>
    <d v="2024-06-29T00:00:00"/>
    <x v="0"/>
    <x v="2"/>
    <n v="32.799999999999997"/>
    <x v="3"/>
    <x v="0"/>
    <n v="3919.9090000000001"/>
    <n v="1.93"/>
    <n v="16.96"/>
    <n v="32.799999999999997"/>
    <x v="9"/>
    <s v="PACKING/ CARTON TAPE"/>
    <n v="18040"/>
    <x v="0"/>
    <n v="3247.2"/>
    <x v="0"/>
    <m/>
    <m/>
    <x v="0"/>
    <x v="0"/>
    <x v="0"/>
    <x v="0"/>
    <x v="0"/>
    <x v="0"/>
    <m/>
    <x v="0"/>
    <x v="1"/>
    <x v="0"/>
    <x v="0"/>
    <x v="0"/>
    <x v="6"/>
    <n v="550"/>
    <n v="99"/>
    <n v="1679.0400000000002"/>
    <d v="2024-07-30T00:00:00"/>
    <x v="0"/>
  </r>
  <r>
    <s v="Additional"/>
    <d v="2024-06-30T00:00:00"/>
    <s v="KPEX-PF-5405-09-07-2024"/>
    <d v="2024-07-09T00:00:00"/>
    <x v="0"/>
    <x v="0"/>
    <n v="3346"/>
    <x v="3"/>
    <x v="0"/>
    <n v="5209.42"/>
    <n v="3.59"/>
    <n v="0"/>
    <n v="0"/>
    <x v="19"/>
    <s v="Denim Fabric 99% 1% "/>
    <n v="3421140"/>
    <x v="0"/>
    <n v="615805.19999999995"/>
    <x v="0"/>
    <m/>
    <m/>
    <x v="0"/>
    <x v="0"/>
    <x v="0"/>
    <x v="0"/>
    <x v="0"/>
    <x v="0"/>
    <m/>
    <x v="0"/>
    <x v="1"/>
    <x v="0"/>
    <x v="0"/>
    <x v="0"/>
    <x v="2"/>
    <n v="1022.4566646742379"/>
    <n v="184.0421996413628"/>
    <n v="0"/>
    <d v="2024-07-30T00:00:00"/>
    <x v="0"/>
  </r>
  <r>
    <s v="Additional"/>
    <d v="2024-06-30T00:00:00"/>
    <s v="KPEX-PF-5373-09-07-2024"/>
    <d v="2024-07-09T00:00:00"/>
    <x v="0"/>
    <x v="0"/>
    <n v="169"/>
    <x v="3"/>
    <x v="0"/>
    <n v="5209.42"/>
    <n v="3.55"/>
    <n v="0"/>
    <n v="0"/>
    <x v="19"/>
    <s v="Denim Fabric 99% 1% "/>
    <n v="171000"/>
    <x v="0"/>
    <n v="30780"/>
    <x v="0"/>
    <m/>
    <m/>
    <x v="0"/>
    <x v="0"/>
    <x v="0"/>
    <x v="0"/>
    <x v="0"/>
    <x v="0"/>
    <m/>
    <x v="0"/>
    <x v="1"/>
    <x v="0"/>
    <x v="0"/>
    <x v="0"/>
    <x v="2"/>
    <n v="1011.8343195266273"/>
    <n v="182.1301775147929"/>
    <n v="0"/>
    <d v="2024-07-30T00:00:00"/>
    <x v="0"/>
  </r>
  <r>
    <s v="Additional"/>
    <d v="2024-06-30T00:00:00"/>
    <s v="KPEX-PF-4596-08-07-2024"/>
    <d v="2024-07-08T00:00:00"/>
    <x v="0"/>
    <x v="1"/>
    <n v="3447.34"/>
    <x v="3"/>
    <x v="0"/>
    <n v="5205.12"/>
    <n v="3.09"/>
    <n v="3447.34"/>
    <n v="3447.34"/>
    <x v="10"/>
    <s v="16/1 95% Cotton 05% Lycra Carded yarn"/>
    <n v="3040002"/>
    <x v="0"/>
    <n v="547200.36"/>
    <x v="0"/>
    <m/>
    <m/>
    <x v="0"/>
    <x v="0"/>
    <x v="0"/>
    <x v="0"/>
    <x v="0"/>
    <x v="0"/>
    <m/>
    <x v="0"/>
    <x v="1"/>
    <x v="0"/>
    <x v="0"/>
    <x v="0"/>
    <x v="3"/>
    <n v="881.83991135194083"/>
    <n v="158.73118404334934"/>
    <n v="547200.36"/>
    <d v="2024-07-30T00:00:00"/>
    <x v="0"/>
  </r>
  <r>
    <s v="Additional"/>
    <d v="2024-06-30T00:00:00"/>
    <s v="MCSE-PF-116-03-07-2024"/>
    <d v="2024-07-03T00:00:00"/>
    <x v="0"/>
    <x v="0"/>
    <n v="7530"/>
    <x v="3"/>
    <x v="0"/>
    <n v="5205.2299999999996"/>
    <n v="3.29"/>
    <n v="0"/>
    <n v="0"/>
    <x v="10"/>
    <s v="Yarn30/1 Carded Compact CF"/>
    <n v="7050000"/>
    <x v="0"/>
    <n v="1269000"/>
    <x v="0"/>
    <m/>
    <m/>
    <x v="0"/>
    <x v="0"/>
    <x v="0"/>
    <x v="0"/>
    <x v="0"/>
    <x v="0"/>
    <m/>
    <x v="0"/>
    <x v="1"/>
    <x v="0"/>
    <x v="0"/>
    <x v="0"/>
    <x v="3"/>
    <n v="936.25498007968133"/>
    <n v="168.52589641434264"/>
    <n v="0"/>
    <d v="2024-07-30T00:00:00"/>
    <x v="0"/>
  </r>
  <r>
    <s v="Additional"/>
    <d v="2024-06-30T00:00:00"/>
    <s v="LPEX-PF-756-08-07-2024"/>
    <d v="2024-07-08T00:00:00"/>
    <x v="0"/>
    <x v="0"/>
    <n v="20103"/>
    <x v="3"/>
    <x v="0"/>
    <n v="5208.1899999999996"/>
    <n v="4.38"/>
    <n v="0"/>
    <n v="0"/>
    <x v="14"/>
    <s v="40/40 Coton fabric"/>
    <n v="25110000"/>
    <x v="0"/>
    <n v="4519800"/>
    <x v="0"/>
    <m/>
    <m/>
    <x v="0"/>
    <x v="0"/>
    <x v="0"/>
    <x v="0"/>
    <x v="0"/>
    <x v="0"/>
    <m/>
    <x v="0"/>
    <x v="1"/>
    <x v="0"/>
    <x v="0"/>
    <x v="0"/>
    <x v="2"/>
    <n v="1249.0673033875541"/>
    <n v="224.83211460975974"/>
    <n v="0"/>
    <d v="2024-07-30T00:00:00"/>
    <x v="0"/>
  </r>
  <r>
    <s v="Additional"/>
    <d v="2024-06-30T00:00:00"/>
    <s v="LPEX-PF-758-08-07-2024"/>
    <d v="2024-07-08T00:00:00"/>
    <x v="0"/>
    <x v="1"/>
    <n v="3686"/>
    <x v="3"/>
    <x v="0"/>
    <n v="5208.1899999999996"/>
    <n v="4.3499999999999996"/>
    <n v="3686"/>
    <n v="3686"/>
    <x v="14"/>
    <s v="40/40 Coton fabric"/>
    <n v="4570000"/>
    <x v="0"/>
    <n v="822600"/>
    <x v="0"/>
    <m/>
    <m/>
    <x v="0"/>
    <x v="0"/>
    <x v="0"/>
    <x v="0"/>
    <x v="0"/>
    <x v="0"/>
    <m/>
    <x v="0"/>
    <x v="1"/>
    <x v="0"/>
    <x v="0"/>
    <x v="0"/>
    <x v="2"/>
    <n v="1239.8263700488335"/>
    <n v="223.16874660879003"/>
    <n v="822600"/>
    <d v="2024-07-30T00:00:00"/>
    <x v="0"/>
  </r>
  <r>
    <s v="Additional"/>
    <d v="2024-06-30T00:00:00"/>
    <s v="LPEX-PF-762-08-07-2024"/>
    <d v="2024-07-08T00:00:00"/>
    <x v="0"/>
    <x v="2"/>
    <n v="6106"/>
    <x v="3"/>
    <x v="0"/>
    <n v="5208.1899999999996"/>
    <n v="4.3600000000000003"/>
    <n v="6106"/>
    <n v="6106"/>
    <x v="14"/>
    <s v="40/40 Coton fabric"/>
    <n v="7580988"/>
    <x v="0"/>
    <n v="1364577.8399999999"/>
    <x v="0"/>
    <m/>
    <m/>
    <x v="0"/>
    <x v="0"/>
    <x v="0"/>
    <x v="0"/>
    <x v="0"/>
    <x v="0"/>
    <m/>
    <x v="0"/>
    <x v="1"/>
    <x v="0"/>
    <x v="0"/>
    <x v="0"/>
    <x v="2"/>
    <n v="1241.5637078283655"/>
    <n v="223.48146740910576"/>
    <n v="1364577.8399999999"/>
    <d v="2024-07-30T00:00:00"/>
    <x v="0"/>
  </r>
  <r>
    <s v="Additional"/>
    <d v="2024-06-30T00:00:00"/>
    <s v="LPEX-PF-767-08-07-2024"/>
    <d v="2024-07-08T00:00:00"/>
    <x v="0"/>
    <x v="1"/>
    <n v="22129"/>
    <x v="3"/>
    <x v="0"/>
    <n v="5208.1899999999996"/>
    <n v="4.3499999999999996"/>
    <n v="22129"/>
    <n v="22129"/>
    <x v="14"/>
    <s v="40/40 Coton fabric"/>
    <n v="27420000"/>
    <x v="0"/>
    <n v="4935600"/>
    <x v="0"/>
    <m/>
    <m/>
    <x v="0"/>
    <x v="0"/>
    <x v="0"/>
    <x v="0"/>
    <x v="0"/>
    <x v="0"/>
    <m/>
    <x v="0"/>
    <x v="1"/>
    <x v="0"/>
    <x v="0"/>
    <x v="0"/>
    <x v="2"/>
    <n v="1239.0980161778662"/>
    <n v="223.03764291201591"/>
    <n v="4935600"/>
    <d v="2024-07-30T00:00:00"/>
    <x v="0"/>
  </r>
  <r>
    <s v="Additional"/>
    <d v="2024-06-30T00:00:00"/>
    <s v="LPEX-PF-771-08-07-2024"/>
    <d v="2024-07-08T00:00:00"/>
    <x v="0"/>
    <x v="1"/>
    <n v="11163"/>
    <x v="3"/>
    <x v="0"/>
    <n v="5208.1899999999996"/>
    <n v="4.3499999999999996"/>
    <n v="11163"/>
    <n v="11163"/>
    <x v="14"/>
    <s v="40/40 Coton fabric"/>
    <n v="13851670"/>
    <x v="0"/>
    <n v="2493300.6"/>
    <x v="0"/>
    <m/>
    <m/>
    <x v="0"/>
    <x v="0"/>
    <x v="0"/>
    <x v="0"/>
    <x v="0"/>
    <x v="0"/>
    <m/>
    <x v="0"/>
    <x v="1"/>
    <x v="0"/>
    <x v="0"/>
    <x v="0"/>
    <x v="2"/>
    <n v="1240.8555047926184"/>
    <n v="223.35399086267134"/>
    <n v="2493300.6"/>
    <d v="2024-07-30T00:00:00"/>
    <x v="0"/>
  </r>
  <r>
    <s v="Additional"/>
    <d v="2024-06-30T00:00:00"/>
    <s v="KPEX-PF-7177-11-07-2024"/>
    <d v="2024-07-11T00:00:00"/>
    <x v="0"/>
    <x v="0"/>
    <n v="996.35199999999998"/>
    <x v="3"/>
    <x v="0"/>
    <n v="5508.1"/>
    <n v="11.31"/>
    <n v="0"/>
    <n v="0"/>
    <x v="17"/>
    <s v="Sewing Thread"/>
    <n v="3211235"/>
    <x v="0"/>
    <n v="578022.29999999993"/>
    <x v="0"/>
    <m/>
    <m/>
    <x v="0"/>
    <x v="0"/>
    <x v="0"/>
    <x v="0"/>
    <x v="0"/>
    <x v="0"/>
    <m/>
    <x v="0"/>
    <x v="1"/>
    <x v="0"/>
    <x v="0"/>
    <x v="0"/>
    <x v="3"/>
    <n v="3222.9924765544706"/>
    <n v="580.13864577980462"/>
    <n v="0"/>
    <d v="2024-07-30T00:00:00"/>
    <x v="0"/>
  </r>
  <r>
    <s v="Additional"/>
    <d v="2024-06-30T00:00:00"/>
    <s v="KPEX-PF-7210-11-07-2024"/>
    <d v="2024-07-11T00:00:00"/>
    <x v="0"/>
    <x v="0"/>
    <n v="135.91800000000001"/>
    <x v="3"/>
    <x v="0"/>
    <n v="5401.1"/>
    <n v="18.100000000000001"/>
    <n v="0"/>
    <n v="0"/>
    <x v="17"/>
    <s v="Sewing Thread"/>
    <n v="701043"/>
    <x v="0"/>
    <n v="126187.73999999999"/>
    <x v="0"/>
    <m/>
    <m/>
    <x v="0"/>
    <x v="0"/>
    <x v="0"/>
    <x v="0"/>
    <x v="0"/>
    <x v="0"/>
    <m/>
    <x v="0"/>
    <x v="1"/>
    <x v="0"/>
    <x v="0"/>
    <x v="0"/>
    <x v="3"/>
    <n v="5157.8378139760734"/>
    <n v="928.41080651569314"/>
    <n v="0"/>
    <d v="2024-07-30T00:00:00"/>
    <x v="0"/>
  </r>
  <r>
    <s v="Additional"/>
    <d v="2024-06-30T00:00:00"/>
    <s v="KPEX-PF-7211-11-07-2024"/>
    <d v="2024-07-11T00:00:00"/>
    <x v="0"/>
    <x v="2"/>
    <n v="129.54900000000001"/>
    <x v="3"/>
    <x v="0"/>
    <n v="5401.1"/>
    <n v="8.51"/>
    <n v="23.089000000000006"/>
    <n v="129.54900000000001"/>
    <x v="17"/>
    <s v="Sewing Thread"/>
    <n v="314366"/>
    <x v="0"/>
    <n v="56585.88"/>
    <x v="0"/>
    <m/>
    <m/>
    <x v="0"/>
    <x v="0"/>
    <x v="0"/>
    <x v="0"/>
    <x v="0"/>
    <x v="0"/>
    <m/>
    <x v="0"/>
    <x v="1"/>
    <x v="0"/>
    <x v="0"/>
    <x v="0"/>
    <x v="3"/>
    <n v="2426.6184995638714"/>
    <n v="436.79132992149687"/>
    <n v="10085.075016557445"/>
    <d v="2024-07-30T00:00:00"/>
    <x v="0"/>
  </r>
  <r>
    <s v="Additional"/>
    <d v="2024-06-30T00:00:00"/>
    <s v="KPEX-PF-6260-10-07-2024"/>
    <d v="2024-07-10T00:00:00"/>
    <x v="0"/>
    <x v="1"/>
    <n v="3628.78"/>
    <x v="3"/>
    <x v="0"/>
    <n v="5206.24"/>
    <n v="4.5999999999999996"/>
    <n v="3628.78"/>
    <n v="3628.78"/>
    <x v="3"/>
    <s v="CVC 60:40 YARN"/>
    <n v="4760000"/>
    <x v="0"/>
    <n v="856800"/>
    <x v="0"/>
    <m/>
    <m/>
    <x v="0"/>
    <x v="0"/>
    <x v="0"/>
    <x v="0"/>
    <x v="0"/>
    <x v="0"/>
    <m/>
    <x v="0"/>
    <x v="1"/>
    <x v="0"/>
    <x v="0"/>
    <x v="0"/>
    <x v="3"/>
    <n v="1311.7356246451975"/>
    <n v="236.11241243613554"/>
    <n v="856800"/>
    <d v="2024-07-30T00:00:00"/>
    <x v="0"/>
  </r>
  <r>
    <s v="Additional"/>
    <d v="2024-06-30T00:00:00"/>
    <s v="KPEX-PF-6272-10-07-2024"/>
    <d v="2024-07-10T00:00:00"/>
    <x v="0"/>
    <x v="1"/>
    <n v="2220.73"/>
    <x v="3"/>
    <x v="0"/>
    <n v="5206.24"/>
    <n v="5.3"/>
    <n v="2220.73"/>
    <n v="2220.73"/>
    <x v="3"/>
    <s v="CVC 60:40 YARN"/>
    <n v="3353644"/>
    <x v="0"/>
    <n v="603655.91999999993"/>
    <x v="0"/>
    <m/>
    <m/>
    <x v="0"/>
    <x v="0"/>
    <x v="0"/>
    <x v="0"/>
    <x v="0"/>
    <x v="0"/>
    <m/>
    <x v="0"/>
    <x v="1"/>
    <x v="0"/>
    <x v="0"/>
    <x v="0"/>
    <x v="3"/>
    <n v="1510.1538683225785"/>
    <n v="271.8276962980641"/>
    <n v="603655.91999999993"/>
    <d v="2024-07-30T00:00:00"/>
    <x v="0"/>
  </r>
  <r>
    <s v="Additional"/>
    <d v="2024-06-30T00:00:00"/>
    <s v="LPEX-PF-1389-11-07-2024"/>
    <d v="2024-07-11T00:00:00"/>
    <x v="0"/>
    <x v="0"/>
    <n v="18779"/>
    <x v="3"/>
    <x v="0"/>
    <n v="5209.42"/>
    <n v="3.39"/>
    <n v="0"/>
    <n v="0"/>
    <x v="19"/>
    <s v="Denim Fabric 99% 1% "/>
    <n v="18148396"/>
    <x v="0"/>
    <n v="3266711.28"/>
    <x v="0"/>
    <m/>
    <m/>
    <x v="0"/>
    <x v="0"/>
    <x v="0"/>
    <x v="0"/>
    <x v="0"/>
    <x v="0"/>
    <m/>
    <x v="0"/>
    <x v="1"/>
    <x v="0"/>
    <x v="0"/>
    <x v="0"/>
    <x v="2"/>
    <n v="966.41972415996588"/>
    <n v="173.95555034879385"/>
    <n v="0"/>
    <d v="2024-07-30T00:00:00"/>
    <x v="0"/>
  </r>
  <r>
    <s v="Additional"/>
    <d v="2024-06-30T00:00:00"/>
    <s v="LPEX-PF-1392-11-07-2024"/>
    <d v="2024-07-11T00:00:00"/>
    <x v="0"/>
    <x v="0"/>
    <n v="11028"/>
    <x v="3"/>
    <x v="0"/>
    <n v="5209.42"/>
    <n v="3.41"/>
    <n v="0"/>
    <n v="0"/>
    <x v="19"/>
    <s v="Denim Fabric 99% 1% "/>
    <n v="10722460"/>
    <x v="0"/>
    <n v="1930042.7999999998"/>
    <x v="0"/>
    <m/>
    <m/>
    <x v="0"/>
    <x v="0"/>
    <x v="0"/>
    <x v="0"/>
    <x v="0"/>
    <x v="0"/>
    <m/>
    <x v="0"/>
    <x v="1"/>
    <x v="0"/>
    <x v="0"/>
    <x v="0"/>
    <x v="2"/>
    <n v="972.29416031918754"/>
    <n v="175.01294885745375"/>
    <n v="0"/>
    <d v="2024-07-30T00:00:00"/>
    <x v="0"/>
  </r>
  <r>
    <s v="Additional"/>
    <d v="2024-06-30T00:00:00"/>
    <s v="LPEX-PF-20009-11-06-2024"/>
    <d v="2024-07-11T00:00:00"/>
    <x v="0"/>
    <x v="1"/>
    <n v="2086.5463"/>
    <x v="3"/>
    <x v="0"/>
    <n v="5205.28"/>
    <n v="6.96"/>
    <n v="2086.5463"/>
    <n v="2086.5463"/>
    <x v="10"/>
    <s v="80/1 Cotton Combed "/>
    <n v="4140000"/>
    <x v="0"/>
    <n v="745200"/>
    <x v="0"/>
    <m/>
    <m/>
    <x v="0"/>
    <x v="0"/>
    <x v="0"/>
    <x v="0"/>
    <x v="0"/>
    <x v="0"/>
    <m/>
    <x v="0"/>
    <x v="1"/>
    <x v="0"/>
    <x v="0"/>
    <x v="0"/>
    <x v="3"/>
    <n v="1984.1400116546658"/>
    <n v="357.14520209783984"/>
    <n v="745200"/>
    <d v="2024-07-30T00:00:00"/>
    <x v="0"/>
  </r>
  <r>
    <s v="Additional"/>
    <d v="2024-06-30T00:00:00"/>
    <s v="LPEX-PF-924-09-07-2024"/>
    <d v="2024-07-09T00:00:00"/>
    <x v="0"/>
    <x v="1"/>
    <n v="15067.1324"/>
    <x v="3"/>
    <x v="0"/>
    <n v="5206.12"/>
    <n v="2.09"/>
    <n v="15067.1324"/>
    <n v="15067.1324"/>
    <x v="3"/>
    <s v="PC65:35"/>
    <n v="8968590"/>
    <x v="0"/>
    <n v="1614346.2"/>
    <x v="0"/>
    <m/>
    <m/>
    <x v="0"/>
    <x v="0"/>
    <x v="0"/>
    <x v="0"/>
    <x v="0"/>
    <x v="0"/>
    <m/>
    <x v="0"/>
    <x v="1"/>
    <x v="0"/>
    <x v="0"/>
    <x v="0"/>
    <x v="3"/>
    <n v="595.241998404421"/>
    <n v="107.14355971279578"/>
    <n v="1614346.2"/>
    <d v="2024-07-30T00:00:00"/>
    <x v="0"/>
  </r>
  <r>
    <s v="Additional"/>
    <d v="2024-06-30T00:00:00"/>
    <s v="KPEX-PF-9832-15-07-2024"/>
    <d v="2024-07-15T00:00:00"/>
    <x v="0"/>
    <x v="2"/>
    <n v="6441.0780000000004"/>
    <x v="3"/>
    <x v="0"/>
    <n v="5205.2299999999996"/>
    <n v="3.4"/>
    <n v="1891.038"/>
    <n v="6441.0780000000004"/>
    <x v="10"/>
    <s v="30/1 Cotton Yarn Combed"/>
    <n v="6248000"/>
    <x v="0"/>
    <n v="1124640"/>
    <x v="0"/>
    <m/>
    <m/>
    <x v="0"/>
    <x v="0"/>
    <x v="0"/>
    <x v="0"/>
    <x v="0"/>
    <x v="0"/>
    <m/>
    <x v="0"/>
    <x v="1"/>
    <x v="0"/>
    <x v="0"/>
    <x v="0"/>
    <x v="3"/>
    <n v="970.02396182750772"/>
    <n v="174.60431312895139"/>
    <n v="330183.39109074598"/>
    <d v="2024-07-30T00:00:00"/>
    <x v="0"/>
  </r>
  <r>
    <s v="Additional"/>
    <d v="2024-06-30T00:00:00"/>
    <s v="KPEX-PF-9840-15-07-2024"/>
    <d v="2024-07-15T00:00:00"/>
    <x v="0"/>
    <x v="1"/>
    <n v="3265.8989999999999"/>
    <x v="3"/>
    <x v="0"/>
    <n v="5205.12"/>
    <n v="3.02"/>
    <n v="3265.8989999999999"/>
    <n v="3265.8989999999999"/>
    <x v="10"/>
    <s v="24/1 Cotton Yarn Carded"/>
    <n v="2808000"/>
    <x v="0"/>
    <n v="505440"/>
    <x v="0"/>
    <m/>
    <m/>
    <x v="0"/>
    <x v="0"/>
    <x v="0"/>
    <x v="0"/>
    <x v="0"/>
    <x v="0"/>
    <m/>
    <x v="0"/>
    <x v="1"/>
    <x v="0"/>
    <x v="0"/>
    <x v="0"/>
    <x v="3"/>
    <n v="859.79388829844402"/>
    <n v="154.76289989371992"/>
    <n v="505439.99999999994"/>
    <d v="2024-07-30T00:00:00"/>
    <x v="0"/>
  </r>
  <r>
    <s v="Additional"/>
    <d v="2024-06-30T00:00:00"/>
    <s v="LPEX-PF-1628-15-07-2024"/>
    <d v="2024-07-15T00:00:00"/>
    <x v="0"/>
    <x v="2"/>
    <n v="15694.46"/>
    <x v="3"/>
    <x v="0"/>
    <n v="5206.1400000000003"/>
    <n v="3.21"/>
    <n v="1291.4800000000005"/>
    <n v="15694.46"/>
    <x v="3"/>
    <s v="CVC60:40"/>
    <n v="14359000"/>
    <x v="0"/>
    <n v="2584620"/>
    <x v="0"/>
    <m/>
    <m/>
    <x v="0"/>
    <x v="0"/>
    <x v="0"/>
    <x v="0"/>
    <x v="0"/>
    <x v="0"/>
    <m/>
    <x v="0"/>
    <x v="1"/>
    <x v="0"/>
    <x v="0"/>
    <x v="0"/>
    <x v="3"/>
    <n v="914.90882770098494"/>
    <n v="164.68358898617728"/>
    <n v="212685.56150386832"/>
    <d v="2024-07-30T00:00:00"/>
    <x v="0"/>
  </r>
  <r>
    <s v="Additional"/>
    <d v="2024-06-30T00:00:00"/>
    <s v="LPEX-PF-1446-12-07-2024"/>
    <d v="2024-07-12T00:00:00"/>
    <x v="0"/>
    <x v="1"/>
    <n v="2313.3447999999999"/>
    <x v="3"/>
    <x v="0"/>
    <n v="5205.12"/>
    <n v="2.86"/>
    <n v="2313.3447999999999"/>
    <n v="2313.3447999999999"/>
    <x v="10"/>
    <s v="24/1 Cotton Yarn Carded"/>
    <n v="1887000"/>
    <x v="0"/>
    <n v="339660"/>
    <x v="0"/>
    <m/>
    <m/>
    <x v="0"/>
    <x v="0"/>
    <x v="0"/>
    <x v="0"/>
    <x v="0"/>
    <x v="0"/>
    <m/>
    <x v="0"/>
    <x v="1"/>
    <x v="0"/>
    <x v="0"/>
    <x v="0"/>
    <x v="3"/>
    <n v="815.70200862404954"/>
    <n v="146.8263615523289"/>
    <n v="339660"/>
    <d v="2024-07-30T00:00:00"/>
    <x v="0"/>
  </r>
  <r>
    <s v="Additional"/>
    <d v="2024-06-30T00:00:00"/>
    <s v="LPEX-PF-1506-12-07-2024"/>
    <d v="2024-07-12T00:00:00"/>
    <x v="0"/>
    <x v="0"/>
    <n v="2.59"/>
    <x v="3"/>
    <x v="0"/>
    <n v="5401.1"/>
    <n v="12.43"/>
    <n v="0"/>
    <n v="0"/>
    <x v="17"/>
    <s v="Sewing Thread"/>
    <n v="9174"/>
    <x v="0"/>
    <n v="1651.32"/>
    <x v="0"/>
    <m/>
    <m/>
    <x v="0"/>
    <x v="0"/>
    <x v="0"/>
    <x v="0"/>
    <x v="0"/>
    <x v="0"/>
    <m/>
    <x v="0"/>
    <x v="1"/>
    <x v="0"/>
    <x v="0"/>
    <x v="0"/>
    <x v="3"/>
    <n v="3542.0849420849422"/>
    <n v="637.57528957528962"/>
    <n v="0"/>
    <d v="2024-07-30T00:00:00"/>
    <x v="0"/>
  </r>
  <r>
    <s v="Additional"/>
    <d v="2024-06-30T00:00:00"/>
    <s v="LPEX-PF-1507-12-07-2024"/>
    <d v="2024-07-12T00:00:00"/>
    <x v="0"/>
    <x v="2"/>
    <n v="923.36"/>
    <x v="3"/>
    <x v="0"/>
    <n v="5508.1"/>
    <n v="7.42"/>
    <n v="52.879999999999981"/>
    <n v="923.36"/>
    <x v="17"/>
    <s v="Sewing Thread"/>
    <n v="1953276"/>
    <x v="0"/>
    <n v="351589.68"/>
    <x v="0"/>
    <m/>
    <m/>
    <x v="0"/>
    <x v="0"/>
    <x v="0"/>
    <x v="0"/>
    <x v="0"/>
    <x v="0"/>
    <m/>
    <x v="0"/>
    <x v="1"/>
    <x v="0"/>
    <x v="0"/>
    <x v="0"/>
    <x v="3"/>
    <n v="2115.4002772483104"/>
    <n v="380.7720499046959"/>
    <n v="20135.225998960312"/>
    <d v="2024-07-30T00:00:00"/>
    <x v="0"/>
  </r>
  <r>
    <s v="Additional"/>
    <d v="2024-06-30T00:00:00"/>
    <s v="KPEX-PF-10162-15-07-2024"/>
    <d v="2024-07-15T00:00:00"/>
    <x v="0"/>
    <x v="0"/>
    <n v="188.18"/>
    <x v="3"/>
    <x v="0"/>
    <n v="5509.53"/>
    <n v="4.49"/>
    <n v="0"/>
    <n v="0"/>
    <x v="3"/>
    <s v="36/1 Carded Viscose 1.2D 100% Unwaxed Weaving MVS"/>
    <n v="240625"/>
    <x v="0"/>
    <n v="43312.5"/>
    <x v="0"/>
    <m/>
    <m/>
    <x v="0"/>
    <x v="0"/>
    <x v="0"/>
    <x v="0"/>
    <x v="0"/>
    <x v="0"/>
    <m/>
    <x v="0"/>
    <x v="1"/>
    <x v="0"/>
    <x v="0"/>
    <x v="0"/>
    <x v="3"/>
    <n v="1278.6959294292699"/>
    <n v="230.16526729726857"/>
    <n v="0"/>
    <d v="2024-07-30T00:00:00"/>
    <x v="0"/>
  </r>
  <r>
    <s v="Additional"/>
    <d v="2024-06-30T00:00:00"/>
    <s v="LPEX-PF-1643-15-07-2024"/>
    <d v="2024-07-15T00:00:00"/>
    <x v="0"/>
    <x v="0"/>
    <n v="449"/>
    <x v="3"/>
    <x v="0"/>
    <n v="5209.42"/>
    <n v="3.96"/>
    <n v="0"/>
    <n v="0"/>
    <x v="19"/>
    <s v="Denim Fabric 99% 1% "/>
    <n v="506250"/>
    <x v="0"/>
    <n v="91125"/>
    <x v="0"/>
    <m/>
    <m/>
    <x v="0"/>
    <x v="0"/>
    <x v="0"/>
    <x v="0"/>
    <x v="0"/>
    <x v="0"/>
    <m/>
    <x v="0"/>
    <x v="1"/>
    <x v="0"/>
    <x v="0"/>
    <x v="0"/>
    <x v="2"/>
    <n v="1127.5055679287304"/>
    <n v="202.9510022271715"/>
    <n v="0"/>
    <d v="2024-07-30T00:00:00"/>
    <x v="0"/>
  </r>
  <r>
    <s v="Additional"/>
    <d v="2024-06-30T00:00:00"/>
    <s v="KPPE-PF-16017-20-07-2024"/>
    <d v="2024-07-20T00:00:00"/>
    <x v="0"/>
    <x v="2"/>
    <n v="90.96"/>
    <x v="3"/>
    <x v="0"/>
    <n v="9606.2990000000009"/>
    <n v="28.97"/>
    <n v="5.36"/>
    <n v="90.96"/>
    <x v="9"/>
    <s v="Button / Rivert ( for Aldi )"/>
    <n v="751030"/>
    <x v="0"/>
    <n v="135185.4"/>
    <x v="0"/>
    <m/>
    <m/>
    <x v="0"/>
    <x v="0"/>
    <x v="0"/>
    <x v="0"/>
    <x v="0"/>
    <x v="0"/>
    <m/>
    <x v="0"/>
    <x v="1"/>
    <x v="0"/>
    <x v="0"/>
    <x v="0"/>
    <x v="6"/>
    <n v="8256.7062445030788"/>
    <n v="1486.207124010554"/>
    <n v="7966.0701846965703"/>
    <d v="2024-07-30T00:00:00"/>
    <x v="0"/>
  </r>
  <r>
    <s v="Additional"/>
    <d v="2024-06-30T00:00:00"/>
    <s v="FPEX-PF-5104-21-06-2024"/>
    <d v="2024-06-21T00:00:00"/>
    <x v="0"/>
    <x v="1"/>
    <n v="9072"/>
    <x v="3"/>
    <x v="0"/>
    <n v="5205.2700000000004"/>
    <n v="4.87"/>
    <n v="9072"/>
    <n v="9072"/>
    <x v="10"/>
    <s v="60 Cotton Yarn "/>
    <n v="12600000"/>
    <x v="0"/>
    <n v="2268000"/>
    <x v="0"/>
    <m/>
    <m/>
    <x v="0"/>
    <x v="0"/>
    <x v="0"/>
    <x v="0"/>
    <x v="0"/>
    <x v="0"/>
    <m/>
    <x v="0"/>
    <x v="1"/>
    <x v="0"/>
    <x v="0"/>
    <x v="0"/>
    <x v="3"/>
    <n v="1388.8888888888889"/>
    <n v="250"/>
    <n v="2268000"/>
    <d v="2024-07-30T00:00:00"/>
    <x v="0"/>
  </r>
  <r>
    <s v="Additional"/>
    <d v="2024-06-30T00:00:00"/>
    <s v="LPEX-PF-16333-13-05-2024"/>
    <d v="2024-05-13T00:00:00"/>
    <x v="0"/>
    <x v="0"/>
    <n v="5615.06"/>
    <x v="3"/>
    <x v="0"/>
    <n v="5209.42"/>
    <n v="3.9"/>
    <n v="0"/>
    <n v="0"/>
    <x v="19"/>
    <s v="Denim Fabric 99% 1%"/>
    <n v="6247500"/>
    <x v="0"/>
    <n v="1124550"/>
    <x v="0"/>
    <m/>
    <m/>
    <x v="0"/>
    <x v="0"/>
    <x v="0"/>
    <x v="0"/>
    <x v="0"/>
    <x v="0"/>
    <m/>
    <x v="0"/>
    <x v="1"/>
    <x v="0"/>
    <x v="0"/>
    <x v="0"/>
    <x v="2"/>
    <n v="1112.6328124721729"/>
    <n v="200.27390624499114"/>
    <n v="0"/>
    <d v="2024-07-30T00:00:00"/>
    <x v="0"/>
  </r>
  <r>
    <s v="Additional"/>
    <d v="2024-06-30T00:00:00"/>
    <s v="LPEX-PF-16336-13-05-2024"/>
    <d v="2024-05-13T00:00:00"/>
    <x v="0"/>
    <x v="0"/>
    <n v="15721.94"/>
    <x v="3"/>
    <x v="0"/>
    <n v="5209.42"/>
    <n v="3.91"/>
    <n v="0"/>
    <n v="0"/>
    <x v="19"/>
    <s v="Denim Fabric 99% 1%"/>
    <n v="17498125"/>
    <x v="0"/>
    <n v="3149662.5"/>
    <x v="0"/>
    <m/>
    <m/>
    <x v="0"/>
    <x v="0"/>
    <x v="0"/>
    <x v="0"/>
    <x v="0"/>
    <x v="0"/>
    <m/>
    <x v="0"/>
    <x v="1"/>
    <x v="0"/>
    <x v="0"/>
    <x v="0"/>
    <x v="2"/>
    <n v="1112.974925486295"/>
    <n v="200.3354865875331"/>
    <n v="0"/>
    <d v="2024-07-30T00:00:00"/>
    <x v="0"/>
  </r>
  <r>
    <s v="Additional"/>
    <d v="2024-06-30T00:00:00"/>
    <s v="LPEX-PF-16350-13-05-2024"/>
    <d v="2024-05-13T00:00:00"/>
    <x v="0"/>
    <x v="0"/>
    <n v="15802"/>
    <x v="3"/>
    <x v="0"/>
    <n v="5209.42"/>
    <n v="3.96"/>
    <n v="0"/>
    <n v="0"/>
    <x v="19"/>
    <s v="Denim Fabric 99% 1%"/>
    <n v="17825000"/>
    <x v="0"/>
    <n v="3208500"/>
    <x v="0"/>
    <m/>
    <m/>
    <x v="0"/>
    <x v="0"/>
    <x v="0"/>
    <x v="0"/>
    <x v="0"/>
    <x v="0"/>
    <m/>
    <x v="0"/>
    <x v="1"/>
    <x v="0"/>
    <x v="0"/>
    <x v="0"/>
    <x v="2"/>
    <n v="1128.0217693962788"/>
    <n v="203.0439184913302"/>
    <n v="0"/>
    <d v="2024-07-30T00:00:00"/>
    <x v="0"/>
  </r>
  <r>
    <s v="Additional"/>
    <d v="2024-06-30T00:00:00"/>
    <s v="LPEX-PF-17864-23-05-2024"/>
    <d v="2024-05-23T00:00:00"/>
    <x v="0"/>
    <x v="0"/>
    <n v="20275"/>
    <x v="3"/>
    <x v="0"/>
    <n v="5209.42"/>
    <n v="3.97"/>
    <n v="0"/>
    <n v="0"/>
    <x v="19"/>
    <s v="Denim Fabric 99% 1%"/>
    <n v="22966251"/>
    <x v="0"/>
    <n v="4133925.1799999997"/>
    <x v="0"/>
    <m/>
    <m/>
    <x v="0"/>
    <x v="0"/>
    <x v="0"/>
    <x v="0"/>
    <x v="0"/>
    <x v="0"/>
    <m/>
    <x v="0"/>
    <x v="1"/>
    <x v="0"/>
    <x v="0"/>
    <x v="0"/>
    <x v="2"/>
    <n v="1132.7374106041923"/>
    <n v="203.89273390875462"/>
    <n v="0"/>
    <d v="2024-07-30T00:00:00"/>
    <x v="0"/>
  </r>
  <r>
    <s v="Additional"/>
    <d v="2024-06-30T00:00:00"/>
    <s v="LPEX-PF-17866-23-05-2024"/>
    <d v="2024-05-23T00:00:00"/>
    <x v="0"/>
    <x v="0"/>
    <n v="977.21"/>
    <x v="3"/>
    <x v="0"/>
    <n v="5209.42"/>
    <n v="4.0599999999999996"/>
    <n v="0"/>
    <n v="0"/>
    <x v="19"/>
    <s v="Denim Fabric 99% 1%"/>
    <n v="1130625"/>
    <x v="0"/>
    <n v="203512.5"/>
    <x v="0"/>
    <m/>
    <m/>
    <x v="0"/>
    <x v="0"/>
    <x v="0"/>
    <x v="0"/>
    <x v="0"/>
    <x v="0"/>
    <m/>
    <x v="0"/>
    <x v="1"/>
    <x v="0"/>
    <x v="0"/>
    <x v="0"/>
    <x v="2"/>
    <n v="1156.9928674491664"/>
    <n v="208.25871614084997"/>
    <n v="0"/>
    <d v="2024-07-30T00:00:00"/>
    <x v="0"/>
  </r>
  <r>
    <s v="Additional"/>
    <d v="2024-06-30T00:00:00"/>
    <s v="LPEX-PF-17868-23-05-2024"/>
    <d v="2024-05-23T00:00:00"/>
    <x v="0"/>
    <x v="0"/>
    <n v="19621.79"/>
    <x v="3"/>
    <x v="0"/>
    <n v="5209.42"/>
    <n v="4.0199999999999996"/>
    <n v="0"/>
    <n v="0"/>
    <x v="19"/>
    <s v="Denim Fabric 99% 1%"/>
    <n v="22496251"/>
    <x v="0"/>
    <n v="4049325.1799999997"/>
    <x v="0"/>
    <m/>
    <m/>
    <x v="0"/>
    <x v="0"/>
    <x v="0"/>
    <x v="0"/>
    <x v="0"/>
    <x v="0"/>
    <m/>
    <x v="0"/>
    <x v="1"/>
    <x v="0"/>
    <x v="0"/>
    <x v="0"/>
    <x v="2"/>
    <n v="1146.4933117722694"/>
    <n v="206.36879611900849"/>
    <n v="0"/>
    <d v="2024-07-30T00:00:00"/>
    <x v="0"/>
  </r>
  <r>
    <s v="Additional"/>
    <d v="2024-06-30T00:00:00"/>
    <s v="LPEX-PF-18515-30-05-2024"/>
    <d v="2024-05-30T00:00:00"/>
    <x v="0"/>
    <x v="0"/>
    <n v="832"/>
    <x v="3"/>
    <x v="0"/>
    <n v="5209.42"/>
    <n v="3.99"/>
    <n v="0"/>
    <n v="0"/>
    <x v="19"/>
    <s v="Denim Fabric 99% 1%"/>
    <n v="946250"/>
    <x v="0"/>
    <n v="170325"/>
    <x v="0"/>
    <m/>
    <m/>
    <x v="0"/>
    <x v="0"/>
    <x v="0"/>
    <x v="0"/>
    <x v="0"/>
    <x v="0"/>
    <m/>
    <x v="0"/>
    <x v="1"/>
    <x v="0"/>
    <x v="0"/>
    <x v="0"/>
    <x v="2"/>
    <n v="1137.3197115384614"/>
    <n v="204.71754807692307"/>
    <n v="0"/>
    <d v="2024-07-30T00:00:00"/>
    <x v="0"/>
  </r>
  <r>
    <s v="Additional"/>
    <d v="2024-06-30T00:00:00"/>
    <s v="LPEX-PF-18518-30-05-2024"/>
    <d v="2024-05-30T00:00:00"/>
    <x v="0"/>
    <x v="0"/>
    <n v="5282"/>
    <x v="3"/>
    <x v="0"/>
    <n v="5209.42"/>
    <n v="3.99"/>
    <n v="0"/>
    <n v="0"/>
    <x v="19"/>
    <s v="Denim Fabric 99% 1%"/>
    <n v="6002500"/>
    <x v="0"/>
    <n v="1080450"/>
    <x v="0"/>
    <m/>
    <m/>
    <x v="0"/>
    <x v="0"/>
    <x v="0"/>
    <x v="0"/>
    <x v="0"/>
    <x v="0"/>
    <m/>
    <x v="0"/>
    <x v="1"/>
    <x v="0"/>
    <x v="0"/>
    <x v="0"/>
    <x v="2"/>
    <n v="1136.4066641423703"/>
    <n v="204.55319954562665"/>
    <n v="0"/>
    <d v="2024-07-30T00:00:00"/>
    <x v="0"/>
  </r>
  <r>
    <m/>
    <d v="2024-07-11T00:00:00"/>
    <s v="HCSE-PF-74-09-07-2024"/>
    <d v="2024-07-09T00:00:00"/>
    <x v="0"/>
    <x v="2"/>
    <n v="5000"/>
    <x v="3"/>
    <x v="0"/>
    <n v="3402.42"/>
    <n v="1.84"/>
    <n v="0"/>
    <n v="500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8-10T00:00:00"/>
    <x v="0"/>
  </r>
  <r>
    <m/>
    <d v="2024-07-15T00:00:00"/>
    <s v="HCSE-PF-150-13-07-2024"/>
    <d v="2024-07-13T00:00:00"/>
    <x v="0"/>
    <x v="2"/>
    <n v="4000"/>
    <x v="3"/>
    <x v="0"/>
    <n v="3402.42"/>
    <n v="1.84"/>
    <n v="0"/>
    <n v="4000"/>
    <x v="12"/>
    <s v="KIERALON 2010 LIQ 0200"/>
    <n v="2092000"/>
    <x v="0"/>
    <n v="37656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8-14T00:00:00"/>
    <x v="0"/>
  </r>
  <r>
    <m/>
    <d v="2024-07-15T00:00:00"/>
    <s v="HCSE-PF-151-13-07-2024"/>
    <d v="2024-07-13T00:00:00"/>
    <x v="0"/>
    <x v="2"/>
    <n v="5000"/>
    <x v="3"/>
    <x v="0"/>
    <n v="3402.42"/>
    <n v="1.84"/>
    <n v="0"/>
    <n v="5000"/>
    <x v="12"/>
    <s v="KIERALON 2010 LIQ 0200"/>
    <n v="2615000"/>
    <x v="0"/>
    <n v="470700"/>
    <x v="0"/>
    <m/>
    <m/>
    <x v="0"/>
    <x v="0"/>
    <x v="0"/>
    <x v="0"/>
    <x v="0"/>
    <x v="0"/>
    <m/>
    <x v="0"/>
    <x v="1"/>
    <x v="0"/>
    <x v="0"/>
    <x v="0"/>
    <x v="5"/>
    <n v="523"/>
    <n v="94.14"/>
    <n v="0"/>
    <d v="2024-08-14T00:00:00"/>
    <x v="0"/>
  </r>
  <r>
    <m/>
    <d v="2024-08-26T00:00:00"/>
    <s v="PCSE-PF-51-24-08-2024"/>
    <d v="2024-08-24T00:00:00"/>
    <x v="0"/>
    <x v="1"/>
    <n v="317.5179"/>
    <x v="3"/>
    <x v="0"/>
    <n v="5205.13"/>
    <n v="3.17"/>
    <n v="317.5179"/>
    <n v="317.5179"/>
    <x v="10"/>
    <s v="30/1 Cotton Yarn Carded"/>
    <n v="287000"/>
    <x v="0"/>
    <n v="51660"/>
    <x v="0"/>
    <m/>
    <m/>
    <x v="0"/>
    <x v="0"/>
    <x v="0"/>
    <x v="0"/>
    <x v="0"/>
    <x v="0"/>
    <m/>
    <x v="0"/>
    <x v="1"/>
    <x v="0"/>
    <x v="0"/>
    <x v="0"/>
    <x v="3"/>
    <n v="903.88604862906948"/>
    <n v="162.69948875323249"/>
    <n v="51660"/>
    <d v="2024-09-25T00:00:00"/>
    <x v="0"/>
  </r>
  <r>
    <m/>
    <d v="2024-08-26T00:00:00"/>
    <s v="PCSE-PF-52-24-08-2024"/>
    <d v="2024-08-24T00:00:00"/>
    <x v="0"/>
    <x v="1"/>
    <n v="18148.4169"/>
    <x v="3"/>
    <x v="0"/>
    <n v="5402.33"/>
    <n v="2.2000000000000002"/>
    <n v="18148.4169"/>
    <n v="18148.4169"/>
    <x v="6"/>
    <s v="100% Polyester"/>
    <n v="11362840"/>
    <x v="0"/>
    <n v="2045311.2"/>
    <x v="0"/>
    <m/>
    <m/>
    <x v="0"/>
    <x v="0"/>
    <x v="0"/>
    <x v="0"/>
    <x v="0"/>
    <x v="0"/>
    <m/>
    <x v="0"/>
    <x v="1"/>
    <x v="0"/>
    <x v="0"/>
    <x v="0"/>
    <x v="3"/>
    <n v="626.10640160024093"/>
    <n v="112.69915228804336"/>
    <n v="2045311.2"/>
    <d v="2024-09-25T00:00:00"/>
    <x v="0"/>
  </r>
  <r>
    <m/>
    <d v="2024-08-26T00:00:00"/>
    <s v="PCSE-PF-53-24-08-2024"/>
    <d v="2024-08-24T00:00:00"/>
    <x v="0"/>
    <x v="1"/>
    <n v="13562.550999999999"/>
    <x v="3"/>
    <x v="0"/>
    <n v="5509.53"/>
    <n v="2.4900000000000002"/>
    <n v="13562.550999999999"/>
    <n v="13562.550999999999"/>
    <x v="3"/>
    <s v="PC65:35 - 24/1"/>
    <n v="9627800"/>
    <x v="0"/>
    <n v="1733004"/>
    <x v="0"/>
    <m/>
    <m/>
    <x v="0"/>
    <x v="0"/>
    <x v="0"/>
    <x v="0"/>
    <x v="0"/>
    <x v="0"/>
    <m/>
    <x v="0"/>
    <x v="1"/>
    <x v="0"/>
    <x v="0"/>
    <x v="0"/>
    <x v="3"/>
    <n v="709.88120155271679"/>
    <n v="127.77861627948901"/>
    <n v="1733004"/>
    <d v="2024-09-25T00:00:00"/>
    <x v="0"/>
  </r>
  <r>
    <m/>
    <d v="2024-08-26T00:00:00"/>
    <s v="PCSE-PF-54-24-08-2024"/>
    <d v="2024-08-24T00:00:00"/>
    <x v="0"/>
    <x v="1"/>
    <n v="408.2373"/>
    <x v="3"/>
    <x v="0"/>
    <n v="5509.53"/>
    <n v="2.71"/>
    <n v="408.2373"/>
    <n v="408.2373"/>
    <x v="3"/>
    <s v="PC52:48"/>
    <n v="315000"/>
    <x v="0"/>
    <n v="56700"/>
    <x v="0"/>
    <m/>
    <m/>
    <x v="0"/>
    <x v="0"/>
    <x v="0"/>
    <x v="0"/>
    <x v="0"/>
    <x v="0"/>
    <m/>
    <x v="0"/>
    <x v="1"/>
    <x v="0"/>
    <x v="0"/>
    <x v="0"/>
    <x v="3"/>
    <n v="771.61004151262023"/>
    <n v="138.88980747227163"/>
    <n v="56699.999999999993"/>
    <d v="2024-09-25T00:00:00"/>
    <x v="0"/>
  </r>
  <r>
    <m/>
    <d v="2024-08-26T00:00:00"/>
    <s v="PCSE-PF-55-24-08-2024"/>
    <d v="2024-08-24T00:00:00"/>
    <x v="0"/>
    <x v="1"/>
    <n v="1496.8702000000001"/>
    <x v="3"/>
    <x v="0"/>
    <n v="5206.12"/>
    <n v="2.85"/>
    <n v="1496.8702000000001"/>
    <n v="1496.8702000000001"/>
    <x v="3"/>
    <s v="CVC60:40 "/>
    <n v="1214400"/>
    <x v="0"/>
    <n v="218592"/>
    <x v="0"/>
    <m/>
    <m/>
    <x v="0"/>
    <x v="0"/>
    <x v="0"/>
    <x v="0"/>
    <x v="0"/>
    <x v="0"/>
    <m/>
    <x v="0"/>
    <x v="1"/>
    <x v="0"/>
    <x v="0"/>
    <x v="0"/>
    <x v="3"/>
    <n v="811.29278944827672"/>
    <n v="146.03270210068982"/>
    <n v="218592"/>
    <d v="2024-09-25T00:00:00"/>
    <x v="0"/>
  </r>
  <r>
    <m/>
    <d v="2024-08-26T00:00:00"/>
    <s v="PCSE-PF-56-24-08-2024"/>
    <d v="2024-08-24T00:00:00"/>
    <x v="0"/>
    <x v="1"/>
    <n v="24811.7572"/>
    <x v="3"/>
    <x v="0"/>
    <n v="5205.2700000000004"/>
    <n v="4.72"/>
    <n v="24811.7572"/>
    <n v="24811.7572"/>
    <x v="10"/>
    <s v="60/1 Cotton Yarn Combed"/>
    <n v="33367000"/>
    <x v="0"/>
    <n v="6006060"/>
    <x v="0"/>
    <m/>
    <m/>
    <x v="0"/>
    <x v="0"/>
    <x v="0"/>
    <x v="0"/>
    <x v="0"/>
    <x v="0"/>
    <m/>
    <x v="0"/>
    <x v="1"/>
    <x v="0"/>
    <x v="0"/>
    <x v="0"/>
    <x v="3"/>
    <n v="1344.806001890104"/>
    <n v="242.06508034021871"/>
    <n v="6006060"/>
    <d v="2024-09-25T00:00:00"/>
    <x v="0"/>
  </r>
  <r>
    <m/>
    <d v="2024-08-26T00:00:00"/>
    <s v="PCSE-PF-57-24-08-2024"/>
    <d v="2024-08-24T00:00:00"/>
    <x v="0"/>
    <x v="1"/>
    <n v="7575.0703000000003"/>
    <x v="3"/>
    <x v="0"/>
    <n v="5205.2700000000004"/>
    <n v="4.8"/>
    <n v="7575.0703000000003"/>
    <n v="7575.0703000000003"/>
    <x v="10"/>
    <s v="60/1 Cotton Yarn Combed"/>
    <n v="10354000"/>
    <x v="0"/>
    <n v="1863720"/>
    <x v="0"/>
    <m/>
    <m/>
    <x v="0"/>
    <x v="0"/>
    <x v="0"/>
    <x v="0"/>
    <x v="0"/>
    <x v="0"/>
    <m/>
    <x v="0"/>
    <x v="1"/>
    <x v="0"/>
    <x v="0"/>
    <x v="0"/>
    <x v="3"/>
    <n v="1366.8520013603043"/>
    <n v="246.03336024485475"/>
    <n v="1863720"/>
    <d v="2024-09-25T00:00:00"/>
    <x v="0"/>
  </r>
  <r>
    <m/>
    <d v="2024-08-26T00:00:00"/>
    <s v="PCSE-PF-58-24-08-2024"/>
    <d v="2024-08-24T00:00:00"/>
    <x v="0"/>
    <x v="1"/>
    <n v="3991.6538"/>
    <x v="3"/>
    <x v="0"/>
    <n v="5509.53"/>
    <n v="2.71"/>
    <n v="3991.6538"/>
    <n v="3991.6538"/>
    <x v="3"/>
    <s v="PC52:48"/>
    <n v="3080000"/>
    <x v="0"/>
    <n v="554400"/>
    <x v="0"/>
    <m/>
    <m/>
    <x v="0"/>
    <x v="0"/>
    <x v="0"/>
    <x v="0"/>
    <x v="0"/>
    <x v="0"/>
    <m/>
    <x v="0"/>
    <x v="1"/>
    <x v="0"/>
    <x v="0"/>
    <x v="0"/>
    <x v="3"/>
    <n v="771.61000285144974"/>
    <n v="138.88980051326095"/>
    <n v="554400"/>
    <d v="2024-09-25T00:00:00"/>
    <x v="0"/>
  </r>
  <r>
    <m/>
    <d v="2024-08-26T00:00:00"/>
    <s v="PCSE-PF-59-24-08-2024"/>
    <d v="2024-08-24T00:00:00"/>
    <x v="0"/>
    <x v="1"/>
    <n v="907.19399999999996"/>
    <x v="3"/>
    <x v="0"/>
    <n v="5206.12"/>
    <n v="2.5499999999999998"/>
    <n v="907.19399999999996"/>
    <n v="907.19399999999996"/>
    <x v="3"/>
    <s v="CVC60:40 "/>
    <n v="660000"/>
    <x v="0"/>
    <n v="118800"/>
    <x v="0"/>
    <m/>
    <m/>
    <x v="0"/>
    <x v="0"/>
    <x v="0"/>
    <x v="0"/>
    <x v="0"/>
    <x v="0"/>
    <m/>
    <x v="0"/>
    <x v="1"/>
    <x v="0"/>
    <x v="0"/>
    <x v="0"/>
    <x v="3"/>
    <n v="727.51803914047059"/>
    <n v="130.95324704528468"/>
    <n v="118799.99999999999"/>
    <d v="2024-09-25T00:00:00"/>
    <x v="0"/>
  </r>
  <r>
    <m/>
    <d v="2024-08-26T00:00:00"/>
    <s v="PCSE-PF-60-24-08-2024"/>
    <d v="2024-08-24T00:00:00"/>
    <x v="0"/>
    <x v="1"/>
    <n v="34019.7768"/>
    <x v="3"/>
    <x v="0"/>
    <n v="5206.1400000000003"/>
    <n v="3.18"/>
    <n v="34019.7768"/>
    <n v="34019.7768"/>
    <x v="3"/>
    <s v="CVC60:40 "/>
    <n v="30843752"/>
    <x v="0"/>
    <n v="5551875.3599999994"/>
    <x v="0"/>
    <m/>
    <m/>
    <x v="0"/>
    <x v="0"/>
    <x v="0"/>
    <x v="0"/>
    <x v="0"/>
    <x v="0"/>
    <m/>
    <x v="0"/>
    <x v="1"/>
    <x v="0"/>
    <x v="0"/>
    <x v="0"/>
    <x v="3"/>
    <n v="906.64180959588191"/>
    <n v="163.19552572725871"/>
    <n v="5551875.3599999994"/>
    <d v="2024-09-25T00:00:00"/>
    <x v="0"/>
  </r>
  <r>
    <m/>
    <d v="2024-08-26T00:00:00"/>
    <s v="PCSE-PF-61-24-08-2024"/>
    <d v="2024-08-24T00:00:00"/>
    <x v="0"/>
    <x v="1"/>
    <n v="5987.4807000000001"/>
    <x v="3"/>
    <x v="0"/>
    <n v="5206.1400000000003"/>
    <n v="3.17"/>
    <n v="5987.4807000000001"/>
    <n v="5987.4807000000001"/>
    <x v="3"/>
    <s v="CVC60:40 "/>
    <n v="5412000"/>
    <x v="0"/>
    <n v="974160"/>
    <x v="0"/>
    <m/>
    <m/>
    <x v="0"/>
    <x v="0"/>
    <x v="0"/>
    <x v="0"/>
    <x v="0"/>
    <x v="0"/>
    <m/>
    <x v="0"/>
    <x v="1"/>
    <x v="0"/>
    <x v="0"/>
    <x v="0"/>
    <x v="3"/>
    <n v="903.88600334026967"/>
    <n v="162.69948060124852"/>
    <n v="974160"/>
    <d v="2024-09-25T00:00:00"/>
    <x v="0"/>
  </r>
  <r>
    <m/>
    <d v="2024-08-26T00:00:00"/>
    <s v="PCSE-PF-62-24-08-2024"/>
    <d v="2024-08-24T00:00:00"/>
    <x v="0"/>
    <x v="1"/>
    <n v="22725.210899999998"/>
    <x v="3"/>
    <x v="0"/>
    <n v="5509.53"/>
    <n v="2.27"/>
    <n v="22725.210899999998"/>
    <n v="22725.210899999998"/>
    <x v="3"/>
    <s v="PC65:35 - 18/1"/>
    <n v="14729400"/>
    <x v="0"/>
    <n v="2651292"/>
    <x v="0"/>
    <m/>
    <m/>
    <x v="0"/>
    <x v="0"/>
    <x v="0"/>
    <x v="0"/>
    <x v="0"/>
    <x v="0"/>
    <m/>
    <x v="0"/>
    <x v="1"/>
    <x v="0"/>
    <x v="0"/>
    <x v="0"/>
    <x v="3"/>
    <n v="648.15240064504758"/>
    <n v="116.66743211610856"/>
    <n v="2651292"/>
    <d v="2024-09-25T00:00:00"/>
    <x v="0"/>
  </r>
  <r>
    <m/>
    <d v="2024-08-26T00:00:00"/>
    <s v="PCSE-PF-63-24-08-2024"/>
    <d v="2024-08-24T00:00:00"/>
    <x v="0"/>
    <x v="1"/>
    <n v="104327.3156"/>
    <x v="3"/>
    <x v="0"/>
    <n v="5206.1400000000003"/>
    <n v="3.14"/>
    <n v="104327.3156"/>
    <n v="104327.3156"/>
    <x v="3"/>
    <s v="CVC60:40 "/>
    <n v="93437505"/>
    <x v="0"/>
    <n v="16818750.899999999"/>
    <x v="0"/>
    <m/>
    <m/>
    <x v="0"/>
    <x v="0"/>
    <x v="0"/>
    <x v="0"/>
    <x v="0"/>
    <x v="0"/>
    <m/>
    <x v="0"/>
    <x v="1"/>
    <x v="0"/>
    <x v="0"/>
    <x v="0"/>
    <x v="3"/>
    <n v="895.61879803605336"/>
    <n v="161.21138364648959"/>
    <n v="16818750.899999999"/>
    <d v="2024-09-25T00:00:00"/>
    <x v="0"/>
  </r>
  <r>
    <m/>
    <d v="2024-08-26T00:00:00"/>
    <s v="PCSE-PF-64-24-08-2024"/>
    <d v="2024-08-24T00:00:00"/>
    <x v="0"/>
    <x v="1"/>
    <n v="4263.8119999999999"/>
    <x v="3"/>
    <x v="0"/>
    <n v="5205.2700000000004"/>
    <n v="4.72"/>
    <n v="4263.8119999999999"/>
    <n v="4263.8119999999999"/>
    <x v="10"/>
    <s v="60/1 Cotton Yarn Combed"/>
    <n v="5734000"/>
    <x v="0"/>
    <n v="1032120"/>
    <x v="0"/>
    <m/>
    <m/>
    <x v="0"/>
    <x v="0"/>
    <x v="0"/>
    <x v="0"/>
    <x v="0"/>
    <x v="0"/>
    <m/>
    <x v="0"/>
    <x v="1"/>
    <x v="0"/>
    <x v="0"/>
    <x v="0"/>
    <x v="3"/>
    <n v="1344.8060092705775"/>
    <n v="242.06508166870398"/>
    <n v="1032120"/>
    <d v="2024-09-25T00:00:00"/>
    <x v="0"/>
  </r>
  <r>
    <m/>
    <d v="2024-08-18T00:00:00"/>
    <s v="HCSE-PF-383-16-08-2024"/>
    <d v="2024-08-16T00:00:00"/>
    <x v="0"/>
    <x v="2"/>
    <n v="10000"/>
    <x v="3"/>
    <x v="0"/>
    <n v="3402.42"/>
    <n v="1.84"/>
    <n v="9331.2000000000007"/>
    <n v="10000"/>
    <x v="12"/>
    <s v="Kieralon 2010 liq 0200"/>
    <n v="5230000"/>
    <x v="0"/>
    <n v="941400"/>
    <x v="0"/>
    <m/>
    <m/>
    <x v="0"/>
    <x v="0"/>
    <x v="0"/>
    <x v="0"/>
    <x v="0"/>
    <x v="0"/>
    <m/>
    <x v="0"/>
    <x v="1"/>
    <x v="0"/>
    <x v="0"/>
    <x v="0"/>
    <x v="5"/>
    <n v="523"/>
    <n v="94.14"/>
    <n v="878439.16800000006"/>
    <d v="2024-09-17T00:00:00"/>
    <x v="0"/>
  </r>
  <r>
    <m/>
    <d v="2024-08-23T00:00:00"/>
    <s v="HCSE-PF-392-21-08-2024"/>
    <d v="2024-08-21T00:00:00"/>
    <x v="0"/>
    <x v="1"/>
    <n v="1000"/>
    <x v="3"/>
    <x v="0"/>
    <n v="3402.42"/>
    <n v="1.84"/>
    <n v="1000"/>
    <n v="1000"/>
    <x v="12"/>
    <s v="Kieralon 2010 liq 0200"/>
    <n v="523000"/>
    <x v="0"/>
    <n v="94140"/>
    <x v="0"/>
    <m/>
    <m/>
    <x v="0"/>
    <x v="0"/>
    <x v="0"/>
    <x v="0"/>
    <x v="0"/>
    <x v="0"/>
    <m/>
    <x v="0"/>
    <x v="1"/>
    <x v="0"/>
    <x v="0"/>
    <x v="0"/>
    <x v="5"/>
    <n v="523"/>
    <n v="94.14"/>
    <n v="94140"/>
    <d v="2024-09-22T00:00:00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n v="1"/>
    <d v="2024-03-13T00:00:00"/>
    <s v="KAPE-EB-60624-13-03-2024"/>
    <d v="2024-03-13T00:00:00"/>
    <x v="0"/>
    <x v="0"/>
    <n v="25"/>
    <x v="3"/>
    <x v="0"/>
    <n v="3204.16"/>
    <n v="19.55"/>
    <n v="0"/>
    <n v="0"/>
    <x v="5"/>
    <s v="(Dyes Novacron)"/>
    <n v="139351"/>
    <x v="0"/>
    <n v="25083.18"/>
    <x v="0"/>
    <m/>
    <m/>
    <x v="0"/>
    <x v="0"/>
    <x v="0"/>
    <x v="2"/>
    <x v="0"/>
    <x v="0"/>
    <m/>
    <x v="0"/>
    <x v="1"/>
    <x v="0"/>
    <x v="0"/>
    <x v="0"/>
    <x v="4"/>
    <n v="5574.04"/>
    <n v="1003.3272000000001"/>
    <n v="0"/>
    <d v="2024-04-12T00:00:00"/>
    <x v="0"/>
  </r>
  <r>
    <n v="2"/>
    <d v="2024-03-31T00:00:00"/>
    <s v="KAPW-EB-148150-26-03-2024"/>
    <d v="2024-03-26T00:00:00"/>
    <x v="0"/>
    <x v="0"/>
    <n v="25"/>
    <x v="3"/>
    <x v="0"/>
    <n v="3204.16"/>
    <n v="19.633299999999998"/>
    <n v="0"/>
    <n v="0"/>
    <x v="5"/>
    <s v="(Dyes Novacron)"/>
    <n v="139495"/>
    <x v="0"/>
    <n v="25109.1"/>
    <x v="0"/>
    <m/>
    <m/>
    <x v="0"/>
    <x v="0"/>
    <x v="0"/>
    <x v="2"/>
    <x v="0"/>
    <x v="0"/>
    <m/>
    <x v="0"/>
    <x v="1"/>
    <x v="0"/>
    <x v="0"/>
    <x v="0"/>
    <x v="4"/>
    <n v="5579.8"/>
    <n v="1004.3639999999999"/>
    <n v="0"/>
    <d v="2024-04-30T00:00:00"/>
    <x v="0"/>
  </r>
  <r>
    <n v="3"/>
    <d v="2024-05-31T00:00:00"/>
    <s v="KAPE-EB-75231-27-05-2024"/>
    <d v="2024-05-27T00:00:00"/>
    <x v="0"/>
    <x v="0"/>
    <n v="150"/>
    <x v="3"/>
    <x v="0"/>
    <n v="3204.16"/>
    <n v="10.43"/>
    <n v="0"/>
    <n v="0"/>
    <x v="5"/>
    <s v="(Dyes Novacron)"/>
    <n v="1565"/>
    <x v="0"/>
    <n v="281.7"/>
    <x v="0"/>
    <m/>
    <m/>
    <x v="0"/>
    <x v="0"/>
    <x v="0"/>
    <x v="0"/>
    <x v="0"/>
    <x v="0"/>
    <m/>
    <x v="0"/>
    <x v="1"/>
    <x v="0"/>
    <x v="0"/>
    <x v="0"/>
    <x v="4"/>
    <n v="10.433333333333334"/>
    <n v="1.8779999999999999"/>
    <n v="0"/>
    <d v="2024-06-30T00:00:00"/>
    <x v="0"/>
  </r>
  <r>
    <n v="4"/>
    <d v="2024-06-15T00:00:00"/>
    <s v="KAPW-EB-194894-14-06-2024"/>
    <d v="2024-06-14T00:00:00"/>
    <x v="0"/>
    <x v="0"/>
    <n v="50"/>
    <x v="3"/>
    <x v="0"/>
    <n v="3204.16"/>
    <n v="19.633299999999998"/>
    <n v="0"/>
    <n v="0"/>
    <x v="5"/>
    <s v="(Dyes Novacron)"/>
    <n v="982"/>
    <x v="0"/>
    <n v="176.76"/>
    <x v="0"/>
    <m/>
    <m/>
    <x v="0"/>
    <x v="0"/>
    <x v="0"/>
    <x v="0"/>
    <x v="0"/>
    <x v="0"/>
    <m/>
    <x v="0"/>
    <x v="1"/>
    <x v="0"/>
    <x v="0"/>
    <x v="0"/>
    <x v="4"/>
    <n v="19.64"/>
    <n v="3.5351999999999997"/>
    <n v="0"/>
    <d v="2024-07-15T00:00:00"/>
    <x v="0"/>
  </r>
  <r>
    <n v="5"/>
    <d v="2024-08-04T00:00:00"/>
    <s v="KAPE-EB-6087-02-08-2024"/>
    <d v="2024-08-02T00:00:00"/>
    <x v="0"/>
    <x v="0"/>
    <n v="100"/>
    <x v="3"/>
    <x v="0"/>
    <n v="3204.16"/>
    <n v="10.43"/>
    <n v="0"/>
    <n v="0"/>
    <x v="5"/>
    <s v="Novacron BLUE CD"/>
    <n v="1043"/>
    <x v="0"/>
    <n v="187.73999999999998"/>
    <x v="0"/>
    <m/>
    <m/>
    <x v="0"/>
    <x v="0"/>
    <x v="0"/>
    <x v="0"/>
    <x v="0"/>
    <x v="0"/>
    <m/>
    <x v="0"/>
    <x v="1"/>
    <x v="0"/>
    <x v="0"/>
    <x v="0"/>
    <x v="4"/>
    <n v="10.43"/>
    <n v="1.8773999999999997"/>
    <n v="0"/>
    <d v="2024-09-03T00:00:00"/>
    <x v="0"/>
  </r>
  <r>
    <n v="6"/>
    <d v="2024-08-04T00:00:00"/>
    <s v="KAPE-EB-6086-02-08-2024"/>
    <d v="2024-08-02T00:00:00"/>
    <x v="0"/>
    <x v="0"/>
    <n v="50"/>
    <x v="3"/>
    <x v="0"/>
    <n v="3204.16"/>
    <n v="10.43"/>
    <n v="0"/>
    <n v="0"/>
    <x v="5"/>
    <s v="Novacron BLUE CD"/>
    <n v="522"/>
    <x v="0"/>
    <n v="93.96"/>
    <x v="0"/>
    <m/>
    <m/>
    <x v="0"/>
    <x v="0"/>
    <x v="0"/>
    <x v="0"/>
    <x v="0"/>
    <x v="0"/>
    <m/>
    <x v="0"/>
    <x v="1"/>
    <x v="0"/>
    <x v="0"/>
    <x v="0"/>
    <x v="4"/>
    <n v="10.44"/>
    <n v="1.8792"/>
    <n v="0"/>
    <d v="2024-09-03T00:00:00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n v="1"/>
    <d v="2023-07-25T00:00:00"/>
    <s v="09082023-A-004755"/>
    <d v="2023-07-21T00:00:00"/>
    <x v="0"/>
    <x v="0"/>
    <n v="31000"/>
    <x v="4"/>
    <x v="0"/>
    <n v="5201.009"/>
    <n v="1.66"/>
    <n v="0"/>
    <n v="0"/>
    <x v="0"/>
    <s v="Raw Cotton"/>
    <n v="14908638"/>
    <x v="0"/>
    <n v="2683554.84"/>
    <x v="0"/>
    <m/>
    <m/>
    <x v="0"/>
    <x v="0"/>
    <x v="0"/>
    <x v="4"/>
    <x v="0"/>
    <x v="0"/>
    <m/>
    <x v="0"/>
    <x v="1"/>
    <x v="0"/>
    <x v="0"/>
    <x v="0"/>
    <x v="0"/>
    <n v="480.9238064516129"/>
    <n v="86.566285161290324"/>
    <n v="0"/>
    <d v="2023-08-24T00:00:00"/>
    <x v="0"/>
  </r>
  <r>
    <n v="2"/>
    <d v="2023-07-18T00:00:00"/>
    <s v="15082023-A-004760"/>
    <d v="2023-07-14T00:00:00"/>
    <x v="0"/>
    <x v="0"/>
    <n v="30043"/>
    <x v="4"/>
    <x v="0"/>
    <n v="5201.009"/>
    <n v="1.57"/>
    <n v="0"/>
    <n v="0"/>
    <x v="0"/>
    <s v="Raw Cotton"/>
    <n v="13683716"/>
    <x v="0"/>
    <n v="2463068.88"/>
    <x v="0"/>
    <m/>
    <m/>
    <x v="0"/>
    <x v="0"/>
    <x v="0"/>
    <x v="4"/>
    <x v="0"/>
    <x v="0"/>
    <m/>
    <x v="0"/>
    <x v="1"/>
    <x v="0"/>
    <x v="0"/>
    <x v="0"/>
    <x v="0"/>
    <n v="455.47102486436108"/>
    <n v="81.984784475584988"/>
    <n v="0"/>
    <d v="2023-08-17T00:00:00"/>
    <x v="0"/>
  </r>
  <r>
    <n v="3"/>
    <d v="2023-07-22T00:00:00"/>
    <s v="15082023-A-004762"/>
    <d v="2023-07-18T00:00:00"/>
    <x v="0"/>
    <x v="0"/>
    <n v="28976"/>
    <x v="4"/>
    <x v="0"/>
    <n v="5201.009"/>
    <n v="1.62"/>
    <n v="0"/>
    <n v="0"/>
    <x v="0"/>
    <s v="Raw Cotton"/>
    <n v="13585896"/>
    <x v="0"/>
    <n v="2445461.2799999998"/>
    <x v="0"/>
    <m/>
    <m/>
    <x v="0"/>
    <x v="0"/>
    <x v="0"/>
    <x v="4"/>
    <x v="0"/>
    <x v="0"/>
    <m/>
    <x v="0"/>
    <x v="1"/>
    <x v="0"/>
    <x v="0"/>
    <x v="0"/>
    <x v="0"/>
    <n v="468.8672004417449"/>
    <n v="84.396096079514066"/>
    <n v="0"/>
    <d v="2023-08-21T00:00:00"/>
    <x v="0"/>
  </r>
  <r>
    <n v="4"/>
    <d v="2023-07-22T00:00:00"/>
    <s v="15082023-A-004766"/>
    <d v="2023-07-18T00:00:00"/>
    <x v="0"/>
    <x v="0"/>
    <n v="29089"/>
    <x v="4"/>
    <x v="0"/>
    <n v="5201.009"/>
    <n v="1.56"/>
    <n v="0"/>
    <n v="0"/>
    <x v="0"/>
    <s v="Raw Cotton"/>
    <n v="13171260"/>
    <x v="0"/>
    <n v="2370826.7999999998"/>
    <x v="0"/>
    <m/>
    <m/>
    <x v="0"/>
    <x v="0"/>
    <x v="0"/>
    <x v="4"/>
    <x v="0"/>
    <x v="0"/>
    <m/>
    <x v="0"/>
    <x v="1"/>
    <x v="0"/>
    <x v="0"/>
    <x v="0"/>
    <x v="0"/>
    <n v="452.79177696036305"/>
    <n v="81.502519852865333"/>
    <n v="0"/>
    <d v="2023-08-21T00:00:00"/>
    <x v="0"/>
  </r>
  <r>
    <n v="5"/>
    <d v="2023-07-29T00:00:00"/>
    <s v="15082023-A-005318"/>
    <d v="2023-07-25T00:00:00"/>
    <x v="0"/>
    <x v="0"/>
    <n v="29491"/>
    <x v="4"/>
    <x v="0"/>
    <n v="5201.009"/>
    <n v="1.55"/>
    <n v="0"/>
    <n v="0"/>
    <x v="0"/>
    <s v="Raw Cotton"/>
    <n v="13274269"/>
    <x v="0"/>
    <n v="2389368.42"/>
    <x v="0"/>
    <m/>
    <m/>
    <x v="0"/>
    <x v="0"/>
    <x v="0"/>
    <x v="4"/>
    <x v="0"/>
    <x v="0"/>
    <m/>
    <x v="0"/>
    <x v="1"/>
    <x v="0"/>
    <x v="0"/>
    <x v="0"/>
    <x v="0"/>
    <n v="450.11254280967074"/>
    <n v="81.020257705740732"/>
    <n v="0"/>
    <d v="2023-08-28T00:00:00"/>
    <x v="0"/>
  </r>
  <r>
    <n v="6"/>
    <d v="2023-07-28T00:00:00"/>
    <s v="15082023-A-005332"/>
    <d v="2023-07-24T00:00:00"/>
    <x v="0"/>
    <x v="0"/>
    <n v="12934"/>
    <x v="4"/>
    <x v="0"/>
    <n v="5505.1"/>
    <n v="1.56"/>
    <n v="0"/>
    <n v="0"/>
    <x v="20"/>
    <s v="Comber Noil"/>
    <n v="5859102"/>
    <x v="0"/>
    <n v="1054638.3599999999"/>
    <x v="0"/>
    <m/>
    <m/>
    <x v="0"/>
    <x v="0"/>
    <x v="0"/>
    <x v="4"/>
    <x v="0"/>
    <x v="0"/>
    <m/>
    <x v="0"/>
    <x v="1"/>
    <x v="0"/>
    <x v="0"/>
    <x v="0"/>
    <x v="9"/>
    <n v="453"/>
    <n v="81.539999999999992"/>
    <n v="0"/>
    <d v="2023-08-27T00:00:00"/>
    <x v="0"/>
  </r>
  <r>
    <n v="7"/>
    <d v="2023-07-28T00:00:00"/>
    <s v="15082023-A-005336"/>
    <d v="2023-07-24T00:00:00"/>
    <x v="0"/>
    <x v="0"/>
    <n v="13014"/>
    <x v="4"/>
    <x v="0"/>
    <n v="5505.1"/>
    <n v="1.56"/>
    <n v="0"/>
    <n v="0"/>
    <x v="20"/>
    <s v="Comber Noil"/>
    <n v="5895342"/>
    <x v="0"/>
    <n v="1061161.56"/>
    <x v="0"/>
    <m/>
    <m/>
    <x v="0"/>
    <x v="0"/>
    <x v="0"/>
    <x v="4"/>
    <x v="0"/>
    <x v="0"/>
    <m/>
    <x v="0"/>
    <x v="1"/>
    <x v="0"/>
    <x v="0"/>
    <x v="0"/>
    <x v="9"/>
    <n v="453"/>
    <n v="81.540000000000006"/>
    <n v="0"/>
    <d v="2023-08-27T00:00:00"/>
    <x v="0"/>
  </r>
  <r>
    <n v="8"/>
    <d v="2023-07-29T00:00:00"/>
    <s v="15082023-A-005339"/>
    <d v="2023-07-25T00:00:00"/>
    <x v="0"/>
    <x v="0"/>
    <n v="12655"/>
    <x v="4"/>
    <x v="0"/>
    <n v="5505.1"/>
    <n v="1.56"/>
    <n v="0"/>
    <n v="0"/>
    <x v="20"/>
    <s v="Comber Noil"/>
    <n v="5732715"/>
    <x v="0"/>
    <n v="1031888.7"/>
    <x v="0"/>
    <m/>
    <m/>
    <x v="0"/>
    <x v="0"/>
    <x v="0"/>
    <x v="4"/>
    <x v="0"/>
    <x v="0"/>
    <m/>
    <x v="0"/>
    <x v="1"/>
    <x v="0"/>
    <x v="0"/>
    <x v="0"/>
    <x v="9"/>
    <n v="453"/>
    <n v="81.539999999999992"/>
    <n v="0"/>
    <d v="2023-08-28T00:00:00"/>
    <x v="0"/>
  </r>
  <r>
    <n v="9"/>
    <d v="2023-07-30T00:00:00"/>
    <s v="15082023-A-005340"/>
    <d v="2023-07-26T00:00:00"/>
    <x v="0"/>
    <x v="0"/>
    <n v="9191"/>
    <x v="4"/>
    <x v="0"/>
    <n v="5505.1"/>
    <n v="1.56"/>
    <n v="0"/>
    <n v="0"/>
    <x v="20"/>
    <s v="Comber Noil"/>
    <n v="4163523"/>
    <x v="0"/>
    <n v="749434.14"/>
    <x v="0"/>
    <m/>
    <m/>
    <x v="0"/>
    <x v="0"/>
    <x v="0"/>
    <x v="4"/>
    <x v="0"/>
    <x v="0"/>
    <m/>
    <x v="0"/>
    <x v="1"/>
    <x v="0"/>
    <x v="0"/>
    <x v="0"/>
    <x v="9"/>
    <n v="453"/>
    <n v="81.540000000000006"/>
    <n v="0"/>
    <d v="2023-08-29T00:00:00"/>
    <x v="0"/>
  </r>
  <r>
    <n v="10"/>
    <d v="2023-07-31T00:00:00"/>
    <s v="15082023-A-005342"/>
    <d v="2023-07-27T00:00:00"/>
    <x v="0"/>
    <x v="0"/>
    <n v="12684"/>
    <x v="4"/>
    <x v="0"/>
    <n v="5505.1"/>
    <n v="1.58"/>
    <n v="0"/>
    <n v="0"/>
    <x v="20"/>
    <s v="Comber Noil"/>
    <n v="5809272"/>
    <x v="0"/>
    <n v="1045668.96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8-30T00:00:00"/>
    <x v="0"/>
  </r>
  <r>
    <n v="11"/>
    <d v="2023-07-31T00:00:00"/>
    <s v="16082023-A-005553"/>
    <d v="2023-07-27T00:00:00"/>
    <x v="0"/>
    <x v="0"/>
    <n v="12724"/>
    <x v="4"/>
    <x v="0"/>
    <n v="5505.1"/>
    <n v="1.58"/>
    <n v="0"/>
    <n v="0"/>
    <x v="20"/>
    <s v="Comber Noil"/>
    <n v="5827592"/>
    <x v="0"/>
    <n v="1048966.56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8-30T00:00:00"/>
    <x v="0"/>
  </r>
  <r>
    <n v="12"/>
    <d v="2023-08-04T00:00:00"/>
    <s v="16082023-A-005560"/>
    <d v="2023-07-31T00:00:00"/>
    <x v="0"/>
    <x v="0"/>
    <n v="12784"/>
    <x v="4"/>
    <x v="0"/>
    <n v="5505.1"/>
    <n v="1.58"/>
    <n v="0"/>
    <n v="0"/>
    <x v="20"/>
    <s v="Comber Noil"/>
    <n v="5855072"/>
    <x v="0"/>
    <n v="1053912.96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03T00:00:00"/>
    <x v="0"/>
  </r>
  <r>
    <n v="13"/>
    <d v="2023-08-04T00:00:00"/>
    <s v="16082023-A-005562"/>
    <d v="2023-07-31T00:00:00"/>
    <x v="0"/>
    <x v="0"/>
    <n v="11830"/>
    <x v="4"/>
    <x v="0"/>
    <n v="5505.1"/>
    <n v="1.58"/>
    <n v="0"/>
    <n v="0"/>
    <x v="20"/>
    <s v="Comber Noil"/>
    <n v="5418140"/>
    <x v="0"/>
    <n v="975265.2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03T00:00:00"/>
    <x v="0"/>
  </r>
  <r>
    <n v="14"/>
    <d v="2023-08-11T00:00:00"/>
    <s v="16082023-A-005565"/>
    <d v="2023-08-07T00:00:00"/>
    <x v="0"/>
    <x v="0"/>
    <n v="12764"/>
    <x v="4"/>
    <x v="0"/>
    <n v="5505.1"/>
    <n v="1.58"/>
    <n v="0"/>
    <n v="0"/>
    <x v="20"/>
    <s v="Comber Noil"/>
    <n v="5845912"/>
    <x v="0"/>
    <n v="1052264.1599999999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10T00:00:00"/>
    <x v="0"/>
  </r>
  <r>
    <n v="15"/>
    <d v="2023-08-11T00:00:00"/>
    <s v="16082023-A-005570"/>
    <d v="2023-08-07T00:00:00"/>
    <x v="0"/>
    <x v="0"/>
    <n v="12554"/>
    <x v="4"/>
    <x v="0"/>
    <n v="5505.1"/>
    <n v="1.58"/>
    <n v="0"/>
    <n v="0"/>
    <x v="20"/>
    <s v="Comber Noil"/>
    <n v="5749732"/>
    <x v="0"/>
    <n v="1034951.76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10T00:00:00"/>
    <x v="0"/>
  </r>
  <r>
    <n v="16"/>
    <d v="2023-08-12T00:00:00"/>
    <s v="16082023-A-005575"/>
    <d v="2023-08-08T00:00:00"/>
    <x v="0"/>
    <x v="0"/>
    <n v="12705"/>
    <x v="4"/>
    <x v="0"/>
    <n v="5505.1"/>
    <n v="1.58"/>
    <n v="0"/>
    <n v="0"/>
    <x v="20"/>
    <s v="Comber Noil"/>
    <n v="5818890"/>
    <x v="0"/>
    <n v="1047400.2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11T00:00:00"/>
    <x v="0"/>
  </r>
  <r>
    <n v="17"/>
    <d v="2023-08-12T00:00:00"/>
    <s v="16082023-A-005579"/>
    <d v="2023-08-08T00:00:00"/>
    <x v="0"/>
    <x v="0"/>
    <n v="12170"/>
    <x v="4"/>
    <x v="0"/>
    <n v="5505.1"/>
    <n v="1.58"/>
    <n v="0"/>
    <n v="0"/>
    <x v="20"/>
    <s v="Comber Noil"/>
    <n v="5573860"/>
    <x v="0"/>
    <n v="1003294.7999999999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11T00:00:00"/>
    <x v="0"/>
  </r>
  <r>
    <n v="18"/>
    <d v="2023-08-13T00:00:00"/>
    <s v="16082023-A-005582"/>
    <d v="2023-08-09T00:00:00"/>
    <x v="0"/>
    <x v="0"/>
    <n v="9736"/>
    <x v="4"/>
    <x v="0"/>
    <n v="5505.1"/>
    <n v="1.58"/>
    <n v="0"/>
    <n v="0"/>
    <x v="20"/>
    <s v="Comber Noil"/>
    <n v="4459088"/>
    <x v="0"/>
    <n v="802635.84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12T00:00:00"/>
    <x v="0"/>
  </r>
  <r>
    <n v="19"/>
    <d v="2023-07-22T00:00:00"/>
    <s v="16082023-A-005609"/>
    <d v="2023-07-18T00:00:00"/>
    <x v="0"/>
    <x v="0"/>
    <n v="30090"/>
    <x v="4"/>
    <x v="0"/>
    <n v="5201.009"/>
    <n v="1.56"/>
    <n v="0"/>
    <n v="0"/>
    <x v="0"/>
    <s v="Raw Cotton"/>
    <n v="13624504"/>
    <x v="0"/>
    <n v="2452410.7199999997"/>
    <x v="0"/>
    <m/>
    <m/>
    <x v="0"/>
    <x v="0"/>
    <x v="0"/>
    <x v="4"/>
    <x v="0"/>
    <x v="0"/>
    <m/>
    <x v="0"/>
    <x v="1"/>
    <x v="0"/>
    <x v="0"/>
    <x v="0"/>
    <x v="0"/>
    <n v="452.79175805915588"/>
    <n v="81.502516450648045"/>
    <n v="0"/>
    <d v="2023-08-21T00:00:00"/>
    <x v="0"/>
  </r>
  <r>
    <n v="20"/>
    <d v="2023-07-22T00:00:00"/>
    <s v="16082023-A-005616"/>
    <d v="2023-07-18T00:00:00"/>
    <x v="0"/>
    <x v="0"/>
    <n v="29823"/>
    <x v="4"/>
    <x v="0"/>
    <n v="5201.009"/>
    <n v="1.57"/>
    <n v="0"/>
    <n v="0"/>
    <x v="0"/>
    <s v="Raw Cotton"/>
    <n v="13583512"/>
    <x v="0"/>
    <n v="2445032.1599999997"/>
    <x v="0"/>
    <m/>
    <m/>
    <x v="0"/>
    <x v="0"/>
    <x v="0"/>
    <x v="4"/>
    <x v="0"/>
    <x v="0"/>
    <m/>
    <x v="0"/>
    <x v="1"/>
    <x v="0"/>
    <x v="0"/>
    <x v="0"/>
    <x v="0"/>
    <n v="455.47101230593836"/>
    <n v="81.98478221506889"/>
    <n v="0"/>
    <d v="2023-08-21T00:00:00"/>
    <x v="0"/>
  </r>
  <r>
    <n v="21"/>
    <d v="2023-07-29T00:00:00"/>
    <s v="16082023-A-005623"/>
    <d v="2023-07-25T00:00:00"/>
    <x v="0"/>
    <x v="0"/>
    <n v="9736"/>
    <x v="4"/>
    <x v="0"/>
    <n v="5505.1"/>
    <n v="1.58"/>
    <n v="0"/>
    <n v="0"/>
    <x v="20"/>
    <s v="Comber Noil"/>
    <n v="4459088"/>
    <x v="0"/>
    <n v="802635.84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8-28T00:00:00"/>
    <x v="0"/>
  </r>
  <r>
    <n v="22"/>
    <d v="2023-08-05T00:00:00"/>
    <s v="17082023-A-005930"/>
    <d v="2023-08-01T00:00:00"/>
    <x v="0"/>
    <x v="0"/>
    <n v="9925"/>
    <x v="4"/>
    <x v="0"/>
    <n v="5505.1"/>
    <n v="1.58"/>
    <n v="0"/>
    <n v="0"/>
    <x v="20"/>
    <s v="Comber Noil"/>
    <n v="4545650"/>
    <x v="0"/>
    <n v="818217"/>
    <x v="0"/>
    <m/>
    <m/>
    <x v="0"/>
    <x v="0"/>
    <x v="0"/>
    <x v="4"/>
    <x v="0"/>
    <x v="0"/>
    <m/>
    <x v="0"/>
    <x v="1"/>
    <x v="0"/>
    <x v="0"/>
    <x v="0"/>
    <x v="9"/>
    <n v="458"/>
    <n v="82.44"/>
    <n v="0"/>
    <d v="2023-09-04T00:00:00"/>
    <x v="0"/>
  </r>
  <r>
    <n v="23"/>
    <d v="2023-08-08T00:00:00"/>
    <s v="17082023-A-005934"/>
    <d v="2023-08-04T00:00:00"/>
    <x v="0"/>
    <x v="0"/>
    <n v="39973"/>
    <x v="4"/>
    <x v="0"/>
    <n v="5503.201"/>
    <n v="1.1000000000000001"/>
    <n v="0"/>
    <n v="0"/>
    <x v="1"/>
    <s v="Polyester Staple Fiber"/>
    <n v="12791360"/>
    <x v="0"/>
    <n v="2302444.7999999998"/>
    <x v="0"/>
    <m/>
    <m/>
    <x v="0"/>
    <x v="0"/>
    <x v="0"/>
    <x v="5"/>
    <x v="0"/>
    <x v="0"/>
    <m/>
    <x v="0"/>
    <x v="1"/>
    <x v="0"/>
    <x v="0"/>
    <x v="0"/>
    <x v="1"/>
    <n v="320"/>
    <n v="57.599999999999994"/>
    <n v="0"/>
    <d v="2023-09-07T00:00:00"/>
    <x v="0"/>
  </r>
  <r>
    <n v="24"/>
    <d v="2023-08-15T00:00:00"/>
    <s v="17082023-A-005942"/>
    <d v="2023-08-11T00:00:00"/>
    <x v="0"/>
    <x v="2"/>
    <n v="24103.1"/>
    <x v="4"/>
    <x v="0"/>
    <n v="5503.201"/>
    <n v="1.1000000000000001"/>
    <n v="9.9999999998544808E-2"/>
    <n v="24103.1"/>
    <x v="1"/>
    <s v="Polyester Staple Fiber"/>
    <n v="7712992"/>
    <x v="0"/>
    <n v="1388338.56"/>
    <x v="0"/>
    <m/>
    <m/>
    <x v="0"/>
    <x v="0"/>
    <x v="0"/>
    <x v="5"/>
    <x v="0"/>
    <x v="0"/>
    <m/>
    <x v="0"/>
    <x v="1"/>
    <x v="0"/>
    <x v="0"/>
    <x v="0"/>
    <x v="1"/>
    <n v="320"/>
    <n v="57.600000000000009"/>
    <n v="5.7599999999161815"/>
    <d v="2023-09-14T00:00:00"/>
    <x v="0"/>
  </r>
  <r>
    <n v="25"/>
    <d v="2023-08-15T00:00:00"/>
    <s v="17082023-A-005943"/>
    <d v="2023-08-11T00:00:00"/>
    <x v="0"/>
    <x v="2"/>
    <n v="24485.4"/>
    <x v="4"/>
    <x v="0"/>
    <n v="5503.201"/>
    <n v="1.1000000000000001"/>
    <n v="0.40000000000145519"/>
    <n v="24485.4"/>
    <x v="1"/>
    <s v="Polyester Staple Fiber"/>
    <n v="7835328"/>
    <x v="0"/>
    <n v="1410359.04"/>
    <x v="0"/>
    <m/>
    <m/>
    <x v="0"/>
    <x v="0"/>
    <x v="0"/>
    <x v="5"/>
    <x v="0"/>
    <x v="0"/>
    <m/>
    <x v="0"/>
    <x v="1"/>
    <x v="0"/>
    <x v="0"/>
    <x v="0"/>
    <x v="1"/>
    <n v="320"/>
    <n v="57.6"/>
    <n v="23.040000000083818"/>
    <d v="2023-09-14T00:00:00"/>
    <x v="0"/>
  </r>
  <r>
    <n v="26"/>
    <d v="2023-08-20T00:00:00"/>
    <s v="17082023-A-005944"/>
    <d v="2023-08-16T00:00:00"/>
    <x v="0"/>
    <x v="0"/>
    <n v="21398.7"/>
    <x v="4"/>
    <x v="0"/>
    <n v="5503.201"/>
    <n v="1.1000000000000001"/>
    <n v="0"/>
    <n v="0"/>
    <x v="1"/>
    <s v="Polyester Staple Fiber"/>
    <n v="6847584"/>
    <x v="0"/>
    <n v="1232565.1199999999"/>
    <x v="0"/>
    <m/>
    <m/>
    <x v="0"/>
    <x v="0"/>
    <x v="0"/>
    <x v="5"/>
    <x v="0"/>
    <x v="0"/>
    <m/>
    <x v="0"/>
    <x v="1"/>
    <x v="0"/>
    <x v="0"/>
    <x v="0"/>
    <x v="1"/>
    <n v="320"/>
    <n v="57.599999999999994"/>
    <n v="0"/>
    <d v="2023-09-19T00:00:00"/>
    <x v="0"/>
  </r>
  <r>
    <n v="27"/>
    <d v="2023-07-19T00:00:00"/>
    <s v="17082023-A-005945"/>
    <d v="2023-07-15T00:00:00"/>
    <x v="0"/>
    <x v="0"/>
    <n v="31414"/>
    <x v="4"/>
    <x v="0"/>
    <n v="5201.009"/>
    <n v="1.55"/>
    <n v="0"/>
    <n v="0"/>
    <x v="0"/>
    <s v="Raw Cotton"/>
    <n v="14139835"/>
    <x v="0"/>
    <n v="2545170.2999999998"/>
    <x v="0"/>
    <m/>
    <m/>
    <x v="0"/>
    <x v="0"/>
    <x v="0"/>
    <x v="4"/>
    <x v="0"/>
    <x v="0"/>
    <m/>
    <x v="0"/>
    <x v="1"/>
    <x v="0"/>
    <x v="0"/>
    <x v="0"/>
    <x v="0"/>
    <n v="450.11252944547016"/>
    <n v="81.02025530018463"/>
    <n v="0"/>
    <d v="2023-08-18T00:00:00"/>
    <x v="0"/>
  </r>
  <r>
    <n v="28"/>
    <d v="2023-07-29T00:00:00"/>
    <s v="17082023-A-005946"/>
    <d v="2023-07-25T00:00:00"/>
    <x v="0"/>
    <x v="0"/>
    <n v="31553"/>
    <x v="4"/>
    <x v="0"/>
    <n v="5201.009"/>
    <n v="1.65"/>
    <n v="0"/>
    <n v="0"/>
    <x v="0"/>
    <s v="Raw cotton"/>
    <n v="15132320"/>
    <x v="0"/>
    <n v="2723817.6"/>
    <x v="0"/>
    <m/>
    <m/>
    <x v="0"/>
    <x v="0"/>
    <x v="0"/>
    <x v="4"/>
    <x v="0"/>
    <x v="0"/>
    <m/>
    <x v="0"/>
    <x v="1"/>
    <x v="0"/>
    <x v="0"/>
    <x v="0"/>
    <x v="0"/>
    <n v="479.58419167749503"/>
    <n v="86.3251545019491"/>
    <n v="0"/>
    <d v="2023-08-28T00:00:00"/>
    <x v="0"/>
  </r>
  <r>
    <n v="29"/>
    <d v="2023-08-21T00:00:00"/>
    <s v="24082023-A-006501"/>
    <d v="2023-08-17T00:00:00"/>
    <x v="0"/>
    <x v="0"/>
    <n v="12497"/>
    <x v="4"/>
    <x v="0"/>
    <n v="5505.1"/>
    <n v="1.58"/>
    <n v="0"/>
    <n v="0"/>
    <x v="20"/>
    <s v="Comber Noil"/>
    <n v="5711129"/>
    <x v="0"/>
    <n v="1028003.22"/>
    <x v="0"/>
    <m/>
    <m/>
    <x v="0"/>
    <x v="0"/>
    <x v="0"/>
    <x v="4"/>
    <x v="0"/>
    <x v="0"/>
    <m/>
    <x v="0"/>
    <x v="1"/>
    <x v="0"/>
    <x v="0"/>
    <x v="0"/>
    <x v="9"/>
    <n v="457"/>
    <n v="82.259999999999991"/>
    <n v="0"/>
    <d v="2023-09-20T00:00:00"/>
    <x v="0"/>
  </r>
  <r>
    <n v="30"/>
    <d v="2023-08-21T00:00:00"/>
    <s v="24082023-A-006503"/>
    <d v="2023-08-17T00:00:00"/>
    <x v="0"/>
    <x v="0"/>
    <n v="13124"/>
    <x v="4"/>
    <x v="0"/>
    <n v="5505.1"/>
    <n v="1.58"/>
    <n v="0"/>
    <n v="0"/>
    <x v="20"/>
    <s v="Comber Noil"/>
    <n v="5997668"/>
    <x v="0"/>
    <n v="1079580.24"/>
    <x v="0"/>
    <m/>
    <m/>
    <x v="0"/>
    <x v="0"/>
    <x v="0"/>
    <x v="4"/>
    <x v="0"/>
    <x v="0"/>
    <m/>
    <x v="0"/>
    <x v="1"/>
    <x v="0"/>
    <x v="0"/>
    <x v="0"/>
    <x v="9"/>
    <n v="457"/>
    <n v="82.26"/>
    <n v="0"/>
    <d v="2023-09-20T00:00:00"/>
    <x v="0"/>
  </r>
  <r>
    <n v="31"/>
    <d v="2023-08-22T00:00:00"/>
    <s v="24082023-A-006504"/>
    <d v="2023-08-18T00:00:00"/>
    <x v="0"/>
    <x v="0"/>
    <n v="12705"/>
    <x v="4"/>
    <x v="0"/>
    <n v="5505.1"/>
    <n v="1.58"/>
    <n v="0"/>
    <n v="0"/>
    <x v="20"/>
    <s v="Comber Noil"/>
    <n v="5806185"/>
    <x v="0"/>
    <n v="1045113.2999999999"/>
    <x v="0"/>
    <m/>
    <m/>
    <x v="0"/>
    <x v="0"/>
    <x v="0"/>
    <x v="4"/>
    <x v="0"/>
    <x v="0"/>
    <m/>
    <x v="0"/>
    <x v="1"/>
    <x v="0"/>
    <x v="0"/>
    <x v="0"/>
    <x v="9"/>
    <n v="457"/>
    <n v="82.259999999999991"/>
    <n v="0"/>
    <d v="2023-09-21T00:00:00"/>
    <x v="0"/>
  </r>
  <r>
    <n v="32"/>
    <d v="2023-08-22T00:00:00"/>
    <s v="24082023-A-006505"/>
    <d v="2023-08-18T00:00:00"/>
    <x v="0"/>
    <x v="0"/>
    <n v="12927"/>
    <x v="4"/>
    <x v="0"/>
    <n v="5505.1"/>
    <n v="1.58"/>
    <n v="0"/>
    <n v="0"/>
    <x v="20"/>
    <s v="Comber Noil"/>
    <n v="5907639"/>
    <x v="0"/>
    <n v="1063375.02"/>
    <x v="0"/>
    <m/>
    <m/>
    <x v="0"/>
    <x v="0"/>
    <x v="0"/>
    <x v="4"/>
    <x v="0"/>
    <x v="0"/>
    <m/>
    <x v="0"/>
    <x v="1"/>
    <x v="0"/>
    <x v="0"/>
    <x v="0"/>
    <x v="9"/>
    <n v="457"/>
    <n v="82.26"/>
    <n v="0"/>
    <d v="2023-09-21T00:00:00"/>
    <x v="0"/>
  </r>
  <r>
    <n v="33"/>
    <d v="2023-08-23T00:00:00"/>
    <s v="24082023-A-006506"/>
    <d v="2023-08-19T00:00:00"/>
    <x v="0"/>
    <x v="0"/>
    <n v="8754"/>
    <x v="4"/>
    <x v="0"/>
    <n v="5505.1"/>
    <n v="1.58"/>
    <n v="0"/>
    <n v="0"/>
    <x v="20"/>
    <s v="Comber Noil"/>
    <n v="4000578"/>
    <x v="0"/>
    <n v="720104.03999999992"/>
    <x v="0"/>
    <m/>
    <m/>
    <x v="0"/>
    <x v="0"/>
    <x v="0"/>
    <x v="4"/>
    <x v="0"/>
    <x v="0"/>
    <m/>
    <x v="0"/>
    <x v="1"/>
    <x v="0"/>
    <x v="0"/>
    <x v="0"/>
    <x v="9"/>
    <n v="457"/>
    <n v="82.259999999999991"/>
    <n v="0"/>
    <d v="2023-09-22T00:00:00"/>
    <x v="0"/>
  </r>
  <r>
    <n v="34"/>
    <d v="2023-08-13T00:00:00"/>
    <s v="30082023-A-007762"/>
    <d v="2023-08-09T00:00:00"/>
    <x v="0"/>
    <x v="0"/>
    <n v="31221"/>
    <x v="4"/>
    <x v="0"/>
    <n v="5201.009"/>
    <n v="1.64"/>
    <n v="0"/>
    <n v="0"/>
    <x v="0"/>
    <s v="Raw Cotton"/>
    <n v="14847624"/>
    <x v="0"/>
    <n v="2672572.3199999998"/>
    <x v="0"/>
    <m/>
    <m/>
    <x v="0"/>
    <x v="0"/>
    <x v="0"/>
    <x v="4"/>
    <x v="0"/>
    <x v="0"/>
    <m/>
    <x v="0"/>
    <x v="1"/>
    <x v="0"/>
    <x v="0"/>
    <x v="0"/>
    <x v="0"/>
    <n v="475.56529259152495"/>
    <n v="85.601752666474482"/>
    <n v="0"/>
    <d v="2023-09-12T00:00:00"/>
    <x v="0"/>
  </r>
  <r>
    <n v="35"/>
    <d v="2023-08-14T00:00:00"/>
    <s v="30082023-A-007764"/>
    <d v="2023-08-10T00:00:00"/>
    <x v="0"/>
    <x v="0"/>
    <n v="30913"/>
    <x v="4"/>
    <x v="0"/>
    <n v="5201.009"/>
    <n v="1.64"/>
    <n v="0"/>
    <n v="0"/>
    <x v="0"/>
    <s v="Raw Cotton"/>
    <n v="14742562"/>
    <x v="0"/>
    <n v="2653661.1599999997"/>
    <x v="0"/>
    <m/>
    <m/>
    <x v="0"/>
    <x v="0"/>
    <x v="0"/>
    <x v="4"/>
    <x v="0"/>
    <x v="0"/>
    <m/>
    <x v="0"/>
    <x v="1"/>
    <x v="0"/>
    <x v="0"/>
    <x v="0"/>
    <x v="0"/>
    <n v="476.90492672985476"/>
    <n v="85.842886811373845"/>
    <n v="0"/>
    <d v="2023-09-13T00:00:00"/>
    <x v="0"/>
  </r>
  <r>
    <n v="36"/>
    <d v="2023-08-20T00:00:00"/>
    <s v="30082023-A-007767"/>
    <d v="2023-08-16T00:00:00"/>
    <x v="0"/>
    <x v="0"/>
    <n v="30332"/>
    <x v="4"/>
    <x v="0"/>
    <n v="5201.009"/>
    <n v="1.64"/>
    <n v="0"/>
    <n v="0"/>
    <x v="0"/>
    <s v="Raw Cotton"/>
    <n v="14384214"/>
    <x v="0"/>
    <n v="2589158.52"/>
    <x v="0"/>
    <m/>
    <m/>
    <x v="0"/>
    <x v="0"/>
    <x v="0"/>
    <x v="4"/>
    <x v="0"/>
    <x v="0"/>
    <m/>
    <x v="0"/>
    <x v="1"/>
    <x v="0"/>
    <x v="0"/>
    <x v="0"/>
    <x v="0"/>
    <n v="474.22570222866938"/>
    <n v="85.360626401160488"/>
    <n v="0"/>
    <d v="2023-09-19T00:00:00"/>
    <x v="0"/>
  </r>
  <r>
    <n v="37"/>
    <d v="2023-08-20T00:00:00"/>
    <s v="30082023-A-007772"/>
    <d v="2023-08-16T00:00:00"/>
    <x v="0"/>
    <x v="0"/>
    <n v="30162"/>
    <x v="4"/>
    <x v="0"/>
    <n v="5201.009"/>
    <n v="1.64"/>
    <n v="0"/>
    <n v="0"/>
    <x v="0"/>
    <s v="Raw Cotton"/>
    <n v="14344001"/>
    <x v="0"/>
    <n v="2581920.1799999997"/>
    <x v="0"/>
    <m/>
    <m/>
    <x v="0"/>
    <x v="0"/>
    <x v="0"/>
    <x v="4"/>
    <x v="0"/>
    <x v="0"/>
    <m/>
    <x v="0"/>
    <x v="1"/>
    <x v="0"/>
    <x v="0"/>
    <x v="0"/>
    <x v="0"/>
    <n v="475.56531397122205"/>
    <n v="85.601756514819968"/>
    <n v="0"/>
    <d v="2023-09-19T00:00:00"/>
    <x v="0"/>
  </r>
  <r>
    <n v="38"/>
    <d v="2023-08-12T00:00:00"/>
    <s v="30082023-A-007773"/>
    <d v="2023-08-08T00:00:00"/>
    <x v="0"/>
    <x v="0"/>
    <n v="27969"/>
    <x v="4"/>
    <x v="0"/>
    <n v="5201.009"/>
    <n v="1.63"/>
    <n v="0"/>
    <n v="0"/>
    <x v="0"/>
    <s v="Raw Cotton"/>
    <n v="13226151"/>
    <x v="0"/>
    <n v="2380707.1799999997"/>
    <x v="0"/>
    <m/>
    <m/>
    <x v="0"/>
    <x v="0"/>
    <x v="0"/>
    <x v="4"/>
    <x v="0"/>
    <x v="0"/>
    <m/>
    <x v="0"/>
    <x v="1"/>
    <x v="0"/>
    <x v="0"/>
    <x v="0"/>
    <x v="0"/>
    <n v="472.88608816904429"/>
    <n v="85.119495870427968"/>
    <n v="0"/>
    <d v="2023-09-11T00:00:00"/>
    <x v="0"/>
  </r>
  <r>
    <n v="39"/>
    <d v="2023-08-13T00:00:00"/>
    <s v="30082023-A-007775"/>
    <d v="2023-08-09T00:00:00"/>
    <x v="0"/>
    <x v="0"/>
    <n v="27923"/>
    <x v="4"/>
    <x v="0"/>
    <n v="5201.009"/>
    <n v="1.63"/>
    <n v="0"/>
    <n v="0"/>
    <x v="0"/>
    <s v="Raw Cotton"/>
    <n v="13204398"/>
    <x v="0"/>
    <n v="2376791.64"/>
    <x v="0"/>
    <m/>
    <m/>
    <x v="0"/>
    <x v="0"/>
    <x v="0"/>
    <x v="4"/>
    <x v="0"/>
    <x v="0"/>
    <m/>
    <x v="0"/>
    <x v="1"/>
    <x v="0"/>
    <x v="0"/>
    <x v="0"/>
    <x v="0"/>
    <n v="472.88607957597679"/>
    <n v="85.119494323675823"/>
    <n v="0"/>
    <d v="2023-09-12T00:00:00"/>
    <x v="0"/>
  </r>
  <r>
    <n v="40"/>
    <d v="2023-08-25T00:00:00"/>
    <s v="30082023-A-007776"/>
    <d v="2023-08-21T00:00:00"/>
    <x v="0"/>
    <x v="0"/>
    <n v="31086"/>
    <x v="4"/>
    <x v="0"/>
    <n v="5201.009"/>
    <n v="1.63"/>
    <n v="0"/>
    <n v="0"/>
    <x v="0"/>
    <s v="Raw Cotton"/>
    <n v="14700137"/>
    <x v="0"/>
    <n v="2646024.6599999997"/>
    <x v="0"/>
    <m/>
    <m/>
    <x v="0"/>
    <x v="0"/>
    <x v="0"/>
    <x v="4"/>
    <x v="0"/>
    <x v="0"/>
    <m/>
    <x v="0"/>
    <x v="1"/>
    <x v="0"/>
    <x v="0"/>
    <x v="0"/>
    <x v="0"/>
    <n v="472.88609020137682"/>
    <n v="85.119496236247812"/>
    <n v="0"/>
    <d v="2023-09-24T00:00:00"/>
    <x v="0"/>
  </r>
  <r>
    <n v="41"/>
    <d v="2023-08-17T00:00:00"/>
    <s v="30082023-A-007777"/>
    <d v="2023-08-13T00:00:00"/>
    <x v="0"/>
    <x v="0"/>
    <n v="28560"/>
    <x v="4"/>
    <x v="0"/>
    <n v="5201.009"/>
    <n v="1.64"/>
    <n v="0"/>
    <n v="0"/>
    <x v="0"/>
    <s v="Raw Cotton"/>
    <n v="13620405"/>
    <x v="0"/>
    <n v="2451672.9"/>
    <x v="0"/>
    <m/>
    <m/>
    <x v="0"/>
    <x v="0"/>
    <x v="0"/>
    <x v="4"/>
    <x v="0"/>
    <x v="0"/>
    <m/>
    <x v="0"/>
    <x v="1"/>
    <x v="0"/>
    <x v="0"/>
    <x v="0"/>
    <x v="0"/>
    <n v="476.9049369747899"/>
    <n v="85.842888655462176"/>
    <n v="0"/>
    <d v="2023-09-16T00:00:00"/>
    <x v="0"/>
  </r>
  <r>
    <n v="42"/>
    <d v="2023-08-14T00:00:00"/>
    <s v="30082023-A-007779"/>
    <d v="2023-08-10T00:00:00"/>
    <x v="0"/>
    <x v="0"/>
    <n v="31461"/>
    <x v="4"/>
    <x v="0"/>
    <n v="5201.009"/>
    <n v="1.63"/>
    <n v="0"/>
    <n v="0"/>
    <x v="0"/>
    <s v="Raw Cotton"/>
    <n v="14835323"/>
    <x v="0"/>
    <n v="2670358.14"/>
    <x v="0"/>
    <m/>
    <m/>
    <x v="0"/>
    <x v="0"/>
    <x v="0"/>
    <x v="4"/>
    <x v="0"/>
    <x v="0"/>
    <m/>
    <x v="0"/>
    <x v="1"/>
    <x v="0"/>
    <x v="0"/>
    <x v="0"/>
    <x v="0"/>
    <n v="471.54645434029436"/>
    <n v="84.878361781252977"/>
    <n v="0"/>
    <d v="2023-09-13T00:00:00"/>
    <x v="0"/>
  </r>
  <r>
    <n v="43"/>
    <d v="2023-08-13T00:00:00"/>
    <s v="30082023-A-007780"/>
    <d v="2023-08-09T00:00:00"/>
    <x v="0"/>
    <x v="0"/>
    <n v="31010"/>
    <x v="4"/>
    <x v="0"/>
    <n v="5201.009"/>
    <n v="1.63"/>
    <n v="0"/>
    <n v="0"/>
    <x v="0"/>
    <s v="Raw Cotton"/>
    <n v="14664197"/>
    <x v="0"/>
    <n v="2639555.46"/>
    <x v="0"/>
    <m/>
    <m/>
    <x v="0"/>
    <x v="0"/>
    <x v="0"/>
    <x v="4"/>
    <x v="0"/>
    <x v="0"/>
    <m/>
    <x v="0"/>
    <x v="1"/>
    <x v="0"/>
    <x v="0"/>
    <x v="0"/>
    <x v="0"/>
    <n v="472.88606900999679"/>
    <n v="85.119492421799421"/>
    <n v="0"/>
    <d v="2023-09-12T00:00:00"/>
    <x v="0"/>
  </r>
  <r>
    <n v="44"/>
    <d v="2023-08-26T00:00:00"/>
    <s v="05092023-A-009011"/>
    <d v="2023-08-22T00:00:00"/>
    <x v="0"/>
    <x v="0"/>
    <n v="30497"/>
    <x v="4"/>
    <x v="0"/>
    <n v="5201.009"/>
    <n v="1.64"/>
    <n v="0"/>
    <n v="0"/>
    <x v="0"/>
    <s v="Raw Cotton"/>
    <n v="14544170"/>
    <x v="0"/>
    <n v="2617950.6"/>
    <x v="0"/>
    <m/>
    <m/>
    <x v="0"/>
    <x v="0"/>
    <x v="0"/>
    <x v="4"/>
    <x v="0"/>
    <x v="0"/>
    <m/>
    <x v="0"/>
    <x v="1"/>
    <x v="0"/>
    <x v="0"/>
    <x v="0"/>
    <x v="0"/>
    <n v="476.90494146965273"/>
    <n v="85.842889464537492"/>
    <n v="0"/>
    <d v="2023-09-25T00:00:00"/>
    <x v="0"/>
  </r>
  <r>
    <n v="45"/>
    <d v="2023-08-24T00:00:00"/>
    <s v="05092023-A-009015"/>
    <d v="2023-08-20T00:00:00"/>
    <x v="0"/>
    <x v="0"/>
    <n v="30643"/>
    <x v="4"/>
    <x v="0"/>
    <n v="5201.009"/>
    <n v="1.68"/>
    <n v="0"/>
    <n v="0"/>
    <x v="0"/>
    <s v="Raw Cotton"/>
    <n v="14942198"/>
    <x v="0"/>
    <n v="2689595.64"/>
    <x v="0"/>
    <m/>
    <m/>
    <x v="0"/>
    <x v="0"/>
    <x v="0"/>
    <x v="4"/>
    <x v="0"/>
    <x v="0"/>
    <m/>
    <x v="0"/>
    <x v="1"/>
    <x v="0"/>
    <x v="0"/>
    <x v="0"/>
    <x v="0"/>
    <n v="487.62190386058808"/>
    <n v="87.77194269490586"/>
    <n v="0"/>
    <d v="2023-09-23T00:00:00"/>
    <x v="0"/>
  </r>
  <r>
    <n v="46"/>
    <d v="2023-08-24T00:00:00"/>
    <s v="05092023-A-009017"/>
    <d v="2023-08-20T00:00:00"/>
    <x v="0"/>
    <x v="0"/>
    <n v="30270"/>
    <x v="4"/>
    <x v="0"/>
    <n v="5201.009"/>
    <n v="1.68"/>
    <n v="0"/>
    <n v="0"/>
    <x v="0"/>
    <s v="Raw Cotton"/>
    <n v="14760316"/>
    <x v="0"/>
    <n v="2656856.88"/>
    <x v="0"/>
    <m/>
    <m/>
    <x v="0"/>
    <x v="0"/>
    <x v="0"/>
    <x v="4"/>
    <x v="0"/>
    <x v="0"/>
    <m/>
    <x v="0"/>
    <x v="1"/>
    <x v="0"/>
    <x v="0"/>
    <x v="0"/>
    <x v="0"/>
    <n v="487.62193591014204"/>
    <n v="87.771948463825566"/>
    <n v="0"/>
    <d v="2023-09-23T00:00:00"/>
    <x v="0"/>
  </r>
  <r>
    <n v="47"/>
    <d v="2023-08-30T00:00:00"/>
    <s v="05092023-A-009019"/>
    <d v="2023-08-26T00:00:00"/>
    <x v="0"/>
    <x v="0"/>
    <n v="30456"/>
    <x v="4"/>
    <x v="0"/>
    <n v="5201.009"/>
    <n v="1.58"/>
    <n v="0"/>
    <n v="0"/>
    <x v="0"/>
    <s v="Raw Cotton"/>
    <n v="13953424"/>
    <x v="0"/>
    <n v="2511616.3199999998"/>
    <x v="0"/>
    <m/>
    <m/>
    <x v="0"/>
    <x v="0"/>
    <x v="0"/>
    <x v="4"/>
    <x v="0"/>
    <x v="0"/>
    <m/>
    <x v="0"/>
    <x v="1"/>
    <x v="0"/>
    <x v="0"/>
    <x v="0"/>
    <x v="0"/>
    <n v="458.15024954032049"/>
    <n v="82.467044917257681"/>
    <n v="0"/>
    <d v="2023-09-29T00:00:00"/>
    <x v="0"/>
  </r>
  <r>
    <n v="48"/>
    <d v="2023-08-15T00:00:00"/>
    <s v="11092023-A-010002"/>
    <d v="2023-08-11T00:00:00"/>
    <x v="0"/>
    <x v="0"/>
    <n v="30665"/>
    <x v="4"/>
    <x v="0"/>
    <n v="5201.009"/>
    <n v="1.64"/>
    <n v="0"/>
    <n v="0"/>
    <x v="0"/>
    <s v="Raw Cotton"/>
    <n v="14542131"/>
    <x v="0"/>
    <n v="2617583.58"/>
    <x v="0"/>
    <m/>
    <m/>
    <x v="0"/>
    <x v="0"/>
    <x v="0"/>
    <x v="4"/>
    <x v="0"/>
    <x v="0"/>
    <m/>
    <x v="0"/>
    <x v="1"/>
    <x v="0"/>
    <x v="0"/>
    <x v="0"/>
    <x v="0"/>
    <n v="474.22569704875264"/>
    <n v="85.360625468775481"/>
    <n v="0"/>
    <d v="2023-09-14T00:00:00"/>
    <x v="0"/>
  </r>
  <r>
    <n v="49"/>
    <d v="2023-08-23T00:00:00"/>
    <s v="11092023-A-010003"/>
    <d v="2023-08-19T00:00:00"/>
    <x v="0"/>
    <x v="0"/>
    <n v="29150"/>
    <x v="4"/>
    <x v="0"/>
    <n v="5201.009"/>
    <n v="1.56"/>
    <n v="0"/>
    <n v="0"/>
    <x v="0"/>
    <s v="Raw Cotton"/>
    <n v="13159830"/>
    <x v="0"/>
    <n v="2368769.4"/>
    <x v="0"/>
    <m/>
    <m/>
    <x v="0"/>
    <x v="0"/>
    <x v="0"/>
    <x v="4"/>
    <x v="0"/>
    <x v="0"/>
    <m/>
    <x v="0"/>
    <x v="1"/>
    <x v="0"/>
    <x v="0"/>
    <x v="0"/>
    <x v="0"/>
    <n v="451.45214408233278"/>
    <n v="81.261385934819899"/>
    <n v="0"/>
    <d v="2023-09-22T00:00:00"/>
    <x v="0"/>
  </r>
  <r>
    <n v="50"/>
    <d v="2023-08-24T00:00:00"/>
    <s v="11092023-A-010005"/>
    <d v="2023-08-20T00:00:00"/>
    <x v="0"/>
    <x v="0"/>
    <n v="29012"/>
    <x v="4"/>
    <x v="0"/>
    <n v="5201.009"/>
    <n v="1.59"/>
    <n v="0"/>
    <n v="0"/>
    <x v="0"/>
    <s v="Raw Cotton"/>
    <n v="13408450"/>
    <x v="0"/>
    <n v="2413521"/>
    <x v="0"/>
    <m/>
    <m/>
    <x v="0"/>
    <x v="0"/>
    <x v="0"/>
    <x v="4"/>
    <x v="0"/>
    <x v="0"/>
    <m/>
    <x v="0"/>
    <x v="1"/>
    <x v="0"/>
    <x v="0"/>
    <x v="0"/>
    <x v="0"/>
    <n v="462.1691024403695"/>
    <n v="83.190438439266515"/>
    <n v="0"/>
    <d v="2023-09-23T00:00:00"/>
    <x v="0"/>
  </r>
  <r>
    <n v="51"/>
    <d v="2023-09-02T00:00:00"/>
    <s v="11092023-A-010007"/>
    <d v="2023-08-29T00:00:00"/>
    <x v="0"/>
    <x v="0"/>
    <n v="12804"/>
    <x v="4"/>
    <x v="0"/>
    <n v="5505.1"/>
    <n v="1.59"/>
    <n v="0"/>
    <n v="0"/>
    <x v="20"/>
    <s v="Comber Noil"/>
    <n v="5889840"/>
    <x v="0"/>
    <n v="1060171.2"/>
    <x v="0"/>
    <m/>
    <m/>
    <x v="0"/>
    <x v="0"/>
    <x v="0"/>
    <x v="4"/>
    <x v="0"/>
    <x v="0"/>
    <m/>
    <x v="0"/>
    <x v="1"/>
    <x v="0"/>
    <x v="0"/>
    <x v="0"/>
    <x v="9"/>
    <n v="460"/>
    <n v="82.8"/>
    <n v="0"/>
    <d v="2023-10-02T00:00:00"/>
    <x v="0"/>
  </r>
  <r>
    <n v="52"/>
    <d v="2023-09-03T00:00:00"/>
    <s v="11092023-A-010013"/>
    <d v="2023-08-30T00:00:00"/>
    <x v="0"/>
    <x v="0"/>
    <n v="12894"/>
    <x v="4"/>
    <x v="0"/>
    <n v="5505.1"/>
    <n v="1.59"/>
    <n v="0"/>
    <n v="0"/>
    <x v="20"/>
    <s v="Comber Noil"/>
    <n v="5931240"/>
    <x v="0"/>
    <n v="1067623.2"/>
    <x v="0"/>
    <m/>
    <m/>
    <x v="0"/>
    <x v="0"/>
    <x v="0"/>
    <x v="4"/>
    <x v="0"/>
    <x v="0"/>
    <m/>
    <x v="0"/>
    <x v="1"/>
    <x v="0"/>
    <x v="0"/>
    <x v="0"/>
    <x v="9"/>
    <n v="460"/>
    <n v="82.8"/>
    <n v="0"/>
    <d v="2023-10-03T00:00:00"/>
    <x v="0"/>
  </r>
  <r>
    <n v="53"/>
    <d v="2023-09-04T00:00:00"/>
    <s v="11092023-A-010036"/>
    <d v="2023-08-31T00:00:00"/>
    <x v="0"/>
    <x v="0"/>
    <n v="12120"/>
    <x v="4"/>
    <x v="0"/>
    <n v="5505.1"/>
    <n v="1.59"/>
    <n v="0"/>
    <n v="0"/>
    <x v="20"/>
    <s v="Comber Noil"/>
    <n v="5575200"/>
    <x v="0"/>
    <n v="1003536"/>
    <x v="0"/>
    <m/>
    <m/>
    <x v="0"/>
    <x v="0"/>
    <x v="0"/>
    <x v="4"/>
    <x v="0"/>
    <x v="0"/>
    <m/>
    <x v="0"/>
    <x v="1"/>
    <x v="0"/>
    <x v="0"/>
    <x v="0"/>
    <x v="9"/>
    <n v="460"/>
    <n v="82.8"/>
    <n v="0"/>
    <d v="2023-10-04T00:00:00"/>
    <x v="0"/>
  </r>
  <r>
    <n v="54"/>
    <d v="2023-09-05T00:00:00"/>
    <s v="11092023-A-010040"/>
    <d v="2023-09-01T00:00:00"/>
    <x v="0"/>
    <x v="0"/>
    <n v="12190"/>
    <x v="4"/>
    <x v="0"/>
    <n v="5505.1"/>
    <n v="1.59"/>
    <n v="0"/>
    <n v="0"/>
    <x v="20"/>
    <s v="Comber Noil"/>
    <n v="5607400"/>
    <x v="0"/>
    <n v="1009332"/>
    <x v="0"/>
    <m/>
    <m/>
    <x v="0"/>
    <x v="0"/>
    <x v="0"/>
    <x v="4"/>
    <x v="0"/>
    <x v="0"/>
    <m/>
    <x v="0"/>
    <x v="1"/>
    <x v="0"/>
    <x v="0"/>
    <x v="0"/>
    <x v="9"/>
    <n v="460"/>
    <n v="82.8"/>
    <n v="0"/>
    <d v="2023-10-05T00:00:00"/>
    <x v="0"/>
  </r>
  <r>
    <n v="55"/>
    <d v="2023-09-06T00:00:00"/>
    <s v="11092023-A-010048"/>
    <d v="2023-09-02T00:00:00"/>
    <x v="0"/>
    <x v="0"/>
    <n v="9966"/>
    <x v="4"/>
    <x v="0"/>
    <n v="5505.1"/>
    <n v="1.59"/>
    <n v="0"/>
    <n v="0"/>
    <x v="20"/>
    <s v="Comber Noil"/>
    <n v="4584360"/>
    <x v="0"/>
    <n v="825184.79999999993"/>
    <x v="0"/>
    <m/>
    <m/>
    <x v="0"/>
    <x v="0"/>
    <x v="0"/>
    <x v="4"/>
    <x v="0"/>
    <x v="0"/>
    <m/>
    <x v="0"/>
    <x v="1"/>
    <x v="0"/>
    <x v="0"/>
    <x v="0"/>
    <x v="9"/>
    <n v="460"/>
    <n v="82.8"/>
    <n v="0"/>
    <d v="2023-10-06T00:00:00"/>
    <x v="0"/>
  </r>
  <r>
    <n v="56"/>
    <d v="2023-08-11T00:00:00"/>
    <s v="13092023-A-010742"/>
    <d v="2023-08-07T00:00:00"/>
    <x v="0"/>
    <x v="0"/>
    <n v="31025"/>
    <x v="4"/>
    <x v="0"/>
    <n v="5201.009"/>
    <n v="1.63"/>
    <n v="0"/>
    <n v="0"/>
    <x v="0"/>
    <s v="Raw Cotton"/>
    <n v="14671291"/>
    <x v="0"/>
    <n v="2640832.38"/>
    <x v="0"/>
    <m/>
    <m/>
    <x v="0"/>
    <x v="0"/>
    <x v="0"/>
    <x v="4"/>
    <x v="0"/>
    <x v="0"/>
    <m/>
    <x v="0"/>
    <x v="1"/>
    <x v="0"/>
    <x v="0"/>
    <x v="0"/>
    <x v="0"/>
    <n v="472.88609186140212"/>
    <n v="85.119496535052377"/>
    <n v="0"/>
    <d v="2023-09-10T00:00:00"/>
    <x v="0"/>
  </r>
  <r>
    <n v="57"/>
    <d v="2023-08-30T00:00:00"/>
    <s v="13092023-A-010744"/>
    <d v="2023-08-26T00:00:00"/>
    <x v="0"/>
    <x v="0"/>
    <n v="30702"/>
    <x v="4"/>
    <x v="0"/>
    <n v="5201.009"/>
    <n v="1.56"/>
    <n v="0"/>
    <n v="0"/>
    <x v="0"/>
    <s v="Raw Cotton"/>
    <n v="13901613"/>
    <x v="0"/>
    <n v="2502290.34"/>
    <x v="0"/>
    <m/>
    <m/>
    <x v="0"/>
    <x v="0"/>
    <x v="0"/>
    <x v="4"/>
    <x v="0"/>
    <x v="0"/>
    <m/>
    <x v="0"/>
    <x v="1"/>
    <x v="0"/>
    <x v="0"/>
    <x v="0"/>
    <x v="0"/>
    <n v="452.79177252296267"/>
    <n v="81.502519054133273"/>
    <n v="0"/>
    <d v="2023-09-29T00:00:00"/>
    <x v="0"/>
  </r>
  <r>
    <n v="58"/>
    <d v="2023-09-09T00:00:00"/>
    <s v="13092023-A-010746"/>
    <d v="2023-09-05T00:00:00"/>
    <x v="0"/>
    <x v="0"/>
    <n v="3901"/>
    <x v="4"/>
    <x v="0"/>
    <n v="5201.009"/>
    <n v="2.85"/>
    <n v="0"/>
    <n v="0"/>
    <x v="3"/>
    <s v="CVC60:40 - 40/1 8600 ( LBS"/>
    <n v="3225000"/>
    <x v="0"/>
    <n v="580500"/>
    <x v="0"/>
    <m/>
    <m/>
    <x v="0"/>
    <x v="0"/>
    <x v="0"/>
    <x v="4"/>
    <x v="0"/>
    <x v="0"/>
    <m/>
    <x v="0"/>
    <x v="1"/>
    <x v="0"/>
    <x v="0"/>
    <x v="0"/>
    <x v="3"/>
    <n v="826.71109971802105"/>
    <n v="148.80799794924377"/>
    <n v="0"/>
    <d v="2023-10-09T00:00:00"/>
    <x v="0"/>
  </r>
  <r>
    <n v="59"/>
    <d v="2023-09-09T00:00:00"/>
    <s v="13092023-A-010750"/>
    <d v="2023-09-05T00:00:00"/>
    <x v="0"/>
    <x v="2"/>
    <n v="272"/>
    <x v="4"/>
    <x v="0"/>
    <n v="5205.1099999999997"/>
    <n v="2.7"/>
    <n v="272"/>
    <n v="272"/>
    <x v="10"/>
    <s v="10/1 Cotton Yarn (600 LBS"/>
    <n v="213000"/>
    <x v="0"/>
    <n v="38340"/>
    <x v="0"/>
    <m/>
    <m/>
    <x v="0"/>
    <x v="0"/>
    <x v="0"/>
    <x v="0"/>
    <x v="0"/>
    <x v="0"/>
    <m/>
    <x v="0"/>
    <x v="1"/>
    <x v="0"/>
    <x v="0"/>
    <x v="0"/>
    <x v="3"/>
    <n v="783.08823529411768"/>
    <n v="140.95588235294119"/>
    <n v="38340"/>
    <d v="2023-10-09T00:00:00"/>
    <x v="0"/>
  </r>
  <r>
    <n v="60"/>
    <d v="2023-08-19T00:00:00"/>
    <s v="13092023-A-010753"/>
    <d v="2023-08-15T00:00:00"/>
    <x v="0"/>
    <x v="0"/>
    <n v="29492"/>
    <x v="4"/>
    <x v="0"/>
    <n v="5201.009"/>
    <n v="1.64"/>
    <n v="0"/>
    <n v="0"/>
    <x v="0"/>
    <s v="Raw Cotton"/>
    <n v="14064881"/>
    <x v="0"/>
    <n v="2531678.58"/>
    <x v="0"/>
    <m/>
    <m/>
    <x v="0"/>
    <x v="0"/>
    <x v="0"/>
    <x v="4"/>
    <x v="0"/>
    <x v="0"/>
    <m/>
    <x v="0"/>
    <x v="1"/>
    <x v="0"/>
    <x v="0"/>
    <x v="0"/>
    <x v="0"/>
    <n v="476.90495727654957"/>
    <n v="85.842892309778932"/>
    <n v="0"/>
    <d v="2023-09-18T00:00:00"/>
    <x v="0"/>
  </r>
  <r>
    <n v="61"/>
    <d v="2023-09-11T00:00:00"/>
    <s v="13092023-A-010755"/>
    <d v="2023-09-07T00:00:00"/>
    <x v="0"/>
    <x v="0"/>
    <n v="4808"/>
    <x v="4"/>
    <x v="0"/>
    <n v="5402.39"/>
    <n v="2.4700000000000002"/>
    <n v="0"/>
    <n v="0"/>
    <x v="3"/>
    <s v="PC52:48 - 24/1 ( 10600 LBS"/>
    <n v="3445000"/>
    <x v="0"/>
    <n v="620100"/>
    <x v="0"/>
    <m/>
    <m/>
    <x v="0"/>
    <x v="0"/>
    <x v="0"/>
    <x v="4"/>
    <x v="0"/>
    <x v="0"/>
    <m/>
    <x v="0"/>
    <x v="1"/>
    <x v="0"/>
    <x v="0"/>
    <x v="0"/>
    <x v="3"/>
    <n v="716.51414309484198"/>
    <n v="128.97254575707154"/>
    <n v="0"/>
    <d v="2023-10-11T00:00:00"/>
    <x v="0"/>
  </r>
  <r>
    <n v="62"/>
    <d v="2023-09-12T00:00:00"/>
    <s v="13092023-A-010756"/>
    <d v="2023-09-08T00:00:00"/>
    <x v="0"/>
    <x v="0"/>
    <n v="18144"/>
    <x v="4"/>
    <x v="0"/>
    <n v="5402.39"/>
    <n v="2.42"/>
    <n v="0"/>
    <n v="0"/>
    <x v="3"/>
    <s v="PC52:48 - 24/1 ( 40000 LBS"/>
    <n v="12720000"/>
    <x v="0"/>
    <n v="2289600"/>
    <x v="0"/>
    <m/>
    <m/>
    <x v="0"/>
    <x v="0"/>
    <x v="0"/>
    <x v="4"/>
    <x v="0"/>
    <x v="0"/>
    <m/>
    <x v="0"/>
    <x v="1"/>
    <x v="0"/>
    <x v="0"/>
    <x v="0"/>
    <x v="3"/>
    <n v="701.05820105820101"/>
    <n v="126.19047619047619"/>
    <n v="0"/>
    <d v="2023-10-12T00:00:00"/>
    <x v="0"/>
  </r>
  <r>
    <n v="63"/>
    <d v="2023-09-12T00:00:00"/>
    <s v="18092023-A-011662"/>
    <d v="2023-09-08T00:00:00"/>
    <x v="0"/>
    <x v="0"/>
    <n v="9676"/>
    <x v="4"/>
    <x v="0"/>
    <n v="5505.1"/>
    <n v="1.62"/>
    <n v="0"/>
    <n v="0"/>
    <x v="20"/>
    <s v="Comber Noil"/>
    <n v="4547720"/>
    <x v="0"/>
    <n v="818589.6"/>
    <x v="0"/>
    <m/>
    <m/>
    <x v="0"/>
    <x v="0"/>
    <x v="0"/>
    <x v="4"/>
    <x v="0"/>
    <x v="0"/>
    <m/>
    <x v="0"/>
    <x v="1"/>
    <x v="0"/>
    <x v="0"/>
    <x v="0"/>
    <x v="9"/>
    <n v="470"/>
    <n v="84.6"/>
    <n v="0"/>
    <d v="2023-10-12T00:00:00"/>
    <x v="0"/>
  </r>
  <r>
    <n v="64"/>
    <d v="2023-09-13T00:00:00"/>
    <s v="18092023-A-011664"/>
    <d v="2023-09-09T00:00:00"/>
    <x v="0"/>
    <x v="0"/>
    <n v="12935"/>
    <x v="4"/>
    <x v="0"/>
    <n v="5505.1"/>
    <n v="1.63"/>
    <n v="0"/>
    <n v="0"/>
    <x v="20"/>
    <s v="Comber Noil"/>
    <n v="6105320"/>
    <x v="0"/>
    <n v="1098957.5999999999"/>
    <x v="0"/>
    <m/>
    <m/>
    <x v="0"/>
    <x v="0"/>
    <x v="0"/>
    <x v="4"/>
    <x v="0"/>
    <x v="0"/>
    <m/>
    <x v="0"/>
    <x v="1"/>
    <x v="0"/>
    <x v="0"/>
    <x v="0"/>
    <x v="9"/>
    <n v="472"/>
    <n v="84.96"/>
    <n v="0"/>
    <d v="2023-10-13T00:00:00"/>
    <x v="0"/>
  </r>
  <r>
    <n v="65"/>
    <d v="2023-09-13T00:00:00"/>
    <s v="18092023-A-011668"/>
    <d v="2023-09-09T00:00:00"/>
    <x v="0"/>
    <x v="0"/>
    <n v="12220"/>
    <x v="4"/>
    <x v="0"/>
    <n v="5505.1"/>
    <n v="1.63"/>
    <n v="0"/>
    <n v="0"/>
    <x v="20"/>
    <s v="Comber Noil"/>
    <n v="5767840"/>
    <x v="0"/>
    <n v="1038211.2"/>
    <x v="0"/>
    <m/>
    <m/>
    <x v="0"/>
    <x v="0"/>
    <x v="0"/>
    <x v="4"/>
    <x v="0"/>
    <x v="0"/>
    <m/>
    <x v="0"/>
    <x v="1"/>
    <x v="0"/>
    <x v="0"/>
    <x v="0"/>
    <x v="9"/>
    <n v="472"/>
    <n v="84.96"/>
    <n v="0"/>
    <d v="2023-10-13T00:00:00"/>
    <x v="0"/>
  </r>
  <r>
    <n v="66"/>
    <d v="2023-09-15T00:00:00"/>
    <s v="18092023-A-011670"/>
    <d v="2023-09-11T00:00:00"/>
    <x v="0"/>
    <x v="0"/>
    <n v="12240"/>
    <x v="4"/>
    <x v="0"/>
    <n v="5505.1"/>
    <n v="1.63"/>
    <n v="0"/>
    <n v="0"/>
    <x v="20"/>
    <s v="Comber Noil"/>
    <n v="5777280"/>
    <x v="0"/>
    <n v="1039910.3999999999"/>
    <x v="0"/>
    <m/>
    <m/>
    <x v="0"/>
    <x v="0"/>
    <x v="0"/>
    <x v="4"/>
    <x v="0"/>
    <x v="0"/>
    <m/>
    <x v="0"/>
    <x v="1"/>
    <x v="0"/>
    <x v="0"/>
    <x v="0"/>
    <x v="9"/>
    <n v="472"/>
    <n v="84.96"/>
    <n v="0"/>
    <d v="2023-10-15T00:00:00"/>
    <x v="0"/>
  </r>
  <r>
    <n v="67"/>
    <d v="2023-09-15T00:00:00"/>
    <s v="18092023-A-011674"/>
    <d v="2023-09-11T00:00:00"/>
    <x v="0"/>
    <x v="0"/>
    <n v="12260"/>
    <x v="4"/>
    <x v="0"/>
    <n v="5505.1"/>
    <n v="1.63"/>
    <n v="0"/>
    <n v="0"/>
    <x v="20"/>
    <s v="Comber Noil"/>
    <n v="5786720"/>
    <x v="0"/>
    <n v="1041609.6"/>
    <x v="0"/>
    <m/>
    <m/>
    <x v="0"/>
    <x v="0"/>
    <x v="0"/>
    <x v="4"/>
    <x v="0"/>
    <x v="0"/>
    <m/>
    <x v="0"/>
    <x v="1"/>
    <x v="0"/>
    <x v="0"/>
    <x v="0"/>
    <x v="9"/>
    <n v="472"/>
    <n v="84.96"/>
    <n v="0"/>
    <d v="2023-10-15T00:00:00"/>
    <x v="0"/>
  </r>
  <r>
    <n v="68"/>
    <d v="2023-09-16T00:00:00"/>
    <s v="18092023-A-011675"/>
    <d v="2023-09-12T00:00:00"/>
    <x v="0"/>
    <x v="0"/>
    <n v="10412"/>
    <x v="4"/>
    <x v="0"/>
    <n v="5505.1"/>
    <n v="1.63"/>
    <n v="0"/>
    <n v="0"/>
    <x v="20"/>
    <s v="Comber Noil"/>
    <n v="4914464"/>
    <x v="0"/>
    <n v="884603.52"/>
    <x v="0"/>
    <m/>
    <m/>
    <x v="0"/>
    <x v="0"/>
    <x v="0"/>
    <x v="4"/>
    <x v="0"/>
    <x v="0"/>
    <m/>
    <x v="0"/>
    <x v="1"/>
    <x v="0"/>
    <x v="0"/>
    <x v="0"/>
    <x v="9"/>
    <n v="472"/>
    <n v="84.960000000000008"/>
    <n v="0"/>
    <d v="2023-10-16T00:00:00"/>
    <x v="0"/>
  </r>
  <r>
    <n v="69"/>
    <d v="2023-08-27T00:00:00"/>
    <s v="19092023-A-011695"/>
    <d v="2023-08-23T00:00:00"/>
    <x v="0"/>
    <x v="0"/>
    <n v="31459"/>
    <x v="4"/>
    <x v="0"/>
    <n v="5201.009"/>
    <n v="1.68"/>
    <n v="0"/>
    <n v="0"/>
    <x v="0"/>
    <s v="Raw Cotton"/>
    <n v="15319026"/>
    <x v="0"/>
    <n v="2757424.6799999997"/>
    <x v="0"/>
    <m/>
    <m/>
    <x v="0"/>
    <x v="0"/>
    <x v="0"/>
    <x v="4"/>
    <x v="0"/>
    <x v="0"/>
    <m/>
    <x v="0"/>
    <x v="1"/>
    <x v="0"/>
    <x v="0"/>
    <x v="0"/>
    <x v="0"/>
    <n v="486.95209637941446"/>
    <n v="87.651377348294602"/>
    <n v="0"/>
    <d v="2023-09-26T00:00:00"/>
    <x v="0"/>
  </r>
  <r>
    <n v="70"/>
    <d v="2023-08-10T00:00:00"/>
    <s v="19092023-A-011697"/>
    <d v="2023-08-06T00:00:00"/>
    <x v="0"/>
    <x v="0"/>
    <n v="30038"/>
    <x v="4"/>
    <x v="0"/>
    <n v="5201.009"/>
    <n v="1.63"/>
    <n v="0"/>
    <n v="0"/>
    <x v="0"/>
    <s v="Raw Cotton"/>
    <n v="14224672"/>
    <x v="0"/>
    <n v="2560440.96"/>
    <x v="0"/>
    <m/>
    <m/>
    <x v="0"/>
    <x v="0"/>
    <x v="0"/>
    <x v="4"/>
    <x v="0"/>
    <x v="0"/>
    <m/>
    <x v="0"/>
    <x v="1"/>
    <x v="0"/>
    <x v="0"/>
    <x v="0"/>
    <x v="0"/>
    <n v="473.55589586523735"/>
    <n v="85.240061255742731"/>
    <n v="0"/>
    <d v="2023-09-09T00:00:00"/>
    <x v="0"/>
  </r>
  <r>
    <n v="71"/>
    <d v="2023-08-26T00:00:00"/>
    <s v="19092023-A-011703"/>
    <d v="2023-08-22T00:00:00"/>
    <x v="0"/>
    <x v="0"/>
    <n v="27518"/>
    <x v="4"/>
    <x v="0"/>
    <n v="5201.009"/>
    <n v="1.64"/>
    <n v="0"/>
    <n v="0"/>
    <x v="0"/>
    <s v="Raw Cotton"/>
    <n v="13049743"/>
    <x v="0"/>
    <n v="2348953.7399999998"/>
    <x v="0"/>
    <m/>
    <m/>
    <x v="0"/>
    <x v="0"/>
    <x v="0"/>
    <x v="4"/>
    <x v="0"/>
    <x v="0"/>
    <m/>
    <x v="0"/>
    <x v="1"/>
    <x v="0"/>
    <x v="0"/>
    <x v="0"/>
    <x v="0"/>
    <n v="474.22570681008796"/>
    <n v="85.360627225815819"/>
    <n v="0"/>
    <d v="2023-09-25T00:00:00"/>
    <x v="0"/>
  </r>
  <r>
    <n v="72"/>
    <d v="2023-09-02T00:00:00"/>
    <s v="19092023-A-011706"/>
    <d v="2023-08-29T00:00:00"/>
    <x v="0"/>
    <x v="0"/>
    <n v="47124"/>
    <x v="4"/>
    <x v="0"/>
    <n v="5503.201"/>
    <n v="1.29"/>
    <n v="0"/>
    <n v="0"/>
    <x v="1"/>
    <s v="Polyester Staple Fiber"/>
    <n v="17671500"/>
    <x v="0"/>
    <n v="3180870"/>
    <x v="0"/>
    <m/>
    <m/>
    <x v="0"/>
    <x v="0"/>
    <x v="0"/>
    <x v="5"/>
    <x v="0"/>
    <x v="0"/>
    <m/>
    <x v="0"/>
    <x v="1"/>
    <x v="0"/>
    <x v="0"/>
    <x v="0"/>
    <x v="1"/>
    <n v="375"/>
    <n v="67.5"/>
    <n v="0"/>
    <d v="2023-10-02T00:00:00"/>
    <x v="0"/>
  </r>
  <r>
    <n v="73"/>
    <d v="2023-08-23T00:00:00"/>
    <s v="19092023-A-011707"/>
    <d v="2023-08-19T00:00:00"/>
    <x v="0"/>
    <x v="0"/>
    <n v="28445"/>
    <x v="4"/>
    <x v="0"/>
    <n v="5201.009"/>
    <n v="1.63"/>
    <n v="0"/>
    <n v="0"/>
    <x v="0"/>
    <s v="Raw Cotton"/>
    <n v="13451245"/>
    <x v="0"/>
    <n v="2421224.1"/>
    <x v="0"/>
    <m/>
    <m/>
    <x v="0"/>
    <x v="0"/>
    <x v="0"/>
    <x v="4"/>
    <x v="0"/>
    <x v="0"/>
    <m/>
    <x v="0"/>
    <x v="1"/>
    <x v="0"/>
    <x v="0"/>
    <x v="0"/>
    <x v="0"/>
    <n v="472.88609597468798"/>
    <n v="85.119497275443848"/>
    <n v="0"/>
    <d v="2023-09-22T00:00:00"/>
    <x v="0"/>
  </r>
  <r>
    <n v="74"/>
    <d v="2023-09-10T00:00:00"/>
    <s v="19092023-A-011710"/>
    <d v="2023-09-06T00:00:00"/>
    <x v="0"/>
    <x v="0"/>
    <n v="40394"/>
    <x v="4"/>
    <x v="0"/>
    <n v="5503.201"/>
    <n v="1.29"/>
    <n v="0"/>
    <n v="0"/>
    <x v="1"/>
    <s v="Polyester Staple Fiber"/>
    <n v="15147787.5"/>
    <x v="0"/>
    <n v="2726601.75"/>
    <x v="0"/>
    <m/>
    <m/>
    <x v="0"/>
    <x v="0"/>
    <x v="0"/>
    <x v="5"/>
    <x v="0"/>
    <x v="0"/>
    <m/>
    <x v="0"/>
    <x v="1"/>
    <x v="0"/>
    <x v="0"/>
    <x v="0"/>
    <x v="1"/>
    <n v="375.00092835569637"/>
    <n v="67.500167104025351"/>
    <n v="0"/>
    <d v="2023-10-10T00:00:00"/>
    <x v="0"/>
  </r>
  <r>
    <n v="75"/>
    <d v="2023-09-12T00:00:00"/>
    <s v="19092023-A-011713"/>
    <d v="2023-09-08T00:00:00"/>
    <x v="0"/>
    <x v="0"/>
    <n v="35441"/>
    <x v="4"/>
    <x v="0"/>
    <n v="5503.201"/>
    <n v="1.29"/>
    <n v="0"/>
    <n v="0"/>
    <x v="1"/>
    <s v="Polyester Staple Fiber"/>
    <n v="13290487.5"/>
    <x v="0"/>
    <n v="2392287.75"/>
    <x v="0"/>
    <m/>
    <m/>
    <x v="0"/>
    <x v="0"/>
    <x v="0"/>
    <x v="5"/>
    <x v="0"/>
    <x v="0"/>
    <m/>
    <x v="0"/>
    <x v="1"/>
    <x v="0"/>
    <x v="0"/>
    <x v="0"/>
    <x v="1"/>
    <n v="375.00317428966451"/>
    <n v="67.500571372139618"/>
    <n v="0"/>
    <d v="2023-10-12T00:00:00"/>
    <x v="0"/>
  </r>
  <r>
    <n v="76"/>
    <d v="2023-08-28T00:00:00"/>
    <s v="02102023-A-014157"/>
    <d v="2023-08-24T00:00:00"/>
    <x v="0"/>
    <x v="0"/>
    <n v="29970"/>
    <x v="4"/>
    <x v="0"/>
    <n v="5201.009"/>
    <n v="1.68"/>
    <n v="0"/>
    <n v="0"/>
    <x v="0"/>
    <s v="Raw Cotton"/>
    <n v="14593954"/>
    <x v="0"/>
    <n v="2626911.7199999997"/>
    <x v="0"/>
    <m/>
    <m/>
    <x v="0"/>
    <x v="0"/>
    <x v="0"/>
    <x v="4"/>
    <x v="0"/>
    <x v="0"/>
    <m/>
    <x v="0"/>
    <x v="1"/>
    <x v="0"/>
    <x v="0"/>
    <x v="0"/>
    <x v="0"/>
    <n v="486.95208541875206"/>
    <n v="87.651375375375366"/>
    <n v="0"/>
    <d v="2023-09-27T00:00:00"/>
    <x v="0"/>
  </r>
  <r>
    <n v="77"/>
    <d v="2023-08-20T00:00:00"/>
    <s v="02102023-A-014163"/>
    <d v="2023-08-16T00:00:00"/>
    <x v="0"/>
    <x v="0"/>
    <n v="30696"/>
    <x v="4"/>
    <x v="0"/>
    <n v="5201.009"/>
    <n v="1.64"/>
    <n v="0"/>
    <n v="0"/>
    <x v="0"/>
    <s v="Raw Cotton"/>
    <n v="14556832"/>
    <x v="0"/>
    <n v="2620229.7599999998"/>
    <x v="0"/>
    <m/>
    <m/>
    <x v="0"/>
    <x v="0"/>
    <x v="0"/>
    <x v="4"/>
    <x v="0"/>
    <x v="0"/>
    <m/>
    <x v="0"/>
    <x v="1"/>
    <x v="0"/>
    <x v="0"/>
    <x v="0"/>
    <x v="0"/>
    <n v="474.22569715923896"/>
    <n v="85.360625488663004"/>
    <n v="0"/>
    <d v="2023-09-19T00:00:00"/>
    <x v="0"/>
  </r>
  <r>
    <n v="78"/>
    <d v="2023-09-04T00:00:00"/>
    <s v="02102023-A-014165"/>
    <d v="2023-08-31T00:00:00"/>
    <x v="0"/>
    <x v="0"/>
    <n v="29815"/>
    <x v="4"/>
    <x v="0"/>
    <n v="5201.009"/>
    <n v="1.67"/>
    <n v="0"/>
    <n v="0"/>
    <x v="0"/>
    <s v="Raw Cotton"/>
    <n v="14458866"/>
    <x v="0"/>
    <n v="2602595.88"/>
    <x v="0"/>
    <m/>
    <m/>
    <x v="0"/>
    <x v="0"/>
    <x v="0"/>
    <x v="4"/>
    <x v="0"/>
    <x v="0"/>
    <m/>
    <x v="0"/>
    <x v="1"/>
    <x v="0"/>
    <x v="0"/>
    <x v="0"/>
    <x v="0"/>
    <n v="484.95274190843537"/>
    <n v="87.291493543518357"/>
    <n v="0"/>
    <d v="2023-10-04T00:00:00"/>
    <x v="0"/>
  </r>
  <r>
    <n v="79"/>
    <d v="2023-09-27T00:00:00"/>
    <s v="16102023-A-017219"/>
    <d v="2023-09-23T00:00:00"/>
    <x v="0"/>
    <x v="0"/>
    <n v="30610"/>
    <x v="4"/>
    <x v="0"/>
    <n v="5201.009"/>
    <n v="1.8"/>
    <n v="0"/>
    <n v="0"/>
    <x v="0"/>
    <s v="Raw Cotton"/>
    <n v="15992257"/>
    <x v="0"/>
    <n v="2878606.26"/>
    <x v="0"/>
    <m/>
    <m/>
    <x v="0"/>
    <x v="0"/>
    <x v="0"/>
    <x v="4"/>
    <x v="0"/>
    <x v="0"/>
    <m/>
    <x v="0"/>
    <x v="1"/>
    <x v="0"/>
    <x v="0"/>
    <x v="0"/>
    <x v="0"/>
    <n v="522.45204181639986"/>
    <n v="94.041367526951973"/>
    <n v="0"/>
    <d v="2023-10-27T00:00:00"/>
    <x v="0"/>
  </r>
  <r>
    <n v="80"/>
    <d v="2023-10-06T00:00:00"/>
    <s v="16102023-A-017223"/>
    <d v="2023-10-02T00:00:00"/>
    <x v="0"/>
    <x v="0"/>
    <n v="31332"/>
    <x v="4"/>
    <x v="0"/>
    <n v="5201.009"/>
    <n v="1.72"/>
    <n v="0"/>
    <n v="0"/>
    <x v="0"/>
    <s v="Raw Cotton"/>
    <n v="15613953"/>
    <x v="0"/>
    <n v="2810511.54"/>
    <x v="0"/>
    <m/>
    <m/>
    <x v="0"/>
    <x v="0"/>
    <x v="0"/>
    <x v="4"/>
    <x v="0"/>
    <x v="0"/>
    <m/>
    <x v="0"/>
    <x v="1"/>
    <x v="0"/>
    <x v="0"/>
    <x v="0"/>
    <x v="0"/>
    <n v="498.33885484488701"/>
    <n v="89.700993872079664"/>
    <n v="0"/>
    <d v="2023-11-05T00:00:00"/>
    <x v="0"/>
  </r>
  <r>
    <n v="81"/>
    <d v="2023-09-21T00:00:00"/>
    <s v="16102023-A-017228"/>
    <d v="2023-09-17T00:00:00"/>
    <x v="0"/>
    <x v="0"/>
    <n v="91836"/>
    <x v="4"/>
    <x v="0"/>
    <n v="5201.009"/>
    <n v="1.75"/>
    <n v="0"/>
    <n v="0"/>
    <x v="0"/>
    <s v="Raw Cotton"/>
    <n v="46503601"/>
    <x v="0"/>
    <n v="8370648.1799999997"/>
    <x v="0"/>
    <m/>
    <m/>
    <x v="0"/>
    <x v="0"/>
    <x v="0"/>
    <x v="4"/>
    <x v="0"/>
    <x v="0"/>
    <m/>
    <x v="0"/>
    <x v="1"/>
    <x v="0"/>
    <x v="0"/>
    <x v="0"/>
    <x v="0"/>
    <n v="506.37659523498411"/>
    <n v="91.147787142297133"/>
    <n v="0"/>
    <d v="2023-10-21T00:00:00"/>
    <x v="0"/>
  </r>
  <r>
    <n v="82"/>
    <d v="2023-09-25T00:00:00"/>
    <s v="16102023-A-017233"/>
    <d v="2023-09-21T00:00:00"/>
    <x v="0"/>
    <x v="0"/>
    <n v="90565"/>
    <x v="4"/>
    <x v="0"/>
    <n v="5201.009"/>
    <n v="1.72"/>
    <n v="0"/>
    <n v="0"/>
    <x v="0"/>
    <s v="Raw Cotton"/>
    <n v="45253383"/>
    <x v="0"/>
    <n v="8145608.9399999995"/>
    <x v="0"/>
    <m/>
    <m/>
    <x v="0"/>
    <x v="0"/>
    <x v="0"/>
    <x v="4"/>
    <x v="0"/>
    <x v="0"/>
    <m/>
    <x v="0"/>
    <x v="1"/>
    <x v="0"/>
    <x v="0"/>
    <x v="0"/>
    <x v="0"/>
    <n v="499.6784961077679"/>
    <n v="89.942129299398218"/>
    <n v="0"/>
    <d v="2023-10-25T00:00:00"/>
    <x v="0"/>
  </r>
  <r>
    <n v="83"/>
    <d v="2023-09-29T00:00:00"/>
    <s v="16102023-A-017236"/>
    <d v="2023-09-25T00:00:00"/>
    <x v="0"/>
    <x v="0"/>
    <n v="30939"/>
    <x v="4"/>
    <x v="0"/>
    <n v="5201.009"/>
    <n v="1.72"/>
    <n v="0"/>
    <n v="0"/>
    <x v="0"/>
    <s v="Raw Cotton"/>
    <n v="15418106"/>
    <x v="0"/>
    <n v="2775259.08"/>
    <x v="0"/>
    <m/>
    <m/>
    <x v="0"/>
    <x v="0"/>
    <x v="0"/>
    <x v="4"/>
    <x v="0"/>
    <x v="0"/>
    <m/>
    <x v="0"/>
    <x v="1"/>
    <x v="0"/>
    <x v="0"/>
    <x v="0"/>
    <x v="0"/>
    <n v="498.3388603380846"/>
    <n v="89.700994860855232"/>
    <n v="0"/>
    <d v="2023-10-29T00:00:00"/>
    <x v="0"/>
  </r>
  <r>
    <n v="84"/>
    <d v="2023-09-26T00:00:00"/>
    <s v="16102023-A-017239"/>
    <d v="2023-09-22T00:00:00"/>
    <x v="0"/>
    <x v="0"/>
    <n v="31096"/>
    <x v="4"/>
    <x v="0"/>
    <n v="5201.009"/>
    <n v="1.8"/>
    <n v="0"/>
    <n v="0"/>
    <x v="0"/>
    <s v="Raw Cotton"/>
    <n v="16246168"/>
    <x v="0"/>
    <n v="2924310.2399999998"/>
    <x v="0"/>
    <m/>
    <m/>
    <x v="0"/>
    <x v="0"/>
    <x v="0"/>
    <x v="4"/>
    <x v="0"/>
    <x v="0"/>
    <m/>
    <x v="0"/>
    <x v="1"/>
    <x v="0"/>
    <x v="0"/>
    <x v="0"/>
    <x v="0"/>
    <n v="522.45201955235405"/>
    <n v="94.041363519423712"/>
    <n v="0"/>
    <d v="2023-10-26T00:00:00"/>
    <x v="0"/>
  </r>
  <r>
    <n v="85"/>
    <d v="2023-10-16T00:00:00"/>
    <s v="16102023-A-017243"/>
    <d v="2023-10-12T00:00:00"/>
    <x v="0"/>
    <x v="0"/>
    <n v="34955"/>
    <x v="4"/>
    <x v="0"/>
    <n v="5503.201"/>
    <n v="1.24"/>
    <n v="0"/>
    <n v="0"/>
    <x v="1"/>
    <s v="Polyester Staple Fiber"/>
    <n v="12583944"/>
    <x v="0"/>
    <n v="2265109.92"/>
    <x v="0"/>
    <m/>
    <m/>
    <x v="0"/>
    <x v="0"/>
    <x v="0"/>
    <x v="5"/>
    <x v="0"/>
    <x v="0"/>
    <m/>
    <x v="0"/>
    <x v="1"/>
    <x v="0"/>
    <x v="0"/>
    <x v="0"/>
    <x v="1"/>
    <n v="360.00411958232013"/>
    <n v="64.800741524817624"/>
    <n v="0"/>
    <d v="2023-11-15T00:00:00"/>
    <x v="0"/>
  </r>
  <r>
    <n v="86"/>
    <d v="2023-10-16T00:00:00"/>
    <s v="16102023-A-017246"/>
    <d v="2023-10-12T00:00:00"/>
    <x v="0"/>
    <x v="0"/>
    <n v="35003"/>
    <x v="4"/>
    <x v="0"/>
    <n v="5503.201"/>
    <n v="1.24"/>
    <n v="0"/>
    <n v="0"/>
    <x v="1"/>
    <s v="Polyester Staple Fiber"/>
    <n v="12601152"/>
    <x v="0"/>
    <n v="2268207.36"/>
    <x v="0"/>
    <m/>
    <m/>
    <x v="0"/>
    <x v="0"/>
    <x v="0"/>
    <x v="5"/>
    <x v="0"/>
    <x v="0"/>
    <m/>
    <x v="0"/>
    <x v="1"/>
    <x v="0"/>
    <x v="0"/>
    <x v="0"/>
    <x v="1"/>
    <n v="360.00205696654575"/>
    <n v="64.80037025397823"/>
    <n v="0"/>
    <d v="2023-11-15T00:00:00"/>
    <x v="0"/>
  </r>
  <r>
    <n v="87"/>
    <d v="2023-10-16T00:00:00"/>
    <s v="16102023-A-017250"/>
    <d v="2023-10-12T00:00:00"/>
    <x v="0"/>
    <x v="0"/>
    <n v="34843"/>
    <x v="4"/>
    <x v="0"/>
    <n v="5503.201"/>
    <n v="1.24"/>
    <n v="0"/>
    <n v="0"/>
    <x v="1"/>
    <s v="Polyester Staple Fiber"/>
    <n v="12543480"/>
    <x v="0"/>
    <n v="2257826.4"/>
    <x v="0"/>
    <m/>
    <m/>
    <x v="0"/>
    <x v="0"/>
    <x v="0"/>
    <x v="5"/>
    <x v="0"/>
    <x v="0"/>
    <m/>
    <x v="0"/>
    <x v="1"/>
    <x v="0"/>
    <x v="0"/>
    <x v="0"/>
    <x v="1"/>
    <n v="360"/>
    <n v="64.8"/>
    <n v="0"/>
    <d v="2023-11-15T00:00:00"/>
    <x v="0"/>
  </r>
  <r>
    <n v="88"/>
    <d v="2023-09-27T00:00:00"/>
    <s v="16102023-A-017254"/>
    <d v="2023-09-23T00:00:00"/>
    <x v="0"/>
    <x v="0"/>
    <n v="9600"/>
    <x v="4"/>
    <x v="0"/>
    <n v="5205.2299999999996"/>
    <n v="1.54"/>
    <n v="0"/>
    <n v="0"/>
    <x v="10"/>
    <s v="30/1 Cotton Yarn ( 24500 LBS)"/>
    <n v="4284300"/>
    <x v="0"/>
    <n v="771174"/>
    <x v="0"/>
    <m/>
    <m/>
    <x v="0"/>
    <x v="0"/>
    <x v="0"/>
    <x v="4"/>
    <x v="0"/>
    <x v="0"/>
    <m/>
    <x v="0"/>
    <x v="1"/>
    <x v="0"/>
    <x v="0"/>
    <x v="0"/>
    <x v="3"/>
    <n v="446.28125"/>
    <n v="80.330624999999998"/>
    <n v="0"/>
    <d v="2023-10-27T00:00:00"/>
    <x v="0"/>
  </r>
  <r>
    <n v="89"/>
    <d v="2023-10-06T00:00:00"/>
    <s v="18102023-A-018016"/>
    <d v="2023-10-02T00:00:00"/>
    <x v="0"/>
    <x v="0"/>
    <n v="7000"/>
    <x v="4"/>
    <x v="0"/>
    <n v="1108.1199999999999"/>
    <n v="0.35"/>
    <n v="0"/>
    <n v="0"/>
    <x v="12"/>
    <s v="Maize Starch (Coratex S)"/>
    <n v="714000"/>
    <x v="0"/>
    <n v="128520"/>
    <x v="0"/>
    <m/>
    <m/>
    <x v="0"/>
    <x v="0"/>
    <x v="0"/>
    <x v="4"/>
    <x v="0"/>
    <x v="0"/>
    <m/>
    <x v="0"/>
    <x v="1"/>
    <x v="0"/>
    <x v="0"/>
    <x v="0"/>
    <x v="5"/>
    <n v="102"/>
    <n v="18.36"/>
    <n v="0"/>
    <d v="2023-11-05T00:00:00"/>
    <x v="0"/>
  </r>
  <r>
    <n v="90"/>
    <d v="2023-10-06T00:00:00"/>
    <s v="18102023-A-018020"/>
    <d v="2023-10-02T00:00:00"/>
    <x v="0"/>
    <x v="0"/>
    <n v="30000"/>
    <x v="4"/>
    <x v="0"/>
    <n v="1108.1199999999999"/>
    <n v="0.35"/>
    <n v="0"/>
    <n v="0"/>
    <x v="12"/>
    <s v="Maize Starch (Coratex S)"/>
    <n v="3060000"/>
    <x v="0"/>
    <n v="550800"/>
    <x v="0"/>
    <m/>
    <m/>
    <x v="0"/>
    <x v="0"/>
    <x v="0"/>
    <x v="4"/>
    <x v="0"/>
    <x v="0"/>
    <m/>
    <x v="0"/>
    <x v="1"/>
    <x v="0"/>
    <x v="0"/>
    <x v="0"/>
    <x v="5"/>
    <n v="102"/>
    <n v="18.36"/>
    <n v="0"/>
    <d v="2023-11-05T00:00:00"/>
    <x v="0"/>
  </r>
  <r>
    <n v="91"/>
    <d v="2023-10-06T00:00:00"/>
    <s v="18102023-A-018022"/>
    <d v="2023-10-02T00:00:00"/>
    <x v="0"/>
    <x v="0"/>
    <n v="23000"/>
    <x v="4"/>
    <x v="0"/>
    <n v="1108.1199999999999"/>
    <n v="0.35"/>
    <n v="0"/>
    <n v="0"/>
    <x v="12"/>
    <s v="Maize Starch (Coratex S)"/>
    <n v="2346000"/>
    <x v="0"/>
    <n v="422280"/>
    <x v="0"/>
    <m/>
    <m/>
    <x v="0"/>
    <x v="0"/>
    <x v="0"/>
    <x v="4"/>
    <x v="0"/>
    <x v="0"/>
    <m/>
    <x v="0"/>
    <x v="1"/>
    <x v="0"/>
    <x v="0"/>
    <x v="0"/>
    <x v="5"/>
    <n v="102"/>
    <n v="18.36"/>
    <n v="0"/>
    <d v="2023-11-05T00:00:00"/>
    <x v="0"/>
  </r>
  <r>
    <n v="92"/>
    <d v="2023-10-01T00:00:00"/>
    <s v="24102023-A-019228"/>
    <d v="2023-10-24T00:00:00"/>
    <x v="0"/>
    <x v="0"/>
    <n v="30366"/>
    <x v="4"/>
    <x v="0"/>
    <n v="5201.009"/>
    <n v="1.76"/>
    <n v="0"/>
    <n v="0"/>
    <x v="0"/>
    <s v="Raw Cotton"/>
    <n v="15457989"/>
    <x v="0"/>
    <n v="2782438.02"/>
    <x v="0"/>
    <m/>
    <m/>
    <x v="0"/>
    <x v="0"/>
    <x v="0"/>
    <x v="4"/>
    <x v="0"/>
    <x v="0"/>
    <m/>
    <x v="0"/>
    <x v="1"/>
    <x v="0"/>
    <x v="0"/>
    <x v="0"/>
    <x v="0"/>
    <n v="509.05581900810114"/>
    <n v="91.630047421458215"/>
    <n v="0"/>
    <d v="2023-10-31T00:00:00"/>
    <x v="0"/>
  </r>
  <r>
    <n v="93"/>
    <d v="2023-10-01T00:00:00"/>
    <s v="24102023-A-019233"/>
    <d v="2023-10-26T00:00:00"/>
    <x v="0"/>
    <x v="0"/>
    <n v="11113"/>
    <x v="4"/>
    <x v="0"/>
    <n v="5205.2299999999996"/>
    <n v="3.32"/>
    <n v="0"/>
    <n v="0"/>
    <x v="10"/>
    <s v="30/1 Cotton Yarn ( 24500 LBS)"/>
    <n v="10706500"/>
    <x v="0"/>
    <n v="1927170"/>
    <x v="0"/>
    <m/>
    <m/>
    <x v="0"/>
    <x v="0"/>
    <x v="0"/>
    <x v="4"/>
    <x v="0"/>
    <x v="0"/>
    <m/>
    <x v="0"/>
    <x v="1"/>
    <x v="0"/>
    <x v="0"/>
    <x v="0"/>
    <x v="3"/>
    <n v="963.42121839287324"/>
    <n v="173.41581931071718"/>
    <n v="0"/>
    <d v="2023-10-31T00:00:00"/>
    <x v="0"/>
  </r>
  <r>
    <n v="94"/>
    <d v="2023-10-01T00:00:00"/>
    <s v="26102023-A-019917"/>
    <d v="2023-10-26T00:00:00"/>
    <x v="0"/>
    <x v="0"/>
    <n v="12804"/>
    <x v="4"/>
    <x v="0"/>
    <n v="5505.1"/>
    <n v="1.56"/>
    <n v="0"/>
    <n v="0"/>
    <x v="20"/>
    <s v="Comber Noil"/>
    <n v="5787408"/>
    <x v="0"/>
    <n v="1041733.44"/>
    <x v="0"/>
    <m/>
    <m/>
    <x v="0"/>
    <x v="0"/>
    <x v="0"/>
    <x v="4"/>
    <x v="0"/>
    <x v="0"/>
    <m/>
    <x v="0"/>
    <x v="1"/>
    <x v="0"/>
    <x v="0"/>
    <x v="0"/>
    <x v="9"/>
    <n v="452"/>
    <n v="81.36"/>
    <n v="0"/>
    <d v="2023-10-31T00:00:00"/>
    <x v="0"/>
  </r>
  <r>
    <n v="95"/>
    <d v="2023-10-01T00:00:00"/>
    <s v="26102023-A-019921"/>
    <d v="2023-10-26T00:00:00"/>
    <x v="0"/>
    <x v="0"/>
    <n v="12130"/>
    <x v="4"/>
    <x v="0"/>
    <n v="5505.1"/>
    <n v="1.56"/>
    <n v="0"/>
    <n v="0"/>
    <x v="20"/>
    <s v="Comber Noil"/>
    <n v="5482760"/>
    <x v="0"/>
    <n v="986896.79999999993"/>
    <x v="0"/>
    <m/>
    <m/>
    <x v="0"/>
    <x v="0"/>
    <x v="0"/>
    <x v="4"/>
    <x v="0"/>
    <x v="0"/>
    <m/>
    <x v="0"/>
    <x v="1"/>
    <x v="0"/>
    <x v="0"/>
    <x v="0"/>
    <x v="9"/>
    <n v="452"/>
    <n v="81.36"/>
    <n v="0"/>
    <d v="2023-10-31T00:00:00"/>
    <x v="0"/>
  </r>
  <r>
    <n v="96"/>
    <d v="2023-10-01T00:00:00"/>
    <s v="26102023-A-019923"/>
    <d v="2023-10-26T00:00:00"/>
    <x v="0"/>
    <x v="0"/>
    <n v="11750"/>
    <x v="4"/>
    <x v="0"/>
    <n v="5505.1"/>
    <n v="1.56"/>
    <n v="0"/>
    <n v="0"/>
    <x v="20"/>
    <s v="Comber Noil"/>
    <n v="5311000"/>
    <x v="0"/>
    <n v="955980"/>
    <x v="0"/>
    <m/>
    <m/>
    <x v="0"/>
    <x v="0"/>
    <x v="0"/>
    <x v="4"/>
    <x v="0"/>
    <x v="0"/>
    <m/>
    <x v="0"/>
    <x v="1"/>
    <x v="0"/>
    <x v="0"/>
    <x v="0"/>
    <x v="9"/>
    <n v="452"/>
    <n v="81.36"/>
    <n v="0"/>
    <d v="2023-10-31T00:00:00"/>
    <x v="0"/>
  </r>
  <r>
    <n v="97"/>
    <d v="2023-10-02T00:00:00"/>
    <s v="26102023-A-019927"/>
    <d v="2023-10-26T00:00:00"/>
    <x v="0"/>
    <x v="0"/>
    <n v="11426"/>
    <x v="4"/>
    <x v="0"/>
    <n v="5505.1"/>
    <n v="1.56"/>
    <n v="0"/>
    <n v="0"/>
    <x v="20"/>
    <s v="Comber Noil"/>
    <n v="5164552"/>
    <x v="0"/>
    <n v="929619.36"/>
    <x v="0"/>
    <m/>
    <m/>
    <x v="0"/>
    <x v="0"/>
    <x v="0"/>
    <x v="4"/>
    <x v="0"/>
    <x v="0"/>
    <m/>
    <x v="0"/>
    <x v="1"/>
    <x v="0"/>
    <x v="0"/>
    <x v="0"/>
    <x v="9"/>
    <n v="452"/>
    <n v="81.36"/>
    <n v="0"/>
    <d v="2023-11-01T00:00:00"/>
    <x v="0"/>
  </r>
  <r>
    <n v="98"/>
    <d v="2023-10-03T00:00:00"/>
    <s v="26102023-A-019930"/>
    <d v="2023-10-26T00:00:00"/>
    <x v="0"/>
    <x v="0"/>
    <n v="11870"/>
    <x v="4"/>
    <x v="0"/>
    <n v="5505.1"/>
    <n v="1.56"/>
    <n v="0"/>
    <n v="0"/>
    <x v="20"/>
    <s v="Comber Noil"/>
    <n v="5365240"/>
    <x v="0"/>
    <n v="965743.2"/>
    <x v="0"/>
    <m/>
    <m/>
    <x v="0"/>
    <x v="0"/>
    <x v="0"/>
    <x v="4"/>
    <x v="0"/>
    <x v="0"/>
    <m/>
    <x v="0"/>
    <x v="1"/>
    <x v="0"/>
    <x v="0"/>
    <x v="0"/>
    <x v="9"/>
    <n v="452"/>
    <n v="81.36"/>
    <n v="0"/>
    <d v="2023-11-02T00:00:00"/>
    <x v="0"/>
  </r>
  <r>
    <n v="99"/>
    <d v="2023-10-01T00:00:00"/>
    <s v="30102023-A-020733"/>
    <d v="2023-10-30T00:00:00"/>
    <x v="0"/>
    <x v="0"/>
    <n v="2540"/>
    <x v="4"/>
    <x v="0"/>
    <n v="5206.24"/>
    <n v="4.5599999999999996"/>
    <n v="0"/>
    <n v="0"/>
    <x v="3"/>
    <s v="CVC60:40 - 40/1 (5600 LBS)"/>
    <n v="3360000"/>
    <x v="0"/>
    <n v="604800"/>
    <x v="0"/>
    <m/>
    <m/>
    <x v="0"/>
    <x v="0"/>
    <x v="0"/>
    <x v="4"/>
    <x v="0"/>
    <x v="0"/>
    <m/>
    <x v="0"/>
    <x v="1"/>
    <x v="0"/>
    <x v="0"/>
    <x v="0"/>
    <x v="3"/>
    <n v="1322.8346456692914"/>
    <n v="238.11023622047244"/>
    <n v="0"/>
    <d v="2023-10-31T00:00:00"/>
    <x v="0"/>
  </r>
  <r>
    <n v="100"/>
    <d v="2023-10-01T00:00:00"/>
    <s v="30102023-A-020740"/>
    <d v="2023-10-30T00:00:00"/>
    <x v="0"/>
    <x v="0"/>
    <n v="454"/>
    <x v="4"/>
    <x v="0"/>
    <n v="5205.22"/>
    <n v="3.11"/>
    <n v="0"/>
    <n v="0"/>
    <x v="10"/>
    <s v="24/1 Cotton Yarn (1000 LBS)"/>
    <n v="410000"/>
    <x v="0"/>
    <n v="73800"/>
    <x v="0"/>
    <m/>
    <m/>
    <x v="0"/>
    <x v="0"/>
    <x v="0"/>
    <x v="0"/>
    <x v="0"/>
    <x v="0"/>
    <m/>
    <x v="0"/>
    <x v="1"/>
    <x v="0"/>
    <x v="0"/>
    <x v="0"/>
    <x v="3"/>
    <n v="903.08370044052867"/>
    <n v="162.55506607929516"/>
    <n v="0"/>
    <d v="2023-10-31T00:00:00"/>
    <x v="0"/>
  </r>
  <r>
    <n v="101"/>
    <d v="2023-10-01T00:00:00"/>
    <s v="30102023-A-020742"/>
    <d v="2023-10-30T00:00:00"/>
    <x v="0"/>
    <x v="0"/>
    <n v="8165"/>
    <x v="4"/>
    <x v="0"/>
    <n v="5402.39"/>
    <n v="2.6"/>
    <n v="0"/>
    <n v="0"/>
    <x v="3"/>
    <s v="PC52:48 - 30/1 (18000 LBS)"/>
    <n v="6156000"/>
    <x v="0"/>
    <n v="1108080"/>
    <x v="0"/>
    <m/>
    <m/>
    <x v="0"/>
    <x v="0"/>
    <x v="0"/>
    <x v="4"/>
    <x v="0"/>
    <x v="0"/>
    <m/>
    <x v="0"/>
    <x v="1"/>
    <x v="0"/>
    <x v="0"/>
    <x v="0"/>
    <x v="3"/>
    <n v="753.949785670545"/>
    <n v="135.71096142069811"/>
    <n v="0"/>
    <d v="2023-10-31T00:00:00"/>
    <x v="0"/>
  </r>
  <r>
    <n v="102"/>
    <d v="2023-10-01T00:00:00"/>
    <s v="30102023-A-020745"/>
    <d v="2023-10-30T00:00:00"/>
    <x v="0"/>
    <x v="0"/>
    <n v="1452"/>
    <x v="4"/>
    <x v="0"/>
    <n v="5205.12"/>
    <n v="3.08"/>
    <n v="0"/>
    <n v="0"/>
    <x v="10"/>
    <s v="22/1 Cotton Yarn ( 3200 LBS)"/>
    <n v="1296000"/>
    <x v="0"/>
    <n v="233280"/>
    <x v="0"/>
    <m/>
    <m/>
    <x v="0"/>
    <x v="0"/>
    <x v="0"/>
    <x v="4"/>
    <x v="0"/>
    <x v="0"/>
    <m/>
    <x v="0"/>
    <x v="1"/>
    <x v="0"/>
    <x v="0"/>
    <x v="0"/>
    <x v="3"/>
    <n v="892.56198347107443"/>
    <n v="160.6611570247934"/>
    <n v="0"/>
    <d v="2023-10-31T00:00:00"/>
    <x v="0"/>
  </r>
  <r>
    <n v="103"/>
    <d v="2023-10-05T00:00:00"/>
    <s v="30102023-A-020748"/>
    <d v="2023-10-30T00:00:00"/>
    <x v="0"/>
    <x v="0"/>
    <n v="6350"/>
    <x v="4"/>
    <x v="0"/>
    <n v="5402.39"/>
    <n v="2.6"/>
    <n v="0"/>
    <n v="0"/>
    <x v="3"/>
    <s v="PC52:48 - 30/1 (14000 LBS)"/>
    <n v="4788000"/>
    <x v="0"/>
    <n v="861840"/>
    <x v="0"/>
    <m/>
    <m/>
    <x v="0"/>
    <x v="0"/>
    <x v="0"/>
    <x v="4"/>
    <x v="0"/>
    <x v="0"/>
    <m/>
    <x v="0"/>
    <x v="1"/>
    <x v="0"/>
    <x v="0"/>
    <x v="0"/>
    <x v="3"/>
    <n v="754.01574803149606"/>
    <n v="135.72283464566928"/>
    <n v="0"/>
    <d v="2023-11-04T00:00:00"/>
    <x v="0"/>
  </r>
  <r>
    <n v="104"/>
    <d v="2023-10-01T00:00:00"/>
    <s v="30102023-A-020760"/>
    <d v="2023-10-30T00:00:00"/>
    <x v="0"/>
    <x v="0"/>
    <n v="4128"/>
    <x v="4"/>
    <x v="0"/>
    <n v="5205.13"/>
    <n v="3.15"/>
    <n v="0"/>
    <n v="0"/>
    <x v="10"/>
    <s v="30/1 Cotton Yarn ( 9100 LBS)"/>
    <n v="3776500"/>
    <x v="0"/>
    <n v="679770"/>
    <x v="0"/>
    <m/>
    <m/>
    <x v="0"/>
    <x v="0"/>
    <x v="0"/>
    <x v="4"/>
    <x v="0"/>
    <x v="0"/>
    <m/>
    <x v="0"/>
    <x v="1"/>
    <x v="0"/>
    <x v="0"/>
    <x v="0"/>
    <x v="3"/>
    <n v="914.84980620155034"/>
    <n v="164.67296511627907"/>
    <n v="0"/>
    <d v="2023-10-31T00:00:00"/>
    <x v="0"/>
  </r>
  <r>
    <n v="105"/>
    <d v="2023-10-01T00:00:00"/>
    <s v="30102023-A-020762"/>
    <d v="2023-10-30T00:00:00"/>
    <x v="0"/>
    <x v="0"/>
    <n v="11340"/>
    <x v="4"/>
    <x v="0"/>
    <n v="5402.39"/>
    <n v="2.42"/>
    <n v="0"/>
    <n v="0"/>
    <x v="3"/>
    <s v="PC52:48 - 24/1 ( 25000 LBS"/>
    <n v="7950000"/>
    <x v="0"/>
    <n v="1431000"/>
    <x v="0"/>
    <m/>
    <m/>
    <x v="0"/>
    <x v="0"/>
    <x v="0"/>
    <x v="4"/>
    <x v="0"/>
    <x v="0"/>
    <m/>
    <x v="0"/>
    <x v="1"/>
    <x v="0"/>
    <x v="0"/>
    <x v="0"/>
    <x v="3"/>
    <n v="701.05820105820101"/>
    <n v="126.19047619047619"/>
    <n v="0"/>
    <d v="2023-10-31T00:00:00"/>
    <x v="0"/>
  </r>
  <r>
    <n v="106"/>
    <d v="2023-10-01T00:00:00"/>
    <s v="30102023-A-020769"/>
    <d v="2023-10-30T00:00:00"/>
    <x v="0"/>
    <x v="0"/>
    <n v="2268"/>
    <x v="4"/>
    <x v="0"/>
    <n v="5402.39"/>
    <n v="2.42"/>
    <n v="0"/>
    <n v="0"/>
    <x v="3"/>
    <s v="PC52:48 - 24/1 ( 5000 LBS"/>
    <n v="1590000"/>
    <x v="0"/>
    <n v="286200"/>
    <x v="0"/>
    <m/>
    <m/>
    <x v="0"/>
    <x v="0"/>
    <x v="0"/>
    <x v="4"/>
    <x v="0"/>
    <x v="0"/>
    <m/>
    <x v="0"/>
    <x v="1"/>
    <x v="0"/>
    <x v="0"/>
    <x v="0"/>
    <x v="3"/>
    <n v="701.05820105820101"/>
    <n v="126.19047619047619"/>
    <n v="0"/>
    <d v="2023-10-31T00:00:00"/>
    <x v="0"/>
  </r>
  <r>
    <n v="107"/>
    <d v="2023-10-01T00:00:00"/>
    <s v="30102023-A-020770"/>
    <d v="2023-10-30T00:00:00"/>
    <x v="0"/>
    <x v="0"/>
    <n v="9072"/>
    <x v="4"/>
    <x v="0"/>
    <n v="5206.24"/>
    <n v="2.61"/>
    <n v="0"/>
    <n v="0"/>
    <x v="3"/>
    <s v="CVC60:40 - 24/1 20000 ( LBS"/>
    <n v="6860000"/>
    <x v="0"/>
    <n v="1234800"/>
    <x v="0"/>
    <m/>
    <m/>
    <x v="0"/>
    <x v="0"/>
    <x v="0"/>
    <x v="4"/>
    <x v="0"/>
    <x v="0"/>
    <m/>
    <x v="0"/>
    <x v="1"/>
    <x v="0"/>
    <x v="0"/>
    <x v="0"/>
    <x v="3"/>
    <n v="756.17283950617286"/>
    <n v="136.11111111111111"/>
    <n v="0"/>
    <d v="2023-10-31T00:00:00"/>
    <x v="0"/>
  </r>
  <r>
    <n v="108"/>
    <d v="2023-10-09T00:00:00"/>
    <s v="30102023-A-020773"/>
    <d v="2023-10-30T00:00:00"/>
    <x v="0"/>
    <x v="0"/>
    <n v="3175"/>
    <x v="4"/>
    <x v="0"/>
    <n v="5402.39"/>
    <n v="2.42"/>
    <n v="0"/>
    <n v="0"/>
    <x v="3"/>
    <s v="PC52:48 - 24/1 7000 LBS)"/>
    <n v="2226000"/>
    <x v="0"/>
    <n v="400680"/>
    <x v="0"/>
    <m/>
    <m/>
    <x v="0"/>
    <x v="0"/>
    <x v="0"/>
    <x v="4"/>
    <x v="0"/>
    <x v="0"/>
    <m/>
    <x v="0"/>
    <x v="1"/>
    <x v="0"/>
    <x v="0"/>
    <x v="0"/>
    <x v="3"/>
    <n v="701.10236220472439"/>
    <n v="126.19842519685039"/>
    <n v="0"/>
    <d v="2023-11-08T00:00:00"/>
    <x v="0"/>
  </r>
  <r>
    <n v="109"/>
    <d v="2023-11-01T00:00:00"/>
    <s v="17112023-A-026220"/>
    <d v="2023-11-17T00:00:00"/>
    <x v="0"/>
    <x v="0"/>
    <n v="64115"/>
    <x v="4"/>
    <x v="0"/>
    <n v="5201.009"/>
    <n v="1.52"/>
    <n v="0"/>
    <n v="0"/>
    <x v="0"/>
    <s v="Raw Cotton"/>
    <n v="28171847"/>
    <x v="0"/>
    <n v="5070932.46"/>
    <x v="0"/>
    <m/>
    <m/>
    <x v="0"/>
    <x v="0"/>
    <x v="0"/>
    <x v="6"/>
    <x v="0"/>
    <x v="0"/>
    <m/>
    <x v="0"/>
    <x v="1"/>
    <x v="0"/>
    <x v="0"/>
    <x v="0"/>
    <x v="0"/>
    <n v="439.39557045933088"/>
    <n v="79.091202682679565"/>
    <n v="0"/>
    <d v="2023-12-01T00:00:00"/>
    <x v="0"/>
  </r>
  <r>
    <n v="110"/>
    <d v="2023-11-01T00:00:00"/>
    <s v="17112023-A-026235"/>
    <d v="2023-11-17T00:00:00"/>
    <x v="0"/>
    <x v="0"/>
    <n v="33332"/>
    <x v="4"/>
    <x v="0"/>
    <n v="5201.009"/>
    <n v="1.52"/>
    <n v="0"/>
    <n v="0"/>
    <x v="0"/>
    <s v="Raw Cotton"/>
    <n v="14645933"/>
    <x v="0"/>
    <n v="2636267.94"/>
    <x v="0"/>
    <m/>
    <m/>
    <x v="0"/>
    <x v="0"/>
    <x v="0"/>
    <x v="4"/>
    <x v="0"/>
    <x v="0"/>
    <m/>
    <x v="0"/>
    <x v="1"/>
    <x v="0"/>
    <x v="0"/>
    <x v="0"/>
    <x v="0"/>
    <n v="439.39556582263293"/>
    <n v="79.091201848073922"/>
    <n v="0"/>
    <d v="2023-12-01T00:00:00"/>
    <x v="0"/>
  </r>
  <r>
    <n v="111"/>
    <d v="2023-11-01T00:00:00"/>
    <s v="17112023-A-026240"/>
    <d v="2023-11-17T00:00:00"/>
    <x v="0"/>
    <x v="0"/>
    <n v="31353"/>
    <x v="4"/>
    <x v="0"/>
    <n v="5201.009"/>
    <n v="1.48"/>
    <n v="0"/>
    <n v="0"/>
    <x v="0"/>
    <s v="Raw Cotton"/>
    <n v="13440360"/>
    <x v="0"/>
    <n v="2419264.7999999998"/>
    <x v="0"/>
    <m/>
    <m/>
    <x v="0"/>
    <x v="0"/>
    <x v="0"/>
    <x v="4"/>
    <x v="0"/>
    <x v="0"/>
    <m/>
    <x v="0"/>
    <x v="1"/>
    <x v="0"/>
    <x v="0"/>
    <x v="0"/>
    <x v="0"/>
    <n v="428.67859534972729"/>
    <n v="77.162147162950902"/>
    <n v="0"/>
    <d v="2023-12-01T00:00:00"/>
    <x v="0"/>
  </r>
  <r>
    <n v="112"/>
    <d v="2023-11-01T00:00:00"/>
    <s v="17112023-A-026245"/>
    <d v="2023-11-17T00:00:00"/>
    <x v="0"/>
    <x v="0"/>
    <n v="33500"/>
    <x v="4"/>
    <x v="0"/>
    <n v="5201.009"/>
    <n v="1.52"/>
    <n v="0"/>
    <n v="0"/>
    <x v="0"/>
    <s v="Raw Cotton"/>
    <n v="14719751"/>
    <x v="0"/>
    <n v="2649555.1799999997"/>
    <x v="0"/>
    <m/>
    <m/>
    <x v="0"/>
    <x v="0"/>
    <x v="0"/>
    <x v="4"/>
    <x v="0"/>
    <x v="0"/>
    <m/>
    <x v="0"/>
    <x v="1"/>
    <x v="0"/>
    <x v="0"/>
    <x v="0"/>
    <x v="0"/>
    <n v="439.39555223880598"/>
    <n v="79.091199402985069"/>
    <n v="0"/>
    <d v="2023-12-01T00:00:00"/>
    <x v="0"/>
  </r>
  <r>
    <n v="113"/>
    <d v="2023-11-01T00:00:00"/>
    <s v="17112023-A-026250"/>
    <d v="2023-11-17T00:00:00"/>
    <x v="0"/>
    <x v="0"/>
    <n v="29076"/>
    <x v="4"/>
    <x v="0"/>
    <n v="5201.009"/>
    <n v="1.61"/>
    <n v="0"/>
    <n v="0"/>
    <x v="0"/>
    <s v="Raw Cotton"/>
    <n v="13593832"/>
    <x v="0"/>
    <n v="2446889.7599999998"/>
    <x v="0"/>
    <m/>
    <m/>
    <x v="0"/>
    <x v="0"/>
    <x v="0"/>
    <x v="4"/>
    <x v="0"/>
    <x v="0"/>
    <m/>
    <x v="0"/>
    <x v="1"/>
    <x v="0"/>
    <x v="0"/>
    <x v="0"/>
    <x v="0"/>
    <n v="467.5275828862292"/>
    <n v="84.154964919521248"/>
    <n v="0"/>
    <d v="2023-12-01T00:00:00"/>
    <x v="0"/>
  </r>
  <r>
    <n v="114"/>
    <d v="2023-11-01T00:00:00"/>
    <s v="17112023-A-026264"/>
    <d v="2023-11-17T00:00:00"/>
    <x v="0"/>
    <x v="0"/>
    <n v="31681"/>
    <x v="4"/>
    <x v="0"/>
    <n v="5201.009"/>
    <n v="1.5"/>
    <n v="0"/>
    <n v="0"/>
    <x v="0"/>
    <s v="Raw Cotton"/>
    <n v="13750729"/>
    <x v="0"/>
    <n v="2475131.2199999997"/>
    <x v="0"/>
    <m/>
    <m/>
    <x v="0"/>
    <x v="0"/>
    <x v="0"/>
    <x v="4"/>
    <x v="0"/>
    <x v="0"/>
    <m/>
    <x v="0"/>
    <x v="1"/>
    <x v="0"/>
    <x v="0"/>
    <x v="0"/>
    <x v="0"/>
    <n v="434.03708847574256"/>
    <n v="78.126675925633648"/>
    <n v="0"/>
    <d v="2023-12-01T00:00:00"/>
    <x v="0"/>
  </r>
  <r>
    <n v="115"/>
    <d v="2023-11-01T00:00:00"/>
    <s v="17112023-A-026268"/>
    <d v="2023-11-17T00:00:00"/>
    <x v="0"/>
    <x v="0"/>
    <n v="27672"/>
    <x v="4"/>
    <x v="0"/>
    <n v="5201.009"/>
    <n v="1.72"/>
    <n v="0"/>
    <n v="0"/>
    <x v="0"/>
    <s v="Raw Cotton"/>
    <n v="13790033"/>
    <x v="0"/>
    <n v="2482205.94"/>
    <x v="0"/>
    <m/>
    <m/>
    <x v="0"/>
    <x v="0"/>
    <x v="0"/>
    <x v="4"/>
    <x v="0"/>
    <x v="0"/>
    <m/>
    <x v="0"/>
    <x v="1"/>
    <x v="0"/>
    <x v="0"/>
    <x v="0"/>
    <x v="0"/>
    <n v="498.33886238797339"/>
    <n v="89.700995229835215"/>
    <n v="0"/>
    <d v="2023-12-01T00:00:00"/>
    <x v="0"/>
  </r>
  <r>
    <n v="116"/>
    <d v="2023-11-01T00:00:00"/>
    <s v="17112023-A-026276"/>
    <d v="2023-11-17T00:00:00"/>
    <x v="0"/>
    <x v="0"/>
    <n v="31471"/>
    <x v="4"/>
    <x v="0"/>
    <n v="5201.009"/>
    <n v="1.61"/>
    <n v="0"/>
    <n v="0"/>
    <x v="0"/>
    <s v="Raw Cotton"/>
    <n v="14713561"/>
    <x v="0"/>
    <n v="2648440.98"/>
    <x v="0"/>
    <m/>
    <m/>
    <x v="0"/>
    <x v="0"/>
    <x v="0"/>
    <x v="4"/>
    <x v="0"/>
    <x v="0"/>
    <m/>
    <x v="0"/>
    <x v="1"/>
    <x v="0"/>
    <x v="0"/>
    <x v="0"/>
    <x v="0"/>
    <n v="467.52759683518161"/>
    <n v="84.15496743033269"/>
    <n v="0"/>
    <d v="2023-12-01T00:00:00"/>
    <x v="0"/>
  </r>
  <r>
    <n v="117"/>
    <d v="2023-11-01T00:00:00"/>
    <s v="17112023-A-026280"/>
    <d v="2023-11-17T00:00:00"/>
    <x v="0"/>
    <x v="0"/>
    <n v="153145"/>
    <x v="4"/>
    <x v="0"/>
    <n v="5201.009"/>
    <n v="1.65"/>
    <n v="0"/>
    <n v="0"/>
    <x v="0"/>
    <s v="Raw Cotton"/>
    <n v="73445920"/>
    <x v="0"/>
    <n v="13220265.6"/>
    <x v="0"/>
    <m/>
    <m/>
    <x v="0"/>
    <x v="0"/>
    <x v="0"/>
    <x v="0"/>
    <x v="0"/>
    <x v="0"/>
    <m/>
    <x v="0"/>
    <x v="1"/>
    <x v="0"/>
    <x v="0"/>
    <x v="0"/>
    <x v="0"/>
    <n v="479.5841849227856"/>
    <n v="86.325153286101411"/>
    <n v="0"/>
    <d v="2023-12-01T00:00:00"/>
    <x v="0"/>
  </r>
  <r>
    <n v="118"/>
    <d v="2023-11-01T00:00:00"/>
    <s v="17112023-A-026284"/>
    <d v="2023-11-17T00:00:00"/>
    <x v="0"/>
    <x v="0"/>
    <n v="31070"/>
    <x v="4"/>
    <x v="0"/>
    <n v="5201.009"/>
    <n v="1.6"/>
    <n v="0"/>
    <n v="0"/>
    <x v="0"/>
    <s v="Raw Cotton"/>
    <n v="14401216"/>
    <x v="0"/>
    <n v="2592218.88"/>
    <x v="0"/>
    <m/>
    <m/>
    <x v="0"/>
    <x v="0"/>
    <x v="0"/>
    <x v="4"/>
    <x v="0"/>
    <x v="0"/>
    <m/>
    <x v="0"/>
    <x v="1"/>
    <x v="0"/>
    <x v="0"/>
    <x v="0"/>
    <x v="0"/>
    <n v="463.508722240103"/>
    <n v="83.431570003218539"/>
    <n v="0"/>
    <d v="2023-12-01T00:00:00"/>
    <x v="0"/>
  </r>
  <r>
    <n v="119"/>
    <d v="2023-11-01T00:00:00"/>
    <s v="17112023-A-026287"/>
    <d v="2023-11-17T00:00:00"/>
    <x v="0"/>
    <x v="0"/>
    <n v="152492"/>
    <x v="4"/>
    <x v="0"/>
    <n v="5201.009"/>
    <n v="1.65"/>
    <n v="0"/>
    <n v="0"/>
    <x v="0"/>
    <s v="Raw Cotton"/>
    <n v="73132751"/>
    <x v="0"/>
    <n v="13163895.18"/>
    <x v="0"/>
    <m/>
    <m/>
    <x v="0"/>
    <x v="0"/>
    <x v="0"/>
    <x v="0"/>
    <x v="0"/>
    <x v="0"/>
    <m/>
    <x v="0"/>
    <x v="1"/>
    <x v="0"/>
    <x v="0"/>
    <x v="0"/>
    <x v="0"/>
    <n v="479.58418146525719"/>
    <n v="86.325152663746294"/>
    <n v="0"/>
    <d v="2023-12-01T00:00:00"/>
    <x v="0"/>
  </r>
  <r>
    <n v="120"/>
    <d v="2023-11-01T00:00:00"/>
    <s v="17112023-A-026301"/>
    <d v="2023-11-17T00:00:00"/>
    <x v="0"/>
    <x v="0"/>
    <n v="60620"/>
    <x v="4"/>
    <x v="0"/>
    <n v="5201.009"/>
    <n v="1.39"/>
    <n v="0"/>
    <n v="0"/>
    <x v="0"/>
    <s v="Raw Cotton"/>
    <n v="24362341"/>
    <x v="0"/>
    <n v="4385221.38"/>
    <x v="0"/>
    <m/>
    <m/>
    <x v="0"/>
    <x v="0"/>
    <x v="0"/>
    <x v="4"/>
    <x v="0"/>
    <x v="0"/>
    <m/>
    <x v="0"/>
    <x v="1"/>
    <x v="0"/>
    <x v="0"/>
    <x v="0"/>
    <x v="0"/>
    <n v="401.88619267568458"/>
    <n v="72.339514681623228"/>
    <n v="0"/>
    <d v="2023-12-01T00:00:00"/>
    <x v="0"/>
  </r>
  <r>
    <n v="121"/>
    <d v="2023-11-01T00:00:00"/>
    <s v="17112023-A-026305"/>
    <d v="2023-11-17T00:00:00"/>
    <x v="0"/>
    <x v="0"/>
    <n v="32442"/>
    <x v="4"/>
    <x v="0"/>
    <n v="5201.009"/>
    <n v="1.62"/>
    <n v="0"/>
    <n v="0"/>
    <x v="0"/>
    <s v="Raw Cotton"/>
    <n v="15210990"/>
    <x v="0"/>
    <n v="2737978.1999999997"/>
    <x v="0"/>
    <m/>
    <m/>
    <x v="0"/>
    <x v="0"/>
    <x v="0"/>
    <x v="4"/>
    <x v="0"/>
    <x v="0"/>
    <m/>
    <x v="0"/>
    <x v="1"/>
    <x v="0"/>
    <x v="0"/>
    <x v="0"/>
    <x v="0"/>
    <n v="468.86720917329387"/>
    <n v="84.396097651192889"/>
    <n v="0"/>
    <d v="2023-12-01T00:00:00"/>
    <x v="0"/>
  </r>
  <r>
    <n v="122"/>
    <d v="2023-11-01T00:00:00"/>
    <s v="17112023-A-026313"/>
    <d v="2023-11-17T00:00:00"/>
    <x v="0"/>
    <x v="0"/>
    <n v="61947"/>
    <x v="4"/>
    <x v="0"/>
    <n v="5201.009"/>
    <n v="1.4"/>
    <n v="0"/>
    <n v="0"/>
    <x v="0"/>
    <s v="Raw Cotton"/>
    <n v="25061615"/>
    <x v="0"/>
    <n v="4511090.7"/>
    <x v="0"/>
    <m/>
    <m/>
    <x v="0"/>
    <x v="0"/>
    <x v="0"/>
    <x v="4"/>
    <x v="0"/>
    <x v="0"/>
    <m/>
    <x v="0"/>
    <x v="1"/>
    <x v="0"/>
    <x v="0"/>
    <x v="0"/>
    <x v="0"/>
    <n v="404.56543496860218"/>
    <n v="72.821778294348391"/>
    <n v="0"/>
    <d v="2023-12-01T00:00:00"/>
    <x v="0"/>
  </r>
  <r>
    <n v="123"/>
    <d v="2023-11-01T00:00:00"/>
    <s v="17112023-A-026316"/>
    <d v="2023-11-17T00:00:00"/>
    <x v="0"/>
    <x v="0"/>
    <n v="31486"/>
    <x v="4"/>
    <x v="0"/>
    <n v="5201.009"/>
    <n v="1.62"/>
    <n v="0"/>
    <n v="0"/>
    <x v="0"/>
    <s v="Raw Cotton"/>
    <n v="14762753"/>
    <x v="0"/>
    <n v="2657295.54"/>
    <x v="0"/>
    <m/>
    <m/>
    <x v="0"/>
    <x v="0"/>
    <x v="0"/>
    <x v="4"/>
    <x v="0"/>
    <x v="0"/>
    <m/>
    <x v="0"/>
    <x v="1"/>
    <x v="0"/>
    <x v="0"/>
    <x v="0"/>
    <x v="0"/>
    <n v="468.86721082385822"/>
    <n v="84.396097948294482"/>
    <n v="0"/>
    <d v="2023-12-01T00:00:00"/>
    <x v="0"/>
  </r>
  <r>
    <n v="124"/>
    <d v="2023-11-01T00:00:00"/>
    <s v="17112023-A-026321"/>
    <d v="2023-11-17T00:00:00"/>
    <x v="0"/>
    <x v="0"/>
    <n v="30307"/>
    <x v="4"/>
    <x v="0"/>
    <n v="5201.009"/>
    <n v="1.61"/>
    <n v="0"/>
    <n v="0"/>
    <x v="0"/>
    <s v="Raw Cotton"/>
    <n v="14169359"/>
    <x v="0"/>
    <n v="2550484.62"/>
    <x v="0"/>
    <m/>
    <m/>
    <x v="0"/>
    <x v="0"/>
    <x v="0"/>
    <x v="4"/>
    <x v="0"/>
    <x v="0"/>
    <m/>
    <x v="0"/>
    <x v="1"/>
    <x v="0"/>
    <x v="0"/>
    <x v="0"/>
    <x v="0"/>
    <n v="467.52760088428414"/>
    <n v="84.154968159171148"/>
    <n v="0"/>
    <d v="2023-12-01T00:00:00"/>
    <x v="0"/>
  </r>
  <r>
    <n v="125"/>
    <d v="2023-11-01T00:00:00"/>
    <s v="17112023-A-026326"/>
    <d v="2023-11-17T00:00:00"/>
    <x v="0"/>
    <x v="0"/>
    <n v="30869"/>
    <x v="4"/>
    <x v="0"/>
    <n v="5201.009"/>
    <n v="1.62"/>
    <n v="0"/>
    <n v="0"/>
    <x v="0"/>
    <s v="Raw Cotton"/>
    <n v="14473462"/>
    <x v="0"/>
    <n v="2605223.1599999997"/>
    <x v="0"/>
    <m/>
    <m/>
    <x v="0"/>
    <x v="0"/>
    <x v="0"/>
    <x v="4"/>
    <x v="0"/>
    <x v="0"/>
    <m/>
    <x v="0"/>
    <x v="1"/>
    <x v="0"/>
    <x v="0"/>
    <x v="0"/>
    <x v="0"/>
    <n v="468.86721306164759"/>
    <n v="84.396098351096555"/>
    <n v="0"/>
    <d v="2023-12-01T00:00:00"/>
    <x v="0"/>
  </r>
  <r>
    <n v="126"/>
    <d v="2023-11-01T00:00:00"/>
    <s v="17112023-A-026330"/>
    <d v="2023-11-17T00:00:00"/>
    <x v="0"/>
    <x v="0"/>
    <n v="32050"/>
    <x v="4"/>
    <x v="0"/>
    <n v="5201.009"/>
    <n v="1.62"/>
    <n v="0"/>
    <n v="0"/>
    <x v="0"/>
    <s v="Raw Cotton"/>
    <n v="15027194"/>
    <x v="0"/>
    <n v="2704894.92"/>
    <x v="0"/>
    <m/>
    <m/>
    <x v="0"/>
    <x v="0"/>
    <x v="0"/>
    <x v="4"/>
    <x v="0"/>
    <x v="0"/>
    <m/>
    <x v="0"/>
    <x v="1"/>
    <x v="0"/>
    <x v="0"/>
    <x v="0"/>
    <x v="0"/>
    <n v="468.86720748829953"/>
    <n v="84.396097347893914"/>
    <n v="0"/>
    <d v="2023-12-01T00:00:00"/>
    <x v="0"/>
  </r>
  <r>
    <n v="127"/>
    <d v="2023-11-01T00:00:00"/>
    <s v="17112023-A-026335"/>
    <d v="2023-11-17T00:00:00"/>
    <x v="0"/>
    <x v="0"/>
    <n v="33107"/>
    <x v="4"/>
    <x v="0"/>
    <n v="5201.009"/>
    <n v="1.62"/>
    <n v="0"/>
    <n v="0"/>
    <x v="0"/>
    <s v="Raw Cotton"/>
    <n v="15522787"/>
    <x v="0"/>
    <n v="2794101.6599999997"/>
    <x v="0"/>
    <m/>
    <m/>
    <x v="0"/>
    <x v="0"/>
    <x v="0"/>
    <x v="4"/>
    <x v="0"/>
    <x v="0"/>
    <m/>
    <x v="0"/>
    <x v="1"/>
    <x v="0"/>
    <x v="0"/>
    <x v="0"/>
    <x v="0"/>
    <n v="468.86721841302443"/>
    <n v="84.396099314344383"/>
    <n v="0"/>
    <d v="2023-12-01T00:00:00"/>
    <x v="0"/>
  </r>
  <r>
    <n v="128"/>
    <d v="2023-11-02T00:00:00"/>
    <s v="17112023-A-026440"/>
    <d v="2023-11-17T00:00:00"/>
    <x v="0"/>
    <x v="0"/>
    <n v="31034"/>
    <x v="4"/>
    <x v="0"/>
    <n v="5201.009"/>
    <n v="1.39"/>
    <n v="0"/>
    <n v="0"/>
    <x v="0"/>
    <s v="Raw Cotton"/>
    <n v="12472136"/>
    <x v="0"/>
    <n v="2244984.48"/>
    <x v="0"/>
    <m/>
    <m/>
    <x v="0"/>
    <x v="0"/>
    <x v="0"/>
    <x v="6"/>
    <x v="0"/>
    <x v="0"/>
    <m/>
    <x v="0"/>
    <x v="1"/>
    <x v="0"/>
    <x v="0"/>
    <x v="0"/>
    <x v="0"/>
    <n v="401.88618934072309"/>
    <n v="72.339514081330151"/>
    <n v="0"/>
    <d v="2023-12-02T00:00:00"/>
    <x v="0"/>
  </r>
  <r>
    <n v="129"/>
    <d v="2023-11-07T00:00:00"/>
    <s v="17112023-A-026456"/>
    <d v="2023-11-17T00:00:00"/>
    <x v="0"/>
    <x v="0"/>
    <n v="31430"/>
    <x v="4"/>
    <x v="0"/>
    <n v="5201.009"/>
    <n v="1.39"/>
    <n v="0"/>
    <n v="0"/>
    <x v="0"/>
    <s v="Raw Cotton"/>
    <n v="12631283"/>
    <x v="0"/>
    <n v="2273630.94"/>
    <x v="0"/>
    <m/>
    <m/>
    <x v="0"/>
    <x v="0"/>
    <x v="0"/>
    <x v="6"/>
    <x v="0"/>
    <x v="0"/>
    <m/>
    <x v="0"/>
    <x v="1"/>
    <x v="0"/>
    <x v="0"/>
    <x v="0"/>
    <x v="0"/>
    <n v="401.88619153674836"/>
    <n v="72.339514476614696"/>
    <n v="0"/>
    <d v="2023-12-07T00:00:00"/>
    <x v="0"/>
  </r>
  <r>
    <n v="130"/>
    <d v="2023-11-01T00:00:00"/>
    <s v="17112023-A-026464"/>
    <d v="2023-11-17T00:00:00"/>
    <x v="0"/>
    <x v="0"/>
    <n v="30035"/>
    <x v="4"/>
    <x v="0"/>
    <n v="5201.009"/>
    <n v="1.61"/>
    <n v="0"/>
    <n v="0"/>
    <x v="0"/>
    <s v="Raw Cotton"/>
    <n v="14042191"/>
    <x v="0"/>
    <n v="2527594.38"/>
    <x v="0"/>
    <m/>
    <m/>
    <x v="0"/>
    <x v="0"/>
    <x v="0"/>
    <x v="4"/>
    <x v="0"/>
    <x v="0"/>
    <m/>
    <x v="0"/>
    <x v="1"/>
    <x v="0"/>
    <x v="0"/>
    <x v="0"/>
    <x v="0"/>
    <n v="467.52758448476777"/>
    <n v="84.154965207258201"/>
    <n v="0"/>
    <d v="2023-12-01T00:00:00"/>
    <x v="0"/>
  </r>
  <r>
    <n v="131"/>
    <d v="2023-11-01T00:00:00"/>
    <s v="17112023-A-026471"/>
    <d v="2023-11-17T00:00:00"/>
    <x v="0"/>
    <x v="0"/>
    <n v="31067"/>
    <x v="4"/>
    <x v="0"/>
    <n v="5201.009"/>
    <n v="1.62"/>
    <n v="0"/>
    <n v="0"/>
    <x v="0"/>
    <s v="Raw Cotton"/>
    <n v="14566298"/>
    <x v="0"/>
    <n v="2621933.64"/>
    <x v="0"/>
    <m/>
    <m/>
    <x v="0"/>
    <x v="0"/>
    <x v="0"/>
    <x v="4"/>
    <x v="0"/>
    <x v="0"/>
    <m/>
    <x v="0"/>
    <x v="1"/>
    <x v="0"/>
    <x v="0"/>
    <x v="0"/>
    <x v="0"/>
    <n v="468.86722245469468"/>
    <n v="84.396100041845045"/>
    <n v="0"/>
    <d v="2023-12-01T00:00:00"/>
    <x v="0"/>
  </r>
  <r>
    <n v="132"/>
    <d v="2023-11-01T00:00:00"/>
    <s v="17112023-A-026474"/>
    <d v="2023-11-17T00:00:00"/>
    <x v="0"/>
    <x v="0"/>
    <n v="183838"/>
    <x v="4"/>
    <x v="0"/>
    <n v="5201.009"/>
    <n v="1.64"/>
    <n v="0"/>
    <n v="0"/>
    <x v="0"/>
    <s v="Raw Cotton"/>
    <n v="87673250"/>
    <x v="0"/>
    <n v="15781185"/>
    <x v="0"/>
    <m/>
    <m/>
    <x v="0"/>
    <x v="0"/>
    <x v="0"/>
    <x v="6"/>
    <x v="0"/>
    <x v="0"/>
    <m/>
    <x v="0"/>
    <x v="1"/>
    <x v="0"/>
    <x v="0"/>
    <x v="0"/>
    <x v="0"/>
    <n v="476.90493804327724"/>
    <n v="85.842888847789908"/>
    <n v="0"/>
    <d v="2023-12-01T00:00:00"/>
    <x v="0"/>
  </r>
  <r>
    <n v="133"/>
    <d v="2023-11-01T00:00:00"/>
    <s v="17112023-A-026484"/>
    <d v="2023-11-17T00:00:00"/>
    <x v="0"/>
    <x v="0"/>
    <n v="92651"/>
    <x v="4"/>
    <x v="0"/>
    <n v="5201.009"/>
    <n v="1.39"/>
    <n v="0"/>
    <n v="0"/>
    <x v="0"/>
    <s v="Raw Cotton"/>
    <n v="37235157"/>
    <x v="0"/>
    <n v="6702328.2599999998"/>
    <x v="0"/>
    <m/>
    <m/>
    <x v="0"/>
    <x v="0"/>
    <x v="0"/>
    <x v="6"/>
    <x v="0"/>
    <x v="0"/>
    <m/>
    <x v="0"/>
    <x v="1"/>
    <x v="0"/>
    <x v="0"/>
    <x v="0"/>
    <x v="0"/>
    <n v="401.88618579400116"/>
    <n v="72.339513442920207"/>
    <n v="0"/>
    <d v="2023-12-01T00:00:00"/>
    <x v="0"/>
  </r>
  <r>
    <n v="134"/>
    <d v="2023-11-01T00:00:00"/>
    <s v="17112023-A-026488"/>
    <d v="2023-11-17T00:00:00"/>
    <x v="0"/>
    <x v="0"/>
    <n v="123873"/>
    <x v="4"/>
    <x v="0"/>
    <n v="5201.009"/>
    <n v="1.64"/>
    <n v="0"/>
    <n v="0"/>
    <x v="0"/>
    <s v="Raw Cotton"/>
    <n v="59075646"/>
    <x v="0"/>
    <n v="10633616.279999999"/>
    <x v="0"/>
    <m/>
    <m/>
    <x v="0"/>
    <x v="0"/>
    <x v="0"/>
    <x v="6"/>
    <x v="0"/>
    <x v="0"/>
    <m/>
    <x v="0"/>
    <x v="1"/>
    <x v="0"/>
    <x v="0"/>
    <x v="0"/>
    <x v="0"/>
    <n v="476.90494296577947"/>
    <n v="85.842889733840295"/>
    <n v="0"/>
    <d v="2023-12-01T00:00:00"/>
    <x v="0"/>
  </r>
  <r>
    <n v="135"/>
    <d v="2023-11-01T00:00:00"/>
    <s v="17112023-A-026491"/>
    <d v="2023-11-17T00:00:00"/>
    <x v="0"/>
    <x v="0"/>
    <n v="29798"/>
    <x v="4"/>
    <x v="0"/>
    <n v="5201.009"/>
    <n v="1.63"/>
    <n v="0"/>
    <n v="0"/>
    <x v="0"/>
    <s v="Raw Cotton"/>
    <n v="14051141"/>
    <x v="0"/>
    <n v="2529205.38"/>
    <x v="0"/>
    <m/>
    <m/>
    <x v="0"/>
    <x v="0"/>
    <x v="0"/>
    <x v="4"/>
    <x v="0"/>
    <x v="0"/>
    <m/>
    <x v="0"/>
    <x v="1"/>
    <x v="0"/>
    <x v="0"/>
    <x v="0"/>
    <x v="0"/>
    <n v="471.54644607020606"/>
    <n v="84.878360292637083"/>
    <n v="0"/>
    <d v="2023-12-01T00:00:00"/>
    <x v="0"/>
  </r>
  <r>
    <n v="136"/>
    <d v="2023-11-01T00:00:00"/>
    <s v="17112023-A-026498"/>
    <d v="2023-11-17T00:00:00"/>
    <x v="0"/>
    <x v="0"/>
    <n v="32759"/>
    <x v="4"/>
    <x v="0"/>
    <n v="5201.009"/>
    <n v="1.68"/>
    <n v="0"/>
    <n v="0"/>
    <x v="0"/>
    <s v="Raw Cotton"/>
    <n v="15974006"/>
    <x v="0"/>
    <n v="2875321.08"/>
    <x v="0"/>
    <m/>
    <m/>
    <x v="0"/>
    <x v="0"/>
    <x v="0"/>
    <x v="4"/>
    <x v="0"/>
    <x v="0"/>
    <m/>
    <x v="0"/>
    <x v="1"/>
    <x v="0"/>
    <x v="0"/>
    <x v="0"/>
    <x v="0"/>
    <n v="487.62190543056869"/>
    <n v="87.771942977502363"/>
    <n v="0"/>
    <d v="2023-12-01T00:00:00"/>
    <x v="0"/>
  </r>
  <r>
    <n v="137"/>
    <d v="2023-11-01T00:00:00"/>
    <s v="17112023-A-026507"/>
    <d v="2023-11-17T00:00:00"/>
    <x v="0"/>
    <x v="0"/>
    <n v="30368"/>
    <x v="4"/>
    <x v="0"/>
    <n v="5201.009"/>
    <n v="1.6"/>
    <n v="0"/>
    <n v="0"/>
    <x v="0"/>
    <s v="Raw Cotton"/>
    <n v="14075833"/>
    <x v="0"/>
    <n v="2533649.94"/>
    <x v="0"/>
    <m/>
    <m/>
    <x v="0"/>
    <x v="0"/>
    <x v="0"/>
    <x v="4"/>
    <x v="0"/>
    <x v="0"/>
    <m/>
    <x v="0"/>
    <x v="1"/>
    <x v="0"/>
    <x v="0"/>
    <x v="0"/>
    <x v="0"/>
    <n v="463.50872629083244"/>
    <n v="83.43157073234984"/>
    <n v="0"/>
    <d v="2023-12-01T00:00:00"/>
    <x v="0"/>
  </r>
  <r>
    <n v="138"/>
    <d v="2023-11-01T00:00:00"/>
    <s v="17112023-A-026513"/>
    <d v="2023-11-17T00:00:00"/>
    <x v="0"/>
    <x v="0"/>
    <n v="30480"/>
    <x v="4"/>
    <x v="0"/>
    <n v="5201.009"/>
    <n v="1.6"/>
    <n v="0"/>
    <n v="0"/>
    <x v="0"/>
    <s v="Raw Cotton"/>
    <n v="14127746"/>
    <x v="0"/>
    <n v="2542994.2799999998"/>
    <x v="0"/>
    <m/>
    <m/>
    <x v="0"/>
    <x v="0"/>
    <x v="0"/>
    <x v="4"/>
    <x v="0"/>
    <x v="0"/>
    <m/>
    <x v="0"/>
    <x v="1"/>
    <x v="0"/>
    <x v="0"/>
    <x v="0"/>
    <x v="0"/>
    <n v="463.50872703412074"/>
    <n v="83.431570866141726"/>
    <n v="0"/>
    <d v="2023-12-01T00:00:00"/>
    <x v="0"/>
  </r>
  <r>
    <n v="139"/>
    <d v="2023-11-01T00:00:00"/>
    <s v="17112023-A-026529"/>
    <d v="2023-11-17T00:00:00"/>
    <x v="0"/>
    <x v="0"/>
    <n v="30645"/>
    <x v="4"/>
    <x v="0"/>
    <n v="5201.009"/>
    <n v="1.58"/>
    <n v="0"/>
    <n v="0"/>
    <x v="0"/>
    <s v="Raw Cotton"/>
    <n v="14040014"/>
    <x v="0"/>
    <n v="2527202.52"/>
    <x v="0"/>
    <m/>
    <m/>
    <x v="0"/>
    <x v="0"/>
    <x v="0"/>
    <x v="4"/>
    <x v="0"/>
    <x v="0"/>
    <m/>
    <x v="0"/>
    <x v="1"/>
    <x v="0"/>
    <x v="0"/>
    <x v="0"/>
    <x v="0"/>
    <n v="458.15023658019254"/>
    <n v="82.467042584434651"/>
    <n v="0"/>
    <d v="2023-12-01T00:00:00"/>
    <x v="0"/>
  </r>
  <r>
    <n v="140"/>
    <d v="2023-11-01T00:00:00"/>
    <s v="17112023-A-026518"/>
    <d v="2023-11-17T00:00:00"/>
    <x v="0"/>
    <x v="0"/>
    <n v="31050"/>
    <x v="4"/>
    <x v="0"/>
    <n v="5201.009"/>
    <n v="1.39"/>
    <n v="0"/>
    <n v="0"/>
    <x v="0"/>
    <s v="Raw Cotton"/>
    <n v="12478566"/>
    <x v="0"/>
    <n v="2246141.88"/>
    <x v="0"/>
    <m/>
    <m/>
    <x v="0"/>
    <x v="0"/>
    <x v="0"/>
    <x v="4"/>
    <x v="0"/>
    <x v="0"/>
    <m/>
    <x v="0"/>
    <x v="1"/>
    <x v="0"/>
    <x v="0"/>
    <x v="0"/>
    <x v="0"/>
    <n v="401.88618357487923"/>
    <n v="72.339513043478263"/>
    <n v="0"/>
    <d v="2023-12-01T00:00:00"/>
    <x v="0"/>
  </r>
  <r>
    <n v="141"/>
    <d v="2023-11-01T00:00:00"/>
    <s v="17112023-A-026523"/>
    <d v="2023-11-17T00:00:00"/>
    <x v="0"/>
    <x v="0"/>
    <n v="29698"/>
    <x v="4"/>
    <x v="0"/>
    <n v="5201.009"/>
    <n v="1.39"/>
    <n v="0"/>
    <n v="0"/>
    <x v="0"/>
    <s v="Raw Cotton"/>
    <n v="11935216"/>
    <x v="0"/>
    <n v="2148338.88"/>
    <x v="0"/>
    <m/>
    <m/>
    <x v="0"/>
    <x v="0"/>
    <x v="0"/>
    <x v="4"/>
    <x v="0"/>
    <x v="0"/>
    <m/>
    <x v="0"/>
    <x v="1"/>
    <x v="0"/>
    <x v="0"/>
    <x v="0"/>
    <x v="0"/>
    <n v="401.8861876220621"/>
    <n v="72.33951377197117"/>
    <n v="0"/>
    <d v="2023-12-01T00:00:00"/>
    <x v="0"/>
  </r>
  <r>
    <n v="142"/>
    <d v="2023-11-01T00:00:00"/>
    <s v="18112023-A-026769"/>
    <d v="2023-11-18T00:00:00"/>
    <x v="0"/>
    <x v="0"/>
    <n v="18144"/>
    <x v="4"/>
    <x v="0"/>
    <n v="5205.13"/>
    <n v="3.06"/>
    <n v="0"/>
    <n v="0"/>
    <x v="10"/>
    <s v="30/1 Cotton Yarn( 40000 LBS)"/>
    <n v="16100000"/>
    <x v="0"/>
    <n v="2898000"/>
    <x v="0"/>
    <m/>
    <m/>
    <x v="0"/>
    <x v="0"/>
    <x v="0"/>
    <x v="4"/>
    <x v="0"/>
    <x v="0"/>
    <m/>
    <x v="0"/>
    <x v="1"/>
    <x v="0"/>
    <x v="0"/>
    <x v="0"/>
    <x v="3"/>
    <n v="887.34567901234573"/>
    <n v="159.72222222222223"/>
    <n v="0"/>
    <d v="2023-12-01T00:00:00"/>
    <x v="0"/>
  </r>
  <r>
    <n v="143"/>
    <d v="2023-11-01T00:00:00"/>
    <s v="18112023-A-026772"/>
    <d v="2023-11-18T00:00:00"/>
    <x v="0"/>
    <x v="0"/>
    <n v="18144"/>
    <x v="4"/>
    <x v="0"/>
    <n v="5205.13"/>
    <n v="3.06"/>
    <n v="0"/>
    <n v="0"/>
    <x v="10"/>
    <s v="30/1 Cotton Yarn( 40000 LBS)"/>
    <n v="16100000"/>
    <x v="0"/>
    <n v="2898000"/>
    <x v="0"/>
    <m/>
    <m/>
    <x v="0"/>
    <x v="0"/>
    <x v="0"/>
    <x v="4"/>
    <x v="0"/>
    <x v="0"/>
    <m/>
    <x v="0"/>
    <x v="1"/>
    <x v="0"/>
    <x v="0"/>
    <x v="0"/>
    <x v="3"/>
    <n v="887.34567901234573"/>
    <n v="159.72222222222223"/>
    <n v="0"/>
    <d v="2023-12-01T00:00:00"/>
    <x v="0"/>
  </r>
  <r>
    <n v="144"/>
    <d v="2023-11-01T00:00:00"/>
    <s v="18112023-A-026779"/>
    <d v="2023-11-18T00:00:00"/>
    <x v="0"/>
    <x v="0"/>
    <n v="18144"/>
    <x v="4"/>
    <x v="0"/>
    <n v="5205.13"/>
    <n v="3.06"/>
    <n v="0"/>
    <n v="0"/>
    <x v="10"/>
    <s v="30/1 Cotton Yarn( 40000 LBS)"/>
    <n v="16100000"/>
    <x v="0"/>
    <n v="2898000"/>
    <x v="0"/>
    <m/>
    <m/>
    <x v="0"/>
    <x v="0"/>
    <x v="0"/>
    <x v="4"/>
    <x v="0"/>
    <x v="0"/>
    <m/>
    <x v="0"/>
    <x v="1"/>
    <x v="0"/>
    <x v="0"/>
    <x v="0"/>
    <x v="3"/>
    <n v="887.34567901234573"/>
    <n v="159.72222222222223"/>
    <n v="0"/>
    <d v="2023-12-01T00:00:00"/>
    <x v="0"/>
  </r>
  <r>
    <n v="145"/>
    <d v="2023-11-04T00:00:00"/>
    <s v="20112023-A-026954"/>
    <d v="2023-11-20T00:00:00"/>
    <x v="0"/>
    <x v="0"/>
    <n v="18144"/>
    <x v="4"/>
    <x v="0"/>
    <n v="5205.13"/>
    <n v="2.88"/>
    <n v="0"/>
    <n v="0"/>
    <x v="10"/>
    <s v="30/1 Cotton Yarn( 40000 LBS)"/>
    <n v="15162500"/>
    <x v="0"/>
    <n v="2729250"/>
    <x v="0"/>
    <m/>
    <m/>
    <x v="0"/>
    <x v="0"/>
    <x v="0"/>
    <x v="4"/>
    <x v="0"/>
    <x v="0"/>
    <m/>
    <x v="0"/>
    <x v="1"/>
    <x v="0"/>
    <x v="0"/>
    <x v="0"/>
    <x v="3"/>
    <n v="835.67570546737215"/>
    <n v="150.42162698412699"/>
    <n v="0"/>
    <d v="2023-12-04T00:00:00"/>
    <x v="0"/>
  </r>
  <r>
    <n v="146"/>
    <d v="2023-11-08T00:00:00"/>
    <s v="20112023-A-026961"/>
    <d v="2023-11-20T00:00:00"/>
    <x v="0"/>
    <x v="0"/>
    <n v="18144"/>
    <x v="4"/>
    <x v="0"/>
    <n v="5205.13"/>
    <n v="2.77"/>
    <n v="0"/>
    <n v="0"/>
    <x v="10"/>
    <s v="30/1 Cotton Yarn( 40000 LBS)"/>
    <n v="14600000"/>
    <x v="0"/>
    <n v="2628000"/>
    <x v="0"/>
    <m/>
    <m/>
    <x v="0"/>
    <x v="0"/>
    <x v="0"/>
    <x v="4"/>
    <x v="0"/>
    <x v="0"/>
    <m/>
    <x v="0"/>
    <x v="1"/>
    <x v="0"/>
    <x v="0"/>
    <x v="0"/>
    <x v="3"/>
    <n v="804.67372134038806"/>
    <n v="144.84126984126985"/>
    <n v="0"/>
    <d v="2023-12-08T00:00:00"/>
    <x v="0"/>
  </r>
  <r>
    <n v="147"/>
    <d v="2023-11-01T00:00:00"/>
    <s v="20112023-A-026973"/>
    <d v="2023-11-20T00:00:00"/>
    <x v="0"/>
    <x v="0"/>
    <n v="9843"/>
    <x v="4"/>
    <x v="0"/>
    <n v="5205.12"/>
    <n v="3.12"/>
    <n v="0"/>
    <n v="0"/>
    <x v="10"/>
    <s v="20/1 Cotton Yarn( 21700 LBS)"/>
    <n v="8897000"/>
    <x v="0"/>
    <n v="1601460"/>
    <x v="0"/>
    <m/>
    <m/>
    <x v="0"/>
    <x v="0"/>
    <x v="0"/>
    <x v="4"/>
    <x v="0"/>
    <x v="0"/>
    <m/>
    <x v="0"/>
    <x v="1"/>
    <x v="0"/>
    <x v="0"/>
    <x v="0"/>
    <x v="3"/>
    <n v="903.89109011480241"/>
    <n v="162.70039622066443"/>
    <n v="0"/>
    <d v="2023-12-01T00:00:00"/>
    <x v="0"/>
  </r>
  <r>
    <n v="148"/>
    <d v="2023-11-01T00:00:00"/>
    <s v="20112023-A-026978"/>
    <d v="2023-11-20T00:00:00"/>
    <x v="0"/>
    <x v="0"/>
    <n v="14062"/>
    <x v="4"/>
    <x v="0"/>
    <n v="5205.22"/>
    <n v="3.27"/>
    <n v="0"/>
    <n v="0"/>
    <x v="10"/>
    <s v="24/1 Cotton Yarn( 31000 LBS)"/>
    <n v="13330000"/>
    <x v="0"/>
    <n v="2399400"/>
    <x v="0"/>
    <m/>
    <m/>
    <x v="0"/>
    <x v="0"/>
    <x v="0"/>
    <x v="0"/>
    <x v="0"/>
    <x v="0"/>
    <m/>
    <x v="0"/>
    <x v="1"/>
    <x v="0"/>
    <x v="0"/>
    <x v="0"/>
    <x v="3"/>
    <n v="947.94481581567345"/>
    <n v="170.63006684682122"/>
    <n v="0"/>
    <d v="2023-12-01T00:00:00"/>
    <x v="0"/>
  </r>
  <r>
    <n v="149"/>
    <d v="2023-11-01T00:00:00"/>
    <s v="20112023-A-026984"/>
    <d v="2023-11-20T00:00:00"/>
    <x v="0"/>
    <x v="1"/>
    <n v="2268"/>
    <x v="4"/>
    <x v="0"/>
    <n v="5205.2700000000004"/>
    <n v="4.83"/>
    <n v="2268"/>
    <n v="2268"/>
    <x v="10"/>
    <s v="60/1 Cotton Yarn( 5000 LBS)"/>
    <n v="3175000"/>
    <x v="0"/>
    <n v="571500"/>
    <x v="0"/>
    <m/>
    <m/>
    <x v="0"/>
    <x v="0"/>
    <x v="0"/>
    <x v="0"/>
    <x v="0"/>
    <x v="0"/>
    <m/>
    <x v="0"/>
    <x v="1"/>
    <x v="0"/>
    <x v="0"/>
    <x v="0"/>
    <x v="3"/>
    <n v="1399.9118165784832"/>
    <n v="251.98412698412699"/>
    <n v="571500"/>
    <d v="2023-12-01T00:00:00"/>
    <x v="0"/>
  </r>
  <r>
    <n v="150"/>
    <d v="2023-11-01T00:00:00"/>
    <s v="20112023-A-026994"/>
    <d v="2023-11-20T00:00:00"/>
    <x v="0"/>
    <x v="0"/>
    <n v="8437"/>
    <x v="4"/>
    <x v="0"/>
    <n v="5205.13"/>
    <n v="3.12"/>
    <n v="0"/>
    <n v="0"/>
    <x v="10"/>
    <s v="30/1 Cotton Yarn( 18600 LBS)"/>
    <n v="7626000"/>
    <x v="0"/>
    <n v="1372680"/>
    <x v="0"/>
    <m/>
    <m/>
    <x v="0"/>
    <x v="0"/>
    <x v="0"/>
    <x v="4"/>
    <x v="0"/>
    <x v="0"/>
    <m/>
    <x v="0"/>
    <x v="1"/>
    <x v="0"/>
    <x v="0"/>
    <x v="0"/>
    <x v="3"/>
    <n v="903.87578523171749"/>
    <n v="162.69764134170913"/>
    <n v="0"/>
    <d v="2023-12-01T00:00:00"/>
    <x v="0"/>
  </r>
  <r>
    <n v="151"/>
    <d v="2023-11-01T00:00:00"/>
    <s v="20112023-A-026999"/>
    <d v="2023-11-20T00:00:00"/>
    <x v="0"/>
    <x v="0"/>
    <n v="4536"/>
    <x v="4"/>
    <x v="0"/>
    <n v="5205.12"/>
    <n v="3.12"/>
    <n v="0"/>
    <n v="0"/>
    <x v="10"/>
    <s v="20/1 Cotton Yarn( 10000 LBS)"/>
    <n v="4100000"/>
    <x v="0"/>
    <n v="738000"/>
    <x v="0"/>
    <m/>
    <m/>
    <x v="0"/>
    <x v="0"/>
    <x v="0"/>
    <x v="4"/>
    <x v="0"/>
    <x v="0"/>
    <m/>
    <x v="0"/>
    <x v="1"/>
    <x v="0"/>
    <x v="0"/>
    <x v="0"/>
    <x v="3"/>
    <n v="903.88007054673722"/>
    <n v="162.69841269841271"/>
    <n v="0"/>
    <d v="2023-12-01T00:00:00"/>
    <x v="0"/>
  </r>
  <r>
    <n v="152"/>
    <d v="2023-11-01T00:00:00"/>
    <s v="20112023-A-027007"/>
    <d v="2023-11-20T00:00:00"/>
    <x v="0"/>
    <x v="1"/>
    <n v="2268"/>
    <x v="4"/>
    <x v="0"/>
    <n v="5205.2700000000004"/>
    <n v="4.83"/>
    <n v="2268"/>
    <n v="2268"/>
    <x v="10"/>
    <s v="60/1 Cotton Yarn( 5000 LBS)"/>
    <n v="3175000"/>
    <x v="0"/>
    <n v="571500"/>
    <x v="0"/>
    <m/>
    <m/>
    <x v="0"/>
    <x v="0"/>
    <x v="0"/>
    <x v="0"/>
    <x v="0"/>
    <x v="0"/>
    <m/>
    <x v="0"/>
    <x v="1"/>
    <x v="0"/>
    <x v="0"/>
    <x v="0"/>
    <x v="3"/>
    <n v="1399.9118165784832"/>
    <n v="251.98412698412699"/>
    <n v="571500"/>
    <d v="2023-12-01T00:00:00"/>
    <x v="0"/>
  </r>
  <r>
    <n v="153"/>
    <d v="2023-11-01T00:00:00"/>
    <s v="20112023-A-027037"/>
    <d v="2023-11-20T00:00:00"/>
    <x v="0"/>
    <x v="0"/>
    <n v="9410"/>
    <x v="4"/>
    <x v="0"/>
    <n v="5205.22"/>
    <n v="3.27"/>
    <n v="0"/>
    <n v="0"/>
    <x v="10"/>
    <s v="24/1 Cotton Yarn( 20746  LBS)"/>
    <n v="8920780"/>
    <x v="0"/>
    <n v="1605740.4"/>
    <x v="0"/>
    <m/>
    <m/>
    <x v="0"/>
    <x v="0"/>
    <x v="0"/>
    <x v="0"/>
    <x v="0"/>
    <x v="0"/>
    <m/>
    <x v="0"/>
    <x v="1"/>
    <x v="0"/>
    <x v="0"/>
    <x v="0"/>
    <x v="3"/>
    <n v="948.01062699256113"/>
    <n v="170.64191285866099"/>
    <n v="0"/>
    <d v="2023-12-01T00:00:00"/>
    <x v="0"/>
  </r>
  <r>
    <n v="154"/>
    <d v="2023-11-01T00:00:00"/>
    <s v="20112023-A-027050"/>
    <d v="2023-11-20T00:00:00"/>
    <x v="0"/>
    <x v="0"/>
    <n v="2994"/>
    <x v="4"/>
    <x v="0"/>
    <n v="5205.12"/>
    <n v="3.12"/>
    <n v="0"/>
    <n v="0"/>
    <x v="10"/>
    <s v="20/1 Cotton Yarn( 6600 LBS)"/>
    <n v="2706000"/>
    <x v="0"/>
    <n v="487080"/>
    <x v="0"/>
    <m/>
    <m/>
    <x v="0"/>
    <x v="0"/>
    <x v="0"/>
    <x v="4"/>
    <x v="0"/>
    <x v="0"/>
    <m/>
    <x v="0"/>
    <x v="1"/>
    <x v="0"/>
    <x v="0"/>
    <x v="0"/>
    <x v="3"/>
    <n v="903.8076152304609"/>
    <n v="162.68537074148296"/>
    <n v="0"/>
    <d v="2023-12-01T00:00:00"/>
    <x v="0"/>
  </r>
  <r>
    <n v="155"/>
    <d v="2023-11-03T00:00:00"/>
    <s v="20112023-A-027059"/>
    <d v="2023-11-20T00:00:00"/>
    <x v="0"/>
    <x v="0"/>
    <n v="4445"/>
    <x v="4"/>
    <x v="0"/>
    <n v="5205.12"/>
    <n v="3.12"/>
    <n v="0"/>
    <n v="0"/>
    <x v="10"/>
    <s v="20/1 Cotton Yarn( 9800 LBS)"/>
    <n v="4018000"/>
    <x v="0"/>
    <n v="723240"/>
    <x v="0"/>
    <m/>
    <m/>
    <x v="0"/>
    <x v="0"/>
    <x v="0"/>
    <x v="4"/>
    <x v="0"/>
    <x v="0"/>
    <m/>
    <x v="0"/>
    <x v="1"/>
    <x v="0"/>
    <x v="0"/>
    <x v="0"/>
    <x v="3"/>
    <n v="903.93700787401576"/>
    <n v="162.70866141732284"/>
    <n v="0"/>
    <d v="2023-12-03T00:00:00"/>
    <x v="0"/>
  </r>
  <r>
    <n v="156"/>
    <d v="2023-11-08T00:00:00"/>
    <s v="20112023-A-027064"/>
    <d v="2023-11-20T00:00:00"/>
    <x v="0"/>
    <x v="0"/>
    <n v="4536"/>
    <x v="4"/>
    <x v="0"/>
    <n v="5205.12"/>
    <n v="3.12"/>
    <n v="0"/>
    <n v="0"/>
    <x v="10"/>
    <s v="20/1 Cotton Yarn( 10000 LBS)"/>
    <n v="4100000"/>
    <x v="0"/>
    <n v="738000"/>
    <x v="0"/>
    <m/>
    <m/>
    <x v="0"/>
    <x v="0"/>
    <x v="0"/>
    <x v="4"/>
    <x v="0"/>
    <x v="0"/>
    <m/>
    <x v="0"/>
    <x v="1"/>
    <x v="0"/>
    <x v="0"/>
    <x v="0"/>
    <x v="3"/>
    <n v="903.88007054673722"/>
    <n v="162.69841269841271"/>
    <n v="0"/>
    <d v="2023-12-08T00:00:00"/>
    <x v="0"/>
  </r>
  <r>
    <n v="157"/>
    <d v="2023-11-01T00:00:00"/>
    <s v="17112023-A-026533"/>
    <d v="2023-11-17T00:00:00"/>
    <x v="0"/>
    <x v="0"/>
    <n v="89659"/>
    <x v="4"/>
    <x v="0"/>
    <n v="5201.009"/>
    <n v="1.39"/>
    <n v="0"/>
    <n v="0"/>
    <x v="0"/>
    <s v="Raw Cotton"/>
    <n v="36032714"/>
    <x v="0"/>
    <n v="6485888.5199999996"/>
    <x v="0"/>
    <m/>
    <m/>
    <x v="0"/>
    <x v="0"/>
    <x v="0"/>
    <x v="4"/>
    <x v="0"/>
    <x v="0"/>
    <m/>
    <x v="0"/>
    <x v="1"/>
    <x v="0"/>
    <x v="0"/>
    <x v="0"/>
    <x v="0"/>
    <n v="401.88619101261446"/>
    <n v="72.339514382270593"/>
    <n v="0"/>
    <d v="2023-12-01T00:00:00"/>
    <x v="0"/>
  </r>
  <r>
    <n v="158"/>
    <d v="2023-11-01T00:00:00"/>
    <s v="17112023-A-026448"/>
    <d v="2023-11-17T00:00:00"/>
    <x v="0"/>
    <x v="0"/>
    <n v="29930"/>
    <x v="4"/>
    <x v="0"/>
    <n v="5201.009"/>
    <n v="1.71"/>
    <n v="0"/>
    <n v="0"/>
    <x v="0"/>
    <s v="Raw Cotton"/>
    <n v="14835093"/>
    <x v="0"/>
    <n v="2670316.7399999998"/>
    <x v="0"/>
    <m/>
    <m/>
    <x v="0"/>
    <x v="0"/>
    <x v="0"/>
    <x v="4"/>
    <x v="0"/>
    <x v="0"/>
    <m/>
    <x v="0"/>
    <x v="1"/>
    <x v="0"/>
    <x v="0"/>
    <x v="0"/>
    <x v="0"/>
    <n v="495.65963915803542"/>
    <n v="89.218735048446362"/>
    <n v="0"/>
    <d v="2023-12-01T00:00:00"/>
    <x v="0"/>
  </r>
  <r>
    <n v="159"/>
    <d v="2023-11-01T00:00:00"/>
    <s v="17112023-A-026461"/>
    <d v="2023-11-17T00:00:00"/>
    <x v="0"/>
    <x v="0"/>
    <n v="30775"/>
    <x v="4"/>
    <x v="0"/>
    <n v="5201.009"/>
    <n v="1.71"/>
    <n v="0"/>
    <n v="0"/>
    <x v="0"/>
    <s v="Raw Cotton"/>
    <n v="15253925"/>
    <x v="0"/>
    <n v="2745706.5"/>
    <x v="0"/>
    <m/>
    <m/>
    <x v="0"/>
    <x v="0"/>
    <x v="0"/>
    <x v="4"/>
    <x v="0"/>
    <x v="0"/>
    <m/>
    <x v="0"/>
    <x v="1"/>
    <x v="0"/>
    <x v="0"/>
    <x v="0"/>
    <x v="0"/>
    <n v="495.659626320065"/>
    <n v="89.218732737611703"/>
    <n v="0"/>
    <d v="2023-12-01T00:00:00"/>
    <x v="0"/>
  </r>
  <r>
    <n v="160"/>
    <d v="2023-11-01T00:00:00"/>
    <s v="17112023-A-026537"/>
    <d v="2023-11-17T00:00:00"/>
    <x v="0"/>
    <x v="0"/>
    <n v="60860"/>
    <x v="4"/>
    <x v="0"/>
    <n v="5201.009"/>
    <n v="1.66"/>
    <n v="0"/>
    <n v="0"/>
    <x v="0"/>
    <s v="Raw Cotton"/>
    <n v="29309787"/>
    <x v="0"/>
    <n v="5275761.66"/>
    <x v="0"/>
    <m/>
    <m/>
    <x v="0"/>
    <x v="0"/>
    <x v="0"/>
    <x v="4"/>
    <x v="0"/>
    <x v="0"/>
    <m/>
    <x v="0"/>
    <x v="1"/>
    <x v="0"/>
    <x v="0"/>
    <x v="0"/>
    <x v="0"/>
    <n v="481.59360828130133"/>
    <n v="86.686849490634245"/>
    <n v="0"/>
    <d v="2023-12-01T00:00:00"/>
    <x v="0"/>
  </r>
  <r>
    <n v="161"/>
    <d v="2023-11-03T00:00:00"/>
    <s v="17112023-A-026542"/>
    <d v="2023-11-17T00:00:00"/>
    <x v="0"/>
    <x v="0"/>
    <n v="30816"/>
    <x v="4"/>
    <x v="0"/>
    <n v="5201.009"/>
    <n v="1.58"/>
    <n v="0"/>
    <n v="0"/>
    <x v="0"/>
    <s v="Raw Cotton"/>
    <n v="14118358"/>
    <x v="0"/>
    <n v="2541304.44"/>
    <x v="0"/>
    <m/>
    <m/>
    <x v="0"/>
    <x v="0"/>
    <x v="0"/>
    <x v="6"/>
    <x v="0"/>
    <x v="0"/>
    <m/>
    <x v="0"/>
    <x v="1"/>
    <x v="0"/>
    <x v="0"/>
    <x v="0"/>
    <x v="0"/>
    <n v="458.1502466251298"/>
    <n v="82.467044392523363"/>
    <n v="0"/>
    <d v="2023-12-03T00:00:00"/>
    <x v="0"/>
  </r>
  <r>
    <n v="162"/>
    <d v="2023-11-05T00:00:00"/>
    <s v="27112023-A-030664"/>
    <d v="2023-11-27T00:00:00"/>
    <x v="0"/>
    <x v="1"/>
    <n v="4627"/>
    <x v="4"/>
    <x v="0"/>
    <n v="5205.2700000000004"/>
    <n v="5"/>
    <n v="4627"/>
    <n v="4627"/>
    <x v="10"/>
    <s v="60/1 Cotton Yarn( 10200 LBS)"/>
    <n v="6477000"/>
    <x v="0"/>
    <n v="1165860"/>
    <x v="0"/>
    <m/>
    <m/>
    <x v="0"/>
    <x v="0"/>
    <x v="0"/>
    <x v="0"/>
    <x v="0"/>
    <x v="0"/>
    <m/>
    <x v="0"/>
    <x v="1"/>
    <x v="0"/>
    <x v="0"/>
    <x v="0"/>
    <x v="3"/>
    <n v="1399.8271017938189"/>
    <n v="251.96887832288741"/>
    <n v="1165860"/>
    <d v="2023-12-05T00:00:00"/>
    <x v="0"/>
  </r>
  <r>
    <n v="163"/>
    <d v="2023-11-06T00:00:00"/>
    <s v="27112023-A-030670"/>
    <d v="2023-11-27T00:00:00"/>
    <x v="0"/>
    <x v="0"/>
    <n v="4854"/>
    <x v="4"/>
    <x v="0"/>
    <n v="5205.12"/>
    <n v="3.23"/>
    <n v="0"/>
    <n v="0"/>
    <x v="10"/>
    <s v="20/1 Cotton Yarn( 10700 LBS)"/>
    <n v="4387000"/>
    <x v="0"/>
    <n v="789660"/>
    <x v="0"/>
    <m/>
    <m/>
    <x v="0"/>
    <x v="0"/>
    <x v="0"/>
    <x v="4"/>
    <x v="0"/>
    <x v="0"/>
    <m/>
    <x v="0"/>
    <x v="1"/>
    <x v="0"/>
    <x v="0"/>
    <x v="0"/>
    <x v="3"/>
    <n v="903.790688092295"/>
    <n v="162.6823238566131"/>
    <n v="0"/>
    <d v="2023-12-06T00:00:00"/>
    <x v="0"/>
  </r>
  <r>
    <n v="164"/>
    <d v="2023-11-06T00:00:00"/>
    <s v="27112023-A-030675"/>
    <d v="2023-11-27T00:00:00"/>
    <x v="0"/>
    <x v="0"/>
    <n v="1769"/>
    <x v="4"/>
    <x v="0"/>
    <n v="5205.12"/>
    <n v="2.64"/>
    <n v="0"/>
    <n v="0"/>
    <x v="10"/>
    <s v="16/1 Cotton Yarn 3900 LBS)"/>
    <n v="1306500"/>
    <x v="0"/>
    <n v="235170"/>
    <x v="0"/>
    <m/>
    <m/>
    <x v="0"/>
    <x v="0"/>
    <x v="0"/>
    <x v="0"/>
    <x v="0"/>
    <x v="0"/>
    <m/>
    <x v="0"/>
    <x v="1"/>
    <x v="0"/>
    <x v="0"/>
    <x v="0"/>
    <x v="3"/>
    <n v="738.5528547201809"/>
    <n v="132.93951384963256"/>
    <n v="0"/>
    <d v="2023-12-06T00:00:00"/>
    <x v="0"/>
  </r>
  <r>
    <n v="165"/>
    <d v="2023-11-18T00:00:00"/>
    <s v="27112023-A-030683"/>
    <d v="2023-11-27T00:00:00"/>
    <x v="0"/>
    <x v="0"/>
    <n v="6804"/>
    <x v="4"/>
    <x v="0"/>
    <n v="5205.12"/>
    <n v="2.97"/>
    <n v="0"/>
    <n v="0"/>
    <x v="10"/>
    <s v="10/1 Cotton Yarn (15000 LBS)"/>
    <n v="5655000"/>
    <x v="0"/>
    <n v="1017900"/>
    <x v="0"/>
    <m/>
    <m/>
    <x v="0"/>
    <x v="0"/>
    <x v="0"/>
    <x v="0"/>
    <x v="0"/>
    <x v="0"/>
    <m/>
    <x v="0"/>
    <x v="1"/>
    <x v="0"/>
    <x v="0"/>
    <x v="0"/>
    <x v="3"/>
    <n v="831.12874779541448"/>
    <n v="149.60317460317461"/>
    <n v="0"/>
    <d v="2023-12-18T00:00:00"/>
    <x v="0"/>
  </r>
  <r>
    <n v="166"/>
    <d v="2023-11-21T00:00:00"/>
    <s v="27112023-A-030688"/>
    <d v="2023-11-27T00:00:00"/>
    <x v="0"/>
    <x v="0"/>
    <n v="726"/>
    <x v="4"/>
    <x v="0"/>
    <n v="5205.12"/>
    <n v="2.48"/>
    <n v="0"/>
    <n v="0"/>
    <x v="10"/>
    <s v="10/1 Cotton Yarn ( 1600 LBS)"/>
    <n v="504000"/>
    <x v="0"/>
    <n v="90720"/>
    <x v="0"/>
    <m/>
    <m/>
    <x v="0"/>
    <x v="0"/>
    <x v="0"/>
    <x v="0"/>
    <x v="0"/>
    <x v="0"/>
    <m/>
    <x v="0"/>
    <x v="1"/>
    <x v="0"/>
    <x v="0"/>
    <x v="0"/>
    <x v="3"/>
    <n v="694.21487603305786"/>
    <n v="124.95867768595042"/>
    <n v="0"/>
    <d v="2023-12-21T00:00:00"/>
    <x v="0"/>
  </r>
  <r>
    <n v="167"/>
    <d v="2023-09-25T00:00:00"/>
    <s v="27112023-A-030698"/>
    <d v="2023-11-27T00:00:00"/>
    <x v="0"/>
    <x v="0"/>
    <n v="62395"/>
    <x v="4"/>
    <x v="0"/>
    <n v="5201.009"/>
    <n v="1.81"/>
    <n v="0"/>
    <n v="0"/>
    <x v="0"/>
    <s v="Raw Cotton"/>
    <n v="31595368"/>
    <x v="0"/>
    <n v="5687166.2400000002"/>
    <x v="0"/>
    <m/>
    <m/>
    <x v="0"/>
    <x v="0"/>
    <x v="0"/>
    <x v="4"/>
    <x v="0"/>
    <x v="0"/>
    <m/>
    <x v="0"/>
    <x v="1"/>
    <x v="0"/>
    <x v="0"/>
    <x v="0"/>
    <x v="0"/>
    <n v="506.37660068915778"/>
    <n v="91.147788124048404"/>
    <n v="0"/>
    <d v="2023-10-25T00:00:00"/>
    <x v="0"/>
  </r>
  <r>
    <n v="168"/>
    <d v="2023-11-01T00:00:00"/>
    <s v="04122023-A-034274"/>
    <d v="2023-12-04T00:00:00"/>
    <x v="0"/>
    <x v="0"/>
    <n v="150"/>
    <x v="4"/>
    <x v="0"/>
    <n v="3809.9189999999999"/>
    <n v="3.66"/>
    <n v="0"/>
    <n v="0"/>
    <x v="12"/>
    <s v="PROFIX ICY"/>
    <n v="153750"/>
    <x v="0"/>
    <n v="27675"/>
    <x v="0"/>
    <m/>
    <m/>
    <x v="0"/>
    <x v="0"/>
    <x v="0"/>
    <x v="4"/>
    <x v="0"/>
    <x v="0"/>
    <m/>
    <x v="0"/>
    <x v="1"/>
    <x v="0"/>
    <x v="0"/>
    <x v="0"/>
    <x v="5"/>
    <n v="1025"/>
    <n v="184.5"/>
    <n v="0"/>
    <d v="2023-12-01T00:00:00"/>
    <x v="0"/>
  </r>
  <r>
    <n v="169"/>
    <d v="2023-11-01T00:00:00"/>
    <s v="04122023-A-034304"/>
    <d v="2023-12-04T00:00:00"/>
    <x v="0"/>
    <x v="0"/>
    <n v="250"/>
    <x v="4"/>
    <x v="0"/>
    <n v="3507.9"/>
    <n v="12.5"/>
    <n v="0"/>
    <n v="0"/>
    <x v="12"/>
    <s v="AQUAZYM AD"/>
    <n v="875000"/>
    <x v="0"/>
    <n v="157500"/>
    <x v="0"/>
    <m/>
    <m/>
    <x v="0"/>
    <x v="0"/>
    <x v="0"/>
    <x v="4"/>
    <x v="0"/>
    <x v="0"/>
    <m/>
    <x v="0"/>
    <x v="1"/>
    <x v="0"/>
    <x v="0"/>
    <x v="0"/>
    <x v="5"/>
    <n v="3500"/>
    <n v="630"/>
    <n v="0"/>
    <d v="2023-12-01T00:00:00"/>
    <x v="0"/>
  </r>
  <r>
    <n v="170"/>
    <d v="2023-11-01T00:00:00"/>
    <s v="04122023-A-034309"/>
    <d v="2023-12-04T00:00:00"/>
    <x v="0"/>
    <x v="0"/>
    <n v="2520"/>
    <x v="4"/>
    <x v="0"/>
    <n v="3809.9189999999999"/>
    <n v="2.57"/>
    <n v="0"/>
    <n v="0"/>
    <x v="12"/>
    <s v="ALKASOFT PEN"/>
    <n v="1814400"/>
    <x v="0"/>
    <n v="326592"/>
    <x v="0"/>
    <m/>
    <m/>
    <x v="0"/>
    <x v="0"/>
    <x v="0"/>
    <x v="4"/>
    <x v="0"/>
    <x v="0"/>
    <m/>
    <x v="0"/>
    <x v="1"/>
    <x v="0"/>
    <x v="0"/>
    <x v="0"/>
    <x v="5"/>
    <n v="720"/>
    <n v="129.6"/>
    <n v="0"/>
    <d v="2023-12-01T00:00:00"/>
    <x v="0"/>
  </r>
  <r>
    <n v="171"/>
    <d v="2023-11-04T00:00:00"/>
    <s v="04122023-A-034314"/>
    <d v="2023-12-04T00:00:00"/>
    <x v="0"/>
    <x v="0"/>
    <n v="8000"/>
    <x v="4"/>
    <x v="0"/>
    <n v="3204.16"/>
    <n v="1.79"/>
    <n v="0"/>
    <n v="0"/>
    <x v="5"/>
    <s v="DRIMAREN"/>
    <n v="4005000"/>
    <x v="0"/>
    <n v="720900"/>
    <x v="0"/>
    <m/>
    <m/>
    <x v="0"/>
    <x v="0"/>
    <x v="0"/>
    <x v="4"/>
    <x v="0"/>
    <x v="0"/>
    <m/>
    <x v="0"/>
    <x v="1"/>
    <x v="0"/>
    <x v="0"/>
    <x v="0"/>
    <x v="4"/>
    <n v="500.625"/>
    <n v="90.112499999999997"/>
    <n v="0"/>
    <d v="2023-12-04T00:00:00"/>
    <x v="0"/>
  </r>
  <r>
    <n v="172"/>
    <d v="2023-11-01T00:00:00"/>
    <s v="04122023-A-034318"/>
    <d v="2023-12-04T00:00:00"/>
    <x v="0"/>
    <x v="0"/>
    <n v="4200"/>
    <x v="4"/>
    <x v="0"/>
    <n v="3204.2"/>
    <n v="1.8"/>
    <n v="0"/>
    <n v="0"/>
    <x v="5"/>
    <s v="LEUCOPHOR BMF LIQUID"/>
    <n v="2121000"/>
    <x v="0"/>
    <n v="3817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3-12-01T00:00:00"/>
    <x v="0"/>
  </r>
  <r>
    <n v="173"/>
    <d v="2023-11-01T00:00:00"/>
    <s v="04122023-A-034323"/>
    <d v="2023-12-04T00:00:00"/>
    <x v="0"/>
    <x v="0"/>
    <n v="3080"/>
    <x v="4"/>
    <x v="0"/>
    <n v="2931.9090000000001"/>
    <n v="1.92"/>
    <n v="0"/>
    <n v="0"/>
    <x v="12"/>
    <s v="LUFIBROL ANTOX LIQ"/>
    <n v="1657040"/>
    <x v="0"/>
    <n v="298267.2"/>
    <x v="0"/>
    <m/>
    <m/>
    <x v="0"/>
    <x v="0"/>
    <x v="0"/>
    <x v="4"/>
    <x v="0"/>
    <x v="0"/>
    <m/>
    <x v="0"/>
    <x v="1"/>
    <x v="0"/>
    <x v="0"/>
    <x v="0"/>
    <x v="5"/>
    <n v="538"/>
    <n v="96.84"/>
    <n v="0"/>
    <d v="2023-12-01T00:00:00"/>
    <x v="0"/>
  </r>
  <r>
    <n v="174"/>
    <d v="2023-11-01T00:00:00"/>
    <s v="04122023-A-034350"/>
    <d v="2023-12-04T00:00:00"/>
    <x v="0"/>
    <x v="0"/>
    <n v="1600"/>
    <x v="4"/>
    <x v="0"/>
    <n v="3204.2"/>
    <n v="1.8"/>
    <n v="0"/>
    <n v="0"/>
    <x v="5"/>
    <s v="LEUCOPHOR BMF LIQUID"/>
    <n v="808000"/>
    <x v="0"/>
    <n v="14544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3-12-01T00:00:00"/>
    <x v="0"/>
  </r>
  <r>
    <n v="175"/>
    <d v="2023-11-01T00:00:00"/>
    <s v="04122023-A-034357"/>
    <d v="2023-12-04T00:00:00"/>
    <x v="0"/>
    <x v="0"/>
    <n v="2200"/>
    <x v="4"/>
    <x v="0"/>
    <n v="3204.2"/>
    <n v="1.8"/>
    <n v="0"/>
    <n v="0"/>
    <x v="5"/>
    <s v="LEUCOPHOR BMF LIQUID"/>
    <n v="1111000"/>
    <x v="0"/>
    <n v="1999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3-12-01T00:00:00"/>
    <x v="0"/>
  </r>
  <r>
    <n v="175"/>
    <d v="2023-11-01T00:00:00"/>
    <s v="04122023-A-034357"/>
    <d v="2023-12-04T00:00:00"/>
    <x v="0"/>
    <x v="0"/>
    <n v="1980"/>
    <x v="4"/>
    <x v="0"/>
    <n v="2931.9090000000001"/>
    <n v="1.92"/>
    <n v="0"/>
    <n v="0"/>
    <x v="12"/>
    <s v="LUFIBROL ANTOX LIQ"/>
    <n v="1065240"/>
    <x v="0"/>
    <n v="191743.19999999998"/>
    <x v="0"/>
    <m/>
    <m/>
    <x v="0"/>
    <x v="0"/>
    <x v="0"/>
    <x v="4"/>
    <x v="0"/>
    <x v="0"/>
    <m/>
    <x v="0"/>
    <x v="1"/>
    <x v="0"/>
    <x v="0"/>
    <x v="0"/>
    <x v="5"/>
    <n v="538"/>
    <n v="96.839999999999989"/>
    <n v="0"/>
    <d v="2023-12-01T00:00:00"/>
    <x v="0"/>
  </r>
  <r>
    <n v="176"/>
    <d v="2023-11-01T00:00:00"/>
    <s v="04122023-A-034374"/>
    <d v="2023-12-04T00:00:00"/>
    <x v="0"/>
    <x v="0"/>
    <n v="540"/>
    <x v="4"/>
    <x v="0"/>
    <n v="3910"/>
    <n v="2.59"/>
    <n v="0"/>
    <n v="0"/>
    <x v="12"/>
    <s v="SOLUSOFT MW PK LIQ"/>
    <n v="391500"/>
    <x v="0"/>
    <n v="70470"/>
    <x v="0"/>
    <m/>
    <m/>
    <x v="0"/>
    <x v="0"/>
    <x v="0"/>
    <x v="4"/>
    <x v="0"/>
    <x v="0"/>
    <m/>
    <x v="0"/>
    <x v="1"/>
    <x v="0"/>
    <x v="0"/>
    <x v="0"/>
    <x v="5"/>
    <n v="725"/>
    <n v="130.5"/>
    <n v="0"/>
    <d v="2023-12-01T00:00:00"/>
    <x v="0"/>
  </r>
  <r>
    <n v="177"/>
    <d v="2023-11-01T00:00:00"/>
    <s v="04122023-A-034385"/>
    <d v="2023-12-04T00:00:00"/>
    <x v="0"/>
    <x v="0"/>
    <n v="200"/>
    <x v="4"/>
    <x v="0"/>
    <n v="3204.9"/>
    <n v="2.78"/>
    <n v="0"/>
    <n v="0"/>
    <x v="5"/>
    <s v="KIERALON UH LIQ"/>
    <n v="155800"/>
    <x v="0"/>
    <n v="28044"/>
    <x v="0"/>
    <m/>
    <m/>
    <x v="0"/>
    <x v="0"/>
    <x v="0"/>
    <x v="4"/>
    <x v="0"/>
    <x v="0"/>
    <m/>
    <x v="0"/>
    <x v="1"/>
    <x v="0"/>
    <x v="0"/>
    <x v="0"/>
    <x v="4"/>
    <n v="779"/>
    <n v="140.22"/>
    <n v="0"/>
    <d v="2023-12-01T00:00:00"/>
    <x v="0"/>
  </r>
  <r>
    <n v="177"/>
    <d v="2023-11-01T00:00:00"/>
    <s v="04122023-A-034385"/>
    <d v="2023-12-04T00:00:00"/>
    <x v="0"/>
    <x v="0"/>
    <n v="400"/>
    <x v="4"/>
    <x v="0"/>
    <n v="2904.2089999999998"/>
    <n v="0.94"/>
    <n v="0"/>
    <n v="0"/>
    <x v="12"/>
    <s v="REVATOL S LIQUID"/>
    <n v="105600"/>
    <x v="0"/>
    <n v="19008"/>
    <x v="0"/>
    <m/>
    <m/>
    <x v="0"/>
    <x v="0"/>
    <x v="0"/>
    <x v="4"/>
    <x v="0"/>
    <x v="0"/>
    <m/>
    <x v="0"/>
    <x v="1"/>
    <x v="0"/>
    <x v="0"/>
    <x v="0"/>
    <x v="5"/>
    <n v="264"/>
    <n v="47.52"/>
    <n v="0"/>
    <d v="2023-12-01T00:00:00"/>
    <x v="0"/>
  </r>
  <r>
    <n v="178"/>
    <d v="2023-11-01T00:00:00"/>
    <s v="04122023-A-034403"/>
    <d v="2023-12-04T00:00:00"/>
    <x v="0"/>
    <x v="0"/>
    <n v="25"/>
    <x v="4"/>
    <x v="0"/>
    <n v="3204.1190000000001"/>
    <n v="21.07"/>
    <n v="0"/>
    <n v="0"/>
    <x v="5"/>
    <s v="TERESIL RED GFF"/>
    <n v="147500"/>
    <x v="0"/>
    <n v="26550"/>
    <x v="0"/>
    <m/>
    <m/>
    <x v="0"/>
    <x v="0"/>
    <x v="0"/>
    <x v="4"/>
    <x v="0"/>
    <x v="0"/>
    <m/>
    <x v="0"/>
    <x v="1"/>
    <x v="0"/>
    <x v="0"/>
    <x v="0"/>
    <x v="4"/>
    <n v="5900"/>
    <n v="1062"/>
    <n v="0"/>
    <d v="2023-12-01T00:00:00"/>
    <x v="0"/>
  </r>
  <r>
    <n v="179"/>
    <d v="2023-11-01T00:00:00"/>
    <s v="04122023-A-034409"/>
    <d v="2023-12-04T00:00:00"/>
    <x v="0"/>
    <x v="0"/>
    <n v="400"/>
    <x v="4"/>
    <x v="0"/>
    <n v="3809.9110000000001"/>
    <n v="0.82"/>
    <n v="0"/>
    <n v="0"/>
    <x v="12"/>
    <s v="IMACOL C LIQ"/>
    <n v="92000"/>
    <x v="0"/>
    <n v="16560"/>
    <x v="0"/>
    <m/>
    <m/>
    <x v="0"/>
    <x v="0"/>
    <x v="0"/>
    <x v="4"/>
    <x v="0"/>
    <x v="0"/>
    <m/>
    <x v="0"/>
    <x v="1"/>
    <x v="0"/>
    <x v="0"/>
    <x v="0"/>
    <x v="5"/>
    <n v="230"/>
    <n v="41.4"/>
    <n v="0"/>
    <d v="2023-12-01T00:00:00"/>
    <x v="0"/>
  </r>
  <r>
    <n v="180"/>
    <d v="2023-11-01T00:00:00"/>
    <s v="04122023-A-034417"/>
    <d v="2023-12-04T00:00:00"/>
    <x v="0"/>
    <x v="0"/>
    <n v="2500"/>
    <x v="4"/>
    <x v="0"/>
    <n v="3204.172"/>
    <n v="1.23"/>
    <n v="0"/>
    <n v="0"/>
    <x v="5"/>
    <s v="PRINTOFIX BLACK FF-RT"/>
    <n v="862500"/>
    <x v="0"/>
    <n v="155250"/>
    <x v="0"/>
    <m/>
    <m/>
    <x v="0"/>
    <x v="0"/>
    <x v="0"/>
    <x v="4"/>
    <x v="0"/>
    <x v="0"/>
    <m/>
    <x v="0"/>
    <x v="1"/>
    <x v="0"/>
    <x v="0"/>
    <x v="0"/>
    <x v="4"/>
    <n v="345"/>
    <n v="62.1"/>
    <n v="0"/>
    <d v="2023-12-01T00:00:00"/>
    <x v="0"/>
  </r>
  <r>
    <n v="181"/>
    <d v="2023-11-04T00:00:00"/>
    <s v="04122023-A-034423"/>
    <d v="2023-12-04T00:00:00"/>
    <x v="0"/>
    <x v="0"/>
    <n v="260"/>
    <x v="4"/>
    <x v="0"/>
    <n v="3809.9189999999999"/>
    <n v="1.54"/>
    <n v="0"/>
    <n v="0"/>
    <x v="12"/>
    <s v="CONTAVAN ICE"/>
    <n v="111800"/>
    <x v="0"/>
    <n v="20124"/>
    <x v="0"/>
    <m/>
    <m/>
    <x v="0"/>
    <x v="0"/>
    <x v="0"/>
    <x v="4"/>
    <x v="0"/>
    <x v="0"/>
    <m/>
    <x v="0"/>
    <x v="1"/>
    <x v="0"/>
    <x v="0"/>
    <x v="0"/>
    <x v="5"/>
    <n v="430"/>
    <n v="77.400000000000006"/>
    <n v="0"/>
    <d v="2023-12-04T00:00:00"/>
    <x v="0"/>
  </r>
  <r>
    <n v="182"/>
    <d v="2023-11-04T00:00:00"/>
    <s v="04122023-A-034429"/>
    <d v="2023-12-04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3-12-04T00:00:00"/>
    <x v="0"/>
  </r>
  <r>
    <n v="183"/>
    <d v="2023-11-03T00:00:00"/>
    <s v="07122023-A-035810"/>
    <d v="2023-12-07T00:00:00"/>
    <x v="0"/>
    <x v="0"/>
    <n v="5000"/>
    <x v="4"/>
    <x v="0"/>
    <n v="3906.9090000000001"/>
    <n v="0.7"/>
    <n v="0"/>
    <n v="0"/>
    <x v="12"/>
    <s v="TUBIFAST ACL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03T00:00:00"/>
    <x v="0"/>
  </r>
  <r>
    <n v="184"/>
    <d v="2023-11-01T00:00:00"/>
    <s v="14122023-A-038556"/>
    <d v="2023-12-14T00:00:00"/>
    <x v="0"/>
    <x v="0"/>
    <n v="5000"/>
    <x v="4"/>
    <x v="0"/>
    <n v="3906.9090000000001"/>
    <n v="0.5"/>
    <n v="0"/>
    <n v="0"/>
    <x v="12"/>
    <s v="TUBIFAST ACL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01T00:00:00"/>
    <x v="0"/>
  </r>
  <r>
    <n v="185"/>
    <d v="2023-11-01T00:00:00"/>
    <s v="21122023-A-041859"/>
    <d v="2023-12-21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01T00:00:00"/>
    <x v="0"/>
  </r>
  <r>
    <n v="186"/>
    <d v="2023-11-01T00:00:00"/>
    <s v="23122023-A-042856"/>
    <d v="2023-12-23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01T00:00:00"/>
    <x v="0"/>
  </r>
  <r>
    <n v="187"/>
    <d v="2023-12-01T00:00:00"/>
    <s v="26122023-A-043738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88"/>
    <d v="2023-12-01T00:00:00"/>
    <s v="26122023-A-043742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89"/>
    <d v="2023-12-01T00:00:00"/>
    <s v="26122023-A-043755"/>
    <d v="2023-12-26T00:00:00"/>
    <x v="0"/>
    <x v="0"/>
    <n v="3000"/>
    <x v="4"/>
    <x v="0"/>
    <n v="3906.9090000000001"/>
    <n v="0.68"/>
    <n v="0"/>
    <n v="0"/>
    <x v="12"/>
    <s v="TUBIFAST ACL / ACE"/>
    <n v="573000"/>
    <x v="0"/>
    <n v="103140"/>
    <x v="0"/>
    <m/>
    <m/>
    <x v="0"/>
    <x v="0"/>
    <x v="0"/>
    <x v="4"/>
    <x v="0"/>
    <x v="0"/>
    <m/>
    <x v="0"/>
    <x v="1"/>
    <x v="0"/>
    <x v="0"/>
    <x v="0"/>
    <x v="5"/>
    <n v="191"/>
    <n v="34.380000000000003"/>
    <n v="0"/>
    <d v="2023-12-31T00:00:00"/>
    <x v="0"/>
  </r>
  <r>
    <n v="190"/>
    <d v="2023-12-01T00:00:00"/>
    <s v="26122023-A-043760"/>
    <d v="2023-12-26T00:00:00"/>
    <x v="0"/>
    <x v="0"/>
    <n v="4000"/>
    <x v="4"/>
    <x v="0"/>
    <n v="3906.9090000000001"/>
    <n v="0.57999999999999996"/>
    <n v="0"/>
    <n v="0"/>
    <x v="12"/>
    <s v="TUBIFAST ACL"/>
    <n v="652000"/>
    <x v="0"/>
    <n v="11736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91"/>
    <d v="2023-12-01T00:00:00"/>
    <s v="26122023-A-043781"/>
    <d v="2023-12-26T00:00:00"/>
    <x v="0"/>
    <x v="0"/>
    <n v="5000"/>
    <x v="4"/>
    <x v="0"/>
    <n v="3906.9090000000001"/>
    <n v="0.73"/>
    <n v="0"/>
    <n v="0"/>
    <x v="12"/>
    <s v="TUBIFAST ACE"/>
    <n v="1025000"/>
    <x v="0"/>
    <n v="184500"/>
    <x v="0"/>
    <m/>
    <m/>
    <x v="0"/>
    <x v="0"/>
    <x v="0"/>
    <x v="4"/>
    <x v="0"/>
    <x v="0"/>
    <m/>
    <x v="0"/>
    <x v="1"/>
    <x v="0"/>
    <x v="0"/>
    <x v="0"/>
    <x v="5"/>
    <n v="205"/>
    <n v="36.9"/>
    <n v="0"/>
    <d v="2023-12-31T00:00:00"/>
    <x v="0"/>
  </r>
  <r>
    <n v="192"/>
    <d v="2023-12-01T00:00:00"/>
    <s v="26122023-A-043804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93"/>
    <d v="2023-12-01T00:00:00"/>
    <s v="26122023-A-043812"/>
    <d v="2023-12-26T00:00:00"/>
    <x v="0"/>
    <x v="0"/>
    <n v="5000"/>
    <x v="4"/>
    <x v="0"/>
    <n v="3906.9090000000001"/>
    <n v="0.57999999999999996"/>
    <n v="0"/>
    <n v="0"/>
    <x v="12"/>
    <s v="TUBIFAST ACL"/>
    <n v="815000"/>
    <x v="0"/>
    <n v="14670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94"/>
    <d v="2023-12-01T00:00:00"/>
    <s v="26122023-A-043819"/>
    <d v="2023-12-26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3-12-31T00:00:00"/>
    <x v="0"/>
  </r>
  <r>
    <n v="195"/>
    <d v="2023-12-01T00:00:00"/>
    <s v="26122023-A-043963"/>
    <d v="2023-12-26T00:00:00"/>
    <x v="0"/>
    <x v="0"/>
    <n v="1000"/>
    <x v="4"/>
    <x v="0"/>
    <n v="3906.9090000000001"/>
    <n v="0.73"/>
    <n v="0"/>
    <n v="0"/>
    <x v="12"/>
    <s v="TUBIFAST ACE"/>
    <n v="205000"/>
    <x v="0"/>
    <n v="36900"/>
    <x v="0"/>
    <m/>
    <m/>
    <x v="0"/>
    <x v="0"/>
    <x v="0"/>
    <x v="4"/>
    <x v="0"/>
    <x v="0"/>
    <m/>
    <x v="0"/>
    <x v="1"/>
    <x v="0"/>
    <x v="0"/>
    <x v="0"/>
    <x v="5"/>
    <n v="205"/>
    <n v="36.9"/>
    <n v="0"/>
    <d v="2023-12-31T00:00:00"/>
    <x v="0"/>
  </r>
  <r>
    <n v="196"/>
    <d v="2023-12-01T00:00:00"/>
    <s v="26122023-A-043965"/>
    <d v="2023-12-26T00:00:00"/>
    <x v="0"/>
    <x v="0"/>
    <n v="3000"/>
    <x v="4"/>
    <x v="0"/>
    <n v="3906.9090000000001"/>
    <n v="0.57999999999999996"/>
    <n v="0"/>
    <n v="0"/>
    <x v="12"/>
    <s v="TUBIFAST ACL"/>
    <n v="489000"/>
    <x v="0"/>
    <n v="8802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97"/>
    <d v="2023-12-01T00:00:00"/>
    <s v="26122023-A-043973"/>
    <d v="2023-12-26T00:00:00"/>
    <x v="0"/>
    <x v="0"/>
    <n v="4000"/>
    <x v="4"/>
    <x v="0"/>
    <n v="3906.9090000000001"/>
    <n v="0.57999999999999996"/>
    <n v="0"/>
    <n v="0"/>
    <x v="12"/>
    <s v="TUBIFAST ACL"/>
    <n v="652000"/>
    <x v="0"/>
    <n v="117360"/>
    <x v="0"/>
    <m/>
    <m/>
    <x v="0"/>
    <x v="0"/>
    <x v="0"/>
    <x v="4"/>
    <x v="0"/>
    <x v="0"/>
    <m/>
    <x v="0"/>
    <x v="1"/>
    <x v="0"/>
    <x v="0"/>
    <x v="0"/>
    <x v="5"/>
    <n v="163"/>
    <n v="29.34"/>
    <n v="0"/>
    <d v="2023-12-31T00:00:00"/>
    <x v="0"/>
  </r>
  <r>
    <n v="198"/>
    <d v="2023-12-01T00:00:00"/>
    <s v="26122023-A-043999"/>
    <d v="2023-12-26T00:00:00"/>
    <x v="0"/>
    <x v="0"/>
    <n v="4000"/>
    <x v="4"/>
    <x v="0"/>
    <n v="3906.9090000000001"/>
    <n v="0.62"/>
    <n v="0"/>
    <n v="0"/>
    <x v="12"/>
    <s v="TUBIFAST ACL / ACE"/>
    <n v="694000"/>
    <x v="0"/>
    <n v="124920"/>
    <x v="0"/>
    <m/>
    <m/>
    <x v="0"/>
    <x v="0"/>
    <x v="0"/>
    <x v="4"/>
    <x v="0"/>
    <x v="0"/>
    <m/>
    <x v="0"/>
    <x v="1"/>
    <x v="0"/>
    <x v="0"/>
    <x v="0"/>
    <x v="5"/>
    <n v="173.5"/>
    <n v="31.23"/>
    <n v="0"/>
    <d v="2023-12-31T00:00:00"/>
    <x v="0"/>
  </r>
  <r>
    <n v="199"/>
    <d v="2023-12-01T00:00:00"/>
    <s v="26122023-A-044008"/>
    <d v="2023-12-26T00:00:00"/>
    <x v="0"/>
    <x v="0"/>
    <n v="4000"/>
    <x v="4"/>
    <x v="0"/>
    <n v="3906.9090000000001"/>
    <n v="0.73"/>
    <n v="0"/>
    <n v="0"/>
    <x v="12"/>
    <s v="TUBIFAST ACE"/>
    <n v="820000"/>
    <x v="0"/>
    <n v="147600"/>
    <x v="0"/>
    <m/>
    <m/>
    <x v="0"/>
    <x v="0"/>
    <x v="0"/>
    <x v="4"/>
    <x v="0"/>
    <x v="0"/>
    <m/>
    <x v="0"/>
    <x v="1"/>
    <x v="0"/>
    <x v="0"/>
    <x v="0"/>
    <x v="5"/>
    <n v="205"/>
    <n v="36.9"/>
    <n v="0"/>
    <d v="2023-12-31T00:00:00"/>
    <x v="0"/>
  </r>
  <r>
    <n v="200"/>
    <d v="2023-12-01T00:00:00"/>
    <s v="26122023-A-044021"/>
    <d v="2023-12-26T00:00:00"/>
    <x v="0"/>
    <x v="0"/>
    <n v="25"/>
    <x v="4"/>
    <x v="0"/>
    <n v="3204.16"/>
    <n v="8.39"/>
    <n v="0"/>
    <n v="0"/>
    <x v="5"/>
    <s v="SUNZOL NAVY BLUE GRB"/>
    <n v="58750"/>
    <x v="0"/>
    <n v="10575"/>
    <x v="0"/>
    <m/>
    <m/>
    <x v="0"/>
    <x v="0"/>
    <x v="0"/>
    <x v="4"/>
    <x v="0"/>
    <x v="0"/>
    <m/>
    <x v="0"/>
    <x v="1"/>
    <x v="0"/>
    <x v="0"/>
    <x v="0"/>
    <x v="4"/>
    <n v="2350"/>
    <n v="423"/>
    <n v="0"/>
    <d v="2023-12-31T00:00:00"/>
    <x v="0"/>
  </r>
  <r>
    <n v="201"/>
    <d v="2023-12-01T00:00:00"/>
    <s v="26122023-A-044027"/>
    <d v="2023-12-26T00:00:00"/>
    <x v="0"/>
    <x v="0"/>
    <n v="1500"/>
    <x v="4"/>
    <x v="0"/>
    <n v="3809.9189999999999"/>
    <n v="3.57"/>
    <n v="0"/>
    <n v="0"/>
    <x v="12"/>
    <s v="REPRINT SWE"/>
    <n v="1500000"/>
    <x v="0"/>
    <n v="270000"/>
    <x v="0"/>
    <m/>
    <m/>
    <x v="0"/>
    <x v="0"/>
    <x v="0"/>
    <x v="4"/>
    <x v="0"/>
    <x v="0"/>
    <m/>
    <x v="0"/>
    <x v="1"/>
    <x v="0"/>
    <x v="0"/>
    <x v="0"/>
    <x v="5"/>
    <n v="1000"/>
    <n v="180"/>
    <n v="0"/>
    <d v="2023-12-31T00:00:00"/>
    <x v="0"/>
  </r>
  <r>
    <n v="202"/>
    <d v="2023-12-01T00:00:00"/>
    <s v="26122023-A-044101"/>
    <d v="2023-12-26T00:00:00"/>
    <x v="0"/>
    <x v="0"/>
    <n v="33710"/>
    <x v="4"/>
    <x v="0"/>
    <n v="5201.009"/>
    <n v="1.6"/>
    <n v="0"/>
    <n v="0"/>
    <x v="0"/>
    <s v="Raw Cotton"/>
    <n v="15128135"/>
    <x v="0"/>
    <n v="2723064.3"/>
    <x v="0"/>
    <m/>
    <m/>
    <x v="0"/>
    <x v="0"/>
    <x v="0"/>
    <x v="6"/>
    <x v="0"/>
    <x v="0"/>
    <m/>
    <x v="0"/>
    <x v="1"/>
    <x v="0"/>
    <x v="0"/>
    <x v="0"/>
    <x v="0"/>
    <n v="448.77291604865025"/>
    <n v="80.779124888757039"/>
    <n v="0"/>
    <d v="2023-12-31T00:00:00"/>
    <x v="0"/>
  </r>
  <r>
    <n v="203"/>
    <d v="2023-12-01T00:00:00"/>
    <s v="26122023-A-044107"/>
    <d v="2023-12-26T00:00:00"/>
    <x v="0"/>
    <x v="0"/>
    <n v="34304"/>
    <x v="4"/>
    <x v="0"/>
    <n v="5201.009"/>
    <n v="0.16"/>
    <n v="0"/>
    <n v="0"/>
    <x v="0"/>
    <s v="Raw Cotton"/>
    <n v="1544660"/>
    <x v="0"/>
    <n v="278038.8"/>
    <x v="0"/>
    <m/>
    <m/>
    <x v="0"/>
    <x v="0"/>
    <x v="0"/>
    <x v="6"/>
    <x v="0"/>
    <x v="0"/>
    <m/>
    <x v="0"/>
    <x v="1"/>
    <x v="0"/>
    <x v="0"/>
    <x v="0"/>
    <x v="0"/>
    <n v="45.028568097014926"/>
    <n v="8.1051422574626866"/>
    <n v="0"/>
    <d v="2023-12-31T00:00:00"/>
    <x v="0"/>
  </r>
  <r>
    <n v="204"/>
    <d v="2023-12-01T00:00:00"/>
    <s v="26122023-A-044113"/>
    <d v="2023-12-26T00:00:00"/>
    <x v="0"/>
    <x v="0"/>
    <n v="30663"/>
    <x v="4"/>
    <x v="0"/>
    <n v="5201.009"/>
    <n v="1.52"/>
    <n v="0"/>
    <n v="0"/>
    <x v="0"/>
    <s v="Raw Cotton"/>
    <n v="13062418"/>
    <x v="0"/>
    <n v="2351235.2399999998"/>
    <x v="0"/>
    <m/>
    <m/>
    <x v="0"/>
    <x v="0"/>
    <x v="0"/>
    <x v="6"/>
    <x v="0"/>
    <x v="0"/>
    <m/>
    <x v="0"/>
    <x v="1"/>
    <x v="0"/>
    <x v="0"/>
    <x v="0"/>
    <x v="0"/>
    <n v="425.99934774810032"/>
    <n v="76.679882594658054"/>
    <n v="0"/>
    <d v="2023-12-31T00:00:00"/>
    <x v="0"/>
  </r>
  <r>
    <n v="205"/>
    <d v="2023-12-01T00:00:00"/>
    <s v="26122023-A-044120"/>
    <d v="2023-12-26T00:00:00"/>
    <x v="0"/>
    <x v="0"/>
    <n v="61842"/>
    <x v="4"/>
    <x v="0"/>
    <n v="5201.009"/>
    <n v="1.51"/>
    <n v="0"/>
    <n v="0"/>
    <x v="0"/>
    <s v="Raw Cotton"/>
    <n v="26096118"/>
    <x v="0"/>
    <n v="4697301.24"/>
    <x v="0"/>
    <m/>
    <m/>
    <x v="0"/>
    <x v="0"/>
    <x v="0"/>
    <x v="6"/>
    <x v="0"/>
    <x v="0"/>
    <m/>
    <x v="0"/>
    <x v="1"/>
    <x v="0"/>
    <x v="0"/>
    <x v="0"/>
    <x v="0"/>
    <n v="421.98049869021054"/>
    <n v="75.956489764237901"/>
    <n v="0"/>
    <d v="2023-12-31T00:00:00"/>
    <x v="0"/>
  </r>
  <r>
    <n v="206"/>
    <d v="2023-12-01T00:00:00"/>
    <s v="26122023-A-044124"/>
    <d v="2023-12-26T00:00:00"/>
    <x v="0"/>
    <x v="0"/>
    <n v="61260"/>
    <x v="4"/>
    <x v="0"/>
    <n v="5201.009"/>
    <n v="1.76"/>
    <n v="0"/>
    <n v="0"/>
    <x v="0"/>
    <s v="Raw Cotton"/>
    <n v="30199979"/>
    <x v="0"/>
    <n v="5435996.2199999997"/>
    <x v="0"/>
    <m/>
    <m/>
    <x v="0"/>
    <x v="0"/>
    <x v="0"/>
    <x v="6"/>
    <x v="0"/>
    <x v="0"/>
    <m/>
    <x v="0"/>
    <x v="1"/>
    <x v="0"/>
    <x v="0"/>
    <x v="0"/>
    <x v="0"/>
    <n v="492.98039503754489"/>
    <n v="88.736471106758074"/>
    <n v="0"/>
    <d v="2023-12-31T00:00:00"/>
    <x v="0"/>
  </r>
  <r>
    <n v="207"/>
    <d v="2023-12-01T00:00:00"/>
    <s v="26122023-A-044127"/>
    <d v="2023-12-26T00:00:00"/>
    <x v="0"/>
    <x v="0"/>
    <n v="30610"/>
    <x v="4"/>
    <x v="0"/>
    <n v="5201.009"/>
    <n v="1.72"/>
    <n v="0"/>
    <n v="0"/>
    <x v="0"/>
    <s v="Raw Cotton"/>
    <n v="14762083"/>
    <x v="0"/>
    <n v="2657174.94"/>
    <x v="0"/>
    <m/>
    <m/>
    <x v="0"/>
    <x v="0"/>
    <x v="0"/>
    <x v="6"/>
    <x v="0"/>
    <x v="0"/>
    <m/>
    <x v="0"/>
    <x v="1"/>
    <x v="0"/>
    <x v="0"/>
    <x v="0"/>
    <x v="0"/>
    <n v="482.26341065011434"/>
    <n v="86.807413917020583"/>
    <n v="0"/>
    <d v="2023-12-31T00:00:00"/>
    <x v="0"/>
  </r>
  <r>
    <n v="208"/>
    <d v="2023-12-01T00:00:00"/>
    <s v="26122023-A-044133"/>
    <d v="2023-12-26T00:00:00"/>
    <x v="0"/>
    <x v="0"/>
    <n v="32365"/>
    <x v="4"/>
    <x v="0"/>
    <n v="5201.009"/>
    <n v="1.61"/>
    <n v="0"/>
    <n v="0"/>
    <x v="0"/>
    <s v="Raw Cotton"/>
    <n v="14567892"/>
    <x v="0"/>
    <n v="2622220.56"/>
    <x v="0"/>
    <m/>
    <m/>
    <x v="0"/>
    <x v="0"/>
    <x v="0"/>
    <x v="6"/>
    <x v="0"/>
    <x v="0"/>
    <m/>
    <x v="0"/>
    <x v="1"/>
    <x v="0"/>
    <x v="0"/>
    <x v="0"/>
    <x v="0"/>
    <n v="450.11252896647613"/>
    <n v="81.020255213965712"/>
    <n v="0"/>
    <d v="2023-12-31T00:00:00"/>
    <x v="0"/>
  </r>
  <r>
    <n v="209"/>
    <d v="2023-12-01T00:00:00"/>
    <s v="26122023-A-044140"/>
    <d v="2023-12-26T00:00:00"/>
    <x v="0"/>
    <x v="0"/>
    <n v="31510"/>
    <x v="4"/>
    <x v="0"/>
    <n v="5201.009"/>
    <n v="1.65"/>
    <n v="0"/>
    <n v="0"/>
    <x v="0"/>
    <s v="Raw Cotton"/>
    <n v="14520737"/>
    <x v="0"/>
    <n v="2613732.6599999997"/>
    <x v="0"/>
    <m/>
    <m/>
    <x v="0"/>
    <x v="0"/>
    <x v="0"/>
    <x v="6"/>
    <x v="0"/>
    <x v="0"/>
    <m/>
    <x v="0"/>
    <x v="1"/>
    <x v="0"/>
    <x v="0"/>
    <x v="0"/>
    <x v="0"/>
    <n v="460.82948270390352"/>
    <n v="82.94930688670263"/>
    <n v="0"/>
    <d v="2023-12-31T00:00:00"/>
    <x v="0"/>
  </r>
  <r>
    <n v="210"/>
    <d v="2023-12-01T00:00:00"/>
    <s v="26122023-A-044147"/>
    <d v="2023-12-26T00:00:00"/>
    <x v="0"/>
    <x v="0"/>
    <n v="30961"/>
    <x v="4"/>
    <x v="0"/>
    <n v="5201.009"/>
    <n v="1.6"/>
    <n v="0"/>
    <n v="0"/>
    <x v="0"/>
    <s v="Raw Cotton"/>
    <n v="13894458"/>
    <x v="0"/>
    <n v="2501002.44"/>
    <x v="0"/>
    <m/>
    <m/>
    <x v="0"/>
    <x v="0"/>
    <x v="0"/>
    <x v="6"/>
    <x v="0"/>
    <x v="0"/>
    <m/>
    <x v="0"/>
    <x v="1"/>
    <x v="0"/>
    <x v="0"/>
    <x v="0"/>
    <x v="0"/>
    <n v="448.77290785181356"/>
    <n v="80.779123413326445"/>
    <n v="0"/>
    <d v="2023-12-31T00:00:00"/>
    <x v="0"/>
  </r>
  <r>
    <n v="211"/>
    <d v="2023-12-01T00:00:00"/>
    <s v="26122023-A-044152"/>
    <d v="2023-12-26T00:00:00"/>
    <x v="0"/>
    <x v="0"/>
    <n v="31020"/>
    <x v="4"/>
    <x v="0"/>
    <n v="5201.009"/>
    <n v="1.6"/>
    <n v="0"/>
    <n v="0"/>
    <x v="0"/>
    <s v="Raw Cotton"/>
    <n v="13920936"/>
    <x v="0"/>
    <n v="2505768.48"/>
    <x v="0"/>
    <m/>
    <m/>
    <x v="0"/>
    <x v="0"/>
    <x v="0"/>
    <x v="6"/>
    <x v="0"/>
    <x v="0"/>
    <m/>
    <x v="0"/>
    <x v="1"/>
    <x v="0"/>
    <x v="0"/>
    <x v="0"/>
    <x v="0"/>
    <n v="448.77292069632495"/>
    <n v="80.779125725338488"/>
    <n v="0"/>
    <d v="2023-12-31T00:00:00"/>
    <x v="0"/>
  </r>
  <r>
    <n v="212"/>
    <d v="2023-12-01T00:00:00"/>
    <s v="26122023-A-044206"/>
    <d v="2023-12-26T00:00:00"/>
    <x v="0"/>
    <x v="0"/>
    <n v="31390"/>
    <x v="4"/>
    <x v="0"/>
    <n v="5201.009"/>
    <n v="1.6"/>
    <n v="0"/>
    <n v="0"/>
    <x v="0"/>
    <s v="Raw Cotton"/>
    <n v="14086981"/>
    <x v="0"/>
    <n v="2535656.58"/>
    <x v="0"/>
    <m/>
    <m/>
    <x v="0"/>
    <x v="0"/>
    <x v="0"/>
    <x v="6"/>
    <x v="0"/>
    <x v="0"/>
    <m/>
    <x v="0"/>
    <x v="1"/>
    <x v="0"/>
    <x v="0"/>
    <x v="0"/>
    <x v="0"/>
    <n v="448.77288945524054"/>
    <n v="80.779120101943292"/>
    <n v="0"/>
    <d v="2023-12-31T00:00:00"/>
    <x v="0"/>
  </r>
  <r>
    <n v="213"/>
    <d v="2023-12-01T00:00:00"/>
    <s v="26122023-A-044210"/>
    <d v="2023-12-26T00:00:00"/>
    <x v="0"/>
    <x v="0"/>
    <n v="31566"/>
    <x v="4"/>
    <x v="0"/>
    <n v="5201.009"/>
    <n v="1.64"/>
    <n v="0"/>
    <n v="0"/>
    <x v="0"/>
    <s v="Raw Cotton"/>
    <n v="14461971"/>
    <x v="0"/>
    <n v="2603154.7799999998"/>
    <x v="0"/>
    <m/>
    <m/>
    <x v="0"/>
    <x v="0"/>
    <x v="0"/>
    <x v="6"/>
    <x v="0"/>
    <x v="0"/>
    <m/>
    <x v="0"/>
    <x v="1"/>
    <x v="0"/>
    <x v="0"/>
    <x v="0"/>
    <x v="0"/>
    <n v="458.15025660520814"/>
    <n v="82.467046188937459"/>
    <n v="0"/>
    <d v="2023-12-31T00:00:00"/>
    <x v="0"/>
  </r>
  <r>
    <n v="214"/>
    <d v="2023-12-01T00:00:00"/>
    <s v="26122023-A-044216"/>
    <d v="2023-12-26T00:00:00"/>
    <x v="0"/>
    <x v="0"/>
    <n v="31315"/>
    <x v="4"/>
    <x v="0"/>
    <n v="5201.009"/>
    <n v="1.6"/>
    <n v="0"/>
    <n v="0"/>
    <x v="0"/>
    <s v="Raw Cotton"/>
    <n v="14011373"/>
    <x v="0"/>
    <n v="2522047.14"/>
    <x v="0"/>
    <m/>
    <m/>
    <x v="0"/>
    <x v="0"/>
    <x v="0"/>
    <x v="6"/>
    <x v="0"/>
    <x v="0"/>
    <m/>
    <x v="0"/>
    <x v="1"/>
    <x v="0"/>
    <x v="0"/>
    <x v="0"/>
    <x v="0"/>
    <n v="447.43327478844003"/>
    <n v="80.53798946191921"/>
    <n v="0"/>
    <d v="2023-12-31T00:00:00"/>
    <x v="0"/>
  </r>
  <r>
    <n v="215"/>
    <d v="2023-12-01T00:00:00"/>
    <s v="26122023-A-044222"/>
    <d v="2023-12-26T00:00:00"/>
    <x v="0"/>
    <x v="0"/>
    <n v="30994"/>
    <x v="4"/>
    <x v="0"/>
    <n v="5201.009"/>
    <n v="1.6"/>
    <n v="0"/>
    <n v="0"/>
    <x v="0"/>
    <s v="Raw Cotton"/>
    <n v="13867747"/>
    <x v="0"/>
    <n v="2496194.46"/>
    <x v="0"/>
    <m/>
    <m/>
    <x v="0"/>
    <x v="0"/>
    <x v="0"/>
    <x v="6"/>
    <x v="0"/>
    <x v="0"/>
    <m/>
    <x v="0"/>
    <x v="1"/>
    <x v="0"/>
    <x v="0"/>
    <x v="0"/>
    <x v="0"/>
    <n v="447.43327740853067"/>
    <n v="80.537989933535528"/>
    <n v="0"/>
    <d v="2023-12-31T00:00:00"/>
    <x v="0"/>
  </r>
  <r>
    <n v="216"/>
    <d v="2023-12-01T00:00:00"/>
    <s v="26122023-A-044226"/>
    <d v="2023-12-26T00:00:00"/>
    <x v="0"/>
    <x v="0"/>
    <n v="32380"/>
    <x v="4"/>
    <x v="0"/>
    <n v="5201.009"/>
    <n v="1.6"/>
    <n v="0"/>
    <n v="0"/>
    <x v="0"/>
    <s v="Raw Cotton"/>
    <n v="14531267"/>
    <x v="0"/>
    <n v="2615628.06"/>
    <x v="0"/>
    <m/>
    <m/>
    <x v="0"/>
    <x v="0"/>
    <x v="0"/>
    <x v="6"/>
    <x v="0"/>
    <x v="0"/>
    <m/>
    <x v="0"/>
    <x v="1"/>
    <x v="0"/>
    <x v="0"/>
    <x v="0"/>
    <x v="0"/>
    <n v="448.77291537986412"/>
    <n v="80.779124768375539"/>
    <n v="0"/>
    <d v="2023-12-31T00:00:00"/>
    <x v="0"/>
  </r>
  <r>
    <n v="217"/>
    <d v="2023-12-01T00:00:00"/>
    <s v="26122023-A-044234"/>
    <d v="2023-12-26T00:00:00"/>
    <x v="0"/>
    <x v="0"/>
    <n v="92297"/>
    <x v="4"/>
    <x v="0"/>
    <n v="5201.009"/>
    <n v="1.51"/>
    <n v="0"/>
    <n v="0"/>
    <x v="0"/>
    <s v="Raw Cotton"/>
    <n v="38947534"/>
    <x v="0"/>
    <n v="7010556.1200000001"/>
    <x v="0"/>
    <m/>
    <m/>
    <x v="0"/>
    <x v="0"/>
    <x v="0"/>
    <x v="6"/>
    <x v="0"/>
    <x v="0"/>
    <m/>
    <x v="0"/>
    <x v="1"/>
    <x v="0"/>
    <x v="0"/>
    <x v="0"/>
    <x v="0"/>
    <n v="421.98049774098831"/>
    <n v="75.956489593377896"/>
    <n v="0"/>
    <d v="2023-12-31T00:00:00"/>
    <x v="0"/>
  </r>
  <r>
    <n v="218"/>
    <d v="2023-12-01T00:00:00"/>
    <s v="26122023-A-044237"/>
    <d v="2023-12-26T00:00:00"/>
    <x v="0"/>
    <x v="0"/>
    <n v="92763"/>
    <x v="4"/>
    <x v="0"/>
    <n v="5201.009"/>
    <n v="1.5"/>
    <n v="0"/>
    <n v="0"/>
    <x v="0"/>
    <s v="Raw Cotton"/>
    <n v="39019909"/>
    <x v="0"/>
    <n v="7023583.6200000001"/>
    <x v="0"/>
    <m/>
    <m/>
    <x v="0"/>
    <x v="0"/>
    <x v="0"/>
    <x v="5"/>
    <x v="0"/>
    <x v="0"/>
    <m/>
    <x v="0"/>
    <x v="1"/>
    <x v="0"/>
    <x v="0"/>
    <x v="0"/>
    <x v="0"/>
    <n v="420.6408697433244"/>
    <n v="75.715356553798387"/>
    <n v="0"/>
    <d v="2023-12-31T00:00:00"/>
    <x v="0"/>
  </r>
  <r>
    <n v="219"/>
    <d v="2023-12-01T00:00:00"/>
    <s v="26122023-A-044247"/>
    <d v="2023-12-26T00:00:00"/>
    <x v="0"/>
    <x v="0"/>
    <n v="31010"/>
    <x v="4"/>
    <x v="0"/>
    <n v="5201.009"/>
    <n v="1.65"/>
    <n v="0"/>
    <n v="0"/>
    <x v="0"/>
    <s v="Raw Cotton"/>
    <n v="14290323"/>
    <x v="0"/>
    <n v="2572258.14"/>
    <x v="0"/>
    <m/>
    <m/>
    <x v="0"/>
    <x v="0"/>
    <x v="0"/>
    <x v="6"/>
    <x v="0"/>
    <x v="0"/>
    <m/>
    <x v="0"/>
    <x v="1"/>
    <x v="0"/>
    <x v="0"/>
    <x v="0"/>
    <x v="0"/>
    <n v="460.82950661077069"/>
    <n v="82.94931118993874"/>
    <n v="0"/>
    <d v="2023-12-31T00:00:00"/>
    <x v="0"/>
  </r>
  <r>
    <n v="220"/>
    <d v="2023-12-01T00:00:00"/>
    <s v="26122023-A-044278"/>
    <d v="2023-12-26T00:00:00"/>
    <x v="0"/>
    <x v="0"/>
    <n v="30729"/>
    <x v="4"/>
    <x v="0"/>
    <n v="5201.009"/>
    <n v="1.65"/>
    <n v="0"/>
    <n v="0"/>
    <x v="0"/>
    <s v="Raw Cotton"/>
    <n v="14160829"/>
    <x v="0"/>
    <n v="2548949.2199999997"/>
    <x v="0"/>
    <m/>
    <m/>
    <x v="0"/>
    <x v="0"/>
    <x v="0"/>
    <x v="5"/>
    <x v="0"/>
    <x v="0"/>
    <m/>
    <x v="0"/>
    <x v="1"/>
    <x v="0"/>
    <x v="0"/>
    <x v="0"/>
    <x v="0"/>
    <n v="460.82947704123143"/>
    <n v="82.949305867421643"/>
    <n v="0"/>
    <d v="2023-12-31T00:00:00"/>
    <x v="0"/>
  </r>
  <r>
    <n v="221"/>
    <d v="2023-12-01T00:00:00"/>
    <s v="26122023-A-044286"/>
    <d v="2023-12-26T00:00:00"/>
    <x v="0"/>
    <x v="0"/>
    <n v="30314"/>
    <x v="4"/>
    <x v="0"/>
    <n v="5201.009"/>
    <n v="1.48"/>
    <n v="0"/>
    <n v="0"/>
    <x v="0"/>
    <s v="Raw Cotton"/>
    <n v="12588870"/>
    <x v="0"/>
    <n v="2265996.6"/>
    <x v="0"/>
    <m/>
    <m/>
    <x v="0"/>
    <x v="0"/>
    <x v="0"/>
    <x v="5"/>
    <x v="0"/>
    <x v="0"/>
    <m/>
    <x v="0"/>
    <x v="1"/>
    <x v="0"/>
    <x v="0"/>
    <x v="0"/>
    <x v="0"/>
    <n v="415.28237777924392"/>
    <n v="74.750828000263908"/>
    <n v="0"/>
    <d v="2023-12-31T00:00:00"/>
    <x v="0"/>
  </r>
  <r>
    <n v="222"/>
    <d v="2023-12-01T00:00:00"/>
    <s v="26122023-A-044292"/>
    <d v="2023-12-26T00:00:00"/>
    <x v="0"/>
    <x v="0"/>
    <n v="30965"/>
    <x v="4"/>
    <x v="0"/>
    <n v="5201.009"/>
    <n v="1.6"/>
    <n v="0"/>
    <n v="0"/>
    <x v="0"/>
    <s v="Raw Cotton"/>
    <n v="13854772"/>
    <x v="0"/>
    <n v="2493858.96"/>
    <x v="0"/>
    <m/>
    <m/>
    <x v="0"/>
    <x v="0"/>
    <x v="0"/>
    <x v="5"/>
    <x v="0"/>
    <x v="0"/>
    <m/>
    <x v="0"/>
    <x v="1"/>
    <x v="0"/>
    <x v="0"/>
    <x v="0"/>
    <x v="0"/>
    <n v="447.43329565638624"/>
    <n v="80.537993218149523"/>
    <n v="0"/>
    <d v="2023-12-31T00:00:00"/>
    <x v="0"/>
  </r>
  <r>
    <n v="223"/>
    <d v="2023-12-01T00:00:00"/>
    <s v="26122023-A-044300"/>
    <d v="2023-12-26T00:00:00"/>
    <x v="0"/>
    <x v="0"/>
    <n v="31340"/>
    <x v="4"/>
    <x v="0"/>
    <n v="5201.009"/>
    <n v="1.61"/>
    <n v="0"/>
    <n v="0"/>
    <x v="0"/>
    <s v="Raw Cotton"/>
    <n v="14106527"/>
    <x v="0"/>
    <n v="2539174.86"/>
    <x v="0"/>
    <m/>
    <m/>
    <x v="0"/>
    <x v="0"/>
    <x v="0"/>
    <x v="5"/>
    <x v="0"/>
    <x v="0"/>
    <m/>
    <x v="0"/>
    <x v="1"/>
    <x v="0"/>
    <x v="0"/>
    <x v="0"/>
    <x v="0"/>
    <n v="450.11253988513084"/>
    <n v="81.020257179323551"/>
    <n v="0"/>
    <d v="2023-12-31T00:00:00"/>
    <x v="0"/>
  </r>
  <r>
    <n v="224"/>
    <d v="2023-12-01T00:00:00"/>
    <s v="27122023-A-044558"/>
    <d v="2023-12-27T00:00:00"/>
    <x v="0"/>
    <x v="0"/>
    <n v="31280"/>
    <x v="4"/>
    <x v="0"/>
    <n v="5201.009"/>
    <n v="1.61"/>
    <n v="0"/>
    <n v="0"/>
    <x v="0"/>
    <s v="Raw Cotton"/>
    <n v="14079520"/>
    <x v="0"/>
    <n v="2534313.6"/>
    <x v="0"/>
    <m/>
    <m/>
    <x v="0"/>
    <x v="0"/>
    <x v="0"/>
    <x v="5"/>
    <x v="0"/>
    <x v="0"/>
    <m/>
    <x v="0"/>
    <x v="1"/>
    <x v="0"/>
    <x v="0"/>
    <x v="0"/>
    <x v="0"/>
    <n v="450.11253196930949"/>
    <n v="81.020255754475713"/>
    <n v="0"/>
    <d v="2023-12-31T00:00:00"/>
    <x v="0"/>
  </r>
  <r>
    <n v="225"/>
    <d v="2023-12-01T00:00:00"/>
    <s v="27122023-A-044561"/>
    <d v="2023-12-27T00:00:00"/>
    <x v="0"/>
    <x v="0"/>
    <n v="32020"/>
    <x v="4"/>
    <x v="0"/>
    <n v="5201.009"/>
    <n v="1.6"/>
    <n v="0"/>
    <n v="0"/>
    <x v="0"/>
    <s v="Raw Cotton"/>
    <n v="14326814"/>
    <x v="0"/>
    <n v="2578826.52"/>
    <x v="0"/>
    <m/>
    <m/>
    <x v="0"/>
    <x v="0"/>
    <x v="0"/>
    <x v="5"/>
    <x v="0"/>
    <x v="0"/>
    <m/>
    <x v="0"/>
    <x v="1"/>
    <x v="0"/>
    <x v="0"/>
    <x v="0"/>
    <x v="0"/>
    <n v="447.43329169269208"/>
    <n v="80.537992504684567"/>
    <n v="0"/>
    <d v="2023-12-31T00:00:00"/>
    <x v="0"/>
  </r>
  <r>
    <n v="226"/>
    <d v="2023-12-01T00:00:00"/>
    <s v="27122023-A-044566"/>
    <d v="2023-12-27T00:00:00"/>
    <x v="0"/>
    <x v="0"/>
    <n v="31120"/>
    <x v="4"/>
    <x v="0"/>
    <n v="5201.009"/>
    <n v="1.89"/>
    <n v="0"/>
    <n v="0"/>
    <x v="0"/>
    <s v="Raw Cotton"/>
    <n v="16430466"/>
    <x v="0"/>
    <n v="2957483.88"/>
    <x v="0"/>
    <m/>
    <m/>
    <x v="0"/>
    <x v="0"/>
    <x v="0"/>
    <x v="5"/>
    <x v="0"/>
    <x v="0"/>
    <m/>
    <x v="0"/>
    <x v="1"/>
    <x v="0"/>
    <x v="0"/>
    <x v="0"/>
    <x v="0"/>
    <n v="527.97127249357322"/>
    <n v="95.034829048843179"/>
    <n v="0"/>
    <d v="2023-12-31T00:00:00"/>
    <x v="0"/>
  </r>
  <r>
    <n v="227"/>
    <d v="2023-12-01T00:00:00"/>
    <s v="27122023-A-044568"/>
    <d v="2023-12-27T00:00:00"/>
    <x v="0"/>
    <x v="0"/>
    <n v="31895"/>
    <x v="4"/>
    <x v="0"/>
    <n v="5201.009"/>
    <n v="1.86"/>
    <n v="0"/>
    <n v="0"/>
    <x v="0"/>
    <s v="Raw Cotton"/>
    <n v="16637971"/>
    <x v="0"/>
    <n v="2994834.78"/>
    <x v="0"/>
    <m/>
    <m/>
    <x v="0"/>
    <x v="0"/>
    <x v="0"/>
    <x v="5"/>
    <x v="0"/>
    <x v="0"/>
    <m/>
    <x v="0"/>
    <x v="1"/>
    <x v="0"/>
    <x v="0"/>
    <x v="0"/>
    <x v="0"/>
    <n v="521.64825207712806"/>
    <n v="93.896685373883045"/>
    <n v="0"/>
    <d v="2023-12-31T00:00:00"/>
    <x v="0"/>
  </r>
  <r>
    <n v="228"/>
    <d v="2023-12-01T00:00:00"/>
    <s v="27122023-A-044575"/>
    <d v="2023-12-27T00:00:00"/>
    <x v="0"/>
    <x v="0"/>
    <n v="31962"/>
    <x v="4"/>
    <x v="0"/>
    <n v="5201.009"/>
    <n v="1.86"/>
    <n v="0"/>
    <n v="0"/>
    <x v="0"/>
    <s v="Raw Cotton"/>
    <n v="16672921"/>
    <x v="0"/>
    <n v="3001125.78"/>
    <x v="0"/>
    <m/>
    <m/>
    <x v="0"/>
    <x v="0"/>
    <x v="0"/>
    <x v="5"/>
    <x v="0"/>
    <x v="0"/>
    <m/>
    <x v="0"/>
    <x v="1"/>
    <x v="0"/>
    <x v="0"/>
    <x v="0"/>
    <x v="0"/>
    <n v="521.64823853325822"/>
    <n v="93.896682935986476"/>
    <n v="0"/>
    <d v="2023-12-31T00:00:00"/>
    <x v="0"/>
  </r>
  <r>
    <n v="229"/>
    <d v="2023-12-01T00:00:00"/>
    <s v="27122023-A-044577"/>
    <d v="2023-12-27T00:00:00"/>
    <x v="0"/>
    <x v="0"/>
    <n v="31305"/>
    <x v="4"/>
    <x v="0"/>
    <n v="5201.009"/>
    <n v="1.87"/>
    <n v="0"/>
    <n v="0"/>
    <x v="0"/>
    <s v="Raw Cotton"/>
    <n v="16429169"/>
    <x v="0"/>
    <n v="2957250.42"/>
    <x v="0"/>
    <m/>
    <m/>
    <x v="0"/>
    <x v="0"/>
    <x v="0"/>
    <x v="5"/>
    <x v="0"/>
    <x v="0"/>
    <m/>
    <x v="0"/>
    <x v="1"/>
    <x v="0"/>
    <x v="0"/>
    <x v="0"/>
    <x v="0"/>
    <n v="524.80974285257946"/>
    <n v="94.465753713464295"/>
    <n v="0"/>
    <d v="2023-12-31T00:00:00"/>
    <x v="0"/>
  </r>
  <r>
    <n v="230"/>
    <d v="2023-12-01T00:00:00"/>
    <s v="27122023-A-044581"/>
    <d v="2023-12-27T00:00:00"/>
    <x v="0"/>
    <x v="0"/>
    <n v="31700"/>
    <x v="4"/>
    <x v="0"/>
    <n v="5201.009"/>
    <n v="1.89"/>
    <n v="0"/>
    <n v="0"/>
    <x v="0"/>
    <s v="Raw Cotton"/>
    <n v="16736689"/>
    <x v="0"/>
    <n v="3012604.02"/>
    <x v="0"/>
    <m/>
    <m/>
    <x v="0"/>
    <x v="0"/>
    <x v="0"/>
    <x v="0"/>
    <x v="0"/>
    <x v="0"/>
    <m/>
    <x v="0"/>
    <x v="1"/>
    <x v="0"/>
    <x v="0"/>
    <x v="0"/>
    <x v="0"/>
    <n v="527.97126182965303"/>
    <n v="95.034827129337543"/>
    <n v="0"/>
    <d v="2023-12-31T00:00:00"/>
    <x v="0"/>
  </r>
  <r>
    <n v="231"/>
    <d v="2023-12-01T00:00:00"/>
    <s v="27122023-A-044586"/>
    <d v="2023-12-27T00:00:00"/>
    <x v="0"/>
    <x v="0"/>
    <n v="31615"/>
    <x v="4"/>
    <x v="0"/>
    <n v="5201.009"/>
    <n v="1.89"/>
    <n v="0"/>
    <n v="0"/>
    <x v="0"/>
    <s v="Raw Cotton"/>
    <n v="16691811"/>
    <x v="0"/>
    <n v="3004525.98"/>
    <x v="0"/>
    <m/>
    <m/>
    <x v="0"/>
    <x v="0"/>
    <x v="0"/>
    <x v="0"/>
    <x v="0"/>
    <x v="0"/>
    <m/>
    <x v="0"/>
    <x v="1"/>
    <x v="0"/>
    <x v="0"/>
    <x v="0"/>
    <x v="0"/>
    <n v="527.97124782539936"/>
    <n v="95.034824608571881"/>
    <n v="0"/>
    <d v="2023-12-31T00:00:00"/>
    <x v="0"/>
  </r>
  <r>
    <n v="232"/>
    <d v="2023-12-01T00:00:00"/>
    <s v="27122023-A-044589"/>
    <d v="2023-12-27T00:00:00"/>
    <x v="0"/>
    <x v="0"/>
    <n v="31208"/>
    <x v="4"/>
    <x v="0"/>
    <n v="5201.009"/>
    <n v="1.89"/>
    <n v="0"/>
    <n v="0"/>
    <x v="0"/>
    <s v="Raw Cotton"/>
    <n v="16476927"/>
    <x v="0"/>
    <n v="2965846.86"/>
    <x v="0"/>
    <m/>
    <m/>
    <x v="0"/>
    <x v="0"/>
    <x v="0"/>
    <x v="5"/>
    <x v="0"/>
    <x v="0"/>
    <m/>
    <x v="0"/>
    <x v="1"/>
    <x v="0"/>
    <x v="0"/>
    <x v="0"/>
    <x v="0"/>
    <n v="527.97125736990517"/>
    <n v="95.03482632658293"/>
    <n v="0"/>
    <d v="2023-12-31T00:00:00"/>
    <x v="0"/>
  </r>
  <r>
    <n v="233"/>
    <d v="2023-12-01T00:00:00"/>
    <s v="27122023-A-044604"/>
    <d v="2023-12-27T00:00:00"/>
    <x v="0"/>
    <x v="0"/>
    <n v="32381"/>
    <x v="4"/>
    <x v="0"/>
    <n v="5201.009"/>
    <n v="1.61"/>
    <n v="0"/>
    <n v="0"/>
    <x v="0"/>
    <s v="Raw Cotton"/>
    <n v="14575094"/>
    <x v="0"/>
    <n v="2623516.92"/>
    <x v="0"/>
    <m/>
    <m/>
    <x v="0"/>
    <x v="0"/>
    <x v="0"/>
    <x v="5"/>
    <x v="0"/>
    <x v="0"/>
    <m/>
    <x v="0"/>
    <x v="1"/>
    <x v="0"/>
    <x v="0"/>
    <x v="0"/>
    <x v="0"/>
    <n v="450.11253512862481"/>
    <n v="81.020256323152466"/>
    <n v="0"/>
    <d v="2023-12-31T00:00:00"/>
    <x v="0"/>
  </r>
  <r>
    <n v="234"/>
    <d v="2023-12-01T00:00:00"/>
    <s v="27122023-A-044606"/>
    <d v="2023-12-27T00:00:00"/>
    <x v="0"/>
    <x v="0"/>
    <n v="32030"/>
    <x v="4"/>
    <x v="0"/>
    <n v="5201.009"/>
    <n v="1.6"/>
    <n v="0"/>
    <n v="0"/>
    <x v="0"/>
    <s v="Raw Cotton"/>
    <n v="14374196"/>
    <x v="0"/>
    <n v="2587355.2799999998"/>
    <x v="0"/>
    <m/>
    <m/>
    <x v="0"/>
    <x v="0"/>
    <x v="0"/>
    <x v="5"/>
    <x v="0"/>
    <x v="0"/>
    <m/>
    <x v="0"/>
    <x v="1"/>
    <x v="0"/>
    <x v="0"/>
    <x v="0"/>
    <x v="0"/>
    <n v="448.77290040586951"/>
    <n v="80.779122073056499"/>
    <n v="0"/>
    <d v="2023-12-31T00:00:00"/>
    <x v="0"/>
  </r>
  <r>
    <n v="235"/>
    <d v="2023-12-01T00:00:00"/>
    <s v="27122023-A-044607"/>
    <d v="2023-12-27T00:00:00"/>
    <x v="0"/>
    <x v="0"/>
    <n v="31229"/>
    <x v="4"/>
    <x v="0"/>
    <n v="5201.009"/>
    <n v="1.6"/>
    <n v="0"/>
    <n v="0"/>
    <x v="0"/>
    <s v="Raw Cotton"/>
    <n v="13972894"/>
    <x v="0"/>
    <n v="2515120.92"/>
    <x v="0"/>
    <m/>
    <m/>
    <x v="0"/>
    <x v="0"/>
    <x v="0"/>
    <x v="5"/>
    <x v="0"/>
    <x v="0"/>
    <m/>
    <x v="0"/>
    <x v="1"/>
    <x v="0"/>
    <x v="0"/>
    <x v="0"/>
    <x v="0"/>
    <n v="447.43328316628777"/>
    <n v="80.537990969931798"/>
    <n v="0"/>
    <d v="2023-12-31T00:00:00"/>
    <x v="0"/>
  </r>
  <r>
    <n v="236"/>
    <d v="2023-12-01T00:00:00"/>
    <s v="27122023-A-044610"/>
    <d v="2023-12-27T00:00:00"/>
    <x v="0"/>
    <x v="0"/>
    <n v="31896"/>
    <x v="4"/>
    <x v="0"/>
    <n v="5201.009"/>
    <n v="1.6"/>
    <n v="0"/>
    <n v="0"/>
    <x v="0"/>
    <s v="Raw Cotton"/>
    <n v="14271332"/>
    <x v="0"/>
    <n v="2568839.7599999998"/>
    <x v="0"/>
    <m/>
    <m/>
    <x v="0"/>
    <x v="0"/>
    <x v="0"/>
    <x v="5"/>
    <x v="0"/>
    <x v="0"/>
    <m/>
    <x v="0"/>
    <x v="1"/>
    <x v="0"/>
    <x v="0"/>
    <x v="0"/>
    <x v="0"/>
    <n v="447.43328317030347"/>
    <n v="80.537990970654619"/>
    <n v="0"/>
    <d v="2023-12-31T00:00:00"/>
    <x v="0"/>
  </r>
  <r>
    <n v="237"/>
    <d v="2023-12-01T00:00:00"/>
    <s v="27122023-A-044612"/>
    <d v="2023-12-27T00:00:00"/>
    <x v="0"/>
    <x v="0"/>
    <n v="30954"/>
    <x v="4"/>
    <x v="0"/>
    <n v="5201.009"/>
    <n v="1.6"/>
    <n v="0"/>
    <n v="0"/>
    <x v="0"/>
    <s v="Raw Cotton"/>
    <n v="13849850"/>
    <x v="0"/>
    <n v="2492973"/>
    <x v="0"/>
    <m/>
    <m/>
    <x v="0"/>
    <x v="0"/>
    <x v="0"/>
    <x v="5"/>
    <x v="0"/>
    <x v="0"/>
    <m/>
    <x v="0"/>
    <x v="1"/>
    <x v="0"/>
    <x v="0"/>
    <x v="0"/>
    <x v="0"/>
    <n v="447.43328810492989"/>
    <n v="80.537991858887381"/>
    <n v="0"/>
    <d v="2023-12-31T00:00:00"/>
    <x v="0"/>
  </r>
  <r>
    <n v="238"/>
    <d v="2023-12-01T00:00:00"/>
    <s v="27122023-A-044618"/>
    <d v="2023-12-27T00:00:00"/>
    <x v="0"/>
    <x v="0"/>
    <n v="29890"/>
    <x v="4"/>
    <x v="0"/>
    <n v="5201.009"/>
    <n v="1.68"/>
    <n v="0"/>
    <n v="0"/>
    <x v="0"/>
    <s v="Raw Cotton"/>
    <n v="14094524"/>
    <x v="0"/>
    <n v="2537014.3199999998"/>
    <x v="0"/>
    <m/>
    <m/>
    <x v="0"/>
    <x v="0"/>
    <x v="0"/>
    <x v="5"/>
    <x v="0"/>
    <x v="0"/>
    <m/>
    <x v="0"/>
    <x v="1"/>
    <x v="0"/>
    <x v="0"/>
    <x v="0"/>
    <x v="0"/>
    <n v="471.54647039143526"/>
    <n v="84.878364670458339"/>
    <n v="0"/>
    <d v="2023-12-31T00:00:00"/>
    <x v="0"/>
  </r>
  <r>
    <n v="239"/>
    <d v="2023-12-01T00:00:00"/>
    <s v="27122023-A-044625"/>
    <d v="2023-12-27T00:00:00"/>
    <x v="0"/>
    <x v="0"/>
    <n v="29860"/>
    <x v="4"/>
    <x v="0"/>
    <n v="5201.009"/>
    <n v="1.68"/>
    <n v="0"/>
    <n v="0"/>
    <x v="0"/>
    <s v="Raw Cotton"/>
    <n v="14080377"/>
    <x v="0"/>
    <n v="2534467.86"/>
    <x v="0"/>
    <m/>
    <m/>
    <x v="0"/>
    <x v="0"/>
    <x v="0"/>
    <x v="0"/>
    <x v="0"/>
    <x v="0"/>
    <m/>
    <x v="0"/>
    <x v="1"/>
    <x v="0"/>
    <x v="0"/>
    <x v="0"/>
    <x v="0"/>
    <n v="471.54645010046886"/>
    <n v="84.878361018084391"/>
    <n v="0"/>
    <d v="2023-12-31T00:00:00"/>
    <x v="0"/>
  </r>
  <r>
    <n v="240"/>
    <d v="2023-12-01T00:00:00"/>
    <s v="27122023-A-044626"/>
    <d v="2023-12-27T00:00:00"/>
    <x v="0"/>
    <x v="0"/>
    <n v="89032"/>
    <x v="4"/>
    <x v="0"/>
    <n v="5201.009"/>
    <n v="1.68"/>
    <n v="0"/>
    <n v="0"/>
    <x v="0"/>
    <s v="Raw Cotton"/>
    <n v="41982724"/>
    <x v="0"/>
    <n v="7556890.3199999994"/>
    <x v="0"/>
    <m/>
    <m/>
    <x v="0"/>
    <x v="0"/>
    <x v="0"/>
    <x v="5"/>
    <x v="0"/>
    <x v="0"/>
    <m/>
    <x v="0"/>
    <x v="1"/>
    <x v="0"/>
    <x v="0"/>
    <x v="0"/>
    <x v="0"/>
    <n v="471.54645520711654"/>
    <n v="84.878361937280971"/>
    <n v="0"/>
    <d v="2023-12-31T00:00:00"/>
    <x v="0"/>
  </r>
  <r>
    <n v="241"/>
    <d v="2023-12-01T00:00:00"/>
    <s v="27122023-A-044634"/>
    <d v="2023-12-27T00:00:00"/>
    <x v="0"/>
    <x v="0"/>
    <n v="184463"/>
    <x v="4"/>
    <x v="0"/>
    <n v="5201.009"/>
    <n v="1.72"/>
    <n v="0"/>
    <n v="0"/>
    <x v="0"/>
    <s v="Raw Cotton"/>
    <n v="88836203"/>
    <x v="0"/>
    <n v="15990516.539999999"/>
    <x v="0"/>
    <m/>
    <m/>
    <x v="0"/>
    <x v="0"/>
    <x v="0"/>
    <x v="5"/>
    <x v="0"/>
    <x v="0"/>
    <m/>
    <x v="0"/>
    <x v="1"/>
    <x v="0"/>
    <x v="0"/>
    <x v="0"/>
    <x v="0"/>
    <n v="481.5936149796978"/>
    <n v="86.686850696345601"/>
    <n v="0"/>
    <d v="2023-12-31T00:00:00"/>
    <x v="0"/>
  </r>
  <r>
    <n v="242"/>
    <d v="2023-12-01T00:00:00"/>
    <s v="27122023-A-044639"/>
    <d v="2023-12-27T00:00:00"/>
    <x v="0"/>
    <x v="0"/>
    <n v="32370"/>
    <x v="4"/>
    <x v="0"/>
    <n v="5201.009"/>
    <n v="1.6"/>
    <n v="0"/>
    <n v="0"/>
    <x v="0"/>
    <s v="Raw Cotton"/>
    <n v="14526779"/>
    <x v="0"/>
    <n v="2614820.2199999997"/>
    <x v="0"/>
    <m/>
    <m/>
    <x v="0"/>
    <x v="0"/>
    <x v="0"/>
    <x v="0"/>
    <x v="0"/>
    <x v="0"/>
    <m/>
    <x v="0"/>
    <x v="1"/>
    <x v="0"/>
    <x v="0"/>
    <x v="0"/>
    <x v="0"/>
    <n v="448.77290701266605"/>
    <n v="80.779123262279882"/>
    <n v="0"/>
    <d v="2023-12-31T00:00:00"/>
    <x v="0"/>
  </r>
  <r>
    <n v="243"/>
    <d v="2023-12-01T00:00:00"/>
    <s v="27122023-A-044645"/>
    <d v="2023-12-27T00:00:00"/>
    <x v="0"/>
    <x v="0"/>
    <n v="30708"/>
    <x v="4"/>
    <x v="0"/>
    <n v="5201.009"/>
    <n v="1.49"/>
    <n v="0"/>
    <n v="0"/>
    <x v="0"/>
    <s v="Raw Cotton"/>
    <n v="12834766"/>
    <x v="0"/>
    <n v="2310257.88"/>
    <x v="0"/>
    <m/>
    <m/>
    <x v="0"/>
    <x v="0"/>
    <x v="0"/>
    <x v="0"/>
    <x v="0"/>
    <x v="0"/>
    <m/>
    <x v="0"/>
    <x v="1"/>
    <x v="0"/>
    <x v="0"/>
    <x v="0"/>
    <x v="0"/>
    <n v="417.96163866093525"/>
    <n v="75.233094958968337"/>
    <n v="0"/>
    <d v="2023-12-31T00:00:00"/>
    <x v="0"/>
  </r>
  <r>
    <n v="244"/>
    <d v="2023-12-01T00:00:00"/>
    <s v="27122023-A-044647"/>
    <d v="2023-12-27T00:00:00"/>
    <x v="0"/>
    <x v="0"/>
    <n v="31348"/>
    <x v="4"/>
    <x v="0"/>
    <n v="5201.009"/>
    <n v="1.5"/>
    <n v="0"/>
    <n v="0"/>
    <x v="0"/>
    <s v="Raw Cotton"/>
    <n v="13186250"/>
    <x v="0"/>
    <n v="2373525"/>
    <x v="0"/>
    <m/>
    <m/>
    <x v="0"/>
    <x v="0"/>
    <x v="0"/>
    <x v="0"/>
    <x v="0"/>
    <x v="0"/>
    <m/>
    <x v="0"/>
    <x v="1"/>
    <x v="0"/>
    <x v="0"/>
    <x v="0"/>
    <x v="0"/>
    <n v="420.64087023095573"/>
    <n v="75.715356641572029"/>
    <n v="0"/>
    <d v="2023-12-31T00:00:00"/>
    <x v="0"/>
  </r>
  <r>
    <n v="245"/>
    <d v="2023-12-01T00:00:00"/>
    <s v="27122023-A-044650"/>
    <d v="2023-12-27T00:00:00"/>
    <x v="0"/>
    <x v="0"/>
    <n v="31355"/>
    <x v="4"/>
    <x v="0"/>
    <n v="5201.009"/>
    <n v="1.5"/>
    <n v="0"/>
    <n v="0"/>
    <x v="0"/>
    <s v="Raw Cotton"/>
    <n v="13189195"/>
    <x v="0"/>
    <n v="2374055.1"/>
    <x v="0"/>
    <m/>
    <m/>
    <x v="0"/>
    <x v="0"/>
    <x v="0"/>
    <x v="0"/>
    <x v="0"/>
    <x v="0"/>
    <m/>
    <x v="0"/>
    <x v="1"/>
    <x v="0"/>
    <x v="0"/>
    <x v="0"/>
    <x v="0"/>
    <n v="420.64088662095361"/>
    <n v="75.715359591771644"/>
    <n v="0"/>
    <d v="2023-12-31T00:00:00"/>
    <x v="0"/>
  </r>
  <r>
    <n v="246"/>
    <d v="2023-12-01T00:00:00"/>
    <s v="27122023-A-044657"/>
    <d v="2023-12-27T00:00:00"/>
    <x v="0"/>
    <x v="0"/>
    <n v="91452"/>
    <x v="4"/>
    <x v="0"/>
    <n v="5201.009"/>
    <n v="1.51"/>
    <n v="0"/>
    <n v="0"/>
    <x v="0"/>
    <s v="Raw Cotton"/>
    <n v="38590960"/>
    <x v="0"/>
    <n v="6946372.7999999998"/>
    <x v="0"/>
    <m/>
    <m/>
    <x v="0"/>
    <x v="0"/>
    <x v="0"/>
    <x v="0"/>
    <x v="0"/>
    <x v="0"/>
    <m/>
    <x v="0"/>
    <x v="1"/>
    <x v="0"/>
    <x v="0"/>
    <x v="0"/>
    <x v="0"/>
    <n v="421.98049249879716"/>
    <n v="75.956488649783495"/>
    <n v="0"/>
    <d v="2023-12-31T00:00:00"/>
    <x v="0"/>
  </r>
  <r>
    <n v="247"/>
    <d v="2023-12-01T00:00:00"/>
    <s v="27122023-A-044663"/>
    <d v="2023-12-27T00:00:00"/>
    <x v="0"/>
    <x v="0"/>
    <n v="29681"/>
    <x v="4"/>
    <x v="0"/>
    <n v="5201.009"/>
    <n v="1.6"/>
    <n v="0"/>
    <n v="0"/>
    <x v="0"/>
    <s v="Raw Cotton"/>
    <n v="13280267"/>
    <x v="0"/>
    <n v="2390448.06"/>
    <x v="0"/>
    <m/>
    <m/>
    <x v="0"/>
    <x v="0"/>
    <x v="0"/>
    <x v="0"/>
    <x v="0"/>
    <x v="0"/>
    <m/>
    <x v="0"/>
    <x v="1"/>
    <x v="0"/>
    <x v="0"/>
    <x v="0"/>
    <x v="0"/>
    <n v="447.43327381152926"/>
    <n v="80.537989286075273"/>
    <n v="0"/>
    <d v="2023-12-31T00:00:00"/>
    <x v="0"/>
  </r>
  <r>
    <n v="248"/>
    <d v="2023-12-01T00:00:00"/>
    <s v="27122023-A-044668"/>
    <d v="2023-12-27T00:00:00"/>
    <x v="0"/>
    <x v="0"/>
    <n v="59309"/>
    <x v="4"/>
    <x v="0"/>
    <n v="5503.201"/>
    <n v="1.29"/>
    <n v="0"/>
    <n v="0"/>
    <x v="1"/>
    <s v="Polyester Staple Fiber"/>
    <n v="21351240"/>
    <x v="0"/>
    <n v="3843223.1999999997"/>
    <x v="0"/>
    <m/>
    <m/>
    <x v="0"/>
    <x v="0"/>
    <x v="0"/>
    <x v="0"/>
    <x v="0"/>
    <x v="0"/>
    <m/>
    <x v="0"/>
    <x v="1"/>
    <x v="0"/>
    <x v="0"/>
    <x v="0"/>
    <x v="1"/>
    <n v="360"/>
    <n v="64.8"/>
    <n v="0"/>
    <d v="2023-12-31T00:00:00"/>
    <x v="0"/>
  </r>
  <r>
    <n v="249"/>
    <d v="2023-12-04T00:00:00"/>
    <s v="27122023-A-044673"/>
    <d v="2023-12-27T00:00:00"/>
    <x v="0"/>
    <x v="0"/>
    <n v="22219"/>
    <x v="4"/>
    <x v="0"/>
    <n v="5503.201"/>
    <n v="1.29"/>
    <n v="0"/>
    <n v="0"/>
    <x v="1"/>
    <s v="Polyester Staple Fiber"/>
    <n v="7998660"/>
    <x v="0"/>
    <n v="1439758.8"/>
    <x v="0"/>
    <m/>
    <m/>
    <x v="0"/>
    <x v="0"/>
    <x v="0"/>
    <x v="0"/>
    <x v="0"/>
    <x v="0"/>
    <m/>
    <x v="0"/>
    <x v="1"/>
    <x v="0"/>
    <x v="0"/>
    <x v="0"/>
    <x v="1"/>
    <n v="359.99189882532966"/>
    <n v="64.798541788559348"/>
    <n v="0"/>
    <d v="2024-01-03T00:00:00"/>
    <x v="0"/>
  </r>
  <r>
    <n v="250"/>
    <d v="2023-12-01T00:00:00"/>
    <s v="27122023-A-044676"/>
    <d v="2023-12-27T00:00:00"/>
    <x v="0"/>
    <x v="0"/>
    <n v="12811"/>
    <x v="4"/>
    <x v="0"/>
    <n v="5503.201"/>
    <n v="1.29"/>
    <n v="0"/>
    <n v="0"/>
    <x v="1"/>
    <s v="Polyester Staple Fiber"/>
    <n v="4611816"/>
    <x v="0"/>
    <n v="830126.88"/>
    <x v="0"/>
    <m/>
    <m/>
    <x v="0"/>
    <x v="0"/>
    <x v="0"/>
    <x v="0"/>
    <x v="0"/>
    <x v="0"/>
    <m/>
    <x v="0"/>
    <x v="1"/>
    <x v="0"/>
    <x v="0"/>
    <x v="0"/>
    <x v="1"/>
    <n v="359.98875965966749"/>
    <n v="64.797976738740147"/>
    <n v="0"/>
    <d v="2023-12-31T00:00:00"/>
    <x v="0"/>
  </r>
  <r>
    <n v="251"/>
    <d v="2023-12-01T00:00:00"/>
    <s v="27122023-A-044680"/>
    <d v="2023-12-27T00:00:00"/>
    <x v="0"/>
    <x v="0"/>
    <n v="1364"/>
    <x v="4"/>
    <x v="0"/>
    <n v="5503.201"/>
    <n v="1.48"/>
    <n v="0"/>
    <n v="0"/>
    <x v="1"/>
    <s v="Polyester Staple Fiber"/>
    <n v="565852.5"/>
    <x v="0"/>
    <n v="101853.45"/>
    <x v="0"/>
    <m/>
    <m/>
    <x v="0"/>
    <x v="0"/>
    <x v="0"/>
    <x v="0"/>
    <x v="0"/>
    <x v="0"/>
    <m/>
    <x v="0"/>
    <x v="1"/>
    <x v="0"/>
    <x v="0"/>
    <x v="0"/>
    <x v="1"/>
    <n v="414.84787390029328"/>
    <n v="74.672617302052785"/>
    <n v="0"/>
    <d v="2023-12-31T00:00:00"/>
    <x v="0"/>
  </r>
  <r>
    <n v="252"/>
    <d v="2023-12-01T00:00:00"/>
    <s v="27122023-A-044687"/>
    <d v="2023-12-27T00:00:00"/>
    <x v="0"/>
    <x v="0"/>
    <n v="12864"/>
    <x v="4"/>
    <x v="0"/>
    <n v="5505.1"/>
    <n v="1.37"/>
    <n v="0"/>
    <n v="0"/>
    <x v="20"/>
    <s v="Comber Noil"/>
    <n v="4926912"/>
    <x v="0"/>
    <n v="886844.15999999992"/>
    <x v="0"/>
    <m/>
    <m/>
    <x v="0"/>
    <x v="0"/>
    <x v="0"/>
    <x v="4"/>
    <x v="0"/>
    <x v="0"/>
    <m/>
    <x v="0"/>
    <x v="1"/>
    <x v="0"/>
    <x v="0"/>
    <x v="0"/>
    <x v="9"/>
    <n v="383"/>
    <n v="68.94"/>
    <n v="0"/>
    <d v="2023-12-31T00:00:00"/>
    <x v="0"/>
  </r>
  <r>
    <n v="253"/>
    <d v="2023-12-01T00:00:00"/>
    <s v="27122023-A-044691"/>
    <d v="2023-12-27T00:00:00"/>
    <x v="0"/>
    <x v="0"/>
    <n v="11920"/>
    <x v="4"/>
    <x v="0"/>
    <n v="5505.1"/>
    <n v="1.37"/>
    <n v="0"/>
    <n v="0"/>
    <x v="20"/>
    <s v="Comber Noil"/>
    <n v="4565360"/>
    <x v="0"/>
    <n v="821764.79999999993"/>
    <x v="0"/>
    <m/>
    <m/>
    <x v="0"/>
    <x v="0"/>
    <x v="0"/>
    <x v="4"/>
    <x v="0"/>
    <x v="0"/>
    <m/>
    <x v="0"/>
    <x v="1"/>
    <x v="0"/>
    <x v="0"/>
    <x v="0"/>
    <x v="9"/>
    <n v="383"/>
    <n v="68.94"/>
    <n v="0"/>
    <d v="2023-12-31T00:00:00"/>
    <x v="0"/>
  </r>
  <r>
    <n v="254"/>
    <d v="2023-12-01T00:00:00"/>
    <s v="27122023-A-044707"/>
    <d v="2023-12-27T00:00:00"/>
    <x v="0"/>
    <x v="0"/>
    <n v="12884"/>
    <x v="4"/>
    <x v="0"/>
    <n v="5505.1"/>
    <n v="1.37"/>
    <n v="0"/>
    <n v="0"/>
    <x v="20"/>
    <s v="Comber Noil"/>
    <n v="4934572"/>
    <x v="0"/>
    <n v="888222.96"/>
    <x v="0"/>
    <m/>
    <m/>
    <x v="0"/>
    <x v="0"/>
    <x v="0"/>
    <x v="4"/>
    <x v="0"/>
    <x v="0"/>
    <m/>
    <x v="0"/>
    <x v="1"/>
    <x v="0"/>
    <x v="0"/>
    <x v="0"/>
    <x v="9"/>
    <n v="383"/>
    <n v="68.94"/>
    <n v="0"/>
    <d v="2023-12-31T00:00:00"/>
    <x v="0"/>
  </r>
  <r>
    <n v="255"/>
    <d v="2023-12-01T00:00:00"/>
    <s v="27122023-A-044711"/>
    <d v="2023-12-27T00:00:00"/>
    <x v="0"/>
    <x v="0"/>
    <n v="12050"/>
    <x v="4"/>
    <x v="0"/>
    <n v="5505.1"/>
    <n v="1.37"/>
    <n v="0"/>
    <n v="0"/>
    <x v="20"/>
    <s v="Comber Noil"/>
    <n v="4615150"/>
    <x v="0"/>
    <n v="830727"/>
    <x v="0"/>
    <m/>
    <m/>
    <x v="0"/>
    <x v="0"/>
    <x v="0"/>
    <x v="4"/>
    <x v="0"/>
    <x v="0"/>
    <m/>
    <x v="0"/>
    <x v="1"/>
    <x v="0"/>
    <x v="0"/>
    <x v="0"/>
    <x v="9"/>
    <n v="383"/>
    <n v="68.94"/>
    <n v="0"/>
    <d v="2023-12-31T00:00:00"/>
    <x v="0"/>
  </r>
  <r>
    <n v="256"/>
    <d v="2023-12-01T00:00:00"/>
    <s v="27122023-A-044715"/>
    <d v="2023-12-27T00:00:00"/>
    <x v="0"/>
    <x v="0"/>
    <n v="10282"/>
    <x v="4"/>
    <x v="0"/>
    <n v="5505.1"/>
    <n v="1.37"/>
    <n v="0"/>
    <n v="0"/>
    <x v="20"/>
    <s v="Comber Noil"/>
    <n v="3938006"/>
    <x v="0"/>
    <n v="708841.08"/>
    <x v="0"/>
    <m/>
    <m/>
    <x v="0"/>
    <x v="0"/>
    <x v="0"/>
    <x v="4"/>
    <x v="0"/>
    <x v="0"/>
    <m/>
    <x v="0"/>
    <x v="1"/>
    <x v="0"/>
    <x v="0"/>
    <x v="0"/>
    <x v="9"/>
    <n v="383"/>
    <n v="68.94"/>
    <n v="0"/>
    <d v="2023-12-31T00:00:00"/>
    <x v="0"/>
  </r>
  <r>
    <n v="257"/>
    <d v="2023-12-06T00:00:00"/>
    <s v="27122023-A-044717"/>
    <d v="2023-12-27T00:00:00"/>
    <x v="0"/>
    <x v="0"/>
    <n v="12357"/>
    <x v="4"/>
    <x v="0"/>
    <n v="5505.1"/>
    <n v="1.3"/>
    <n v="0"/>
    <n v="0"/>
    <x v="20"/>
    <s v="Comber Noil"/>
    <n v="4485591"/>
    <x v="0"/>
    <n v="807406.38"/>
    <x v="0"/>
    <m/>
    <m/>
    <x v="0"/>
    <x v="0"/>
    <x v="0"/>
    <x v="4"/>
    <x v="0"/>
    <x v="0"/>
    <m/>
    <x v="0"/>
    <x v="1"/>
    <x v="0"/>
    <x v="0"/>
    <x v="0"/>
    <x v="9"/>
    <n v="363"/>
    <n v="65.34"/>
    <n v="0"/>
    <d v="2024-01-05T00:00:00"/>
    <x v="0"/>
  </r>
  <r>
    <n v="258"/>
    <d v="2023-12-06T00:00:00"/>
    <s v="27122023-A-044722"/>
    <d v="2023-12-27T00:00:00"/>
    <x v="0"/>
    <x v="0"/>
    <n v="11970"/>
    <x v="4"/>
    <x v="0"/>
    <n v="5505.1"/>
    <n v="1.3"/>
    <n v="0"/>
    <n v="0"/>
    <x v="20"/>
    <s v="Comber Noil"/>
    <n v="4345110"/>
    <x v="0"/>
    <n v="782119.79999999993"/>
    <x v="0"/>
    <m/>
    <m/>
    <x v="0"/>
    <x v="0"/>
    <x v="0"/>
    <x v="4"/>
    <x v="0"/>
    <x v="0"/>
    <m/>
    <x v="0"/>
    <x v="1"/>
    <x v="0"/>
    <x v="0"/>
    <x v="0"/>
    <x v="9"/>
    <n v="363"/>
    <n v="65.339999999999989"/>
    <n v="0"/>
    <d v="2024-01-05T00:00:00"/>
    <x v="0"/>
  </r>
  <r>
    <n v="259"/>
    <d v="2023-12-01T00:00:00"/>
    <s v="27122023-A-044737"/>
    <d v="2023-12-27T00:00:00"/>
    <x v="0"/>
    <x v="0"/>
    <n v="5670"/>
    <x v="4"/>
    <x v="0"/>
    <n v="5206.12"/>
    <n v="2.17"/>
    <n v="0"/>
    <n v="0"/>
    <x v="3"/>
    <s v="CVC60:40 - 14/1  (12500  LBS"/>
    <n v="3450000"/>
    <x v="0"/>
    <n v="621000"/>
    <x v="0"/>
    <m/>
    <m/>
    <x v="0"/>
    <x v="0"/>
    <x v="0"/>
    <x v="4"/>
    <x v="0"/>
    <x v="0"/>
    <m/>
    <x v="0"/>
    <x v="1"/>
    <x v="0"/>
    <x v="0"/>
    <x v="0"/>
    <x v="3"/>
    <n v="608.46560846560851"/>
    <n v="109.52380952380952"/>
    <n v="0"/>
    <d v="2023-12-31T00:00:00"/>
    <x v="0"/>
  </r>
  <r>
    <n v="260"/>
    <d v="2023-12-01T00:00:00"/>
    <s v="27122023-A-044747"/>
    <d v="2023-12-27T00:00:00"/>
    <x v="0"/>
    <x v="0"/>
    <n v="7666"/>
    <x v="4"/>
    <x v="0"/>
    <n v="5206.1400000000003"/>
    <n v="2.7"/>
    <n v="0"/>
    <n v="0"/>
    <x v="3"/>
    <s v="CVC60:40 - 40/1 ( 16900 LBS)"/>
    <n v="5796700"/>
    <x v="0"/>
    <n v="1043406"/>
    <x v="0"/>
    <m/>
    <m/>
    <x v="0"/>
    <x v="0"/>
    <x v="0"/>
    <x v="4"/>
    <x v="0"/>
    <x v="0"/>
    <m/>
    <x v="0"/>
    <x v="1"/>
    <x v="0"/>
    <x v="0"/>
    <x v="0"/>
    <x v="3"/>
    <n v="756.15705713540308"/>
    <n v="136.10827028437257"/>
    <n v="0"/>
    <d v="2023-12-31T00:00:00"/>
    <x v="0"/>
  </r>
  <r>
    <n v="261"/>
    <d v="2023-12-01T00:00:00"/>
    <s v="27122023-A-044749"/>
    <d v="2023-12-27T00:00:00"/>
    <x v="0"/>
    <x v="0"/>
    <n v="5534"/>
    <x v="4"/>
    <x v="0"/>
    <n v="5206.12"/>
    <n v="2.7"/>
    <n v="0"/>
    <n v="0"/>
    <x v="3"/>
    <s v="CVC60:40 - 24/1 ( 12200 LBS)"/>
    <n v="4184600"/>
    <x v="0"/>
    <n v="753228"/>
    <x v="0"/>
    <m/>
    <m/>
    <x v="0"/>
    <x v="0"/>
    <x v="0"/>
    <x v="4"/>
    <x v="0"/>
    <x v="0"/>
    <m/>
    <x v="0"/>
    <x v="1"/>
    <x v="0"/>
    <x v="0"/>
    <x v="0"/>
    <x v="3"/>
    <n v="756.16190820383088"/>
    <n v="136.10914347668955"/>
    <n v="0"/>
    <d v="2023-12-31T00:00:00"/>
    <x v="0"/>
  </r>
  <r>
    <n v="262"/>
    <d v="2023-12-01T00:00:00"/>
    <s v="27122023-A-044753"/>
    <d v="2023-12-27T00:00:00"/>
    <x v="0"/>
    <x v="0"/>
    <n v="4854"/>
    <x v="4"/>
    <x v="0"/>
    <n v="5206.1400000000003"/>
    <n v="2.7"/>
    <n v="0"/>
    <n v="0"/>
    <x v="3"/>
    <s v="CVC60:40 - 40/1 ( 10700 LBS)"/>
    <n v="3670100"/>
    <x v="0"/>
    <n v="660618"/>
    <x v="0"/>
    <m/>
    <m/>
    <x v="0"/>
    <x v="0"/>
    <x v="0"/>
    <x v="4"/>
    <x v="0"/>
    <x v="0"/>
    <m/>
    <x v="0"/>
    <x v="1"/>
    <x v="0"/>
    <x v="0"/>
    <x v="0"/>
    <x v="3"/>
    <n v="756.09806345282243"/>
    <n v="136.09765142150803"/>
    <n v="0"/>
    <d v="2023-12-31T00:00:00"/>
    <x v="0"/>
  </r>
  <r>
    <n v="263"/>
    <d v="2023-12-08T00:00:00"/>
    <s v="02012024-A-047155"/>
    <d v="2024-01-02T00:00:00"/>
    <x v="0"/>
    <x v="0"/>
    <n v="12120"/>
    <x v="4"/>
    <x v="0"/>
    <n v="5505.1"/>
    <n v="1.3"/>
    <n v="0"/>
    <n v="0"/>
    <x v="20"/>
    <s v="Comber Noil"/>
    <n v="4399560"/>
    <x v="0"/>
    <n v="791920.79999999993"/>
    <x v="0"/>
    <m/>
    <m/>
    <x v="0"/>
    <x v="0"/>
    <x v="0"/>
    <x v="4"/>
    <x v="0"/>
    <x v="0"/>
    <m/>
    <x v="0"/>
    <x v="1"/>
    <x v="0"/>
    <x v="0"/>
    <x v="0"/>
    <x v="9"/>
    <n v="363"/>
    <n v="65.339999999999989"/>
    <n v="0"/>
    <d v="2024-01-07T00:00:00"/>
    <x v="0"/>
  </r>
  <r>
    <n v="264"/>
    <d v="2023-12-08T00:00:00"/>
    <s v="02012024-A-047159"/>
    <d v="2024-01-02T00:00:00"/>
    <x v="0"/>
    <x v="0"/>
    <n v="12734"/>
    <x v="4"/>
    <x v="0"/>
    <n v="5505.1"/>
    <n v="1.3"/>
    <n v="0"/>
    <n v="0"/>
    <x v="20"/>
    <s v="Comber Noil"/>
    <n v="4622442"/>
    <x v="0"/>
    <n v="832039.55999999994"/>
    <x v="0"/>
    <m/>
    <m/>
    <x v="0"/>
    <x v="0"/>
    <x v="0"/>
    <x v="4"/>
    <x v="0"/>
    <x v="0"/>
    <m/>
    <x v="0"/>
    <x v="1"/>
    <x v="0"/>
    <x v="0"/>
    <x v="0"/>
    <x v="9"/>
    <n v="363"/>
    <n v="65.339999999999989"/>
    <n v="0"/>
    <d v="2024-01-07T00:00:00"/>
    <x v="0"/>
  </r>
  <r>
    <n v="265"/>
    <d v="2023-12-11T00:00:00"/>
    <s v="02012024-A-047163"/>
    <d v="2024-01-02T00:00:00"/>
    <x v="0"/>
    <x v="0"/>
    <n v="12654"/>
    <x v="4"/>
    <x v="0"/>
    <n v="5505.1"/>
    <n v="1.3"/>
    <n v="0"/>
    <n v="0"/>
    <x v="20"/>
    <s v="Comber Noil"/>
    <n v="4593402"/>
    <x v="0"/>
    <n v="826812.36"/>
    <x v="0"/>
    <m/>
    <m/>
    <x v="0"/>
    <x v="0"/>
    <x v="0"/>
    <x v="4"/>
    <x v="0"/>
    <x v="0"/>
    <m/>
    <x v="0"/>
    <x v="1"/>
    <x v="0"/>
    <x v="0"/>
    <x v="0"/>
    <x v="9"/>
    <n v="363"/>
    <n v="65.34"/>
    <n v="0"/>
    <d v="2024-01-10T00:00:00"/>
    <x v="0"/>
  </r>
  <r>
    <n v="266"/>
    <d v="2023-12-11T00:00:00"/>
    <s v="02012024-A-047167"/>
    <d v="2024-01-02T00:00:00"/>
    <x v="0"/>
    <x v="0"/>
    <n v="12050"/>
    <x v="4"/>
    <x v="0"/>
    <n v="5505.1"/>
    <n v="1.3"/>
    <n v="0"/>
    <n v="0"/>
    <x v="20"/>
    <s v="Comber Noil"/>
    <n v="4374150"/>
    <x v="0"/>
    <n v="787347"/>
    <x v="0"/>
    <m/>
    <m/>
    <x v="0"/>
    <x v="0"/>
    <x v="0"/>
    <x v="4"/>
    <x v="0"/>
    <x v="0"/>
    <m/>
    <x v="0"/>
    <x v="1"/>
    <x v="0"/>
    <x v="0"/>
    <x v="0"/>
    <x v="9"/>
    <n v="363"/>
    <n v="65.34"/>
    <n v="0"/>
    <d v="2024-01-10T00:00:00"/>
    <x v="0"/>
  </r>
  <r>
    <n v="267"/>
    <d v="2023-12-01T00:00:00"/>
    <s v="02012024-A-047177"/>
    <d v="2024-01-02T00:00:00"/>
    <x v="0"/>
    <x v="0"/>
    <n v="11794"/>
    <x v="4"/>
    <x v="0"/>
    <n v="5206.12"/>
    <n v="2.44"/>
    <n v="0"/>
    <n v="0"/>
    <x v="3"/>
    <s v="PC52:48 - 24/1 ( 26000 LBS"/>
    <n v="8060000"/>
    <x v="0"/>
    <n v="1450800"/>
    <x v="0"/>
    <m/>
    <m/>
    <x v="0"/>
    <x v="0"/>
    <x v="0"/>
    <x v="4"/>
    <x v="0"/>
    <x v="0"/>
    <m/>
    <x v="0"/>
    <x v="1"/>
    <x v="0"/>
    <x v="0"/>
    <x v="0"/>
    <x v="3"/>
    <n v="683.39833813803625"/>
    <n v="123.01170086484653"/>
    <n v="0"/>
    <d v="2023-12-31T00:00:00"/>
    <x v="0"/>
  </r>
  <r>
    <n v="268"/>
    <d v="2023-12-01T00:00:00"/>
    <s v="02012024-A-047184"/>
    <d v="2024-01-02T00:00:00"/>
    <x v="0"/>
    <x v="0"/>
    <n v="6577"/>
    <x v="4"/>
    <x v="0"/>
    <n v="5206.12"/>
    <n v="2.2400000000000002"/>
    <n v="0"/>
    <n v="0"/>
    <x v="3"/>
    <s v="PC65:35 - 24/1 (14500 LBS)"/>
    <n v="4132500"/>
    <x v="0"/>
    <n v="743850"/>
    <x v="0"/>
    <m/>
    <m/>
    <x v="0"/>
    <x v="0"/>
    <x v="0"/>
    <x v="4"/>
    <x v="0"/>
    <x v="0"/>
    <m/>
    <x v="0"/>
    <x v="1"/>
    <x v="0"/>
    <x v="0"/>
    <x v="0"/>
    <x v="3"/>
    <n v="628.32598449140949"/>
    <n v="113.09867720845371"/>
    <n v="0"/>
    <d v="2023-12-31T00:00:00"/>
    <x v="0"/>
  </r>
  <r>
    <n v="269"/>
    <d v="2023-12-01T00:00:00"/>
    <s v="02012024-A-047189"/>
    <d v="2024-01-02T00:00:00"/>
    <x v="0"/>
    <x v="0"/>
    <n v="9072"/>
    <x v="4"/>
    <x v="0"/>
    <n v="5206.12"/>
    <n v="2.44"/>
    <n v="0"/>
    <n v="0"/>
    <x v="3"/>
    <s v="PC52:48 - 24/1 (20000 LBS)"/>
    <n v="6200000"/>
    <x v="0"/>
    <n v="1116000"/>
    <x v="0"/>
    <m/>
    <m/>
    <x v="0"/>
    <x v="0"/>
    <x v="0"/>
    <x v="4"/>
    <x v="0"/>
    <x v="0"/>
    <m/>
    <x v="0"/>
    <x v="1"/>
    <x v="0"/>
    <x v="0"/>
    <x v="0"/>
    <x v="3"/>
    <n v="683.42151675485013"/>
    <n v="123.01587301587301"/>
    <n v="0"/>
    <d v="2023-12-31T00:00:00"/>
    <x v="0"/>
  </r>
  <r>
    <n v="270"/>
    <d v="2023-12-01T00:00:00"/>
    <s v="02012024-A-047195"/>
    <d v="2024-01-02T00:00:00"/>
    <x v="0"/>
    <x v="0"/>
    <n v="6350"/>
    <x v="4"/>
    <x v="0"/>
    <n v="5206.12"/>
    <n v="2.5"/>
    <n v="0"/>
    <n v="0"/>
    <x v="3"/>
    <s v="PC52:48 - 24/1 (14000 LBS)"/>
    <n v="4452000"/>
    <x v="0"/>
    <n v="801360"/>
    <x v="0"/>
    <m/>
    <m/>
    <x v="0"/>
    <x v="0"/>
    <x v="0"/>
    <x v="4"/>
    <x v="0"/>
    <x v="0"/>
    <m/>
    <x v="0"/>
    <x v="1"/>
    <x v="0"/>
    <x v="0"/>
    <x v="0"/>
    <x v="3"/>
    <n v="701.10236220472439"/>
    <n v="126.19842519685039"/>
    <n v="0"/>
    <d v="2023-12-31T00:00:00"/>
    <x v="0"/>
  </r>
  <r>
    <n v="271"/>
    <d v="2023-12-01T00:00:00"/>
    <s v="02012024-A-047200"/>
    <d v="2024-01-02T00:00:00"/>
    <x v="0"/>
    <x v="0"/>
    <n v="8119"/>
    <x v="4"/>
    <x v="0"/>
    <n v="5206.2299999999996"/>
    <n v="2.69"/>
    <n v="0"/>
    <n v="0"/>
    <x v="3"/>
    <s v="PC52:48 - 30/1 (17900 LBS)"/>
    <n v="6121800"/>
    <x v="0"/>
    <n v="1101924"/>
    <x v="0"/>
    <m/>
    <m/>
    <x v="0"/>
    <x v="0"/>
    <x v="0"/>
    <x v="4"/>
    <x v="0"/>
    <x v="0"/>
    <m/>
    <x v="0"/>
    <x v="1"/>
    <x v="0"/>
    <x v="0"/>
    <x v="0"/>
    <x v="3"/>
    <n v="754.00911442295853"/>
    <n v="135.72164059613252"/>
    <n v="0"/>
    <d v="2023-12-31T00:00:00"/>
    <x v="0"/>
  </r>
  <r>
    <n v="272"/>
    <d v="2023-12-01T00:00:00"/>
    <s v="02012024-A-047210"/>
    <d v="2024-01-02T00:00:00"/>
    <x v="0"/>
    <x v="0"/>
    <n v="5625"/>
    <x v="4"/>
    <x v="0"/>
    <n v="5206.12"/>
    <n v="2.5"/>
    <n v="0"/>
    <n v="0"/>
    <x v="3"/>
    <s v="PC52:48 - 40/1 (12400 LBS)"/>
    <n v="3943200"/>
    <x v="0"/>
    <n v="709776"/>
    <x v="0"/>
    <m/>
    <m/>
    <x v="0"/>
    <x v="0"/>
    <x v="0"/>
    <x v="4"/>
    <x v="0"/>
    <x v="0"/>
    <m/>
    <x v="0"/>
    <x v="1"/>
    <x v="0"/>
    <x v="0"/>
    <x v="0"/>
    <x v="3"/>
    <n v="701.01333333333332"/>
    <n v="126.1824"/>
    <n v="0"/>
    <d v="2023-12-31T00:00:00"/>
    <x v="0"/>
  </r>
  <r>
    <n v="273"/>
    <d v="2023-12-04T00:00:00"/>
    <s v="02012024-A-047215"/>
    <d v="2024-01-02T00:00:00"/>
    <x v="0"/>
    <x v="0"/>
    <n v="6804"/>
    <x v="4"/>
    <x v="0"/>
    <n v="5206.12"/>
    <n v="2"/>
    <n v="0"/>
    <n v="0"/>
    <x v="3"/>
    <s v="PC65:35 18/1 (15000 LBS)"/>
    <n v="3810000"/>
    <x v="0"/>
    <n v="685800"/>
    <x v="0"/>
    <m/>
    <m/>
    <x v="0"/>
    <x v="0"/>
    <x v="0"/>
    <x v="4"/>
    <x v="0"/>
    <x v="0"/>
    <m/>
    <x v="0"/>
    <x v="1"/>
    <x v="0"/>
    <x v="0"/>
    <x v="0"/>
    <x v="3"/>
    <n v="559.96472663139332"/>
    <n v="100.7936507936508"/>
    <n v="0"/>
    <d v="2024-01-03T00:00:00"/>
    <x v="0"/>
  </r>
  <r>
    <n v="274"/>
    <d v="2023-12-04T00:00:00"/>
    <s v="02012024-A-047222"/>
    <d v="2024-01-02T00:00:00"/>
    <x v="0"/>
    <x v="0"/>
    <n v="8618"/>
    <x v="4"/>
    <x v="0"/>
    <n v="5206.12"/>
    <n v="2"/>
    <n v="0"/>
    <n v="0"/>
    <x v="3"/>
    <s v="PC65:35 18/1 19000 LBS)"/>
    <n v="4826000"/>
    <x v="0"/>
    <n v="868680"/>
    <x v="0"/>
    <m/>
    <m/>
    <x v="0"/>
    <x v="0"/>
    <x v="0"/>
    <x v="4"/>
    <x v="0"/>
    <x v="0"/>
    <m/>
    <x v="0"/>
    <x v="1"/>
    <x v="0"/>
    <x v="0"/>
    <x v="0"/>
    <x v="3"/>
    <n v="559.99071710373642"/>
    <n v="100.79832907867255"/>
    <n v="0"/>
    <d v="2024-01-03T00:00:00"/>
    <x v="0"/>
  </r>
  <r>
    <n v="275"/>
    <d v="2023-12-04T00:00:00"/>
    <s v="02012024-A-047229"/>
    <d v="2024-01-02T00:00:00"/>
    <x v="0"/>
    <x v="0"/>
    <n v="2722"/>
    <x v="4"/>
    <x v="0"/>
    <n v="5206.12"/>
    <n v="2.1"/>
    <n v="0"/>
    <n v="0"/>
    <x v="3"/>
    <s v="PC65:35 24/1 (6000 LBS)"/>
    <n v="1602000"/>
    <x v="0"/>
    <n v="288360"/>
    <x v="0"/>
    <m/>
    <m/>
    <x v="0"/>
    <x v="0"/>
    <x v="0"/>
    <x v="6"/>
    <x v="0"/>
    <x v="0"/>
    <m/>
    <x v="0"/>
    <x v="1"/>
    <x v="0"/>
    <x v="0"/>
    <x v="0"/>
    <x v="3"/>
    <n v="588.53783982365906"/>
    <n v="105.93681116825863"/>
    <n v="0"/>
    <d v="2024-01-03T00:00:00"/>
    <x v="0"/>
  </r>
  <r>
    <n v="276"/>
    <d v="2023-12-01T00:00:00"/>
    <s v="02012024-A-047233"/>
    <d v="2024-01-02T00:00:00"/>
    <x v="0"/>
    <x v="0"/>
    <n v="9072"/>
    <x v="4"/>
    <x v="0"/>
    <n v="5206.12"/>
    <n v="2.1"/>
    <n v="0"/>
    <n v="0"/>
    <x v="3"/>
    <s v="PC65:35 24/1 (20000 LBS)"/>
    <n v="5340000"/>
    <x v="0"/>
    <n v="961200"/>
    <x v="0"/>
    <m/>
    <m/>
    <x v="0"/>
    <x v="0"/>
    <x v="0"/>
    <x v="4"/>
    <x v="0"/>
    <x v="0"/>
    <m/>
    <x v="0"/>
    <x v="1"/>
    <x v="0"/>
    <x v="0"/>
    <x v="0"/>
    <x v="3"/>
    <n v="588.62433862433863"/>
    <n v="105.95238095238095"/>
    <n v="0"/>
    <d v="2023-12-31T00:00:00"/>
    <x v="0"/>
  </r>
  <r>
    <n v="277"/>
    <d v="2023-12-01T00:00:00"/>
    <s v="02012024-A-047234"/>
    <d v="2024-01-02T00:00:00"/>
    <x v="0"/>
    <x v="0"/>
    <n v="9072"/>
    <x v="4"/>
    <x v="0"/>
    <n v="5206.12"/>
    <n v="2"/>
    <n v="0"/>
    <n v="0"/>
    <x v="3"/>
    <s v="PC65:35 18/1 (20000 LBS)"/>
    <n v="5080000"/>
    <x v="0"/>
    <n v="914400"/>
    <x v="0"/>
    <m/>
    <m/>
    <x v="0"/>
    <x v="0"/>
    <x v="0"/>
    <x v="4"/>
    <x v="0"/>
    <x v="0"/>
    <m/>
    <x v="0"/>
    <x v="1"/>
    <x v="0"/>
    <x v="0"/>
    <x v="0"/>
    <x v="3"/>
    <n v="559.96472663139332"/>
    <n v="100.7936507936508"/>
    <n v="0"/>
    <d v="2023-12-31T00:00:00"/>
    <x v="0"/>
  </r>
  <r>
    <n v="278"/>
    <d v="2023-12-06T00:00:00"/>
    <s v="02012024-A-047246"/>
    <d v="2024-01-02T00:00:00"/>
    <x v="0"/>
    <x v="0"/>
    <n v="4510"/>
    <x v="4"/>
    <x v="0"/>
    <s v="2931.9090 / 3809.9190"/>
    <s v="1.92 / 0.41"/>
    <n v="0"/>
    <n v="0"/>
    <x v="12"/>
    <s v="LUFIBROL ANTOX LIQ"/>
    <n v="565180"/>
    <x v="0"/>
    <n v="101732.4"/>
    <x v="0"/>
    <m/>
    <m/>
    <x v="0"/>
    <x v="0"/>
    <x v="0"/>
    <x v="4"/>
    <x v="0"/>
    <x v="0"/>
    <m/>
    <x v="0"/>
    <x v="1"/>
    <x v="0"/>
    <x v="0"/>
    <x v="0"/>
    <x v="5"/>
    <n v="125.3170731707317"/>
    <n v="22.557073170731705"/>
    <n v="0"/>
    <d v="2024-01-05T00:00:00"/>
    <x v="0"/>
  </r>
  <r>
    <n v="279"/>
    <d v="2023-12-06T00:00:00"/>
    <s v="02012024-A-047249"/>
    <d v="2024-01-02T00:00:00"/>
    <x v="0"/>
    <x v="0"/>
    <n v="2200"/>
    <x v="4"/>
    <x v="0"/>
    <n v="3204.2"/>
    <n v="1.8"/>
    <n v="0"/>
    <n v="0"/>
    <x v="5"/>
    <s v="LEUCOPHOR BMF LIQUID"/>
    <n v="1111000"/>
    <x v="0"/>
    <n v="1999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05T00:00:00"/>
    <x v="0"/>
  </r>
  <r>
    <n v="280"/>
    <d v="2023-12-09T00:00:00"/>
    <s v="02012024-A-047254"/>
    <d v="2024-01-02T00:00:00"/>
    <x v="0"/>
    <x v="0"/>
    <n v="1540"/>
    <x v="4"/>
    <x v="0"/>
    <n v="3809.9189999999999"/>
    <n v="0.41"/>
    <n v="0"/>
    <n v="0"/>
    <x v="12"/>
    <s v="PRESTOGEN F-PL LIQ"/>
    <n v="177100"/>
    <x v="0"/>
    <n v="31878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08T00:00:00"/>
    <x v="0"/>
  </r>
  <r>
    <n v="281"/>
    <d v="2023-12-09T00:00:00"/>
    <s v="02012024-A-047258"/>
    <d v="2024-01-02T00:00:00"/>
    <x v="0"/>
    <x v="0"/>
    <n v="600"/>
    <x v="4"/>
    <x v="0"/>
    <n v="3204.2"/>
    <n v="1.8"/>
    <n v="0"/>
    <n v="0"/>
    <x v="5"/>
    <s v="LEUCOPHOR BMF LIQUID"/>
    <n v="303000"/>
    <x v="0"/>
    <n v="5454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08T00:00:00"/>
    <x v="0"/>
  </r>
  <r>
    <n v="282"/>
    <d v="2023-12-15T00:00:00"/>
    <s v="02012024-A-047267"/>
    <d v="2024-01-02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4T00:00:00"/>
    <x v="0"/>
  </r>
  <r>
    <n v="283"/>
    <d v="2023-12-15T00:00:00"/>
    <s v="02012024-A-047270"/>
    <d v="2024-01-02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4T00:00:00"/>
    <x v="0"/>
  </r>
  <r>
    <n v="284"/>
    <d v="2023-12-15T00:00:00"/>
    <s v="02012024-A-047281"/>
    <d v="2024-01-02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4T00:00:00"/>
    <x v="0"/>
  </r>
  <r>
    <n v="285"/>
    <d v="2023-12-15T00:00:00"/>
    <s v="02012024-A-047287"/>
    <d v="2024-01-02T00:00:00"/>
    <x v="0"/>
    <x v="0"/>
    <n v="2000"/>
    <x v="4"/>
    <x v="0"/>
    <n v="3906.9090000000001"/>
    <n v="0.7"/>
    <n v="0"/>
    <n v="0"/>
    <x v="12"/>
    <s v="TUBIFAST ACL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14T00:00:00"/>
    <x v="0"/>
  </r>
  <r>
    <n v="286"/>
    <d v="2023-12-15T00:00:00"/>
    <s v="02012024-A-047308"/>
    <d v="2024-01-02T00:00:00"/>
    <x v="0"/>
    <x v="0"/>
    <n v="1000"/>
    <x v="4"/>
    <x v="0"/>
    <n v="3906.9090000000001"/>
    <n v="0.7"/>
    <n v="0"/>
    <n v="0"/>
    <x v="12"/>
    <s v="TUBIFAST ACL"/>
    <n v="195000"/>
    <x v="0"/>
    <n v="351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14T00:00:00"/>
    <x v="0"/>
  </r>
  <r>
    <n v="287"/>
    <d v="2023-12-15T00:00:00"/>
    <s v="02012024-A-047312"/>
    <d v="2024-01-02T00:00:00"/>
    <x v="0"/>
    <x v="0"/>
    <n v="2000"/>
    <x v="4"/>
    <x v="0"/>
    <n v="3906.9090000000001"/>
    <n v="0.7"/>
    <n v="0"/>
    <n v="0"/>
    <x v="12"/>
    <s v="TUBIFAST ACL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14T00:00:00"/>
    <x v="0"/>
  </r>
  <r>
    <n v="288"/>
    <d v="2023-12-12T00:00:00"/>
    <s v="02012024-A-047316"/>
    <d v="2024-01-02T00:00:00"/>
    <x v="0"/>
    <x v="0"/>
    <n v="10000"/>
    <x v="4"/>
    <x v="0"/>
    <n v="3906.9090000000001"/>
    <n v="0.6"/>
    <n v="0"/>
    <n v="0"/>
    <x v="12"/>
    <s v="TUBIFAST ACL / ACE"/>
    <n v="1675000"/>
    <x v="0"/>
    <n v="301500"/>
    <x v="0"/>
    <m/>
    <m/>
    <x v="0"/>
    <x v="0"/>
    <x v="0"/>
    <x v="4"/>
    <x v="0"/>
    <x v="0"/>
    <m/>
    <x v="0"/>
    <x v="1"/>
    <x v="0"/>
    <x v="0"/>
    <x v="0"/>
    <x v="5"/>
    <n v="167.5"/>
    <n v="30.15"/>
    <n v="0"/>
    <d v="2024-01-11T00:00:00"/>
    <x v="0"/>
  </r>
  <r>
    <n v="289"/>
    <d v="2023-12-08T00:00:00"/>
    <s v="02012024-A-047319"/>
    <d v="2024-01-02T00:00:00"/>
    <x v="0"/>
    <x v="0"/>
    <n v="19810"/>
    <x v="4"/>
    <x v="0"/>
    <n v="2815.12"/>
    <n v="0.27"/>
    <n v="0"/>
    <n v="0"/>
    <x v="12"/>
    <s v="CAUSTIC SODA LIQUID"/>
    <n v="1510512.5"/>
    <x v="0"/>
    <n v="271892.25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07T00:00:00"/>
    <x v="0"/>
  </r>
  <r>
    <n v="290"/>
    <d v="2023-12-10T00:00:00"/>
    <s v="02012024-A-047320"/>
    <d v="2024-01-02T00:00:00"/>
    <x v="0"/>
    <x v="0"/>
    <n v="29760"/>
    <x v="4"/>
    <x v="0"/>
    <n v="2815.12"/>
    <n v="0.27"/>
    <n v="0"/>
    <n v="0"/>
    <x v="12"/>
    <s v="CAUSTIC SODA LIQUID"/>
    <n v="2269200"/>
    <x v="0"/>
    <n v="408456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09T00:00:00"/>
    <x v="0"/>
  </r>
  <r>
    <n v="291"/>
    <d v="2023-12-16T00:00:00"/>
    <s v="02012024-A-047324"/>
    <d v="2024-01-02T00:00:00"/>
    <x v="0"/>
    <x v="0"/>
    <n v="19410"/>
    <x v="4"/>
    <x v="0"/>
    <n v="2815.12"/>
    <n v="0.27"/>
    <n v="0"/>
    <n v="0"/>
    <x v="12"/>
    <s v="CAUSTIC SODA LIQUID"/>
    <n v="1480012.5"/>
    <x v="0"/>
    <n v="266402.25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15T00:00:00"/>
    <x v="0"/>
  </r>
  <r>
    <n v="292"/>
    <d v="2023-12-16T00:00:00"/>
    <s v="02012024-A-047326"/>
    <d v="2024-01-02T00:00:00"/>
    <x v="0"/>
    <x v="0"/>
    <n v="17070"/>
    <x v="4"/>
    <x v="0"/>
    <n v="2815.12"/>
    <n v="0.27"/>
    <n v="0"/>
    <n v="0"/>
    <x v="12"/>
    <s v="CAUSTIC SODA LIQUID"/>
    <n v="1301587.5"/>
    <x v="0"/>
    <n v="234285.75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15T00:00:00"/>
    <x v="0"/>
  </r>
  <r>
    <n v="293"/>
    <d v="2023-12-01T00:00:00"/>
    <s v="02012024-A-047329"/>
    <d v="2024-01-02T00:00:00"/>
    <x v="0"/>
    <x v="0"/>
    <n v="74"/>
    <x v="4"/>
    <x v="0"/>
    <n v="3204.12"/>
    <n v="33.06"/>
    <n v="0"/>
    <n v="0"/>
    <x v="5"/>
    <s v="ASUDEL RED MGR / YELLOW GL / OLIVE GWL"/>
    <n v="684900"/>
    <x v="0"/>
    <n v="123282"/>
    <x v="0"/>
    <m/>
    <m/>
    <x v="0"/>
    <x v="0"/>
    <x v="0"/>
    <x v="4"/>
    <x v="0"/>
    <x v="0"/>
    <m/>
    <x v="0"/>
    <x v="1"/>
    <x v="0"/>
    <x v="0"/>
    <x v="0"/>
    <x v="4"/>
    <n v="9255.405405405405"/>
    <n v="1665.9729729729729"/>
    <n v="0"/>
    <d v="2023-12-31T00:00:00"/>
    <x v="0"/>
  </r>
  <r>
    <n v="294"/>
    <d v="2023-12-01T00:00:00"/>
    <s v="03012024-A-047436"/>
    <d v="2024-01-03T00:00:00"/>
    <x v="0"/>
    <x v="0"/>
    <n v="5000"/>
    <x v="4"/>
    <x v="0"/>
    <n v="3809.9189999999999"/>
    <n v="1.61"/>
    <n v="0"/>
    <n v="0"/>
    <x v="12"/>
    <s v="OPTISIZE SP 100"/>
    <n v="2250000"/>
    <x v="0"/>
    <n v="405000"/>
    <x v="0"/>
    <m/>
    <m/>
    <x v="0"/>
    <x v="0"/>
    <x v="0"/>
    <x v="4"/>
    <x v="0"/>
    <x v="0"/>
    <m/>
    <x v="0"/>
    <x v="1"/>
    <x v="0"/>
    <x v="0"/>
    <x v="0"/>
    <x v="5"/>
    <n v="450"/>
    <n v="81"/>
    <n v="0"/>
    <d v="2023-12-31T00:00:00"/>
    <x v="0"/>
  </r>
  <r>
    <n v="295"/>
    <d v="2023-12-01T00:00:00"/>
    <s v="03012024-A-047464"/>
    <d v="2024-01-03T00:00:00"/>
    <x v="0"/>
    <x v="0"/>
    <n v="22434"/>
    <x v="4"/>
    <x v="0"/>
    <n v="5208.1899999999996"/>
    <n v="4.17"/>
    <n v="0"/>
    <n v="0"/>
    <x v="14"/>
    <s v="40/1 Cotton Fabric Grey ( 60000 Mtr)"/>
    <n v="26220000"/>
    <x v="0"/>
    <n v="4719600"/>
    <x v="0"/>
    <m/>
    <m/>
    <x v="0"/>
    <x v="0"/>
    <x v="0"/>
    <x v="4"/>
    <x v="0"/>
    <x v="0"/>
    <m/>
    <x v="0"/>
    <x v="1"/>
    <x v="0"/>
    <x v="0"/>
    <x v="0"/>
    <x v="2"/>
    <n v="1168.7617009895694"/>
    <n v="210.37710617812249"/>
    <n v="0"/>
    <d v="2023-12-31T00:00:00"/>
    <x v="0"/>
  </r>
  <r>
    <n v="296"/>
    <d v="2023-12-01T00:00:00"/>
    <s v="03012024-A-047470"/>
    <d v="2024-01-03T00:00:00"/>
    <x v="0"/>
    <x v="0"/>
    <n v="9964"/>
    <x v="4"/>
    <x v="0"/>
    <n v="5210.1099999999997"/>
    <n v="3.51"/>
    <n v="0"/>
    <n v="0"/>
    <x v="2"/>
    <s v="CVC60:40 - 40/1 Fabric (29805 Mtr)"/>
    <n v="9797920"/>
    <x v="0"/>
    <n v="1763625.5999999999"/>
    <x v="0"/>
    <m/>
    <m/>
    <x v="0"/>
    <x v="0"/>
    <x v="0"/>
    <x v="4"/>
    <x v="0"/>
    <x v="0"/>
    <m/>
    <x v="0"/>
    <x v="1"/>
    <x v="0"/>
    <x v="0"/>
    <x v="0"/>
    <x v="2"/>
    <n v="983.33199518265758"/>
    <n v="176.99975913287835"/>
    <n v="0"/>
    <d v="2023-12-31T00:00:00"/>
    <x v="0"/>
  </r>
  <r>
    <n v="297"/>
    <d v="2023-12-01T00:00:00"/>
    <s v="03012024-A-047474"/>
    <d v="2024-01-03T00:00:00"/>
    <x v="0"/>
    <x v="0"/>
    <n v="10460"/>
    <x v="4"/>
    <x v="0"/>
    <n v="5210.1099999999997"/>
    <n v="3.48"/>
    <n v="0"/>
    <n v="0"/>
    <x v="2"/>
    <s v="CVC60:40 - 40/1 Fabric (30126 Mtr)"/>
    <n v="10187606"/>
    <x v="0"/>
    <n v="1833769.0799999998"/>
    <x v="0"/>
    <m/>
    <m/>
    <x v="0"/>
    <x v="0"/>
    <x v="0"/>
    <x v="4"/>
    <x v="0"/>
    <x v="0"/>
    <m/>
    <x v="0"/>
    <x v="1"/>
    <x v="0"/>
    <x v="0"/>
    <x v="0"/>
    <x v="2"/>
    <n v="973.95850860420649"/>
    <n v="175.31253154875716"/>
    <n v="0"/>
    <d v="2023-12-31T00:00:00"/>
    <x v="0"/>
  </r>
  <r>
    <n v="298"/>
    <d v="2023-12-01T00:00:00"/>
    <s v="03012024-A-047480"/>
    <d v="2024-01-03T00:00:00"/>
    <x v="0"/>
    <x v="0"/>
    <n v="25563"/>
    <x v="4"/>
    <x v="0"/>
    <n v="5210.1099999999997"/>
    <n v="4.4000000000000004"/>
    <n v="0"/>
    <n v="0"/>
    <x v="2"/>
    <s v="CVC60:40 - 40/1 Fabric (76576 Mtr)"/>
    <n v="31522483"/>
    <x v="0"/>
    <n v="5674046.9399999995"/>
    <x v="0"/>
    <m/>
    <m/>
    <x v="0"/>
    <x v="0"/>
    <x v="0"/>
    <x v="4"/>
    <x v="0"/>
    <x v="0"/>
    <m/>
    <x v="0"/>
    <x v="1"/>
    <x v="0"/>
    <x v="0"/>
    <x v="0"/>
    <x v="2"/>
    <n v="1233.1292493056371"/>
    <n v="221.96326487501466"/>
    <n v="0"/>
    <d v="2023-12-31T00:00:00"/>
    <x v="0"/>
  </r>
  <r>
    <n v="299"/>
    <d v="2023-12-01T00:00:00"/>
    <s v="03012024-A-047490"/>
    <d v="2024-01-03T00:00:00"/>
    <x v="0"/>
    <x v="0"/>
    <n v="9224"/>
    <x v="4"/>
    <x v="0"/>
    <n v="5210.1099999999997"/>
    <n v="3.49"/>
    <n v="0"/>
    <n v="0"/>
    <x v="2"/>
    <s v="CVC60:40 - 40/1 Fabric (26658 Mtr)"/>
    <n v="9018398"/>
    <x v="0"/>
    <n v="1623311.64"/>
    <x v="0"/>
    <m/>
    <m/>
    <x v="0"/>
    <x v="0"/>
    <x v="0"/>
    <x v="4"/>
    <x v="0"/>
    <x v="0"/>
    <m/>
    <x v="0"/>
    <x v="1"/>
    <x v="0"/>
    <x v="0"/>
    <x v="0"/>
    <x v="2"/>
    <n v="977.71010407632264"/>
    <n v="175.98781873373807"/>
    <n v="0"/>
    <d v="2023-12-31T00:00:00"/>
    <x v="0"/>
  </r>
  <r>
    <n v="300"/>
    <d v="2023-12-01T00:00:00"/>
    <s v="03012024-A-047502"/>
    <d v="2024-01-03T00:00:00"/>
    <x v="0"/>
    <x v="0"/>
    <n v="18130"/>
    <x v="4"/>
    <x v="0"/>
    <n v="5208.1899999999996"/>
    <n v="4.18"/>
    <n v="0"/>
    <n v="0"/>
    <x v="14"/>
    <s v="40/1 Cotton Fabric Grey ( 48556 Mtr)"/>
    <n v="21218972"/>
    <x v="0"/>
    <n v="3819414.96"/>
    <x v="0"/>
    <m/>
    <m/>
    <x v="0"/>
    <x v="0"/>
    <x v="0"/>
    <x v="6"/>
    <x v="0"/>
    <x v="0"/>
    <m/>
    <x v="0"/>
    <x v="1"/>
    <x v="0"/>
    <x v="0"/>
    <x v="0"/>
    <x v="2"/>
    <n v="1170.3790402647546"/>
    <n v="210.66822724765581"/>
    <n v="0"/>
    <d v="2023-12-31T00:00:00"/>
    <x v="0"/>
  </r>
  <r>
    <n v="301"/>
    <d v="2023-12-01T00:00:00"/>
    <s v="03012024-A-047507"/>
    <d v="2024-01-03T00:00:00"/>
    <x v="0"/>
    <x v="0"/>
    <n v="22417"/>
    <x v="4"/>
    <x v="0"/>
    <n v="5208.1899999999996"/>
    <n v="4.1900000000000004"/>
    <n v="0"/>
    <n v="0"/>
    <x v="14"/>
    <s v="40/1 Cotton Fabric Grey ( 60210 Mtr)"/>
    <n v="26311770"/>
    <x v="0"/>
    <n v="4736118.5999999996"/>
    <x v="0"/>
    <m/>
    <m/>
    <x v="0"/>
    <x v="0"/>
    <x v="0"/>
    <x v="6"/>
    <x v="0"/>
    <x v="0"/>
    <m/>
    <x v="0"/>
    <x v="1"/>
    <x v="0"/>
    <x v="0"/>
    <x v="0"/>
    <x v="2"/>
    <n v="1173.7418030958647"/>
    <n v="211.27352455725563"/>
    <n v="0"/>
    <d v="2023-12-31T00:00:00"/>
    <x v="0"/>
  </r>
  <r>
    <n v="302"/>
    <d v="2023-12-04T00:00:00"/>
    <s v="03012024-A-047528"/>
    <d v="2024-01-03T00:00:00"/>
    <x v="0"/>
    <x v="0"/>
    <n v="12879"/>
    <x v="4"/>
    <x v="0"/>
    <n v="5208.1899999999996"/>
    <n v="4.26"/>
    <n v="0"/>
    <n v="0"/>
    <x v="14"/>
    <s v="40/1 Cotton Fabric Grey ( 35000 Mtr)"/>
    <n v="15365000"/>
    <x v="0"/>
    <n v="2765700"/>
    <x v="0"/>
    <m/>
    <m/>
    <x v="0"/>
    <x v="0"/>
    <x v="0"/>
    <x v="0"/>
    <x v="0"/>
    <x v="0"/>
    <m/>
    <x v="0"/>
    <x v="1"/>
    <x v="0"/>
    <x v="0"/>
    <x v="0"/>
    <x v="2"/>
    <n v="1193.0274089603231"/>
    <n v="214.74493361285815"/>
    <n v="0"/>
    <d v="2024-01-03T00:00:00"/>
    <x v="0"/>
  </r>
  <r>
    <n v="303"/>
    <d v="2023-12-04T00:00:00"/>
    <s v="03012024-A-047532"/>
    <d v="2024-01-03T00:00:00"/>
    <x v="0"/>
    <x v="0"/>
    <n v="8996"/>
    <x v="4"/>
    <x v="0"/>
    <n v="5208.1899999999996"/>
    <n v="4.24"/>
    <n v="0"/>
    <n v="0"/>
    <x v="14"/>
    <s v="40/1 Cotton Fabric Grey ( 25121 Mtr)"/>
    <n v="10676425"/>
    <x v="0"/>
    <n v="1921756.5"/>
    <x v="0"/>
    <m/>
    <m/>
    <x v="0"/>
    <x v="0"/>
    <x v="0"/>
    <x v="0"/>
    <x v="0"/>
    <x v="0"/>
    <m/>
    <x v="0"/>
    <x v="1"/>
    <x v="0"/>
    <x v="0"/>
    <x v="0"/>
    <x v="2"/>
    <n v="1186.7969097376613"/>
    <n v="213.62344375277902"/>
    <n v="0"/>
    <d v="2024-01-03T00:00:00"/>
    <x v="0"/>
  </r>
  <r>
    <n v="304"/>
    <d v="2023-12-04T00:00:00"/>
    <s v="03012024-A-047536"/>
    <d v="2024-01-03T00:00:00"/>
    <x v="0"/>
    <x v="0"/>
    <n v="6850"/>
    <x v="4"/>
    <x v="0"/>
    <n v="5208.1899999999996"/>
    <n v="4.3600000000000003"/>
    <n v="0"/>
    <n v="0"/>
    <x v="14"/>
    <s v="40/1 Cotton Fabric Grey ( 21984 Mtr)"/>
    <n v="8353920"/>
    <x v="0"/>
    <n v="1503705.5999999999"/>
    <x v="0"/>
    <m/>
    <m/>
    <x v="0"/>
    <x v="0"/>
    <x v="0"/>
    <x v="0"/>
    <x v="0"/>
    <x v="0"/>
    <m/>
    <x v="0"/>
    <x v="1"/>
    <x v="0"/>
    <x v="0"/>
    <x v="0"/>
    <x v="2"/>
    <n v="1219.5503649635036"/>
    <n v="219.51906569343063"/>
    <n v="0"/>
    <d v="2024-01-03T00:00:00"/>
    <x v="0"/>
  </r>
  <r>
    <n v="305"/>
    <d v="2023-12-04T00:00:00"/>
    <s v="03012024-A-047556"/>
    <d v="2024-01-03T00:00:00"/>
    <x v="0"/>
    <x v="0"/>
    <n v="11532"/>
    <x v="4"/>
    <x v="0"/>
    <n v="5208.1899999999996"/>
    <n v="4.2300000000000004"/>
    <n v="0"/>
    <n v="0"/>
    <x v="14"/>
    <s v="40/1 Cotton Fabric Grey ( 31234 Mtr)"/>
    <n v="13649258"/>
    <x v="0"/>
    <n v="2456866.44"/>
    <x v="0"/>
    <m/>
    <m/>
    <x v="0"/>
    <x v="0"/>
    <x v="0"/>
    <x v="0"/>
    <x v="0"/>
    <x v="0"/>
    <m/>
    <x v="0"/>
    <x v="1"/>
    <x v="0"/>
    <x v="0"/>
    <x v="0"/>
    <x v="2"/>
    <n v="1183.5985084980923"/>
    <n v="213.0477315296566"/>
    <n v="0"/>
    <d v="2024-01-03T00:00:00"/>
    <x v="0"/>
  </r>
  <r>
    <n v="306"/>
    <d v="2023-12-04T00:00:00"/>
    <s v="03012024-A-047567"/>
    <d v="2024-01-03T00:00:00"/>
    <x v="0"/>
    <x v="0"/>
    <n v="1652"/>
    <x v="4"/>
    <x v="0"/>
    <n v="5208.1899999999996"/>
    <n v="6"/>
    <n v="0"/>
    <n v="0"/>
    <x v="14"/>
    <s v="40/1 Cotton Fabric Grey ( 4511 Mtr)"/>
    <n v="2774265"/>
    <x v="0"/>
    <n v="499367.69999999995"/>
    <x v="0"/>
    <m/>
    <m/>
    <x v="0"/>
    <x v="0"/>
    <x v="0"/>
    <x v="0"/>
    <x v="0"/>
    <x v="0"/>
    <m/>
    <x v="0"/>
    <x v="1"/>
    <x v="0"/>
    <x v="0"/>
    <x v="0"/>
    <x v="2"/>
    <n v="1679.3371670702179"/>
    <n v="302.28069007263917"/>
    <n v="0"/>
    <d v="2024-01-03T00:00:00"/>
    <x v="0"/>
  </r>
  <r>
    <n v="307"/>
    <d v="2023-12-04T00:00:00"/>
    <s v="03012024-A-047570"/>
    <d v="2024-01-03T00:00:00"/>
    <x v="0"/>
    <x v="0"/>
    <n v="1249"/>
    <x v="4"/>
    <x v="0"/>
    <n v="5208.1899999999996"/>
    <n v="5.78"/>
    <n v="0"/>
    <n v="0"/>
    <x v="14"/>
    <s v="40/1 Cotton Fabric Grey ( 3015 Mtr)"/>
    <n v="2020050"/>
    <x v="0"/>
    <n v="363609"/>
    <x v="0"/>
    <m/>
    <m/>
    <x v="0"/>
    <x v="0"/>
    <x v="0"/>
    <x v="0"/>
    <x v="0"/>
    <x v="0"/>
    <m/>
    <x v="0"/>
    <x v="1"/>
    <x v="0"/>
    <x v="0"/>
    <x v="0"/>
    <x v="2"/>
    <n v="1617.3338670936751"/>
    <n v="291.1200960768615"/>
    <n v="0"/>
    <d v="2024-01-03T00:00:00"/>
    <x v="0"/>
  </r>
  <r>
    <n v="308"/>
    <d v="2023-12-02T00:00:00"/>
    <s v="03012024-A-047578"/>
    <d v="2024-01-03T00:00:00"/>
    <x v="0"/>
    <x v="0"/>
    <n v="93010"/>
    <x v="4"/>
    <x v="0"/>
    <n v="5201.009"/>
    <n v="1.77"/>
    <n v="0"/>
    <n v="0"/>
    <x v="0"/>
    <s v="Raw Cotton"/>
    <n v="46101302"/>
    <x v="0"/>
    <n v="8298234.3599999994"/>
    <x v="0"/>
    <m/>
    <m/>
    <x v="0"/>
    <x v="0"/>
    <x v="0"/>
    <x v="5"/>
    <x v="0"/>
    <x v="0"/>
    <m/>
    <x v="0"/>
    <x v="1"/>
    <x v="0"/>
    <x v="0"/>
    <x v="0"/>
    <x v="0"/>
    <n v="495.65962799698957"/>
    <n v="89.218733039458115"/>
    <n v="0"/>
    <d v="2024-01-01T00:00:00"/>
    <x v="0"/>
  </r>
  <r>
    <n v="309"/>
    <d v="2023-12-01T00:00:00"/>
    <s v="03012024-A-047586"/>
    <d v="2024-01-03T00:00:00"/>
    <x v="0"/>
    <x v="0"/>
    <n v="31144"/>
    <x v="4"/>
    <x v="0"/>
    <n v="5201.009"/>
    <n v="1.68"/>
    <n v="0"/>
    <n v="0"/>
    <x v="0"/>
    <s v="Raw Cotton"/>
    <n v="14685842.890000001"/>
    <x v="0"/>
    <n v="2643451.7201999999"/>
    <x v="0"/>
    <m/>
    <m/>
    <x v="0"/>
    <x v="0"/>
    <x v="0"/>
    <x v="0"/>
    <x v="0"/>
    <x v="0"/>
    <m/>
    <x v="0"/>
    <x v="1"/>
    <x v="0"/>
    <x v="0"/>
    <x v="0"/>
    <x v="0"/>
    <n v="471.54645806575905"/>
    <n v="84.878362451836622"/>
    <n v="0"/>
    <d v="2023-12-31T00:00:00"/>
    <x v="0"/>
  </r>
  <r>
    <n v="310"/>
    <d v="2023-12-02T00:00:00"/>
    <s v="03012024-A-047589"/>
    <d v="2024-01-03T00:00:00"/>
    <x v="0"/>
    <x v="0"/>
    <n v="32139"/>
    <x v="4"/>
    <x v="0"/>
    <n v="5201.009"/>
    <n v="1.52"/>
    <n v="0"/>
    <n v="0"/>
    <x v="0"/>
    <s v="Raw Cotton"/>
    <n v="13691193"/>
    <x v="0"/>
    <n v="2464414.7399999998"/>
    <x v="0"/>
    <m/>
    <m/>
    <x v="0"/>
    <x v="0"/>
    <x v="0"/>
    <x v="0"/>
    <x v="0"/>
    <x v="0"/>
    <m/>
    <x v="0"/>
    <x v="1"/>
    <x v="0"/>
    <x v="0"/>
    <x v="0"/>
    <x v="0"/>
    <n v="425.99934658825725"/>
    <n v="76.679882385886302"/>
    <n v="0"/>
    <d v="2024-01-01T00:00:00"/>
    <x v="0"/>
  </r>
  <r>
    <n v="311"/>
    <d v="2023-12-08T00:00:00"/>
    <s v="03012024-A-047594"/>
    <d v="2024-01-03T00:00:00"/>
    <x v="0"/>
    <x v="0"/>
    <n v="30817"/>
    <x v="4"/>
    <x v="0"/>
    <n v="5201.009"/>
    <n v="1.59"/>
    <n v="0"/>
    <n v="0"/>
    <x v="0"/>
    <s v="Raw Cotton"/>
    <n v="13747269"/>
    <x v="0"/>
    <n v="2474508.42"/>
    <x v="0"/>
    <m/>
    <m/>
    <x v="0"/>
    <x v="0"/>
    <x v="0"/>
    <x v="0"/>
    <x v="0"/>
    <x v="0"/>
    <m/>
    <x v="0"/>
    <x v="1"/>
    <x v="0"/>
    <x v="0"/>
    <x v="0"/>
    <x v="0"/>
    <n v="446.09368205860403"/>
    <n v="80.296862770548714"/>
    <n v="0"/>
    <d v="2024-01-07T00:00:00"/>
    <x v="0"/>
  </r>
  <r>
    <n v="312"/>
    <d v="2023-12-01T00:00:00"/>
    <s v="03012024-A-047599"/>
    <d v="2024-01-03T00:00:00"/>
    <x v="0"/>
    <x v="0"/>
    <n v="31363"/>
    <x v="4"/>
    <x v="0"/>
    <n v="5201.009"/>
    <n v="1.55"/>
    <n v="0"/>
    <n v="0"/>
    <x v="0"/>
    <s v="Raw Cotton"/>
    <n v="13612705"/>
    <x v="0"/>
    <n v="2450286.9"/>
    <x v="0"/>
    <m/>
    <m/>
    <x v="0"/>
    <x v="0"/>
    <x v="0"/>
    <x v="0"/>
    <x v="0"/>
    <x v="0"/>
    <m/>
    <x v="0"/>
    <x v="1"/>
    <x v="0"/>
    <x v="0"/>
    <x v="0"/>
    <x v="0"/>
    <n v="434.03708191180692"/>
    <n v="78.126674744125239"/>
    <n v="0"/>
    <d v="2023-12-31T00:00:00"/>
    <x v="0"/>
  </r>
  <r>
    <n v="313"/>
    <d v="2023-12-02T00:00:00"/>
    <s v="03012024-A-047644"/>
    <d v="2024-01-03T00:00:00"/>
    <x v="0"/>
    <x v="0"/>
    <n v="31337"/>
    <x v="4"/>
    <x v="0"/>
    <n v="5201.009"/>
    <n v="1.55"/>
    <n v="0"/>
    <n v="0"/>
    <x v="0"/>
    <s v="Raw Cotton"/>
    <n v="13601420"/>
    <x v="0"/>
    <n v="2448255.6"/>
    <x v="0"/>
    <m/>
    <m/>
    <x v="0"/>
    <x v="0"/>
    <x v="0"/>
    <x v="0"/>
    <x v="0"/>
    <x v="0"/>
    <m/>
    <x v="0"/>
    <x v="1"/>
    <x v="0"/>
    <x v="0"/>
    <x v="0"/>
    <x v="0"/>
    <n v="434.03708076714429"/>
    <n v="78.126674538085965"/>
    <n v="0"/>
    <d v="2024-01-01T00:00:00"/>
    <x v="0"/>
  </r>
  <r>
    <n v="314"/>
    <d v="2023-12-01T00:00:00"/>
    <s v="03012024-A-047645"/>
    <d v="2024-01-03T00:00:00"/>
    <x v="0"/>
    <x v="0"/>
    <n v="31705"/>
    <x v="4"/>
    <x v="0"/>
    <n v="5201.009"/>
    <n v="1.48"/>
    <n v="0"/>
    <n v="0"/>
    <x v="0"/>
    <s v="Raw Cotton"/>
    <n v="13166528"/>
    <x v="0"/>
    <n v="2369975.04"/>
    <x v="0"/>
    <m/>
    <m/>
    <x v="0"/>
    <x v="0"/>
    <x v="0"/>
    <x v="0"/>
    <x v="0"/>
    <x v="0"/>
    <m/>
    <x v="0"/>
    <x v="1"/>
    <x v="0"/>
    <x v="0"/>
    <x v="0"/>
    <x v="0"/>
    <n v="415.28238448194293"/>
    <n v="74.750829206749728"/>
    <n v="0"/>
    <d v="2023-12-31T00:00:00"/>
    <x v="0"/>
  </r>
  <r>
    <n v="315"/>
    <d v="2023-12-09T00:00:00"/>
    <s v="03012024-A-047646"/>
    <d v="2024-01-03T00:00:00"/>
    <x v="0"/>
    <x v="0"/>
    <n v="10879"/>
    <x v="4"/>
    <x v="0"/>
    <n v="5505.1"/>
    <n v="1.3"/>
    <n v="0"/>
    <n v="0"/>
    <x v="20"/>
    <s v="Comber Noil"/>
    <n v="3949077"/>
    <x v="0"/>
    <n v="710833.86"/>
    <x v="0"/>
    <m/>
    <m/>
    <x v="0"/>
    <x v="0"/>
    <x v="0"/>
    <x v="4"/>
    <x v="0"/>
    <x v="0"/>
    <m/>
    <x v="0"/>
    <x v="1"/>
    <x v="0"/>
    <x v="0"/>
    <x v="0"/>
    <x v="9"/>
    <n v="363"/>
    <n v="65.34"/>
    <n v="0"/>
    <d v="2024-01-08T00:00:00"/>
    <x v="0"/>
  </r>
  <r>
    <n v="316"/>
    <d v="2023-12-13T00:00:00"/>
    <s v="03012024-A-047647"/>
    <d v="2024-01-03T00:00:00"/>
    <x v="0"/>
    <x v="0"/>
    <n v="12247"/>
    <x v="4"/>
    <x v="0"/>
    <n v="5505.1"/>
    <n v="1.3"/>
    <n v="0"/>
    <n v="0"/>
    <x v="20"/>
    <s v="Comber Noil"/>
    <n v="4445661"/>
    <x v="0"/>
    <n v="800218.98"/>
    <x v="0"/>
    <m/>
    <m/>
    <x v="0"/>
    <x v="0"/>
    <x v="0"/>
    <x v="4"/>
    <x v="0"/>
    <x v="0"/>
    <m/>
    <x v="0"/>
    <x v="1"/>
    <x v="0"/>
    <x v="0"/>
    <x v="0"/>
    <x v="9"/>
    <n v="363"/>
    <n v="65.34"/>
    <n v="0"/>
    <d v="2024-01-12T00:00:00"/>
    <x v="0"/>
  </r>
  <r>
    <n v="317"/>
    <d v="2023-12-13T00:00:00"/>
    <s v="03012024-A-047648"/>
    <d v="2024-01-03T00:00:00"/>
    <x v="0"/>
    <x v="0"/>
    <n v="12280"/>
    <x v="4"/>
    <x v="0"/>
    <n v="5505.1"/>
    <n v="1.3"/>
    <n v="0"/>
    <n v="0"/>
    <x v="20"/>
    <s v="Comber Noil"/>
    <n v="4457640"/>
    <x v="0"/>
    <n v="802375.2"/>
    <x v="0"/>
    <m/>
    <m/>
    <x v="0"/>
    <x v="0"/>
    <x v="0"/>
    <x v="4"/>
    <x v="0"/>
    <x v="0"/>
    <m/>
    <x v="0"/>
    <x v="1"/>
    <x v="0"/>
    <x v="0"/>
    <x v="0"/>
    <x v="9"/>
    <n v="363"/>
    <n v="65.339999999999989"/>
    <n v="0"/>
    <d v="2024-01-12T00:00:00"/>
    <x v="0"/>
  </r>
  <r>
    <n v="318"/>
    <d v="2023-12-15T00:00:00"/>
    <s v="03012024-A-047649"/>
    <d v="2024-01-03T00:00:00"/>
    <x v="0"/>
    <x v="0"/>
    <n v="10779"/>
    <x v="4"/>
    <x v="0"/>
    <n v="5505.1"/>
    <n v="1.3"/>
    <n v="0"/>
    <n v="0"/>
    <x v="20"/>
    <s v="Comber Noil"/>
    <n v="3912777"/>
    <x v="0"/>
    <n v="704299.86"/>
    <x v="0"/>
    <m/>
    <m/>
    <x v="0"/>
    <x v="0"/>
    <x v="0"/>
    <x v="4"/>
    <x v="0"/>
    <x v="0"/>
    <m/>
    <x v="0"/>
    <x v="1"/>
    <x v="0"/>
    <x v="0"/>
    <x v="0"/>
    <x v="9"/>
    <n v="363"/>
    <n v="65.34"/>
    <n v="0"/>
    <d v="2024-01-14T00:00:00"/>
    <x v="0"/>
  </r>
  <r>
    <n v="319"/>
    <d v="2023-12-19T00:00:00"/>
    <s v="03012024-A-047652"/>
    <d v="2024-01-03T00:00:00"/>
    <x v="0"/>
    <x v="0"/>
    <n v="12057"/>
    <x v="4"/>
    <x v="0"/>
    <n v="5505.1"/>
    <n v="1.29"/>
    <n v="0"/>
    <n v="0"/>
    <x v="20"/>
    <s v="Comber Noil"/>
    <n v="4340520"/>
    <x v="0"/>
    <n v="781293.6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1-18T00:00:00"/>
    <x v="0"/>
  </r>
  <r>
    <n v="320"/>
    <d v="2023-12-19T00:00:00"/>
    <s v="03012024-A-047653"/>
    <d v="2024-01-03T00:00:00"/>
    <x v="0"/>
    <x v="0"/>
    <n v="11950"/>
    <x v="4"/>
    <x v="0"/>
    <n v="5505.1"/>
    <n v="1.29"/>
    <n v="0"/>
    <n v="0"/>
    <x v="20"/>
    <s v="Comber Noil"/>
    <n v="4302000"/>
    <x v="0"/>
    <n v="774360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1-18T00:00:00"/>
    <x v="0"/>
  </r>
  <r>
    <n v="321"/>
    <d v="2023-12-20T00:00:00"/>
    <s v="03012024-A-047662"/>
    <d v="2024-01-03T00:00:00"/>
    <x v="0"/>
    <x v="0"/>
    <n v="12764"/>
    <x v="4"/>
    <x v="0"/>
    <n v="5505.1"/>
    <n v="1.29"/>
    <n v="0"/>
    <n v="0"/>
    <x v="20"/>
    <s v="Comber Noil"/>
    <n v="4595040"/>
    <x v="0"/>
    <n v="827107.2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1-19T00:00:00"/>
    <x v="0"/>
  </r>
  <r>
    <n v="322"/>
    <d v="2023-12-22T00:00:00"/>
    <s v="03012024-A-047672"/>
    <d v="2024-01-03T00:00:00"/>
    <x v="0"/>
    <x v="0"/>
    <n v="11990"/>
    <x v="4"/>
    <x v="0"/>
    <n v="5505.1"/>
    <n v="1.29"/>
    <n v="0"/>
    <n v="0"/>
    <x v="20"/>
    <s v="Comber Noil"/>
    <n v="4316400"/>
    <x v="0"/>
    <n v="776952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1-21T00:00:00"/>
    <x v="0"/>
  </r>
  <r>
    <n v="323"/>
    <d v="2023-12-22T00:00:00"/>
    <s v="03012024-A-047684"/>
    <d v="2024-01-03T00:00:00"/>
    <x v="0"/>
    <x v="0"/>
    <n v="11314"/>
    <x v="4"/>
    <x v="0"/>
    <n v="5505.1"/>
    <n v="1.29"/>
    <n v="0"/>
    <n v="0"/>
    <x v="20"/>
    <s v="Comber Noil"/>
    <n v="4073040"/>
    <x v="0"/>
    <n v="733147.2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1-21T00:00:00"/>
    <x v="0"/>
  </r>
  <r>
    <n v="324"/>
    <d v="2023-12-26T00:00:00"/>
    <s v="03012024-A-047690"/>
    <d v="2024-01-03T00:00:00"/>
    <x v="0"/>
    <x v="0"/>
    <n v="12354"/>
    <x v="4"/>
    <x v="0"/>
    <n v="5505.1"/>
    <n v="1.28"/>
    <n v="0"/>
    <n v="0"/>
    <x v="20"/>
    <s v="Comber Noil"/>
    <n v="4422732"/>
    <x v="0"/>
    <n v="796091.76"/>
    <x v="0"/>
    <m/>
    <m/>
    <x v="0"/>
    <x v="0"/>
    <x v="0"/>
    <x v="4"/>
    <x v="0"/>
    <x v="0"/>
    <m/>
    <x v="0"/>
    <x v="1"/>
    <x v="0"/>
    <x v="0"/>
    <x v="0"/>
    <x v="9"/>
    <n v="358"/>
    <n v="64.44"/>
    <n v="0"/>
    <d v="2024-01-25T00:00:00"/>
    <x v="0"/>
  </r>
  <r>
    <n v="325"/>
    <d v="2023-12-26T00:00:00"/>
    <s v="03012024-A-047716"/>
    <d v="2024-01-03T00:00:00"/>
    <x v="0"/>
    <x v="0"/>
    <n v="11710"/>
    <x v="4"/>
    <x v="0"/>
    <n v="5505.1"/>
    <n v="1.28"/>
    <n v="0"/>
    <n v="0"/>
    <x v="20"/>
    <s v="Comber Noil"/>
    <n v="4192180"/>
    <x v="0"/>
    <n v="754592.4"/>
    <x v="0"/>
    <m/>
    <m/>
    <x v="0"/>
    <x v="0"/>
    <x v="0"/>
    <x v="4"/>
    <x v="0"/>
    <x v="0"/>
    <m/>
    <x v="0"/>
    <x v="1"/>
    <x v="0"/>
    <x v="0"/>
    <x v="0"/>
    <x v="9"/>
    <n v="358"/>
    <n v="64.44"/>
    <n v="0"/>
    <d v="2024-01-25T00:00:00"/>
    <x v="0"/>
  </r>
  <r>
    <n v="326"/>
    <d v="2023-12-27T00:00:00"/>
    <s v="03012024-A-047722"/>
    <d v="2024-01-03T00:00:00"/>
    <x v="0"/>
    <x v="0"/>
    <n v="12107"/>
    <x v="4"/>
    <x v="0"/>
    <n v="5505.1"/>
    <n v="1.28"/>
    <n v="0"/>
    <n v="0"/>
    <x v="20"/>
    <s v="Comber Noil"/>
    <n v="4334306"/>
    <x v="0"/>
    <n v="780175.08"/>
    <x v="0"/>
    <m/>
    <m/>
    <x v="0"/>
    <x v="0"/>
    <x v="0"/>
    <x v="4"/>
    <x v="0"/>
    <x v="0"/>
    <m/>
    <x v="0"/>
    <x v="1"/>
    <x v="0"/>
    <x v="0"/>
    <x v="0"/>
    <x v="9"/>
    <n v="358"/>
    <n v="64.44"/>
    <n v="0"/>
    <d v="2024-01-26T00:00:00"/>
    <x v="0"/>
  </r>
  <r>
    <n v="327"/>
    <d v="2023-12-27T00:00:00"/>
    <s v="03012024-A-047725"/>
    <d v="2024-01-03T00:00:00"/>
    <x v="0"/>
    <x v="0"/>
    <n v="12904"/>
    <x v="4"/>
    <x v="0"/>
    <n v="5505.1"/>
    <n v="1.28"/>
    <n v="0"/>
    <n v="0"/>
    <x v="20"/>
    <s v="Comber Noil"/>
    <n v="4619632"/>
    <x v="0"/>
    <n v="831533.76"/>
    <x v="0"/>
    <m/>
    <m/>
    <x v="0"/>
    <x v="0"/>
    <x v="0"/>
    <x v="4"/>
    <x v="0"/>
    <x v="0"/>
    <m/>
    <x v="0"/>
    <x v="1"/>
    <x v="0"/>
    <x v="0"/>
    <x v="0"/>
    <x v="9"/>
    <n v="358"/>
    <n v="64.44"/>
    <n v="0"/>
    <d v="2024-01-26T00:00:00"/>
    <x v="0"/>
  </r>
  <r>
    <n v="328"/>
    <d v="2023-12-30T00:00:00"/>
    <s v="03012024-A-047727"/>
    <d v="2024-01-03T00:00:00"/>
    <x v="0"/>
    <x v="0"/>
    <n v="11087"/>
    <x v="4"/>
    <x v="0"/>
    <n v="5505.1"/>
    <n v="1.28"/>
    <n v="0"/>
    <n v="0"/>
    <x v="20"/>
    <s v="Comber Noil"/>
    <n v="3969146"/>
    <x v="0"/>
    <n v="714446.28"/>
    <x v="0"/>
    <m/>
    <m/>
    <x v="0"/>
    <x v="0"/>
    <x v="0"/>
    <x v="4"/>
    <x v="0"/>
    <x v="0"/>
    <m/>
    <x v="0"/>
    <x v="1"/>
    <x v="0"/>
    <x v="0"/>
    <x v="0"/>
    <x v="9"/>
    <n v="358"/>
    <n v="64.44"/>
    <n v="0"/>
    <d v="2024-01-29T00:00:00"/>
    <x v="0"/>
  </r>
  <r>
    <n v="329"/>
    <d v="2023-12-23T00:00:00"/>
    <s v="03012024-A-047728"/>
    <d v="2024-01-03T00:00:00"/>
    <x v="0"/>
    <x v="0"/>
    <n v="29983"/>
    <x v="4"/>
    <x v="0"/>
    <n v="5503.201"/>
    <n v="1.41"/>
    <n v="0"/>
    <n v="0"/>
    <x v="1"/>
    <s v="Polyester Staple Fiber"/>
    <n v="11843364"/>
    <x v="0"/>
    <n v="2131805.52"/>
    <x v="0"/>
    <m/>
    <m/>
    <x v="0"/>
    <x v="0"/>
    <x v="0"/>
    <x v="0"/>
    <x v="0"/>
    <x v="0"/>
    <m/>
    <x v="0"/>
    <x v="1"/>
    <x v="0"/>
    <x v="0"/>
    <x v="0"/>
    <x v="1"/>
    <n v="395.00263482640162"/>
    <n v="71.100474268752293"/>
    <n v="0"/>
    <d v="2024-01-22T00:00:00"/>
    <x v="0"/>
  </r>
  <r>
    <n v="330"/>
    <d v="2023-12-16T00:00:00"/>
    <s v="03012024-A-047741"/>
    <d v="2024-01-03T00:00:00"/>
    <x v="0"/>
    <x v="0"/>
    <n v="2904"/>
    <x v="4"/>
    <x v="0"/>
    <s v="5205.2200 / 5205.2300"/>
    <s v="2.95 / 3.20"/>
    <n v="0"/>
    <n v="0"/>
    <x v="10"/>
    <s v="20/1 &amp; 30/1 COTTON YARN 5700 LBS"/>
    <n v="2422400"/>
    <x v="0"/>
    <n v="436032"/>
    <x v="0"/>
    <m/>
    <m/>
    <x v="0"/>
    <x v="0"/>
    <x v="0"/>
    <x v="0"/>
    <x v="0"/>
    <x v="0"/>
    <m/>
    <x v="0"/>
    <x v="1"/>
    <x v="0"/>
    <x v="0"/>
    <x v="0"/>
    <x v="3"/>
    <n v="834.15977961432509"/>
    <n v="150.14876033057851"/>
    <n v="0"/>
    <d v="2024-01-15T00:00:00"/>
    <x v="0"/>
  </r>
  <r>
    <n v="331"/>
    <d v="2023-12-13T00:00:00"/>
    <s v="03012024-A-047747"/>
    <d v="2024-01-03T00:00:00"/>
    <x v="0"/>
    <x v="0"/>
    <n v="2200"/>
    <x v="4"/>
    <x v="0"/>
    <n v="3809.9189999999999"/>
    <n v="0.41"/>
    <n v="0"/>
    <n v="0"/>
    <x v="12"/>
    <s v="PRESTOGEN F-PL LIQ"/>
    <n v="253000"/>
    <x v="0"/>
    <n v="45540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12T00:00:00"/>
    <x v="0"/>
  </r>
  <r>
    <n v="331"/>
    <d v="2023-12-13T00:00:00"/>
    <s v="03012024-A-047747"/>
    <d v="2024-01-03T00:00:00"/>
    <x v="0"/>
    <x v="0"/>
    <n v="900"/>
    <x v="4"/>
    <x v="0"/>
    <n v="3204.2"/>
    <n v="1.8"/>
    <n v="0"/>
    <n v="0"/>
    <x v="5"/>
    <s v="LEUCOPHOR BMF LIQUID"/>
    <n v="454500"/>
    <x v="0"/>
    <n v="8181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12T00:00:00"/>
    <x v="0"/>
  </r>
  <r>
    <n v="332"/>
    <d v="2023-12-18T00:00:00"/>
    <s v="03012024-A-047754"/>
    <d v="2024-01-03T00:00:00"/>
    <x v="0"/>
    <x v="0"/>
    <n v="2000"/>
    <x v="4"/>
    <x v="0"/>
    <n v="3906.902"/>
    <n v="1.34"/>
    <n v="0"/>
    <n v="0"/>
    <x v="12"/>
    <s v="OLIMPRINT BINDER PD 30"/>
    <n v="750000"/>
    <x v="0"/>
    <n v="135000"/>
    <x v="0"/>
    <m/>
    <m/>
    <x v="0"/>
    <x v="0"/>
    <x v="0"/>
    <x v="4"/>
    <x v="0"/>
    <x v="0"/>
    <m/>
    <x v="0"/>
    <x v="1"/>
    <x v="0"/>
    <x v="0"/>
    <x v="0"/>
    <x v="5"/>
    <n v="375"/>
    <n v="67.5"/>
    <n v="0"/>
    <d v="2024-01-17T00:00:00"/>
    <x v="0"/>
  </r>
  <r>
    <n v="333"/>
    <d v="2023-12-22T00:00:00"/>
    <s v="03012024-A-047759"/>
    <d v="2024-01-03T00:00:00"/>
    <x v="0"/>
    <x v="0"/>
    <n v="960"/>
    <x v="4"/>
    <x v="0"/>
    <n v="3906.902"/>
    <n v="1.34"/>
    <n v="0"/>
    <n v="0"/>
    <x v="12"/>
    <s v="OLIMPRINT BINDER PD 30"/>
    <n v="360000"/>
    <x v="0"/>
    <n v="64800"/>
    <x v="0"/>
    <m/>
    <m/>
    <x v="0"/>
    <x v="0"/>
    <x v="0"/>
    <x v="6"/>
    <x v="0"/>
    <x v="0"/>
    <m/>
    <x v="0"/>
    <x v="1"/>
    <x v="0"/>
    <x v="0"/>
    <x v="0"/>
    <x v="5"/>
    <n v="375"/>
    <n v="67.5"/>
    <n v="0"/>
    <d v="2024-01-21T00:00:00"/>
    <x v="0"/>
  </r>
  <r>
    <n v="334"/>
    <d v="2023-12-22T00:00:00"/>
    <s v="03012024-A-047762"/>
    <d v="2024-01-03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1T00:00:00"/>
    <x v="0"/>
  </r>
  <r>
    <n v="335"/>
    <d v="2023-12-17T00:00:00"/>
    <s v="03012024-A-047774"/>
    <d v="2024-01-03T00:00:00"/>
    <x v="0"/>
    <x v="0"/>
    <n v="4000"/>
    <x v="4"/>
    <x v="0"/>
    <n v="3906.9090000000001"/>
    <n v="0.5"/>
    <n v="0"/>
    <n v="0"/>
    <x v="12"/>
    <s v="TUBIFAST ACL"/>
    <n v="560000"/>
    <x v="0"/>
    <n v="1008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16T00:00:00"/>
    <x v="0"/>
  </r>
  <r>
    <n v="336"/>
    <d v="2023-12-22T00:00:00"/>
    <s v="03012024-A-047784"/>
    <d v="2024-01-03T00:00:00"/>
    <x v="0"/>
    <x v="0"/>
    <n v="2000"/>
    <x v="4"/>
    <x v="0"/>
    <n v="3906.9090000000001"/>
    <n v="0.5"/>
    <n v="0"/>
    <n v="0"/>
    <x v="12"/>
    <s v="TUBIFAST ACL"/>
    <n v="280000"/>
    <x v="0"/>
    <n v="504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1T00:00:00"/>
    <x v="0"/>
  </r>
  <r>
    <n v="337"/>
    <d v="2023-12-22T00:00:00"/>
    <s v="03012024-A-047788"/>
    <d v="2024-01-03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1T00:00:00"/>
    <x v="0"/>
  </r>
  <r>
    <n v="338"/>
    <d v="2023-12-22T00:00:00"/>
    <s v="03012024-A-047791"/>
    <d v="2024-01-03T00:00:00"/>
    <x v="0"/>
    <x v="0"/>
    <n v="2000"/>
    <x v="4"/>
    <x v="0"/>
    <n v="3906.9090000000001"/>
    <n v="0.7"/>
    <n v="0"/>
    <n v="0"/>
    <x v="12"/>
    <s v="TUBIFAST ACE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1T00:00:00"/>
    <x v="0"/>
  </r>
  <r>
    <n v="339"/>
    <d v="2023-12-22T00:00:00"/>
    <s v="03012024-A-047797"/>
    <d v="2024-01-03T00:00:00"/>
    <x v="0"/>
    <x v="0"/>
    <n v="3000"/>
    <x v="4"/>
    <x v="0"/>
    <n v="3906.9090000000001"/>
    <n v="0.7"/>
    <n v="0"/>
    <n v="0"/>
    <x v="12"/>
    <s v="TUBIFAST ACE"/>
    <n v="585000"/>
    <x v="0"/>
    <n v="1053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1T00:00:00"/>
    <x v="0"/>
  </r>
  <r>
    <n v="340"/>
    <d v="2023-12-23T00:00:00"/>
    <s v="03012024-A-047801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2T00:00:00"/>
    <x v="0"/>
  </r>
  <r>
    <n v="341"/>
    <d v="2023-12-18T00:00:00"/>
    <s v="03012024-A-047806"/>
    <d v="2024-01-03T00:00:00"/>
    <x v="0"/>
    <x v="0"/>
    <n v="19410"/>
    <x v="4"/>
    <x v="0"/>
    <n v="2815.12"/>
    <n v="0.27"/>
    <n v="0"/>
    <n v="0"/>
    <x v="12"/>
    <s v="CAUSTIC SODA LIQUID"/>
    <n v="1480012.5"/>
    <x v="0"/>
    <n v="266402.25"/>
    <x v="0"/>
    <m/>
    <m/>
    <x v="0"/>
    <x v="0"/>
    <x v="0"/>
    <x v="6"/>
    <x v="0"/>
    <x v="0"/>
    <m/>
    <x v="0"/>
    <x v="1"/>
    <x v="0"/>
    <x v="0"/>
    <x v="0"/>
    <x v="5"/>
    <n v="76.25"/>
    <n v="13.725"/>
    <n v="0"/>
    <d v="2024-01-17T00:00:00"/>
    <x v="0"/>
  </r>
  <r>
    <n v="342"/>
    <d v="2023-12-19T00:00:00"/>
    <s v="03012024-A-047812"/>
    <d v="2024-01-03T00:00:00"/>
    <x v="0"/>
    <x v="0"/>
    <n v="29400"/>
    <x v="4"/>
    <x v="0"/>
    <n v="2815.12"/>
    <n v="0.27"/>
    <n v="0"/>
    <n v="0"/>
    <x v="12"/>
    <s v="CAUSTIC SODA LIQUID"/>
    <n v="2241750"/>
    <x v="0"/>
    <n v="403515"/>
    <x v="0"/>
    <m/>
    <m/>
    <x v="0"/>
    <x v="0"/>
    <x v="0"/>
    <x v="5"/>
    <x v="0"/>
    <x v="0"/>
    <m/>
    <x v="0"/>
    <x v="1"/>
    <x v="0"/>
    <x v="0"/>
    <x v="0"/>
    <x v="5"/>
    <n v="76.25"/>
    <n v="13.725"/>
    <n v="0"/>
    <d v="2024-01-18T00:00:00"/>
    <x v="0"/>
  </r>
  <r>
    <n v="343"/>
    <d v="2023-12-17T00:00:00"/>
    <s v="03012024-A-047820"/>
    <d v="2024-01-03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4"/>
    <x v="0"/>
    <x v="0"/>
    <m/>
    <x v="0"/>
    <x v="1"/>
    <x v="0"/>
    <x v="0"/>
    <x v="0"/>
    <x v="5"/>
    <n v="675"/>
    <n v="121.5"/>
    <n v="0"/>
    <d v="2024-01-16T00:00:00"/>
    <x v="0"/>
  </r>
  <r>
    <n v="344"/>
    <d v="2023-12-22T00:00:00"/>
    <s v="03012024-A-047830"/>
    <d v="2024-01-03T00:00:00"/>
    <x v="0"/>
    <x v="0"/>
    <n v="400"/>
    <x v="4"/>
    <x v="0"/>
    <n v="2904.2089999999998"/>
    <n v="3.75"/>
    <n v="0"/>
    <n v="0"/>
    <x v="12"/>
    <s v="CHEMITOL WS GRANULES"/>
    <n v="420000"/>
    <x v="0"/>
    <n v="75600"/>
    <x v="0"/>
    <m/>
    <m/>
    <x v="0"/>
    <x v="0"/>
    <x v="0"/>
    <x v="4"/>
    <x v="0"/>
    <x v="0"/>
    <m/>
    <x v="0"/>
    <x v="1"/>
    <x v="0"/>
    <x v="0"/>
    <x v="0"/>
    <x v="5"/>
    <n v="1050"/>
    <n v="189"/>
    <n v="0"/>
    <d v="2024-01-21T00:00:00"/>
    <x v="0"/>
  </r>
  <r>
    <n v="345"/>
    <d v="2023-12-17T00:00:00"/>
    <s v="03012024-A-047860"/>
    <d v="2024-01-03T00:00:00"/>
    <x v="0"/>
    <x v="0"/>
    <n v="1200"/>
    <x v="4"/>
    <x v="0"/>
    <n v="3809.9189999999999"/>
    <n v="1.63"/>
    <n v="0"/>
    <n v="0"/>
    <x v="12"/>
    <s v="DRIMAGEN"/>
    <n v="546000"/>
    <x v="0"/>
    <n v="98280"/>
    <x v="0"/>
    <m/>
    <m/>
    <x v="0"/>
    <x v="0"/>
    <x v="0"/>
    <x v="4"/>
    <x v="0"/>
    <x v="0"/>
    <m/>
    <x v="0"/>
    <x v="1"/>
    <x v="0"/>
    <x v="0"/>
    <x v="0"/>
    <x v="5"/>
    <n v="455"/>
    <n v="81.900000000000006"/>
    <n v="0"/>
    <d v="2024-01-16T00:00:00"/>
    <x v="0"/>
  </r>
  <r>
    <n v="346"/>
    <d v="2023-12-17T00:00:00"/>
    <s v="03012024-A-047872"/>
    <d v="2024-01-03T00:00:00"/>
    <x v="0"/>
    <x v="0"/>
    <n v="2600"/>
    <x v="4"/>
    <x v="0"/>
    <s v="3402.4200 / 3809.9110"/>
    <s v="2.41 / 0.82"/>
    <n v="0"/>
    <n v="0"/>
    <x v="12"/>
    <s v="KIERALON 2010 LIQ / IMACOL C LIQ"/>
    <n v="1132000"/>
    <x v="0"/>
    <n v="203760"/>
    <x v="0"/>
    <m/>
    <m/>
    <x v="0"/>
    <x v="0"/>
    <x v="0"/>
    <x v="4"/>
    <x v="0"/>
    <x v="0"/>
    <m/>
    <x v="0"/>
    <x v="1"/>
    <x v="0"/>
    <x v="0"/>
    <x v="0"/>
    <x v="5"/>
    <n v="435.38461538461536"/>
    <n v="78.369230769230768"/>
    <n v="0"/>
    <d v="2024-01-16T00:00:00"/>
    <x v="0"/>
  </r>
  <r>
    <n v="347"/>
    <d v="2023-12-15T00:00:00"/>
    <s v="03012024-A-047882"/>
    <d v="2024-01-03T00:00:00"/>
    <x v="0"/>
    <x v="0"/>
    <n v="660"/>
    <x v="4"/>
    <x v="0"/>
    <n v="3809.9189999999999"/>
    <n v="0.41"/>
    <n v="0"/>
    <n v="0"/>
    <x v="12"/>
    <s v="PRESTOGEN F-PL LIQ"/>
    <n v="75900"/>
    <x v="0"/>
    <n v="13662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14T00:00:00"/>
    <x v="0"/>
  </r>
  <r>
    <n v="347"/>
    <d v="2023-12-15T00:00:00"/>
    <s v="03012024-A-047882"/>
    <d v="2024-01-03T00:00:00"/>
    <x v="0"/>
    <x v="0"/>
    <n v="300"/>
    <x v="4"/>
    <x v="0"/>
    <n v="3204.2"/>
    <n v="1.8"/>
    <n v="0"/>
    <n v="0"/>
    <x v="5"/>
    <s v="LEUCOPHOR BMF LIQUID"/>
    <n v="151500"/>
    <x v="0"/>
    <n v="2727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14T00:00:00"/>
    <x v="0"/>
  </r>
  <r>
    <n v="348"/>
    <d v="2023-12-18T00:00:00"/>
    <s v="03012024-A-047892"/>
    <d v="2024-01-03T00:00:00"/>
    <x v="0"/>
    <x v="0"/>
    <n v="1600"/>
    <x v="4"/>
    <x v="0"/>
    <n v="3809.9110000000001"/>
    <n v="0.82"/>
    <n v="0"/>
    <n v="0"/>
    <x v="12"/>
    <s v="IMACOL C LIQ"/>
    <n v="368000"/>
    <x v="0"/>
    <n v="66240"/>
    <x v="0"/>
    <m/>
    <m/>
    <x v="0"/>
    <x v="0"/>
    <x v="0"/>
    <x v="4"/>
    <x v="0"/>
    <x v="0"/>
    <m/>
    <x v="0"/>
    <x v="1"/>
    <x v="0"/>
    <x v="0"/>
    <x v="0"/>
    <x v="5"/>
    <n v="230"/>
    <n v="41.4"/>
    <n v="0"/>
    <d v="2024-01-17T00:00:00"/>
    <x v="0"/>
  </r>
  <r>
    <n v="349"/>
    <d v="2023-12-23T00:00:00"/>
    <s v="03012024-A-047895"/>
    <d v="2024-01-03T00:00:00"/>
    <x v="0"/>
    <x v="0"/>
    <n v="5040"/>
    <x v="4"/>
    <x v="0"/>
    <n v="3809.9189999999999"/>
    <n v="2.57"/>
    <n v="0"/>
    <n v="0"/>
    <x v="12"/>
    <s v="ALKASOFT PEN"/>
    <n v="3628800"/>
    <x v="0"/>
    <n v="653184"/>
    <x v="0"/>
    <m/>
    <m/>
    <x v="0"/>
    <x v="0"/>
    <x v="0"/>
    <x v="4"/>
    <x v="0"/>
    <x v="0"/>
    <m/>
    <x v="0"/>
    <x v="1"/>
    <x v="0"/>
    <x v="0"/>
    <x v="0"/>
    <x v="5"/>
    <n v="720"/>
    <n v="129.6"/>
    <n v="0"/>
    <d v="2024-01-22T00:00:00"/>
    <x v="0"/>
  </r>
  <r>
    <n v="350"/>
    <d v="2023-12-25T00:00:00"/>
    <s v="03012024-A-047897"/>
    <d v="2024-01-03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4T00:00:00"/>
    <x v="0"/>
  </r>
  <r>
    <n v="351"/>
    <d v="2023-12-19T00:00:00"/>
    <s v="03012024-A-047901"/>
    <d v="2024-01-03T00:00:00"/>
    <x v="0"/>
    <x v="0"/>
    <n v="440"/>
    <x v="4"/>
    <x v="0"/>
    <n v="3809.9189999999999"/>
    <n v="0.41"/>
    <n v="0"/>
    <n v="0"/>
    <x v="12"/>
    <s v="PRESTOGEN F-PL LIQ"/>
    <n v="50600"/>
    <x v="0"/>
    <n v="9108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1-18T00:00:00"/>
    <x v="0"/>
  </r>
  <r>
    <n v="351"/>
    <d v="2023-12-19T00:00:00"/>
    <s v="03012024-A-047901"/>
    <d v="2024-01-03T00:00:00"/>
    <x v="0"/>
    <x v="0"/>
    <n v="500"/>
    <x v="4"/>
    <x v="0"/>
    <n v="3204.2"/>
    <n v="1.8"/>
    <n v="0"/>
    <n v="0"/>
    <x v="5"/>
    <s v="LEUCOPHOR BMF LIQUID"/>
    <n v="252500"/>
    <x v="0"/>
    <n v="4545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18T00:00:00"/>
    <x v="0"/>
  </r>
  <r>
    <n v="352"/>
    <d v="2023-12-06T00:00:00"/>
    <s v="03012024-A-047905"/>
    <d v="2024-01-03T00:00:00"/>
    <x v="0"/>
    <x v="0"/>
    <n v="25"/>
    <x v="4"/>
    <x v="0"/>
    <n v="3204.16"/>
    <n v="22.68"/>
    <n v="0"/>
    <n v="0"/>
    <x v="5"/>
    <s v="NOVACRON "/>
    <n v="158750"/>
    <x v="0"/>
    <n v="28575"/>
    <x v="0"/>
    <m/>
    <m/>
    <x v="0"/>
    <x v="0"/>
    <x v="0"/>
    <x v="6"/>
    <x v="0"/>
    <x v="0"/>
    <m/>
    <x v="0"/>
    <x v="1"/>
    <x v="0"/>
    <x v="0"/>
    <x v="0"/>
    <x v="4"/>
    <n v="6350"/>
    <n v="1143"/>
    <n v="0"/>
    <d v="2024-01-05T00:00:00"/>
    <x v="0"/>
  </r>
  <r>
    <n v="353"/>
    <d v="2023-12-31T00:00:00"/>
    <s v="03012024-A-047910"/>
    <d v="2024-01-03T00:00:00"/>
    <x v="0"/>
    <x v="0"/>
    <n v="600"/>
    <x v="4"/>
    <x v="0"/>
    <n v="3906.902"/>
    <n v="1.34"/>
    <n v="0"/>
    <n v="0"/>
    <x v="12"/>
    <s v="OLIMPRINT BINDER PD 30"/>
    <n v="225000"/>
    <x v="0"/>
    <n v="40500"/>
    <x v="0"/>
    <m/>
    <m/>
    <x v="0"/>
    <x v="0"/>
    <x v="0"/>
    <x v="5"/>
    <x v="0"/>
    <x v="0"/>
    <m/>
    <x v="0"/>
    <x v="1"/>
    <x v="0"/>
    <x v="0"/>
    <x v="0"/>
    <x v="5"/>
    <n v="375"/>
    <n v="67.5"/>
    <n v="0"/>
    <d v="2024-01-30T00:00:00"/>
    <x v="0"/>
  </r>
  <r>
    <n v="354"/>
    <d v="2023-12-23T00:00:00"/>
    <s v="03012024-A-047912"/>
    <d v="2024-01-03T00:00:00"/>
    <x v="0"/>
    <x v="0"/>
    <n v="600"/>
    <x v="4"/>
    <x v="0"/>
    <n v="2904.2089999999998"/>
    <n v="0.94"/>
    <n v="0"/>
    <n v="0"/>
    <x v="12"/>
    <s v="REVATOL S LIQUID"/>
    <n v="158400"/>
    <x v="0"/>
    <n v="28512"/>
    <x v="0"/>
    <m/>
    <m/>
    <x v="0"/>
    <x v="0"/>
    <x v="0"/>
    <x v="4"/>
    <x v="0"/>
    <x v="0"/>
    <m/>
    <x v="0"/>
    <x v="1"/>
    <x v="0"/>
    <x v="0"/>
    <x v="0"/>
    <x v="5"/>
    <n v="264"/>
    <n v="47.52"/>
    <n v="0"/>
    <d v="2024-01-22T00:00:00"/>
    <x v="0"/>
  </r>
  <r>
    <n v="354"/>
    <d v="2023-12-23T00:00:00"/>
    <s v="03012024-A-047912"/>
    <d v="2024-01-03T00:00:00"/>
    <x v="0"/>
    <x v="0"/>
    <n v="1100"/>
    <x v="4"/>
    <x v="0"/>
    <n v="2931.9090000000001"/>
    <n v="1.92"/>
    <n v="0"/>
    <n v="0"/>
    <x v="12"/>
    <s v="LUFIBROL ANTOX LIQ"/>
    <n v="591800"/>
    <x v="0"/>
    <n v="106524"/>
    <x v="0"/>
    <m/>
    <m/>
    <x v="0"/>
    <x v="0"/>
    <x v="0"/>
    <x v="4"/>
    <x v="0"/>
    <x v="0"/>
    <m/>
    <x v="0"/>
    <x v="1"/>
    <x v="0"/>
    <x v="0"/>
    <x v="0"/>
    <x v="5"/>
    <n v="538"/>
    <n v="96.84"/>
    <n v="0"/>
    <d v="2024-01-22T00:00:00"/>
    <x v="0"/>
  </r>
  <r>
    <n v="354"/>
    <d v="2023-12-23T00:00:00"/>
    <s v="03012024-A-047912"/>
    <d v="2024-01-03T00:00:00"/>
    <x v="0"/>
    <x v="0"/>
    <n v="1100"/>
    <x v="4"/>
    <x v="0"/>
    <n v="3204.2"/>
    <n v="1.8"/>
    <n v="0"/>
    <n v="0"/>
    <x v="5"/>
    <s v="LEUCOPHOR BMF LIQUID"/>
    <n v="555500"/>
    <x v="0"/>
    <n v="9999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22T00:00:00"/>
    <x v="0"/>
  </r>
  <r>
    <n v="354"/>
    <d v="2023-12-23T00:00:00"/>
    <s v="03012024-A-047912"/>
    <d v="2024-01-03T00:00:00"/>
    <x v="0"/>
    <x v="0"/>
    <n v="240"/>
    <x v="4"/>
    <x v="0"/>
    <n v="3204.172"/>
    <n v="5.14"/>
    <n v="0"/>
    <n v="0"/>
    <x v="5"/>
    <s v="PRINTOFIX BLUE HG"/>
    <n v="345600"/>
    <x v="0"/>
    <n v="62208"/>
    <x v="0"/>
    <m/>
    <m/>
    <x v="0"/>
    <x v="0"/>
    <x v="0"/>
    <x v="4"/>
    <x v="0"/>
    <x v="0"/>
    <m/>
    <x v="0"/>
    <x v="1"/>
    <x v="0"/>
    <x v="0"/>
    <x v="0"/>
    <x v="4"/>
    <n v="1440"/>
    <n v="259.2"/>
    <n v="0"/>
    <d v="2024-01-22T00:00:00"/>
    <x v="0"/>
  </r>
  <r>
    <n v="355"/>
    <d v="2023-12-22T00:00:00"/>
    <s v="03012024-A-047916"/>
    <d v="2024-01-03T00:00:00"/>
    <x v="0"/>
    <x v="0"/>
    <n v="840"/>
    <x v="4"/>
    <x v="0"/>
    <n v="3809.9189999999999"/>
    <n v="5"/>
    <n v="0"/>
    <n v="0"/>
    <x v="12"/>
    <s v="PRODER M.A.C NUEVO"/>
    <n v="1176000"/>
    <x v="0"/>
    <n v="211680"/>
    <x v="0"/>
    <m/>
    <m/>
    <x v="0"/>
    <x v="0"/>
    <x v="0"/>
    <x v="4"/>
    <x v="0"/>
    <x v="0"/>
    <m/>
    <x v="0"/>
    <x v="1"/>
    <x v="0"/>
    <x v="0"/>
    <x v="0"/>
    <x v="5"/>
    <n v="1400"/>
    <n v="252"/>
    <n v="0"/>
    <d v="2024-01-21T00:00:00"/>
    <x v="0"/>
  </r>
  <r>
    <n v="356"/>
    <d v="2023-12-31T00:00:00"/>
    <s v="03012024-A-047917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30T00:00:00"/>
    <x v="0"/>
  </r>
  <r>
    <n v="357"/>
    <d v="2023-12-25T00:00:00"/>
    <s v="03012024-A-047919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4T00:00:00"/>
    <x v="0"/>
  </r>
  <r>
    <n v="358"/>
    <d v="2023-12-30T00:00:00"/>
    <s v="03012024-A-047920"/>
    <d v="2024-01-03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1-29T00:00:00"/>
    <x v="0"/>
  </r>
  <r>
    <n v="359"/>
    <d v="2023-12-30T00:00:00"/>
    <s v="03012024-A-047921"/>
    <d v="2024-01-0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29T00:00:00"/>
    <x v="0"/>
  </r>
  <r>
    <n v="360"/>
    <d v="2023-12-17T00:00:00"/>
    <s v="03012024-A-047922"/>
    <d v="2024-01-03T00:00:00"/>
    <x v="0"/>
    <x v="0"/>
    <n v="420"/>
    <x v="4"/>
    <x v="0"/>
    <n v="3507.9"/>
    <n v="1.64"/>
    <n v="0"/>
    <n v="0"/>
    <x v="12"/>
    <s v="ECOZYME BT -88"/>
    <n v="193200"/>
    <x v="0"/>
    <n v="34776"/>
    <x v="0"/>
    <m/>
    <m/>
    <x v="0"/>
    <x v="0"/>
    <x v="0"/>
    <x v="4"/>
    <x v="0"/>
    <x v="0"/>
    <m/>
    <x v="0"/>
    <x v="1"/>
    <x v="0"/>
    <x v="0"/>
    <x v="0"/>
    <x v="5"/>
    <n v="460"/>
    <n v="82.8"/>
    <n v="0"/>
    <d v="2024-01-16T00:00:00"/>
    <x v="0"/>
  </r>
  <r>
    <n v="361"/>
    <d v="2024-01-01T00:00:00"/>
    <s v="16012024-A-052582"/>
    <d v="2024-01-16T00:00:00"/>
    <x v="0"/>
    <x v="0"/>
    <n v="30814"/>
    <x v="4"/>
    <x v="0"/>
    <n v="5201.009"/>
    <n v="1.53"/>
    <n v="0"/>
    <n v="0"/>
    <x v="0"/>
    <s v="Raw Cotton"/>
    <n v="13209302"/>
    <x v="0"/>
    <n v="2377674.36"/>
    <x v="0"/>
    <m/>
    <m/>
    <x v="0"/>
    <x v="0"/>
    <x v="0"/>
    <x v="0"/>
    <x v="0"/>
    <x v="0"/>
    <m/>
    <x v="0"/>
    <x v="1"/>
    <x v="0"/>
    <x v="0"/>
    <x v="0"/>
    <x v="0"/>
    <n v="428.67858765496203"/>
    <n v="77.162145777893159"/>
    <n v="0"/>
    <d v="2024-01-31T00:00:00"/>
    <x v="0"/>
  </r>
  <r>
    <n v="362"/>
    <d v="2024-01-01T00:00:00"/>
    <s v="16012024-A-052606"/>
    <d v="2024-01-16T00:00:00"/>
    <x v="0"/>
    <x v="0"/>
    <n v="61149"/>
    <x v="4"/>
    <x v="0"/>
    <n v="5201.009"/>
    <n v="1.5"/>
    <n v="0"/>
    <n v="0"/>
    <x v="0"/>
    <s v="Raw Cotton"/>
    <n v="25721769"/>
    <x v="0"/>
    <n v="4629918.42"/>
    <x v="0"/>
    <m/>
    <m/>
    <x v="0"/>
    <x v="0"/>
    <x v="0"/>
    <x v="0"/>
    <x v="0"/>
    <x v="0"/>
    <m/>
    <x v="0"/>
    <x v="1"/>
    <x v="0"/>
    <x v="0"/>
    <x v="0"/>
    <x v="0"/>
    <n v="420.64087720158955"/>
    <n v="75.715357896286122"/>
    <n v="0"/>
    <d v="2024-01-31T00:00:00"/>
    <x v="0"/>
  </r>
  <r>
    <n v="363"/>
    <d v="2024-01-01T00:00:00"/>
    <s v="16012024-A-052616"/>
    <d v="2024-01-16T00:00:00"/>
    <x v="0"/>
    <x v="0"/>
    <n v="31330"/>
    <x v="4"/>
    <x v="0"/>
    <n v="5201.009"/>
    <n v="1.48"/>
    <n v="0"/>
    <n v="0"/>
    <x v="0"/>
    <s v="Raw Cotton"/>
    <n v="13010797"/>
    <x v="0"/>
    <n v="2341943.46"/>
    <x v="0"/>
    <m/>
    <m/>
    <x v="0"/>
    <x v="0"/>
    <x v="0"/>
    <x v="0"/>
    <x v="0"/>
    <x v="0"/>
    <m/>
    <x v="0"/>
    <x v="1"/>
    <x v="0"/>
    <x v="0"/>
    <x v="0"/>
    <x v="0"/>
    <n v="415.2823811043728"/>
    <n v="74.750828598787109"/>
    <n v="0"/>
    <d v="2024-01-31T00:00:00"/>
    <x v="0"/>
  </r>
  <r>
    <n v="364"/>
    <d v="2024-01-01T00:00:00"/>
    <s v="16012024-A-052621"/>
    <d v="2024-01-16T00:00:00"/>
    <x v="0"/>
    <x v="0"/>
    <n v="30884"/>
    <x v="4"/>
    <x v="0"/>
    <n v="5201.009"/>
    <n v="1.53"/>
    <n v="0"/>
    <n v="0"/>
    <x v="0"/>
    <s v="Raw Cotton"/>
    <n v="13239310"/>
    <x v="0"/>
    <n v="2383075.7999999998"/>
    <x v="0"/>
    <m/>
    <m/>
    <x v="0"/>
    <x v="0"/>
    <x v="0"/>
    <x v="0"/>
    <x v="0"/>
    <x v="0"/>
    <m/>
    <x v="0"/>
    <x v="1"/>
    <x v="0"/>
    <x v="0"/>
    <x v="0"/>
    <x v="0"/>
    <n v="428.67860380779689"/>
    <n v="77.162148685403437"/>
    <n v="0"/>
    <d v="2024-01-31T00:00:00"/>
    <x v="0"/>
  </r>
  <r>
    <n v="365"/>
    <d v="2024-01-01T00:00:00"/>
    <s v="16012024-A-052629"/>
    <d v="2024-01-16T00:00:00"/>
    <x v="0"/>
    <x v="0"/>
    <n v="18144"/>
    <x v="4"/>
    <x v="0"/>
    <n v="5205.13"/>
    <n v="2.85"/>
    <n v="0"/>
    <n v="0"/>
    <x v="10"/>
    <s v="30/1 Cotton Yarn ( 40000 LBS)"/>
    <n v="14500000"/>
    <x v="0"/>
    <n v="2610000"/>
    <x v="0"/>
    <m/>
    <m/>
    <x v="0"/>
    <x v="0"/>
    <x v="0"/>
    <x v="5"/>
    <x v="0"/>
    <x v="0"/>
    <m/>
    <x v="0"/>
    <x v="1"/>
    <x v="0"/>
    <x v="0"/>
    <x v="0"/>
    <x v="3"/>
    <n v="799.16225749559078"/>
    <n v="143.84920634920636"/>
    <n v="0"/>
    <d v="2024-01-31T00:00:00"/>
    <x v="0"/>
  </r>
  <r>
    <n v="366"/>
    <d v="2024-01-01T00:00:00"/>
    <s v="16012024-A-052669"/>
    <d v="2024-01-16T00:00:00"/>
    <x v="0"/>
    <x v="0"/>
    <n v="321"/>
    <x v="4"/>
    <x v="0"/>
    <n v="5205.12"/>
    <s v="7.89 / 8.68"/>
    <n v="0"/>
    <n v="0"/>
    <x v="10"/>
    <s v="16/1 Cotton Yarn 371 LBS / 20/1 Cotton Yarn 338 LBS)"/>
    <n v="742800"/>
    <x v="0"/>
    <n v="133704"/>
    <x v="0"/>
    <m/>
    <m/>
    <x v="0"/>
    <x v="0"/>
    <x v="0"/>
    <x v="4"/>
    <x v="0"/>
    <x v="0"/>
    <m/>
    <x v="0"/>
    <x v="1"/>
    <x v="0"/>
    <x v="0"/>
    <x v="0"/>
    <x v="3"/>
    <n v="2314.0186915887853"/>
    <n v="416.52336448598129"/>
    <n v="0"/>
    <d v="2024-01-31T00:00:00"/>
    <x v="0"/>
  </r>
  <r>
    <n v="366"/>
    <d v="2024-01-01T00:00:00"/>
    <s v="16012024-A-052669"/>
    <d v="2024-01-16T00:00:00"/>
    <x v="0"/>
    <x v="0"/>
    <n v="6974"/>
    <x v="4"/>
    <x v="0"/>
    <n v="5205.13"/>
    <n v="3.29"/>
    <n v="0"/>
    <n v="0"/>
    <x v="10"/>
    <s v="30/1 Cotton Yarn ( 15375 LBS)"/>
    <n v="6426750"/>
    <x v="0"/>
    <n v="1156815"/>
    <x v="0"/>
    <m/>
    <m/>
    <x v="0"/>
    <x v="0"/>
    <x v="0"/>
    <x v="4"/>
    <x v="0"/>
    <x v="0"/>
    <m/>
    <x v="0"/>
    <x v="1"/>
    <x v="0"/>
    <x v="0"/>
    <x v="0"/>
    <x v="3"/>
    <n v="921.52996845425866"/>
    <n v="165.87539432176655"/>
    <n v="0"/>
    <d v="2024-01-31T00:00:00"/>
    <x v="0"/>
  </r>
  <r>
    <n v="367"/>
    <d v="2024-01-01T00:00:00"/>
    <s v="16012024-A-052681"/>
    <d v="2024-01-16T00:00:00"/>
    <x v="0"/>
    <x v="1"/>
    <n v="590"/>
    <x v="4"/>
    <x v="0"/>
    <n v="5205.24"/>
    <n v="3.03"/>
    <n v="590"/>
    <n v="590"/>
    <x v="10"/>
    <s v="24/1 Cotton Yarn (1300 LBS)"/>
    <n v="500500"/>
    <x v="0"/>
    <n v="90090"/>
    <x v="0"/>
    <m/>
    <m/>
    <x v="0"/>
    <x v="0"/>
    <x v="0"/>
    <x v="0"/>
    <x v="0"/>
    <x v="0"/>
    <m/>
    <x v="0"/>
    <x v="1"/>
    <x v="0"/>
    <x v="0"/>
    <x v="0"/>
    <x v="3"/>
    <n v="848.30508474576266"/>
    <n v="152.69491525423729"/>
    <n v="90090"/>
    <d v="2024-01-31T00:00:00"/>
    <x v="0"/>
  </r>
  <r>
    <n v="368"/>
    <d v="2024-01-01T00:00:00"/>
    <s v="16012024-A-052687"/>
    <d v="2024-01-16T00:00:00"/>
    <x v="0"/>
    <x v="0"/>
    <n v="408"/>
    <x v="4"/>
    <x v="0"/>
    <n v="5205.22"/>
    <n v="2.95"/>
    <n v="0"/>
    <n v="0"/>
    <x v="10"/>
    <s v="20/1 Cotton Yarn 900 LBS)"/>
    <n v="337500"/>
    <x v="0"/>
    <n v="60750"/>
    <x v="0"/>
    <m/>
    <m/>
    <x v="0"/>
    <x v="0"/>
    <x v="0"/>
    <x v="0"/>
    <x v="0"/>
    <x v="0"/>
    <m/>
    <x v="0"/>
    <x v="1"/>
    <x v="0"/>
    <x v="0"/>
    <x v="0"/>
    <x v="3"/>
    <n v="827.20588235294122"/>
    <n v="148.89705882352942"/>
    <n v="0"/>
    <d v="2024-01-31T00:00:00"/>
    <x v="0"/>
  </r>
  <r>
    <n v="369"/>
    <d v="2024-01-05T00:00:00"/>
    <s v="16012024-A-052690"/>
    <d v="2024-01-16T00:00:00"/>
    <x v="0"/>
    <x v="0"/>
    <n v="12180"/>
    <x v="4"/>
    <x v="0"/>
    <n v="5505.1"/>
    <n v="1.29"/>
    <n v="0"/>
    <n v="0"/>
    <x v="20"/>
    <s v="Comber Noil"/>
    <n v="4384800"/>
    <x v="0"/>
    <n v="789264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2-04T00:00:00"/>
    <x v="0"/>
  </r>
  <r>
    <n v="370"/>
    <d v="2024-01-05T00:00:00"/>
    <s v="16012024-A-052693"/>
    <d v="2024-01-16T00:00:00"/>
    <x v="0"/>
    <x v="0"/>
    <n v="13034"/>
    <x v="4"/>
    <x v="0"/>
    <n v="5505.1"/>
    <n v="1.29"/>
    <n v="0"/>
    <n v="0"/>
    <x v="20"/>
    <s v="Comber Noil"/>
    <n v="4692240"/>
    <x v="0"/>
    <n v="844603.2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2-04T00:00:00"/>
    <x v="0"/>
  </r>
  <r>
    <n v="371"/>
    <d v="2024-01-06T00:00:00"/>
    <s v="16012024-A-052695"/>
    <d v="2024-01-16T00:00:00"/>
    <x v="0"/>
    <x v="0"/>
    <n v="12060"/>
    <x v="4"/>
    <x v="0"/>
    <n v="5505.1"/>
    <n v="1.29"/>
    <n v="0"/>
    <n v="0"/>
    <x v="20"/>
    <s v="Comber Noil"/>
    <n v="4341600"/>
    <x v="0"/>
    <n v="781488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2-05T00:00:00"/>
    <x v="0"/>
  </r>
  <r>
    <n v="372"/>
    <d v="2024-01-06T00:00:00"/>
    <s v="16012024-A-052697"/>
    <d v="2024-01-16T00:00:00"/>
    <x v="0"/>
    <x v="0"/>
    <n v="13234"/>
    <x v="4"/>
    <x v="0"/>
    <n v="5505.1"/>
    <n v="1.29"/>
    <n v="0"/>
    <n v="0"/>
    <x v="20"/>
    <s v="Comber Noil"/>
    <n v="4764240"/>
    <x v="0"/>
    <n v="857563.2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2-05T00:00:00"/>
    <x v="0"/>
  </r>
  <r>
    <n v="373"/>
    <d v="2024-01-07T00:00:00"/>
    <s v="17012024-A-052765"/>
    <d v="2024-01-17T00:00:00"/>
    <x v="0"/>
    <x v="0"/>
    <n v="9551"/>
    <x v="4"/>
    <x v="0"/>
    <n v="5505.1"/>
    <n v="1.29"/>
    <n v="0"/>
    <n v="0"/>
    <x v="20"/>
    <s v="Comber Noil"/>
    <n v="3438360"/>
    <x v="0"/>
    <n v="618904.79999999993"/>
    <x v="0"/>
    <m/>
    <m/>
    <x v="0"/>
    <x v="0"/>
    <x v="0"/>
    <x v="4"/>
    <x v="0"/>
    <x v="0"/>
    <m/>
    <x v="0"/>
    <x v="1"/>
    <x v="0"/>
    <x v="0"/>
    <x v="0"/>
    <x v="9"/>
    <n v="360"/>
    <n v="64.8"/>
    <n v="0"/>
    <d v="2024-02-06T00:00:00"/>
    <x v="0"/>
  </r>
  <r>
    <n v="374"/>
    <d v="2024-01-01T00:00:00"/>
    <s v="17012024-A-052779"/>
    <d v="2024-01-17T00:00:00"/>
    <x v="0"/>
    <x v="0"/>
    <n v="26785"/>
    <x v="4"/>
    <x v="0"/>
    <n v="5503.201"/>
    <n v="1.3"/>
    <n v="0"/>
    <n v="0"/>
    <x v="1"/>
    <s v="Polyester Staple Fiber"/>
    <n v="9776343"/>
    <x v="0"/>
    <n v="1759741.74"/>
    <x v="0"/>
    <m/>
    <m/>
    <x v="0"/>
    <x v="0"/>
    <x v="0"/>
    <x v="0"/>
    <x v="0"/>
    <x v="0"/>
    <m/>
    <x v="0"/>
    <x v="1"/>
    <x v="0"/>
    <x v="0"/>
    <x v="0"/>
    <x v="1"/>
    <n v="364.99320515213736"/>
    <n v="65.698776927384728"/>
    <n v="0"/>
    <d v="2024-01-31T00:00:00"/>
    <x v="0"/>
  </r>
  <r>
    <n v="375"/>
    <d v="2024-01-01T00:00:00"/>
    <s v="17012024-A-052787"/>
    <d v="2024-01-17T00:00:00"/>
    <x v="0"/>
    <x v="0"/>
    <n v="25772"/>
    <x v="4"/>
    <x v="0"/>
    <n v="5503.201"/>
    <n v="1.3"/>
    <n v="0"/>
    <n v="0"/>
    <x v="1"/>
    <s v="Polyester Staple Fiber"/>
    <n v="9406853"/>
    <x v="0"/>
    <n v="1693233.54"/>
    <x v="0"/>
    <m/>
    <m/>
    <x v="0"/>
    <x v="0"/>
    <x v="0"/>
    <x v="0"/>
    <x v="0"/>
    <x v="0"/>
    <m/>
    <x v="0"/>
    <x v="1"/>
    <x v="0"/>
    <x v="0"/>
    <x v="0"/>
    <x v="1"/>
    <n v="365.00283253142948"/>
    <n v="65.700509855657302"/>
    <n v="0"/>
    <d v="2024-01-31T00:00:00"/>
    <x v="0"/>
  </r>
  <r>
    <n v="376"/>
    <d v="2024-01-01T00:00:00"/>
    <s v="17012024-A-052798"/>
    <d v="2024-01-17T00:00:00"/>
    <x v="0"/>
    <x v="0"/>
    <n v="26944"/>
    <x v="4"/>
    <x v="0"/>
    <n v="5503.201"/>
    <n v="1.3"/>
    <n v="0"/>
    <n v="0"/>
    <x v="1"/>
    <s v="Polyester Staple Fiber"/>
    <n v="9834706"/>
    <x v="0"/>
    <n v="1770247.0799999998"/>
    <x v="0"/>
    <m/>
    <m/>
    <x v="0"/>
    <x v="0"/>
    <x v="0"/>
    <x v="0"/>
    <x v="0"/>
    <x v="0"/>
    <m/>
    <x v="0"/>
    <x v="1"/>
    <x v="0"/>
    <x v="0"/>
    <x v="0"/>
    <x v="1"/>
    <n v="365.00541864608078"/>
    <n v="65.700975356294535"/>
    <n v="0"/>
    <d v="2024-01-31T00:00:00"/>
    <x v="0"/>
  </r>
  <r>
    <n v="377"/>
    <d v="2024-01-01T00:00:00"/>
    <s v="17012024-A-052805"/>
    <d v="2024-01-17T00:00:00"/>
    <x v="0"/>
    <x v="0"/>
    <n v="37983"/>
    <x v="4"/>
    <x v="0"/>
    <n v="5503.201"/>
    <n v="1.29"/>
    <n v="0"/>
    <n v="0"/>
    <x v="1"/>
    <s v="Polyester Staple Fiber"/>
    <n v="13674024"/>
    <x v="0"/>
    <n v="2461324.3199999998"/>
    <x v="0"/>
    <m/>
    <m/>
    <x v="0"/>
    <x v="0"/>
    <x v="0"/>
    <x v="0"/>
    <x v="0"/>
    <x v="0"/>
    <m/>
    <x v="0"/>
    <x v="1"/>
    <x v="0"/>
    <x v="0"/>
    <x v="0"/>
    <x v="1"/>
    <n v="360.0037911697338"/>
    <n v="64.800682410552085"/>
    <n v="0"/>
    <d v="2024-01-31T00:00:00"/>
    <x v="0"/>
  </r>
  <r>
    <n v="378"/>
    <d v="2024-01-01T00:00:00"/>
    <s v="18012024-A-053414"/>
    <d v="2024-01-18T00:00:00"/>
    <x v="0"/>
    <x v="0"/>
    <n v="4899"/>
    <x v="4"/>
    <x v="0"/>
    <n v="5509.53"/>
    <n v="2.48"/>
    <n v="0"/>
    <n v="0"/>
    <x v="3"/>
    <s v="PC52:48 - 40/1 (10800 LBS)"/>
    <n v="3402000"/>
    <x v="0"/>
    <n v="612360"/>
    <x v="0"/>
    <m/>
    <m/>
    <x v="0"/>
    <x v="0"/>
    <x v="0"/>
    <x v="4"/>
    <x v="0"/>
    <x v="0"/>
    <m/>
    <x v="0"/>
    <x v="1"/>
    <x v="0"/>
    <x v="0"/>
    <x v="0"/>
    <x v="3"/>
    <n v="694.42743417023883"/>
    <n v="124.99693815064299"/>
    <n v="0"/>
    <d v="2024-01-31T00:00:00"/>
    <x v="0"/>
  </r>
  <r>
    <n v="379"/>
    <d v="2024-01-01T00:00:00"/>
    <s v="18012024-A-053419"/>
    <d v="2024-01-18T00:00:00"/>
    <x v="0"/>
    <x v="0"/>
    <n v="5000"/>
    <x v="4"/>
    <x v="0"/>
    <n v="2836.2"/>
    <n v="0.34"/>
    <n v="0"/>
    <n v="0"/>
    <x v="12"/>
    <s v="LIGHT ASH"/>
    <n v="477500"/>
    <x v="0"/>
    <n v="85950"/>
    <x v="0"/>
    <m/>
    <m/>
    <x v="0"/>
    <x v="0"/>
    <x v="0"/>
    <x v="5"/>
    <x v="0"/>
    <x v="0"/>
    <m/>
    <x v="0"/>
    <x v="1"/>
    <x v="0"/>
    <x v="0"/>
    <x v="0"/>
    <x v="5"/>
    <n v="95.5"/>
    <n v="17.190000000000001"/>
    <n v="0"/>
    <d v="2024-01-31T00:00:00"/>
    <x v="0"/>
  </r>
  <r>
    <n v="380"/>
    <d v="2024-01-01T00:00:00"/>
    <s v="18012024-A-053430"/>
    <d v="2024-01-18T00:00:00"/>
    <x v="0"/>
    <x v="0"/>
    <n v="29480"/>
    <x v="4"/>
    <x v="0"/>
    <n v="2815.12"/>
    <n v="0.27"/>
    <n v="0"/>
    <n v="0"/>
    <x v="12"/>
    <s v="CAUSTIC SODA LIQUID"/>
    <n v="2247850"/>
    <x v="0"/>
    <n v="404613"/>
    <x v="0"/>
    <m/>
    <m/>
    <x v="0"/>
    <x v="0"/>
    <x v="0"/>
    <x v="4"/>
    <x v="0"/>
    <x v="0"/>
    <m/>
    <x v="0"/>
    <x v="1"/>
    <x v="0"/>
    <x v="0"/>
    <x v="0"/>
    <x v="5"/>
    <n v="76.25"/>
    <n v="13.725"/>
    <n v="0"/>
    <d v="2024-01-31T00:00:00"/>
    <x v="0"/>
  </r>
  <r>
    <n v="381"/>
    <d v="2024-01-01T00:00:00"/>
    <s v="18012024-A-053438"/>
    <d v="2024-01-18T00:00:00"/>
    <x v="0"/>
    <x v="0"/>
    <n v="29380"/>
    <x v="4"/>
    <x v="0"/>
    <n v="2815.12"/>
    <n v="0.27"/>
    <n v="0"/>
    <n v="0"/>
    <x v="12"/>
    <s v="CAUSTIC SODA LIQUID"/>
    <n v="2240225"/>
    <x v="0"/>
    <n v="403240.5"/>
    <x v="0"/>
    <m/>
    <m/>
    <x v="0"/>
    <x v="0"/>
    <x v="0"/>
    <x v="6"/>
    <x v="0"/>
    <x v="0"/>
    <m/>
    <x v="0"/>
    <x v="1"/>
    <x v="0"/>
    <x v="0"/>
    <x v="0"/>
    <x v="5"/>
    <n v="76.25"/>
    <n v="13.725"/>
    <n v="0"/>
    <d v="2024-01-31T00:00:00"/>
    <x v="0"/>
  </r>
  <r>
    <n v="382"/>
    <d v="2024-01-01T00:00:00"/>
    <s v="18012024-A-053445"/>
    <d v="2024-01-18T00:00:00"/>
    <x v="0"/>
    <x v="0"/>
    <n v="29380"/>
    <x v="4"/>
    <x v="0"/>
    <n v="2815.12"/>
    <n v="0.27"/>
    <n v="0"/>
    <n v="0"/>
    <x v="12"/>
    <s v="CAUSTIC SODA LIQUID"/>
    <n v="2240225"/>
    <x v="0"/>
    <n v="403240.5"/>
    <x v="0"/>
    <m/>
    <m/>
    <x v="0"/>
    <x v="0"/>
    <x v="0"/>
    <x v="6"/>
    <x v="0"/>
    <x v="0"/>
    <m/>
    <x v="0"/>
    <x v="1"/>
    <x v="0"/>
    <x v="0"/>
    <x v="0"/>
    <x v="5"/>
    <n v="76.25"/>
    <n v="13.725"/>
    <n v="0"/>
    <d v="2024-01-31T00:00:00"/>
    <x v="0"/>
  </r>
  <r>
    <n v="383"/>
    <d v="2024-01-01T00:00:00"/>
    <s v="18012024-A-053455"/>
    <d v="2024-01-18T00:00:00"/>
    <x v="0"/>
    <x v="0"/>
    <n v="29530"/>
    <x v="4"/>
    <x v="0"/>
    <n v="2815.12"/>
    <n v="0.27"/>
    <n v="0"/>
    <n v="0"/>
    <x v="12"/>
    <s v="CAUSTIC SODA LIQUID"/>
    <n v="2251662.5"/>
    <x v="0"/>
    <n v="405299.25"/>
    <x v="0"/>
    <m/>
    <m/>
    <x v="0"/>
    <x v="0"/>
    <x v="0"/>
    <x v="5"/>
    <x v="0"/>
    <x v="0"/>
    <m/>
    <x v="0"/>
    <x v="1"/>
    <x v="0"/>
    <x v="0"/>
    <x v="0"/>
    <x v="5"/>
    <n v="76.25"/>
    <n v="13.725"/>
    <n v="0"/>
    <d v="2024-01-31T00:00:00"/>
    <x v="0"/>
  </r>
  <r>
    <n v="384"/>
    <d v="2024-01-01T00:00:00"/>
    <s v="18012024-A-053463"/>
    <d v="2024-01-18T00:00:00"/>
    <x v="0"/>
    <x v="0"/>
    <n v="1100"/>
    <x v="4"/>
    <x v="0"/>
    <n v="2931.9090000000001"/>
    <n v="1.92"/>
    <n v="0"/>
    <n v="0"/>
    <x v="12"/>
    <s v="LUFIBROL ANTOX LIQ"/>
    <n v="591800"/>
    <x v="0"/>
    <n v="106524"/>
    <x v="0"/>
    <m/>
    <m/>
    <x v="0"/>
    <x v="0"/>
    <x v="0"/>
    <x v="4"/>
    <x v="0"/>
    <x v="0"/>
    <m/>
    <x v="0"/>
    <x v="1"/>
    <x v="0"/>
    <x v="0"/>
    <x v="0"/>
    <x v="5"/>
    <n v="538"/>
    <n v="96.84"/>
    <n v="0"/>
    <d v="2024-01-31T00:00:00"/>
    <x v="0"/>
  </r>
  <r>
    <n v="385"/>
    <d v="2024-01-01T00:00:00"/>
    <s v="18012024-A-053467"/>
    <d v="2024-01-18T00:00:00"/>
    <x v="0"/>
    <x v="0"/>
    <n v="2500"/>
    <x v="4"/>
    <x v="0"/>
    <n v="3204.2"/>
    <n v="1.8"/>
    <n v="0"/>
    <n v="0"/>
    <x v="5"/>
    <s v="LEUCOPHOR BMF LIQUID"/>
    <n v="1262500"/>
    <x v="0"/>
    <n v="22725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31T00:00:00"/>
    <x v="0"/>
  </r>
  <r>
    <n v="386"/>
    <d v="2024-01-01T00:00:00"/>
    <s v="18012024-A-053472"/>
    <d v="2024-01-18T00:00:00"/>
    <x v="0"/>
    <x v="0"/>
    <n v="29490"/>
    <x v="4"/>
    <x v="0"/>
    <n v="2815.12"/>
    <n v="0.27"/>
    <n v="0"/>
    <n v="0"/>
    <x v="12"/>
    <s v="CAUSTIC SODA LIQUID"/>
    <n v="2248612.5"/>
    <x v="0"/>
    <n v="404750.25"/>
    <x v="0"/>
    <m/>
    <m/>
    <x v="0"/>
    <x v="0"/>
    <x v="0"/>
    <x v="0"/>
    <x v="0"/>
    <x v="0"/>
    <m/>
    <x v="0"/>
    <x v="1"/>
    <x v="0"/>
    <x v="0"/>
    <x v="0"/>
    <x v="5"/>
    <n v="76.25"/>
    <n v="13.725"/>
    <n v="0"/>
    <d v="2024-01-31T00:00:00"/>
    <x v="0"/>
  </r>
  <r>
    <n v="387"/>
    <d v="2024-01-01T00:00:00"/>
    <s v="18012024-A-053481"/>
    <d v="2024-01-18T00:00:00"/>
    <x v="0"/>
    <x v="0"/>
    <n v="480"/>
    <x v="4"/>
    <x v="0"/>
    <n v="3809.9189999999999"/>
    <n v="5"/>
    <n v="0"/>
    <n v="0"/>
    <x v="12"/>
    <s v="PRODER M.A.C NUEVO"/>
    <n v="672000"/>
    <x v="0"/>
    <n v="120960"/>
    <x v="0"/>
    <m/>
    <m/>
    <x v="0"/>
    <x v="0"/>
    <x v="0"/>
    <x v="4"/>
    <x v="0"/>
    <x v="0"/>
    <m/>
    <x v="0"/>
    <x v="1"/>
    <x v="0"/>
    <x v="0"/>
    <x v="0"/>
    <x v="5"/>
    <n v="1400"/>
    <n v="252"/>
    <n v="0"/>
    <d v="2024-01-31T00:00:00"/>
    <x v="0"/>
  </r>
  <r>
    <n v="388"/>
    <d v="2024-01-02T00:00:00"/>
    <s v="18012024-A-053487"/>
    <d v="2024-01-18T00:00:00"/>
    <x v="0"/>
    <x v="0"/>
    <n v="3000"/>
    <x v="4"/>
    <x v="0"/>
    <n v="2836.2"/>
    <n v="0.34"/>
    <n v="0"/>
    <n v="0"/>
    <x v="12"/>
    <s v="LIGHT ASH"/>
    <n v="286500"/>
    <x v="0"/>
    <n v="51570"/>
    <x v="0"/>
    <m/>
    <m/>
    <x v="0"/>
    <x v="0"/>
    <x v="0"/>
    <x v="5"/>
    <x v="0"/>
    <x v="0"/>
    <m/>
    <x v="0"/>
    <x v="1"/>
    <x v="0"/>
    <x v="0"/>
    <x v="0"/>
    <x v="5"/>
    <n v="95.5"/>
    <n v="17.190000000000001"/>
    <n v="0"/>
    <d v="2024-02-01T00:00:00"/>
    <x v="0"/>
  </r>
  <r>
    <n v="389"/>
    <d v="2024-01-01T00:00:00"/>
    <s v="18012024-A-053494"/>
    <d v="2024-01-18T00:00:00"/>
    <x v="0"/>
    <x v="0"/>
    <n v="1800"/>
    <x v="4"/>
    <x v="0"/>
    <n v="3204.2"/>
    <n v="1.8"/>
    <n v="0"/>
    <n v="0"/>
    <x v="5"/>
    <s v="LEUCOPHOR BMF LIQUID"/>
    <n v="909000"/>
    <x v="0"/>
    <n v="16362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31T00:00:00"/>
    <x v="0"/>
  </r>
  <r>
    <n v="390"/>
    <d v="2024-01-01T00:00:00"/>
    <s v="18012024-A-053499"/>
    <d v="2024-01-18T00:00:00"/>
    <x v="0"/>
    <x v="0"/>
    <n v="600"/>
    <x v="4"/>
    <x v="0"/>
    <n v="3204.2"/>
    <n v="1.8"/>
    <n v="0"/>
    <n v="0"/>
    <x v="5"/>
    <s v="LEUCOPHOR BMF LIQUID"/>
    <n v="303000"/>
    <x v="0"/>
    <n v="5454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1-31T00:00:00"/>
    <x v="0"/>
  </r>
  <r>
    <n v="391"/>
    <d v="2024-01-03T00:00:00"/>
    <s v="18012024-A-053506"/>
    <d v="2024-01-18T00:00:00"/>
    <x v="0"/>
    <x v="0"/>
    <n v="1020"/>
    <x v="4"/>
    <x v="0"/>
    <n v="3204.172"/>
    <n v="5.14"/>
    <n v="0"/>
    <n v="0"/>
    <x v="5"/>
    <s v="PRINTOFIX BLUE HG"/>
    <n v="1468800"/>
    <x v="0"/>
    <n v="264384"/>
    <x v="0"/>
    <m/>
    <m/>
    <x v="0"/>
    <x v="0"/>
    <x v="0"/>
    <x v="4"/>
    <x v="0"/>
    <x v="0"/>
    <m/>
    <x v="0"/>
    <x v="1"/>
    <x v="0"/>
    <x v="0"/>
    <x v="0"/>
    <x v="4"/>
    <n v="1440"/>
    <n v="259.2"/>
    <n v="0"/>
    <d v="2024-02-02T00:00:00"/>
    <x v="0"/>
  </r>
  <r>
    <n v="392"/>
    <d v="2024-01-01T00:00:00"/>
    <s v="18012024-A-053512"/>
    <d v="2024-01-18T00:00:00"/>
    <x v="0"/>
    <x v="0"/>
    <n v="720"/>
    <x v="4"/>
    <x v="0"/>
    <n v="3204.172"/>
    <n v="9.6999999999999993"/>
    <n v="0"/>
    <n v="0"/>
    <x v="5"/>
    <s v="FAVOPRINT YELLOW AF-3GN / VIOLET AF-HS"/>
    <n v="1956000"/>
    <x v="0"/>
    <n v="352080"/>
    <x v="0"/>
    <m/>
    <m/>
    <x v="0"/>
    <x v="0"/>
    <x v="0"/>
    <x v="4"/>
    <x v="0"/>
    <x v="0"/>
    <m/>
    <x v="0"/>
    <x v="1"/>
    <x v="0"/>
    <x v="0"/>
    <x v="0"/>
    <x v="4"/>
    <n v="2716.6666666666665"/>
    <n v="489"/>
    <n v="0"/>
    <d v="2024-01-31T00:00:00"/>
    <x v="0"/>
  </r>
  <r>
    <n v="393"/>
    <d v="2024-01-01T00:00:00"/>
    <s v="18012024-A-053526"/>
    <d v="2024-01-18T00:00:00"/>
    <x v="0"/>
    <x v="0"/>
    <n v="1424"/>
    <x v="4"/>
    <x v="0"/>
    <n v="3204.172"/>
    <n v="4.34"/>
    <n v="0"/>
    <n v="0"/>
    <x v="5"/>
    <s v="FAVOPRINT BLUE AFFR"/>
    <n v="1730172"/>
    <x v="0"/>
    <n v="311430.95999999996"/>
    <x v="0"/>
    <m/>
    <m/>
    <x v="0"/>
    <x v="0"/>
    <x v="0"/>
    <x v="4"/>
    <x v="0"/>
    <x v="0"/>
    <m/>
    <x v="0"/>
    <x v="1"/>
    <x v="0"/>
    <x v="0"/>
    <x v="0"/>
    <x v="4"/>
    <n v="1215.0084269662921"/>
    <n v="218.70151685393256"/>
    <n v="0"/>
    <d v="2024-01-31T00:00:00"/>
    <x v="0"/>
  </r>
  <r>
    <n v="394"/>
    <d v="2024-01-01T00:00:00"/>
    <s v="18012024-A-053531"/>
    <d v="2024-01-18T00:00:00"/>
    <x v="0"/>
    <x v="0"/>
    <n v="840"/>
    <x v="4"/>
    <x v="0"/>
    <n v="3204.172"/>
    <n v="4.34"/>
    <n v="0"/>
    <n v="0"/>
    <x v="5"/>
    <s v="FAVOPRINT BLUE AFFR"/>
    <n v="1020600"/>
    <x v="0"/>
    <n v="183708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1-31T00:00:00"/>
    <x v="0"/>
  </r>
  <r>
    <n v="395"/>
    <d v="2024-01-01T00:00:00"/>
    <s v="18012024-A-053535"/>
    <d v="2024-01-18T00:00:00"/>
    <x v="0"/>
    <x v="0"/>
    <n v="300"/>
    <x v="4"/>
    <x v="0"/>
    <n v="3204.172"/>
    <n v="4.34"/>
    <n v="0"/>
    <n v="0"/>
    <x v="5"/>
    <s v="FAVOPRINT BLUE AFFR"/>
    <n v="364500"/>
    <x v="0"/>
    <n v="65610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1-31T00:00:00"/>
    <x v="0"/>
  </r>
  <r>
    <n v="396"/>
    <d v="2024-01-03T00:00:00"/>
    <s v="18012024-A-053540"/>
    <d v="2024-01-18T00:00:00"/>
    <x v="0"/>
    <x v="0"/>
    <n v="1020"/>
    <x v="4"/>
    <x v="0"/>
    <n v="3204.172"/>
    <n v="4.34"/>
    <n v="0"/>
    <n v="0"/>
    <x v="5"/>
    <s v="FAVOPRINT BLUE AFFR"/>
    <n v="1239300"/>
    <x v="0"/>
    <n v="223074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2-02T00:00:00"/>
    <x v="0"/>
  </r>
  <r>
    <n v="397"/>
    <d v="2024-01-01T00:00:00"/>
    <s v="18012024-A-053547"/>
    <d v="2024-01-18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1-31T00:00:00"/>
    <x v="0"/>
  </r>
  <r>
    <n v="398"/>
    <d v="2024-01-02T00:00:00"/>
    <s v="18012024-A-053553"/>
    <d v="2024-01-18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1T00:00:00"/>
    <x v="0"/>
  </r>
  <r>
    <n v="399"/>
    <d v="2024-01-03T00:00:00"/>
    <s v="18012024-A-053558"/>
    <d v="2024-01-18T00:00:00"/>
    <x v="0"/>
    <x v="0"/>
    <n v="1050"/>
    <x v="4"/>
    <x v="0"/>
    <n v="3204.172"/>
    <n v="5.34"/>
    <n v="0"/>
    <n v="0"/>
    <x v="5"/>
    <s v="PIGMASOL YELLOW MRP"/>
    <n v="1569750"/>
    <x v="0"/>
    <n v="282555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2-02T00:00:00"/>
    <x v="0"/>
  </r>
  <r>
    <n v="400"/>
    <d v="2024-01-03T00:00:00"/>
    <s v="18012024-A-053561"/>
    <d v="2024-01-18T00:00:00"/>
    <x v="0"/>
    <x v="0"/>
    <n v="1050"/>
    <x v="4"/>
    <x v="0"/>
    <n v="3204.172"/>
    <n v="5.34"/>
    <n v="0"/>
    <n v="0"/>
    <x v="5"/>
    <s v="PIGMASOL YELLOW MRP"/>
    <n v="1569750"/>
    <x v="0"/>
    <n v="282555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2-02T00:00:00"/>
    <x v="0"/>
  </r>
  <r>
    <n v="401"/>
    <d v="2024-01-03T00:00:00"/>
    <s v="18012024-A-053565"/>
    <d v="2024-01-18T00:00:00"/>
    <x v="0"/>
    <x v="0"/>
    <n v="900"/>
    <x v="4"/>
    <x v="0"/>
    <n v="3204.172"/>
    <n v="5.34"/>
    <n v="0"/>
    <n v="0"/>
    <x v="5"/>
    <s v="PIGMASOL YELLOW MRP"/>
    <n v="1345500"/>
    <x v="0"/>
    <n v="242190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2-02T00:00:00"/>
    <x v="0"/>
  </r>
  <r>
    <n v="402"/>
    <d v="2024-01-02T00:00:00"/>
    <s v="18012024-A-053574"/>
    <d v="2024-01-18T00:00:00"/>
    <x v="0"/>
    <x v="0"/>
    <n v="70"/>
    <x v="4"/>
    <x v="0"/>
    <n v="3204.172"/>
    <n v="15.36"/>
    <n v="0"/>
    <n v="0"/>
    <x v="5"/>
    <s v="IMPERON BRILLIANT PINK K3BL"/>
    <n v="301000"/>
    <x v="0"/>
    <n v="54180"/>
    <x v="0"/>
    <m/>
    <m/>
    <x v="0"/>
    <x v="0"/>
    <x v="0"/>
    <x v="4"/>
    <x v="0"/>
    <x v="0"/>
    <m/>
    <x v="0"/>
    <x v="1"/>
    <x v="0"/>
    <x v="0"/>
    <x v="0"/>
    <x v="4"/>
    <n v="4300"/>
    <n v="774"/>
    <n v="0"/>
    <d v="2024-02-01T00:00:00"/>
    <x v="0"/>
  </r>
  <r>
    <n v="403"/>
    <d v="2024-01-03T00:00:00"/>
    <s v="18012024-A-053584"/>
    <d v="2024-01-18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2T00:00:00"/>
    <x v="0"/>
  </r>
  <r>
    <n v="404"/>
    <d v="2024-01-01T00:00:00"/>
    <s v="23012024-A-055051"/>
    <d v="2024-01-23T00:00:00"/>
    <x v="0"/>
    <x v="0"/>
    <n v="31714"/>
    <x v="4"/>
    <x v="0"/>
    <n v="5201.009"/>
    <n v="1.69"/>
    <n v="0"/>
    <n v="0"/>
    <x v="0"/>
    <s v="Raw Cotton"/>
    <n v="15039594"/>
    <x v="0"/>
    <n v="2707126.92"/>
    <x v="0"/>
    <m/>
    <m/>
    <x v="0"/>
    <x v="0"/>
    <x v="0"/>
    <x v="0"/>
    <x v="0"/>
    <x v="0"/>
    <m/>
    <x v="0"/>
    <x v="1"/>
    <x v="0"/>
    <x v="0"/>
    <x v="0"/>
    <x v="0"/>
    <n v="474.22570473607868"/>
    <n v="85.360626852494164"/>
    <n v="0"/>
    <d v="2024-01-31T00:00:00"/>
    <x v="0"/>
  </r>
  <r>
    <n v="405"/>
    <d v="2024-01-01T00:00:00"/>
    <s v="23012024-A-055058"/>
    <d v="2024-01-23T00:00:00"/>
    <x v="0"/>
    <x v="0"/>
    <n v="31435"/>
    <x v="4"/>
    <x v="0"/>
    <n v="5201.009"/>
    <n v="1.69"/>
    <n v="0"/>
    <n v="0"/>
    <x v="0"/>
    <s v="Raw Cotton"/>
    <n v="14907285"/>
    <x v="0"/>
    <n v="2683311.2999999998"/>
    <x v="0"/>
    <m/>
    <m/>
    <x v="0"/>
    <x v="0"/>
    <x v="0"/>
    <x v="0"/>
    <x v="0"/>
    <x v="0"/>
    <m/>
    <x v="0"/>
    <x v="1"/>
    <x v="0"/>
    <x v="0"/>
    <x v="0"/>
    <x v="0"/>
    <n v="474.2257038333068"/>
    <n v="85.360626689995229"/>
    <n v="0"/>
    <d v="2024-01-31T00:00:00"/>
    <x v="0"/>
  </r>
  <r>
    <n v="406"/>
    <d v="2024-01-01T00:00:00"/>
    <s v="23012024-A-055063"/>
    <d v="2024-01-23T00:00:00"/>
    <x v="0"/>
    <x v="0"/>
    <n v="31461"/>
    <x v="4"/>
    <x v="0"/>
    <n v="5201.009"/>
    <n v="1.53"/>
    <n v="0"/>
    <n v="0"/>
    <x v="0"/>
    <s v="Raw Cotton"/>
    <n v="13486657"/>
    <x v="0"/>
    <n v="2427598.2599999998"/>
    <x v="0"/>
    <m/>
    <m/>
    <x v="0"/>
    <x v="0"/>
    <x v="0"/>
    <x v="0"/>
    <x v="0"/>
    <x v="0"/>
    <m/>
    <x v="0"/>
    <x v="1"/>
    <x v="0"/>
    <x v="0"/>
    <x v="0"/>
    <x v="0"/>
    <n v="428.67858618607164"/>
    <n v="77.162145513492888"/>
    <n v="0"/>
    <d v="2024-01-31T00:00:00"/>
    <x v="0"/>
  </r>
  <r>
    <n v="407"/>
    <d v="2024-01-01T00:00:00"/>
    <s v="23012024-A-055067"/>
    <d v="2024-01-23T00:00:00"/>
    <x v="0"/>
    <x v="0"/>
    <n v="30784"/>
    <x v="4"/>
    <x v="0"/>
    <n v="5201.009"/>
    <n v="1.53"/>
    <n v="0"/>
    <n v="0"/>
    <x v="0"/>
    <s v="Raw Cotton"/>
    <n v="13196442"/>
    <x v="0"/>
    <n v="2375359.56"/>
    <x v="0"/>
    <m/>
    <m/>
    <x v="0"/>
    <x v="0"/>
    <x v="0"/>
    <x v="0"/>
    <x v="0"/>
    <x v="0"/>
    <m/>
    <x v="0"/>
    <x v="1"/>
    <x v="0"/>
    <x v="0"/>
    <x v="0"/>
    <x v="0"/>
    <n v="428.67859927234929"/>
    <n v="77.162147869022874"/>
    <n v="0"/>
    <d v="2024-01-31T00:00:00"/>
    <x v="0"/>
  </r>
  <r>
    <n v="408"/>
    <d v="2024-01-01T00:00:00"/>
    <s v="23012024-A-055071"/>
    <d v="2024-01-23T00:00:00"/>
    <x v="0"/>
    <x v="0"/>
    <n v="31540"/>
    <x v="4"/>
    <x v="0"/>
    <n v="5201.009"/>
    <n v="1.53"/>
    <n v="0"/>
    <n v="0"/>
    <x v="0"/>
    <s v="Raw Cotton"/>
    <n v="13512072"/>
    <x v="0"/>
    <n v="2432172.96"/>
    <x v="0"/>
    <m/>
    <m/>
    <x v="0"/>
    <x v="0"/>
    <x v="0"/>
    <x v="0"/>
    <x v="0"/>
    <x v="0"/>
    <m/>
    <x v="0"/>
    <x v="1"/>
    <x v="0"/>
    <x v="0"/>
    <x v="0"/>
    <x v="0"/>
    <n v="428.41065313887128"/>
    <n v="77.113917564996825"/>
    <n v="0"/>
    <d v="2024-01-31T00:00:00"/>
    <x v="0"/>
  </r>
  <r>
    <n v="409"/>
    <d v="2024-01-01T00:00:00"/>
    <s v="23012024-A-055073"/>
    <d v="2024-01-23T00:00:00"/>
    <x v="0"/>
    <x v="0"/>
    <n v="31545"/>
    <x v="4"/>
    <x v="0"/>
    <n v="5201.009"/>
    <n v="1.53"/>
    <n v="0"/>
    <n v="0"/>
    <x v="0"/>
    <s v="Raw Cotton"/>
    <n v="13514214"/>
    <x v="0"/>
    <n v="2432558.52"/>
    <x v="0"/>
    <m/>
    <m/>
    <x v="0"/>
    <x v="0"/>
    <x v="0"/>
    <x v="0"/>
    <x v="0"/>
    <x v="0"/>
    <m/>
    <x v="0"/>
    <x v="1"/>
    <x v="0"/>
    <x v="0"/>
    <x v="0"/>
    <x v="0"/>
    <n v="428.4106514503091"/>
    <n v="77.113917261055633"/>
    <n v="0"/>
    <d v="2024-01-31T00:00:00"/>
    <x v="0"/>
  </r>
  <r>
    <n v="410"/>
    <d v="2024-01-01T00:00:00"/>
    <s v="23012024-A-055078"/>
    <d v="2024-01-23T00:00:00"/>
    <x v="0"/>
    <x v="0"/>
    <n v="32379"/>
    <x v="4"/>
    <x v="0"/>
    <n v="5201.009"/>
    <n v="1.53"/>
    <n v="0"/>
    <n v="0"/>
    <x v="0"/>
    <s v="Raw Cotton"/>
    <n v="13880184"/>
    <x v="0"/>
    <n v="2498433.12"/>
    <x v="0"/>
    <m/>
    <m/>
    <x v="0"/>
    <x v="0"/>
    <x v="0"/>
    <x v="0"/>
    <x v="0"/>
    <x v="0"/>
    <m/>
    <x v="0"/>
    <x v="1"/>
    <x v="0"/>
    <x v="0"/>
    <x v="0"/>
    <x v="0"/>
    <n v="428.67858797368666"/>
    <n v="77.162145835263601"/>
    <n v="0"/>
    <d v="2024-01-31T00:00:00"/>
    <x v="0"/>
  </r>
  <r>
    <n v="411"/>
    <d v="2024-01-01T00:00:00"/>
    <s v="23012024-A-055083"/>
    <d v="2024-01-23T00:00:00"/>
    <x v="0"/>
    <x v="0"/>
    <n v="32175"/>
    <x v="4"/>
    <x v="0"/>
    <n v="5201.009"/>
    <n v="1.53"/>
    <n v="0"/>
    <n v="0"/>
    <x v="0"/>
    <s v="Raw Cotton"/>
    <n v="13792734"/>
    <x v="0"/>
    <n v="2482692.12"/>
    <x v="0"/>
    <m/>
    <m/>
    <x v="0"/>
    <x v="0"/>
    <x v="0"/>
    <x v="0"/>
    <x v="0"/>
    <x v="0"/>
    <m/>
    <x v="0"/>
    <x v="1"/>
    <x v="0"/>
    <x v="0"/>
    <x v="0"/>
    <x v="0"/>
    <n v="428.67860139860142"/>
    <n v="77.162148251748249"/>
    <n v="0"/>
    <d v="2024-01-31T00:00:00"/>
    <x v="0"/>
  </r>
  <r>
    <n v="412"/>
    <d v="2024-01-01T00:00:00"/>
    <s v="23012024-A-055087"/>
    <d v="2024-01-23T00:00:00"/>
    <x v="0"/>
    <x v="0"/>
    <n v="61430"/>
    <x v="4"/>
    <x v="0"/>
    <n v="5201.009"/>
    <n v="1.77"/>
    <n v="0"/>
    <n v="0"/>
    <x v="0"/>
    <s v="Raw Cotton"/>
    <n v="30448371"/>
    <x v="0"/>
    <n v="5480706.7800000003"/>
    <x v="0"/>
    <m/>
    <m/>
    <x v="0"/>
    <x v="0"/>
    <x v="0"/>
    <x v="0"/>
    <x v="0"/>
    <x v="0"/>
    <m/>
    <x v="0"/>
    <x v="1"/>
    <x v="0"/>
    <x v="0"/>
    <x v="0"/>
    <x v="0"/>
    <n v="495.65962884584081"/>
    <n v="89.218733192251349"/>
    <n v="0"/>
    <d v="2024-01-31T00:00:00"/>
    <x v="0"/>
  </r>
  <r>
    <n v="413"/>
    <d v="2024-01-08T00:00:00"/>
    <s v="23012024-A-055089"/>
    <d v="2024-01-23T00:00:00"/>
    <x v="0"/>
    <x v="0"/>
    <n v="32257"/>
    <x v="4"/>
    <x v="0"/>
    <n v="5201.009"/>
    <n v="1.63"/>
    <n v="32257"/>
    <n v="0"/>
    <x v="0"/>
    <s v="Raw Cotton"/>
    <n v="14692128"/>
    <x v="0"/>
    <n v="2644583.04"/>
    <x v="0"/>
    <m/>
    <m/>
    <x v="0"/>
    <x v="0"/>
    <x v="0"/>
    <x v="0"/>
    <x v="0"/>
    <x v="0"/>
    <m/>
    <x v="0"/>
    <x v="1"/>
    <x v="0"/>
    <x v="0"/>
    <x v="0"/>
    <x v="0"/>
    <n v="455.47099854295192"/>
    <n v="81.984779737731344"/>
    <n v="2644583.04"/>
    <d v="2024-02-07T00:00:00"/>
    <x v="0"/>
  </r>
  <r>
    <n v="414"/>
    <d v="2024-01-08T00:00:00"/>
    <s v="23012024-A-055094"/>
    <d v="2024-01-23T00:00:00"/>
    <x v="0"/>
    <x v="0"/>
    <n v="30934"/>
    <x v="4"/>
    <x v="0"/>
    <n v="5201.009"/>
    <n v="1.63"/>
    <n v="0"/>
    <n v="0"/>
    <x v="0"/>
    <s v="Raw Cotton"/>
    <n v="14089540"/>
    <x v="0"/>
    <n v="2536117.1999999997"/>
    <x v="0"/>
    <m/>
    <m/>
    <x v="0"/>
    <x v="0"/>
    <x v="0"/>
    <x v="0"/>
    <x v="0"/>
    <x v="0"/>
    <m/>
    <x v="0"/>
    <x v="1"/>
    <x v="0"/>
    <x v="0"/>
    <x v="0"/>
    <x v="0"/>
    <n v="455.47100278011249"/>
    <n v="81.984780500420243"/>
    <n v="0"/>
    <d v="2024-02-07T00:00:00"/>
    <x v="0"/>
  </r>
  <r>
    <n v="415"/>
    <d v="2024-01-01T00:00:00"/>
    <s v="23012024-A-055098"/>
    <d v="2024-01-23T00:00:00"/>
    <x v="0"/>
    <x v="0"/>
    <n v="63000"/>
    <x v="4"/>
    <x v="0"/>
    <n v="5201.009"/>
    <n v="1.77"/>
    <n v="0"/>
    <n v="0"/>
    <x v="0"/>
    <s v="Raw Cotton"/>
    <n v="31226557"/>
    <x v="0"/>
    <n v="5620780.2599999998"/>
    <x v="0"/>
    <m/>
    <m/>
    <x v="0"/>
    <x v="0"/>
    <x v="0"/>
    <x v="0"/>
    <x v="0"/>
    <x v="0"/>
    <m/>
    <x v="0"/>
    <x v="1"/>
    <x v="0"/>
    <x v="0"/>
    <x v="0"/>
    <x v="0"/>
    <n v="495.65963492063491"/>
    <n v="89.218734285714277"/>
    <n v="0"/>
    <d v="2024-01-31T00:00:00"/>
    <x v="0"/>
  </r>
  <r>
    <n v="416"/>
    <d v="2024-01-01T00:00:00"/>
    <s v="23012024-A-055101"/>
    <d v="2024-01-23T00:00:00"/>
    <x v="0"/>
    <x v="0"/>
    <n v="90625"/>
    <x v="4"/>
    <x v="0"/>
    <n v="5201.009"/>
    <n v="1.76"/>
    <n v="0"/>
    <n v="0"/>
    <x v="0"/>
    <s v="Raw Cotton"/>
    <n v="44676348"/>
    <x v="0"/>
    <n v="8041742.6399999997"/>
    <x v="0"/>
    <m/>
    <m/>
    <x v="0"/>
    <x v="0"/>
    <x v="0"/>
    <x v="0"/>
    <x v="0"/>
    <x v="0"/>
    <m/>
    <x v="0"/>
    <x v="1"/>
    <x v="0"/>
    <x v="0"/>
    <x v="0"/>
    <x v="0"/>
    <n v="492.98039172413792"/>
    <n v="88.73647051034483"/>
    <n v="0"/>
    <d v="2024-01-31T00:00:00"/>
    <x v="0"/>
  </r>
  <r>
    <n v="417"/>
    <d v="2024-01-01T00:00:00"/>
    <s v="23012024-A-055107"/>
    <d v="2024-01-23T00:00:00"/>
    <x v="0"/>
    <x v="0"/>
    <n v="30640"/>
    <x v="4"/>
    <x v="0"/>
    <n v="5201.009"/>
    <n v="1.76"/>
    <n v="0"/>
    <n v="0"/>
    <x v="0"/>
    <s v="Raw Cotton"/>
    <n v="15104919"/>
    <x v="0"/>
    <n v="2718885.42"/>
    <x v="0"/>
    <m/>
    <m/>
    <x v="0"/>
    <x v="0"/>
    <x v="0"/>
    <x v="0"/>
    <x v="0"/>
    <x v="0"/>
    <m/>
    <x v="0"/>
    <x v="1"/>
    <x v="0"/>
    <x v="0"/>
    <x v="0"/>
    <x v="0"/>
    <n v="492.98038511749348"/>
    <n v="88.736469321148817"/>
    <n v="0"/>
    <d v="2024-01-31T00:00:00"/>
    <x v="0"/>
  </r>
  <r>
    <n v="418"/>
    <d v="2024-01-01T00:00:00"/>
    <s v="23012024-A-055109"/>
    <d v="2024-01-23T00:00:00"/>
    <x v="0"/>
    <x v="0"/>
    <n v="30807"/>
    <x v="4"/>
    <x v="0"/>
    <n v="5201.009"/>
    <n v="1.63"/>
    <n v="0"/>
    <n v="0"/>
    <x v="0"/>
    <s v="Raw Cotton"/>
    <n v="14031695"/>
    <x v="0"/>
    <n v="2525705.1"/>
    <x v="0"/>
    <m/>
    <m/>
    <x v="0"/>
    <x v="0"/>
    <x v="0"/>
    <x v="0"/>
    <x v="0"/>
    <x v="0"/>
    <m/>
    <x v="0"/>
    <x v="1"/>
    <x v="0"/>
    <x v="0"/>
    <x v="0"/>
    <x v="0"/>
    <n v="455.47099685136493"/>
    <n v="81.984779433245691"/>
    <n v="0"/>
    <d v="2024-01-31T00:00:00"/>
    <x v="0"/>
  </r>
  <r>
    <n v="419"/>
    <d v="2024-01-01T00:00:00"/>
    <s v="23012024-A-055112"/>
    <d v="2024-01-23T00:00:00"/>
    <x v="0"/>
    <x v="0"/>
    <n v="30438"/>
    <x v="4"/>
    <x v="0"/>
    <n v="5201.009"/>
    <n v="1.63"/>
    <n v="0"/>
    <n v="0"/>
    <x v="0"/>
    <s v="Raw Cotton"/>
    <n v="13863627"/>
    <x v="0"/>
    <n v="2495452.86"/>
    <x v="0"/>
    <m/>
    <m/>
    <x v="0"/>
    <x v="0"/>
    <x v="0"/>
    <x v="0"/>
    <x v="0"/>
    <x v="0"/>
    <m/>
    <x v="0"/>
    <x v="1"/>
    <x v="0"/>
    <x v="0"/>
    <x v="0"/>
    <x v="0"/>
    <n v="455.47102306327616"/>
    <n v="81.984784151389704"/>
    <n v="0"/>
    <d v="2024-01-31T00:00:00"/>
    <x v="0"/>
  </r>
  <r>
    <n v="420"/>
    <d v="2024-01-10T00:00:00"/>
    <s v="23012024-A-055115"/>
    <d v="2024-01-23T00:00:00"/>
    <x v="0"/>
    <x v="2"/>
    <n v="30488"/>
    <x v="4"/>
    <x v="0"/>
    <n v="5201.009"/>
    <n v="1.61"/>
    <n v="0"/>
    <n v="30488"/>
    <x v="0"/>
    <s v="Raw Cotton"/>
    <n v="13723031"/>
    <x v="0"/>
    <n v="2470145.58"/>
    <x v="0"/>
    <m/>
    <m/>
    <x v="0"/>
    <x v="0"/>
    <x v="0"/>
    <x v="0"/>
    <x v="0"/>
    <x v="0"/>
    <m/>
    <x v="0"/>
    <x v="1"/>
    <x v="0"/>
    <x v="0"/>
    <x v="0"/>
    <x v="0"/>
    <n v="450.11253607976909"/>
    <n v="81.020256494358435"/>
    <n v="0"/>
    <d v="2024-02-09T00:00:00"/>
    <x v="0"/>
  </r>
  <r>
    <n v="421"/>
    <d v="2024-01-10T00:00:00"/>
    <s v="23012024-A-055118"/>
    <d v="2024-01-23T00:00:00"/>
    <x v="0"/>
    <x v="2"/>
    <n v="30835"/>
    <x v="4"/>
    <x v="0"/>
    <n v="5201.009"/>
    <n v="1.61"/>
    <n v="5231"/>
    <n v="30835"/>
    <x v="0"/>
    <s v="Raw Cotton"/>
    <n v="13879220"/>
    <x v="0"/>
    <n v="2498259.6"/>
    <x v="0"/>
    <m/>
    <m/>
    <x v="0"/>
    <x v="0"/>
    <x v="0"/>
    <x v="0"/>
    <x v="0"/>
    <x v="0"/>
    <m/>
    <x v="0"/>
    <x v="1"/>
    <x v="0"/>
    <x v="0"/>
    <x v="0"/>
    <x v="0"/>
    <n v="450.11253445759689"/>
    <n v="81.020256202367449"/>
    <n v="423816.9601945841"/>
    <d v="2024-02-09T00:00:00"/>
    <x v="0"/>
  </r>
  <r>
    <n v="422"/>
    <d v="2024-01-14T00:00:00"/>
    <s v="23012024-A-055121"/>
    <d v="2024-01-23T00:00:00"/>
    <x v="0"/>
    <x v="0"/>
    <n v="5115"/>
    <x v="4"/>
    <x v="0"/>
    <n v="5402.33"/>
    <n v="1.85"/>
    <n v="0"/>
    <n v="0"/>
    <x v="6"/>
    <s v="150/48 DTY POLYESTER YARN"/>
    <n v="2654975"/>
    <x v="0"/>
    <n v="477895.5"/>
    <x v="0"/>
    <m/>
    <m/>
    <x v="0"/>
    <x v="0"/>
    <x v="0"/>
    <x v="0"/>
    <x v="0"/>
    <x v="0"/>
    <m/>
    <x v="0"/>
    <x v="1"/>
    <x v="0"/>
    <x v="0"/>
    <x v="0"/>
    <x v="3"/>
    <n v="519.05669599217981"/>
    <n v="93.430205278592382"/>
    <n v="0"/>
    <d v="2024-02-13T00:00:00"/>
    <x v="0"/>
  </r>
  <r>
    <n v="423"/>
    <d v="2024-01-14T00:00:00"/>
    <s v="23012024-A-055125"/>
    <d v="2024-01-23T00:00:00"/>
    <x v="0"/>
    <x v="0"/>
    <n v="5115"/>
    <x v="4"/>
    <x v="0"/>
    <n v="5402.33"/>
    <n v="1.85"/>
    <n v="0"/>
    <n v="0"/>
    <x v="6"/>
    <s v="150/48 DTY POLYESTER YARN"/>
    <n v="2654975"/>
    <x v="0"/>
    <n v="477895.5"/>
    <x v="0"/>
    <m/>
    <m/>
    <x v="0"/>
    <x v="0"/>
    <x v="0"/>
    <x v="0"/>
    <x v="0"/>
    <x v="0"/>
    <m/>
    <x v="0"/>
    <x v="1"/>
    <x v="0"/>
    <x v="0"/>
    <x v="0"/>
    <x v="3"/>
    <n v="519.05669599217981"/>
    <n v="93.430205278592382"/>
    <n v="0"/>
    <d v="2024-02-13T00:00:00"/>
    <x v="0"/>
  </r>
  <r>
    <n v="424"/>
    <d v="2024-01-12T00:00:00"/>
    <s v="23012024-A-055132"/>
    <d v="2024-01-23T00:00:00"/>
    <x v="0"/>
    <x v="0"/>
    <n v="12497"/>
    <x v="4"/>
    <x v="0"/>
    <n v="5505.1"/>
    <n v="1.3"/>
    <n v="0"/>
    <n v="0"/>
    <x v="20"/>
    <s v="Comber Noil"/>
    <n v="4548908"/>
    <x v="0"/>
    <n v="818803.44"/>
    <x v="0"/>
    <m/>
    <m/>
    <x v="0"/>
    <x v="0"/>
    <x v="0"/>
    <x v="4"/>
    <x v="0"/>
    <x v="0"/>
    <m/>
    <x v="0"/>
    <x v="1"/>
    <x v="0"/>
    <x v="0"/>
    <x v="0"/>
    <x v="9"/>
    <n v="364"/>
    <n v="65.52"/>
    <n v="0"/>
    <d v="2024-02-11T00:00:00"/>
    <x v="0"/>
  </r>
  <r>
    <n v="425"/>
    <d v="2024-01-12T00:00:00"/>
    <s v="23012024-A-055134"/>
    <d v="2024-01-23T00:00:00"/>
    <x v="0"/>
    <x v="0"/>
    <n v="13174"/>
    <x v="4"/>
    <x v="0"/>
    <n v="5505.1"/>
    <n v="1.3"/>
    <n v="0"/>
    <n v="0"/>
    <x v="20"/>
    <s v="Comber Noil"/>
    <n v="4795336"/>
    <x v="0"/>
    <n v="863160.48"/>
    <x v="0"/>
    <m/>
    <m/>
    <x v="0"/>
    <x v="0"/>
    <x v="0"/>
    <x v="4"/>
    <x v="0"/>
    <x v="0"/>
    <m/>
    <x v="0"/>
    <x v="1"/>
    <x v="0"/>
    <x v="0"/>
    <x v="0"/>
    <x v="9"/>
    <n v="364"/>
    <n v="65.52"/>
    <n v="0"/>
    <d v="2024-02-11T00:00:00"/>
    <x v="0"/>
  </r>
  <r>
    <n v="426"/>
    <d v="2024-01-13T00:00:00"/>
    <s v="23012024-A-055138"/>
    <d v="2024-01-23T00:00:00"/>
    <x v="0"/>
    <x v="0"/>
    <n v="12714"/>
    <x v="4"/>
    <x v="0"/>
    <n v="5505.1"/>
    <n v="1.3"/>
    <n v="0"/>
    <n v="0"/>
    <x v="20"/>
    <s v="Comber Noil"/>
    <n v="4627896"/>
    <x v="0"/>
    <n v="833021.27999999991"/>
    <x v="0"/>
    <m/>
    <m/>
    <x v="0"/>
    <x v="0"/>
    <x v="0"/>
    <x v="4"/>
    <x v="0"/>
    <x v="0"/>
    <m/>
    <x v="0"/>
    <x v="1"/>
    <x v="0"/>
    <x v="0"/>
    <x v="0"/>
    <x v="9"/>
    <n v="364"/>
    <n v="65.52"/>
    <n v="0"/>
    <d v="2024-02-12T00:00:00"/>
    <x v="0"/>
  </r>
  <r>
    <n v="427"/>
    <d v="2024-01-14T00:00:00"/>
    <s v="23012024-A-055143"/>
    <d v="2024-01-23T00:00:00"/>
    <x v="0"/>
    <x v="0"/>
    <n v="9192"/>
    <x v="4"/>
    <x v="0"/>
    <n v="5505.1"/>
    <n v="1.3"/>
    <n v="0"/>
    <n v="0"/>
    <x v="20"/>
    <s v="Comber Noil"/>
    <n v="3345888"/>
    <x v="0"/>
    <n v="602259.84"/>
    <x v="0"/>
    <m/>
    <m/>
    <x v="0"/>
    <x v="0"/>
    <x v="0"/>
    <x v="4"/>
    <x v="0"/>
    <x v="0"/>
    <m/>
    <x v="0"/>
    <x v="1"/>
    <x v="0"/>
    <x v="0"/>
    <x v="0"/>
    <x v="9"/>
    <n v="364"/>
    <n v="65.52"/>
    <n v="0"/>
    <d v="2024-02-13T00:00:00"/>
    <x v="0"/>
  </r>
  <r>
    <n v="428"/>
    <d v="2024-01-13T00:00:00"/>
    <s v="23012024-A-055145"/>
    <d v="2024-01-23T00:00:00"/>
    <x v="0"/>
    <x v="0"/>
    <n v="12547"/>
    <x v="4"/>
    <x v="0"/>
    <n v="5505.1"/>
    <n v="1.3"/>
    <n v="0"/>
    <n v="0"/>
    <x v="20"/>
    <s v="Comber Noil"/>
    <n v="4567108"/>
    <x v="0"/>
    <n v="822079.44"/>
    <x v="0"/>
    <m/>
    <m/>
    <x v="0"/>
    <x v="0"/>
    <x v="0"/>
    <x v="4"/>
    <x v="0"/>
    <x v="0"/>
    <m/>
    <x v="0"/>
    <x v="1"/>
    <x v="0"/>
    <x v="0"/>
    <x v="0"/>
    <x v="9"/>
    <n v="364"/>
    <n v="65.52"/>
    <n v="0"/>
    <d v="2024-02-12T00:00:00"/>
    <x v="0"/>
  </r>
  <r>
    <n v="429"/>
    <d v="2024-01-13T00:00:00"/>
    <s v="23012024-A-055147"/>
    <d v="2024-01-23T00:00:00"/>
    <x v="0"/>
    <x v="0"/>
    <n v="5579"/>
    <x v="4"/>
    <x v="0"/>
    <n v="5205.2299999999996"/>
    <n v="3.19"/>
    <n v="0"/>
    <n v="0"/>
    <x v="10"/>
    <s v="30/1 Cotton Yarn ( 12300 LBS)"/>
    <n v="4981500"/>
    <x v="0"/>
    <n v="896670"/>
    <x v="0"/>
    <m/>
    <m/>
    <x v="0"/>
    <x v="0"/>
    <x v="0"/>
    <x v="6"/>
    <x v="0"/>
    <x v="0"/>
    <m/>
    <x v="0"/>
    <x v="1"/>
    <x v="0"/>
    <x v="0"/>
    <x v="0"/>
    <x v="3"/>
    <n v="892.90195375515327"/>
    <n v="160.7223516759276"/>
    <n v="0"/>
    <d v="2024-02-12T00:00:00"/>
    <x v="0"/>
  </r>
  <r>
    <n v="430"/>
    <d v="2024-01-05T00:00:00"/>
    <s v="23012024-A-055149"/>
    <d v="2024-01-23T00:00:00"/>
    <x v="0"/>
    <x v="0"/>
    <n v="20412"/>
    <x v="4"/>
    <x v="0"/>
    <n v="5205.13"/>
    <n v="2.83"/>
    <n v="0"/>
    <n v="0"/>
    <x v="10"/>
    <s v="30/1 Cotton Yarn ( 45000 LBS)"/>
    <n v="16200000"/>
    <x v="0"/>
    <n v="2916000"/>
    <x v="0"/>
    <m/>
    <m/>
    <x v="0"/>
    <x v="0"/>
    <x v="0"/>
    <x v="4"/>
    <x v="0"/>
    <x v="0"/>
    <m/>
    <x v="0"/>
    <x v="1"/>
    <x v="0"/>
    <x v="0"/>
    <x v="0"/>
    <x v="3"/>
    <n v="793.65079365079362"/>
    <n v="142.85714285714286"/>
    <n v="0"/>
    <d v="2024-02-04T00:00:00"/>
    <x v="0"/>
  </r>
  <r>
    <n v="431"/>
    <d v="2024-01-01T00:00:00"/>
    <s v="23012024-A-055150"/>
    <d v="2024-01-23T00:00:00"/>
    <x v="0"/>
    <x v="0"/>
    <n v="19340"/>
    <x v="4"/>
    <x v="0"/>
    <n v="5210.1099999999997"/>
    <n v="4.01"/>
    <n v="0"/>
    <n v="0"/>
    <x v="2"/>
    <s v="CVC60:40 - 58661 (MTR)"/>
    <n v="21723639"/>
    <x v="0"/>
    <n v="3910255.02"/>
    <x v="0"/>
    <m/>
    <m/>
    <x v="0"/>
    <x v="0"/>
    <x v="0"/>
    <x v="4"/>
    <x v="0"/>
    <x v="0"/>
    <m/>
    <x v="0"/>
    <x v="1"/>
    <x v="0"/>
    <x v="0"/>
    <x v="0"/>
    <x v="2"/>
    <n v="1123.2491726990693"/>
    <n v="202.18485108583246"/>
    <n v="0"/>
    <d v="2024-01-31T00:00:00"/>
    <x v="0"/>
  </r>
  <r>
    <n v="432"/>
    <d v="2024-01-01T00:00:00"/>
    <s v="23012024-A-055152"/>
    <d v="2024-01-23T00:00:00"/>
    <x v="0"/>
    <x v="0"/>
    <n v="2060"/>
    <x v="4"/>
    <x v="0"/>
    <n v="5208.1899999999996"/>
    <n v="16.38"/>
    <n v="0"/>
    <n v="0"/>
    <x v="14"/>
    <s v="80/1 COTTON FABRIC"/>
    <n v="9450336"/>
    <x v="0"/>
    <n v="1701060.48"/>
    <x v="0"/>
    <m/>
    <m/>
    <x v="0"/>
    <x v="0"/>
    <x v="0"/>
    <x v="0"/>
    <x v="0"/>
    <x v="0"/>
    <m/>
    <x v="0"/>
    <x v="1"/>
    <x v="0"/>
    <x v="0"/>
    <x v="0"/>
    <x v="2"/>
    <n v="4587.5417475728154"/>
    <n v="825.75751456310684"/>
    <n v="0"/>
    <d v="2024-01-31T00:00:00"/>
    <x v="0"/>
  </r>
  <r>
    <n v="433"/>
    <d v="2024-01-01T00:00:00"/>
    <s v="23012024-A-055154"/>
    <d v="2024-01-23T00:00:00"/>
    <x v="0"/>
    <x v="1"/>
    <n v="2706"/>
    <x v="4"/>
    <x v="0"/>
    <n v="5208.1899999999996"/>
    <n v="12.38"/>
    <n v="2706"/>
    <n v="2706"/>
    <x v="14"/>
    <s v="80/1 COTTON FABRIC"/>
    <n v="9382912"/>
    <x v="0"/>
    <n v="1688924.1599999999"/>
    <x v="0"/>
    <m/>
    <m/>
    <x v="0"/>
    <x v="0"/>
    <x v="0"/>
    <x v="0"/>
    <x v="0"/>
    <x v="0"/>
    <m/>
    <x v="0"/>
    <x v="1"/>
    <x v="0"/>
    <x v="0"/>
    <x v="0"/>
    <x v="2"/>
    <n v="3467.4471544715448"/>
    <n v="624.14048780487803"/>
    <n v="1688924.1599999999"/>
    <d v="2024-01-31T00:00:00"/>
    <x v="0"/>
  </r>
  <r>
    <n v="434"/>
    <d v="2024-01-01T00:00:00"/>
    <s v="23012024-A-055167"/>
    <d v="2024-01-23T00:00:00"/>
    <x v="0"/>
    <x v="0"/>
    <n v="2884"/>
    <x v="4"/>
    <x v="0"/>
    <n v="5210.1099999999997"/>
    <n v="3.64"/>
    <n v="0"/>
    <n v="0"/>
    <x v="2"/>
    <s v="CVC60:40 - (9088 MTR)"/>
    <n v="2939901"/>
    <x v="0"/>
    <n v="529182.17999999993"/>
    <x v="0"/>
    <m/>
    <m/>
    <x v="0"/>
    <x v="0"/>
    <x v="0"/>
    <x v="4"/>
    <x v="0"/>
    <x v="0"/>
    <m/>
    <x v="0"/>
    <x v="1"/>
    <x v="0"/>
    <x v="0"/>
    <x v="0"/>
    <x v="2"/>
    <n v="1019.3831484049931"/>
    <n v="183.48896671289873"/>
    <n v="0"/>
    <d v="2024-01-31T00:00:00"/>
    <x v="0"/>
  </r>
  <r>
    <n v="435"/>
    <d v="2024-01-01T00:00:00"/>
    <s v="23012024-A-055169"/>
    <d v="2024-01-23T00:00:00"/>
    <x v="0"/>
    <x v="0"/>
    <n v="9199"/>
    <x v="4"/>
    <x v="0"/>
    <n v="5208.1899999999996"/>
    <n v="4.26"/>
    <n v="0"/>
    <n v="0"/>
    <x v="14"/>
    <s v="40/1 Cotton Fabric Grey ( 25822 Mtr)"/>
    <n v="10974350"/>
    <x v="0"/>
    <n v="1975383"/>
    <x v="0"/>
    <m/>
    <m/>
    <x v="0"/>
    <x v="0"/>
    <x v="0"/>
    <x v="0"/>
    <x v="0"/>
    <x v="0"/>
    <m/>
    <x v="0"/>
    <x v="1"/>
    <x v="0"/>
    <x v="0"/>
    <x v="0"/>
    <x v="2"/>
    <n v="1192.9938036743124"/>
    <n v="214.73888466137623"/>
    <n v="0"/>
    <d v="2024-01-31T00:00:00"/>
    <x v="0"/>
  </r>
  <r>
    <n v="436"/>
    <d v="2024-01-01T00:00:00"/>
    <s v="23012024-A-055170"/>
    <d v="2024-01-23T00:00:00"/>
    <x v="0"/>
    <x v="0"/>
    <n v="4741"/>
    <x v="4"/>
    <x v="0"/>
    <n v="5208.1899999999996"/>
    <n v="4.29"/>
    <n v="0"/>
    <n v="0"/>
    <x v="14"/>
    <s v="40/1 Cotton Fabric Grey ( 12968 Mtr)"/>
    <n v="5692952"/>
    <x v="0"/>
    <n v="1024731.36"/>
    <x v="0"/>
    <m/>
    <m/>
    <x v="0"/>
    <x v="0"/>
    <x v="0"/>
    <x v="0"/>
    <x v="0"/>
    <x v="0"/>
    <m/>
    <x v="0"/>
    <x v="1"/>
    <x v="0"/>
    <x v="0"/>
    <x v="0"/>
    <x v="2"/>
    <n v="1200.7913942206285"/>
    <n v="216.14245095971313"/>
    <n v="0"/>
    <d v="2024-01-31T00:00:00"/>
    <x v="0"/>
  </r>
  <r>
    <n v="437"/>
    <d v="2024-01-01T00:00:00"/>
    <s v="23012024-A-055171"/>
    <d v="2024-01-23T00:00:00"/>
    <x v="0"/>
    <x v="1"/>
    <n v="1253"/>
    <x v="4"/>
    <x v="0"/>
    <n v="5208.1899999999996"/>
    <n v="5.77"/>
    <n v="1253"/>
    <n v="1253"/>
    <x v="14"/>
    <s v="60/1 Cotton Fabric Grey ( 3020 Mtr)"/>
    <n v="2023400"/>
    <x v="0"/>
    <n v="364212"/>
    <x v="0"/>
    <m/>
    <m/>
    <x v="0"/>
    <x v="0"/>
    <x v="0"/>
    <x v="0"/>
    <x v="0"/>
    <x v="0"/>
    <m/>
    <x v="0"/>
    <x v="1"/>
    <x v="0"/>
    <x v="0"/>
    <x v="0"/>
    <x v="2"/>
    <n v="1614.8443735035914"/>
    <n v="290.67198723064644"/>
    <n v="364212"/>
    <d v="2024-01-31T00:00:00"/>
    <x v="0"/>
  </r>
  <r>
    <n v="438"/>
    <d v="2024-01-01T00:00:00"/>
    <s v="23012024-A-055173"/>
    <d v="2024-01-23T00:00:00"/>
    <x v="0"/>
    <x v="1"/>
    <n v="390"/>
    <x v="4"/>
    <x v="0"/>
    <n v="5208.1899999999996"/>
    <n v="6.1"/>
    <n v="390"/>
    <n v="390"/>
    <x v="14"/>
    <s v="60/1 Cotton Fabric Grey ( 1084 Mtr)"/>
    <n v="666660"/>
    <x v="0"/>
    <n v="119998.79999999999"/>
    <x v="0"/>
    <m/>
    <m/>
    <x v="0"/>
    <x v="0"/>
    <x v="0"/>
    <x v="0"/>
    <x v="0"/>
    <x v="0"/>
    <m/>
    <x v="0"/>
    <x v="1"/>
    <x v="0"/>
    <x v="0"/>
    <x v="0"/>
    <x v="2"/>
    <n v="1709.3846153846155"/>
    <n v="307.68923076923073"/>
    <n v="119998.79999999999"/>
    <d v="2024-01-31T00:00:00"/>
    <x v="0"/>
  </r>
  <r>
    <n v="439"/>
    <d v="2024-01-01T00:00:00"/>
    <s v="23012024-A-055177"/>
    <d v="2024-01-23T00:00:00"/>
    <x v="0"/>
    <x v="0"/>
    <n v="8774"/>
    <x v="4"/>
    <x v="0"/>
    <n v="5208.1899999999996"/>
    <n v="4.37"/>
    <n v="0"/>
    <n v="0"/>
    <x v="14"/>
    <s v="40/1 Cotton Fabric Grey ( 28281 Mtr)"/>
    <n v="10746780"/>
    <x v="0"/>
    <n v="1934420.4"/>
    <x v="0"/>
    <m/>
    <m/>
    <x v="0"/>
    <x v="0"/>
    <x v="0"/>
    <x v="0"/>
    <x v="0"/>
    <x v="0"/>
    <m/>
    <x v="0"/>
    <x v="1"/>
    <x v="0"/>
    <x v="0"/>
    <x v="0"/>
    <x v="2"/>
    <n v="1224.8438568497834"/>
    <n v="220.47189423296101"/>
    <n v="0"/>
    <d v="2024-01-31T00:00:00"/>
    <x v="0"/>
  </r>
  <r>
    <n v="440"/>
    <d v="2024-01-07T00:00:00"/>
    <s v="23012024-A-055178"/>
    <d v="2024-01-23T00:00:00"/>
    <x v="0"/>
    <x v="0"/>
    <n v="29620"/>
    <x v="4"/>
    <x v="0"/>
    <n v="2815.12"/>
    <n v="0.28000000000000003"/>
    <n v="0"/>
    <n v="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6T00:00:00"/>
    <x v="0"/>
  </r>
  <r>
    <n v="441"/>
    <d v="2024-01-07T00:00:00"/>
    <s v="23012024-A-055188"/>
    <d v="2024-01-23T00:00:00"/>
    <x v="0"/>
    <x v="0"/>
    <n v="29520"/>
    <x v="4"/>
    <x v="0"/>
    <n v="2815.12"/>
    <n v="0.28000000000000003"/>
    <n v="0"/>
    <n v="0"/>
    <x v="12"/>
    <s v="CAUSTIC SODA LIQUID"/>
    <n v="2317320"/>
    <x v="0"/>
    <n v="417117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6T00:00:00"/>
    <x v="0"/>
  </r>
  <r>
    <n v="442"/>
    <d v="2024-01-05T00:00:00"/>
    <s v="23012024-A-055193"/>
    <d v="2024-01-23T00:00:00"/>
    <x v="0"/>
    <x v="0"/>
    <n v="29520"/>
    <x v="4"/>
    <x v="0"/>
    <n v="2815.12"/>
    <n v="0.28000000000000003"/>
    <n v="0"/>
    <n v="0"/>
    <x v="12"/>
    <s v="CAUSTIC SODA LIQUID"/>
    <n v="2317320"/>
    <x v="0"/>
    <n v="417117.6"/>
    <x v="0"/>
    <m/>
    <m/>
    <x v="0"/>
    <x v="0"/>
    <x v="0"/>
    <x v="5"/>
    <x v="0"/>
    <x v="0"/>
    <m/>
    <x v="0"/>
    <x v="1"/>
    <x v="0"/>
    <x v="0"/>
    <x v="0"/>
    <x v="5"/>
    <n v="78.5"/>
    <n v="14.129999999999999"/>
    <n v="0"/>
    <d v="2024-02-04T00:00:00"/>
    <x v="0"/>
  </r>
  <r>
    <n v="443"/>
    <d v="2024-01-09T00:00:00"/>
    <s v="23012024-A-055194"/>
    <d v="2024-01-23T00:00:00"/>
    <x v="0"/>
    <x v="0"/>
    <n v="29410"/>
    <x v="4"/>
    <x v="0"/>
    <n v="2815.12"/>
    <n v="0.28000000000000003"/>
    <n v="0"/>
    <n v="0"/>
    <x v="12"/>
    <s v="CAUSTIC SODA LIQUID"/>
    <n v="2308685"/>
    <x v="0"/>
    <n v="415563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8T00:00:00"/>
    <x v="0"/>
  </r>
  <r>
    <n v="444"/>
    <d v="2024-01-10T00:00:00"/>
    <s v="23012024-A-055197"/>
    <d v="2024-01-23T00:00:00"/>
    <x v="0"/>
    <x v="0"/>
    <n v="29580"/>
    <x v="4"/>
    <x v="0"/>
    <n v="2815.12"/>
    <n v="0.28000000000000003"/>
    <n v="0"/>
    <n v="0"/>
    <x v="12"/>
    <s v="CAUSTIC SODA LIQUID"/>
    <n v="2322030"/>
    <x v="0"/>
    <n v="417965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0"/>
    <d v="2024-02-09T00:00:00"/>
    <x v="0"/>
  </r>
  <r>
    <n v="445"/>
    <d v="2024-01-13T00:00:00"/>
    <s v="23012024-A-055199"/>
    <d v="2024-01-23T00:00:00"/>
    <x v="0"/>
    <x v="2"/>
    <n v="29600"/>
    <x v="4"/>
    <x v="0"/>
    <n v="2815.12"/>
    <n v="0.28000000000000003"/>
    <n v="-2"/>
    <n v="29600"/>
    <x v="12"/>
    <s v="CAUSTIC SODA LIQUID"/>
    <n v="2323600"/>
    <x v="0"/>
    <n v="418248"/>
    <x v="0"/>
    <m/>
    <m/>
    <x v="0"/>
    <x v="0"/>
    <x v="0"/>
    <x v="0"/>
    <x v="0"/>
    <x v="0"/>
    <m/>
    <x v="0"/>
    <x v="1"/>
    <x v="0"/>
    <x v="0"/>
    <x v="0"/>
    <x v="5"/>
    <n v="78.5"/>
    <n v="14.13"/>
    <n v="-28.26"/>
    <d v="2024-02-12T00:00:00"/>
    <x v="0"/>
  </r>
  <r>
    <n v="446"/>
    <d v="2024-01-07T00:00:00"/>
    <s v="23012024-A-055203"/>
    <d v="2024-01-2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6T00:00:00"/>
    <x v="0"/>
  </r>
  <r>
    <n v="447"/>
    <d v="2024-01-09T00:00:00"/>
    <s v="23012024-A-055204"/>
    <d v="2024-01-2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08T00:00:00"/>
    <x v="0"/>
  </r>
  <r>
    <n v="448"/>
    <d v="2024-01-15T00:00:00"/>
    <s v="23012024-A-055209"/>
    <d v="2024-01-23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14T00:00:00"/>
    <x v="0"/>
  </r>
  <r>
    <n v="449"/>
    <d v="2024-01-12T00:00:00"/>
    <s v="23012024-A-055212"/>
    <d v="2024-01-23T00:00:00"/>
    <x v="0"/>
    <x v="0"/>
    <n v="2000"/>
    <x v="4"/>
    <x v="0"/>
    <n v="3402.42"/>
    <n v="2.41"/>
    <n v="0"/>
    <n v="0"/>
    <x v="12"/>
    <s v="KIERALON 2010 LIQ"/>
    <n v="1350000"/>
    <x v="0"/>
    <n v="243000"/>
    <x v="0"/>
    <m/>
    <m/>
    <x v="0"/>
    <x v="0"/>
    <x v="0"/>
    <x v="5"/>
    <x v="0"/>
    <x v="0"/>
    <m/>
    <x v="0"/>
    <x v="1"/>
    <x v="0"/>
    <x v="0"/>
    <x v="0"/>
    <x v="5"/>
    <n v="675"/>
    <n v="121.5"/>
    <n v="0"/>
    <d v="2024-02-11T00:00:00"/>
    <x v="0"/>
  </r>
  <r>
    <n v="450"/>
    <d v="2024-01-08T00:00:00"/>
    <s v="23012024-A-055217"/>
    <d v="2024-01-23T00:00:00"/>
    <x v="0"/>
    <x v="0"/>
    <n v="2200"/>
    <x v="4"/>
    <x v="0"/>
    <n v="3906.902"/>
    <n v="1.34"/>
    <n v="0"/>
    <n v="0"/>
    <x v="12"/>
    <s v="OLIMPRINT BINDER PD 30"/>
    <n v="825000"/>
    <x v="0"/>
    <n v="148500"/>
    <x v="0"/>
    <m/>
    <m/>
    <x v="0"/>
    <x v="0"/>
    <x v="0"/>
    <x v="5"/>
    <x v="0"/>
    <x v="0"/>
    <m/>
    <x v="0"/>
    <x v="1"/>
    <x v="0"/>
    <x v="0"/>
    <x v="0"/>
    <x v="5"/>
    <n v="375"/>
    <n v="67.5"/>
    <n v="0"/>
    <d v="2024-02-07T00:00:00"/>
    <x v="0"/>
  </r>
  <r>
    <n v="451"/>
    <d v="2024-01-12T00:00:00"/>
    <s v="23012024-A-055222"/>
    <d v="2024-01-23T00:00:00"/>
    <x v="0"/>
    <x v="0"/>
    <n v="360"/>
    <x v="4"/>
    <x v="0"/>
    <n v="3809.9189999999999"/>
    <n v="2.41"/>
    <n v="0"/>
    <n v="0"/>
    <x v="12"/>
    <s v="PERLAVIN SRD"/>
    <n v="243000"/>
    <x v="0"/>
    <n v="43740"/>
    <x v="0"/>
    <m/>
    <m/>
    <x v="0"/>
    <x v="0"/>
    <x v="0"/>
    <x v="4"/>
    <x v="0"/>
    <x v="0"/>
    <m/>
    <x v="0"/>
    <x v="1"/>
    <x v="0"/>
    <x v="0"/>
    <x v="0"/>
    <x v="5"/>
    <n v="675"/>
    <n v="121.5"/>
    <n v="0"/>
    <d v="2024-02-11T00:00:00"/>
    <x v="0"/>
  </r>
  <r>
    <n v="452"/>
    <d v="2024-01-08T00:00:00"/>
    <s v="23012024-A-055227"/>
    <d v="2024-01-23T00:00:00"/>
    <x v="0"/>
    <x v="0"/>
    <n v="3000"/>
    <x v="4"/>
    <x v="0"/>
    <n v="3809.9189999999999"/>
    <n v="0.46"/>
    <n v="0"/>
    <n v="0"/>
    <x v="12"/>
    <s v="AVPOLYSOFT-PE-H"/>
    <n v="390000"/>
    <x v="0"/>
    <n v="70200"/>
    <x v="0"/>
    <m/>
    <m/>
    <x v="0"/>
    <x v="0"/>
    <x v="0"/>
    <x v="4"/>
    <x v="0"/>
    <x v="0"/>
    <m/>
    <x v="0"/>
    <x v="1"/>
    <x v="0"/>
    <x v="0"/>
    <x v="0"/>
    <x v="5"/>
    <n v="130"/>
    <n v="23.4"/>
    <n v="0"/>
    <d v="2024-02-07T00:00:00"/>
    <x v="0"/>
  </r>
  <r>
    <n v="453"/>
    <d v="2024-01-10T00:00:00"/>
    <s v="23012024-A-055231"/>
    <d v="2024-01-23T00:00:00"/>
    <x v="0"/>
    <x v="0"/>
    <n v="360"/>
    <x v="4"/>
    <x v="0"/>
    <n v="3809.9189999999999"/>
    <n v="7.14"/>
    <n v="0"/>
    <n v="0"/>
    <x v="12"/>
    <s v="BASE MORDIENTE M.NEW"/>
    <n v="720000"/>
    <x v="0"/>
    <n v="129600"/>
    <x v="0"/>
    <m/>
    <m/>
    <x v="0"/>
    <x v="0"/>
    <x v="0"/>
    <x v="4"/>
    <x v="0"/>
    <x v="0"/>
    <m/>
    <x v="0"/>
    <x v="1"/>
    <x v="0"/>
    <x v="0"/>
    <x v="0"/>
    <x v="5"/>
    <n v="2000"/>
    <n v="360"/>
    <n v="0"/>
    <d v="2024-02-09T00:00:00"/>
    <x v="0"/>
  </r>
  <r>
    <n v="454"/>
    <d v="2024-01-24T00:00:00"/>
    <s v="31012024-A-058217"/>
    <d v="2024-01-31T00:00:00"/>
    <x v="0"/>
    <x v="0"/>
    <n v="2800"/>
    <x v="4"/>
    <x v="0"/>
    <n v="3204.2"/>
    <n v="1.8"/>
    <n v="0"/>
    <n v="0"/>
    <x v="5"/>
    <s v="LEUCOPHOR BMF LIQUID"/>
    <n v="1414000"/>
    <x v="0"/>
    <n v="25452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2-23T00:00:00"/>
    <x v="0"/>
  </r>
  <r>
    <n v="455"/>
    <d v="2024-01-20T00:00:00"/>
    <s v="31012024-A-058228"/>
    <d v="2024-01-31T00:00:00"/>
    <x v="0"/>
    <x v="0"/>
    <n v="2200"/>
    <x v="4"/>
    <x v="0"/>
    <n v="2931.9090000000001"/>
    <n v="1.92"/>
    <n v="0"/>
    <n v="0"/>
    <x v="12"/>
    <s v="LUFIBROL ANTOX LIQ"/>
    <n v="1183600"/>
    <x v="0"/>
    <n v="213048"/>
    <x v="0"/>
    <m/>
    <m/>
    <x v="0"/>
    <x v="0"/>
    <x v="0"/>
    <x v="6"/>
    <x v="0"/>
    <x v="0"/>
    <m/>
    <x v="0"/>
    <x v="1"/>
    <x v="0"/>
    <x v="0"/>
    <x v="0"/>
    <x v="5"/>
    <n v="538"/>
    <n v="96.84"/>
    <n v="0"/>
    <d v="2024-02-19T00:00:00"/>
    <x v="0"/>
  </r>
  <r>
    <n v="455"/>
    <d v="2024-01-20T00:00:00"/>
    <s v="31012024-A-058228"/>
    <d v="2024-01-31T00:00:00"/>
    <x v="0"/>
    <x v="0"/>
    <n v="3080"/>
    <x v="4"/>
    <x v="0"/>
    <n v="3809.9189999999999"/>
    <n v="0.41"/>
    <n v="0"/>
    <n v="0"/>
    <x v="12"/>
    <s v="PRESTOGEN F-PL LIQ"/>
    <n v="354200"/>
    <x v="0"/>
    <n v="63756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2-19T00:00:00"/>
    <x v="0"/>
  </r>
  <r>
    <n v="455"/>
    <d v="2024-01-20T00:00:00"/>
    <s v="31012024-A-058228"/>
    <d v="2024-01-31T00:00:00"/>
    <x v="0"/>
    <x v="0"/>
    <n v="400"/>
    <x v="4"/>
    <x v="0"/>
    <n v="2904.2089999999998"/>
    <n v="0.89"/>
    <n v="0"/>
    <n v="0"/>
    <x v="12"/>
    <s v="REVATOL S LIQUID"/>
    <n v="100000"/>
    <x v="0"/>
    <n v="18000"/>
    <x v="0"/>
    <m/>
    <m/>
    <x v="0"/>
    <x v="0"/>
    <x v="0"/>
    <x v="6"/>
    <x v="0"/>
    <x v="0"/>
    <m/>
    <x v="0"/>
    <x v="1"/>
    <x v="0"/>
    <x v="0"/>
    <x v="0"/>
    <x v="5"/>
    <n v="250"/>
    <n v="45"/>
    <n v="0"/>
    <d v="2024-02-19T00:00:00"/>
    <x v="0"/>
  </r>
  <r>
    <n v="456"/>
    <d v="2024-01-20T00:00:00"/>
    <s v="31012024-A-058261"/>
    <d v="2024-01-31T00:00:00"/>
    <x v="0"/>
    <x v="0"/>
    <n v="1900"/>
    <x v="4"/>
    <x v="0"/>
    <n v="3204.172"/>
    <n v="1.23"/>
    <n v="0"/>
    <n v="0"/>
    <x v="5"/>
    <s v="PRINTOFIX BLACK FF-RT"/>
    <n v="655500"/>
    <x v="0"/>
    <n v="117990"/>
    <x v="0"/>
    <m/>
    <m/>
    <x v="0"/>
    <x v="0"/>
    <x v="0"/>
    <x v="4"/>
    <x v="0"/>
    <x v="0"/>
    <m/>
    <x v="0"/>
    <x v="1"/>
    <x v="0"/>
    <x v="0"/>
    <x v="0"/>
    <x v="4"/>
    <n v="345"/>
    <n v="62.1"/>
    <n v="0"/>
    <d v="2024-02-19T00:00:00"/>
    <x v="0"/>
  </r>
  <r>
    <n v="456"/>
    <d v="2024-01-20T00:00:00"/>
    <s v="31012024-A-058261"/>
    <d v="2024-01-31T00:00:00"/>
    <x v="0"/>
    <x v="0"/>
    <n v="600"/>
    <x v="4"/>
    <x v="0"/>
    <n v="3809.9110000000001"/>
    <n v="1.2"/>
    <n v="0"/>
    <n v="0"/>
    <x v="12"/>
    <s v="SIRRIX NE LIQ NEW 0120 "/>
    <n v="201000"/>
    <x v="0"/>
    <n v="36180"/>
    <x v="0"/>
    <m/>
    <m/>
    <x v="0"/>
    <x v="0"/>
    <x v="0"/>
    <x v="4"/>
    <x v="0"/>
    <x v="0"/>
    <m/>
    <x v="0"/>
    <x v="1"/>
    <x v="0"/>
    <x v="0"/>
    <x v="0"/>
    <x v="5"/>
    <n v="335"/>
    <n v="60.3"/>
    <n v="0"/>
    <d v="2024-02-19T00:00:00"/>
    <x v="0"/>
  </r>
  <r>
    <n v="457"/>
    <d v="2024-01-20T00:00:00"/>
    <s v="31012024-A-058276"/>
    <d v="2024-01-31T00:00:00"/>
    <x v="0"/>
    <x v="0"/>
    <n v="360"/>
    <x v="4"/>
    <x v="0"/>
    <n v="3402.4189999999999"/>
    <n v="3.56"/>
    <n v="0"/>
    <n v="0"/>
    <x v="12"/>
    <s v="LYOGEN WD LIQ"/>
    <n v="359280"/>
    <x v="0"/>
    <n v="64670.399999999994"/>
    <x v="0"/>
    <m/>
    <m/>
    <x v="0"/>
    <x v="0"/>
    <x v="0"/>
    <x v="0"/>
    <x v="0"/>
    <x v="0"/>
    <m/>
    <x v="0"/>
    <x v="1"/>
    <x v="0"/>
    <x v="0"/>
    <x v="0"/>
    <x v="5"/>
    <n v="998"/>
    <n v="179.64"/>
    <n v="0"/>
    <d v="2024-02-19T00:00:00"/>
    <x v="0"/>
  </r>
  <r>
    <n v="458"/>
    <d v="2024-01-17T00:00:00"/>
    <s v="31012024-A-058280"/>
    <d v="2024-01-31T00:00:00"/>
    <x v="0"/>
    <x v="0"/>
    <n v="60"/>
    <x v="4"/>
    <x v="0"/>
    <n v="3204.172"/>
    <n v="7.05"/>
    <n v="0"/>
    <n v="0"/>
    <x v="5"/>
    <s v="PRINTOFIX BRILLIANT ORANGE  FF-RT"/>
    <n v="118500"/>
    <x v="0"/>
    <n v="21330"/>
    <x v="0"/>
    <m/>
    <m/>
    <x v="0"/>
    <x v="0"/>
    <x v="0"/>
    <x v="4"/>
    <x v="0"/>
    <x v="0"/>
    <m/>
    <x v="0"/>
    <x v="1"/>
    <x v="0"/>
    <x v="0"/>
    <x v="0"/>
    <x v="4"/>
    <n v="1975"/>
    <n v="355.5"/>
    <n v="0"/>
    <d v="2024-02-16T00:00:00"/>
    <x v="0"/>
  </r>
  <r>
    <n v="459"/>
    <d v="2024-01-21T00:00:00"/>
    <s v="31012024-A-058297"/>
    <d v="2024-01-31T00:00:00"/>
    <x v="0"/>
    <x v="0"/>
    <n v="1760"/>
    <x v="4"/>
    <x v="0"/>
    <n v="2931.9090000000001"/>
    <n v="1.92"/>
    <n v="0"/>
    <n v="0"/>
    <x v="12"/>
    <s v="LUFIBROL ANTOX LIQ"/>
    <n v="946880"/>
    <x v="0"/>
    <n v="170438.39999999999"/>
    <x v="0"/>
    <m/>
    <m/>
    <x v="0"/>
    <x v="0"/>
    <x v="0"/>
    <x v="6"/>
    <x v="0"/>
    <x v="0"/>
    <m/>
    <x v="0"/>
    <x v="1"/>
    <x v="0"/>
    <x v="0"/>
    <x v="0"/>
    <x v="5"/>
    <n v="538"/>
    <n v="96.84"/>
    <n v="0"/>
    <d v="2024-02-20T00:00:00"/>
    <x v="0"/>
  </r>
  <r>
    <n v="459"/>
    <d v="2024-01-21T00:00:00"/>
    <s v="31012024-A-058297"/>
    <d v="2024-01-31T00:00:00"/>
    <x v="0"/>
    <x v="0"/>
    <n v="100"/>
    <x v="4"/>
    <x v="0"/>
    <n v="3204.172"/>
    <n v="1.23"/>
    <n v="0"/>
    <n v="0"/>
    <x v="5"/>
    <s v="PRINTOFIX BLACK FF-RT"/>
    <n v="34500"/>
    <x v="0"/>
    <n v="621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2-20T00:00:00"/>
    <x v="0"/>
  </r>
  <r>
    <n v="460"/>
    <d v="2024-01-21T00:00:00"/>
    <s v="31012024-A-058430"/>
    <d v="2024-01-31T00:00:00"/>
    <x v="0"/>
    <x v="0"/>
    <n v="6380"/>
    <x v="4"/>
    <x v="0"/>
    <n v="3809.9189999999999"/>
    <n v="0.41"/>
    <n v="0"/>
    <n v="0"/>
    <x v="12"/>
    <s v="PRESTOGEN F-PL LIQ"/>
    <n v="733700"/>
    <x v="0"/>
    <n v="132066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2-20T00:00:00"/>
    <x v="0"/>
  </r>
  <r>
    <n v="461"/>
    <d v="2024-01-22T00:00:00"/>
    <s v="31012024-A-058440"/>
    <d v="2024-01-31T00:00:00"/>
    <x v="0"/>
    <x v="0"/>
    <n v="4200"/>
    <x v="4"/>
    <x v="0"/>
    <n v="3204.2"/>
    <n v="1.8"/>
    <n v="0"/>
    <n v="0"/>
    <x v="5"/>
    <s v="LEUCOPHOR BMF LIQUID"/>
    <n v="2121000"/>
    <x v="0"/>
    <n v="381780"/>
    <x v="0"/>
    <m/>
    <m/>
    <x v="0"/>
    <x v="0"/>
    <x v="0"/>
    <x v="4"/>
    <x v="0"/>
    <x v="0"/>
    <m/>
    <x v="0"/>
    <x v="1"/>
    <x v="0"/>
    <x v="0"/>
    <x v="0"/>
    <x v="4"/>
    <n v="505"/>
    <n v="90.9"/>
    <n v="0"/>
    <d v="2024-02-21T00:00:00"/>
    <x v="0"/>
  </r>
  <r>
    <n v="462"/>
    <d v="2024-01-23T00:00:00"/>
    <s v="31012024-A-058443"/>
    <d v="2024-01-31T00:00:00"/>
    <x v="0"/>
    <x v="0"/>
    <n v="5500"/>
    <x v="4"/>
    <x v="0"/>
    <n v="3809.9189999999999"/>
    <n v="0.41"/>
    <n v="0"/>
    <n v="0"/>
    <x v="12"/>
    <s v="PRESTOGEN F-PL LIQ"/>
    <n v="632500"/>
    <x v="0"/>
    <n v="113850"/>
    <x v="0"/>
    <m/>
    <m/>
    <x v="0"/>
    <x v="0"/>
    <x v="0"/>
    <x v="4"/>
    <x v="0"/>
    <x v="0"/>
    <m/>
    <x v="0"/>
    <x v="1"/>
    <x v="0"/>
    <x v="0"/>
    <x v="0"/>
    <x v="5"/>
    <n v="115"/>
    <n v="20.7"/>
    <n v="0"/>
    <d v="2024-02-22T00:00:00"/>
    <x v="0"/>
  </r>
  <r>
    <n v="463"/>
    <d v="2024-01-19T00:00:00"/>
    <s v="31012024-A-058448"/>
    <d v="2024-01-31T00:00:00"/>
    <x v="0"/>
    <x v="0"/>
    <n v="100"/>
    <x v="4"/>
    <x v="0"/>
    <n v="3204.16"/>
    <n v="8.39"/>
    <n v="0"/>
    <n v="0"/>
    <x v="5"/>
    <s v="SUNZOL NAVY BLUE GRB"/>
    <n v="235000"/>
    <x v="0"/>
    <n v="42300"/>
    <x v="0"/>
    <m/>
    <m/>
    <x v="0"/>
    <x v="0"/>
    <x v="0"/>
    <x v="6"/>
    <x v="0"/>
    <x v="0"/>
    <m/>
    <x v="0"/>
    <x v="1"/>
    <x v="0"/>
    <x v="0"/>
    <x v="0"/>
    <x v="4"/>
    <n v="2350"/>
    <n v="423"/>
    <n v="0"/>
    <d v="2024-02-18T00:00:00"/>
    <x v="0"/>
  </r>
  <r>
    <n v="464"/>
    <d v="2024-01-19T00:00:00"/>
    <s v="31012024-A-058454"/>
    <d v="2024-01-31T00:00:00"/>
    <x v="0"/>
    <x v="0"/>
    <n v="150"/>
    <x v="4"/>
    <x v="0"/>
    <n v="2904.2089999999998"/>
    <n v="3.75"/>
    <n v="0"/>
    <n v="0"/>
    <x v="12"/>
    <s v="CHEMITOL WS GRANULES"/>
    <n v="157500"/>
    <x v="0"/>
    <n v="28350"/>
    <x v="0"/>
    <m/>
    <m/>
    <x v="0"/>
    <x v="0"/>
    <x v="0"/>
    <x v="4"/>
    <x v="0"/>
    <x v="0"/>
    <m/>
    <x v="0"/>
    <x v="1"/>
    <x v="0"/>
    <x v="0"/>
    <x v="0"/>
    <x v="5"/>
    <n v="1050"/>
    <n v="189"/>
    <n v="0"/>
    <d v="2024-02-18T00:00:00"/>
    <x v="0"/>
  </r>
  <r>
    <n v="465"/>
    <d v="2024-01-26T00:00:00"/>
    <s v="31012024-A-058466"/>
    <d v="2024-01-31T00:00:00"/>
    <x v="0"/>
    <x v="0"/>
    <n v="467"/>
    <x v="4"/>
    <x v="0"/>
    <n v="3809.9189999999999"/>
    <n v="0.8"/>
    <n v="0"/>
    <n v="0"/>
    <x v="12"/>
    <s v="DRYBAG"/>
    <n v="105075"/>
    <x v="0"/>
    <n v="18913.5"/>
    <x v="0"/>
    <m/>
    <m/>
    <x v="0"/>
    <x v="0"/>
    <x v="0"/>
    <x v="4"/>
    <x v="0"/>
    <x v="0"/>
    <m/>
    <x v="0"/>
    <x v="1"/>
    <x v="0"/>
    <x v="0"/>
    <x v="0"/>
    <x v="5"/>
    <n v="225"/>
    <n v="40.5"/>
    <n v="0"/>
    <d v="2024-02-25T00:00:00"/>
    <x v="0"/>
  </r>
  <r>
    <n v="466"/>
    <d v="2024-01-01T00:00:00"/>
    <s v="31012024-A-058474"/>
    <d v="2024-01-31T00:00:00"/>
    <x v="0"/>
    <x v="0"/>
    <n v="120"/>
    <x v="4"/>
    <x v="0"/>
    <n v="3809.9189999999999"/>
    <n v="4.2699999999999996"/>
    <n v="0"/>
    <n v="0"/>
    <x v="12"/>
    <s v="SARABID VAT"/>
    <n v="143400"/>
    <x v="0"/>
    <n v="25812"/>
    <x v="0"/>
    <m/>
    <m/>
    <x v="0"/>
    <x v="0"/>
    <x v="0"/>
    <x v="4"/>
    <x v="0"/>
    <x v="0"/>
    <m/>
    <x v="0"/>
    <x v="1"/>
    <x v="0"/>
    <x v="0"/>
    <x v="0"/>
    <x v="5"/>
    <n v="1195"/>
    <n v="215.1"/>
    <n v="0"/>
    <d v="2024-01-31T00:00:00"/>
    <x v="0"/>
  </r>
  <r>
    <n v="467"/>
    <d v="2024-01-26T00:00:00"/>
    <s v="31012024-A-058482"/>
    <d v="2024-01-31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25T00:00:00"/>
    <x v="0"/>
  </r>
  <r>
    <n v="468"/>
    <d v="2024-01-23T00:00:00"/>
    <s v="31012024-A-058490"/>
    <d v="2024-01-31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4"/>
    <x v="0"/>
    <x v="0"/>
    <m/>
    <x v="0"/>
    <x v="1"/>
    <x v="0"/>
    <x v="0"/>
    <x v="0"/>
    <x v="5"/>
    <n v="195"/>
    <n v="35.1"/>
    <n v="0"/>
    <d v="2024-02-22T00:00:00"/>
    <x v="0"/>
  </r>
  <r>
    <n v="469"/>
    <d v="2024-01-26T00:00:00"/>
    <s v="31012024-A-058494"/>
    <d v="2024-01-31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6"/>
    <x v="0"/>
    <x v="0"/>
    <m/>
    <x v="0"/>
    <x v="1"/>
    <x v="0"/>
    <x v="0"/>
    <x v="0"/>
    <x v="5"/>
    <n v="195"/>
    <n v="35.1"/>
    <n v="0"/>
    <d v="2024-02-25T00:00:00"/>
    <x v="0"/>
  </r>
  <r>
    <n v="470"/>
    <d v="2024-01-23T00:00:00"/>
    <s v="31012024-A-058499"/>
    <d v="2024-01-31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2-22T00:00:00"/>
    <x v="0"/>
  </r>
  <r>
    <n v="471"/>
    <d v="2024-01-21T00:00:00"/>
    <s v="31012024-A-058504"/>
    <d v="2024-01-31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4"/>
    <x v="0"/>
    <x v="0"/>
    <m/>
    <x v="0"/>
    <x v="1"/>
    <x v="0"/>
    <x v="0"/>
    <x v="0"/>
    <x v="5"/>
    <n v="140"/>
    <n v="25.2"/>
    <n v="0"/>
    <d v="2024-02-20T00:00:00"/>
    <x v="0"/>
  </r>
  <r>
    <n v="472"/>
    <d v="2024-01-21T00:00:00"/>
    <s v="31012024-A-058508"/>
    <d v="2024-01-31T00:00:00"/>
    <x v="0"/>
    <x v="2"/>
    <n v="28580"/>
    <x v="4"/>
    <x v="0"/>
    <n v="2815.12"/>
    <n v="0.28000000000000003"/>
    <n v="4043"/>
    <n v="28580"/>
    <x v="12"/>
    <s v="CAUSTIC SODA LIQUID"/>
    <n v="2243530"/>
    <x v="0"/>
    <n v="403835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57127.59"/>
    <d v="2024-02-20T00:00:00"/>
    <x v="0"/>
  </r>
  <r>
    <n v="473"/>
    <d v="2024-01-22T00:00:00"/>
    <s v="31012024-A-058516"/>
    <d v="2024-01-31T00:00:00"/>
    <x v="0"/>
    <x v="1"/>
    <n v="29630"/>
    <x v="4"/>
    <x v="0"/>
    <n v="2815.12"/>
    <n v="0.28000000000000003"/>
    <n v="29630"/>
    <n v="29630"/>
    <x v="12"/>
    <s v="CAUSTIC SODA LIQUID"/>
    <n v="2325955"/>
    <x v="0"/>
    <n v="418671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671.89999999997"/>
    <d v="2024-02-21T00:00:00"/>
    <x v="0"/>
  </r>
  <r>
    <n v="474"/>
    <d v="2024-01-23T00:00:00"/>
    <s v="31012024-A-058519"/>
    <d v="2024-01-31T00:00:00"/>
    <x v="0"/>
    <x v="1"/>
    <n v="29610"/>
    <x v="4"/>
    <x v="0"/>
    <n v="2815.12"/>
    <n v="0.28000000000000003"/>
    <n v="29610"/>
    <n v="29610"/>
    <x v="12"/>
    <s v="CAUSTIC SODA LIQUID"/>
    <n v="2324385"/>
    <x v="0"/>
    <n v="418389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389.3"/>
    <d v="2024-02-22T00:00:00"/>
    <x v="0"/>
  </r>
  <r>
    <n v="475"/>
    <d v="2024-01-19T00:00:00"/>
    <s v="31012024-A-058522"/>
    <d v="2024-01-31T00:00:00"/>
    <x v="0"/>
    <x v="0"/>
    <n v="360"/>
    <x v="4"/>
    <x v="0"/>
    <n v="3809.9189999999999"/>
    <n v="5"/>
    <n v="0"/>
    <n v="0"/>
    <x v="12"/>
    <s v="PRODER M.A.C NUEVO"/>
    <n v="504000"/>
    <x v="0"/>
    <n v="90720"/>
    <x v="0"/>
    <m/>
    <m/>
    <x v="0"/>
    <x v="0"/>
    <x v="0"/>
    <x v="4"/>
    <x v="0"/>
    <x v="0"/>
    <m/>
    <x v="0"/>
    <x v="1"/>
    <x v="0"/>
    <x v="0"/>
    <x v="0"/>
    <x v="5"/>
    <n v="1400"/>
    <n v="252"/>
    <n v="0"/>
    <d v="2024-02-18T00:00:00"/>
    <x v="0"/>
  </r>
  <r>
    <n v="476"/>
    <d v="2024-01-19T00:00:00"/>
    <s v="31012024-A-058527"/>
    <d v="2024-01-31T00:00:00"/>
    <x v="0"/>
    <x v="0"/>
    <n v="200"/>
    <x v="4"/>
    <x v="0"/>
    <n v="3507.9"/>
    <n v="12.5"/>
    <n v="0"/>
    <n v="200"/>
    <x v="12"/>
    <s v="AQUAZYM AD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2-18T00:00:00"/>
    <x v="0"/>
  </r>
  <r>
    <n v="477"/>
    <d v="2024-01-31T00:00:00"/>
    <s v="31012024-A-058532"/>
    <d v="2024-01-31T00:00:00"/>
    <x v="0"/>
    <x v="0"/>
    <n v="10125"/>
    <x v="4"/>
    <x v="0"/>
    <n v="5505.1"/>
    <n v="1.44"/>
    <n v="0"/>
    <n v="0"/>
    <x v="20"/>
    <s v="Comber Noil"/>
    <n v="4080375"/>
    <x v="0"/>
    <n v="734467.5"/>
    <x v="0"/>
    <m/>
    <m/>
    <x v="0"/>
    <x v="0"/>
    <x v="0"/>
    <x v="6"/>
    <x v="0"/>
    <x v="0"/>
    <m/>
    <x v="0"/>
    <x v="1"/>
    <x v="0"/>
    <x v="0"/>
    <x v="0"/>
    <x v="9"/>
    <n v="403"/>
    <n v="72.540000000000006"/>
    <n v="0"/>
    <d v="2024-03-01T00:00:00"/>
    <x v="0"/>
  </r>
  <r>
    <n v="478"/>
    <d v="2024-01-22T00:00:00"/>
    <s v="31012024-A-058535"/>
    <d v="2024-01-31T00:00:00"/>
    <x v="0"/>
    <x v="0"/>
    <n v="12130"/>
    <x v="4"/>
    <x v="0"/>
    <n v="5505.1"/>
    <n v="1.39"/>
    <n v="0"/>
    <n v="0"/>
    <x v="20"/>
    <s v="Comber Noil"/>
    <n v="4730700"/>
    <x v="0"/>
    <n v="851526"/>
    <x v="0"/>
    <m/>
    <m/>
    <x v="0"/>
    <x v="0"/>
    <x v="0"/>
    <x v="4"/>
    <x v="0"/>
    <x v="0"/>
    <m/>
    <x v="0"/>
    <x v="1"/>
    <x v="0"/>
    <x v="0"/>
    <x v="0"/>
    <x v="9"/>
    <n v="390"/>
    <n v="70.2"/>
    <n v="0"/>
    <d v="2024-02-21T00:00:00"/>
    <x v="0"/>
  </r>
  <r>
    <n v="479"/>
    <d v="2024-01-22T00:00:00"/>
    <s v="31012024-A-058538"/>
    <d v="2024-01-31T00:00:00"/>
    <x v="0"/>
    <x v="0"/>
    <n v="13044"/>
    <x v="4"/>
    <x v="0"/>
    <n v="5505.1"/>
    <n v="1.39"/>
    <n v="0"/>
    <n v="0"/>
    <x v="20"/>
    <s v="Comber Noil"/>
    <n v="5087160"/>
    <x v="0"/>
    <n v="915688.79999999993"/>
    <x v="0"/>
    <m/>
    <m/>
    <x v="0"/>
    <x v="0"/>
    <x v="0"/>
    <x v="6"/>
    <x v="0"/>
    <x v="0"/>
    <m/>
    <x v="0"/>
    <x v="1"/>
    <x v="0"/>
    <x v="0"/>
    <x v="0"/>
    <x v="9"/>
    <n v="390"/>
    <n v="70.199999999999989"/>
    <n v="0"/>
    <d v="2024-02-21T00:00:00"/>
    <x v="0"/>
  </r>
  <r>
    <n v="480"/>
    <d v="2024-01-24T00:00:00"/>
    <s v="31012024-A-058554"/>
    <d v="2024-01-31T00:00:00"/>
    <x v="0"/>
    <x v="0"/>
    <n v="12644"/>
    <x v="4"/>
    <x v="0"/>
    <n v="5505.1"/>
    <n v="1.39"/>
    <n v="0"/>
    <n v="0"/>
    <x v="20"/>
    <s v="Comber Noil"/>
    <n v="4931160"/>
    <x v="0"/>
    <n v="887608.79999999993"/>
    <x v="0"/>
    <m/>
    <m/>
    <x v="0"/>
    <x v="0"/>
    <x v="0"/>
    <x v="6"/>
    <x v="0"/>
    <x v="0"/>
    <m/>
    <x v="0"/>
    <x v="1"/>
    <x v="0"/>
    <x v="0"/>
    <x v="0"/>
    <x v="9"/>
    <n v="390"/>
    <n v="70.199999999999989"/>
    <n v="0"/>
    <d v="2024-02-23T00:00:00"/>
    <x v="0"/>
  </r>
  <r>
    <n v="481"/>
    <d v="2024-01-24T00:00:00"/>
    <s v="31012024-A-058555"/>
    <d v="2024-01-31T00:00:00"/>
    <x v="0"/>
    <x v="0"/>
    <n v="12280"/>
    <x v="4"/>
    <x v="0"/>
    <n v="5505.1"/>
    <n v="1.39"/>
    <n v="0"/>
    <n v="0"/>
    <x v="20"/>
    <s v="Comber Noil"/>
    <n v="4789200"/>
    <x v="0"/>
    <n v="862056"/>
    <x v="0"/>
    <m/>
    <m/>
    <x v="0"/>
    <x v="0"/>
    <x v="0"/>
    <x v="6"/>
    <x v="0"/>
    <x v="0"/>
    <m/>
    <x v="0"/>
    <x v="1"/>
    <x v="0"/>
    <x v="0"/>
    <x v="0"/>
    <x v="9"/>
    <n v="390"/>
    <n v="70.2"/>
    <n v="0"/>
    <d v="2024-02-23T00:00:00"/>
    <x v="0"/>
  </r>
  <r>
    <n v="482"/>
    <d v="2024-01-26T00:00:00"/>
    <s v="31012024-A-058556"/>
    <d v="2024-01-31T00:00:00"/>
    <x v="0"/>
    <x v="0"/>
    <n v="9816"/>
    <x v="4"/>
    <x v="0"/>
    <n v="5505.1"/>
    <n v="1.39"/>
    <n v="0"/>
    <n v="0"/>
    <x v="20"/>
    <s v="Comber Noil"/>
    <n v="3828240"/>
    <x v="0"/>
    <n v="689083.2"/>
    <x v="0"/>
    <m/>
    <m/>
    <x v="0"/>
    <x v="0"/>
    <x v="0"/>
    <x v="6"/>
    <x v="0"/>
    <x v="0"/>
    <m/>
    <x v="0"/>
    <x v="1"/>
    <x v="0"/>
    <x v="0"/>
    <x v="0"/>
    <x v="9"/>
    <n v="390"/>
    <n v="70.199999999999989"/>
    <n v="0"/>
    <d v="2024-02-25T00:00:00"/>
    <x v="0"/>
  </r>
  <r>
    <n v="483"/>
    <d v="2024-01-28T00:00:00"/>
    <s v="31012024-A-058557"/>
    <d v="2024-01-31T00:00:00"/>
    <x v="0"/>
    <x v="0"/>
    <n v="10425"/>
    <x v="4"/>
    <x v="0"/>
    <n v="5505.1"/>
    <n v="1.44"/>
    <n v="0"/>
    <n v="0"/>
    <x v="20"/>
    <s v="Comber Noil"/>
    <n v="4201275"/>
    <x v="0"/>
    <n v="756229.5"/>
    <x v="0"/>
    <m/>
    <m/>
    <x v="0"/>
    <x v="0"/>
    <x v="0"/>
    <x v="6"/>
    <x v="0"/>
    <x v="0"/>
    <m/>
    <x v="0"/>
    <x v="1"/>
    <x v="0"/>
    <x v="0"/>
    <x v="0"/>
    <x v="9"/>
    <n v="403"/>
    <n v="72.540000000000006"/>
    <n v="0"/>
    <d v="2024-02-27T00:00:00"/>
    <x v="0"/>
  </r>
  <r>
    <n v="484"/>
    <d v="2024-01-29T00:00:00"/>
    <s v="31012024-A-058558"/>
    <d v="2024-01-31T00:00:00"/>
    <x v="0"/>
    <x v="0"/>
    <n v="10115"/>
    <x v="4"/>
    <x v="0"/>
    <n v="5505.1"/>
    <n v="1.44"/>
    <n v="0"/>
    <n v="0"/>
    <x v="20"/>
    <s v="Comber Noil"/>
    <n v="4076345"/>
    <x v="0"/>
    <n v="733742.1"/>
    <x v="0"/>
    <m/>
    <m/>
    <x v="0"/>
    <x v="0"/>
    <x v="0"/>
    <x v="6"/>
    <x v="0"/>
    <x v="0"/>
    <m/>
    <x v="0"/>
    <x v="1"/>
    <x v="0"/>
    <x v="0"/>
    <x v="0"/>
    <x v="9"/>
    <n v="403"/>
    <n v="72.539999999999992"/>
    <n v="0"/>
    <d v="2024-02-28T00:00:00"/>
    <x v="0"/>
  </r>
  <r>
    <n v="485"/>
    <d v="2024-01-31T00:00:00"/>
    <s v="31012024-A-058559"/>
    <d v="2024-01-31T00:00:00"/>
    <x v="0"/>
    <x v="0"/>
    <n v="9955"/>
    <x v="4"/>
    <x v="0"/>
    <n v="5505.1"/>
    <n v="1.44"/>
    <n v="0"/>
    <n v="0"/>
    <x v="20"/>
    <s v="Comber Noil"/>
    <n v="4011865"/>
    <x v="0"/>
    <n v="722135.7"/>
    <x v="0"/>
    <m/>
    <m/>
    <x v="0"/>
    <x v="0"/>
    <x v="0"/>
    <x v="6"/>
    <x v="0"/>
    <x v="0"/>
    <m/>
    <x v="0"/>
    <x v="1"/>
    <x v="0"/>
    <x v="0"/>
    <x v="0"/>
    <x v="9"/>
    <n v="403"/>
    <n v="72.539999999999992"/>
    <n v="0"/>
    <d v="2024-03-01T00:00:00"/>
    <x v="0"/>
  </r>
  <r>
    <n v="486"/>
    <d v="2024-01-14T00:00:00"/>
    <s v="31012024-A-058560"/>
    <d v="2024-01-31T00:00:00"/>
    <x v="0"/>
    <x v="0"/>
    <n v="20412"/>
    <x v="4"/>
    <x v="0"/>
    <n v="5205.13"/>
    <n v="2.83"/>
    <n v="0"/>
    <n v="0"/>
    <x v="10"/>
    <s v="30/1 Cotton Yarn ( 45000 LBS)"/>
    <n v="16200000"/>
    <x v="0"/>
    <n v="2916000"/>
    <x v="0"/>
    <m/>
    <m/>
    <x v="0"/>
    <x v="0"/>
    <x v="0"/>
    <x v="4"/>
    <x v="0"/>
    <x v="0"/>
    <m/>
    <x v="0"/>
    <x v="1"/>
    <x v="0"/>
    <x v="0"/>
    <x v="0"/>
    <x v="3"/>
    <n v="793.65079365079362"/>
    <n v="142.85714285714286"/>
    <n v="0"/>
    <d v="2024-02-13T00:00:00"/>
    <x v="0"/>
  </r>
  <r>
    <n v="487"/>
    <d v="2024-01-14T00:00:00"/>
    <s v="31012024-A-058561"/>
    <d v="2024-01-31T00:00:00"/>
    <x v="0"/>
    <x v="0"/>
    <n v="11340"/>
    <x v="4"/>
    <x v="0"/>
    <n v="5205.13"/>
    <n v="2.83"/>
    <n v="0"/>
    <n v="0"/>
    <x v="10"/>
    <s v="30/1 Cotton Yarn ( 25000 LBS)"/>
    <n v="9000000"/>
    <x v="0"/>
    <n v="1620000"/>
    <x v="0"/>
    <m/>
    <m/>
    <x v="0"/>
    <x v="0"/>
    <x v="0"/>
    <x v="4"/>
    <x v="0"/>
    <x v="0"/>
    <m/>
    <x v="0"/>
    <x v="1"/>
    <x v="0"/>
    <x v="0"/>
    <x v="0"/>
    <x v="3"/>
    <n v="793.65079365079362"/>
    <n v="142.85714285714286"/>
    <n v="0"/>
    <d v="2024-02-13T00:00:00"/>
    <x v="0"/>
  </r>
  <r>
    <n v="488"/>
    <d v="2024-02-02T00:00:00"/>
    <s v="20022024-A-063898"/>
    <d v="2024-02-20T00:00:00"/>
    <x v="0"/>
    <x v="0"/>
    <n v="4000"/>
    <x v="4"/>
    <x v="0"/>
    <n v="3906.9090000000001"/>
    <n v="0.5"/>
    <n v="0"/>
    <n v="0"/>
    <x v="12"/>
    <s v="TUBIFAST ACL"/>
    <n v="560000"/>
    <x v="0"/>
    <n v="1008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3-03T00:00:00"/>
    <x v="0"/>
  </r>
  <r>
    <n v="489"/>
    <d v="2024-02-02T00:00:00"/>
    <s v="20022024-A-063927"/>
    <d v="2024-02-20T00:00:00"/>
    <x v="0"/>
    <x v="0"/>
    <n v="1000"/>
    <x v="4"/>
    <x v="0"/>
    <n v="3906.9090000000001"/>
    <n v="0.5"/>
    <n v="0"/>
    <n v="0"/>
    <x v="12"/>
    <s v="TUBIFAST ACL"/>
    <n v="140000"/>
    <x v="0"/>
    <n v="252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3-03T00:00:00"/>
    <x v="0"/>
  </r>
  <r>
    <n v="490"/>
    <d v="2024-02-01T00:00:00"/>
    <s v="20022024-A-063934"/>
    <d v="2024-02-20T00:00:00"/>
    <x v="0"/>
    <x v="0"/>
    <n v="5000"/>
    <x v="4"/>
    <x v="0"/>
    <n v="3906.9090000000001"/>
    <n v="0.5"/>
    <n v="0"/>
    <n v="0"/>
    <x v="12"/>
    <s v="TUBIFAST ACL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140"/>
    <n v="25.2"/>
    <n v="0"/>
    <d v="2024-03-02T00:00:00"/>
    <x v="0"/>
  </r>
  <r>
    <n v="491"/>
    <d v="2024-02-01T00:00:00"/>
    <s v="20022024-A-063940"/>
    <d v="2024-02-20T00:00:00"/>
    <x v="0"/>
    <x v="1"/>
    <n v="19290"/>
    <x v="4"/>
    <x v="0"/>
    <n v="2815.12"/>
    <n v="0.28000000000000003"/>
    <n v="19290"/>
    <n v="19290"/>
    <x v="12"/>
    <s v="CAUSTIC SODA LIQUID"/>
    <n v="1514265"/>
    <x v="0"/>
    <n v="272567.7"/>
    <x v="0"/>
    <m/>
    <m/>
    <x v="0"/>
    <x v="0"/>
    <x v="0"/>
    <x v="0"/>
    <x v="0"/>
    <x v="0"/>
    <m/>
    <x v="0"/>
    <x v="1"/>
    <x v="0"/>
    <x v="0"/>
    <x v="0"/>
    <x v="5"/>
    <n v="78.5"/>
    <n v="14.13"/>
    <n v="272567.7"/>
    <d v="2024-03-02T00:00:00"/>
    <x v="0"/>
  </r>
  <r>
    <n v="492"/>
    <d v="2024-02-01T00:00:00"/>
    <s v="20022024-A-063948"/>
    <d v="2024-02-20T00:00:00"/>
    <x v="0"/>
    <x v="1"/>
    <n v="19500"/>
    <x v="4"/>
    <x v="0"/>
    <n v="2815.12"/>
    <n v="0.28000000000000003"/>
    <n v="19500"/>
    <n v="19500"/>
    <x v="12"/>
    <s v="CAUSTIC SODA LIQUID"/>
    <n v="1530750"/>
    <x v="0"/>
    <n v="275535"/>
    <x v="0"/>
    <m/>
    <m/>
    <x v="0"/>
    <x v="0"/>
    <x v="0"/>
    <x v="0"/>
    <x v="0"/>
    <x v="0"/>
    <m/>
    <x v="0"/>
    <x v="1"/>
    <x v="0"/>
    <x v="0"/>
    <x v="0"/>
    <x v="5"/>
    <n v="78.5"/>
    <n v="14.13"/>
    <n v="275535"/>
    <d v="2024-03-02T00:00:00"/>
    <x v="0"/>
  </r>
  <r>
    <n v="493"/>
    <d v="2024-02-01T00:00:00"/>
    <s v="20022024-A-063955"/>
    <d v="2024-02-20T00:00:00"/>
    <x v="0"/>
    <x v="1"/>
    <n v="29570"/>
    <x v="4"/>
    <x v="0"/>
    <n v="2815.12"/>
    <n v="0.28000000000000003"/>
    <n v="29570"/>
    <n v="29570"/>
    <x v="12"/>
    <s v="CAUSTIC SODA LIQUID"/>
    <n v="2321245"/>
    <x v="0"/>
    <n v="417824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7824.1"/>
    <d v="2024-03-02T00:00:00"/>
    <x v="0"/>
  </r>
  <r>
    <n v="494"/>
    <d v="2024-02-04T00:00:00"/>
    <s v="20022024-A-063958"/>
    <d v="2024-02-20T00:00:00"/>
    <x v="0"/>
    <x v="1"/>
    <n v="29670"/>
    <x v="4"/>
    <x v="0"/>
    <n v="2815.12"/>
    <n v="0.28000000000000003"/>
    <n v="29670"/>
    <n v="29670"/>
    <x v="12"/>
    <s v="CAUSTIC SODA LIQUID"/>
    <n v="2329095"/>
    <x v="0"/>
    <n v="419237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9237.1"/>
    <d v="2024-03-05T00:00:00"/>
    <x v="0"/>
  </r>
  <r>
    <n v="495"/>
    <d v="2024-02-01T00:00:00"/>
    <s v="20022024-A-063959"/>
    <d v="2024-02-20T00:00:00"/>
    <x v="0"/>
    <x v="1"/>
    <n v="29380"/>
    <x v="4"/>
    <x v="0"/>
    <n v="2815.12"/>
    <n v="0.28000000000000003"/>
    <n v="29380"/>
    <n v="29380"/>
    <x v="12"/>
    <s v="CAUSTIC SODA LIQUID"/>
    <n v="2306330"/>
    <x v="0"/>
    <n v="415139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5139.39999999997"/>
    <d v="2024-03-02T00:00:00"/>
    <x v="0"/>
  </r>
  <r>
    <n v="496"/>
    <d v="2024-02-01T00:00:00"/>
    <s v="20022024-A-063961"/>
    <d v="2024-02-20T00:00:00"/>
    <x v="0"/>
    <x v="1"/>
    <n v="29580"/>
    <x v="4"/>
    <x v="0"/>
    <n v="2815.12"/>
    <n v="0.28000000000000003"/>
    <n v="29580"/>
    <n v="29580"/>
    <x v="12"/>
    <s v="CAUSTIC SODA LIQUID"/>
    <n v="2322030"/>
    <x v="0"/>
    <n v="417965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7965.39999999997"/>
    <d v="2024-03-02T00:00:00"/>
    <x v="0"/>
  </r>
  <r>
    <n v="497"/>
    <d v="2024-02-01T00:00:00"/>
    <s v="20022024-A-063971"/>
    <d v="2024-02-20T00:00:00"/>
    <x v="0"/>
    <x v="0"/>
    <n v="2"/>
    <x v="4"/>
    <x v="0"/>
    <n v="3215.1190000000001"/>
    <n v="13.21"/>
    <n v="0"/>
    <n v="0"/>
    <x v="12"/>
    <s v="RAROPRINT AL"/>
    <n v="7400"/>
    <x v="0"/>
    <n v="1332"/>
    <x v="0"/>
    <m/>
    <m/>
    <x v="0"/>
    <x v="0"/>
    <x v="0"/>
    <x v="5"/>
    <x v="0"/>
    <x v="0"/>
    <m/>
    <x v="0"/>
    <x v="1"/>
    <x v="0"/>
    <x v="0"/>
    <x v="0"/>
    <x v="5"/>
    <n v="3700"/>
    <n v="666"/>
    <n v="0"/>
    <d v="2024-03-02T00:00:00"/>
    <x v="0"/>
  </r>
  <r>
    <n v="498"/>
    <d v="2024-02-01T00:00:00"/>
    <s v="20022024-A-063977"/>
    <d v="2024-02-20T00:00:00"/>
    <x v="0"/>
    <x v="0"/>
    <n v="8"/>
    <x v="4"/>
    <x v="0"/>
    <n v="3215.1190000000001"/>
    <n v="13.21"/>
    <n v="0"/>
    <n v="0"/>
    <x v="12"/>
    <s v="RAROPRINT AL"/>
    <n v="29600"/>
    <x v="0"/>
    <n v="5328"/>
    <x v="0"/>
    <m/>
    <m/>
    <x v="0"/>
    <x v="0"/>
    <x v="0"/>
    <x v="5"/>
    <x v="0"/>
    <x v="0"/>
    <m/>
    <x v="0"/>
    <x v="1"/>
    <x v="0"/>
    <x v="0"/>
    <x v="0"/>
    <x v="5"/>
    <n v="3700"/>
    <n v="666"/>
    <n v="0"/>
    <d v="2024-03-02T00:00:00"/>
    <x v="0"/>
  </r>
  <r>
    <n v="499"/>
    <d v="2024-02-03T00:00:00"/>
    <s v="20022024-A-063982"/>
    <d v="2024-02-20T00:00:00"/>
    <x v="0"/>
    <x v="0"/>
    <n v="1000"/>
    <x v="4"/>
    <x v="0"/>
    <n v="3906.902"/>
    <n v="1.34"/>
    <n v="0"/>
    <n v="0"/>
    <x v="12"/>
    <s v="OLIMPRINT BINDER PD 30"/>
    <n v="375000"/>
    <x v="0"/>
    <n v="67500"/>
    <x v="0"/>
    <m/>
    <m/>
    <x v="0"/>
    <x v="0"/>
    <x v="0"/>
    <x v="0"/>
    <x v="0"/>
    <x v="0"/>
    <m/>
    <x v="0"/>
    <x v="1"/>
    <x v="0"/>
    <x v="0"/>
    <x v="0"/>
    <x v="5"/>
    <n v="375"/>
    <n v="67.5"/>
    <n v="0"/>
    <d v="2024-03-04T00:00:00"/>
    <x v="0"/>
  </r>
  <r>
    <n v="500"/>
    <d v="2024-02-01T00:00:00"/>
    <s v="20022024-A-063987"/>
    <d v="2024-02-20T00:00:00"/>
    <x v="0"/>
    <x v="0"/>
    <n v="510"/>
    <x v="4"/>
    <x v="0"/>
    <n v="3204.172"/>
    <n v="4.07"/>
    <n v="0"/>
    <n v="0"/>
    <x v="5"/>
    <s v="FAVOPRINT BLUE AFFR"/>
    <n v="581400"/>
    <x v="0"/>
    <n v="104652"/>
    <x v="0"/>
    <m/>
    <m/>
    <x v="0"/>
    <x v="0"/>
    <x v="0"/>
    <x v="4"/>
    <x v="0"/>
    <x v="0"/>
    <m/>
    <x v="0"/>
    <x v="1"/>
    <x v="0"/>
    <x v="0"/>
    <x v="0"/>
    <x v="4"/>
    <n v="1140"/>
    <n v="205.2"/>
    <n v="0"/>
    <d v="2024-03-02T00:00:00"/>
    <x v="0"/>
  </r>
  <r>
    <n v="501"/>
    <d v="2024-02-01T00:00:00"/>
    <s v="20022024-A-063992"/>
    <d v="2024-02-20T00:00:00"/>
    <x v="0"/>
    <x v="0"/>
    <n v="2010"/>
    <x v="4"/>
    <x v="0"/>
    <n v="3204.172"/>
    <n v="4.07"/>
    <n v="0"/>
    <n v="0"/>
    <x v="5"/>
    <s v="FAVOPRINT BLUE AFFR"/>
    <n v="2291400"/>
    <x v="0"/>
    <n v="412452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3-02T00:00:00"/>
    <x v="0"/>
  </r>
  <r>
    <n v="502"/>
    <d v="2024-02-01T00:00:00"/>
    <s v="20022024-A-063996"/>
    <d v="2024-02-20T00:00:00"/>
    <x v="0"/>
    <x v="0"/>
    <n v="2010"/>
    <x v="4"/>
    <x v="0"/>
    <n v="3204.172"/>
    <n v="4.07"/>
    <n v="0"/>
    <n v="0"/>
    <x v="5"/>
    <s v="FAVOPRINT BLUE AFFR"/>
    <n v="2291400"/>
    <x v="0"/>
    <n v="412452"/>
    <x v="0"/>
    <m/>
    <m/>
    <x v="0"/>
    <x v="0"/>
    <x v="0"/>
    <x v="4"/>
    <x v="0"/>
    <x v="0"/>
    <m/>
    <x v="0"/>
    <x v="1"/>
    <x v="0"/>
    <x v="0"/>
    <x v="0"/>
    <x v="4"/>
    <n v="1140"/>
    <n v="205.2"/>
    <n v="0"/>
    <d v="2024-03-02T00:00:00"/>
    <x v="0"/>
  </r>
  <r>
    <n v="503"/>
    <d v="2024-02-01T00:00:00"/>
    <s v="20022024-A-064002"/>
    <d v="2024-02-20T00:00:00"/>
    <x v="0"/>
    <x v="0"/>
    <n v="780"/>
    <x v="4"/>
    <x v="0"/>
    <n v="3204.172"/>
    <n v="4.34"/>
    <n v="0"/>
    <n v="0"/>
    <x v="5"/>
    <s v="FAVOPRINT BLUE AFFR"/>
    <n v="947700"/>
    <x v="0"/>
    <n v="170586"/>
    <x v="0"/>
    <m/>
    <m/>
    <x v="0"/>
    <x v="0"/>
    <x v="0"/>
    <x v="4"/>
    <x v="0"/>
    <x v="0"/>
    <m/>
    <x v="0"/>
    <x v="1"/>
    <x v="0"/>
    <x v="0"/>
    <x v="0"/>
    <x v="4"/>
    <n v="1215"/>
    <n v="218.7"/>
    <n v="0"/>
    <d v="2024-03-02T00:00:00"/>
    <x v="0"/>
  </r>
  <r>
    <n v="504"/>
    <d v="2024-02-02T00:00:00"/>
    <s v="20022024-A-064011"/>
    <d v="2024-02-20T00:00:00"/>
    <x v="0"/>
    <x v="0"/>
    <n v="960"/>
    <x v="4"/>
    <x v="0"/>
    <n v="3204.172"/>
    <n v="4.07"/>
    <n v="0"/>
    <n v="0"/>
    <x v="5"/>
    <s v="FAVOPRINT BLUE AFFR"/>
    <n v="1094400"/>
    <x v="0"/>
    <n v="196992"/>
    <x v="0"/>
    <m/>
    <m/>
    <x v="0"/>
    <x v="0"/>
    <x v="0"/>
    <x v="4"/>
    <x v="0"/>
    <x v="0"/>
    <m/>
    <x v="0"/>
    <x v="1"/>
    <x v="0"/>
    <x v="0"/>
    <x v="0"/>
    <x v="4"/>
    <n v="1140"/>
    <n v="205.2"/>
    <n v="0"/>
    <d v="2024-03-03T00:00:00"/>
    <x v="0"/>
  </r>
  <r>
    <n v="505"/>
    <d v="2024-02-03T00:00:00"/>
    <s v="20022024-A-064016"/>
    <d v="2024-02-20T00:00:00"/>
    <x v="0"/>
    <x v="0"/>
    <n v="120"/>
    <x v="4"/>
    <x v="0"/>
    <n v="3809.9189999999999"/>
    <n v="7.14"/>
    <n v="0"/>
    <n v="0"/>
    <x v="12"/>
    <s v="BASE MORDIENTE M.NEW"/>
    <n v="240000"/>
    <x v="0"/>
    <n v="43200"/>
    <x v="0"/>
    <m/>
    <m/>
    <x v="0"/>
    <x v="0"/>
    <x v="0"/>
    <x v="4"/>
    <x v="0"/>
    <x v="0"/>
    <m/>
    <x v="0"/>
    <x v="1"/>
    <x v="0"/>
    <x v="0"/>
    <x v="0"/>
    <x v="5"/>
    <n v="2000"/>
    <n v="360"/>
    <n v="0"/>
    <d v="2024-03-04T00:00:00"/>
    <x v="0"/>
  </r>
  <r>
    <n v="506"/>
    <d v="2024-02-01T00:00:00"/>
    <s v="20022024-A-064021"/>
    <d v="2024-02-20T00:00:00"/>
    <x v="0"/>
    <x v="0"/>
    <n v="3000"/>
    <x v="4"/>
    <x v="0"/>
    <n v="3809.9189999999999"/>
    <n v="2.57"/>
    <n v="0"/>
    <n v="0"/>
    <x v="12"/>
    <s v="ALKASOFT PEN"/>
    <n v="2160000"/>
    <x v="0"/>
    <n v="388800"/>
    <x v="0"/>
    <m/>
    <m/>
    <x v="0"/>
    <x v="0"/>
    <x v="0"/>
    <x v="4"/>
    <x v="0"/>
    <x v="0"/>
    <m/>
    <x v="0"/>
    <x v="1"/>
    <x v="0"/>
    <x v="0"/>
    <x v="0"/>
    <x v="5"/>
    <n v="720"/>
    <n v="129.6"/>
    <n v="0"/>
    <d v="2024-03-02T00:00:00"/>
    <x v="0"/>
  </r>
  <r>
    <n v="507"/>
    <d v="2024-02-02T00:00:00"/>
    <s v="26022024-A-065247"/>
    <d v="2024-02-26T00:00:00"/>
    <x v="0"/>
    <x v="0"/>
    <n v="10275"/>
    <x v="4"/>
    <x v="0"/>
    <n v="5505.1"/>
    <n v="1.44"/>
    <n v="0"/>
    <n v="0"/>
    <x v="20"/>
    <s v="Comber Noil"/>
    <n v="4140825"/>
    <x v="0"/>
    <n v="745348.5"/>
    <x v="0"/>
    <m/>
    <m/>
    <x v="0"/>
    <x v="0"/>
    <x v="0"/>
    <x v="6"/>
    <x v="0"/>
    <x v="0"/>
    <m/>
    <x v="0"/>
    <x v="1"/>
    <x v="0"/>
    <x v="0"/>
    <x v="0"/>
    <x v="9"/>
    <n v="403"/>
    <n v="72.540000000000006"/>
    <n v="0"/>
    <d v="2024-03-03T00:00:00"/>
    <x v="0"/>
  </r>
  <r>
    <n v="508"/>
    <d v="2024-02-09T00:00:00"/>
    <s v="26022024-A-065263"/>
    <d v="2024-02-26T00:00:00"/>
    <x v="0"/>
    <x v="0"/>
    <n v="9221"/>
    <x v="4"/>
    <x v="0"/>
    <n v="5505.1"/>
    <n v="1.44"/>
    <n v="0"/>
    <n v="0"/>
    <x v="20"/>
    <s v="Comber Noil"/>
    <n v="3716063"/>
    <x v="0"/>
    <n v="668891.34"/>
    <x v="0"/>
    <m/>
    <m/>
    <x v="0"/>
    <x v="0"/>
    <x v="0"/>
    <x v="6"/>
    <x v="0"/>
    <x v="0"/>
    <m/>
    <x v="0"/>
    <x v="1"/>
    <x v="0"/>
    <x v="0"/>
    <x v="0"/>
    <x v="9"/>
    <n v="403"/>
    <n v="72.539999999999992"/>
    <n v="0"/>
    <d v="2024-03-10T00:00:00"/>
    <x v="0"/>
  </r>
  <r>
    <n v="509"/>
    <d v="2024-02-11T00:00:00"/>
    <s v="26022024-A-065269"/>
    <d v="2024-02-26T00:00:00"/>
    <x v="0"/>
    <x v="0"/>
    <n v="13124"/>
    <x v="4"/>
    <x v="0"/>
    <n v="5505.1"/>
    <n v="1.51"/>
    <n v="0"/>
    <n v="0"/>
    <x v="20"/>
    <s v="Comber Noil"/>
    <n v="5538328"/>
    <x v="0"/>
    <n v="996899.03999999992"/>
    <x v="0"/>
    <m/>
    <m/>
    <x v="0"/>
    <x v="0"/>
    <x v="0"/>
    <x v="6"/>
    <x v="0"/>
    <x v="0"/>
    <m/>
    <x v="0"/>
    <x v="1"/>
    <x v="0"/>
    <x v="0"/>
    <x v="0"/>
    <x v="9"/>
    <n v="422"/>
    <n v="75.959999999999994"/>
    <n v="0"/>
    <d v="2024-03-12T00:00:00"/>
    <x v="0"/>
  </r>
  <r>
    <n v="510"/>
    <d v="2024-02-11T00:00:00"/>
    <s v="26022024-A-065308"/>
    <d v="2024-02-26T00:00:00"/>
    <x v="0"/>
    <x v="0"/>
    <n v="12050"/>
    <x v="4"/>
    <x v="0"/>
    <n v="5505.1"/>
    <n v="1.51"/>
    <n v="0"/>
    <n v="0"/>
    <x v="20"/>
    <s v="Comber Noil"/>
    <n v="5085100"/>
    <x v="0"/>
    <n v="915318"/>
    <x v="0"/>
    <m/>
    <m/>
    <x v="0"/>
    <x v="0"/>
    <x v="0"/>
    <x v="6"/>
    <x v="0"/>
    <x v="0"/>
    <m/>
    <x v="0"/>
    <x v="1"/>
    <x v="0"/>
    <x v="0"/>
    <x v="0"/>
    <x v="9"/>
    <n v="422"/>
    <n v="75.959999999999994"/>
    <n v="0"/>
    <d v="2024-03-12T00:00:00"/>
    <x v="0"/>
  </r>
  <r>
    <n v="511"/>
    <d v="2024-02-13T00:00:00"/>
    <s v="26022024-A-065311"/>
    <d v="2024-02-26T00:00:00"/>
    <x v="0"/>
    <x v="0"/>
    <n v="12160"/>
    <x v="4"/>
    <x v="0"/>
    <n v="5505.1"/>
    <n v="1.51"/>
    <n v="0"/>
    <n v="0"/>
    <x v="20"/>
    <s v="Comber Noil"/>
    <n v="5131520"/>
    <x v="0"/>
    <n v="923673.59999999998"/>
    <x v="0"/>
    <m/>
    <m/>
    <x v="0"/>
    <x v="0"/>
    <x v="0"/>
    <x v="5"/>
    <x v="0"/>
    <x v="0"/>
    <m/>
    <x v="0"/>
    <x v="1"/>
    <x v="0"/>
    <x v="0"/>
    <x v="0"/>
    <x v="9"/>
    <n v="422"/>
    <n v="75.959999999999994"/>
    <n v="0"/>
    <d v="2024-03-14T00:00:00"/>
    <x v="0"/>
  </r>
  <r>
    <n v="512"/>
    <d v="2024-02-13T00:00:00"/>
    <s v="26022024-A-065315"/>
    <d v="2024-02-26T00:00:00"/>
    <x v="0"/>
    <x v="0"/>
    <n v="13054"/>
    <x v="4"/>
    <x v="0"/>
    <n v="5505.1"/>
    <n v="1.51"/>
    <n v="0"/>
    <n v="0"/>
    <x v="20"/>
    <s v="Comber Noil"/>
    <n v="5508788"/>
    <x v="0"/>
    <n v="991581.84"/>
    <x v="0"/>
    <m/>
    <m/>
    <x v="0"/>
    <x v="0"/>
    <x v="0"/>
    <x v="6"/>
    <x v="0"/>
    <x v="0"/>
    <m/>
    <x v="0"/>
    <x v="1"/>
    <x v="0"/>
    <x v="0"/>
    <x v="0"/>
    <x v="9"/>
    <n v="422"/>
    <n v="75.959999999999994"/>
    <n v="0"/>
    <d v="2024-03-14T00:00:00"/>
    <x v="0"/>
  </r>
  <r>
    <n v="513"/>
    <d v="2024-02-16T00:00:00"/>
    <s v="26022024-A-065321"/>
    <d v="2024-02-26T00:00:00"/>
    <x v="0"/>
    <x v="0"/>
    <n v="9688"/>
    <x v="4"/>
    <x v="0"/>
    <n v="5505.1"/>
    <n v="1.51"/>
    <n v="0"/>
    <n v="0"/>
    <x v="20"/>
    <s v="Comber Noil"/>
    <n v="4088336"/>
    <x v="0"/>
    <n v="735900.48"/>
    <x v="0"/>
    <m/>
    <m/>
    <x v="0"/>
    <x v="0"/>
    <x v="0"/>
    <x v="5"/>
    <x v="0"/>
    <x v="0"/>
    <m/>
    <x v="0"/>
    <x v="1"/>
    <x v="0"/>
    <x v="0"/>
    <x v="0"/>
    <x v="9"/>
    <n v="422"/>
    <n v="75.959999999999994"/>
    <n v="0"/>
    <d v="2024-03-17T00:00:00"/>
    <x v="0"/>
  </r>
  <r>
    <n v="514"/>
    <d v="2024-02-17T00:00:00"/>
    <s v="26022024-A-065323"/>
    <d v="2024-02-26T00:00:00"/>
    <x v="0"/>
    <x v="0"/>
    <n v="7970"/>
    <x v="4"/>
    <x v="0"/>
    <n v="5505.1"/>
    <n v="1.52"/>
    <n v="0"/>
    <n v="0"/>
    <x v="20"/>
    <s v="Comber Noil"/>
    <n v="3387250"/>
    <x v="0"/>
    <n v="609705"/>
    <x v="0"/>
    <m/>
    <m/>
    <x v="0"/>
    <x v="0"/>
    <x v="0"/>
    <x v="5"/>
    <x v="0"/>
    <x v="0"/>
    <m/>
    <x v="0"/>
    <x v="1"/>
    <x v="0"/>
    <x v="0"/>
    <x v="0"/>
    <x v="9"/>
    <n v="425"/>
    <n v="76.5"/>
    <n v="0"/>
    <d v="2024-03-18T00:00:00"/>
    <x v="0"/>
  </r>
  <r>
    <n v="515"/>
    <d v="2024-02-17T00:00:00"/>
    <s v="26022024-A-065330"/>
    <d v="2024-02-26T00:00:00"/>
    <x v="0"/>
    <x v="0"/>
    <n v="7017"/>
    <x v="4"/>
    <x v="0"/>
    <n v="5505.1"/>
    <n v="1.52"/>
    <n v="0"/>
    <n v="0"/>
    <x v="20"/>
    <s v="Comber Noil"/>
    <n v="2982225"/>
    <x v="0"/>
    <n v="536800.5"/>
    <x v="0"/>
    <m/>
    <m/>
    <x v="0"/>
    <x v="0"/>
    <x v="0"/>
    <x v="5"/>
    <x v="0"/>
    <x v="0"/>
    <m/>
    <x v="0"/>
    <x v="1"/>
    <x v="0"/>
    <x v="0"/>
    <x v="0"/>
    <x v="9"/>
    <n v="425"/>
    <n v="76.5"/>
    <n v="0"/>
    <d v="2024-03-18T00:00:00"/>
    <x v="0"/>
  </r>
  <r>
    <n v="516"/>
    <d v="2024-02-19T00:00:00"/>
    <s v="26022024-A-065440"/>
    <d v="2024-02-26T00:00:00"/>
    <x v="0"/>
    <x v="0"/>
    <n v="7017"/>
    <x v="4"/>
    <x v="0"/>
    <n v="5505.1"/>
    <n v="1.52"/>
    <n v="0"/>
    <n v="0"/>
    <x v="20"/>
    <s v="Comber Noil"/>
    <n v="2982225"/>
    <x v="0"/>
    <n v="536800.5"/>
    <x v="0"/>
    <m/>
    <m/>
    <x v="0"/>
    <x v="0"/>
    <x v="0"/>
    <x v="0"/>
    <x v="0"/>
    <x v="0"/>
    <m/>
    <x v="0"/>
    <x v="1"/>
    <x v="0"/>
    <x v="0"/>
    <x v="0"/>
    <x v="9"/>
    <n v="425"/>
    <n v="76.5"/>
    <n v="0"/>
    <d v="2024-03-20T00:00:00"/>
    <x v="0"/>
  </r>
  <r>
    <n v="517"/>
    <d v="2024-02-19T00:00:00"/>
    <s v="26022024-A-065447"/>
    <d v="2024-02-26T00:00:00"/>
    <x v="0"/>
    <x v="0"/>
    <n v="7630"/>
    <x v="4"/>
    <x v="0"/>
    <n v="5505.1"/>
    <n v="1.52"/>
    <n v="0"/>
    <n v="0"/>
    <x v="20"/>
    <s v="Comber Noil"/>
    <n v="3242750"/>
    <x v="0"/>
    <n v="583695"/>
    <x v="0"/>
    <m/>
    <m/>
    <x v="0"/>
    <x v="0"/>
    <x v="0"/>
    <x v="0"/>
    <x v="0"/>
    <x v="0"/>
    <m/>
    <x v="0"/>
    <x v="1"/>
    <x v="0"/>
    <x v="0"/>
    <x v="0"/>
    <x v="9"/>
    <n v="425"/>
    <n v="76.5"/>
    <n v="0"/>
    <d v="2024-03-20T00:00:00"/>
    <x v="0"/>
  </r>
  <r>
    <n v="518"/>
    <d v="2024-02-20T00:00:00"/>
    <s v="26022024-A-065453"/>
    <d v="2024-02-26T00:00:00"/>
    <x v="0"/>
    <x v="0"/>
    <n v="10543"/>
    <x v="4"/>
    <x v="0"/>
    <n v="5505.1"/>
    <n v="1.52"/>
    <n v="0"/>
    <n v="0"/>
    <x v="20"/>
    <s v="Comber Noil"/>
    <n v="4480775"/>
    <x v="0"/>
    <n v="806539.5"/>
    <x v="0"/>
    <m/>
    <m/>
    <x v="0"/>
    <x v="0"/>
    <x v="0"/>
    <x v="0"/>
    <x v="0"/>
    <x v="0"/>
    <m/>
    <x v="0"/>
    <x v="1"/>
    <x v="0"/>
    <x v="0"/>
    <x v="0"/>
    <x v="9"/>
    <n v="425"/>
    <n v="76.5"/>
    <n v="0"/>
    <d v="2024-03-21T00:00:00"/>
    <x v="0"/>
  </r>
  <r>
    <n v="519"/>
    <d v="2024-02-22T00:00:00"/>
    <s v="26022024-A-065488"/>
    <d v="2024-02-26T00:00:00"/>
    <x v="0"/>
    <x v="0"/>
    <n v="10035"/>
    <x v="4"/>
    <x v="0"/>
    <n v="5505.1"/>
    <n v="1.52"/>
    <n v="0"/>
    <n v="0"/>
    <x v="20"/>
    <s v="Comber Noil"/>
    <n v="4264875"/>
    <x v="0"/>
    <n v="767677.5"/>
    <x v="0"/>
    <m/>
    <m/>
    <x v="0"/>
    <x v="0"/>
    <x v="0"/>
    <x v="0"/>
    <x v="0"/>
    <x v="0"/>
    <m/>
    <x v="0"/>
    <x v="1"/>
    <x v="0"/>
    <x v="0"/>
    <x v="0"/>
    <x v="9"/>
    <n v="425"/>
    <n v="76.5"/>
    <n v="0"/>
    <d v="2024-03-23T00:00:00"/>
    <x v="0"/>
  </r>
  <r>
    <n v="520"/>
    <d v="2024-02-23T00:00:00"/>
    <s v="26022024-A-065493"/>
    <d v="2024-02-26T00:00:00"/>
    <x v="0"/>
    <x v="0"/>
    <n v="9788"/>
    <x v="4"/>
    <x v="0"/>
    <n v="5505.1"/>
    <n v="1.52"/>
    <n v="0"/>
    <n v="0"/>
    <x v="20"/>
    <s v="Comber Noil"/>
    <n v="4159900"/>
    <x v="0"/>
    <n v="748782"/>
    <x v="0"/>
    <m/>
    <m/>
    <x v="0"/>
    <x v="0"/>
    <x v="0"/>
    <x v="0"/>
    <x v="0"/>
    <x v="0"/>
    <m/>
    <x v="0"/>
    <x v="1"/>
    <x v="0"/>
    <x v="0"/>
    <x v="0"/>
    <x v="9"/>
    <n v="425"/>
    <n v="76.5"/>
    <n v="0"/>
    <d v="2024-03-24T00:00:00"/>
    <x v="0"/>
  </r>
  <r>
    <n v="521"/>
    <d v="2024-02-25T00:00:00"/>
    <s v="26022024-A-065500"/>
    <d v="2024-02-26T00:00:00"/>
    <x v="0"/>
    <x v="0"/>
    <n v="7783"/>
    <x v="4"/>
    <x v="0"/>
    <n v="5505.1"/>
    <n v="1.55"/>
    <n v="0"/>
    <n v="0"/>
    <x v="20"/>
    <s v="Comber Noil"/>
    <n v="3385605"/>
    <x v="0"/>
    <n v="609408.9"/>
    <x v="0"/>
    <m/>
    <m/>
    <x v="0"/>
    <x v="0"/>
    <x v="0"/>
    <x v="0"/>
    <x v="0"/>
    <x v="0"/>
    <m/>
    <x v="0"/>
    <x v="1"/>
    <x v="0"/>
    <x v="0"/>
    <x v="0"/>
    <x v="9"/>
    <n v="435"/>
    <n v="78.3"/>
    <n v="0"/>
    <d v="2024-03-26T00:00:00"/>
    <x v="0"/>
  </r>
  <r>
    <n v="522"/>
    <d v="2024-02-25T00:00:00"/>
    <s v="26022024-A-065503"/>
    <d v="2024-02-26T00:00:00"/>
    <x v="0"/>
    <x v="0"/>
    <n v="7404"/>
    <x v="4"/>
    <x v="0"/>
    <n v="5505.1"/>
    <n v="1.55"/>
    <n v="0"/>
    <n v="0"/>
    <x v="20"/>
    <s v="Comber Noil"/>
    <n v="3220740"/>
    <x v="0"/>
    <n v="579733.19999999995"/>
    <x v="0"/>
    <m/>
    <m/>
    <x v="0"/>
    <x v="0"/>
    <x v="0"/>
    <x v="0"/>
    <x v="0"/>
    <x v="0"/>
    <m/>
    <x v="0"/>
    <x v="1"/>
    <x v="0"/>
    <x v="0"/>
    <x v="0"/>
    <x v="9"/>
    <n v="435"/>
    <n v="78.3"/>
    <n v="0"/>
    <d v="2024-03-26T00:00:00"/>
    <x v="0"/>
  </r>
  <r>
    <n v="523"/>
    <d v="2024-02-26T00:00:00"/>
    <s v="26022024-A-065504"/>
    <d v="2024-02-26T00:00:00"/>
    <x v="0"/>
    <x v="0"/>
    <n v="7683"/>
    <x v="4"/>
    <x v="0"/>
    <n v="5505.1"/>
    <n v="1.55"/>
    <n v="0"/>
    <n v="0"/>
    <x v="20"/>
    <s v="Comber Noil"/>
    <n v="3342105"/>
    <x v="0"/>
    <n v="601578.9"/>
    <x v="0"/>
    <m/>
    <m/>
    <x v="0"/>
    <x v="0"/>
    <x v="0"/>
    <x v="0"/>
    <x v="0"/>
    <x v="0"/>
    <m/>
    <x v="0"/>
    <x v="1"/>
    <x v="0"/>
    <x v="0"/>
    <x v="0"/>
    <x v="9"/>
    <n v="435"/>
    <n v="78.3"/>
    <n v="0"/>
    <d v="2024-03-27T00:00:00"/>
    <x v="0"/>
  </r>
  <r>
    <n v="524"/>
    <d v="2024-02-26T00:00:00"/>
    <s v="26022024-A-065509"/>
    <d v="2024-02-26T00:00:00"/>
    <x v="0"/>
    <x v="0"/>
    <n v="7156"/>
    <x v="4"/>
    <x v="0"/>
    <n v="5505.1"/>
    <n v="1.55"/>
    <n v="0"/>
    <n v="0"/>
    <x v="20"/>
    <s v="Comber Noil"/>
    <n v="3112860"/>
    <x v="0"/>
    <n v="560314.79999999993"/>
    <x v="0"/>
    <m/>
    <m/>
    <x v="0"/>
    <x v="0"/>
    <x v="0"/>
    <x v="0"/>
    <x v="0"/>
    <x v="0"/>
    <m/>
    <x v="0"/>
    <x v="1"/>
    <x v="0"/>
    <x v="0"/>
    <x v="0"/>
    <x v="9"/>
    <n v="435"/>
    <n v="78.3"/>
    <n v="0"/>
    <d v="2024-03-27T00:00:00"/>
    <x v="0"/>
  </r>
  <r>
    <n v="525"/>
    <d v="2024-02-29T00:00:00"/>
    <s v="26022024-A-065514"/>
    <d v="2024-02-26T00:00:00"/>
    <x v="0"/>
    <x v="0"/>
    <n v="7086"/>
    <x v="4"/>
    <x v="0"/>
    <n v="5505.1"/>
    <n v="1.55"/>
    <n v="0"/>
    <n v="0"/>
    <x v="20"/>
    <s v="Comber Noil"/>
    <n v="3082410"/>
    <x v="0"/>
    <n v="554833.79999999993"/>
    <x v="0"/>
    <m/>
    <m/>
    <x v="0"/>
    <x v="0"/>
    <x v="0"/>
    <x v="0"/>
    <x v="0"/>
    <x v="0"/>
    <m/>
    <x v="0"/>
    <x v="1"/>
    <x v="0"/>
    <x v="0"/>
    <x v="0"/>
    <x v="9"/>
    <n v="435"/>
    <n v="78.3"/>
    <n v="0"/>
    <d v="2024-03-30T00:00:00"/>
    <x v="0"/>
  </r>
  <r>
    <n v="526"/>
    <d v="2024-02-29T00:00:00"/>
    <s v="26022024-A-065520"/>
    <d v="2024-02-26T00:00:00"/>
    <x v="0"/>
    <x v="0"/>
    <n v="7553"/>
    <x v="4"/>
    <x v="0"/>
    <n v="5505.1"/>
    <n v="1.55"/>
    <n v="0"/>
    <n v="0"/>
    <x v="20"/>
    <s v="Comber Noil"/>
    <n v="3285555"/>
    <x v="0"/>
    <n v="591399.9"/>
    <x v="0"/>
    <m/>
    <m/>
    <x v="0"/>
    <x v="0"/>
    <x v="0"/>
    <x v="0"/>
    <x v="0"/>
    <x v="0"/>
    <m/>
    <x v="0"/>
    <x v="1"/>
    <x v="0"/>
    <x v="0"/>
    <x v="0"/>
    <x v="9"/>
    <n v="435"/>
    <n v="78.3"/>
    <n v="0"/>
    <d v="2024-03-30T00:00:00"/>
    <x v="0"/>
  </r>
  <r>
    <n v="527"/>
    <d v="2024-02-18T00:00:00"/>
    <s v="27022024-A-065952"/>
    <d v="2024-02-27T00:00:00"/>
    <x v="0"/>
    <x v="1"/>
    <n v="29770"/>
    <x v="4"/>
    <x v="0"/>
    <n v="2815.12"/>
    <n v="0.28000000000000003"/>
    <n v="29770"/>
    <n v="29770"/>
    <x v="12"/>
    <s v="CAUSTIC SODA LIQUID"/>
    <n v="2336945"/>
    <x v="0"/>
    <n v="420650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20650.1"/>
    <d v="2024-03-19T00:00:00"/>
    <x v="0"/>
  </r>
  <r>
    <n v="528"/>
    <d v="2024-02-24T00:00:00"/>
    <s v="27022024-A-065967"/>
    <d v="2024-02-27T00:00:00"/>
    <x v="0"/>
    <x v="1"/>
    <n v="19930"/>
    <x v="4"/>
    <x v="0"/>
    <n v="2815.12"/>
    <n v="0.28000000000000003"/>
    <n v="19930"/>
    <n v="19930"/>
    <x v="12"/>
    <s v="CAUSTIC SODA LIQUID"/>
    <n v="1564505"/>
    <x v="0"/>
    <n v="2816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610.89999999997"/>
    <d v="2024-03-25T00:00:00"/>
    <x v="0"/>
  </r>
  <r>
    <n v="529"/>
    <d v="2024-02-25T00:00:00"/>
    <s v="27022024-A-065976"/>
    <d v="2024-02-27T00:00:00"/>
    <x v="0"/>
    <x v="1"/>
    <n v="19930"/>
    <x v="4"/>
    <x v="0"/>
    <n v="2815.12"/>
    <n v="0.28000000000000003"/>
    <n v="19930"/>
    <n v="19930"/>
    <x v="12"/>
    <s v="CAUSTIC SODA LIQUID"/>
    <n v="1564505"/>
    <x v="0"/>
    <n v="2816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610.89999999997"/>
    <d v="2024-03-26T00:00:00"/>
    <x v="0"/>
  </r>
  <r>
    <n v="530"/>
    <d v="2024-02-17T00:00:00"/>
    <s v="27022024-A-065985"/>
    <d v="2024-02-27T00:00:00"/>
    <x v="0"/>
    <x v="1"/>
    <n v="29630"/>
    <x v="4"/>
    <x v="0"/>
    <n v="2815.12"/>
    <n v="0.28000000000000003"/>
    <n v="29630"/>
    <n v="29630"/>
    <x v="12"/>
    <s v="CAUSTIC SODA LIQUID"/>
    <n v="2325955"/>
    <x v="0"/>
    <n v="418671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671.89999999997"/>
    <d v="2024-03-18T00:00:00"/>
    <x v="0"/>
  </r>
  <r>
    <n v="531"/>
    <d v="2024-02-21T00:00:00"/>
    <s v="27022024-A-065993"/>
    <d v="2024-02-27T00:00:00"/>
    <x v="0"/>
    <x v="1"/>
    <n v="19880"/>
    <x v="4"/>
    <x v="0"/>
    <n v="2815.12"/>
    <n v="0.28000000000000003"/>
    <n v="19880"/>
    <n v="19880"/>
    <x v="12"/>
    <s v="CAUSTIC SODA LIQUID"/>
    <n v="1560580"/>
    <x v="0"/>
    <n v="280904.3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0904.39999999997"/>
    <d v="2024-03-22T00:00:00"/>
    <x v="0"/>
  </r>
  <r>
    <n v="532"/>
    <d v="2024-02-16T00:00:00"/>
    <s v="27022024-A-066000"/>
    <d v="2024-02-27T00:00:00"/>
    <x v="0"/>
    <x v="1"/>
    <n v="9730"/>
    <x v="4"/>
    <x v="0"/>
    <n v="2815.12"/>
    <n v="0.28000000000000003"/>
    <n v="9730"/>
    <n v="9730"/>
    <x v="12"/>
    <s v="CAUSTIC SODA LIQUID"/>
    <n v="763805"/>
    <x v="0"/>
    <n v="137484.9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137484.9"/>
    <d v="2024-03-17T00:00:00"/>
    <x v="0"/>
  </r>
  <r>
    <n v="533"/>
    <d v="2024-02-14T00:00:00"/>
    <s v="27022024-A-066011"/>
    <d v="2024-02-27T00:00:00"/>
    <x v="0"/>
    <x v="1"/>
    <n v="19530"/>
    <x v="4"/>
    <x v="0"/>
    <n v="2815.12"/>
    <n v="0.28000000000000003"/>
    <n v="19530"/>
    <n v="19530"/>
    <x v="12"/>
    <s v="CAUSTIC SODA LIQUID"/>
    <n v="1533105"/>
    <x v="0"/>
    <n v="275958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75958.89999999997"/>
    <d v="2024-03-15T00:00:00"/>
    <x v="0"/>
  </r>
  <r>
    <n v="534"/>
    <d v="2024-02-11T00:00:00"/>
    <s v="27022024-A-066016"/>
    <d v="2024-02-27T00:00:00"/>
    <x v="0"/>
    <x v="1"/>
    <n v="19470"/>
    <x v="4"/>
    <x v="0"/>
    <n v="2815.12"/>
    <n v="0.28000000000000003"/>
    <n v="19470"/>
    <n v="19470"/>
    <x v="12"/>
    <s v="CAUSTIC SODA LIQUID"/>
    <n v="1528395"/>
    <x v="0"/>
    <n v="275111.0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75111.09999999998"/>
    <d v="2024-03-12T00:00:00"/>
    <x v="0"/>
  </r>
  <r>
    <n v="535"/>
    <d v="2024-02-07T00:00:00"/>
    <s v="27022024-A-066025"/>
    <d v="2024-02-27T00:00:00"/>
    <x v="0"/>
    <x v="1"/>
    <n v="29370"/>
    <x v="4"/>
    <x v="0"/>
    <n v="2815.12"/>
    <n v="0.28000000000000003"/>
    <n v="29370"/>
    <n v="29370"/>
    <x v="12"/>
    <s v="CAUSTIC SODA LIQUID"/>
    <n v="2305545"/>
    <x v="0"/>
    <n v="414998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998.1"/>
    <d v="2024-03-08T00:00:00"/>
    <x v="0"/>
  </r>
  <r>
    <n v="536"/>
    <d v="2024-02-05T00:00:00"/>
    <s v="27022024-A-066033"/>
    <d v="2024-02-27T00:00:00"/>
    <x v="0"/>
    <x v="1"/>
    <n v="29210"/>
    <x v="4"/>
    <x v="0"/>
    <n v="2815.12"/>
    <n v="0.28000000000000003"/>
    <n v="29210"/>
    <n v="29210"/>
    <x v="12"/>
    <s v="CAUSTIC SODA LIQUID"/>
    <n v="2292985"/>
    <x v="0"/>
    <n v="412737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2737.3"/>
    <d v="2024-03-06T00:00:00"/>
    <x v="0"/>
  </r>
  <r>
    <n v="537"/>
    <d v="2024-02-05T00:00:00"/>
    <s v="27022024-A-066039"/>
    <d v="2024-02-27T00:00:00"/>
    <x v="0"/>
    <x v="1"/>
    <n v="29440"/>
    <x v="4"/>
    <x v="0"/>
    <n v="2815.12"/>
    <n v="0.28000000000000003"/>
    <n v="29440"/>
    <n v="29440"/>
    <x v="12"/>
    <s v="CAUSTIC SODA LIQUID"/>
    <n v="2311040"/>
    <x v="0"/>
    <n v="415987.20000000001"/>
    <x v="0"/>
    <m/>
    <m/>
    <x v="0"/>
    <x v="0"/>
    <x v="0"/>
    <x v="0"/>
    <x v="0"/>
    <x v="0"/>
    <m/>
    <x v="0"/>
    <x v="1"/>
    <x v="0"/>
    <x v="0"/>
    <x v="0"/>
    <x v="5"/>
    <n v="78.5"/>
    <n v="14.13"/>
    <n v="415987.20000000001"/>
    <d v="2024-03-06T00:00:00"/>
    <x v="0"/>
  </r>
  <r>
    <n v="538"/>
    <d v="2024-02-11T00:00:00"/>
    <s v="27022024-A-066064"/>
    <d v="2024-02-27T00:00:00"/>
    <x v="0"/>
    <x v="0"/>
    <n v="500"/>
    <x v="4"/>
    <x v="0"/>
    <n v="3204.2"/>
    <n v="1.8"/>
    <n v="0"/>
    <n v="0"/>
    <x v="5"/>
    <s v="LEUCOPHOR BMF LIQUID"/>
    <n v="252500"/>
    <x v="0"/>
    <n v="4545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3-12T00:00:00"/>
    <x v="0"/>
  </r>
  <r>
    <n v="538"/>
    <d v="2024-02-11T00:00:00"/>
    <s v="27022024-A-066064"/>
    <d v="2024-02-27T00:00:00"/>
    <x v="0"/>
    <x v="0"/>
    <n v="400"/>
    <x v="4"/>
    <x v="0"/>
    <n v="2904.2089999999998"/>
    <n v="0.89"/>
    <n v="0"/>
    <n v="0"/>
    <x v="12"/>
    <s v="REVATOL S LIQUID"/>
    <n v="100000"/>
    <x v="0"/>
    <n v="18000"/>
    <x v="0"/>
    <m/>
    <m/>
    <x v="0"/>
    <x v="0"/>
    <x v="0"/>
    <x v="5"/>
    <x v="0"/>
    <x v="0"/>
    <m/>
    <x v="0"/>
    <x v="1"/>
    <x v="0"/>
    <x v="0"/>
    <x v="0"/>
    <x v="5"/>
    <n v="250"/>
    <n v="45"/>
    <n v="0"/>
    <d v="2024-03-12T00:00:00"/>
    <x v="0"/>
  </r>
  <r>
    <n v="538"/>
    <d v="2024-02-11T00:00:00"/>
    <s v="27022024-A-066064"/>
    <d v="2024-02-27T00:00:00"/>
    <x v="0"/>
    <x v="0"/>
    <n v="990"/>
    <x v="4"/>
    <x v="0"/>
    <n v="2931.9090000000001"/>
    <n v="1.92"/>
    <n v="0"/>
    <n v="0"/>
    <x v="12"/>
    <s v="LUFIBROL ANTOX LIQ"/>
    <n v="532620"/>
    <x v="0"/>
    <n v="95871.599999999991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3-12T00:00:00"/>
    <x v="0"/>
  </r>
  <r>
    <n v="539"/>
    <d v="2024-02-16T00:00:00"/>
    <s v="27022024-A-066079"/>
    <d v="2024-02-27T00:00:00"/>
    <x v="0"/>
    <x v="0"/>
    <n v="2640"/>
    <x v="4"/>
    <x v="0"/>
    <n v="2931.9090000000001"/>
    <n v="1.92"/>
    <n v="0"/>
    <n v="0"/>
    <x v="12"/>
    <s v="LUFIBROL ANTOX LIQ"/>
    <n v="1420320"/>
    <x v="0"/>
    <n v="255657.59999999998"/>
    <x v="0"/>
    <m/>
    <m/>
    <x v="0"/>
    <x v="0"/>
    <x v="0"/>
    <x v="6"/>
    <x v="0"/>
    <x v="0"/>
    <m/>
    <x v="0"/>
    <x v="1"/>
    <x v="0"/>
    <x v="0"/>
    <x v="0"/>
    <x v="5"/>
    <n v="538"/>
    <n v="96.839999999999989"/>
    <n v="0"/>
    <d v="2024-03-17T00:00:00"/>
    <x v="0"/>
  </r>
  <r>
    <n v="539"/>
    <d v="2024-02-16T00:00:00"/>
    <s v="27022024-A-066079"/>
    <d v="2024-02-27T00:00:00"/>
    <x v="0"/>
    <x v="0"/>
    <n v="1540"/>
    <x v="4"/>
    <x v="0"/>
    <n v="3809.9189999999999"/>
    <n v="0.41"/>
    <n v="0"/>
    <n v="0"/>
    <x v="12"/>
    <s v="PRESTOGEN F-PL LIQ"/>
    <n v="177100"/>
    <x v="0"/>
    <n v="31878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7T00:00:00"/>
    <x v="0"/>
  </r>
  <r>
    <n v="539"/>
    <d v="2024-02-16T00:00:00"/>
    <s v="27022024-A-066079"/>
    <d v="2024-02-27T00:00:00"/>
    <x v="0"/>
    <x v="0"/>
    <n v="900"/>
    <x v="4"/>
    <x v="0"/>
    <n v="3204.2"/>
    <n v="1.8"/>
    <n v="0"/>
    <n v="0"/>
    <x v="5"/>
    <s v="LEUCOPHOR BMF LIQUID"/>
    <n v="454500"/>
    <x v="0"/>
    <n v="8181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3-17T00:00:00"/>
    <x v="0"/>
  </r>
  <r>
    <n v="540"/>
    <d v="2024-02-13T00:00:00"/>
    <s v="27022024-A-066094"/>
    <d v="2024-02-27T00:00:00"/>
    <x v="0"/>
    <x v="0"/>
    <n v="1980"/>
    <x v="4"/>
    <x v="0"/>
    <n v="2931.9090000000001"/>
    <n v="1.92"/>
    <n v="0"/>
    <n v="0"/>
    <x v="12"/>
    <s v="LUFIBROL ANTOX LIQ"/>
    <n v="1065240"/>
    <x v="0"/>
    <n v="191743.19999999998"/>
    <x v="0"/>
    <m/>
    <m/>
    <x v="0"/>
    <x v="0"/>
    <x v="0"/>
    <x v="6"/>
    <x v="0"/>
    <x v="0"/>
    <m/>
    <x v="0"/>
    <x v="1"/>
    <x v="0"/>
    <x v="0"/>
    <x v="0"/>
    <x v="5"/>
    <n v="538"/>
    <n v="96.839999999999989"/>
    <n v="0"/>
    <d v="2024-03-14T00:00:00"/>
    <x v="0"/>
  </r>
  <r>
    <n v="540"/>
    <d v="2024-02-13T00:00:00"/>
    <s v="27022024-A-066094"/>
    <d v="2024-02-27T00:00:00"/>
    <x v="0"/>
    <x v="0"/>
    <n v="1320"/>
    <x v="4"/>
    <x v="0"/>
    <n v="3809.9189999999999"/>
    <n v="0.41"/>
    <n v="0"/>
    <n v="0"/>
    <x v="12"/>
    <s v="PRESTOGEN F-PL LIQ"/>
    <n v="151800"/>
    <x v="0"/>
    <n v="27324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4T00:00:00"/>
    <x v="0"/>
  </r>
  <r>
    <n v="540"/>
    <d v="2024-02-13T00:00:00"/>
    <s v="27022024-A-066094"/>
    <d v="2024-02-27T00:00:00"/>
    <x v="0"/>
    <x v="0"/>
    <n v="720"/>
    <x v="4"/>
    <x v="0"/>
    <n v="3809.9110000000001"/>
    <n v="1.2"/>
    <n v="0"/>
    <n v="0"/>
    <x v="12"/>
    <s v="SIRRIX NE LIQ NEW 0120 "/>
    <n v="241200"/>
    <x v="0"/>
    <n v="43416"/>
    <x v="0"/>
    <m/>
    <m/>
    <x v="0"/>
    <x v="0"/>
    <x v="0"/>
    <x v="6"/>
    <x v="0"/>
    <x v="0"/>
    <m/>
    <x v="0"/>
    <x v="1"/>
    <x v="0"/>
    <x v="0"/>
    <x v="0"/>
    <x v="5"/>
    <n v="335"/>
    <n v="60.3"/>
    <n v="0"/>
    <d v="2024-03-14T00:00:00"/>
    <x v="0"/>
  </r>
  <r>
    <n v="541"/>
    <d v="2024-02-14T00:00:00"/>
    <s v="27022024-A-066109"/>
    <d v="2024-02-27T00:00:00"/>
    <x v="0"/>
    <x v="0"/>
    <n v="4200"/>
    <x v="4"/>
    <x v="0"/>
    <n v="3204.2"/>
    <n v="1.8"/>
    <n v="0"/>
    <n v="0"/>
    <x v="5"/>
    <s v="LEUCOPHOR BMF LIQUID"/>
    <n v="2121000"/>
    <x v="0"/>
    <n v="38178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3-15T00:00:00"/>
    <x v="0"/>
  </r>
  <r>
    <n v="542"/>
    <d v="2024-02-14T00:00:00"/>
    <s v="27022024-A-066116"/>
    <d v="2024-02-27T00:00:00"/>
    <x v="0"/>
    <x v="0"/>
    <n v="5280"/>
    <x v="4"/>
    <x v="0"/>
    <n v="3809.9189999999999"/>
    <n v="0.41"/>
    <n v="0"/>
    <n v="0"/>
    <x v="12"/>
    <s v="PRESTOGEN F-PL LIQ"/>
    <n v="607200"/>
    <x v="0"/>
    <n v="109296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5T00:00:00"/>
    <x v="0"/>
  </r>
  <r>
    <n v="543"/>
    <d v="2024-02-18T00:00:00"/>
    <s v="27022024-A-066222"/>
    <d v="2024-02-27T00:00:00"/>
    <x v="0"/>
    <x v="0"/>
    <n v="1210"/>
    <x v="4"/>
    <x v="0"/>
    <n v="2931.9090000000001"/>
    <n v="1.92"/>
    <n v="0"/>
    <n v="0"/>
    <x v="12"/>
    <s v="LUFIBROL ANTOX LIQ"/>
    <n v="650980"/>
    <x v="0"/>
    <n v="117176.4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3-19T00:00:00"/>
    <x v="0"/>
  </r>
  <r>
    <n v="543"/>
    <d v="2024-02-18T00:00:00"/>
    <s v="27022024-A-066222"/>
    <d v="2024-02-27T00:00:00"/>
    <x v="0"/>
    <x v="0"/>
    <n v="1200"/>
    <x v="4"/>
    <x v="0"/>
    <n v="3204.2"/>
    <n v="1.8"/>
    <n v="0"/>
    <n v="0"/>
    <x v="5"/>
    <s v="LEUCOPHOR BMF LIQUID"/>
    <n v="606000"/>
    <x v="0"/>
    <n v="10908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3-19T00:00:00"/>
    <x v="0"/>
  </r>
  <r>
    <n v="544"/>
    <d v="2024-02-18T00:00:00"/>
    <s v="27022024-A-066141"/>
    <d v="2024-02-27T00:00:00"/>
    <x v="0"/>
    <x v="0"/>
    <n v="3520"/>
    <x v="4"/>
    <x v="0"/>
    <n v="3809.9189999999999"/>
    <n v="0.41"/>
    <n v="0"/>
    <n v="0"/>
    <x v="12"/>
    <s v="PRESTOGEN F-PL LIQ"/>
    <n v="404800"/>
    <x v="0"/>
    <n v="72864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19T00:00:00"/>
    <x v="0"/>
  </r>
  <r>
    <n v="545"/>
    <d v="2024-02-10T00:00:00"/>
    <s v="27022024-A-066145"/>
    <d v="2024-02-27T00:00:00"/>
    <x v="0"/>
    <x v="0"/>
    <n v="900"/>
    <x v="4"/>
    <x v="0"/>
    <n v="3204.172"/>
    <n v="5.34"/>
    <n v="0"/>
    <n v="0"/>
    <x v="5"/>
    <s v="PIGMASOL YELLOW MRP"/>
    <n v="1345500"/>
    <x v="0"/>
    <n v="242190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3-11T00:00:00"/>
    <x v="0"/>
  </r>
  <r>
    <n v="546"/>
    <d v="2024-02-10T00:00:00"/>
    <s v="27022024-A-066156"/>
    <d v="2024-02-27T00:00:00"/>
    <x v="0"/>
    <x v="0"/>
    <n v="750"/>
    <x v="4"/>
    <x v="0"/>
    <n v="3204.172"/>
    <n v="5.34"/>
    <n v="0"/>
    <n v="0"/>
    <x v="5"/>
    <s v="PIGMASOL YELLOW MRP"/>
    <n v="1121250"/>
    <x v="0"/>
    <n v="201825"/>
    <x v="0"/>
    <m/>
    <m/>
    <x v="0"/>
    <x v="0"/>
    <x v="0"/>
    <x v="4"/>
    <x v="0"/>
    <x v="0"/>
    <m/>
    <x v="0"/>
    <x v="1"/>
    <x v="0"/>
    <x v="0"/>
    <x v="0"/>
    <x v="4"/>
    <n v="1495"/>
    <n v="269.10000000000002"/>
    <n v="0"/>
    <d v="2024-03-11T00:00:00"/>
    <x v="0"/>
  </r>
  <r>
    <n v="547"/>
    <d v="2024-02-01T00:00:00"/>
    <s v="27022024-A-066163"/>
    <d v="2024-02-27T00:00:00"/>
    <x v="0"/>
    <x v="0"/>
    <n v="120"/>
    <x v="4"/>
    <x v="0"/>
    <n v="3809.9189999999999"/>
    <n v="1.52"/>
    <n v="0"/>
    <n v="0"/>
    <x v="12"/>
    <s v="SUBLICORE ARC PLUS "/>
    <n v="51000"/>
    <x v="0"/>
    <n v="9180"/>
    <x v="0"/>
    <m/>
    <m/>
    <x v="0"/>
    <x v="0"/>
    <x v="0"/>
    <x v="0"/>
    <x v="0"/>
    <x v="0"/>
    <m/>
    <x v="0"/>
    <x v="1"/>
    <x v="0"/>
    <x v="0"/>
    <x v="0"/>
    <x v="5"/>
    <n v="425"/>
    <n v="76.5"/>
    <n v="0"/>
    <d v="2024-03-02T00:00:00"/>
    <x v="0"/>
  </r>
  <r>
    <n v="548"/>
    <d v="2024-02-01T00:00:00"/>
    <s v="27022024-A-066169"/>
    <d v="2024-02-27T00:00:00"/>
    <x v="0"/>
    <x v="0"/>
    <n v="2000"/>
    <x v="4"/>
    <x v="0"/>
    <n v="3507.9"/>
    <n v="1.64"/>
    <n v="0"/>
    <n v="0"/>
    <x v="12"/>
    <s v="ENZIMA NB PLUS"/>
    <n v="920000"/>
    <x v="0"/>
    <n v="165600"/>
    <x v="0"/>
    <m/>
    <m/>
    <x v="0"/>
    <x v="0"/>
    <x v="0"/>
    <x v="6"/>
    <x v="0"/>
    <x v="0"/>
    <m/>
    <x v="0"/>
    <x v="1"/>
    <x v="0"/>
    <x v="0"/>
    <x v="0"/>
    <x v="5"/>
    <n v="460"/>
    <n v="82.8"/>
    <n v="0"/>
    <d v="2024-03-02T00:00:00"/>
    <x v="0"/>
  </r>
  <r>
    <n v="549"/>
    <d v="2024-02-04T00:00:00"/>
    <s v="27022024-A-066220"/>
    <d v="2024-02-27T00:00:00"/>
    <x v="0"/>
    <x v="0"/>
    <n v="12000"/>
    <x v="4"/>
    <x v="0"/>
    <n v="2836.3"/>
    <n v="0.35"/>
    <n v="0"/>
    <n v="0"/>
    <x v="12"/>
    <s v="REFINED SODIUM BICARBONATE"/>
    <n v="1170000"/>
    <x v="0"/>
    <n v="210600"/>
    <x v="0"/>
    <m/>
    <m/>
    <x v="0"/>
    <x v="0"/>
    <x v="0"/>
    <x v="5"/>
    <x v="0"/>
    <x v="0"/>
    <m/>
    <x v="0"/>
    <x v="1"/>
    <x v="0"/>
    <x v="0"/>
    <x v="0"/>
    <x v="5"/>
    <n v="97.5"/>
    <n v="17.55"/>
    <n v="0"/>
    <d v="2024-03-05T00:00:00"/>
    <x v="0"/>
  </r>
  <r>
    <n v="550"/>
    <d v="2024-02-05T00:00:00"/>
    <s v="27022024-A-066227"/>
    <d v="2024-02-27T00:00:00"/>
    <x v="0"/>
    <x v="0"/>
    <n v="240"/>
    <x v="4"/>
    <x v="0"/>
    <n v="3809.9189999999999"/>
    <n v="5"/>
    <n v="0"/>
    <n v="0"/>
    <x v="12"/>
    <s v="PRODER M.A.C NUEVO"/>
    <n v="336000"/>
    <x v="0"/>
    <n v="60480"/>
    <x v="0"/>
    <m/>
    <m/>
    <x v="0"/>
    <x v="0"/>
    <x v="0"/>
    <x v="0"/>
    <x v="0"/>
    <x v="0"/>
    <m/>
    <x v="0"/>
    <x v="1"/>
    <x v="0"/>
    <x v="0"/>
    <x v="0"/>
    <x v="5"/>
    <n v="1400"/>
    <n v="252"/>
    <n v="0"/>
    <d v="2024-03-06T00:00:00"/>
    <x v="0"/>
  </r>
  <r>
    <n v="551"/>
    <d v="2024-02-14T00:00:00"/>
    <s v="27022024-A-066228"/>
    <d v="2024-02-27T00:00:00"/>
    <x v="0"/>
    <x v="0"/>
    <n v="250"/>
    <x v="4"/>
    <x v="0"/>
    <n v="3507.9"/>
    <n v="12.5"/>
    <n v="0"/>
    <n v="0"/>
    <x v="12"/>
    <s v="AQUAZYM AD"/>
    <n v="875000"/>
    <x v="0"/>
    <n v="1575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3-15T00:00:00"/>
    <x v="0"/>
  </r>
  <r>
    <n v="552"/>
    <d v="2024-02-18T00:00:00"/>
    <s v="28022024-A-066299"/>
    <d v="2024-02-28T00:00:00"/>
    <x v="0"/>
    <x v="2"/>
    <n v="960"/>
    <x v="4"/>
    <x v="0"/>
    <n v="3809.9189999999999"/>
    <n v="0.64"/>
    <n v="0"/>
    <n v="0"/>
    <x v="12"/>
    <s v="CROSCOLOR NLD 30802"/>
    <n v="172800"/>
    <x v="0"/>
    <n v="31104"/>
    <x v="0"/>
    <m/>
    <m/>
    <x v="0"/>
    <x v="0"/>
    <x v="0"/>
    <x v="0"/>
    <x v="0"/>
    <x v="0"/>
    <m/>
    <x v="0"/>
    <x v="1"/>
    <x v="0"/>
    <x v="0"/>
    <x v="0"/>
    <x v="5"/>
    <n v="180"/>
    <n v="32.4"/>
    <n v="0"/>
    <d v="2024-03-19T00:00:00"/>
    <x v="0"/>
  </r>
  <r>
    <n v="553"/>
    <d v="2024-02-13T00:00:00"/>
    <s v="28022024-A-066302"/>
    <d v="2024-02-28T00:00:00"/>
    <x v="0"/>
    <x v="0"/>
    <n v="300"/>
    <x v="4"/>
    <x v="0"/>
    <n v="2904.2089999999998"/>
    <n v="3.13"/>
    <n v="0"/>
    <n v="0"/>
    <x v="12"/>
    <s v="CHEMITOL WS GRANULES"/>
    <n v="262500"/>
    <x v="0"/>
    <n v="47250"/>
    <x v="0"/>
    <m/>
    <m/>
    <x v="0"/>
    <x v="0"/>
    <x v="0"/>
    <x v="5"/>
    <x v="0"/>
    <x v="0"/>
    <m/>
    <x v="0"/>
    <x v="1"/>
    <x v="0"/>
    <x v="0"/>
    <x v="0"/>
    <x v="5"/>
    <n v="875"/>
    <n v="157.5"/>
    <n v="0"/>
    <d v="2024-03-14T00:00:00"/>
    <x v="0"/>
  </r>
  <r>
    <n v="554"/>
    <d v="2024-02-13T00:00:00"/>
    <s v="28022024-A-066313"/>
    <d v="2024-02-28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6"/>
    <x v="0"/>
    <x v="0"/>
    <m/>
    <x v="0"/>
    <x v="1"/>
    <x v="0"/>
    <x v="0"/>
    <x v="0"/>
    <x v="5"/>
    <n v="675"/>
    <n v="121.5"/>
    <n v="0"/>
    <d v="2024-03-14T00:00:00"/>
    <x v="0"/>
  </r>
  <r>
    <n v="555"/>
    <d v="2024-02-21T00:00:00"/>
    <s v="28022024-A-066318"/>
    <d v="2024-02-28T00:00:00"/>
    <x v="0"/>
    <x v="0"/>
    <n v="150"/>
    <x v="4"/>
    <x v="0"/>
    <n v="3204.16"/>
    <n v="8.39"/>
    <n v="0"/>
    <n v="0"/>
    <x v="5"/>
    <s v="SUNZOL NAVY BLUE GRB"/>
    <n v="352500"/>
    <x v="0"/>
    <n v="63450"/>
    <x v="0"/>
    <m/>
    <m/>
    <x v="0"/>
    <x v="0"/>
    <x v="0"/>
    <x v="6"/>
    <x v="0"/>
    <x v="0"/>
    <m/>
    <x v="0"/>
    <x v="1"/>
    <x v="0"/>
    <x v="0"/>
    <x v="0"/>
    <x v="4"/>
    <n v="2350"/>
    <n v="423"/>
    <n v="0"/>
    <d v="2024-03-22T00:00:00"/>
    <x v="0"/>
  </r>
  <r>
    <n v="556"/>
    <d v="2024-02-01T00:00:00"/>
    <s v="04032024-A-068165"/>
    <d v="2024-03-04T00:00:00"/>
    <x v="0"/>
    <x v="0"/>
    <n v="10183"/>
    <x v="4"/>
    <x v="0"/>
    <n v="5210.1099999999997"/>
    <n v="3.52"/>
    <n v="0"/>
    <n v="0"/>
    <x v="2"/>
    <s v="CVC60:40 - 40/1 Fabric"/>
    <n v="10024000"/>
    <x v="0"/>
    <n v="1804320"/>
    <x v="0"/>
    <m/>
    <m/>
    <x v="0"/>
    <x v="0"/>
    <x v="0"/>
    <x v="5"/>
    <x v="0"/>
    <x v="0"/>
    <m/>
    <x v="0"/>
    <x v="1"/>
    <x v="0"/>
    <x v="0"/>
    <x v="0"/>
    <x v="2"/>
    <n v="984.38574094078365"/>
    <n v="177.18943336934106"/>
    <n v="0"/>
    <d v="2024-03-02T00:00:00"/>
    <x v="0"/>
  </r>
  <r>
    <n v="557"/>
    <d v="2024-02-01T00:00:00"/>
    <s v="04032024-A-068168"/>
    <d v="2024-03-04T00:00:00"/>
    <x v="0"/>
    <x v="0"/>
    <n v="9885"/>
    <x v="4"/>
    <x v="0"/>
    <n v="5210.1099999999997"/>
    <n v="3.55"/>
    <n v="0"/>
    <n v="0"/>
    <x v="2"/>
    <s v="CVC60:40 - 40/1 Fabric"/>
    <n v="9834950"/>
    <x v="0"/>
    <n v="1770291"/>
    <x v="0"/>
    <m/>
    <m/>
    <x v="0"/>
    <x v="0"/>
    <x v="0"/>
    <x v="5"/>
    <x v="0"/>
    <x v="0"/>
    <m/>
    <x v="0"/>
    <x v="1"/>
    <x v="0"/>
    <x v="0"/>
    <x v="0"/>
    <x v="2"/>
    <n v="994.93677288821448"/>
    <n v="179.08861911987862"/>
    <n v="0"/>
    <d v="2024-03-02T00:00:00"/>
    <x v="0"/>
  </r>
  <r>
    <n v="558"/>
    <d v="2024-02-13T00:00:00"/>
    <s v="08032024-A-070139"/>
    <d v="2024-03-08T00:00:00"/>
    <x v="0"/>
    <x v="0"/>
    <n v="420"/>
    <x v="4"/>
    <x v="0"/>
    <n v="3507.9"/>
    <n v="3.13"/>
    <n v="0"/>
    <n v="0"/>
    <x v="12"/>
    <s v="PROMOLAZE HT CONC"/>
    <n v="367500"/>
    <x v="0"/>
    <n v="66150"/>
    <x v="0"/>
    <m/>
    <m/>
    <x v="0"/>
    <x v="0"/>
    <x v="0"/>
    <x v="6"/>
    <x v="0"/>
    <x v="0"/>
    <m/>
    <x v="0"/>
    <x v="1"/>
    <x v="0"/>
    <x v="0"/>
    <x v="0"/>
    <x v="5"/>
    <n v="875"/>
    <n v="157.5"/>
    <n v="0"/>
    <d v="2024-03-14T00:00:00"/>
    <x v="0"/>
  </r>
  <r>
    <n v="559"/>
    <d v="2024-02-29T00:00:00"/>
    <s v="08032024-A-070148"/>
    <d v="2024-03-08T00:00:00"/>
    <x v="0"/>
    <x v="0"/>
    <n v="360"/>
    <x v="4"/>
    <x v="0"/>
    <n v="3507.9"/>
    <n v="3.13"/>
    <n v="0"/>
    <n v="0"/>
    <x v="12"/>
    <s v="PROMOLAZE HT CONC"/>
    <n v="315000"/>
    <x v="0"/>
    <n v="56700"/>
    <x v="0"/>
    <m/>
    <m/>
    <x v="0"/>
    <x v="0"/>
    <x v="0"/>
    <x v="6"/>
    <x v="0"/>
    <x v="0"/>
    <m/>
    <x v="0"/>
    <x v="1"/>
    <x v="0"/>
    <x v="0"/>
    <x v="0"/>
    <x v="5"/>
    <n v="875"/>
    <n v="157.5"/>
    <n v="0"/>
    <d v="2024-03-30T00:00:00"/>
    <x v="0"/>
  </r>
  <r>
    <n v="560"/>
    <d v="2024-02-18T00:00:00"/>
    <s v="08032024-A-070152"/>
    <d v="2024-03-08T00:00:00"/>
    <x v="0"/>
    <x v="1"/>
    <n v="29620"/>
    <x v="4"/>
    <x v="0"/>
    <n v="2815.12"/>
    <n v="0.28000000000000003"/>
    <n v="29620"/>
    <n v="2962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530.6"/>
    <d v="2024-03-19T00:00:00"/>
    <x v="0"/>
  </r>
  <r>
    <n v="561"/>
    <d v="2024-02-18T00:00:00"/>
    <s v="08032024-A-070159"/>
    <d v="2024-03-08T00:00:00"/>
    <x v="0"/>
    <x v="1"/>
    <n v="29620"/>
    <x v="4"/>
    <x v="0"/>
    <n v="2815.12"/>
    <n v="0.28000000000000003"/>
    <n v="29620"/>
    <n v="2962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530.6"/>
    <d v="2024-03-19T00:00:00"/>
    <x v="0"/>
  </r>
  <r>
    <n v="562"/>
    <d v="2024-02-20T00:00:00"/>
    <s v="08032024-A-070166"/>
    <d v="2024-03-08T00:00:00"/>
    <x v="0"/>
    <x v="1"/>
    <n v="19920"/>
    <x v="4"/>
    <x v="0"/>
    <n v="2815.12"/>
    <n v="0.28000000000000003"/>
    <n v="19920"/>
    <n v="19920"/>
    <x v="12"/>
    <s v="CAUSTIC SODA LIQUID"/>
    <n v="1563720"/>
    <x v="0"/>
    <n v="281469.5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469.59999999998"/>
    <d v="2024-03-21T00:00:00"/>
    <x v="0"/>
  </r>
  <r>
    <n v="563"/>
    <d v="2024-02-29T00:00:00"/>
    <s v="08032024-A-070172"/>
    <d v="2024-03-08T00:00:00"/>
    <x v="0"/>
    <x v="1"/>
    <n v="29930"/>
    <x v="4"/>
    <x v="0"/>
    <n v="2815.12"/>
    <n v="0.28000000000000003"/>
    <n v="29930"/>
    <n v="29930"/>
    <x v="12"/>
    <s v="CAUSTIC SODA LIQUID"/>
    <n v="2349505"/>
    <x v="0"/>
    <n v="4229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22910.89999999997"/>
    <d v="2024-03-30T00:00:00"/>
    <x v="0"/>
  </r>
  <r>
    <n v="564"/>
    <d v="2024-02-29T00:00:00"/>
    <s v="08032024-A-070178"/>
    <d v="2024-03-08T00:00:00"/>
    <x v="0"/>
    <x v="1"/>
    <n v="29940"/>
    <x v="4"/>
    <x v="0"/>
    <n v="2815.12"/>
    <n v="0.28000000000000003"/>
    <n v="29940"/>
    <n v="29940"/>
    <x v="12"/>
    <s v="CAUSTIC SODA LIQUID"/>
    <n v="2350290"/>
    <x v="0"/>
    <n v="423052.2"/>
    <x v="0"/>
    <m/>
    <m/>
    <x v="0"/>
    <x v="0"/>
    <x v="0"/>
    <x v="0"/>
    <x v="0"/>
    <x v="0"/>
    <m/>
    <x v="0"/>
    <x v="1"/>
    <x v="0"/>
    <x v="0"/>
    <x v="0"/>
    <x v="5"/>
    <n v="78.5"/>
    <n v="14.13"/>
    <n v="423052.2"/>
    <d v="2024-03-30T00:00:00"/>
    <x v="0"/>
  </r>
  <r>
    <n v="565"/>
    <d v="2024-02-10T00:00:00"/>
    <s v="08032024-A-070186"/>
    <d v="2024-03-08T00:00:00"/>
    <x v="0"/>
    <x v="0"/>
    <n v="2520"/>
    <x v="4"/>
    <x v="0"/>
    <n v="3809.9189999999999"/>
    <n v="2.57"/>
    <n v="0"/>
    <n v="0"/>
    <x v="12"/>
    <s v="ALKASOFT PEN"/>
    <n v="1814400"/>
    <x v="0"/>
    <n v="326592"/>
    <x v="0"/>
    <m/>
    <m/>
    <x v="0"/>
    <x v="0"/>
    <x v="0"/>
    <x v="0"/>
    <x v="0"/>
    <x v="0"/>
    <m/>
    <x v="0"/>
    <x v="1"/>
    <x v="0"/>
    <x v="0"/>
    <x v="0"/>
    <x v="5"/>
    <n v="720"/>
    <n v="129.6"/>
    <n v="0"/>
    <d v="2024-03-11T00:00:00"/>
    <x v="0"/>
  </r>
  <r>
    <n v="566"/>
    <d v="2024-02-16T00:00:00"/>
    <s v="08032024-A-070192"/>
    <d v="2024-03-08T00:00:00"/>
    <x v="0"/>
    <x v="0"/>
    <n v="480"/>
    <x v="4"/>
    <x v="0"/>
    <n v="3809.9189999999999"/>
    <n v="2.57"/>
    <n v="0"/>
    <n v="0"/>
    <x v="12"/>
    <s v="ALKASOFT PEN"/>
    <n v="345600"/>
    <x v="0"/>
    <n v="62208"/>
    <x v="0"/>
    <m/>
    <m/>
    <x v="0"/>
    <x v="0"/>
    <x v="0"/>
    <x v="6"/>
    <x v="0"/>
    <x v="0"/>
    <m/>
    <x v="0"/>
    <x v="1"/>
    <x v="0"/>
    <x v="0"/>
    <x v="0"/>
    <x v="5"/>
    <n v="720"/>
    <n v="129.6"/>
    <n v="0"/>
    <d v="2024-03-17T00:00:00"/>
    <x v="0"/>
  </r>
  <r>
    <n v="567"/>
    <d v="2024-02-17T00:00:00"/>
    <s v="08032024-A-070198"/>
    <d v="2024-03-08T00:00:00"/>
    <x v="0"/>
    <x v="0"/>
    <n v="4920"/>
    <x v="4"/>
    <x v="0"/>
    <n v="3809.9189999999999"/>
    <n v="2.57"/>
    <n v="0"/>
    <n v="0"/>
    <x v="12"/>
    <s v="ALKASOFT PEN"/>
    <n v="3542400"/>
    <x v="0"/>
    <n v="637632"/>
    <x v="0"/>
    <m/>
    <m/>
    <x v="0"/>
    <x v="0"/>
    <x v="0"/>
    <x v="6"/>
    <x v="0"/>
    <x v="0"/>
    <m/>
    <x v="0"/>
    <x v="1"/>
    <x v="0"/>
    <x v="0"/>
    <x v="0"/>
    <x v="5"/>
    <n v="720"/>
    <n v="129.6"/>
    <n v="0"/>
    <d v="2024-03-18T00:00:00"/>
    <x v="0"/>
  </r>
  <r>
    <n v="568"/>
    <d v="2024-02-23T00:00:00"/>
    <s v="08032024-A-070202"/>
    <d v="2024-03-08T00:00:00"/>
    <x v="0"/>
    <x v="0"/>
    <n v="1210"/>
    <x v="4"/>
    <x v="0"/>
    <n v="2931.9090000000001"/>
    <n v="1.92"/>
    <n v="0"/>
    <n v="0"/>
    <x v="12"/>
    <s v="LUFIBROL ANTOX LIQ"/>
    <n v="650980"/>
    <x v="0"/>
    <n v="117176.4"/>
    <x v="0"/>
    <m/>
    <m/>
    <x v="0"/>
    <x v="0"/>
    <x v="0"/>
    <x v="6"/>
    <x v="0"/>
    <x v="0"/>
    <m/>
    <x v="0"/>
    <x v="1"/>
    <x v="0"/>
    <x v="0"/>
    <x v="0"/>
    <x v="5"/>
    <n v="538"/>
    <n v="96.839999999999989"/>
    <n v="0"/>
    <d v="2024-03-24T00:00:00"/>
    <x v="0"/>
  </r>
  <r>
    <n v="568"/>
    <d v="2024-02-23T00:00:00"/>
    <s v="08032024-A-070202"/>
    <d v="2024-03-08T00:00:00"/>
    <x v="0"/>
    <x v="0"/>
    <n v="1320"/>
    <x v="4"/>
    <x v="0"/>
    <n v="3809.9189999999999"/>
    <n v="0.41"/>
    <n v="0"/>
    <n v="0"/>
    <x v="12"/>
    <s v="PRESTOGEN F-PL LIQ"/>
    <n v="151800"/>
    <x v="0"/>
    <n v="27324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3-24T00:00:00"/>
    <x v="0"/>
  </r>
  <r>
    <n v="568"/>
    <d v="2024-02-23T00:00:00"/>
    <s v="08032024-A-070202"/>
    <d v="2024-03-08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3-24T00:00:00"/>
    <x v="0"/>
  </r>
  <r>
    <n v="569"/>
    <d v="2024-03-01T00:00:00"/>
    <s v="08032024-A-070214"/>
    <d v="2024-03-08T00:00:00"/>
    <x v="0"/>
    <x v="0"/>
    <n v="1"/>
    <x v="4"/>
    <x v="0"/>
    <n v="3204.1590000000001"/>
    <n v="78.040000000000006"/>
    <n v="0"/>
    <n v="0"/>
    <x v="5"/>
    <s v="BEZATHREN GOLDEN ORANGE 3G EPS"/>
    <n v="21850"/>
    <x v="0"/>
    <n v="3933"/>
    <x v="0"/>
    <m/>
    <m/>
    <x v="0"/>
    <x v="0"/>
    <x v="0"/>
    <x v="5"/>
    <x v="0"/>
    <x v="0"/>
    <m/>
    <x v="0"/>
    <x v="1"/>
    <x v="0"/>
    <x v="0"/>
    <x v="0"/>
    <x v="4"/>
    <n v="21850"/>
    <n v="3933"/>
    <n v="0"/>
    <d v="2024-03-31T00:00:00"/>
    <x v="0"/>
  </r>
  <r>
    <n v="570"/>
    <d v="2024-03-01T00:00:00"/>
    <s v="08032024-A-070219"/>
    <d v="2024-03-08T00:00:00"/>
    <x v="0"/>
    <x v="0"/>
    <n v="2"/>
    <x v="4"/>
    <x v="0"/>
    <n v="3204.1590000000001"/>
    <n v="78.040000000000006"/>
    <n v="0"/>
    <n v="0"/>
    <x v="5"/>
    <s v="BEZATHREN GOLDEN ORANGE 3G EPS"/>
    <n v="43700"/>
    <x v="0"/>
    <n v="7866"/>
    <x v="0"/>
    <m/>
    <m/>
    <x v="0"/>
    <x v="0"/>
    <x v="0"/>
    <x v="5"/>
    <x v="0"/>
    <x v="0"/>
    <m/>
    <x v="0"/>
    <x v="1"/>
    <x v="0"/>
    <x v="0"/>
    <x v="0"/>
    <x v="4"/>
    <n v="21850"/>
    <n v="3933"/>
    <n v="0"/>
    <d v="2024-03-31T00:00:00"/>
    <x v="0"/>
  </r>
  <r>
    <n v="571"/>
    <d v="2024-03-01T00:00:00"/>
    <s v="08032024-A-070223"/>
    <d v="2024-03-08T00:00:00"/>
    <x v="0"/>
    <x v="0"/>
    <n v="5000"/>
    <x v="4"/>
    <x v="0"/>
    <n v="3906.9090000000001"/>
    <n v="0.7"/>
    <n v="0"/>
    <n v="0"/>
    <x v="12"/>
    <s v="TUBIFAST ACE"/>
    <n v="975000"/>
    <x v="0"/>
    <n v="175500"/>
    <x v="0"/>
    <m/>
    <m/>
    <x v="0"/>
    <x v="0"/>
    <x v="0"/>
    <x v="6"/>
    <x v="0"/>
    <x v="0"/>
    <m/>
    <x v="0"/>
    <x v="1"/>
    <x v="0"/>
    <x v="0"/>
    <x v="0"/>
    <x v="5"/>
    <n v="195"/>
    <n v="35.1"/>
    <n v="0"/>
    <d v="2024-03-31T00:00:00"/>
    <x v="0"/>
  </r>
  <r>
    <n v="572"/>
    <d v="2024-03-01T00:00:00"/>
    <s v="08032024-A-070227"/>
    <d v="2024-03-08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6"/>
    <x v="0"/>
    <x v="0"/>
    <m/>
    <x v="0"/>
    <x v="1"/>
    <x v="0"/>
    <x v="0"/>
    <x v="0"/>
    <x v="5"/>
    <n v="193"/>
    <n v="34.74"/>
    <n v="0"/>
    <d v="2024-03-31T00:00:00"/>
    <x v="0"/>
  </r>
  <r>
    <n v="573"/>
    <d v="2024-03-01T00:00:00"/>
    <s v="08032024-A-070232"/>
    <d v="2024-03-08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3-31T00:00:00"/>
    <x v="0"/>
  </r>
  <r>
    <n v="574"/>
    <d v="2024-03-01T00:00:00"/>
    <s v="13032024-A-072273"/>
    <d v="2024-03-13T00:00:00"/>
    <x v="0"/>
    <x v="0"/>
    <n v="35046"/>
    <x v="4"/>
    <x v="0"/>
    <n v="5503.201"/>
    <n v="1.3"/>
    <n v="0"/>
    <n v="0"/>
    <x v="1"/>
    <s v="Polyester Staple Fiber"/>
    <n v="12791717"/>
    <x v="0"/>
    <n v="2302509.06"/>
    <x v="0"/>
    <m/>
    <m/>
    <x v="0"/>
    <x v="0"/>
    <x v="0"/>
    <x v="0"/>
    <x v="0"/>
    <x v="0"/>
    <m/>
    <x v="0"/>
    <x v="1"/>
    <x v="0"/>
    <x v="0"/>
    <x v="0"/>
    <x v="1"/>
    <n v="364.99791702334073"/>
    <n v="65.699625064201342"/>
    <n v="0"/>
    <d v="2024-03-31T00:00:00"/>
    <x v="0"/>
  </r>
  <r>
    <n v="575"/>
    <d v="2024-03-01T00:00:00"/>
    <s v="13032024-A-072296"/>
    <d v="2024-03-13T00:00:00"/>
    <x v="0"/>
    <x v="0"/>
    <n v="35052"/>
    <x v="4"/>
    <x v="0"/>
    <n v="5503.201"/>
    <n v="1.3"/>
    <n v="0"/>
    <n v="0"/>
    <x v="1"/>
    <s v="Polyester Staple Fiber"/>
    <n v="12794089.5"/>
    <x v="0"/>
    <n v="2302936.11"/>
    <x v="0"/>
    <m/>
    <m/>
    <x v="0"/>
    <x v="0"/>
    <x v="0"/>
    <x v="0"/>
    <x v="0"/>
    <x v="0"/>
    <m/>
    <x v="0"/>
    <x v="1"/>
    <x v="0"/>
    <x v="0"/>
    <x v="0"/>
    <x v="1"/>
    <n v="365.00312393016088"/>
    <n v="65.700562307428953"/>
    <n v="0"/>
    <d v="2024-03-31T00:00:00"/>
    <x v="0"/>
  </r>
  <r>
    <n v="576"/>
    <d v="2024-03-01T00:00:00"/>
    <s v="13032024-A-072314"/>
    <d v="2024-03-13T00:00:00"/>
    <x v="0"/>
    <x v="0"/>
    <n v="28785"/>
    <x v="4"/>
    <x v="0"/>
    <n v="5503.201"/>
    <n v="1.3"/>
    <n v="0"/>
    <n v="0"/>
    <x v="1"/>
    <s v="Polyester Staple Fiber"/>
    <n v="10506342.5"/>
    <x v="0"/>
    <n v="1891141.65"/>
    <x v="0"/>
    <m/>
    <m/>
    <x v="0"/>
    <x v="0"/>
    <x v="0"/>
    <x v="0"/>
    <x v="0"/>
    <x v="0"/>
    <m/>
    <x v="0"/>
    <x v="1"/>
    <x v="0"/>
    <x v="0"/>
    <x v="0"/>
    <x v="1"/>
    <n v="364.993659892305"/>
    <n v="65.698858780614898"/>
    <n v="0"/>
    <d v="2024-03-31T00:00:00"/>
    <x v="0"/>
  </r>
  <r>
    <n v="577"/>
    <d v="2024-03-01T00:00:00"/>
    <s v="13032024-A-072326"/>
    <d v="2024-03-13T00:00:00"/>
    <x v="0"/>
    <x v="0"/>
    <n v="27542"/>
    <x v="4"/>
    <x v="0"/>
    <n v="5503.201"/>
    <n v="1.3"/>
    <n v="0"/>
    <n v="0"/>
    <x v="1"/>
    <s v="Polyester Staple Fiber"/>
    <n v="10052830"/>
    <x v="0"/>
    <n v="1809509.4"/>
    <x v="0"/>
    <m/>
    <m/>
    <x v="0"/>
    <x v="0"/>
    <x v="0"/>
    <x v="0"/>
    <x v="0"/>
    <x v="0"/>
    <m/>
    <x v="0"/>
    <x v="1"/>
    <x v="0"/>
    <x v="0"/>
    <x v="0"/>
    <x v="1"/>
    <n v="365"/>
    <n v="65.7"/>
    <n v="0"/>
    <d v="2024-03-31T00:00:00"/>
    <x v="0"/>
  </r>
  <r>
    <n v="578"/>
    <d v="2024-03-01T00:00:00"/>
    <s v="11032024-A-071139"/>
    <d v="2024-03-11T00:00:00"/>
    <x v="0"/>
    <x v="0"/>
    <n v="7463"/>
    <x v="4"/>
    <x v="0"/>
    <n v="5505.1"/>
    <n v="1.63"/>
    <n v="0"/>
    <n v="0"/>
    <x v="20"/>
    <s v="Comber Noil"/>
    <n v="3395665"/>
    <x v="0"/>
    <n v="611219.69999999995"/>
    <x v="0"/>
    <m/>
    <m/>
    <x v="0"/>
    <x v="0"/>
    <x v="0"/>
    <x v="0"/>
    <x v="0"/>
    <x v="0"/>
    <m/>
    <x v="0"/>
    <x v="1"/>
    <x v="0"/>
    <x v="0"/>
    <x v="0"/>
    <x v="9"/>
    <n v="455"/>
    <n v="81.899999999999991"/>
    <n v="0"/>
    <d v="2024-03-31T00:00:00"/>
    <x v="0"/>
  </r>
  <r>
    <n v="579"/>
    <d v="2024-03-01T00:00:00"/>
    <s v="11032024-A-071149"/>
    <d v="2024-03-11T00:00:00"/>
    <x v="0"/>
    <x v="0"/>
    <n v="7683"/>
    <x v="4"/>
    <x v="0"/>
    <n v="5505.1"/>
    <n v="1.63"/>
    <n v="0"/>
    <n v="0"/>
    <x v="20"/>
    <s v="Comber Noil"/>
    <n v="3495765"/>
    <x v="0"/>
    <n v="629237.69999999995"/>
    <x v="0"/>
    <m/>
    <m/>
    <x v="0"/>
    <x v="0"/>
    <x v="0"/>
    <x v="0"/>
    <x v="0"/>
    <x v="0"/>
    <m/>
    <x v="0"/>
    <x v="1"/>
    <x v="0"/>
    <x v="0"/>
    <x v="0"/>
    <x v="9"/>
    <n v="455"/>
    <n v="81.899999999999991"/>
    <n v="0"/>
    <d v="2024-03-31T00:00:00"/>
    <x v="0"/>
  </r>
  <r>
    <n v="580"/>
    <d v="2024-03-01T00:00:00"/>
    <s v="11032024-A-071156"/>
    <d v="2024-03-11T00:00:00"/>
    <x v="0"/>
    <x v="0"/>
    <n v="7423"/>
    <x v="4"/>
    <x v="0"/>
    <n v="5505.1"/>
    <n v="1.63"/>
    <n v="0"/>
    <n v="0"/>
    <x v="20"/>
    <s v="Comber Noil"/>
    <n v="3377465"/>
    <x v="0"/>
    <n v="607943.69999999995"/>
    <x v="0"/>
    <m/>
    <m/>
    <x v="0"/>
    <x v="0"/>
    <x v="0"/>
    <x v="0"/>
    <x v="0"/>
    <x v="0"/>
    <m/>
    <x v="0"/>
    <x v="1"/>
    <x v="0"/>
    <x v="0"/>
    <x v="0"/>
    <x v="9"/>
    <n v="455"/>
    <n v="81.899999999999991"/>
    <n v="0"/>
    <d v="2024-03-31T00:00:00"/>
    <x v="0"/>
  </r>
  <r>
    <n v="581"/>
    <d v="2024-03-01T00:00:00"/>
    <s v="11032024-A-071164"/>
    <d v="2024-03-11T00:00:00"/>
    <x v="0"/>
    <x v="0"/>
    <n v="7473"/>
    <x v="4"/>
    <x v="0"/>
    <n v="5505.1"/>
    <n v="1.63"/>
    <n v="0"/>
    <n v="0"/>
    <x v="20"/>
    <s v="Comber Noil"/>
    <n v="3400215"/>
    <x v="0"/>
    <n v="612038.69999999995"/>
    <x v="0"/>
    <m/>
    <m/>
    <x v="0"/>
    <x v="0"/>
    <x v="0"/>
    <x v="0"/>
    <x v="0"/>
    <x v="0"/>
    <m/>
    <x v="0"/>
    <x v="1"/>
    <x v="0"/>
    <x v="0"/>
    <x v="0"/>
    <x v="9"/>
    <n v="455"/>
    <n v="81.899999999999991"/>
    <n v="0"/>
    <d v="2024-03-31T00:00:00"/>
    <x v="0"/>
  </r>
  <r>
    <n v="582"/>
    <d v="2024-03-01T00:00:00"/>
    <s v="11032024-A-071172"/>
    <d v="2024-03-11T00:00:00"/>
    <x v="0"/>
    <x v="0"/>
    <n v="7653"/>
    <x v="4"/>
    <x v="0"/>
    <n v="5505.1"/>
    <n v="1.63"/>
    <n v="0"/>
    <n v="0"/>
    <x v="20"/>
    <s v="Comber Noil"/>
    <n v="3482115"/>
    <x v="0"/>
    <n v="626780.69999999995"/>
    <x v="0"/>
    <m/>
    <m/>
    <x v="0"/>
    <x v="0"/>
    <x v="0"/>
    <x v="0"/>
    <x v="0"/>
    <x v="0"/>
    <m/>
    <x v="0"/>
    <x v="1"/>
    <x v="0"/>
    <x v="0"/>
    <x v="0"/>
    <x v="9"/>
    <n v="455"/>
    <n v="81.899999999999991"/>
    <n v="0"/>
    <d v="2024-03-31T00:00:00"/>
    <x v="0"/>
  </r>
  <r>
    <n v="583"/>
    <d v="2024-03-01T00:00:00"/>
    <s v="11032024-A-071177"/>
    <d v="2024-03-11T00:00:00"/>
    <x v="0"/>
    <x v="0"/>
    <n v="7431"/>
    <x v="4"/>
    <x v="0"/>
    <n v="5505.1"/>
    <n v="1.63"/>
    <n v="0"/>
    <n v="0"/>
    <x v="20"/>
    <s v="Comber Noil"/>
    <n v="3381105"/>
    <x v="0"/>
    <n v="608598.9"/>
    <x v="0"/>
    <m/>
    <m/>
    <x v="0"/>
    <x v="0"/>
    <x v="0"/>
    <x v="0"/>
    <x v="0"/>
    <x v="0"/>
    <m/>
    <x v="0"/>
    <x v="1"/>
    <x v="0"/>
    <x v="0"/>
    <x v="0"/>
    <x v="9"/>
    <n v="455"/>
    <n v="81.900000000000006"/>
    <n v="0"/>
    <d v="2024-03-31T00:00:00"/>
    <x v="0"/>
  </r>
  <r>
    <n v="584"/>
    <d v="2024-03-01T00:00:00"/>
    <s v="11032024-A-071192"/>
    <d v="2024-03-11T00:00:00"/>
    <x v="0"/>
    <x v="0"/>
    <n v="7690"/>
    <x v="4"/>
    <x v="0"/>
    <n v="5505.1"/>
    <n v="1.63"/>
    <n v="0"/>
    <n v="0"/>
    <x v="20"/>
    <s v="Comber Noil"/>
    <n v="3498950"/>
    <x v="0"/>
    <n v="629811"/>
    <x v="0"/>
    <m/>
    <m/>
    <x v="0"/>
    <x v="0"/>
    <x v="0"/>
    <x v="0"/>
    <x v="0"/>
    <x v="0"/>
    <m/>
    <x v="0"/>
    <x v="1"/>
    <x v="0"/>
    <x v="0"/>
    <x v="0"/>
    <x v="9"/>
    <n v="455"/>
    <n v="81.900000000000006"/>
    <n v="0"/>
    <d v="2024-03-31T00:00:00"/>
    <x v="0"/>
  </r>
  <r>
    <n v="585"/>
    <d v="2024-03-01T00:00:00"/>
    <s v="11032024-A-071205"/>
    <d v="2024-03-11T00:00:00"/>
    <x v="0"/>
    <x v="0"/>
    <n v="7126"/>
    <x v="4"/>
    <x v="0"/>
    <n v="5505.1"/>
    <n v="1.63"/>
    <n v="0"/>
    <n v="0"/>
    <x v="20"/>
    <s v="Comber Noil"/>
    <n v="3242330"/>
    <x v="0"/>
    <n v="583619.4"/>
    <x v="0"/>
    <m/>
    <m/>
    <x v="0"/>
    <x v="0"/>
    <x v="0"/>
    <x v="0"/>
    <x v="0"/>
    <x v="0"/>
    <m/>
    <x v="0"/>
    <x v="1"/>
    <x v="0"/>
    <x v="0"/>
    <x v="0"/>
    <x v="9"/>
    <n v="455"/>
    <n v="81.900000000000006"/>
    <n v="0"/>
    <d v="2024-03-31T00:00:00"/>
    <x v="0"/>
  </r>
  <r>
    <n v="586"/>
    <d v="2024-03-02T00:00:00"/>
    <s v="11032024-A-071215"/>
    <d v="2024-03-11T00:00:00"/>
    <x v="0"/>
    <x v="0"/>
    <n v="7503"/>
    <x v="4"/>
    <x v="0"/>
    <n v="5505.1"/>
    <n v="1.66"/>
    <n v="0"/>
    <n v="0"/>
    <x v="20"/>
    <s v="Comber Noil"/>
    <n v="3488895"/>
    <x v="0"/>
    <n v="628001.1"/>
    <x v="0"/>
    <m/>
    <m/>
    <x v="0"/>
    <x v="0"/>
    <x v="0"/>
    <x v="0"/>
    <x v="0"/>
    <x v="0"/>
    <m/>
    <x v="0"/>
    <x v="1"/>
    <x v="0"/>
    <x v="0"/>
    <x v="0"/>
    <x v="9"/>
    <n v="465"/>
    <n v="83.7"/>
    <n v="0"/>
    <d v="2024-04-01T00:00:00"/>
    <x v="0"/>
  </r>
  <r>
    <n v="587"/>
    <d v="2024-03-02T00:00:00"/>
    <s v="11032024-A-071224"/>
    <d v="2024-03-11T00:00:00"/>
    <x v="0"/>
    <x v="0"/>
    <n v="7643"/>
    <x v="4"/>
    <x v="0"/>
    <n v="5505.1"/>
    <n v="1.66"/>
    <n v="0"/>
    <n v="0"/>
    <x v="20"/>
    <s v="Comber Noil"/>
    <n v="3553995"/>
    <x v="0"/>
    <n v="639719.1"/>
    <x v="0"/>
    <m/>
    <m/>
    <x v="0"/>
    <x v="0"/>
    <x v="0"/>
    <x v="0"/>
    <x v="0"/>
    <x v="0"/>
    <m/>
    <x v="0"/>
    <x v="1"/>
    <x v="0"/>
    <x v="0"/>
    <x v="0"/>
    <x v="9"/>
    <n v="465"/>
    <n v="83.7"/>
    <n v="0"/>
    <d v="2024-04-01T00:00:00"/>
    <x v="0"/>
  </r>
  <r>
    <n v="588"/>
    <d v="2024-03-05T00:00:00"/>
    <s v="13032024-A-072205"/>
    <d v="2024-03-13T00:00:00"/>
    <x v="0"/>
    <x v="0"/>
    <n v="7730"/>
    <x v="4"/>
    <x v="0"/>
    <n v="5505.1"/>
    <n v="1.66"/>
    <n v="0"/>
    <n v="0"/>
    <x v="20"/>
    <s v="Comber Noil"/>
    <n v="3594450"/>
    <x v="0"/>
    <n v="647001"/>
    <x v="0"/>
    <m/>
    <m/>
    <x v="0"/>
    <x v="0"/>
    <x v="0"/>
    <x v="0"/>
    <x v="0"/>
    <x v="0"/>
    <m/>
    <x v="0"/>
    <x v="1"/>
    <x v="0"/>
    <x v="0"/>
    <x v="0"/>
    <x v="9"/>
    <n v="465"/>
    <n v="83.7"/>
    <n v="0"/>
    <d v="2024-04-04T00:00:00"/>
    <x v="0"/>
  </r>
  <r>
    <n v="589"/>
    <d v="2024-03-05T00:00:00"/>
    <s v="13032024-A-072225"/>
    <d v="2024-03-13T00:00:00"/>
    <x v="0"/>
    <x v="0"/>
    <n v="7096"/>
    <x v="4"/>
    <x v="0"/>
    <n v="5505.1"/>
    <n v="1.66"/>
    <n v="0"/>
    <n v="0"/>
    <x v="20"/>
    <s v="Comber Noil"/>
    <n v="3299640"/>
    <x v="0"/>
    <n v="593935.19999999995"/>
    <x v="0"/>
    <m/>
    <m/>
    <x v="0"/>
    <x v="0"/>
    <x v="0"/>
    <x v="0"/>
    <x v="0"/>
    <x v="0"/>
    <m/>
    <x v="0"/>
    <x v="1"/>
    <x v="0"/>
    <x v="0"/>
    <x v="0"/>
    <x v="9"/>
    <n v="465"/>
    <n v="83.699999999999989"/>
    <n v="0"/>
    <d v="2024-04-04T00:00:00"/>
    <x v="0"/>
  </r>
  <r>
    <n v="590"/>
    <d v="2024-03-06T00:00:00"/>
    <s v="13032024-A-072233"/>
    <d v="2024-03-13T00:00:00"/>
    <x v="0"/>
    <x v="0"/>
    <n v="7653"/>
    <x v="4"/>
    <x v="0"/>
    <n v="5505.1"/>
    <n v="1.66"/>
    <n v="0"/>
    <n v="0"/>
    <x v="20"/>
    <s v="Comber Noil"/>
    <n v="3558645"/>
    <x v="0"/>
    <n v="640556.1"/>
    <x v="0"/>
    <m/>
    <m/>
    <x v="0"/>
    <x v="0"/>
    <x v="0"/>
    <x v="0"/>
    <x v="0"/>
    <x v="0"/>
    <m/>
    <x v="0"/>
    <x v="1"/>
    <x v="0"/>
    <x v="0"/>
    <x v="0"/>
    <x v="9"/>
    <n v="465"/>
    <n v="83.7"/>
    <n v="0"/>
    <d v="2024-04-05T00:00:00"/>
    <x v="0"/>
  </r>
  <r>
    <n v="591"/>
    <d v="2024-03-06T00:00:00"/>
    <s v="13032024-A-072241"/>
    <d v="2024-03-13T00:00:00"/>
    <x v="0"/>
    <x v="0"/>
    <n v="7216"/>
    <x v="4"/>
    <x v="0"/>
    <n v="5505.1"/>
    <n v="1.66"/>
    <n v="0"/>
    <n v="0"/>
    <x v="20"/>
    <s v="Comber Noil"/>
    <n v="3355440"/>
    <x v="0"/>
    <n v="603979.19999999995"/>
    <x v="0"/>
    <m/>
    <m/>
    <x v="0"/>
    <x v="0"/>
    <x v="0"/>
    <x v="0"/>
    <x v="0"/>
    <x v="0"/>
    <m/>
    <x v="0"/>
    <x v="1"/>
    <x v="0"/>
    <x v="0"/>
    <x v="0"/>
    <x v="9"/>
    <n v="465"/>
    <n v="83.699999999999989"/>
    <n v="0"/>
    <d v="2024-04-05T00:00:00"/>
    <x v="0"/>
  </r>
  <r>
    <n v="592"/>
    <d v="2024-03-09T00:00:00"/>
    <s v="13032024-A-072247"/>
    <d v="2024-03-13T00:00:00"/>
    <x v="0"/>
    <x v="0"/>
    <n v="7730"/>
    <x v="4"/>
    <x v="0"/>
    <n v="5505.1"/>
    <n v="1.66"/>
    <n v="0"/>
    <n v="0"/>
    <x v="20"/>
    <s v="Comber Noil"/>
    <n v="3594450"/>
    <x v="0"/>
    <n v="647001"/>
    <x v="0"/>
    <m/>
    <m/>
    <x v="0"/>
    <x v="0"/>
    <x v="0"/>
    <x v="0"/>
    <x v="0"/>
    <x v="0"/>
    <m/>
    <x v="0"/>
    <x v="1"/>
    <x v="0"/>
    <x v="0"/>
    <x v="0"/>
    <x v="9"/>
    <n v="465"/>
    <n v="83.7"/>
    <n v="0"/>
    <d v="2024-04-08T00:00:00"/>
    <x v="0"/>
  </r>
  <r>
    <n v="593"/>
    <d v="2024-03-09T00:00:00"/>
    <s v="13032024-A-072261"/>
    <d v="2024-03-13T00:00:00"/>
    <x v="0"/>
    <x v="0"/>
    <n v="7294"/>
    <x v="4"/>
    <x v="0"/>
    <n v="5505.1"/>
    <n v="1.66"/>
    <n v="0"/>
    <n v="0"/>
    <x v="20"/>
    <s v="Comber Noil"/>
    <n v="3391710"/>
    <x v="0"/>
    <n v="610507.79999999993"/>
    <x v="0"/>
    <m/>
    <m/>
    <x v="0"/>
    <x v="0"/>
    <x v="0"/>
    <x v="0"/>
    <x v="0"/>
    <x v="0"/>
    <m/>
    <x v="0"/>
    <x v="1"/>
    <x v="0"/>
    <x v="0"/>
    <x v="0"/>
    <x v="9"/>
    <n v="465"/>
    <n v="83.699999999999989"/>
    <n v="0"/>
    <d v="2024-04-08T00:00:00"/>
    <x v="0"/>
  </r>
  <r>
    <n v="594"/>
    <d v="2024-03-01T00:00:00"/>
    <s v="16032024-A-073979"/>
    <d v="2024-03-16T00:00:00"/>
    <x v="0"/>
    <x v="0"/>
    <n v="600"/>
    <x v="4"/>
    <x v="0"/>
    <n v="3809.9189999999999"/>
    <n v="1.88"/>
    <n v="0"/>
    <n v="0"/>
    <x v="12"/>
    <s v="RUCOFIN SIQ"/>
    <n v="315000"/>
    <x v="0"/>
    <n v="56700"/>
    <x v="0"/>
    <m/>
    <m/>
    <x v="0"/>
    <x v="0"/>
    <x v="0"/>
    <x v="6"/>
    <x v="0"/>
    <x v="0"/>
    <m/>
    <x v="0"/>
    <x v="1"/>
    <x v="0"/>
    <x v="0"/>
    <x v="0"/>
    <x v="5"/>
    <n v="525"/>
    <n v="94.5"/>
    <n v="0"/>
    <d v="2024-03-31T00:00:00"/>
    <x v="0"/>
  </r>
  <r>
    <n v="595"/>
    <d v="2024-03-01T00:00:00"/>
    <s v="16032024-A-073985"/>
    <d v="2024-03-16T00:00:00"/>
    <x v="0"/>
    <x v="1"/>
    <n v="19910"/>
    <x v="4"/>
    <x v="0"/>
    <n v="2815.12"/>
    <n v="0.28000000000000003"/>
    <n v="19910"/>
    <n v="19910"/>
    <x v="12"/>
    <s v="CAUSTIC SODA LIQUID"/>
    <n v="1562935"/>
    <x v="0"/>
    <n v="281328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328.3"/>
    <d v="2024-03-31T00:00:00"/>
    <x v="0"/>
  </r>
  <r>
    <n v="596"/>
    <d v="2024-03-01T00:00:00"/>
    <s v="16032024-A-073990"/>
    <d v="2024-03-16T00:00:00"/>
    <x v="0"/>
    <x v="1"/>
    <n v="19920"/>
    <x v="4"/>
    <x v="0"/>
    <n v="2815.12"/>
    <n v="0.28000000000000003"/>
    <n v="19920"/>
    <n v="19920"/>
    <x v="12"/>
    <s v="CAUSTIC SODA LIQUID"/>
    <n v="1563720"/>
    <x v="0"/>
    <n v="281469.5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469.59999999998"/>
    <d v="2024-03-31T00:00:00"/>
    <x v="0"/>
  </r>
  <r>
    <n v="597"/>
    <d v="2024-03-01T00:00:00"/>
    <s v="16032024-A-073993"/>
    <d v="2024-03-16T00:00:00"/>
    <x v="0"/>
    <x v="1"/>
    <n v="29900"/>
    <x v="4"/>
    <x v="0"/>
    <n v="2815.12"/>
    <n v="0.28000000000000003"/>
    <n v="29900"/>
    <n v="29900"/>
    <x v="12"/>
    <s v="CAUSTIC SODA LIQUID"/>
    <n v="2347150"/>
    <x v="0"/>
    <n v="422487"/>
    <x v="0"/>
    <m/>
    <m/>
    <x v="0"/>
    <x v="0"/>
    <x v="0"/>
    <x v="0"/>
    <x v="0"/>
    <x v="0"/>
    <m/>
    <x v="0"/>
    <x v="1"/>
    <x v="0"/>
    <x v="0"/>
    <x v="0"/>
    <x v="5"/>
    <n v="78.5"/>
    <n v="14.13"/>
    <n v="422487"/>
    <d v="2024-03-31T00:00:00"/>
    <x v="0"/>
  </r>
  <r>
    <n v="598"/>
    <d v="2024-03-04T00:00:00"/>
    <s v="16032024-A-073995"/>
    <d v="2024-03-16T00:00:00"/>
    <x v="0"/>
    <x v="1"/>
    <n v="29890"/>
    <x v="4"/>
    <x v="0"/>
    <n v="2815.12"/>
    <n v="0.28000000000000003"/>
    <n v="29890"/>
    <n v="29890"/>
    <x v="12"/>
    <s v="CAUSTIC SODA LIQUID"/>
    <n v="2346365"/>
    <x v="0"/>
    <n v="422345.7"/>
    <x v="0"/>
    <m/>
    <m/>
    <x v="0"/>
    <x v="0"/>
    <x v="0"/>
    <x v="0"/>
    <x v="0"/>
    <x v="0"/>
    <m/>
    <x v="0"/>
    <x v="1"/>
    <x v="0"/>
    <x v="0"/>
    <x v="0"/>
    <x v="5"/>
    <n v="78.5"/>
    <n v="14.13"/>
    <n v="422345.7"/>
    <d v="2024-04-03T00:00:00"/>
    <x v="0"/>
  </r>
  <r>
    <n v="599"/>
    <d v="2024-03-04T00:00:00"/>
    <s v="16032024-A-073997"/>
    <d v="2024-03-16T00:00:00"/>
    <x v="0"/>
    <x v="1"/>
    <n v="29890"/>
    <x v="4"/>
    <x v="0"/>
    <n v="2815.12"/>
    <n v="0.28000000000000003"/>
    <n v="29890"/>
    <n v="29890"/>
    <x v="12"/>
    <s v="CAUSTIC SODA LIQUID"/>
    <n v="2346365"/>
    <x v="0"/>
    <n v="422345.7"/>
    <x v="0"/>
    <m/>
    <m/>
    <x v="0"/>
    <x v="0"/>
    <x v="0"/>
    <x v="0"/>
    <x v="0"/>
    <x v="0"/>
    <m/>
    <x v="0"/>
    <x v="1"/>
    <x v="0"/>
    <x v="0"/>
    <x v="0"/>
    <x v="5"/>
    <n v="78.5"/>
    <n v="14.13"/>
    <n v="422345.7"/>
    <d v="2024-04-03T00:00:00"/>
    <x v="0"/>
  </r>
  <r>
    <n v="600"/>
    <d v="2024-03-01T00:00:00"/>
    <s v="16032024-A-074002"/>
    <d v="2024-03-16T00:00:00"/>
    <x v="0"/>
    <x v="0"/>
    <n v="600"/>
    <x v="4"/>
    <x v="0"/>
    <n v="2904.2089999999998"/>
    <n v="0.89"/>
    <n v="0"/>
    <n v="0"/>
    <x v="12"/>
    <s v="REVATOL S LIQUID"/>
    <n v="150000"/>
    <x v="0"/>
    <n v="27000"/>
    <x v="0"/>
    <m/>
    <m/>
    <x v="0"/>
    <x v="0"/>
    <x v="0"/>
    <x v="0"/>
    <x v="0"/>
    <x v="0"/>
    <m/>
    <x v="0"/>
    <x v="1"/>
    <x v="0"/>
    <x v="0"/>
    <x v="0"/>
    <x v="5"/>
    <n v="250"/>
    <n v="45"/>
    <n v="0"/>
    <d v="2024-03-31T00:00:00"/>
    <x v="0"/>
  </r>
  <r>
    <n v="601"/>
    <d v="2024-03-01T00:00:00"/>
    <s v="16032024-A-074005"/>
    <d v="2024-03-16T00:00:00"/>
    <x v="0"/>
    <x v="0"/>
    <n v="60"/>
    <x v="4"/>
    <x v="0"/>
    <n v="3204.172"/>
    <n v="10.18"/>
    <n v="0"/>
    <n v="0"/>
    <x v="5"/>
    <s v="PRINTOFIX PINK H-5BL"/>
    <n v="171000"/>
    <x v="0"/>
    <n v="30780"/>
    <x v="0"/>
    <m/>
    <m/>
    <x v="0"/>
    <x v="0"/>
    <x v="0"/>
    <x v="4"/>
    <x v="0"/>
    <x v="0"/>
    <m/>
    <x v="0"/>
    <x v="1"/>
    <x v="0"/>
    <x v="0"/>
    <x v="0"/>
    <x v="4"/>
    <n v="2850"/>
    <n v="513"/>
    <n v="0"/>
    <d v="2024-03-31T00:00:00"/>
    <x v="0"/>
  </r>
  <r>
    <n v="602"/>
    <d v="2024-03-02T00:00:00"/>
    <s v="16032024-A-074009"/>
    <d v="2024-03-16T00:00:00"/>
    <x v="0"/>
    <x v="0"/>
    <n v="1500"/>
    <x v="4"/>
    <x v="0"/>
    <n v="3204.2"/>
    <n v="1.8"/>
    <n v="0"/>
    <n v="0"/>
    <x v="5"/>
    <s v="LEUCOPHOR BMF LIQUID"/>
    <n v="757500"/>
    <x v="0"/>
    <n v="13635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4-01T00:00:00"/>
    <x v="0"/>
  </r>
  <r>
    <n v="603"/>
    <d v="2024-03-03T00:00:00"/>
    <s v="16032024-A-074012"/>
    <d v="2024-03-16T00:00:00"/>
    <x v="0"/>
    <x v="0"/>
    <n v="1200"/>
    <x v="4"/>
    <x v="0"/>
    <n v="3204.2"/>
    <n v="1.8"/>
    <n v="0"/>
    <n v="0"/>
    <x v="5"/>
    <s v="LEUCOPHOR BMF LIQUID"/>
    <n v="606000"/>
    <x v="0"/>
    <n v="10908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4-02T00:00:00"/>
    <x v="0"/>
  </r>
  <r>
    <n v="604"/>
    <d v="2024-03-03T00:00:00"/>
    <s v="16032024-A-074015"/>
    <d v="2024-03-16T00:00:00"/>
    <x v="0"/>
    <x v="0"/>
    <n v="500"/>
    <x v="4"/>
    <x v="0"/>
    <n v="3204.2"/>
    <n v="1.8"/>
    <n v="0"/>
    <n v="0"/>
    <x v="5"/>
    <s v="LEUCOPHOR BMF LIQUID"/>
    <n v="252500"/>
    <x v="0"/>
    <n v="4545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4-02T00:00:00"/>
    <x v="0"/>
  </r>
  <r>
    <n v="605"/>
    <d v="2024-03-01T00:00:00"/>
    <s v="16032024-A-074017"/>
    <d v="2024-03-16T00:00:00"/>
    <x v="0"/>
    <x v="0"/>
    <n v="1020"/>
    <x v="4"/>
    <x v="0"/>
    <n v="3204.172"/>
    <n v="4.07"/>
    <n v="0"/>
    <n v="0"/>
    <x v="5"/>
    <s v="FAVOPRINT BLUE AFFR"/>
    <n v="1162800"/>
    <x v="0"/>
    <n v="209304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3-31T00:00:00"/>
    <x v="0"/>
  </r>
  <r>
    <n v="606"/>
    <d v="2024-03-01T00:00:00"/>
    <s v="16032024-A-074019"/>
    <d v="2024-03-16T00:00:00"/>
    <x v="0"/>
    <x v="0"/>
    <n v="300"/>
    <x v="4"/>
    <x v="0"/>
    <n v="3204.172"/>
    <n v="4.07"/>
    <n v="0"/>
    <n v="0"/>
    <x v="5"/>
    <s v="FAVOPRINT BLUE AFFR"/>
    <n v="342000"/>
    <x v="0"/>
    <n v="61560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3-31T00:00:00"/>
    <x v="0"/>
  </r>
  <r>
    <n v="607"/>
    <d v="2024-03-01T00:00:00"/>
    <s v="16032024-A-074022"/>
    <d v="2024-03-16T00:00:00"/>
    <x v="0"/>
    <x v="0"/>
    <n v="250"/>
    <x v="4"/>
    <x v="0"/>
    <n v="3507.9"/>
    <n v="12.5"/>
    <n v="0"/>
    <n v="0"/>
    <x v="12"/>
    <s v="AQUAZYM AD"/>
    <n v="875000"/>
    <x v="0"/>
    <n v="1575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3-31T00:00:00"/>
    <x v="0"/>
  </r>
  <r>
    <n v="608"/>
    <d v="2024-03-01T00:00:00"/>
    <s v="16032024-A-074024"/>
    <d v="2024-03-16T00:00:00"/>
    <x v="0"/>
    <x v="0"/>
    <n v="480"/>
    <x v="4"/>
    <x v="0"/>
    <n v="3809.9189999999999"/>
    <n v="5"/>
    <n v="0"/>
    <n v="0"/>
    <x v="12"/>
    <s v="PRODER M.A.C NUEVO"/>
    <n v="672000"/>
    <x v="0"/>
    <n v="120960"/>
    <x v="0"/>
    <m/>
    <m/>
    <x v="0"/>
    <x v="0"/>
    <x v="0"/>
    <x v="6"/>
    <x v="0"/>
    <x v="0"/>
    <m/>
    <x v="0"/>
    <x v="1"/>
    <x v="0"/>
    <x v="0"/>
    <x v="0"/>
    <x v="5"/>
    <n v="1400"/>
    <n v="252"/>
    <n v="0"/>
    <d v="2024-03-31T00:00:00"/>
    <x v="0"/>
  </r>
  <r>
    <n v="609"/>
    <d v="2024-03-01T00:00:00"/>
    <s v="16032024-A-074026"/>
    <d v="2024-03-16T00:00:00"/>
    <x v="0"/>
    <x v="0"/>
    <n v="12500"/>
    <x v="4"/>
    <x v="0"/>
    <n v="2501.009"/>
    <n v="0.03"/>
    <n v="0"/>
    <n v="0"/>
    <x v="12"/>
    <s v="REFINED LAKE SALT"/>
    <n v="105625"/>
    <x v="0"/>
    <n v="19012.5"/>
    <x v="0"/>
    <m/>
    <m/>
    <x v="0"/>
    <x v="0"/>
    <x v="0"/>
    <x v="0"/>
    <x v="0"/>
    <x v="0"/>
    <m/>
    <x v="0"/>
    <x v="1"/>
    <x v="0"/>
    <x v="0"/>
    <x v="0"/>
    <x v="5"/>
    <n v="8.4499999999999993"/>
    <n v="1.5209999999999999"/>
    <n v="0"/>
    <d v="2024-03-31T00:00:00"/>
    <x v="0"/>
  </r>
  <r>
    <n v="610"/>
    <d v="2024-03-01T00:00:00"/>
    <s v="16032024-A-074029"/>
    <d v="2024-03-16T00:00:00"/>
    <x v="0"/>
    <x v="0"/>
    <n v="7500"/>
    <x v="4"/>
    <x v="0"/>
    <n v="2501.009"/>
    <n v="0.03"/>
    <n v="0"/>
    <n v="0"/>
    <x v="12"/>
    <s v="REFINED LAKE SALT"/>
    <n v="63375"/>
    <x v="0"/>
    <n v="11407.5"/>
    <x v="0"/>
    <m/>
    <m/>
    <x v="0"/>
    <x v="0"/>
    <x v="0"/>
    <x v="5"/>
    <x v="0"/>
    <x v="0"/>
    <m/>
    <x v="0"/>
    <x v="1"/>
    <x v="0"/>
    <x v="0"/>
    <x v="0"/>
    <x v="5"/>
    <n v="8.4499999999999993"/>
    <n v="1.5209999999999999"/>
    <n v="0"/>
    <d v="2024-03-31T00:00:00"/>
    <x v="0"/>
  </r>
  <r>
    <n v="611"/>
    <d v="2024-03-01T00:00:00"/>
    <s v="16032024-A-074031"/>
    <d v="2024-03-1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3-31T00:00:00"/>
    <x v="0"/>
  </r>
  <r>
    <n v="612"/>
    <d v="2024-03-01T00:00:00"/>
    <s v="16032024-A-074032"/>
    <d v="2024-03-1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3-31T00:00:00"/>
    <x v="0"/>
  </r>
  <r>
    <n v="613"/>
    <d v="2024-03-03T00:00:00"/>
    <s v="16032024-A-074033"/>
    <d v="2024-03-1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4-02T00:00:00"/>
    <x v="0"/>
  </r>
  <r>
    <n v="614"/>
    <d v="2024-03-12T00:00:00"/>
    <s v="29032024-A-078648"/>
    <d v="2024-03-29T00:00:00"/>
    <x v="0"/>
    <x v="0"/>
    <n v="14010"/>
    <x v="4"/>
    <x v="0"/>
    <n v="5208.1899999999996"/>
    <n v="4.49"/>
    <n v="0"/>
    <n v="0"/>
    <x v="14"/>
    <s v="40/1 Cotton Fabric Grey"/>
    <n v="17623590"/>
    <x v="0"/>
    <n v="3172246.1999999997"/>
    <x v="0"/>
    <m/>
    <m/>
    <x v="0"/>
    <x v="0"/>
    <x v="0"/>
    <x v="0"/>
    <x v="0"/>
    <x v="0"/>
    <m/>
    <x v="0"/>
    <x v="1"/>
    <x v="0"/>
    <x v="0"/>
    <x v="0"/>
    <x v="2"/>
    <n v="1257.9293361884368"/>
    <n v="226.42728051391862"/>
    <n v="0"/>
    <d v="2024-04-11T00:00:00"/>
    <x v="0"/>
  </r>
  <r>
    <n v="615"/>
    <d v="2024-03-24T00:00:00"/>
    <s v="29032024-A-078661"/>
    <d v="2024-03-29T00:00:00"/>
    <x v="0"/>
    <x v="0"/>
    <n v="10973"/>
    <x v="4"/>
    <x v="0"/>
    <n v="5208.1899999999996"/>
    <n v="4.4400000000000004"/>
    <n v="0"/>
    <n v="0"/>
    <x v="14"/>
    <s v="40/1 Cotton Fabric Grey"/>
    <n v="13653030"/>
    <x v="0"/>
    <n v="2457545.4"/>
    <x v="0"/>
    <m/>
    <m/>
    <x v="0"/>
    <x v="0"/>
    <x v="0"/>
    <x v="0"/>
    <x v="0"/>
    <x v="0"/>
    <m/>
    <x v="0"/>
    <x v="1"/>
    <x v="0"/>
    <x v="0"/>
    <x v="0"/>
    <x v="2"/>
    <n v="1244.2385856192473"/>
    <n v="223.96294541146449"/>
    <n v="0"/>
    <d v="2024-04-23T00:00:00"/>
    <x v="0"/>
  </r>
  <r>
    <n v="616"/>
    <d v="2024-03-01T00:00:00"/>
    <s v="29032024-A-078662"/>
    <d v="2024-03-29T00:00:00"/>
    <x v="0"/>
    <x v="0"/>
    <n v="12558"/>
    <x v="4"/>
    <x v="0"/>
    <n v="5208.1899999999996"/>
    <n v="4.51"/>
    <n v="0"/>
    <n v="0"/>
    <x v="14"/>
    <s v="40/1 Cotton Fabric Grey"/>
    <n v="15862148"/>
    <x v="0"/>
    <n v="2855186.6399999997"/>
    <x v="0"/>
    <m/>
    <m/>
    <x v="0"/>
    <x v="0"/>
    <x v="0"/>
    <x v="0"/>
    <x v="0"/>
    <x v="0"/>
    <m/>
    <x v="0"/>
    <x v="1"/>
    <x v="0"/>
    <x v="0"/>
    <x v="0"/>
    <x v="2"/>
    <n v="1263.1110049370918"/>
    <n v="227.35998088867652"/>
    <n v="0"/>
    <d v="2024-03-31T00:00:00"/>
    <x v="0"/>
  </r>
  <r>
    <n v="617"/>
    <d v="2024-03-07T00:00:00"/>
    <s v="29032024-A-078667"/>
    <d v="2024-03-29T00:00:00"/>
    <x v="0"/>
    <x v="0"/>
    <n v="10931"/>
    <x v="4"/>
    <x v="0"/>
    <n v="5210.1099999999997"/>
    <n v="3.59"/>
    <n v="0"/>
    <n v="0"/>
    <x v="2"/>
    <s v="CVC60:40 - 40/1 Fabric"/>
    <n v="10980000"/>
    <x v="0"/>
    <n v="1976400"/>
    <x v="0"/>
    <m/>
    <m/>
    <x v="0"/>
    <x v="0"/>
    <x v="0"/>
    <x v="5"/>
    <x v="0"/>
    <x v="0"/>
    <m/>
    <x v="0"/>
    <x v="1"/>
    <x v="0"/>
    <x v="0"/>
    <x v="0"/>
    <x v="2"/>
    <n v="1004.4826639831672"/>
    <n v="180.8068795169701"/>
    <n v="0"/>
    <d v="2024-04-06T00:00:00"/>
    <x v="0"/>
  </r>
  <r>
    <n v="618"/>
    <d v="2024-03-15T00:00:00"/>
    <s v="29032024-A-078677"/>
    <d v="2024-03-29T00:00:00"/>
    <x v="0"/>
    <x v="0"/>
    <n v="1769"/>
    <x v="4"/>
    <x v="0"/>
    <n v="5205.22"/>
    <n v="3.23"/>
    <n v="0"/>
    <n v="0"/>
    <x v="10"/>
    <s v="20/1 Cotton Yarn 3900LBS)"/>
    <n v="1599000"/>
    <x v="0"/>
    <n v="287820"/>
    <x v="0"/>
    <m/>
    <m/>
    <x v="0"/>
    <x v="0"/>
    <x v="0"/>
    <x v="0"/>
    <x v="0"/>
    <x v="0"/>
    <m/>
    <x v="0"/>
    <x v="1"/>
    <x v="0"/>
    <x v="0"/>
    <x v="0"/>
    <x v="3"/>
    <n v="903.90050876201246"/>
    <n v="162.70209157716224"/>
    <n v="0"/>
    <d v="2024-04-14T00:00:00"/>
    <x v="0"/>
  </r>
  <r>
    <n v="619"/>
    <d v="2024-03-29T00:00:00"/>
    <s v="29032024-A-078686"/>
    <d v="2024-03-29T00:00:00"/>
    <x v="0"/>
    <x v="0"/>
    <n v="5280"/>
    <x v="4"/>
    <x v="0"/>
    <n v="5402.33"/>
    <n v="1.61"/>
    <n v="0"/>
    <n v="0"/>
    <x v="6"/>
    <s v="200/48 DTY POLYESTER YARN"/>
    <n v="2387100"/>
    <x v="0"/>
    <n v="429678"/>
    <x v="0"/>
    <m/>
    <m/>
    <x v="0"/>
    <x v="0"/>
    <x v="0"/>
    <x v="0"/>
    <x v="0"/>
    <x v="0"/>
    <m/>
    <x v="0"/>
    <x v="1"/>
    <x v="0"/>
    <x v="0"/>
    <x v="0"/>
    <x v="3"/>
    <n v="452.10227272727275"/>
    <n v="81.378409090909088"/>
    <n v="0"/>
    <d v="2024-04-28T00:00:00"/>
    <x v="0"/>
  </r>
  <r>
    <n v="620"/>
    <d v="2024-03-09T00:00:00"/>
    <s v="29032024-A-078696"/>
    <d v="2024-03-29T00:00:00"/>
    <x v="0"/>
    <x v="0"/>
    <n v="3992"/>
    <x v="4"/>
    <x v="0"/>
    <n v="5206.12"/>
    <n v="1.82"/>
    <n v="0"/>
    <n v="0"/>
    <x v="3"/>
    <s v="PC65:35 16/1 (8800 LBS)"/>
    <n v="2032800"/>
    <x v="0"/>
    <n v="365904"/>
    <x v="0"/>
    <m/>
    <m/>
    <x v="0"/>
    <x v="0"/>
    <x v="0"/>
    <x v="0"/>
    <x v="0"/>
    <x v="0"/>
    <m/>
    <x v="0"/>
    <x v="1"/>
    <x v="0"/>
    <x v="0"/>
    <x v="0"/>
    <x v="3"/>
    <n v="509.21843687374752"/>
    <n v="91.659318637274552"/>
    <n v="0"/>
    <d v="2024-04-08T00:00:00"/>
    <x v="0"/>
  </r>
  <r>
    <n v="621"/>
    <d v="2024-03-09T00:00:00"/>
    <s v="29032024-A-078700"/>
    <d v="2024-03-29T00:00:00"/>
    <x v="0"/>
    <x v="0"/>
    <n v="862"/>
    <x v="4"/>
    <x v="0"/>
    <n v="5206.12"/>
    <n v="1.97"/>
    <n v="0"/>
    <n v="0"/>
    <x v="3"/>
    <s v="PC65:35 20/1 (1900 LBS)"/>
    <n v="475000"/>
    <x v="0"/>
    <n v="85500"/>
    <x v="0"/>
    <m/>
    <m/>
    <x v="0"/>
    <x v="0"/>
    <x v="0"/>
    <x v="0"/>
    <x v="0"/>
    <x v="0"/>
    <m/>
    <x v="0"/>
    <x v="1"/>
    <x v="0"/>
    <x v="0"/>
    <x v="0"/>
    <x v="3"/>
    <n v="551.04408352668213"/>
    <n v="99.187935034802791"/>
    <n v="0"/>
    <d v="2024-04-08T00:00:00"/>
    <x v="0"/>
  </r>
  <r>
    <n v="622"/>
    <d v="2024-03-01T00:00:00"/>
    <s v="29032024-A-078704"/>
    <d v="2024-03-29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6"/>
    <x v="0"/>
    <x v="0"/>
    <m/>
    <x v="0"/>
    <x v="1"/>
    <x v="0"/>
    <x v="0"/>
    <x v="0"/>
    <x v="3"/>
    <n v="509.25925925925924"/>
    <n v="91.666666666666671"/>
    <n v="0"/>
    <d v="2024-03-31T00:00:00"/>
    <x v="0"/>
  </r>
  <r>
    <n v="623"/>
    <d v="2024-03-01T00:00:00"/>
    <s v="29032024-A-078713"/>
    <d v="2024-03-29T00:00:00"/>
    <x v="0"/>
    <x v="0"/>
    <n v="4536"/>
    <x v="4"/>
    <x v="0"/>
    <n v="5206.12"/>
    <n v="1.91"/>
    <n v="0"/>
    <n v="0"/>
    <x v="3"/>
    <s v="PC65:35 20/1 (10000 LBS)"/>
    <n v="2430000"/>
    <x v="0"/>
    <n v="437400"/>
    <x v="0"/>
    <m/>
    <m/>
    <x v="0"/>
    <x v="0"/>
    <x v="0"/>
    <x v="0"/>
    <x v="0"/>
    <x v="0"/>
    <m/>
    <x v="0"/>
    <x v="1"/>
    <x v="0"/>
    <x v="0"/>
    <x v="0"/>
    <x v="3"/>
    <n v="535.71428571428567"/>
    <n v="96.428571428571431"/>
    <n v="0"/>
    <d v="2024-03-31T00:00:00"/>
    <x v="0"/>
  </r>
  <r>
    <n v="624"/>
    <d v="2024-03-01T00:00:00"/>
    <s v="29032024-A-078722"/>
    <d v="2024-03-29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3-31T00:00:00"/>
    <x v="0"/>
  </r>
  <r>
    <n v="625"/>
    <d v="2024-03-01T00:00:00"/>
    <s v="29032024-A-078730"/>
    <d v="2024-03-29T00:00:00"/>
    <x v="0"/>
    <x v="0"/>
    <n v="3221"/>
    <x v="4"/>
    <x v="0"/>
    <n v="5206.12"/>
    <n v="1.91"/>
    <n v="0"/>
    <n v="0"/>
    <x v="3"/>
    <s v="PC65:35 20/1 (7100 LBS)"/>
    <n v="1725300"/>
    <x v="0"/>
    <n v="310554"/>
    <x v="0"/>
    <m/>
    <m/>
    <x v="0"/>
    <x v="0"/>
    <x v="0"/>
    <x v="0"/>
    <x v="0"/>
    <x v="0"/>
    <m/>
    <x v="0"/>
    <x v="1"/>
    <x v="0"/>
    <x v="0"/>
    <x v="0"/>
    <x v="3"/>
    <n v="535.6411052468178"/>
    <n v="96.415398944427196"/>
    <n v="0"/>
    <d v="2024-03-31T00:00:00"/>
    <x v="0"/>
  </r>
  <r>
    <n v="626"/>
    <d v="2024-03-01T00:00:00"/>
    <s v="29032024-A-078735"/>
    <d v="2024-03-29T00:00:00"/>
    <x v="0"/>
    <x v="0"/>
    <n v="1315"/>
    <x v="4"/>
    <x v="0"/>
    <n v="5206.12"/>
    <n v="1.97"/>
    <n v="0"/>
    <n v="0"/>
    <x v="3"/>
    <s v="PC65:35 20/1 (2900 LBS)"/>
    <n v="725000"/>
    <x v="0"/>
    <n v="130500"/>
    <x v="0"/>
    <m/>
    <m/>
    <x v="0"/>
    <x v="0"/>
    <x v="0"/>
    <x v="0"/>
    <x v="0"/>
    <x v="0"/>
    <m/>
    <x v="0"/>
    <x v="1"/>
    <x v="0"/>
    <x v="0"/>
    <x v="0"/>
    <x v="3"/>
    <n v="551.33079847908743"/>
    <n v="99.239543726235738"/>
    <n v="0"/>
    <d v="2024-03-31T00:00:00"/>
    <x v="0"/>
  </r>
  <r>
    <n v="627"/>
    <d v="2024-03-04T00:00:00"/>
    <s v="29032024-A-078740"/>
    <d v="2024-03-29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4-03T00:00:00"/>
    <x v="0"/>
  </r>
  <r>
    <n v="628"/>
    <d v="2024-03-04T00:00:00"/>
    <s v="29032024-A-078744"/>
    <d v="2024-03-29T00:00:00"/>
    <x v="0"/>
    <x v="0"/>
    <n v="4536"/>
    <x v="4"/>
    <x v="0"/>
    <n v="5206.12"/>
    <n v="1.97"/>
    <n v="0"/>
    <n v="0"/>
    <x v="3"/>
    <s v="PC65:35 20/1 (10000 LBS)"/>
    <n v="2500000"/>
    <x v="0"/>
    <n v="450000"/>
    <x v="0"/>
    <m/>
    <m/>
    <x v="0"/>
    <x v="0"/>
    <x v="0"/>
    <x v="0"/>
    <x v="0"/>
    <x v="0"/>
    <m/>
    <x v="0"/>
    <x v="1"/>
    <x v="0"/>
    <x v="0"/>
    <x v="0"/>
    <x v="3"/>
    <n v="551.14638447971777"/>
    <n v="99.206349206349202"/>
    <n v="0"/>
    <d v="2024-04-03T00:00:00"/>
    <x v="0"/>
  </r>
  <r>
    <n v="629"/>
    <d v="2024-03-01T00:00:00"/>
    <s v="29032024-A-078748"/>
    <d v="2024-03-29T00:00:00"/>
    <x v="0"/>
    <x v="2"/>
    <n v="47262"/>
    <x v="4"/>
    <x v="0"/>
    <n v="5201.009"/>
    <n v="1.86"/>
    <n v="35962"/>
    <n v="47262"/>
    <x v="0"/>
    <s v="Raw Cotton"/>
    <n v="24660472"/>
    <x v="0"/>
    <n v="4438884.96"/>
    <x v="0"/>
    <m/>
    <m/>
    <x v="0"/>
    <x v="0"/>
    <x v="0"/>
    <x v="0"/>
    <x v="0"/>
    <x v="0"/>
    <m/>
    <x v="0"/>
    <x v="1"/>
    <x v="0"/>
    <x v="0"/>
    <x v="0"/>
    <x v="0"/>
    <n v="521.7822351995261"/>
    <n v="93.920802335914686"/>
    <n v="3377579.893604164"/>
    <d v="2024-03-31T00:00:00"/>
    <x v="0"/>
  </r>
  <r>
    <n v="630"/>
    <d v="2024-03-08T00:00:00"/>
    <s v="29032024-A-078759"/>
    <d v="2024-03-29T00:00:00"/>
    <x v="0"/>
    <x v="1"/>
    <n v="46801"/>
    <x v="4"/>
    <x v="0"/>
    <n v="5201.009"/>
    <n v="2"/>
    <n v="46801"/>
    <n v="46801"/>
    <x v="0"/>
    <s v="Raw Cotton"/>
    <n v="26206754"/>
    <x v="0"/>
    <n v="4717215.72"/>
    <x v="0"/>
    <m/>
    <m/>
    <x v="0"/>
    <x v="0"/>
    <x v="0"/>
    <x v="0"/>
    <x v="0"/>
    <x v="0"/>
    <m/>
    <x v="0"/>
    <x v="1"/>
    <x v="0"/>
    <x v="0"/>
    <x v="0"/>
    <x v="0"/>
    <n v="559.96141108095981"/>
    <n v="100.79305399457276"/>
    <n v="4717215.72"/>
    <d v="2024-04-07T00:00:00"/>
    <x v="0"/>
  </r>
  <r>
    <n v="631"/>
    <d v="2024-03-30T00:00:00"/>
    <s v="29032024-A-078773"/>
    <d v="2024-03-29T00:00:00"/>
    <x v="0"/>
    <x v="0"/>
    <n v="7333"/>
    <x v="4"/>
    <x v="0"/>
    <n v="5505.1"/>
    <n v="1.71"/>
    <n v="0"/>
    <n v="0"/>
    <x v="20"/>
    <s v="Comber Noil"/>
    <n v="3519840"/>
    <x v="0"/>
    <n v="633571.19999999995"/>
    <x v="0"/>
    <m/>
    <m/>
    <x v="0"/>
    <x v="0"/>
    <x v="0"/>
    <x v="0"/>
    <x v="0"/>
    <x v="0"/>
    <m/>
    <x v="0"/>
    <x v="1"/>
    <x v="0"/>
    <x v="0"/>
    <x v="0"/>
    <x v="9"/>
    <n v="480"/>
    <n v="86.399999999999991"/>
    <n v="0"/>
    <d v="2024-04-29T00:00:00"/>
    <x v="0"/>
  </r>
  <r>
    <n v="632"/>
    <d v="2024-03-30T00:00:00"/>
    <s v="29032024-A-078783"/>
    <d v="2024-03-29T00:00:00"/>
    <x v="0"/>
    <x v="0"/>
    <n v="7850"/>
    <x v="4"/>
    <x v="0"/>
    <n v="5505.1"/>
    <n v="1.71"/>
    <n v="0"/>
    <n v="0"/>
    <x v="20"/>
    <s v="Comber Noil"/>
    <n v="3768000"/>
    <x v="0"/>
    <n v="678240"/>
    <x v="0"/>
    <m/>
    <m/>
    <x v="0"/>
    <x v="0"/>
    <x v="0"/>
    <x v="0"/>
    <x v="0"/>
    <x v="0"/>
    <m/>
    <x v="0"/>
    <x v="1"/>
    <x v="0"/>
    <x v="0"/>
    <x v="0"/>
    <x v="9"/>
    <n v="480"/>
    <n v="86.4"/>
    <n v="0"/>
    <d v="2024-04-29T00:00:00"/>
    <x v="0"/>
  </r>
  <r>
    <n v="633"/>
    <d v="2024-03-31T00:00:00"/>
    <s v="29032024-A-078796"/>
    <d v="2024-03-29T00:00:00"/>
    <x v="0"/>
    <x v="0"/>
    <n v="8010"/>
    <x v="4"/>
    <x v="0"/>
    <n v="5505.1"/>
    <n v="1.71"/>
    <n v="0"/>
    <n v="0"/>
    <x v="20"/>
    <s v="Comber Noil"/>
    <n v="3844800"/>
    <x v="0"/>
    <n v="692064"/>
    <x v="0"/>
    <m/>
    <m/>
    <x v="0"/>
    <x v="0"/>
    <x v="0"/>
    <x v="0"/>
    <x v="0"/>
    <x v="0"/>
    <m/>
    <x v="0"/>
    <x v="1"/>
    <x v="0"/>
    <x v="0"/>
    <x v="0"/>
    <x v="9"/>
    <n v="480"/>
    <n v="86.4"/>
    <n v="0"/>
    <d v="2024-04-30T00:00:00"/>
    <x v="0"/>
  </r>
  <r>
    <n v="634"/>
    <d v="2024-03-31T00:00:00"/>
    <s v="29032024-A-078800"/>
    <d v="2024-03-29T00:00:00"/>
    <x v="0"/>
    <x v="0"/>
    <n v="6679"/>
    <x v="4"/>
    <x v="0"/>
    <n v="5505.1"/>
    <n v="1.71"/>
    <n v="0"/>
    <n v="0"/>
    <x v="20"/>
    <s v="Comber Noil"/>
    <n v="3205920"/>
    <x v="0"/>
    <n v="577065.6"/>
    <x v="0"/>
    <m/>
    <m/>
    <x v="0"/>
    <x v="0"/>
    <x v="0"/>
    <x v="0"/>
    <x v="0"/>
    <x v="0"/>
    <m/>
    <x v="0"/>
    <x v="1"/>
    <x v="0"/>
    <x v="0"/>
    <x v="0"/>
    <x v="9"/>
    <n v="480"/>
    <n v="86.399999999999991"/>
    <n v="0"/>
    <d v="2024-04-30T00:00:00"/>
    <x v="0"/>
  </r>
  <r>
    <n v="635"/>
    <d v="2024-03-13T00:00:00"/>
    <s v="29032024-A-078803"/>
    <d v="2024-03-29T00:00:00"/>
    <x v="0"/>
    <x v="0"/>
    <n v="7890"/>
    <x v="4"/>
    <x v="0"/>
    <n v="5505.1"/>
    <n v="1.71"/>
    <n v="0"/>
    <n v="0"/>
    <x v="20"/>
    <s v="Comber Noil"/>
    <n v="3787200"/>
    <x v="0"/>
    <n v="681696"/>
    <x v="0"/>
    <m/>
    <m/>
    <x v="0"/>
    <x v="0"/>
    <x v="0"/>
    <x v="0"/>
    <x v="0"/>
    <x v="0"/>
    <m/>
    <x v="0"/>
    <x v="1"/>
    <x v="0"/>
    <x v="0"/>
    <x v="0"/>
    <x v="9"/>
    <n v="480"/>
    <n v="86.4"/>
    <n v="0"/>
    <d v="2024-04-12T00:00:00"/>
    <x v="0"/>
  </r>
  <r>
    <n v="636"/>
    <d v="2024-03-13T00:00:00"/>
    <s v="29032024-A-078807"/>
    <d v="2024-03-29T00:00:00"/>
    <x v="0"/>
    <x v="0"/>
    <n v="7613"/>
    <x v="4"/>
    <x v="0"/>
    <n v="5505.1"/>
    <n v="1.71"/>
    <n v="0"/>
    <n v="0"/>
    <x v="20"/>
    <s v="Comber Noil"/>
    <n v="3654240"/>
    <x v="0"/>
    <n v="657763.19999999995"/>
    <x v="0"/>
    <m/>
    <m/>
    <x v="0"/>
    <x v="0"/>
    <x v="0"/>
    <x v="0"/>
    <x v="0"/>
    <x v="0"/>
    <m/>
    <x v="0"/>
    <x v="1"/>
    <x v="0"/>
    <x v="0"/>
    <x v="0"/>
    <x v="9"/>
    <n v="480"/>
    <n v="86.399999999999991"/>
    <n v="0"/>
    <d v="2024-04-12T00:00:00"/>
    <x v="0"/>
  </r>
  <r>
    <n v="637"/>
    <d v="2024-03-15T00:00:00"/>
    <s v="29032024-A-078809"/>
    <d v="2024-03-29T00:00:00"/>
    <x v="0"/>
    <x v="0"/>
    <n v="7196"/>
    <x v="4"/>
    <x v="0"/>
    <n v="5505.1"/>
    <n v="1.71"/>
    <n v="0"/>
    <n v="0"/>
    <x v="20"/>
    <s v="Comber Noil"/>
    <n v="3454080"/>
    <x v="0"/>
    <n v="621734.40000000002"/>
    <x v="0"/>
    <m/>
    <m/>
    <x v="0"/>
    <x v="0"/>
    <x v="0"/>
    <x v="0"/>
    <x v="0"/>
    <x v="0"/>
    <m/>
    <x v="0"/>
    <x v="1"/>
    <x v="0"/>
    <x v="0"/>
    <x v="0"/>
    <x v="9"/>
    <n v="480"/>
    <n v="86.4"/>
    <n v="0"/>
    <d v="2024-04-14T00:00:00"/>
    <x v="0"/>
  </r>
  <r>
    <n v="638"/>
    <d v="2024-03-15T00:00:00"/>
    <s v="29032024-A-078810"/>
    <d v="2024-03-29T00:00:00"/>
    <x v="0"/>
    <x v="0"/>
    <n v="7363"/>
    <x v="4"/>
    <x v="0"/>
    <n v="5505.1"/>
    <n v="1.71"/>
    <n v="0"/>
    <n v="0"/>
    <x v="20"/>
    <s v="Comber Noil"/>
    <n v="3534240"/>
    <x v="0"/>
    <n v="636163.19999999995"/>
    <x v="0"/>
    <m/>
    <m/>
    <x v="0"/>
    <x v="0"/>
    <x v="0"/>
    <x v="0"/>
    <x v="0"/>
    <x v="0"/>
    <m/>
    <x v="0"/>
    <x v="1"/>
    <x v="0"/>
    <x v="0"/>
    <x v="0"/>
    <x v="9"/>
    <n v="480"/>
    <n v="86.399999999999991"/>
    <n v="0"/>
    <d v="2024-04-14T00:00:00"/>
    <x v="0"/>
  </r>
  <r>
    <n v="639"/>
    <d v="2024-03-16T00:00:00"/>
    <s v="29032024-A-078812"/>
    <d v="2024-03-29T00:00:00"/>
    <x v="0"/>
    <x v="0"/>
    <n v="7613"/>
    <x v="4"/>
    <x v="0"/>
    <n v="5505.1"/>
    <n v="1.71"/>
    <n v="0"/>
    <n v="0"/>
    <x v="20"/>
    <s v="Comber Noil"/>
    <n v="3654240"/>
    <x v="0"/>
    <n v="657763.19999999995"/>
    <x v="0"/>
    <m/>
    <m/>
    <x v="0"/>
    <x v="0"/>
    <x v="0"/>
    <x v="0"/>
    <x v="0"/>
    <x v="0"/>
    <m/>
    <x v="0"/>
    <x v="1"/>
    <x v="0"/>
    <x v="0"/>
    <x v="0"/>
    <x v="9"/>
    <n v="480"/>
    <n v="86.399999999999991"/>
    <n v="0"/>
    <d v="2024-04-15T00:00:00"/>
    <x v="0"/>
  </r>
  <r>
    <n v="640"/>
    <d v="2024-03-16T00:00:00"/>
    <s v="29032024-A-078813"/>
    <d v="2024-03-29T00:00:00"/>
    <x v="0"/>
    <x v="0"/>
    <n v="7453"/>
    <x v="4"/>
    <x v="0"/>
    <n v="5505.1"/>
    <n v="1.71"/>
    <n v="0"/>
    <n v="0"/>
    <x v="20"/>
    <s v="Comber Noil"/>
    <n v="3577440"/>
    <x v="0"/>
    <n v="643939.19999999995"/>
    <x v="0"/>
    <m/>
    <m/>
    <x v="0"/>
    <x v="0"/>
    <x v="0"/>
    <x v="0"/>
    <x v="0"/>
    <x v="0"/>
    <m/>
    <x v="0"/>
    <x v="1"/>
    <x v="0"/>
    <x v="0"/>
    <x v="0"/>
    <x v="9"/>
    <n v="480"/>
    <n v="86.399999999999991"/>
    <n v="0"/>
    <d v="2024-04-15T00:00:00"/>
    <x v="0"/>
  </r>
  <r>
    <n v="641"/>
    <d v="2024-03-18T00:00:00"/>
    <s v="29032024-A-078814"/>
    <d v="2024-03-29T00:00:00"/>
    <x v="0"/>
    <x v="0"/>
    <n v="7840"/>
    <x v="4"/>
    <x v="0"/>
    <n v="5505.1"/>
    <n v="1.75"/>
    <n v="0"/>
    <n v="0"/>
    <x v="20"/>
    <s v="Comber Noil"/>
    <n v="3841600"/>
    <x v="0"/>
    <n v="691488"/>
    <x v="0"/>
    <m/>
    <m/>
    <x v="0"/>
    <x v="0"/>
    <x v="0"/>
    <x v="0"/>
    <x v="0"/>
    <x v="0"/>
    <m/>
    <x v="0"/>
    <x v="1"/>
    <x v="0"/>
    <x v="0"/>
    <x v="0"/>
    <x v="9"/>
    <n v="490"/>
    <n v="88.2"/>
    <n v="0"/>
    <d v="2024-04-17T00:00:00"/>
    <x v="0"/>
  </r>
  <r>
    <n v="642"/>
    <d v="2024-03-19T00:00:00"/>
    <s v="29032024-A-078815"/>
    <d v="2024-03-29T00:00:00"/>
    <x v="0"/>
    <x v="0"/>
    <n v="8030"/>
    <x v="4"/>
    <x v="0"/>
    <n v="5505.1"/>
    <n v="1.75"/>
    <n v="0"/>
    <n v="0"/>
    <x v="20"/>
    <s v="Comber Noil"/>
    <n v="3934700"/>
    <x v="0"/>
    <n v="708246"/>
    <x v="0"/>
    <m/>
    <m/>
    <x v="0"/>
    <x v="0"/>
    <x v="0"/>
    <x v="0"/>
    <x v="0"/>
    <x v="0"/>
    <m/>
    <x v="0"/>
    <x v="1"/>
    <x v="0"/>
    <x v="0"/>
    <x v="0"/>
    <x v="9"/>
    <n v="490"/>
    <n v="88.2"/>
    <n v="0"/>
    <d v="2024-04-18T00:00:00"/>
    <x v="0"/>
  </r>
  <r>
    <n v="643"/>
    <d v="2024-03-19T00:00:00"/>
    <s v="29032024-A-078816"/>
    <d v="2024-03-29T00:00:00"/>
    <x v="0"/>
    <x v="0"/>
    <n v="6946"/>
    <x v="4"/>
    <x v="0"/>
    <n v="5505.1"/>
    <n v="1.75"/>
    <n v="0"/>
    <n v="0"/>
    <x v="20"/>
    <s v="Comber Noil"/>
    <n v="3403540"/>
    <x v="0"/>
    <n v="612637.19999999995"/>
    <x v="0"/>
    <m/>
    <m/>
    <x v="0"/>
    <x v="0"/>
    <x v="0"/>
    <x v="0"/>
    <x v="0"/>
    <x v="0"/>
    <m/>
    <x v="0"/>
    <x v="1"/>
    <x v="0"/>
    <x v="0"/>
    <x v="0"/>
    <x v="9"/>
    <n v="490"/>
    <n v="88.199999999999989"/>
    <n v="0"/>
    <d v="2024-04-18T00:00:00"/>
    <x v="0"/>
  </r>
  <r>
    <n v="644"/>
    <d v="2024-03-20T00:00:00"/>
    <s v="29032024-A-078817"/>
    <d v="2024-03-29T00:00:00"/>
    <x v="0"/>
    <x v="0"/>
    <n v="7740"/>
    <x v="4"/>
    <x v="0"/>
    <n v="5505.1"/>
    <n v="1.75"/>
    <n v="0"/>
    <n v="0"/>
    <x v="20"/>
    <s v="Comber Noil"/>
    <n v="3792600"/>
    <x v="0"/>
    <n v="682668"/>
    <x v="0"/>
    <m/>
    <m/>
    <x v="0"/>
    <x v="0"/>
    <x v="0"/>
    <x v="0"/>
    <x v="0"/>
    <x v="0"/>
    <m/>
    <x v="0"/>
    <x v="1"/>
    <x v="0"/>
    <x v="0"/>
    <x v="0"/>
    <x v="9"/>
    <n v="490"/>
    <n v="88.2"/>
    <n v="0"/>
    <d v="2024-04-19T00:00:00"/>
    <x v="0"/>
  </r>
  <r>
    <n v="645"/>
    <d v="2024-03-20T00:00:00"/>
    <s v="29032024-A-078818"/>
    <d v="2024-03-29T00:00:00"/>
    <x v="0"/>
    <x v="0"/>
    <n v="7006"/>
    <x v="4"/>
    <x v="0"/>
    <n v="5505.1"/>
    <n v="1.75"/>
    <n v="0"/>
    <n v="0"/>
    <x v="20"/>
    <s v="Comber Noil"/>
    <n v="3432940"/>
    <x v="0"/>
    <n v="617929.19999999995"/>
    <x v="0"/>
    <m/>
    <m/>
    <x v="0"/>
    <x v="0"/>
    <x v="0"/>
    <x v="0"/>
    <x v="0"/>
    <x v="0"/>
    <m/>
    <x v="0"/>
    <x v="1"/>
    <x v="0"/>
    <x v="0"/>
    <x v="0"/>
    <x v="9"/>
    <n v="490"/>
    <n v="88.199999999999989"/>
    <n v="0"/>
    <d v="2024-04-19T00:00:00"/>
    <x v="0"/>
  </r>
  <r>
    <n v="646"/>
    <d v="2024-03-22T00:00:00"/>
    <s v="29032024-A-078819"/>
    <d v="2024-03-29T00:00:00"/>
    <x v="0"/>
    <x v="0"/>
    <n v="7900"/>
    <x v="4"/>
    <x v="0"/>
    <n v="5505.1"/>
    <n v="1.75"/>
    <n v="0"/>
    <n v="0"/>
    <x v="20"/>
    <s v="Comber Noil"/>
    <n v="3871000"/>
    <x v="0"/>
    <n v="696780"/>
    <x v="0"/>
    <m/>
    <m/>
    <x v="0"/>
    <x v="0"/>
    <x v="0"/>
    <x v="0"/>
    <x v="0"/>
    <x v="0"/>
    <m/>
    <x v="0"/>
    <x v="1"/>
    <x v="0"/>
    <x v="0"/>
    <x v="0"/>
    <x v="9"/>
    <n v="490"/>
    <n v="88.2"/>
    <n v="0"/>
    <d v="2024-04-21T00:00:00"/>
    <x v="0"/>
  </r>
  <r>
    <n v="647"/>
    <d v="2024-03-23T00:00:00"/>
    <s v="29032024-A-078820"/>
    <d v="2024-03-29T00:00:00"/>
    <x v="0"/>
    <x v="0"/>
    <n v="7670"/>
    <x v="4"/>
    <x v="0"/>
    <n v="5505.1"/>
    <n v="1.75"/>
    <n v="0"/>
    <n v="0"/>
    <x v="20"/>
    <s v="Comber Noil"/>
    <n v="3758300"/>
    <x v="0"/>
    <n v="676494"/>
    <x v="0"/>
    <m/>
    <m/>
    <x v="0"/>
    <x v="0"/>
    <x v="0"/>
    <x v="0"/>
    <x v="0"/>
    <x v="0"/>
    <m/>
    <x v="0"/>
    <x v="1"/>
    <x v="0"/>
    <x v="0"/>
    <x v="0"/>
    <x v="9"/>
    <n v="490"/>
    <n v="88.2"/>
    <n v="0"/>
    <d v="2024-04-22T00:00:00"/>
    <x v="0"/>
  </r>
  <r>
    <n v="648"/>
    <d v="2024-03-23T00:00:00"/>
    <s v="29032024-A-078821"/>
    <d v="2024-03-29T00:00:00"/>
    <x v="0"/>
    <x v="0"/>
    <n v="7533"/>
    <x v="4"/>
    <x v="0"/>
    <n v="5505.1"/>
    <n v="1.75"/>
    <n v="0"/>
    <n v="0"/>
    <x v="20"/>
    <s v="Comber Noil"/>
    <n v="3691170"/>
    <x v="0"/>
    <n v="664410.6"/>
    <x v="0"/>
    <m/>
    <m/>
    <x v="0"/>
    <x v="0"/>
    <x v="0"/>
    <x v="0"/>
    <x v="0"/>
    <x v="0"/>
    <m/>
    <x v="0"/>
    <x v="1"/>
    <x v="0"/>
    <x v="0"/>
    <x v="0"/>
    <x v="9"/>
    <n v="490"/>
    <n v="88.2"/>
    <n v="0"/>
    <d v="2024-04-22T00:00:00"/>
    <x v="0"/>
  </r>
  <r>
    <n v="649"/>
    <d v="2024-03-18T00:00:00"/>
    <s v="29032024-A-078822"/>
    <d v="2024-03-29T00:00:00"/>
    <x v="0"/>
    <x v="0"/>
    <n v="7186"/>
    <x v="4"/>
    <x v="0"/>
    <n v="5505.1"/>
    <n v="1.75"/>
    <n v="0"/>
    <n v="0"/>
    <x v="20"/>
    <s v="Comber Noil"/>
    <n v="3521140"/>
    <x v="0"/>
    <n v="633805.19999999995"/>
    <x v="0"/>
    <m/>
    <m/>
    <x v="0"/>
    <x v="0"/>
    <x v="0"/>
    <x v="0"/>
    <x v="0"/>
    <x v="0"/>
    <m/>
    <x v="0"/>
    <x v="1"/>
    <x v="0"/>
    <x v="0"/>
    <x v="0"/>
    <x v="9"/>
    <n v="490"/>
    <n v="88.199999999999989"/>
    <n v="0"/>
    <d v="2024-04-17T00:00:00"/>
    <x v="0"/>
  </r>
  <r>
    <n v="650"/>
    <d v="2024-04-01T00:00:00"/>
    <s v="16042024-A-083595"/>
    <d v="2024-04-16T00:00:00"/>
    <x v="0"/>
    <x v="1"/>
    <n v="9650"/>
    <x v="4"/>
    <x v="0"/>
    <n v="2815.12"/>
    <n v="0.28000000000000003"/>
    <n v="9650"/>
    <n v="9650"/>
    <x v="12"/>
    <s v="CAUSTIC SODA LIQUID"/>
    <n v="757525"/>
    <x v="0"/>
    <n v="136354.5"/>
    <x v="0"/>
    <m/>
    <m/>
    <x v="0"/>
    <x v="0"/>
    <x v="0"/>
    <x v="0"/>
    <x v="0"/>
    <x v="0"/>
    <m/>
    <x v="0"/>
    <x v="1"/>
    <x v="0"/>
    <x v="0"/>
    <x v="0"/>
    <x v="5"/>
    <n v="78.5"/>
    <n v="14.13"/>
    <n v="136354.5"/>
    <d v="2024-05-01T00:00:00"/>
    <x v="0"/>
  </r>
  <r>
    <n v="651"/>
    <d v="2024-04-01T00:00:00"/>
    <s v="16042024-A-083609"/>
    <d v="2024-04-16T00:00:00"/>
    <x v="0"/>
    <x v="1"/>
    <n v="29478"/>
    <x v="4"/>
    <x v="0"/>
    <n v="2815.12"/>
    <n v="0.28000000000000003"/>
    <n v="29478"/>
    <n v="29478"/>
    <x v="12"/>
    <s v="CAUSTIC SODA LIQUID"/>
    <n v="2314023"/>
    <x v="0"/>
    <n v="416524.1399999999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6524.13999999996"/>
    <d v="2024-05-01T00:00:00"/>
    <x v="0"/>
  </r>
  <r>
    <n v="652"/>
    <d v="2024-04-01T00:00:00"/>
    <s v="16042024-A-083611"/>
    <d v="2024-04-16T00:00:00"/>
    <x v="0"/>
    <x v="1"/>
    <n v="29448"/>
    <x v="4"/>
    <x v="0"/>
    <n v="2815.12"/>
    <n v="0.28000000000000003"/>
    <n v="29448"/>
    <n v="29448"/>
    <x v="12"/>
    <s v="CAUSTIC SODA LIQUID"/>
    <n v="2311668"/>
    <x v="0"/>
    <n v="416100.24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6100.24"/>
    <d v="2024-05-01T00:00:00"/>
    <x v="0"/>
  </r>
  <r>
    <n v="653"/>
    <d v="2024-04-01T00:00:00"/>
    <s v="16042024-A-083622"/>
    <d v="2024-04-16T00:00:00"/>
    <x v="0"/>
    <x v="1"/>
    <n v="29458"/>
    <x v="4"/>
    <x v="0"/>
    <n v="2815.12"/>
    <n v="0.28000000000000003"/>
    <n v="29458"/>
    <n v="29458"/>
    <x v="12"/>
    <s v="CAUSTIC SODA LIQUID"/>
    <n v="2312453"/>
    <x v="0"/>
    <n v="416241.54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6241.54"/>
    <d v="2024-05-01T00:00:00"/>
    <x v="0"/>
  </r>
  <r>
    <n v="654"/>
    <d v="2024-04-01T00:00:00"/>
    <s v="16042024-A-083625"/>
    <d v="2024-04-16T00:00:00"/>
    <x v="0"/>
    <x v="1"/>
    <n v="29270"/>
    <x v="4"/>
    <x v="0"/>
    <n v="2815.12"/>
    <n v="0.28000000000000003"/>
    <n v="29270"/>
    <n v="29270"/>
    <x v="12"/>
    <s v="CAUSTIC SODA LIQUID"/>
    <n v="2297695"/>
    <x v="0"/>
    <n v="413585.1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3585.1"/>
    <d v="2024-05-01T00:00:00"/>
    <x v="0"/>
  </r>
  <r>
    <n v="655"/>
    <d v="2024-04-01T00:00:00"/>
    <s v="16042024-A-083635"/>
    <d v="2024-04-16T00:00:00"/>
    <x v="0"/>
    <x v="1"/>
    <n v="29290"/>
    <x v="4"/>
    <x v="0"/>
    <n v="2815.12"/>
    <n v="0.28000000000000003"/>
    <n v="29290"/>
    <n v="29290"/>
    <x v="12"/>
    <s v="CAUSTIC SODA LIQUID"/>
    <n v="2299265"/>
    <x v="0"/>
    <n v="413867.7"/>
    <x v="0"/>
    <m/>
    <m/>
    <x v="0"/>
    <x v="0"/>
    <x v="0"/>
    <x v="0"/>
    <x v="0"/>
    <x v="0"/>
    <m/>
    <x v="0"/>
    <x v="1"/>
    <x v="0"/>
    <x v="0"/>
    <x v="0"/>
    <x v="5"/>
    <n v="78.5"/>
    <n v="14.13"/>
    <n v="413867.7"/>
    <d v="2024-05-01T00:00:00"/>
    <x v="0"/>
  </r>
  <r>
    <n v="656"/>
    <d v="2024-04-01T00:00:00"/>
    <s v="16042024-A-083639"/>
    <d v="2024-04-16T00:00:00"/>
    <x v="0"/>
    <x v="1"/>
    <n v="29310"/>
    <x v="4"/>
    <x v="0"/>
    <n v="2815.12"/>
    <n v="0.28000000000000003"/>
    <n v="29310"/>
    <n v="29310"/>
    <x v="12"/>
    <s v="CAUSTIC SODA LIQUID"/>
    <n v="2300835"/>
    <x v="0"/>
    <n v="414150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150.3"/>
    <d v="2024-05-01T00:00:00"/>
    <x v="0"/>
  </r>
  <r>
    <n v="657"/>
    <d v="2024-04-01T00:00:00"/>
    <s v="16042024-A-083643"/>
    <d v="2024-04-16T00:00:00"/>
    <x v="0"/>
    <x v="1"/>
    <n v="29330"/>
    <x v="4"/>
    <x v="0"/>
    <n v="2815.12"/>
    <n v="0.28000000000000003"/>
    <n v="29330"/>
    <n v="29330"/>
    <x v="12"/>
    <s v="CAUSTIC SODA LIQUID"/>
    <n v="2302405"/>
    <x v="0"/>
    <n v="414432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432.89999999997"/>
    <d v="2024-05-01T00:00:00"/>
    <x v="0"/>
  </r>
  <r>
    <n v="658"/>
    <d v="2024-04-01T00:00:00"/>
    <s v="16042024-A-083647"/>
    <d v="2024-04-16T00:00:00"/>
    <x v="0"/>
    <x v="1"/>
    <n v="29330"/>
    <x v="4"/>
    <x v="0"/>
    <n v="2815.12"/>
    <n v="0.28000000000000003"/>
    <n v="29330"/>
    <n v="29330"/>
    <x v="12"/>
    <s v="CAUSTIC SODA LIQUID"/>
    <n v="2302405"/>
    <x v="0"/>
    <n v="414432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432.89999999997"/>
    <d v="2024-05-01T00:00:00"/>
    <x v="0"/>
  </r>
  <r>
    <n v="659"/>
    <d v="2024-04-01T00:00:00"/>
    <s v="16042024-A-083648"/>
    <d v="2024-04-16T00:00:00"/>
    <x v="0"/>
    <x v="1"/>
    <n v="29500"/>
    <x v="4"/>
    <x v="0"/>
    <n v="2815.12"/>
    <n v="0.28000000000000003"/>
    <n v="29500"/>
    <n v="29500"/>
    <x v="12"/>
    <s v="CAUSTIC SODA LIQUID"/>
    <n v="2315750"/>
    <x v="0"/>
    <n v="416835"/>
    <x v="0"/>
    <m/>
    <m/>
    <x v="0"/>
    <x v="0"/>
    <x v="0"/>
    <x v="0"/>
    <x v="0"/>
    <x v="0"/>
    <m/>
    <x v="0"/>
    <x v="1"/>
    <x v="0"/>
    <x v="0"/>
    <x v="0"/>
    <x v="5"/>
    <n v="78.5"/>
    <n v="14.13"/>
    <n v="416835"/>
    <d v="2024-05-01T00:00:00"/>
    <x v="0"/>
  </r>
  <r>
    <n v="660"/>
    <d v="2024-04-01T00:00:00"/>
    <s v="16042024-A-083651"/>
    <d v="2024-04-16T00:00:00"/>
    <x v="0"/>
    <x v="1"/>
    <n v="29930"/>
    <x v="4"/>
    <x v="0"/>
    <n v="2815.12"/>
    <n v="0.28000000000000003"/>
    <n v="29930"/>
    <n v="29930"/>
    <x v="12"/>
    <s v="CAUSTIC SODA LIQUID"/>
    <n v="2349505"/>
    <x v="0"/>
    <n v="422910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22910.89999999997"/>
    <d v="2024-05-01T00:00:00"/>
    <x v="0"/>
  </r>
  <r>
    <n v="661"/>
    <d v="2024-04-01T00:00:00"/>
    <s v="16042024-A-083653"/>
    <d v="2024-04-16T00:00:00"/>
    <x v="0"/>
    <x v="1"/>
    <n v="19910"/>
    <x v="4"/>
    <x v="0"/>
    <n v="2815.12"/>
    <n v="0.28000000000000003"/>
    <n v="19910"/>
    <n v="19910"/>
    <x v="12"/>
    <s v="CAUSTIC SODA LIQUID"/>
    <n v="1562935"/>
    <x v="0"/>
    <n v="281328.3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281328.3"/>
    <d v="2024-05-01T00:00:00"/>
    <x v="0"/>
  </r>
  <r>
    <n v="662"/>
    <d v="2024-04-01T00:00:00"/>
    <s v="16042024-A-083655"/>
    <d v="2024-04-16T00:00:00"/>
    <x v="0"/>
    <x v="1"/>
    <n v="29740"/>
    <x v="4"/>
    <x v="0"/>
    <n v="2815.12"/>
    <n v="0.28000000000000003"/>
    <n v="29740"/>
    <n v="29740"/>
    <x v="12"/>
    <s v="CAUSTIC SODA LIQUID"/>
    <n v="2334590"/>
    <x v="0"/>
    <n v="420226.2"/>
    <x v="0"/>
    <m/>
    <m/>
    <x v="0"/>
    <x v="0"/>
    <x v="0"/>
    <x v="0"/>
    <x v="0"/>
    <x v="0"/>
    <m/>
    <x v="0"/>
    <x v="1"/>
    <x v="0"/>
    <x v="0"/>
    <x v="0"/>
    <x v="5"/>
    <n v="78.5"/>
    <n v="14.13"/>
    <n v="420226.2"/>
    <d v="2024-05-01T00:00:00"/>
    <x v="0"/>
  </r>
  <r>
    <n v="663"/>
    <d v="2024-04-01T00:00:00"/>
    <s v="16042024-A-083657"/>
    <d v="2024-04-16T00:00:00"/>
    <x v="0"/>
    <x v="1"/>
    <n v="29900"/>
    <x v="4"/>
    <x v="0"/>
    <n v="2815.12"/>
    <n v="0.28000000000000003"/>
    <n v="29900"/>
    <n v="29900"/>
    <x v="12"/>
    <s v="CAUSTIC SODA LIQUID"/>
    <n v="2347150"/>
    <x v="0"/>
    <n v="422487"/>
    <x v="0"/>
    <m/>
    <m/>
    <x v="0"/>
    <x v="0"/>
    <x v="0"/>
    <x v="0"/>
    <x v="0"/>
    <x v="0"/>
    <m/>
    <x v="0"/>
    <x v="1"/>
    <x v="0"/>
    <x v="0"/>
    <x v="0"/>
    <x v="5"/>
    <n v="78.5"/>
    <n v="14.13"/>
    <n v="422487"/>
    <d v="2024-05-01T00:00:00"/>
    <x v="0"/>
  </r>
  <r>
    <n v="664"/>
    <d v="2024-04-01T00:00:00"/>
    <s v="16042024-A-083663"/>
    <d v="2024-04-16T00:00:00"/>
    <x v="0"/>
    <x v="0"/>
    <n v="30"/>
    <x v="4"/>
    <x v="0"/>
    <n v="3204.172"/>
    <n v="10.18"/>
    <n v="0"/>
    <n v="0"/>
    <x v="5"/>
    <s v="PRINTOFIX PINK H-5BL"/>
    <n v="85500"/>
    <x v="0"/>
    <n v="15390"/>
    <x v="0"/>
    <m/>
    <m/>
    <x v="0"/>
    <x v="0"/>
    <x v="0"/>
    <x v="6"/>
    <x v="0"/>
    <x v="0"/>
    <m/>
    <x v="0"/>
    <x v="1"/>
    <x v="0"/>
    <x v="0"/>
    <x v="0"/>
    <x v="4"/>
    <n v="2850"/>
    <n v="513"/>
    <n v="0"/>
    <d v="2024-05-01T00:00:00"/>
    <x v="0"/>
  </r>
  <r>
    <n v="665"/>
    <d v="2024-04-01T00:00:00"/>
    <s v="16042024-A-083667"/>
    <d v="2024-04-16T00:00:00"/>
    <x v="0"/>
    <x v="0"/>
    <n v="30"/>
    <x v="4"/>
    <x v="0"/>
    <n v="3204.172"/>
    <n v="10.18"/>
    <n v="0"/>
    <n v="0"/>
    <x v="5"/>
    <s v="PRINTOFIX PINK H-5BL"/>
    <n v="85500"/>
    <x v="0"/>
    <n v="15390"/>
    <x v="0"/>
    <m/>
    <m/>
    <x v="0"/>
    <x v="0"/>
    <x v="0"/>
    <x v="6"/>
    <x v="0"/>
    <x v="0"/>
    <m/>
    <x v="0"/>
    <x v="1"/>
    <x v="0"/>
    <x v="0"/>
    <x v="0"/>
    <x v="4"/>
    <n v="2850"/>
    <n v="513"/>
    <n v="0"/>
    <d v="2024-05-01T00:00:00"/>
    <x v="0"/>
  </r>
  <r>
    <n v="666"/>
    <d v="2024-04-01T00:00:00"/>
    <s v="16042024-A-083669"/>
    <d v="2024-04-16T00:00:00"/>
    <x v="0"/>
    <x v="0"/>
    <n v="990"/>
    <x v="4"/>
    <x v="0"/>
    <n v="2931.9090000000001"/>
    <n v="1.92"/>
    <n v="0"/>
    <n v="0"/>
    <x v="12"/>
    <s v="LUFIBROL ANTOX LIQ"/>
    <n v="532620"/>
    <x v="0"/>
    <n v="95871.599999999991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5-01T00:00:00"/>
    <x v="0"/>
  </r>
  <r>
    <n v="666"/>
    <d v="2024-04-01T00:00:00"/>
    <s v="16042024-A-083669"/>
    <d v="2024-04-16T00:00:00"/>
    <x v="0"/>
    <x v="0"/>
    <n v="880"/>
    <x v="4"/>
    <x v="0"/>
    <n v="3809.9189999999999"/>
    <n v="0.41"/>
    <n v="0"/>
    <n v="0"/>
    <x v="12"/>
    <s v="PRESTOGEN F-PL LIQ"/>
    <n v="101200"/>
    <x v="0"/>
    <n v="18216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1T00:00:00"/>
    <x v="0"/>
  </r>
  <r>
    <n v="666"/>
    <d v="2024-04-01T00:00:00"/>
    <s v="16042024-A-083669"/>
    <d v="2024-04-16T00:00:00"/>
    <x v="0"/>
    <x v="0"/>
    <n v="600"/>
    <x v="4"/>
    <x v="0"/>
    <n v="3204.2"/>
    <n v="1.8"/>
    <n v="0"/>
    <n v="0"/>
    <x v="5"/>
    <s v="LEUCOPHOR BMF LIQUID"/>
    <n v="303000"/>
    <x v="0"/>
    <n v="5454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5-01T00:00:00"/>
    <x v="0"/>
  </r>
  <r>
    <n v="666"/>
    <d v="2024-04-01T00:00:00"/>
    <s v="16042024-A-083669"/>
    <d v="2024-04-16T00:00:00"/>
    <x v="0"/>
    <x v="0"/>
    <n v="400"/>
    <x v="4"/>
    <x v="0"/>
    <n v="2904.2089999999998"/>
    <n v="0.89"/>
    <n v="0"/>
    <n v="0"/>
    <x v="12"/>
    <s v="REVATOL S LIQUID"/>
    <n v="100000"/>
    <x v="0"/>
    <n v="18000"/>
    <x v="0"/>
    <m/>
    <m/>
    <x v="0"/>
    <x v="0"/>
    <x v="0"/>
    <x v="5"/>
    <x v="0"/>
    <x v="0"/>
    <m/>
    <x v="0"/>
    <x v="1"/>
    <x v="0"/>
    <x v="0"/>
    <x v="0"/>
    <x v="5"/>
    <n v="250"/>
    <n v="45"/>
    <n v="0"/>
    <d v="2024-05-01T00:00:00"/>
    <x v="0"/>
  </r>
  <r>
    <n v="667"/>
    <d v="2024-04-01T00:00:00"/>
    <s v="16042024-A-083671"/>
    <d v="2024-04-16T00:00:00"/>
    <x v="0"/>
    <x v="0"/>
    <n v="510"/>
    <x v="4"/>
    <x v="0"/>
    <n v="3809.9110000000001"/>
    <n v="1.84"/>
    <n v="0"/>
    <n v="0"/>
    <x v="12"/>
    <s v="SIRRIX NE LIQ NEW 0120 "/>
    <n v="262350"/>
    <x v="0"/>
    <n v="47223"/>
    <x v="0"/>
    <m/>
    <m/>
    <x v="0"/>
    <x v="0"/>
    <x v="0"/>
    <x v="5"/>
    <x v="0"/>
    <x v="0"/>
    <m/>
    <x v="0"/>
    <x v="1"/>
    <x v="0"/>
    <x v="0"/>
    <x v="0"/>
    <x v="5"/>
    <n v="514.41176470588232"/>
    <n v="92.594117647058823"/>
    <n v="0"/>
    <d v="2024-05-01T00:00:00"/>
    <x v="0"/>
  </r>
  <r>
    <n v="667"/>
    <d v="2024-04-01T00:00:00"/>
    <s v="16042024-A-083671"/>
    <d v="2024-04-16T00:00:00"/>
    <x v="0"/>
    <x v="0"/>
    <n v="500"/>
    <x v="4"/>
    <x v="0"/>
    <n v="3204.172"/>
    <n v="1.23"/>
    <n v="0"/>
    <n v="0"/>
    <x v="5"/>
    <s v="PRINTOFIX BLACK FF-RT"/>
    <n v="172500"/>
    <x v="0"/>
    <n v="31050"/>
    <x v="0"/>
    <m/>
    <m/>
    <x v="0"/>
    <x v="0"/>
    <x v="0"/>
    <x v="5"/>
    <x v="0"/>
    <x v="0"/>
    <m/>
    <x v="0"/>
    <x v="1"/>
    <x v="0"/>
    <x v="0"/>
    <x v="0"/>
    <x v="4"/>
    <n v="345"/>
    <n v="62.1"/>
    <n v="0"/>
    <d v="2024-05-01T00:00:00"/>
    <x v="0"/>
  </r>
  <r>
    <n v="668"/>
    <d v="2024-04-01T00:00:00"/>
    <s v="17042024-A-083905"/>
    <d v="2024-04-17T00:00:00"/>
    <x v="0"/>
    <x v="0"/>
    <n v="200"/>
    <x v="4"/>
    <x v="0"/>
    <n v="3402.42"/>
    <n v="2.41"/>
    <n v="0"/>
    <n v="0"/>
    <x v="12"/>
    <s v="KIERALON 2010 LIQ"/>
    <n v="135000"/>
    <x v="0"/>
    <n v="24300"/>
    <x v="0"/>
    <m/>
    <m/>
    <x v="0"/>
    <x v="0"/>
    <x v="0"/>
    <x v="6"/>
    <x v="0"/>
    <x v="0"/>
    <m/>
    <x v="0"/>
    <x v="1"/>
    <x v="0"/>
    <x v="0"/>
    <x v="0"/>
    <x v="5"/>
    <n v="675"/>
    <n v="121.5"/>
    <n v="0"/>
    <d v="2024-05-01T00:00:00"/>
    <x v="0"/>
  </r>
  <r>
    <n v="669"/>
    <d v="2024-04-01T00:00:00"/>
    <s v="17042024-A-083917"/>
    <d v="2024-04-17T00:00:00"/>
    <x v="0"/>
    <x v="0"/>
    <n v="400"/>
    <x v="4"/>
    <x v="0"/>
    <n v="3402.42"/>
    <n v="2.41"/>
    <n v="400"/>
    <n v="400"/>
    <x v="12"/>
    <s v="KIERALON 2010 LIQ"/>
    <n v="270000"/>
    <x v="0"/>
    <n v="48600"/>
    <x v="0"/>
    <m/>
    <m/>
    <x v="0"/>
    <x v="0"/>
    <x v="0"/>
    <x v="6"/>
    <x v="0"/>
    <x v="0"/>
    <m/>
    <x v="0"/>
    <x v="1"/>
    <x v="0"/>
    <x v="0"/>
    <x v="0"/>
    <x v="5"/>
    <n v="675"/>
    <n v="121.5"/>
    <n v="48600"/>
    <d v="2024-05-01T00:00:00"/>
    <x v="0"/>
  </r>
  <r>
    <n v="670"/>
    <d v="2024-04-01T00:00:00"/>
    <s v="17042024-A-083920"/>
    <d v="2024-04-17T00:00:00"/>
    <x v="0"/>
    <x v="0"/>
    <n v="3080"/>
    <x v="4"/>
    <x v="0"/>
    <n v="2931.9090000000001"/>
    <n v="1.92"/>
    <n v="0"/>
    <n v="0"/>
    <x v="12"/>
    <s v="LUFIBROL ANTOX LIQ"/>
    <n v="1657040"/>
    <x v="0"/>
    <n v="298267.2"/>
    <x v="0"/>
    <m/>
    <m/>
    <x v="0"/>
    <x v="0"/>
    <x v="0"/>
    <x v="0"/>
    <x v="0"/>
    <x v="0"/>
    <m/>
    <x v="0"/>
    <x v="1"/>
    <x v="0"/>
    <x v="0"/>
    <x v="0"/>
    <x v="5"/>
    <n v="538"/>
    <n v="96.84"/>
    <n v="0"/>
    <d v="2024-05-01T00:00:00"/>
    <x v="0"/>
  </r>
  <r>
    <n v="670"/>
    <d v="2024-04-01T00:00:00"/>
    <s v="17042024-A-083920"/>
    <d v="2024-04-17T00:00:00"/>
    <x v="0"/>
    <x v="0"/>
    <n v="3080"/>
    <x v="4"/>
    <x v="0"/>
    <n v="3809.9189999999999"/>
    <n v="0.41"/>
    <n v="0"/>
    <n v="0"/>
    <x v="12"/>
    <s v="PRESTOGEN F-PL LIQ"/>
    <n v="354200"/>
    <x v="0"/>
    <n v="63756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5-01T00:00:00"/>
    <x v="0"/>
  </r>
  <r>
    <n v="671"/>
    <d v="2024-04-01T00:00:00"/>
    <s v="17042024-A-083930"/>
    <d v="2024-04-17T00:00:00"/>
    <x v="0"/>
    <x v="0"/>
    <n v="400"/>
    <x v="4"/>
    <x v="0"/>
    <n v="3402.42"/>
    <n v="2.41"/>
    <n v="0"/>
    <n v="0"/>
    <x v="12"/>
    <s v="KIERALON 2010 LIQ"/>
    <n v="270000"/>
    <x v="0"/>
    <n v="48600"/>
    <x v="0"/>
    <m/>
    <m/>
    <x v="0"/>
    <x v="0"/>
    <x v="0"/>
    <x v="5"/>
    <x v="0"/>
    <x v="0"/>
    <m/>
    <x v="0"/>
    <x v="1"/>
    <x v="0"/>
    <x v="0"/>
    <x v="0"/>
    <x v="5"/>
    <n v="675"/>
    <n v="121.5"/>
    <n v="0"/>
    <d v="2024-05-01T00:00:00"/>
    <x v="0"/>
  </r>
  <r>
    <n v="672"/>
    <d v="2024-04-01T00:00:00"/>
    <s v="17042024-A-083938"/>
    <d v="2024-04-17T00:00:00"/>
    <x v="0"/>
    <x v="0"/>
    <n v="1400"/>
    <x v="4"/>
    <x v="0"/>
    <n v="3204.2"/>
    <n v="1.8"/>
    <n v="0"/>
    <n v="0"/>
    <x v="5"/>
    <s v="LEUCOPHOR BMF LIQUID"/>
    <n v="707000"/>
    <x v="0"/>
    <n v="12726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1T00:00:00"/>
    <x v="0"/>
  </r>
  <r>
    <n v="672"/>
    <d v="2024-04-01T00:00:00"/>
    <s v="17042024-A-083938"/>
    <d v="2024-04-17T00:00:00"/>
    <x v="0"/>
    <x v="0"/>
    <n v="840"/>
    <x v="4"/>
    <x v="0"/>
    <n v="3809.9110000000001"/>
    <n v="1.2"/>
    <n v="0"/>
    <n v="0"/>
    <x v="12"/>
    <s v="SIRRIX NE LIQ NEW 0120 "/>
    <n v="281400"/>
    <x v="0"/>
    <n v="50652"/>
    <x v="0"/>
    <m/>
    <m/>
    <x v="0"/>
    <x v="0"/>
    <x v="0"/>
    <x v="6"/>
    <x v="0"/>
    <x v="0"/>
    <m/>
    <x v="0"/>
    <x v="1"/>
    <x v="0"/>
    <x v="0"/>
    <x v="0"/>
    <x v="5"/>
    <n v="335"/>
    <n v="60.3"/>
    <n v="0"/>
    <d v="2024-05-01T00:00:00"/>
    <x v="0"/>
  </r>
  <r>
    <n v="672"/>
    <d v="2024-04-01T00:00:00"/>
    <s v="17042024-A-083938"/>
    <d v="2024-04-17T00:00:00"/>
    <x v="0"/>
    <x v="0"/>
    <n v="900"/>
    <x v="4"/>
    <x v="0"/>
    <n v="3204.172"/>
    <n v="1.23"/>
    <n v="0"/>
    <n v="0"/>
    <x v="5"/>
    <s v="PRINTOFIX BLACK FF-RT"/>
    <n v="310500"/>
    <x v="0"/>
    <n v="5589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5-01T00:00:00"/>
    <x v="0"/>
  </r>
  <r>
    <n v="673"/>
    <d v="2024-04-01T00:00:00"/>
    <s v="17042024-A-083953"/>
    <d v="2024-04-17T00:00:00"/>
    <x v="0"/>
    <x v="0"/>
    <n v="180"/>
    <x v="4"/>
    <x v="0"/>
    <n v="3402.4189999999999"/>
    <n v="3.56"/>
    <n v="0"/>
    <n v="0"/>
    <x v="12"/>
    <s v="LYOGEN WD LIQ"/>
    <n v="179640"/>
    <x v="0"/>
    <n v="32335.199999999997"/>
    <x v="0"/>
    <m/>
    <m/>
    <x v="0"/>
    <x v="0"/>
    <x v="0"/>
    <x v="0"/>
    <x v="0"/>
    <x v="0"/>
    <m/>
    <x v="0"/>
    <x v="1"/>
    <x v="0"/>
    <x v="0"/>
    <x v="0"/>
    <x v="5"/>
    <n v="998"/>
    <n v="179.64"/>
    <n v="0"/>
    <d v="2024-05-01T00:00:00"/>
    <x v="0"/>
  </r>
  <r>
    <n v="674"/>
    <d v="2024-04-01T00:00:00"/>
    <s v="17042024-A-083966"/>
    <d v="2024-04-17T00:00:00"/>
    <x v="0"/>
    <x v="0"/>
    <n v="1870"/>
    <x v="4"/>
    <x v="0"/>
    <n v="2931.9090000000001"/>
    <n v="1.92"/>
    <n v="0"/>
    <n v="0"/>
    <x v="12"/>
    <s v="LUFIBROL ANTOX LIQ"/>
    <n v="1006060"/>
    <x v="0"/>
    <n v="181090.8"/>
    <x v="0"/>
    <m/>
    <m/>
    <x v="0"/>
    <x v="0"/>
    <x v="0"/>
    <x v="0"/>
    <x v="0"/>
    <x v="0"/>
    <m/>
    <x v="0"/>
    <x v="1"/>
    <x v="0"/>
    <x v="0"/>
    <x v="0"/>
    <x v="5"/>
    <n v="538"/>
    <n v="96.839999999999989"/>
    <n v="0"/>
    <d v="2024-05-01T00:00:00"/>
    <x v="0"/>
  </r>
  <r>
    <n v="674"/>
    <d v="2024-04-01T00:00:00"/>
    <s v="17042024-A-083966"/>
    <d v="2024-04-17T00:00:00"/>
    <x v="0"/>
    <x v="0"/>
    <n v="2860"/>
    <x v="4"/>
    <x v="0"/>
    <n v="3809.9189999999999"/>
    <n v="0.41"/>
    <n v="0"/>
    <n v="0"/>
    <x v="12"/>
    <s v="PRESTOGEN F-PL LIQ"/>
    <n v="328900"/>
    <x v="0"/>
    <n v="59202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5-01T00:00:00"/>
    <x v="0"/>
  </r>
  <r>
    <n v="674"/>
    <d v="2024-04-01T00:00:00"/>
    <s v="17042024-A-083966"/>
    <d v="2024-04-17T00:00:00"/>
    <x v="0"/>
    <x v="0"/>
    <n v="400"/>
    <x v="4"/>
    <x v="0"/>
    <n v="3204.172"/>
    <n v="1.23"/>
    <n v="0"/>
    <n v="0"/>
    <x v="5"/>
    <s v="PRINTOFIX BLACK FF-RT"/>
    <n v="138000"/>
    <x v="0"/>
    <n v="24840"/>
    <x v="0"/>
    <m/>
    <m/>
    <x v="0"/>
    <x v="0"/>
    <x v="0"/>
    <x v="0"/>
    <x v="0"/>
    <x v="0"/>
    <m/>
    <x v="0"/>
    <x v="1"/>
    <x v="0"/>
    <x v="0"/>
    <x v="0"/>
    <x v="4"/>
    <n v="345"/>
    <n v="62.1"/>
    <n v="0"/>
    <d v="2024-05-01T00:00:00"/>
    <x v="0"/>
  </r>
  <r>
    <n v="675"/>
    <d v="2024-04-01T00:00:00"/>
    <s v="17042024-A-083977"/>
    <d v="2024-04-17T00:00:00"/>
    <x v="0"/>
    <x v="0"/>
    <n v="130"/>
    <x v="4"/>
    <x v="0"/>
    <n v="3809.9189999999999"/>
    <n v="3.14"/>
    <n v="0"/>
    <n v="0"/>
    <x v="12"/>
    <s v="FORNAX W"/>
    <n v="114400"/>
    <x v="0"/>
    <n v="20592"/>
    <x v="0"/>
    <m/>
    <m/>
    <x v="0"/>
    <x v="0"/>
    <x v="0"/>
    <x v="0"/>
    <x v="0"/>
    <x v="0"/>
    <m/>
    <x v="0"/>
    <x v="1"/>
    <x v="0"/>
    <x v="0"/>
    <x v="0"/>
    <x v="5"/>
    <n v="880"/>
    <n v="158.4"/>
    <n v="0"/>
    <d v="2024-05-01T00:00:00"/>
    <x v="0"/>
  </r>
  <r>
    <n v="676"/>
    <d v="2024-04-01T00:00:00"/>
    <s v="17042024-A-083984"/>
    <d v="2024-04-17T00:00:00"/>
    <x v="0"/>
    <x v="0"/>
    <n v="2640"/>
    <x v="4"/>
    <x v="0"/>
    <n v="3809.9189999999999"/>
    <n v="0.41"/>
    <n v="0"/>
    <n v="0"/>
    <x v="12"/>
    <s v="PRESTOGEN F-PL LIQ"/>
    <n v="303600"/>
    <x v="0"/>
    <n v="54648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1T00:00:00"/>
    <x v="0"/>
  </r>
  <r>
    <n v="676"/>
    <d v="2024-04-01T00:00:00"/>
    <s v="17042024-A-083984"/>
    <d v="2024-04-17T00:00:00"/>
    <x v="0"/>
    <x v="0"/>
    <n v="200"/>
    <x v="4"/>
    <x v="0"/>
    <n v="3204.172"/>
    <n v="1.23"/>
    <n v="0"/>
    <n v="0"/>
    <x v="5"/>
    <s v="PRINTOFIX BLACK FF-RT"/>
    <n v="69000"/>
    <x v="0"/>
    <n v="12420"/>
    <x v="0"/>
    <m/>
    <m/>
    <x v="0"/>
    <x v="0"/>
    <x v="0"/>
    <x v="5"/>
    <x v="0"/>
    <x v="0"/>
    <m/>
    <x v="0"/>
    <x v="1"/>
    <x v="0"/>
    <x v="0"/>
    <x v="0"/>
    <x v="4"/>
    <n v="345"/>
    <n v="62.1"/>
    <n v="0"/>
    <d v="2024-05-01T00:00:00"/>
    <x v="0"/>
  </r>
  <r>
    <n v="677"/>
    <d v="2024-04-01T00:00:00"/>
    <s v="17042024-A-083991"/>
    <d v="2024-04-17T00:00:00"/>
    <x v="0"/>
    <x v="0"/>
    <n v="25"/>
    <x v="4"/>
    <x v="0"/>
    <n v="3204.16"/>
    <n v="25.89"/>
    <n v="0"/>
    <n v="0"/>
    <x v="5"/>
    <s v="NOVACRON BROWN EC -NC"/>
    <n v="181250"/>
    <x v="0"/>
    <n v="32625"/>
    <x v="0"/>
    <m/>
    <m/>
    <x v="0"/>
    <x v="0"/>
    <x v="0"/>
    <x v="5"/>
    <x v="0"/>
    <x v="0"/>
    <m/>
    <x v="0"/>
    <x v="1"/>
    <x v="0"/>
    <x v="0"/>
    <x v="0"/>
    <x v="4"/>
    <n v="7250"/>
    <n v="1305"/>
    <n v="0"/>
    <d v="2024-05-01T00:00:00"/>
    <x v="0"/>
  </r>
  <r>
    <n v="678"/>
    <d v="2024-04-01T00:00:00"/>
    <s v="17042024-A-084000"/>
    <d v="2024-04-17T00:00:00"/>
    <x v="0"/>
    <x v="0"/>
    <n v="2200"/>
    <x v="4"/>
    <x v="0"/>
    <n v="3809.9189999999999"/>
    <n v="0.41"/>
    <n v="0"/>
    <n v="0"/>
    <x v="12"/>
    <s v="PRESTOGEN F-PL LIQ"/>
    <n v="253000"/>
    <x v="0"/>
    <n v="45540"/>
    <x v="0"/>
    <m/>
    <m/>
    <x v="0"/>
    <x v="0"/>
    <x v="0"/>
    <x v="6"/>
    <x v="0"/>
    <x v="0"/>
    <m/>
    <x v="0"/>
    <x v="1"/>
    <x v="0"/>
    <x v="0"/>
    <x v="0"/>
    <x v="5"/>
    <n v="115"/>
    <n v="20.7"/>
    <n v="0"/>
    <d v="2024-05-01T00:00:00"/>
    <x v="0"/>
  </r>
  <r>
    <n v="678"/>
    <d v="2024-04-01T00:00:00"/>
    <s v="17042024-A-084000"/>
    <d v="2024-04-17T00:00:00"/>
    <x v="0"/>
    <x v="0"/>
    <n v="1000"/>
    <x v="4"/>
    <x v="0"/>
    <n v="3204.2"/>
    <n v="1.8"/>
    <n v="0"/>
    <n v="0"/>
    <x v="5"/>
    <s v="LEUCOPHOR BMF LIQUID"/>
    <n v="505000"/>
    <x v="0"/>
    <n v="9090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1T00:00:00"/>
    <x v="0"/>
  </r>
  <r>
    <n v="679"/>
    <d v="2024-04-01T00:00:00"/>
    <s v="17042024-A-084004"/>
    <d v="2024-04-17T00:00:00"/>
    <x v="0"/>
    <x v="0"/>
    <n v="2420"/>
    <x v="4"/>
    <x v="0"/>
    <n v="3809.9189999999999"/>
    <n v="0.41"/>
    <n v="0"/>
    <n v="0"/>
    <x v="12"/>
    <s v="PRESTOGEN F-PL LIQ"/>
    <n v="278300"/>
    <x v="0"/>
    <n v="50094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1T00:00:00"/>
    <x v="0"/>
  </r>
  <r>
    <n v="680"/>
    <d v="2024-04-01T00:00:00"/>
    <s v="17042024-A-084006"/>
    <d v="2024-04-17T00:00:00"/>
    <x v="0"/>
    <x v="0"/>
    <n v="90"/>
    <x v="4"/>
    <x v="0"/>
    <n v="3910"/>
    <n v="2.59"/>
    <n v="0"/>
    <n v="0"/>
    <x v="12"/>
    <s v="SOLUSOFT MW PK LIQ"/>
    <n v="65250"/>
    <x v="0"/>
    <n v="11745"/>
    <x v="0"/>
    <m/>
    <m/>
    <x v="0"/>
    <x v="0"/>
    <x v="0"/>
    <x v="5"/>
    <x v="0"/>
    <x v="0"/>
    <m/>
    <x v="0"/>
    <x v="1"/>
    <x v="0"/>
    <x v="0"/>
    <x v="0"/>
    <x v="5"/>
    <n v="725"/>
    <n v="130.5"/>
    <n v="0"/>
    <d v="2024-05-01T00:00:00"/>
    <x v="0"/>
  </r>
  <r>
    <n v="681"/>
    <d v="2024-04-01T00:00:00"/>
    <s v="17042024-A-084030"/>
    <d v="2024-04-17T00:00:00"/>
    <x v="0"/>
    <x v="0"/>
    <n v="120"/>
    <x v="4"/>
    <x v="0"/>
    <n v="3809.9189999999999"/>
    <n v="2.68"/>
    <n v="0"/>
    <n v="0"/>
    <x v="12"/>
    <s v="SOLIDOKOLL DPR LIQ "/>
    <n v="90000"/>
    <x v="0"/>
    <n v="16200"/>
    <x v="0"/>
    <m/>
    <m/>
    <x v="0"/>
    <x v="0"/>
    <x v="0"/>
    <x v="5"/>
    <x v="0"/>
    <x v="0"/>
    <m/>
    <x v="0"/>
    <x v="1"/>
    <x v="0"/>
    <x v="0"/>
    <x v="0"/>
    <x v="5"/>
    <n v="750"/>
    <n v="135"/>
    <n v="0"/>
    <d v="2024-05-01T00:00:00"/>
    <x v="0"/>
  </r>
  <r>
    <n v="682"/>
    <d v="2024-04-01T00:00:00"/>
    <s v="17042024-A-084033"/>
    <d v="2024-04-17T00:00:00"/>
    <x v="0"/>
    <x v="0"/>
    <n v="800"/>
    <x v="4"/>
    <x v="0"/>
    <n v="3204.2"/>
    <n v="1.8"/>
    <n v="0"/>
    <n v="0"/>
    <x v="5"/>
    <s v="LEUCOPHOR BMF LIQUID"/>
    <n v="404000"/>
    <x v="0"/>
    <n v="7272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1T00:00:00"/>
    <x v="0"/>
  </r>
  <r>
    <n v="683"/>
    <d v="2024-04-01T00:00:00"/>
    <s v="17042024-A-084037"/>
    <d v="2024-04-17T00:00:00"/>
    <x v="0"/>
    <x v="2"/>
    <n v="180"/>
    <x v="4"/>
    <x v="0"/>
    <n v="3402.4189999999999"/>
    <n v="3.56"/>
    <n v="155"/>
    <n v="180"/>
    <x v="12"/>
    <s v="LYOGEN WD LIQ"/>
    <n v="179640"/>
    <x v="0"/>
    <n v="32335.199999999997"/>
    <x v="0"/>
    <m/>
    <m/>
    <x v="0"/>
    <x v="0"/>
    <x v="0"/>
    <x v="0"/>
    <x v="0"/>
    <x v="0"/>
    <m/>
    <x v="0"/>
    <x v="1"/>
    <x v="0"/>
    <x v="0"/>
    <x v="0"/>
    <x v="5"/>
    <n v="998"/>
    <n v="179.64"/>
    <n v="27844.199999999997"/>
    <d v="2024-05-01T00:00:00"/>
    <x v="0"/>
  </r>
  <r>
    <n v="684"/>
    <d v="2024-04-01T00:00:00"/>
    <s v="17042024-A-084058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5-01T00:00:00"/>
    <x v="0"/>
  </r>
  <r>
    <n v="685"/>
    <d v="2024-04-01T00:00:00"/>
    <s v="17042024-A-084067"/>
    <d v="2024-04-17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6"/>
    <x v="0"/>
    <x v="0"/>
    <m/>
    <x v="0"/>
    <x v="1"/>
    <x v="0"/>
    <x v="0"/>
    <x v="0"/>
    <x v="5"/>
    <n v="193"/>
    <n v="34.74"/>
    <n v="0"/>
    <d v="2024-05-01T00:00:00"/>
    <x v="0"/>
  </r>
  <r>
    <n v="686"/>
    <d v="2024-04-01T00:00:00"/>
    <s v="17042024-A-084073"/>
    <d v="2024-04-17T00:00:00"/>
    <x v="0"/>
    <x v="0"/>
    <n v="1300"/>
    <x v="4"/>
    <x v="0"/>
    <n v="3809.9189999999999"/>
    <n v="0.66"/>
    <n v="0"/>
    <n v="0"/>
    <x v="12"/>
    <s v="PESOFIX WM"/>
    <n v="240500"/>
    <x v="0"/>
    <n v="43290"/>
    <x v="0"/>
    <m/>
    <m/>
    <x v="0"/>
    <x v="0"/>
    <x v="0"/>
    <x v="5"/>
    <x v="0"/>
    <x v="0"/>
    <m/>
    <x v="0"/>
    <x v="1"/>
    <x v="0"/>
    <x v="0"/>
    <x v="0"/>
    <x v="5"/>
    <n v="185"/>
    <n v="33.299999999999997"/>
    <n v="0"/>
    <d v="2024-05-01T00:00:00"/>
    <x v="0"/>
  </r>
  <r>
    <n v="687"/>
    <d v="2024-04-01T00:00:00"/>
    <s v="17042024-A-084078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5-01T00:00:00"/>
    <x v="0"/>
  </r>
  <r>
    <n v="688"/>
    <d v="2024-04-01T00:00:00"/>
    <s v="17042024-A-084083"/>
    <d v="2024-04-17T00:00:00"/>
    <x v="0"/>
    <x v="0"/>
    <n v="5000"/>
    <x v="4"/>
    <x v="0"/>
    <n v="3906.9090000000001"/>
    <n v="0.5"/>
    <n v="5000"/>
    <n v="5000"/>
    <x v="12"/>
    <s v="TUBIFAST ACE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125100"/>
    <d v="2024-05-01T00:00:00"/>
    <x v="0"/>
  </r>
  <r>
    <n v="689"/>
    <d v="2024-04-01T00:00:00"/>
    <s v="17042024-A-084088"/>
    <d v="2024-04-17T00:00:00"/>
    <x v="0"/>
    <x v="0"/>
    <n v="5000"/>
    <x v="4"/>
    <x v="0"/>
    <n v="3906.9090000000001"/>
    <n v="0.5"/>
    <n v="5000"/>
    <n v="500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125100"/>
    <d v="2024-05-01T00:00:00"/>
    <x v="0"/>
  </r>
  <r>
    <n v="690"/>
    <d v="2024-04-01T00:00:00"/>
    <s v="17042024-A-084091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0"/>
    <d v="2024-05-01T00:00:00"/>
    <x v="0"/>
  </r>
  <r>
    <n v="691"/>
    <d v="2024-04-01T00:00:00"/>
    <s v="17042024-A-084096"/>
    <d v="2024-04-17T00:00:00"/>
    <x v="0"/>
    <x v="0"/>
    <n v="5000"/>
    <x v="4"/>
    <x v="0"/>
    <n v="3906.9090000000001"/>
    <n v="0.5"/>
    <n v="5000"/>
    <n v="5000"/>
    <x v="12"/>
    <s v="TUBIFAST ACL"/>
    <n v="695000"/>
    <x v="0"/>
    <n v="125100"/>
    <x v="0"/>
    <m/>
    <m/>
    <x v="0"/>
    <x v="0"/>
    <x v="0"/>
    <x v="6"/>
    <x v="0"/>
    <x v="0"/>
    <m/>
    <x v="0"/>
    <x v="1"/>
    <x v="0"/>
    <x v="0"/>
    <x v="0"/>
    <x v="5"/>
    <n v="139"/>
    <n v="25.02"/>
    <n v="125100"/>
    <d v="2024-05-01T00:00:00"/>
    <x v="0"/>
  </r>
  <r>
    <n v="692"/>
    <d v="2024-04-01T00:00:00"/>
    <s v="17042024-A-084100"/>
    <d v="2024-04-17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5"/>
    <x v="0"/>
    <x v="0"/>
    <m/>
    <x v="0"/>
    <x v="1"/>
    <x v="0"/>
    <x v="0"/>
    <x v="0"/>
    <x v="5"/>
    <n v="193"/>
    <n v="34.74"/>
    <n v="0"/>
    <d v="2024-05-01T00:00:00"/>
    <x v="0"/>
  </r>
  <r>
    <n v="693"/>
    <d v="2024-04-01T00:00:00"/>
    <s v="17042024-A-084103"/>
    <d v="2024-04-17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5"/>
    <x v="0"/>
    <x v="0"/>
    <m/>
    <x v="0"/>
    <x v="1"/>
    <x v="0"/>
    <x v="0"/>
    <x v="0"/>
    <x v="5"/>
    <n v="139"/>
    <n v="25.02"/>
    <n v="0"/>
    <d v="2024-05-01T00:00:00"/>
    <x v="0"/>
  </r>
  <r>
    <n v="694"/>
    <d v="2024-04-01T00:00:00"/>
    <s v="17042024-A-084110"/>
    <d v="2024-04-17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5"/>
    <x v="0"/>
    <x v="0"/>
    <m/>
    <x v="0"/>
    <x v="1"/>
    <x v="0"/>
    <x v="0"/>
    <x v="0"/>
    <x v="5"/>
    <n v="193"/>
    <n v="34.74"/>
    <n v="0"/>
    <d v="2024-05-01T00:00:00"/>
    <x v="0"/>
  </r>
  <r>
    <n v="695"/>
    <d v="2024-04-01T00:00:00"/>
    <s v="17042024-A-084120"/>
    <d v="2024-04-17T00:00:00"/>
    <x v="0"/>
    <x v="0"/>
    <n v="720"/>
    <x v="4"/>
    <x v="0"/>
    <n v="3402.42"/>
    <n v="3.29"/>
    <n v="0"/>
    <n v="0"/>
    <x v="12"/>
    <s v="RUCOWET VL"/>
    <n v="662400"/>
    <x v="0"/>
    <n v="119232"/>
    <x v="0"/>
    <m/>
    <m/>
    <x v="0"/>
    <x v="0"/>
    <x v="0"/>
    <x v="6"/>
    <x v="0"/>
    <x v="0"/>
    <m/>
    <x v="0"/>
    <x v="1"/>
    <x v="0"/>
    <x v="0"/>
    <x v="0"/>
    <x v="5"/>
    <n v="920"/>
    <n v="165.6"/>
    <n v="0"/>
    <d v="2024-05-01T00:00:00"/>
    <x v="0"/>
  </r>
  <r>
    <n v="695"/>
    <d v="2024-04-01T00:00:00"/>
    <s v="17042024-A-084120"/>
    <d v="2024-04-17T00:00:00"/>
    <x v="0"/>
    <x v="0"/>
    <n v="360"/>
    <x v="4"/>
    <x v="0"/>
    <n v="3809.9189999999999"/>
    <n v="1.88"/>
    <n v="0"/>
    <n v="0"/>
    <x v="12"/>
    <s v="RUCOFIN SIQ"/>
    <n v="189000"/>
    <x v="0"/>
    <n v="34020"/>
    <x v="0"/>
    <m/>
    <m/>
    <x v="0"/>
    <x v="0"/>
    <x v="0"/>
    <x v="6"/>
    <x v="0"/>
    <x v="0"/>
    <m/>
    <x v="0"/>
    <x v="1"/>
    <x v="0"/>
    <x v="0"/>
    <x v="0"/>
    <x v="5"/>
    <n v="525"/>
    <n v="94.5"/>
    <n v="0"/>
    <d v="2024-05-01T00:00:00"/>
    <x v="0"/>
  </r>
  <r>
    <n v="696"/>
    <d v="2024-04-01T00:00:00"/>
    <s v="17042024-A-084132"/>
    <d v="2024-04-17T00:00:00"/>
    <x v="0"/>
    <x v="0"/>
    <n v="240"/>
    <x v="4"/>
    <x v="0"/>
    <n v="3809.9189999999999"/>
    <n v="1.88"/>
    <n v="0"/>
    <n v="0"/>
    <x v="12"/>
    <s v="RUCOFIN SIQ"/>
    <n v="126000"/>
    <x v="0"/>
    <n v="22680"/>
    <x v="0"/>
    <m/>
    <m/>
    <x v="0"/>
    <x v="0"/>
    <x v="0"/>
    <x v="5"/>
    <x v="0"/>
    <x v="0"/>
    <m/>
    <x v="0"/>
    <x v="1"/>
    <x v="0"/>
    <x v="0"/>
    <x v="0"/>
    <x v="5"/>
    <n v="525"/>
    <n v="94.5"/>
    <n v="0"/>
    <d v="2024-05-01T00:00:00"/>
    <x v="0"/>
  </r>
  <r>
    <n v="697"/>
    <d v="2024-04-02T00:00:00"/>
    <s v="17042024-A-084139"/>
    <d v="2024-04-17T00:00:00"/>
    <x v="0"/>
    <x v="0"/>
    <n v="720"/>
    <x v="4"/>
    <x v="0"/>
    <n v="3402.42"/>
    <n v="3.29"/>
    <n v="0"/>
    <n v="0"/>
    <x v="12"/>
    <s v="RUCOWET VL"/>
    <n v="662400"/>
    <x v="0"/>
    <n v="119232"/>
    <x v="0"/>
    <m/>
    <m/>
    <x v="0"/>
    <x v="0"/>
    <x v="0"/>
    <x v="5"/>
    <x v="0"/>
    <x v="0"/>
    <m/>
    <x v="0"/>
    <x v="1"/>
    <x v="0"/>
    <x v="0"/>
    <x v="0"/>
    <x v="5"/>
    <n v="920"/>
    <n v="165.6"/>
    <n v="0"/>
    <d v="2024-05-02T00:00:00"/>
    <x v="0"/>
  </r>
  <r>
    <n v="698"/>
    <d v="2024-04-01T00:00:00"/>
    <s v="17042024-A-084145"/>
    <d v="2024-04-17T00:00:00"/>
    <x v="0"/>
    <x v="0"/>
    <n v="2400"/>
    <x v="4"/>
    <x v="0"/>
    <n v="3809.9189999999999"/>
    <n v="2.57"/>
    <n v="0"/>
    <n v="0"/>
    <x v="12"/>
    <s v="ALKASOFT PEN"/>
    <n v="1728000"/>
    <x v="0"/>
    <n v="311040"/>
    <x v="0"/>
    <m/>
    <m/>
    <x v="0"/>
    <x v="0"/>
    <x v="0"/>
    <x v="5"/>
    <x v="0"/>
    <x v="0"/>
    <m/>
    <x v="0"/>
    <x v="1"/>
    <x v="0"/>
    <x v="0"/>
    <x v="0"/>
    <x v="5"/>
    <n v="720"/>
    <n v="129.6"/>
    <n v="0"/>
    <d v="2024-05-01T00:00:00"/>
    <x v="0"/>
  </r>
  <r>
    <n v="699"/>
    <d v="2024-04-01T00:00:00"/>
    <s v="17042024-A-084151"/>
    <d v="2024-04-17T00:00:00"/>
    <x v="0"/>
    <x v="0"/>
    <n v="600"/>
    <x v="4"/>
    <x v="0"/>
    <n v="3809.9189999999999"/>
    <n v="2.57"/>
    <n v="0"/>
    <n v="0"/>
    <x v="12"/>
    <s v="ALKASOFT PEN"/>
    <n v="432000"/>
    <x v="0"/>
    <n v="77760"/>
    <x v="0"/>
    <m/>
    <m/>
    <x v="0"/>
    <x v="0"/>
    <x v="0"/>
    <x v="6"/>
    <x v="0"/>
    <x v="0"/>
    <m/>
    <x v="0"/>
    <x v="1"/>
    <x v="0"/>
    <x v="0"/>
    <x v="0"/>
    <x v="5"/>
    <n v="720"/>
    <n v="129.6"/>
    <n v="0"/>
    <d v="2024-05-01T00:00:00"/>
    <x v="0"/>
  </r>
  <r>
    <n v="700"/>
    <d v="2024-04-01T00:00:00"/>
    <s v="17042024-A-084157"/>
    <d v="2024-04-17T00:00:00"/>
    <x v="0"/>
    <x v="0"/>
    <n v="1200"/>
    <x v="4"/>
    <x v="0"/>
    <n v="3809.9189999999999"/>
    <n v="2.5"/>
    <n v="0"/>
    <n v="0"/>
    <x v="12"/>
    <s v="ALKASOFT PEN"/>
    <n v="840000"/>
    <x v="0"/>
    <n v="151200"/>
    <x v="0"/>
    <m/>
    <m/>
    <x v="0"/>
    <x v="0"/>
    <x v="0"/>
    <x v="6"/>
    <x v="0"/>
    <x v="0"/>
    <m/>
    <x v="0"/>
    <x v="1"/>
    <x v="0"/>
    <x v="0"/>
    <x v="0"/>
    <x v="5"/>
    <n v="700"/>
    <n v="126"/>
    <n v="0"/>
    <d v="2024-05-01T00:00:00"/>
    <x v="0"/>
  </r>
  <r>
    <n v="701"/>
    <d v="2024-04-01T00:00:00"/>
    <s v="17042024-A-084165"/>
    <d v="2024-04-17T00:00:00"/>
    <x v="0"/>
    <x v="0"/>
    <n v="25"/>
    <x v="4"/>
    <x v="0"/>
    <n v="3204.1590000000001"/>
    <n v="68.989999999999995"/>
    <n v="0"/>
    <n v="0"/>
    <x v="5"/>
    <s v="FARBANTHREN BROWN BR"/>
    <n v="482900"/>
    <x v="0"/>
    <n v="86922"/>
    <x v="0"/>
    <m/>
    <m/>
    <x v="0"/>
    <x v="0"/>
    <x v="0"/>
    <x v="5"/>
    <x v="0"/>
    <x v="0"/>
    <m/>
    <x v="0"/>
    <x v="1"/>
    <x v="0"/>
    <x v="0"/>
    <x v="0"/>
    <x v="4"/>
    <n v="19316"/>
    <n v="3476.88"/>
    <n v="0"/>
    <d v="2024-05-01T00:00:00"/>
    <x v="0"/>
  </r>
  <r>
    <n v="702"/>
    <d v="2024-04-01T00:00:00"/>
    <s v="17042024-A-084170"/>
    <d v="2024-04-17T00:00:00"/>
    <x v="0"/>
    <x v="2"/>
    <n v="400"/>
    <x v="4"/>
    <x v="0"/>
    <n v="2904.2089999999998"/>
    <n v="3.13"/>
    <n v="26"/>
    <n v="400"/>
    <x v="12"/>
    <s v="CHEMITOL WS GRANULES"/>
    <n v="350000"/>
    <x v="0"/>
    <n v="63000"/>
    <x v="0"/>
    <m/>
    <m/>
    <x v="0"/>
    <x v="0"/>
    <x v="0"/>
    <x v="0"/>
    <x v="0"/>
    <x v="0"/>
    <m/>
    <x v="0"/>
    <x v="1"/>
    <x v="0"/>
    <x v="0"/>
    <x v="0"/>
    <x v="5"/>
    <n v="875"/>
    <n v="157.5"/>
    <n v="4095"/>
    <d v="2024-05-01T00:00:00"/>
    <x v="0"/>
  </r>
  <r>
    <n v="703"/>
    <d v="2024-04-01T00:00:00"/>
    <s v="17042024-A-084202"/>
    <d v="2024-04-17T00:00:00"/>
    <x v="0"/>
    <x v="0"/>
    <n v="1050"/>
    <x v="4"/>
    <x v="0"/>
    <n v="3809.9189999999999"/>
    <n v="3.57"/>
    <n v="0"/>
    <n v="0"/>
    <x v="12"/>
    <s v="REPRINT SWE"/>
    <n v="1050000"/>
    <x v="0"/>
    <n v="189000"/>
    <x v="0"/>
    <m/>
    <m/>
    <x v="0"/>
    <x v="0"/>
    <x v="0"/>
    <x v="5"/>
    <x v="0"/>
    <x v="0"/>
    <m/>
    <x v="0"/>
    <x v="1"/>
    <x v="0"/>
    <x v="0"/>
    <x v="0"/>
    <x v="5"/>
    <n v="1000"/>
    <n v="180"/>
    <n v="0"/>
    <d v="2024-05-01T00:00:00"/>
    <x v="0"/>
  </r>
  <r>
    <n v="704"/>
    <d v="2024-04-01T00:00:00"/>
    <s v="17042024-A-084212"/>
    <d v="2024-04-17T00:00:00"/>
    <x v="0"/>
    <x v="0"/>
    <n v="300"/>
    <x v="4"/>
    <x v="0"/>
    <n v="3809.9189999999999"/>
    <n v="3.57"/>
    <n v="0"/>
    <n v="0"/>
    <x v="12"/>
    <s v="REPRINT SWE"/>
    <n v="300000"/>
    <x v="0"/>
    <n v="54000"/>
    <x v="0"/>
    <m/>
    <m/>
    <x v="0"/>
    <x v="0"/>
    <x v="0"/>
    <x v="5"/>
    <x v="0"/>
    <x v="0"/>
    <m/>
    <x v="0"/>
    <x v="1"/>
    <x v="0"/>
    <x v="0"/>
    <x v="0"/>
    <x v="5"/>
    <n v="1000"/>
    <n v="180"/>
    <n v="0"/>
    <d v="2024-05-01T00:00:00"/>
    <x v="0"/>
  </r>
  <r>
    <n v="705"/>
    <d v="2024-04-01T00:00:00"/>
    <s v="17042024-A-084217"/>
    <d v="2024-04-17T00:00:00"/>
    <x v="0"/>
    <x v="0"/>
    <n v="2010"/>
    <x v="4"/>
    <x v="0"/>
    <n v="3204.172"/>
    <n v="4.07"/>
    <n v="0"/>
    <n v="0"/>
    <x v="5"/>
    <s v="FAVOPRINT BLUE AFFR"/>
    <n v="2291400"/>
    <x v="0"/>
    <n v="412452"/>
    <x v="0"/>
    <m/>
    <m/>
    <x v="0"/>
    <x v="0"/>
    <x v="0"/>
    <x v="6"/>
    <x v="0"/>
    <x v="0"/>
    <m/>
    <x v="0"/>
    <x v="1"/>
    <x v="0"/>
    <x v="0"/>
    <x v="0"/>
    <x v="4"/>
    <n v="1140"/>
    <n v="205.2"/>
    <n v="0"/>
    <d v="2024-05-01T00:00:00"/>
    <x v="0"/>
  </r>
  <r>
    <n v="706"/>
    <d v="2024-04-01T00:00:00"/>
    <s v="17042024-A-084220"/>
    <d v="2024-04-17T00:00:00"/>
    <x v="0"/>
    <x v="0"/>
    <n v="210"/>
    <x v="4"/>
    <x v="0"/>
    <n v="3204.172"/>
    <n v="4.18"/>
    <n v="0"/>
    <n v="0"/>
    <x v="5"/>
    <s v="FAVOPRINT YELLOW AF-3GN"/>
    <n v="245700"/>
    <x v="0"/>
    <n v="44226"/>
    <x v="0"/>
    <m/>
    <m/>
    <x v="0"/>
    <x v="0"/>
    <x v="0"/>
    <x v="6"/>
    <x v="0"/>
    <x v="0"/>
    <m/>
    <x v="0"/>
    <x v="1"/>
    <x v="0"/>
    <x v="0"/>
    <x v="0"/>
    <x v="4"/>
    <n v="1170"/>
    <n v="210.6"/>
    <n v="0"/>
    <d v="2024-05-01T00:00:00"/>
    <x v="0"/>
  </r>
  <r>
    <n v="707"/>
    <d v="2024-04-01T00:00:00"/>
    <s v="17042024-A-084226"/>
    <d v="2024-04-17T00:00:00"/>
    <x v="0"/>
    <x v="0"/>
    <n v="20000"/>
    <x v="4"/>
    <x v="0"/>
    <n v="2836.2"/>
    <n v="0.34"/>
    <n v="0"/>
    <n v="0"/>
    <x v="12"/>
    <s v="LIGHT ASH"/>
    <n v="1910000"/>
    <x v="0"/>
    <n v="343800"/>
    <x v="0"/>
    <m/>
    <m/>
    <x v="0"/>
    <x v="0"/>
    <x v="0"/>
    <x v="0"/>
    <x v="0"/>
    <x v="0"/>
    <m/>
    <x v="0"/>
    <x v="1"/>
    <x v="0"/>
    <x v="0"/>
    <x v="0"/>
    <x v="5"/>
    <n v="95.5"/>
    <n v="17.190000000000001"/>
    <n v="0"/>
    <d v="2024-05-01T00:00:00"/>
    <x v="0"/>
  </r>
  <r>
    <n v="708"/>
    <d v="2024-04-01T00:00:00"/>
    <s v="17042024-A-084242"/>
    <d v="2024-04-17T00:00:00"/>
    <x v="0"/>
    <x v="0"/>
    <n v="600"/>
    <x v="4"/>
    <x v="0"/>
    <n v="3507.9"/>
    <n v="3.13"/>
    <n v="0"/>
    <n v="0"/>
    <x v="12"/>
    <s v="PROMOLAZE HT CONC"/>
    <n v="525000"/>
    <x v="0"/>
    <n v="94500"/>
    <x v="0"/>
    <m/>
    <m/>
    <x v="0"/>
    <x v="0"/>
    <x v="0"/>
    <x v="6"/>
    <x v="0"/>
    <x v="0"/>
    <m/>
    <x v="0"/>
    <x v="1"/>
    <x v="0"/>
    <x v="0"/>
    <x v="0"/>
    <x v="5"/>
    <n v="875"/>
    <n v="157.5"/>
    <n v="0"/>
    <d v="2024-05-01T00:00:00"/>
    <x v="0"/>
  </r>
  <r>
    <n v="709"/>
    <d v="2024-04-01T00:00:00"/>
    <s v="17042024-A-084248"/>
    <d v="2024-04-17T00:00:00"/>
    <x v="0"/>
    <x v="0"/>
    <n v="10000"/>
    <x v="4"/>
    <x v="0"/>
    <n v="3402.42"/>
    <n v="1.88"/>
    <n v="0"/>
    <n v="0"/>
    <x v="12"/>
    <s v="KIERALON 2010 LIQ"/>
    <n v="5264000"/>
    <x v="0"/>
    <n v="947520"/>
    <x v="0"/>
    <m/>
    <m/>
    <x v="0"/>
    <x v="0"/>
    <x v="0"/>
    <x v="5"/>
    <x v="0"/>
    <x v="0"/>
    <m/>
    <x v="0"/>
    <x v="1"/>
    <x v="0"/>
    <x v="0"/>
    <x v="0"/>
    <x v="5"/>
    <n v="526.4"/>
    <n v="94.751999999999995"/>
    <n v="0"/>
    <d v="2024-05-01T00:00:00"/>
    <x v="0"/>
  </r>
  <r>
    <n v="710"/>
    <d v="2024-04-01T00:00:00"/>
    <s v="26042024-A-089508"/>
    <d v="4202-04-26T00:00:00"/>
    <x v="0"/>
    <x v="1"/>
    <n v="570"/>
    <x v="4"/>
    <x v="0"/>
    <n v="5208.12"/>
    <n v="8.31"/>
    <n v="570"/>
    <n v="570"/>
    <x v="14"/>
    <s v="80/1 Cotton Fabric Grey"/>
    <n v="1326528"/>
    <x v="0"/>
    <n v="238775.03999999998"/>
    <x v="0"/>
    <m/>
    <m/>
    <x v="0"/>
    <x v="0"/>
    <x v="0"/>
    <x v="0"/>
    <x v="0"/>
    <x v="0"/>
    <m/>
    <x v="0"/>
    <x v="1"/>
    <x v="0"/>
    <x v="0"/>
    <x v="0"/>
    <x v="2"/>
    <n v="2327.242105263158"/>
    <n v="418.90357894736837"/>
    <n v="238775.03999999998"/>
    <d v="2024-05-01T00:00:00"/>
    <x v="0"/>
  </r>
  <r>
    <n v="711"/>
    <d v="2024-04-01T00:00:00"/>
    <s v="22042024-A-087190"/>
    <d v="4202-04-22T00:00:00"/>
    <x v="0"/>
    <x v="1"/>
    <n v="29250"/>
    <x v="4"/>
    <x v="0"/>
    <n v="2815.12"/>
    <n v="0.28000000000000003"/>
    <n v="29250"/>
    <n v="29250"/>
    <x v="12"/>
    <s v="CAUSTIC SODA LIQUID"/>
    <n v="2296125"/>
    <x v="0"/>
    <n v="413302.5"/>
    <x v="0"/>
    <m/>
    <m/>
    <x v="0"/>
    <x v="0"/>
    <x v="0"/>
    <x v="0"/>
    <x v="0"/>
    <x v="0"/>
    <m/>
    <x v="0"/>
    <x v="1"/>
    <x v="0"/>
    <x v="0"/>
    <x v="0"/>
    <x v="5"/>
    <n v="78.5"/>
    <n v="14.13"/>
    <n v="413302.5"/>
    <d v="2024-05-01T00:00:00"/>
    <x v="0"/>
  </r>
  <r>
    <n v="712"/>
    <d v="2024-04-03T00:00:00"/>
    <s v="22042024-A-087193"/>
    <d v="4202-04-22T00:00:00"/>
    <x v="0"/>
    <x v="1"/>
    <n v="29630"/>
    <x v="4"/>
    <x v="0"/>
    <n v="2815.12"/>
    <n v="0.28000000000000003"/>
    <n v="29630"/>
    <n v="29630"/>
    <x v="12"/>
    <s v="CAUSTIC SODA LIQUID"/>
    <n v="2325955"/>
    <x v="0"/>
    <n v="418671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671.89999999997"/>
    <d v="2024-05-03T00:00:00"/>
    <x v="0"/>
  </r>
  <r>
    <n v="713"/>
    <d v="2024-04-01T00:00:00"/>
    <s v="22042024-A-087195"/>
    <d v="4202-04-22T00:00:00"/>
    <x v="0"/>
    <x v="0"/>
    <n v="150"/>
    <x v="4"/>
    <x v="0"/>
    <n v="3204.16"/>
    <n v="7.14"/>
    <n v="0"/>
    <n v="0"/>
    <x v="5"/>
    <s v="REMAZOL BLUE RGB 01"/>
    <n v="300000"/>
    <x v="0"/>
    <n v="54000"/>
    <x v="0"/>
    <m/>
    <m/>
    <x v="0"/>
    <x v="0"/>
    <x v="0"/>
    <x v="5"/>
    <x v="0"/>
    <x v="0"/>
    <m/>
    <x v="0"/>
    <x v="1"/>
    <x v="0"/>
    <x v="0"/>
    <x v="0"/>
    <x v="4"/>
    <n v="2000"/>
    <n v="360"/>
    <n v="0"/>
    <d v="2024-05-01T00:00:00"/>
    <x v="0"/>
  </r>
  <r>
    <n v="714"/>
    <d v="2024-04-01T00:00:00"/>
    <s v="22042024-A-087196"/>
    <d v="4202-04-22T00:00:00"/>
    <x v="0"/>
    <x v="0"/>
    <n v="105"/>
    <x v="4"/>
    <x v="0"/>
    <n v="3204.172"/>
    <n v="12.14"/>
    <n v="0"/>
    <n v="0"/>
    <x v="5"/>
    <s v="IMPERON BRILLIANT PINK K3BL"/>
    <n v="357000"/>
    <x v="0"/>
    <n v="64260"/>
    <x v="0"/>
    <m/>
    <m/>
    <x v="0"/>
    <x v="0"/>
    <x v="0"/>
    <x v="6"/>
    <x v="0"/>
    <x v="0"/>
    <m/>
    <x v="0"/>
    <x v="1"/>
    <x v="0"/>
    <x v="0"/>
    <x v="0"/>
    <x v="4"/>
    <n v="3400"/>
    <n v="612"/>
    <n v="0"/>
    <d v="2024-05-01T00:00:00"/>
    <x v="0"/>
  </r>
  <r>
    <n v="715"/>
    <d v="2024-04-01T00:00:00"/>
    <s v="02052024-A-091930"/>
    <d v="5202-05-02T00:00:00"/>
    <x v="0"/>
    <x v="0"/>
    <n v="200"/>
    <x v="4"/>
    <x v="0"/>
    <n v="3402.9"/>
    <n v="6.43"/>
    <n v="0"/>
    <n v="0"/>
    <x v="12"/>
    <s v="HI TOUCH GT"/>
    <n v="360000"/>
    <x v="0"/>
    <n v="64800"/>
    <x v="0"/>
    <m/>
    <m/>
    <x v="0"/>
    <x v="0"/>
    <x v="0"/>
    <x v="5"/>
    <x v="0"/>
    <x v="0"/>
    <m/>
    <x v="0"/>
    <x v="1"/>
    <x v="0"/>
    <x v="0"/>
    <x v="0"/>
    <x v="5"/>
    <n v="1800"/>
    <n v="324"/>
    <n v="0"/>
    <d v="2024-05-01T00:00:00"/>
    <x v="0"/>
  </r>
  <r>
    <n v="716"/>
    <d v="2024-04-03T00:00:00"/>
    <s v="23042024-A-087325"/>
    <d v="4202-04-23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3T00:00:00"/>
    <x v="0"/>
  </r>
  <r>
    <n v="717"/>
    <d v="2024-04-03T00:00:00"/>
    <s v="23042024-A-087336"/>
    <d v="4202-04-23T00:00:00"/>
    <x v="0"/>
    <x v="0"/>
    <n v="120"/>
    <x v="4"/>
    <x v="0"/>
    <n v="3402.9"/>
    <n v="2.23"/>
    <n v="0"/>
    <n v="0"/>
    <x v="12"/>
    <s v="KIERALON AB-OL LIQUID"/>
    <n v="75000"/>
    <x v="0"/>
    <n v="13500"/>
    <x v="0"/>
    <m/>
    <m/>
    <x v="0"/>
    <x v="0"/>
    <x v="0"/>
    <x v="5"/>
    <x v="0"/>
    <x v="0"/>
    <m/>
    <x v="0"/>
    <x v="1"/>
    <x v="0"/>
    <x v="0"/>
    <x v="0"/>
    <x v="5"/>
    <n v="625"/>
    <n v="112.5"/>
    <n v="0"/>
    <d v="2024-05-03T00:00:00"/>
    <x v="0"/>
  </r>
  <r>
    <n v="718"/>
    <d v="2024-04-03T00:00:00"/>
    <s v="23042024-A-087351"/>
    <d v="4202-04-23T00:00:00"/>
    <x v="0"/>
    <x v="0"/>
    <n v="40000"/>
    <x v="4"/>
    <x v="0"/>
    <n v="2501.009"/>
    <n v="0.03"/>
    <n v="0"/>
    <n v="0"/>
    <x v="12"/>
    <s v="REFINED LAKE SALT"/>
    <n v="338000"/>
    <x v="0"/>
    <n v="60840"/>
    <x v="0"/>
    <m/>
    <m/>
    <x v="0"/>
    <x v="0"/>
    <x v="0"/>
    <x v="0"/>
    <x v="0"/>
    <x v="0"/>
    <m/>
    <x v="0"/>
    <x v="1"/>
    <x v="0"/>
    <x v="0"/>
    <x v="0"/>
    <x v="5"/>
    <n v="8.4499999999999993"/>
    <n v="1.5209999999999999"/>
    <n v="0"/>
    <d v="2024-05-03T00:00:00"/>
    <x v="0"/>
  </r>
  <r>
    <n v="719"/>
    <d v="2024-04-03T00:00:00"/>
    <s v="23042024-A-087358"/>
    <d v="4202-04-2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5-03T00:00:00"/>
    <x v="0"/>
  </r>
  <r>
    <n v="720"/>
    <d v="2024-04-01T00:00:00"/>
    <s v="25042024-A-088911"/>
    <d v="4202-04-25T00:00:00"/>
    <x v="0"/>
    <x v="2"/>
    <n v="12664"/>
    <x v="4"/>
    <x v="0"/>
    <n v="5505.1"/>
    <n v="1.79"/>
    <n v="0"/>
    <n v="12664"/>
    <x v="20"/>
    <s v="Comber Noil"/>
    <n v="6332000"/>
    <x v="0"/>
    <n v="1139760"/>
    <x v="0"/>
    <m/>
    <m/>
    <x v="0"/>
    <x v="0"/>
    <x v="0"/>
    <x v="0"/>
    <x v="0"/>
    <x v="0"/>
    <m/>
    <x v="0"/>
    <x v="1"/>
    <x v="0"/>
    <x v="0"/>
    <x v="0"/>
    <x v="9"/>
    <n v="500"/>
    <n v="90"/>
    <n v="0"/>
    <d v="2024-05-01T00:00:00"/>
    <x v="0"/>
  </r>
  <r>
    <n v="721"/>
    <d v="2024-04-01T00:00:00"/>
    <s v="25042024-A-088917"/>
    <d v="4202-04-25T00:00:00"/>
    <x v="0"/>
    <x v="0"/>
    <n v="12437"/>
    <x v="4"/>
    <x v="0"/>
    <n v="5505.1"/>
    <n v="1.79"/>
    <n v="0"/>
    <n v="0"/>
    <x v="20"/>
    <s v="Comber Noil"/>
    <n v="6218500"/>
    <x v="0"/>
    <n v="1119330"/>
    <x v="0"/>
    <m/>
    <m/>
    <x v="0"/>
    <x v="0"/>
    <x v="0"/>
    <x v="0"/>
    <x v="0"/>
    <x v="0"/>
    <m/>
    <x v="0"/>
    <x v="1"/>
    <x v="0"/>
    <x v="0"/>
    <x v="0"/>
    <x v="9"/>
    <n v="500"/>
    <n v="90"/>
    <n v="0"/>
    <d v="2024-05-01T00:00:00"/>
    <x v="0"/>
  </r>
  <r>
    <n v="722"/>
    <d v="2024-04-01T00:00:00"/>
    <s v="25042024-A-088923"/>
    <d v="4202-04-25T00:00:00"/>
    <x v="0"/>
    <x v="0"/>
    <n v="12664"/>
    <x v="4"/>
    <x v="0"/>
    <n v="5505.1"/>
    <n v="1.79"/>
    <n v="0"/>
    <n v="0"/>
    <x v="20"/>
    <s v="Comber Noil"/>
    <n v="6332000"/>
    <x v="0"/>
    <n v="1139760"/>
    <x v="0"/>
    <m/>
    <m/>
    <x v="0"/>
    <x v="0"/>
    <x v="0"/>
    <x v="0"/>
    <x v="0"/>
    <x v="0"/>
    <m/>
    <x v="0"/>
    <x v="1"/>
    <x v="0"/>
    <x v="0"/>
    <x v="0"/>
    <x v="9"/>
    <n v="500"/>
    <n v="90"/>
    <n v="0"/>
    <d v="2024-05-01T00:00:00"/>
    <x v="0"/>
  </r>
  <r>
    <n v="723"/>
    <d v="2024-04-01T00:00:00"/>
    <s v="25042024-A-088957"/>
    <d v="4202-04-25T00:00:00"/>
    <x v="0"/>
    <x v="0"/>
    <n v="12467"/>
    <x v="4"/>
    <x v="0"/>
    <n v="5505.1"/>
    <n v="1.79"/>
    <n v="0"/>
    <n v="0"/>
    <x v="20"/>
    <s v="Comber Noil"/>
    <n v="6233500"/>
    <x v="0"/>
    <n v="1122030"/>
    <x v="0"/>
    <m/>
    <m/>
    <x v="0"/>
    <x v="0"/>
    <x v="0"/>
    <x v="0"/>
    <x v="0"/>
    <x v="0"/>
    <m/>
    <x v="0"/>
    <x v="1"/>
    <x v="0"/>
    <x v="0"/>
    <x v="0"/>
    <x v="9"/>
    <n v="500"/>
    <n v="90"/>
    <n v="0"/>
    <d v="2024-05-01T00:00:00"/>
    <x v="0"/>
  </r>
  <r>
    <n v="724"/>
    <d v="2024-04-01T00:00:00"/>
    <s v="25042024-A-088964"/>
    <d v="4202-04-25T00:00:00"/>
    <x v="0"/>
    <x v="0"/>
    <n v="12360"/>
    <x v="4"/>
    <x v="0"/>
    <n v="5505.1"/>
    <n v="1.79"/>
    <n v="0"/>
    <n v="0"/>
    <x v="20"/>
    <s v="Comber Noil"/>
    <n v="6180000"/>
    <x v="0"/>
    <n v="1112400"/>
    <x v="0"/>
    <m/>
    <m/>
    <x v="0"/>
    <x v="0"/>
    <x v="0"/>
    <x v="0"/>
    <x v="0"/>
    <x v="0"/>
    <m/>
    <x v="0"/>
    <x v="1"/>
    <x v="0"/>
    <x v="0"/>
    <x v="0"/>
    <x v="9"/>
    <n v="500"/>
    <n v="90"/>
    <n v="0"/>
    <d v="2024-05-01T00:00:00"/>
    <x v="0"/>
  </r>
  <r>
    <n v="725"/>
    <d v="2024-04-01T00:00:00"/>
    <s v="25042024-A-088969"/>
    <d v="4202-04-25T00:00:00"/>
    <x v="0"/>
    <x v="0"/>
    <n v="12457"/>
    <x v="4"/>
    <x v="0"/>
    <n v="5505.1"/>
    <n v="1.79"/>
    <n v="0"/>
    <n v="0"/>
    <x v="20"/>
    <s v="Comber Noil"/>
    <n v="6228500"/>
    <x v="0"/>
    <n v="1121130"/>
    <x v="0"/>
    <m/>
    <m/>
    <x v="0"/>
    <x v="0"/>
    <x v="0"/>
    <x v="0"/>
    <x v="0"/>
    <x v="0"/>
    <m/>
    <x v="0"/>
    <x v="1"/>
    <x v="0"/>
    <x v="0"/>
    <x v="0"/>
    <x v="9"/>
    <n v="500"/>
    <n v="90"/>
    <n v="0"/>
    <d v="2024-05-01T00:00:00"/>
    <x v="0"/>
  </r>
  <r>
    <n v="726"/>
    <d v="2024-04-01T00:00:00"/>
    <s v="25042024-A-088978"/>
    <d v="4202-04-25T00:00:00"/>
    <x v="0"/>
    <x v="0"/>
    <n v="12505"/>
    <x v="4"/>
    <x v="0"/>
    <n v="5505.1"/>
    <n v="1.77"/>
    <n v="0"/>
    <n v="0"/>
    <x v="20"/>
    <s v="Comber Noil"/>
    <n v="6189975"/>
    <x v="0"/>
    <n v="1114195.5"/>
    <x v="0"/>
    <m/>
    <m/>
    <x v="0"/>
    <x v="0"/>
    <x v="0"/>
    <x v="0"/>
    <x v="0"/>
    <x v="0"/>
    <m/>
    <x v="0"/>
    <x v="1"/>
    <x v="0"/>
    <x v="0"/>
    <x v="0"/>
    <x v="9"/>
    <n v="495"/>
    <n v="89.1"/>
    <n v="0"/>
    <d v="2024-05-01T00:00:00"/>
    <x v="0"/>
  </r>
  <r>
    <n v="727"/>
    <d v="2024-04-01T00:00:00"/>
    <s v="25042024-A-088985"/>
    <d v="4202-04-25T00:00:00"/>
    <x v="0"/>
    <x v="2"/>
    <n v="13074"/>
    <x v="4"/>
    <x v="0"/>
    <n v="5505.1"/>
    <n v="1.77"/>
    <n v="9"/>
    <n v="13074"/>
    <x v="20"/>
    <s v="Comber Noil"/>
    <n v="6471630"/>
    <x v="0"/>
    <n v="1164893.3999999999"/>
    <x v="0"/>
    <m/>
    <m/>
    <x v="0"/>
    <x v="0"/>
    <x v="0"/>
    <x v="0"/>
    <x v="0"/>
    <x v="0"/>
    <m/>
    <x v="0"/>
    <x v="1"/>
    <x v="0"/>
    <x v="0"/>
    <x v="0"/>
    <x v="9"/>
    <n v="495"/>
    <n v="89.1"/>
    <n v="801.9"/>
    <d v="2024-05-01T00:00:00"/>
    <x v="0"/>
  </r>
  <r>
    <n v="728"/>
    <d v="2024-04-03T00:00:00"/>
    <s v="25042024-A-088993"/>
    <d v="4202-04-25T00:00:00"/>
    <x v="0"/>
    <x v="2"/>
    <n v="12577"/>
    <x v="4"/>
    <x v="0"/>
    <n v="5505.1"/>
    <n v="1.77"/>
    <n v="452"/>
    <n v="12577"/>
    <x v="20"/>
    <s v="Comber Noil"/>
    <n v="6225615"/>
    <x v="0"/>
    <n v="1120610.7"/>
    <x v="0"/>
    <m/>
    <m/>
    <x v="0"/>
    <x v="0"/>
    <x v="0"/>
    <x v="0"/>
    <x v="0"/>
    <x v="0"/>
    <m/>
    <x v="0"/>
    <x v="1"/>
    <x v="0"/>
    <x v="0"/>
    <x v="0"/>
    <x v="9"/>
    <n v="495"/>
    <n v="89.1"/>
    <n v="40273.199999999997"/>
    <d v="2024-05-03T00:00:00"/>
    <x v="0"/>
  </r>
  <r>
    <n v="729"/>
    <d v="2024-04-03T00:00:00"/>
    <s v="25042024-A-089007"/>
    <d v="4202-04-25T00:00:00"/>
    <x v="0"/>
    <x v="0"/>
    <n v="12030"/>
    <x v="4"/>
    <x v="0"/>
    <n v="5505.1"/>
    <n v="1.77"/>
    <n v="0"/>
    <n v="0"/>
    <x v="20"/>
    <s v="Comber Noil"/>
    <n v="5954850"/>
    <x v="0"/>
    <n v="1071873"/>
    <x v="0"/>
    <m/>
    <m/>
    <x v="0"/>
    <x v="0"/>
    <x v="0"/>
    <x v="0"/>
    <x v="0"/>
    <x v="0"/>
    <m/>
    <x v="0"/>
    <x v="1"/>
    <x v="0"/>
    <x v="0"/>
    <x v="0"/>
    <x v="9"/>
    <n v="495"/>
    <n v="89.1"/>
    <n v="0"/>
    <d v="2024-05-03T00:00:00"/>
    <x v="0"/>
  </r>
  <r>
    <n v="730"/>
    <d v="2024-04-07T00:00:00"/>
    <s v="25042024-A-089022"/>
    <d v="4202-04-25T00:00:00"/>
    <x v="0"/>
    <x v="2"/>
    <n v="12924"/>
    <x v="4"/>
    <x v="0"/>
    <n v="5505.1"/>
    <n v="1.76"/>
    <n v="40"/>
    <n v="12924"/>
    <x v="20"/>
    <s v="Comber Noil"/>
    <n v="6371532"/>
    <x v="0"/>
    <n v="1146875.76"/>
    <x v="0"/>
    <m/>
    <m/>
    <x v="0"/>
    <x v="0"/>
    <x v="0"/>
    <x v="0"/>
    <x v="0"/>
    <x v="0"/>
    <m/>
    <x v="0"/>
    <x v="1"/>
    <x v="0"/>
    <x v="0"/>
    <x v="0"/>
    <x v="9"/>
    <n v="493"/>
    <n v="88.74"/>
    <n v="3549.6"/>
    <d v="2024-05-07T00:00:00"/>
    <x v="0"/>
  </r>
  <r>
    <n v="731"/>
    <d v="2024-04-07T00:00:00"/>
    <s v="25042024-A-089030"/>
    <d v="4202-04-25T00:00:00"/>
    <x v="0"/>
    <x v="2"/>
    <n v="12200"/>
    <x v="4"/>
    <x v="0"/>
    <n v="5505.1"/>
    <n v="1.76"/>
    <n v="2319"/>
    <n v="12200"/>
    <x v="20"/>
    <s v="Comber Noil"/>
    <n v="6014600"/>
    <x v="0"/>
    <n v="1082628"/>
    <x v="0"/>
    <m/>
    <m/>
    <x v="0"/>
    <x v="0"/>
    <x v="0"/>
    <x v="0"/>
    <x v="0"/>
    <x v="0"/>
    <m/>
    <x v="0"/>
    <x v="1"/>
    <x v="0"/>
    <x v="0"/>
    <x v="0"/>
    <x v="9"/>
    <n v="493"/>
    <n v="88.74"/>
    <n v="205788.06"/>
    <d v="2024-05-07T00:00:00"/>
    <x v="0"/>
  </r>
  <r>
    <n v="732"/>
    <d v="2024-04-09T00:00:00"/>
    <s v="25042024-A-089040"/>
    <d v="4202-04-25T00:00:00"/>
    <x v="0"/>
    <x v="1"/>
    <n v="12974"/>
    <x v="4"/>
    <x v="0"/>
    <n v="5505.1"/>
    <n v="1.76"/>
    <n v="12974"/>
    <n v="12974"/>
    <x v="20"/>
    <s v="Comber Noil"/>
    <n v="6396182"/>
    <x v="0"/>
    <n v="1151312.76"/>
    <x v="0"/>
    <m/>
    <m/>
    <x v="0"/>
    <x v="0"/>
    <x v="0"/>
    <x v="0"/>
    <x v="0"/>
    <x v="0"/>
    <m/>
    <x v="0"/>
    <x v="1"/>
    <x v="0"/>
    <x v="0"/>
    <x v="0"/>
    <x v="9"/>
    <n v="493"/>
    <n v="88.74"/>
    <n v="1151312.76"/>
    <d v="2024-05-09T00:00:00"/>
    <x v="0"/>
  </r>
  <r>
    <n v="733"/>
    <d v="2024-04-09T00:00:00"/>
    <s v="25042024-A-089053"/>
    <d v="4202-04-25T00:00:00"/>
    <x v="0"/>
    <x v="1"/>
    <n v="12270"/>
    <x v="4"/>
    <x v="0"/>
    <n v="5505.1"/>
    <n v="1.76"/>
    <n v="12270"/>
    <n v="12270"/>
    <x v="20"/>
    <s v="Comber Noil"/>
    <n v="6049110"/>
    <x v="0"/>
    <n v="1088839.8"/>
    <x v="0"/>
    <m/>
    <m/>
    <x v="0"/>
    <x v="0"/>
    <x v="0"/>
    <x v="0"/>
    <x v="0"/>
    <x v="0"/>
    <m/>
    <x v="0"/>
    <x v="1"/>
    <x v="0"/>
    <x v="0"/>
    <x v="0"/>
    <x v="9"/>
    <n v="493"/>
    <n v="88.740000000000009"/>
    <n v="1088839.8"/>
    <d v="2024-05-09T00:00:00"/>
    <x v="0"/>
  </r>
  <r>
    <n v="734"/>
    <d v="2024-04-12T00:00:00"/>
    <s v="25042024-A-089059"/>
    <d v="4202-04-25T00:00:00"/>
    <x v="0"/>
    <x v="1"/>
    <n v="12474"/>
    <x v="4"/>
    <x v="0"/>
    <n v="5505.1"/>
    <n v="1.76"/>
    <n v="12474"/>
    <n v="12474"/>
    <x v="20"/>
    <s v="Comber Noil"/>
    <n v="6149682"/>
    <x v="0"/>
    <n v="1106942.76"/>
    <x v="0"/>
    <m/>
    <m/>
    <x v="0"/>
    <x v="0"/>
    <x v="0"/>
    <x v="0"/>
    <x v="0"/>
    <x v="0"/>
    <m/>
    <x v="0"/>
    <x v="1"/>
    <x v="0"/>
    <x v="0"/>
    <x v="0"/>
    <x v="9"/>
    <n v="493"/>
    <n v="88.74"/>
    <n v="1106942.76"/>
    <d v="2024-05-12T00:00:00"/>
    <x v="0"/>
  </r>
  <r>
    <n v="735"/>
    <d v="2024-04-12T00:00:00"/>
    <s v="25042024-A-089068"/>
    <d v="4202-04-25T00:00:00"/>
    <x v="0"/>
    <x v="1"/>
    <n v="12395"/>
    <x v="4"/>
    <x v="0"/>
    <n v="5505.1"/>
    <n v="1.76"/>
    <n v="12395"/>
    <n v="12395"/>
    <x v="20"/>
    <s v="Comber Noil"/>
    <n v="6110735"/>
    <x v="0"/>
    <n v="1099932.3"/>
    <x v="0"/>
    <m/>
    <m/>
    <x v="0"/>
    <x v="0"/>
    <x v="0"/>
    <x v="0"/>
    <x v="0"/>
    <x v="0"/>
    <m/>
    <x v="0"/>
    <x v="1"/>
    <x v="0"/>
    <x v="0"/>
    <x v="0"/>
    <x v="9"/>
    <n v="493"/>
    <n v="88.740000000000009"/>
    <n v="1099932.3"/>
    <d v="2024-05-12T00:00:00"/>
    <x v="0"/>
  </r>
  <r>
    <n v="736"/>
    <d v="2024-04-13T00:00:00"/>
    <s v="25042024-A-089080"/>
    <d v="4202-04-25T00:00:00"/>
    <x v="0"/>
    <x v="1"/>
    <n v="12624"/>
    <x v="4"/>
    <x v="0"/>
    <n v="5505.1"/>
    <n v="1.76"/>
    <n v="12624"/>
    <n v="12624"/>
    <x v="20"/>
    <s v="Comber Noil"/>
    <n v="6223632"/>
    <x v="0"/>
    <n v="1120253.76"/>
    <x v="0"/>
    <m/>
    <m/>
    <x v="0"/>
    <x v="0"/>
    <x v="0"/>
    <x v="0"/>
    <x v="0"/>
    <x v="0"/>
    <m/>
    <x v="0"/>
    <x v="1"/>
    <x v="0"/>
    <x v="0"/>
    <x v="0"/>
    <x v="9"/>
    <n v="493"/>
    <n v="88.74"/>
    <n v="1120253.76"/>
    <d v="2024-05-13T00:00:00"/>
    <x v="0"/>
  </r>
  <r>
    <n v="737"/>
    <d v="2024-04-13T00:00:00"/>
    <s v="25042024-A-089085"/>
    <d v="4202-04-25T00:00:00"/>
    <x v="0"/>
    <x v="1"/>
    <n v="12188"/>
    <x v="4"/>
    <x v="0"/>
    <n v="5505.1"/>
    <n v="1.76"/>
    <n v="12188"/>
    <n v="12188"/>
    <x v="20"/>
    <s v="Comber Noil"/>
    <n v="6008684"/>
    <x v="0"/>
    <n v="1081563.1199999999"/>
    <x v="0"/>
    <m/>
    <m/>
    <x v="0"/>
    <x v="0"/>
    <x v="0"/>
    <x v="0"/>
    <x v="0"/>
    <x v="0"/>
    <m/>
    <x v="0"/>
    <x v="1"/>
    <x v="0"/>
    <x v="0"/>
    <x v="0"/>
    <x v="9"/>
    <n v="493"/>
    <n v="88.74"/>
    <n v="1081563.1199999999"/>
    <d v="2024-05-13T00:00:00"/>
    <x v="0"/>
  </r>
  <r>
    <n v="738"/>
    <d v="2024-04-22T00:00:00"/>
    <s v="25042024-A-089093"/>
    <d v="4202-04-25T00:00:00"/>
    <x v="0"/>
    <x v="1"/>
    <n v="12574"/>
    <x v="4"/>
    <x v="0"/>
    <n v="5505.1"/>
    <n v="1.64"/>
    <n v="12574"/>
    <n v="12574"/>
    <x v="20"/>
    <s v="Comber Noil"/>
    <n v="5784040"/>
    <x v="0"/>
    <n v="1041127.2"/>
    <x v="0"/>
    <m/>
    <m/>
    <x v="0"/>
    <x v="0"/>
    <x v="0"/>
    <x v="0"/>
    <x v="0"/>
    <x v="0"/>
    <m/>
    <x v="0"/>
    <x v="1"/>
    <x v="0"/>
    <x v="0"/>
    <x v="0"/>
    <x v="9"/>
    <n v="460"/>
    <n v="82.8"/>
    <n v="1041127.2"/>
    <d v="2024-05-22T00:00:00"/>
    <x v="0"/>
  </r>
  <r>
    <n v="739"/>
    <d v="2024-04-22T00:00:00"/>
    <s v="25042024-A-089099"/>
    <d v="4202-04-25T00:00:00"/>
    <x v="0"/>
    <x v="1"/>
    <n v="12705"/>
    <x v="4"/>
    <x v="0"/>
    <n v="5505.1"/>
    <n v="1.64"/>
    <n v="12705"/>
    <n v="12705"/>
    <x v="20"/>
    <s v="Comber Noil"/>
    <n v="5844300"/>
    <x v="0"/>
    <n v="1051974"/>
    <x v="0"/>
    <m/>
    <m/>
    <x v="0"/>
    <x v="0"/>
    <x v="0"/>
    <x v="0"/>
    <x v="0"/>
    <x v="0"/>
    <m/>
    <x v="0"/>
    <x v="1"/>
    <x v="0"/>
    <x v="0"/>
    <x v="0"/>
    <x v="9"/>
    <n v="460"/>
    <n v="82.8"/>
    <n v="1051974"/>
    <d v="2024-05-22T00:00:00"/>
    <x v="0"/>
  </r>
  <r>
    <n v="740"/>
    <d v="2024-04-01T00:00:00"/>
    <s v="27042024-A-089895"/>
    <d v="4202-04-27T00:00:00"/>
    <x v="0"/>
    <x v="1"/>
    <n v="939"/>
    <x v="4"/>
    <x v="0"/>
    <n v="5208.12"/>
    <n v="8.39"/>
    <n v="939"/>
    <n v="939"/>
    <x v="14"/>
    <s v="80/1 Cotton Fabric Grey ( 2500 Mtr)"/>
    <n v="2205000"/>
    <x v="0"/>
    <n v="396900"/>
    <x v="0"/>
    <m/>
    <m/>
    <x v="0"/>
    <x v="0"/>
    <x v="0"/>
    <x v="0"/>
    <x v="0"/>
    <x v="0"/>
    <m/>
    <x v="0"/>
    <x v="1"/>
    <x v="0"/>
    <x v="0"/>
    <x v="0"/>
    <x v="2"/>
    <n v="2348.2428115015973"/>
    <n v="422.68370607028754"/>
    <n v="396900"/>
    <d v="2024-05-01T00:00:00"/>
    <x v="0"/>
  </r>
  <r>
    <n v="741"/>
    <d v="2024-04-01T00:00:00"/>
    <s v="27042024-A-089922"/>
    <d v="4202-04-27T00:00:00"/>
    <x v="0"/>
    <x v="1"/>
    <n v="654"/>
    <x v="4"/>
    <x v="0"/>
    <n v="5208.12"/>
    <n v="8.32"/>
    <n v="654"/>
    <n v="654"/>
    <x v="14"/>
    <s v="80/1 Cotton Fabric Grey ( 1728 Mtr)"/>
    <n v="1524096"/>
    <x v="0"/>
    <n v="274337.27999999997"/>
    <x v="0"/>
    <m/>
    <m/>
    <x v="0"/>
    <x v="0"/>
    <x v="0"/>
    <x v="0"/>
    <x v="0"/>
    <x v="0"/>
    <m/>
    <x v="0"/>
    <x v="1"/>
    <x v="0"/>
    <x v="0"/>
    <x v="0"/>
    <x v="2"/>
    <n v="2330.4220183486241"/>
    <n v="419.47596330275223"/>
    <n v="274337.27999999997"/>
    <d v="2024-05-01T00:00:00"/>
    <x v="0"/>
  </r>
  <r>
    <n v="742"/>
    <d v="2024-04-01T00:00:00"/>
    <s v="27042024-A-089928"/>
    <d v="4202-04-27T00:00:00"/>
    <x v="0"/>
    <x v="1"/>
    <n v="612"/>
    <x v="4"/>
    <x v="0"/>
    <n v="5208.1899999999996"/>
    <n v="13.19"/>
    <n v="612"/>
    <n v="612"/>
    <x v="14"/>
    <s v="80/1 Cotton Fabric (  1353Mtr)"/>
    <n v="2259510"/>
    <x v="0"/>
    <n v="406711.8"/>
    <x v="0"/>
    <m/>
    <m/>
    <x v="0"/>
    <x v="0"/>
    <x v="0"/>
    <x v="0"/>
    <x v="0"/>
    <x v="0"/>
    <m/>
    <x v="0"/>
    <x v="1"/>
    <x v="0"/>
    <x v="0"/>
    <x v="0"/>
    <x v="2"/>
    <n v="3692.0098039215686"/>
    <n v="664.5617647058823"/>
    <n v="406711.8"/>
    <d v="2024-05-01T00:00:00"/>
    <x v="0"/>
  </r>
  <r>
    <n v="743"/>
    <d v="2024-04-01T00:00:00"/>
    <s v="27042024-A-089938"/>
    <d v="4202-04-27T00:00:00"/>
    <x v="0"/>
    <x v="1"/>
    <n v="14630"/>
    <x v="4"/>
    <x v="0"/>
    <n v="5208.1899999999996"/>
    <n v="6.53"/>
    <n v="14630"/>
    <n v="14630"/>
    <x v="14"/>
    <s v="80/1, 60/1 Cotton Fabric  ( 1975 / 31854 Mtr)"/>
    <n v="26756600"/>
    <x v="0"/>
    <n v="4816188"/>
    <x v="0"/>
    <m/>
    <m/>
    <x v="0"/>
    <x v="0"/>
    <x v="0"/>
    <x v="0"/>
    <x v="0"/>
    <x v="0"/>
    <m/>
    <x v="0"/>
    <x v="1"/>
    <x v="0"/>
    <x v="0"/>
    <x v="0"/>
    <x v="2"/>
    <n v="1828.8858509911142"/>
    <n v="329.19945317840057"/>
    <n v="4816188"/>
    <d v="2024-05-01T00:00:00"/>
    <x v="0"/>
  </r>
  <r>
    <n v="744"/>
    <d v="2024-04-03T00:00:00"/>
    <s v="27042024-A-089945"/>
    <d v="4202-04-27T00:00:00"/>
    <x v="0"/>
    <x v="1"/>
    <n v="7136"/>
    <x v="4"/>
    <x v="0"/>
    <n v="5208.1099999999997"/>
    <n v="4.41"/>
    <n v="7136"/>
    <n v="7136"/>
    <x v="14"/>
    <s v="40/1 Cotton Fabric ( 20000 Mtr)"/>
    <n v="8820000"/>
    <x v="0"/>
    <n v="1587600"/>
    <x v="0"/>
    <m/>
    <m/>
    <x v="0"/>
    <x v="0"/>
    <x v="0"/>
    <x v="0"/>
    <x v="0"/>
    <x v="0"/>
    <m/>
    <x v="0"/>
    <x v="1"/>
    <x v="0"/>
    <x v="0"/>
    <x v="0"/>
    <x v="2"/>
    <n v="1235.9865470852019"/>
    <n v="222.47757847533632"/>
    <n v="1587600"/>
    <d v="2024-05-03T00:00:00"/>
    <x v="0"/>
  </r>
  <r>
    <n v="745"/>
    <d v="2024-04-01T00:00:00"/>
    <s v="27042024-A-089947"/>
    <d v="4202-04-27T00:00:00"/>
    <x v="0"/>
    <x v="1"/>
    <n v="14271"/>
    <x v="4"/>
    <x v="0"/>
    <n v="5208.1099999999997"/>
    <n v="4.41"/>
    <n v="14271"/>
    <n v="14271"/>
    <x v="14"/>
    <s v="40/1 Cotton Fabric ( 40000 Mtr)"/>
    <n v="17640000"/>
    <x v="0"/>
    <n v="3175200"/>
    <x v="0"/>
    <m/>
    <m/>
    <x v="0"/>
    <x v="0"/>
    <x v="0"/>
    <x v="0"/>
    <x v="0"/>
    <x v="0"/>
    <m/>
    <x v="0"/>
    <x v="1"/>
    <x v="0"/>
    <x v="0"/>
    <x v="0"/>
    <x v="2"/>
    <n v="1236.0731553500104"/>
    <n v="222.49316796300189"/>
    <n v="3175200"/>
    <d v="2024-05-01T00:00:00"/>
    <x v="0"/>
  </r>
  <r>
    <n v="746"/>
    <d v="2024-04-01T00:00:00"/>
    <s v="27042024-A-089950"/>
    <d v="4202-04-27T00:00:00"/>
    <x v="0"/>
    <x v="0"/>
    <n v="8553"/>
    <x v="4"/>
    <x v="0"/>
    <n v="5208.1899999999996"/>
    <n v="4.46"/>
    <n v="0"/>
    <n v="0"/>
    <x v="14"/>
    <s v="40/1 Cotton Fabric Grey ( 30273 Mtr)"/>
    <n v="10671233"/>
    <x v="0"/>
    <n v="1920821.94"/>
    <x v="0"/>
    <m/>
    <m/>
    <x v="0"/>
    <x v="0"/>
    <x v="0"/>
    <x v="0"/>
    <x v="0"/>
    <x v="0"/>
    <m/>
    <x v="0"/>
    <x v="1"/>
    <x v="0"/>
    <x v="0"/>
    <x v="0"/>
    <x v="2"/>
    <n v="1247.6596515842396"/>
    <n v="224.5787372851631"/>
    <n v="0"/>
    <d v="2024-05-01T00:00:00"/>
    <x v="0"/>
  </r>
  <r>
    <n v="747"/>
    <d v="2024-04-01T00:00:00"/>
    <s v="27042024-A-089955"/>
    <d v="4202-04-27T00:00:00"/>
    <x v="0"/>
    <x v="2"/>
    <n v="7634"/>
    <x v="4"/>
    <x v="0"/>
    <n v="5208.1899999999996"/>
    <n v="2.91"/>
    <n v="3670"/>
    <n v="7634"/>
    <x v="14"/>
    <s v="16/1 Cotton Fabric Grey ( 20062 Mtr)"/>
    <n v="6219220"/>
    <x v="0"/>
    <n v="1119459.5999999999"/>
    <x v="0"/>
    <m/>
    <m/>
    <x v="0"/>
    <x v="0"/>
    <x v="0"/>
    <x v="0"/>
    <x v="0"/>
    <x v="0"/>
    <m/>
    <x v="0"/>
    <x v="1"/>
    <x v="0"/>
    <x v="0"/>
    <x v="0"/>
    <x v="2"/>
    <n v="814.67382761330884"/>
    <n v="146.64128897039558"/>
    <n v="538173.53052135173"/>
    <d v="2024-05-01T00:00:00"/>
    <x v="0"/>
  </r>
  <r>
    <n v="748"/>
    <d v="2024-04-01T00:00:00"/>
    <s v="27042024-A-089960"/>
    <d v="4202-04-27T00:00:00"/>
    <x v="0"/>
    <x v="0"/>
    <n v="6889"/>
    <x v="4"/>
    <x v="0"/>
    <n v="5208.1899999999996"/>
    <n v="1.1399999999999999"/>
    <n v="0"/>
    <n v="0"/>
    <x v="14"/>
    <s v="40/1 Cotton Fabric  ( 28556 Mtr)"/>
    <n v="2205000"/>
    <x v="0"/>
    <n v="396900"/>
    <x v="0"/>
    <m/>
    <m/>
    <x v="0"/>
    <x v="0"/>
    <x v="0"/>
    <x v="0"/>
    <x v="0"/>
    <x v="0"/>
    <m/>
    <x v="0"/>
    <x v="1"/>
    <x v="0"/>
    <x v="0"/>
    <x v="0"/>
    <x v="2"/>
    <n v="320.07548265350562"/>
    <n v="57.613586877631008"/>
    <n v="0"/>
    <d v="2024-05-01T00:00:00"/>
    <x v="0"/>
  </r>
  <r>
    <n v="749"/>
    <d v="2024-04-09T00:00:00"/>
    <s v="03052024-A-093090"/>
    <d v="5202-05-03T00:00:00"/>
    <x v="0"/>
    <x v="0"/>
    <n v="10000"/>
    <x v="4"/>
    <x v="0"/>
    <n v="2836.3"/>
    <n v="0.35"/>
    <n v="0"/>
    <n v="0"/>
    <x v="12"/>
    <s v="REFINED SODIUM BICARBONATE"/>
    <n v="975000"/>
    <x v="0"/>
    <n v="175500"/>
    <x v="0"/>
    <m/>
    <m/>
    <x v="0"/>
    <x v="0"/>
    <x v="0"/>
    <x v="6"/>
    <x v="0"/>
    <x v="0"/>
    <m/>
    <x v="0"/>
    <x v="1"/>
    <x v="0"/>
    <x v="0"/>
    <x v="0"/>
    <x v="5"/>
    <n v="97.5"/>
    <n v="17.55"/>
    <n v="0"/>
    <d v="2024-05-09T00:00:00"/>
    <x v="0"/>
  </r>
  <r>
    <n v="750"/>
    <d v="2024-04-07T00:00:00"/>
    <s v="03052024-A-093103"/>
    <d v="5202-05-03T00:00:00"/>
    <x v="0"/>
    <x v="0"/>
    <n v="200"/>
    <x v="4"/>
    <x v="0"/>
    <n v="3507.9"/>
    <n v="12.5"/>
    <n v="0"/>
    <n v="0"/>
    <x v="12"/>
    <s v="AQUAZYM AD"/>
    <n v="700000"/>
    <x v="0"/>
    <n v="126000"/>
    <x v="0"/>
    <m/>
    <m/>
    <x v="0"/>
    <x v="0"/>
    <x v="0"/>
    <x v="6"/>
    <x v="0"/>
    <x v="0"/>
    <m/>
    <x v="0"/>
    <x v="1"/>
    <x v="0"/>
    <x v="0"/>
    <x v="0"/>
    <x v="5"/>
    <n v="3500"/>
    <n v="630"/>
    <n v="0"/>
    <d v="2024-05-07T00:00:00"/>
    <x v="0"/>
  </r>
  <r>
    <n v="751"/>
    <d v="2024-04-02T00:00:00"/>
    <s v="03052024-A-093118"/>
    <d v="5202-05-03T00:00:00"/>
    <x v="0"/>
    <x v="0"/>
    <n v="12000"/>
    <x v="4"/>
    <x v="0"/>
    <n v="3402.42"/>
    <n v="1.88"/>
    <n v="0"/>
    <n v="0"/>
    <x v="12"/>
    <s v="KIERALON 2010 LIQ"/>
    <n v="6316800"/>
    <x v="0"/>
    <n v="1137024"/>
    <x v="0"/>
    <m/>
    <m/>
    <x v="0"/>
    <x v="0"/>
    <x v="0"/>
    <x v="0"/>
    <x v="0"/>
    <x v="0"/>
    <m/>
    <x v="0"/>
    <x v="1"/>
    <x v="0"/>
    <x v="0"/>
    <x v="0"/>
    <x v="5"/>
    <n v="526.4"/>
    <n v="94.751999999999995"/>
    <n v="0"/>
    <d v="2024-05-02T00:00:00"/>
    <x v="0"/>
  </r>
  <r>
    <n v="752"/>
    <d v="2024-04-30T00:00:00"/>
    <s v="03052024-A-093202"/>
    <d v="5202-05-03T00:00:00"/>
    <x v="0"/>
    <x v="0"/>
    <n v="280"/>
    <x v="4"/>
    <x v="0"/>
    <n v="3809.9189999999999"/>
    <n v="1.43"/>
    <n v="0"/>
    <n v="0"/>
    <x v="12"/>
    <s v="VERAPRO AD LIQ"/>
    <n v="112000"/>
    <x v="0"/>
    <n v="20160"/>
    <x v="0"/>
    <m/>
    <m/>
    <x v="0"/>
    <x v="0"/>
    <x v="0"/>
    <x v="5"/>
    <x v="0"/>
    <x v="0"/>
    <m/>
    <x v="0"/>
    <x v="1"/>
    <x v="0"/>
    <x v="0"/>
    <x v="0"/>
    <x v="5"/>
    <n v="400"/>
    <n v="72"/>
    <n v="0"/>
    <d v="2024-05-30T00:00:00"/>
    <x v="0"/>
  </r>
  <r>
    <n v="753"/>
    <d v="2024-04-01T00:00:00"/>
    <s v="03052024-A-093212"/>
    <d v="5202-05-03T00:00:00"/>
    <x v="0"/>
    <x v="0"/>
    <n v="375"/>
    <x v="4"/>
    <x v="0"/>
    <n v="3809.9189999999999"/>
    <n v="4.38"/>
    <n v="0"/>
    <n v="0"/>
    <x v="12"/>
    <s v="ROSOFT ESQ RAW"/>
    <n v="459375"/>
    <x v="0"/>
    <n v="82687.5"/>
    <x v="0"/>
    <m/>
    <m/>
    <x v="0"/>
    <x v="0"/>
    <x v="0"/>
    <x v="5"/>
    <x v="0"/>
    <x v="0"/>
    <m/>
    <x v="0"/>
    <x v="1"/>
    <x v="0"/>
    <x v="0"/>
    <x v="0"/>
    <x v="5"/>
    <n v="1225"/>
    <n v="220.5"/>
    <n v="0"/>
    <d v="2024-05-01T00:00:00"/>
    <x v="0"/>
  </r>
  <r>
    <n v="754"/>
    <d v="2024-04-08T00:00:00"/>
    <s v="03052024-A-093218"/>
    <d v="5202-05-03T00:00:00"/>
    <x v="0"/>
    <x v="0"/>
    <n v="1210"/>
    <x v="4"/>
    <x v="0"/>
    <n v="2931.9090000000001"/>
    <n v="1.92"/>
    <n v="0"/>
    <n v="0"/>
    <x v="12"/>
    <s v="LUFIBROL ANTOX LIQ"/>
    <n v="650980"/>
    <x v="0"/>
    <n v="117176.4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5-08T00:00:00"/>
    <x v="0"/>
  </r>
  <r>
    <n v="754"/>
    <d v="2024-04-08T00:00:00"/>
    <s v="03052024-A-093218"/>
    <d v="5202-05-03T00:00:00"/>
    <x v="0"/>
    <x v="0"/>
    <n v="880"/>
    <x v="4"/>
    <x v="0"/>
    <n v="3809.9189999999999"/>
    <n v="0.41"/>
    <n v="0"/>
    <n v="0"/>
    <x v="12"/>
    <s v="PRESTOGEN F-PL LIQ"/>
    <n v="101200"/>
    <x v="0"/>
    <n v="18216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8T00:00:00"/>
    <x v="0"/>
  </r>
  <r>
    <n v="754"/>
    <d v="2024-04-08T00:00:00"/>
    <s v="03052024-A-093218"/>
    <d v="5202-05-03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5-08T00:00:00"/>
    <x v="0"/>
  </r>
  <r>
    <n v="755"/>
    <d v="2024-04-07T00:00:00"/>
    <s v="03052024-A-093225"/>
    <d v="5202-05-03T00:00:00"/>
    <x v="0"/>
    <x v="0"/>
    <n v="990"/>
    <x v="4"/>
    <x v="0"/>
    <n v="2931.9090000000001"/>
    <n v="1.92"/>
    <n v="0"/>
    <n v="0"/>
    <x v="12"/>
    <s v="LUFIBROL ANTOX LIQ"/>
    <n v="532620"/>
    <x v="0"/>
    <n v="95871.599999999991"/>
    <x v="0"/>
    <m/>
    <m/>
    <x v="0"/>
    <x v="0"/>
    <x v="0"/>
    <x v="5"/>
    <x v="0"/>
    <x v="0"/>
    <m/>
    <x v="0"/>
    <x v="1"/>
    <x v="0"/>
    <x v="0"/>
    <x v="0"/>
    <x v="5"/>
    <n v="538"/>
    <n v="96.839999999999989"/>
    <n v="0"/>
    <d v="2024-05-07T00:00:00"/>
    <x v="0"/>
  </r>
  <r>
    <n v="755"/>
    <d v="2024-04-07T00:00:00"/>
    <s v="03052024-A-093225"/>
    <d v="5202-05-03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5-07T00:00:00"/>
    <x v="0"/>
  </r>
  <r>
    <n v="755"/>
    <d v="2024-04-07T00:00:00"/>
    <s v="03052024-A-093225"/>
    <d v="5202-05-03T00:00:00"/>
    <x v="0"/>
    <x v="0"/>
    <n v="200"/>
    <x v="4"/>
    <x v="0"/>
    <n v="3402.42"/>
    <n v="3.67"/>
    <n v="0"/>
    <n v="0"/>
    <x v="12"/>
    <s v="KIERALON MRN PK LIQ C"/>
    <n v="205600"/>
    <x v="0"/>
    <n v="37008"/>
    <x v="0"/>
    <m/>
    <m/>
    <x v="0"/>
    <x v="0"/>
    <x v="0"/>
    <x v="5"/>
    <x v="0"/>
    <x v="0"/>
    <m/>
    <x v="0"/>
    <x v="1"/>
    <x v="0"/>
    <x v="0"/>
    <x v="0"/>
    <x v="5"/>
    <n v="1028"/>
    <n v="185.04"/>
    <n v="0"/>
    <d v="2024-05-07T00:00:00"/>
    <x v="0"/>
  </r>
  <r>
    <n v="755"/>
    <d v="2024-04-07T00:00:00"/>
    <s v="03052024-A-093225"/>
    <d v="5202-05-03T00:00:00"/>
    <x v="0"/>
    <x v="0"/>
    <n v="1320"/>
    <x v="4"/>
    <x v="0"/>
    <n v="3809.9189999999999"/>
    <n v="0.41"/>
    <n v="0"/>
    <n v="0"/>
    <x v="12"/>
    <s v="PRESTOGEN F-PL LIQ"/>
    <n v="151800"/>
    <x v="0"/>
    <n v="27324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07T00:00:00"/>
    <x v="0"/>
  </r>
  <r>
    <n v="756"/>
    <d v="2024-04-07T00:00:00"/>
    <s v="03052024-A-093229"/>
    <d v="5202-05-03T00:00:00"/>
    <x v="0"/>
    <x v="1"/>
    <n v="200"/>
    <x v="4"/>
    <x v="0"/>
    <n v="2904.2089999999998"/>
    <n v="0.89"/>
    <n v="200"/>
    <n v="200"/>
    <x v="12"/>
    <s v="REVATOL S LIQUID"/>
    <n v="50000"/>
    <x v="0"/>
    <n v="9000"/>
    <x v="0"/>
    <m/>
    <m/>
    <x v="0"/>
    <x v="0"/>
    <x v="0"/>
    <x v="0"/>
    <x v="0"/>
    <x v="0"/>
    <m/>
    <x v="0"/>
    <x v="1"/>
    <x v="0"/>
    <x v="0"/>
    <x v="0"/>
    <x v="5"/>
    <n v="250"/>
    <n v="45"/>
    <n v="9000"/>
    <d v="2024-05-07T00:00:00"/>
    <x v="0"/>
  </r>
  <r>
    <n v="757"/>
    <d v="2024-04-03T00:00:00"/>
    <s v="03052024-A-093231"/>
    <d v="5202-05-03T00:00:00"/>
    <x v="0"/>
    <x v="0"/>
    <n v="25"/>
    <x v="4"/>
    <x v="0"/>
    <n v="3204.16"/>
    <n v="25.89"/>
    <n v="0"/>
    <n v="0"/>
    <x v="5"/>
    <s v="NOVACRON BROWN EC -NC"/>
    <n v="181250"/>
    <x v="0"/>
    <n v="32625"/>
    <x v="0"/>
    <m/>
    <m/>
    <x v="0"/>
    <x v="0"/>
    <x v="0"/>
    <x v="5"/>
    <x v="0"/>
    <x v="0"/>
    <m/>
    <x v="0"/>
    <x v="1"/>
    <x v="0"/>
    <x v="0"/>
    <x v="0"/>
    <x v="4"/>
    <n v="7250"/>
    <n v="1305"/>
    <n v="0"/>
    <d v="2024-05-03T00:00:00"/>
    <x v="0"/>
  </r>
  <r>
    <n v="758"/>
    <d v="2024-04-10T00:00:00"/>
    <s v="03052024-A-093232"/>
    <d v="5202-05-03T00:00:00"/>
    <x v="0"/>
    <x v="0"/>
    <n v="880"/>
    <x v="4"/>
    <x v="0"/>
    <n v="3809.9189999999999"/>
    <n v="0.41"/>
    <n v="0"/>
    <n v="0"/>
    <x v="12"/>
    <s v="PRESTOGEN F-PL LIQ"/>
    <n v="101200"/>
    <x v="0"/>
    <n v="18216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10T00:00:00"/>
    <x v="0"/>
  </r>
  <r>
    <n v="758"/>
    <d v="2024-04-10T00:00:00"/>
    <s v="03052024-A-093232"/>
    <d v="5202-05-03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5-10T00:00:00"/>
    <x v="0"/>
  </r>
  <r>
    <n v="759"/>
    <d v="2024-04-12T00:00:00"/>
    <s v="03052024-A-093240"/>
    <d v="5202-05-03T00:00:00"/>
    <x v="0"/>
    <x v="0"/>
    <n v="5940"/>
    <x v="4"/>
    <x v="0"/>
    <n v="3809.9189999999999"/>
    <n v="0.41"/>
    <n v="0"/>
    <n v="0"/>
    <x v="12"/>
    <s v="PRESTOGEN F-PL LIQ"/>
    <n v="683100"/>
    <x v="0"/>
    <n v="122958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5-12T00:00:00"/>
    <x v="0"/>
  </r>
  <r>
    <n v="760"/>
    <d v="2024-04-12T00:00:00"/>
    <s v="03052024-A-093241"/>
    <d v="5202-05-03T00:00:00"/>
    <x v="0"/>
    <x v="0"/>
    <n v="1200"/>
    <x v="4"/>
    <x v="0"/>
    <n v="3204.172"/>
    <n v="1.23"/>
    <n v="0"/>
    <n v="0"/>
    <x v="5"/>
    <s v="PRINTOFIX BLACK FF-RT"/>
    <n v="414000"/>
    <x v="0"/>
    <n v="7452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5-12T00:00:00"/>
    <x v="0"/>
  </r>
  <r>
    <n v="761"/>
    <d v="2024-04-13T00:00:00"/>
    <s v="03052024-A-093243"/>
    <d v="5202-05-03T00:00:00"/>
    <x v="0"/>
    <x v="0"/>
    <n v="2000"/>
    <x v="4"/>
    <x v="0"/>
    <n v="3204.172"/>
    <n v="1.23"/>
    <n v="0"/>
    <n v="0"/>
    <x v="5"/>
    <s v="PRINTOFIX BLACK FF-RT"/>
    <n v="690000"/>
    <x v="0"/>
    <n v="12420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5-13T00:00:00"/>
    <x v="0"/>
  </r>
  <r>
    <n v="762"/>
    <d v="2024-04-19T00:00:00"/>
    <s v="03052024-A-093244"/>
    <d v="5202-05-03T00:00:00"/>
    <x v="0"/>
    <x v="0"/>
    <n v="3300"/>
    <x v="4"/>
    <x v="0"/>
    <n v="3809.9189999999999"/>
    <n v="0.41"/>
    <n v="0"/>
    <n v="0"/>
    <x v="12"/>
    <s v="PRESTOGEN F-PL LIQ"/>
    <n v="379500"/>
    <x v="0"/>
    <n v="68310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5-19T00:00:00"/>
    <x v="0"/>
  </r>
  <r>
    <n v="763"/>
    <d v="2024-04-19T00:00:00"/>
    <s v="03052024-A-093246"/>
    <d v="5202-05-03T00:00:00"/>
    <x v="0"/>
    <x v="0"/>
    <n v="500"/>
    <x v="4"/>
    <x v="0"/>
    <n v="3204.172"/>
    <n v="1.23"/>
    <n v="0"/>
    <n v="0"/>
    <x v="5"/>
    <s v="PRINTOFIX BLACK FF-RT"/>
    <n v="172500"/>
    <x v="0"/>
    <n v="31050"/>
    <x v="0"/>
    <m/>
    <m/>
    <x v="0"/>
    <x v="0"/>
    <x v="0"/>
    <x v="6"/>
    <x v="0"/>
    <x v="0"/>
    <m/>
    <x v="0"/>
    <x v="1"/>
    <x v="0"/>
    <x v="0"/>
    <x v="0"/>
    <x v="4"/>
    <n v="345"/>
    <n v="62.1"/>
    <n v="0"/>
    <d v="2024-05-19T00:00:00"/>
    <x v="0"/>
  </r>
  <r>
    <n v="764"/>
    <d v="2024-04-06T00:00:00"/>
    <s v="03052024-A-093247"/>
    <d v="5202-05-03T00:00:00"/>
    <x v="0"/>
    <x v="0"/>
    <n v="130"/>
    <x v="4"/>
    <x v="0"/>
    <n v="3809.9189999999999"/>
    <n v="3.14"/>
    <n v="0"/>
    <n v="0"/>
    <x v="12"/>
    <s v="FORNAX W"/>
    <n v="114400"/>
    <x v="0"/>
    <n v="20592"/>
    <x v="0"/>
    <m/>
    <m/>
    <x v="0"/>
    <x v="0"/>
    <x v="0"/>
    <x v="5"/>
    <x v="0"/>
    <x v="0"/>
    <m/>
    <x v="0"/>
    <x v="1"/>
    <x v="0"/>
    <x v="0"/>
    <x v="0"/>
    <x v="5"/>
    <n v="880"/>
    <n v="158.4"/>
    <n v="0"/>
    <d v="2024-05-06T00:00:00"/>
    <x v="0"/>
  </r>
  <r>
    <n v="765"/>
    <d v="2024-04-05T00:00:00"/>
    <s v="03052024-A-093248"/>
    <d v="5202-05-03T00:00:00"/>
    <x v="0"/>
    <x v="0"/>
    <n v="2200"/>
    <x v="4"/>
    <x v="0"/>
    <n v="3204.2"/>
    <n v="1.8"/>
    <n v="0"/>
    <n v="0"/>
    <x v="5"/>
    <s v="LEUCOPHOR BMF LIQUID"/>
    <n v="1111000"/>
    <x v="0"/>
    <n v="199980"/>
    <x v="0"/>
    <m/>
    <m/>
    <x v="0"/>
    <x v="0"/>
    <x v="0"/>
    <x v="6"/>
    <x v="0"/>
    <x v="0"/>
    <m/>
    <x v="0"/>
    <x v="1"/>
    <x v="0"/>
    <x v="0"/>
    <x v="0"/>
    <x v="4"/>
    <n v="505"/>
    <n v="90.9"/>
    <n v="0"/>
    <d v="2024-05-05T00:00:00"/>
    <x v="0"/>
  </r>
  <r>
    <n v="766"/>
    <d v="2024-04-21T00:00:00"/>
    <s v="03052024-A-093249"/>
    <d v="5202-05-03T00:00:00"/>
    <x v="0"/>
    <x v="0"/>
    <n v="1300"/>
    <x v="4"/>
    <x v="0"/>
    <n v="3204.172"/>
    <n v="1.23"/>
    <n v="0"/>
    <n v="0"/>
    <x v="5"/>
    <s v="PRINTOFIX BLACK FF-RT"/>
    <n v="448500"/>
    <x v="0"/>
    <n v="80730"/>
    <x v="0"/>
    <m/>
    <m/>
    <x v="0"/>
    <x v="0"/>
    <x v="0"/>
    <x v="5"/>
    <x v="0"/>
    <x v="0"/>
    <m/>
    <x v="0"/>
    <x v="1"/>
    <x v="0"/>
    <x v="0"/>
    <x v="0"/>
    <x v="4"/>
    <n v="345"/>
    <n v="62.1"/>
    <n v="0"/>
    <d v="2024-05-21T00:00:00"/>
    <x v="0"/>
  </r>
  <r>
    <n v="767"/>
    <d v="2024-04-21T00:00:00"/>
    <s v="03052024-A-093250"/>
    <d v="5202-05-03T00:00:00"/>
    <x v="0"/>
    <x v="0"/>
    <n v="3080"/>
    <x v="4"/>
    <x v="0"/>
    <n v="3809.9189999999999"/>
    <n v="0.41"/>
    <n v="0"/>
    <n v="0"/>
    <x v="12"/>
    <s v="PRESTOGEN F-PL LIQ"/>
    <n v="354200"/>
    <x v="0"/>
    <n v="63756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5-21T00:00:00"/>
    <x v="0"/>
  </r>
  <r>
    <n v="768"/>
    <d v="2024-04-13T00:00:00"/>
    <s v="03052024-A-093251"/>
    <d v="5202-05-03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5"/>
    <x v="0"/>
    <x v="0"/>
    <m/>
    <x v="0"/>
    <x v="1"/>
    <x v="0"/>
    <x v="0"/>
    <x v="0"/>
    <x v="5"/>
    <n v="675"/>
    <n v="121.5"/>
    <n v="0"/>
    <d v="2024-05-13T00:00:00"/>
    <x v="0"/>
  </r>
  <r>
    <n v="769"/>
    <d v="2024-04-05T00:00:00"/>
    <s v="03052024-A-093252"/>
    <d v="5202-05-03T00:00:00"/>
    <x v="0"/>
    <x v="1"/>
    <n v="175"/>
    <x v="4"/>
    <x v="0"/>
    <n v="2904.2089999999998"/>
    <n v="3.13"/>
    <n v="175"/>
    <n v="175"/>
    <x v="12"/>
    <s v="CHEMITOL WS GRANULES"/>
    <n v="153125"/>
    <x v="0"/>
    <n v="27562.5"/>
    <x v="0"/>
    <m/>
    <m/>
    <x v="0"/>
    <x v="0"/>
    <x v="0"/>
    <x v="0"/>
    <x v="0"/>
    <x v="0"/>
    <m/>
    <x v="0"/>
    <x v="1"/>
    <x v="0"/>
    <x v="0"/>
    <x v="0"/>
    <x v="5"/>
    <n v="875"/>
    <n v="157.5"/>
    <n v="27562.5"/>
    <d v="2024-05-05T00:00:00"/>
    <x v="0"/>
  </r>
  <r>
    <n v="770"/>
    <d v="2024-04-07T00:00:00"/>
    <s v="03052024-A-093253"/>
    <d v="5202-05-03T00:00:00"/>
    <x v="0"/>
    <x v="1"/>
    <n v="225"/>
    <x v="4"/>
    <x v="0"/>
    <n v="2904.2089999999998"/>
    <n v="3.13"/>
    <n v="225"/>
    <n v="225"/>
    <x v="12"/>
    <s v="CHEMITOL WS GRANULES"/>
    <n v="196875"/>
    <x v="0"/>
    <n v="35437.5"/>
    <x v="0"/>
    <m/>
    <m/>
    <x v="0"/>
    <x v="0"/>
    <x v="0"/>
    <x v="0"/>
    <x v="0"/>
    <x v="0"/>
    <m/>
    <x v="0"/>
    <x v="1"/>
    <x v="0"/>
    <x v="0"/>
    <x v="0"/>
    <x v="5"/>
    <n v="875"/>
    <n v="157.5"/>
    <n v="35437.5"/>
    <d v="2024-05-07T00:00:00"/>
    <x v="0"/>
  </r>
  <r>
    <n v="771"/>
    <d v="2024-04-05T00:00:00"/>
    <s v="03052024-A-093254"/>
    <d v="5202-05-03T00:00:00"/>
    <x v="0"/>
    <x v="0"/>
    <n v="240"/>
    <x v="4"/>
    <x v="0"/>
    <n v="3809.9189999999999"/>
    <n v="2.41"/>
    <n v="0"/>
    <n v="0"/>
    <x v="12"/>
    <s v="PERLAVIN SRD"/>
    <n v="162000"/>
    <x v="0"/>
    <n v="29160"/>
    <x v="0"/>
    <m/>
    <m/>
    <x v="0"/>
    <x v="0"/>
    <x v="0"/>
    <x v="5"/>
    <x v="0"/>
    <x v="0"/>
    <m/>
    <x v="0"/>
    <x v="1"/>
    <x v="0"/>
    <x v="0"/>
    <x v="0"/>
    <x v="5"/>
    <n v="675"/>
    <n v="121.5"/>
    <n v="0"/>
    <d v="2024-05-05T00:00:00"/>
    <x v="0"/>
  </r>
  <r>
    <n v="772"/>
    <d v="2024-04-09T00:00:00"/>
    <s v="04052024-A-093294"/>
    <d v="5202-05-0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5"/>
    <x v="0"/>
    <x v="0"/>
    <m/>
    <x v="0"/>
    <x v="1"/>
    <x v="0"/>
    <x v="0"/>
    <x v="0"/>
    <x v="5"/>
    <n v="139"/>
    <n v="25.02"/>
    <n v="0"/>
    <d v="2024-05-09T00:00:00"/>
    <x v="0"/>
  </r>
  <r>
    <n v="773"/>
    <d v="2024-04-13T00:00:00"/>
    <s v="04052024-A-093296"/>
    <d v="5202-05-0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5"/>
    <x v="0"/>
    <x v="0"/>
    <m/>
    <x v="0"/>
    <x v="1"/>
    <x v="0"/>
    <x v="0"/>
    <x v="0"/>
    <x v="5"/>
    <n v="139"/>
    <n v="25.02"/>
    <n v="0"/>
    <d v="2024-05-13T00:00:00"/>
    <x v="0"/>
  </r>
  <r>
    <n v="774"/>
    <d v="2024-04-13T00:00:00"/>
    <s v="04052024-A-093299"/>
    <d v="5202-05-04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5"/>
    <x v="0"/>
    <x v="0"/>
    <m/>
    <x v="0"/>
    <x v="1"/>
    <x v="0"/>
    <x v="0"/>
    <x v="0"/>
    <x v="5"/>
    <n v="193"/>
    <n v="34.74"/>
    <n v="0"/>
    <d v="2024-05-13T00:00:00"/>
    <x v="0"/>
  </r>
  <r>
    <n v="775"/>
    <d v="2024-04-08T00:00:00"/>
    <s v="04052024-A-093302"/>
    <d v="5202-05-04T00:00:00"/>
    <x v="0"/>
    <x v="1"/>
    <n v="29520"/>
    <x v="4"/>
    <x v="0"/>
    <n v="2815.12"/>
    <n v="0.28000000000000003"/>
    <n v="29520"/>
    <n v="29520"/>
    <x v="12"/>
    <s v="CAUSTIC SODA LIQUID"/>
    <n v="2317320"/>
    <x v="0"/>
    <n v="417117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7117.6"/>
    <d v="2024-05-08T00:00:00"/>
    <x v="0"/>
  </r>
  <r>
    <n v="776"/>
    <d v="2024-04-09T00:00:00"/>
    <s v="04052024-A-093303"/>
    <d v="5202-05-04T00:00:00"/>
    <x v="0"/>
    <x v="1"/>
    <n v="29420"/>
    <x v="4"/>
    <x v="0"/>
    <n v="2815.12"/>
    <n v="0.28000000000000003"/>
    <n v="29420"/>
    <n v="29420"/>
    <x v="12"/>
    <s v="CAUSTIC SODA LIQUID"/>
    <n v="2309470"/>
    <x v="0"/>
    <n v="415704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5704.6"/>
    <d v="2024-05-09T00:00:00"/>
    <x v="0"/>
  </r>
  <r>
    <n v="777"/>
    <d v="2024-04-07T00:00:00"/>
    <s v="04052024-A-093306"/>
    <d v="5202-05-04T00:00:00"/>
    <x v="0"/>
    <x v="1"/>
    <n v="29620"/>
    <x v="4"/>
    <x v="0"/>
    <n v="2815.12"/>
    <n v="0.28000000000000003"/>
    <n v="29620"/>
    <n v="29620"/>
    <x v="12"/>
    <s v="CAUSTIC SODA LIQUID"/>
    <n v="2325170"/>
    <x v="0"/>
    <n v="418530.6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8530.6"/>
    <d v="2024-05-07T00:00:00"/>
    <x v="0"/>
  </r>
  <r>
    <n v="778"/>
    <d v="2024-05-01T00:00:00"/>
    <s v="07052024-A-094605"/>
    <d v="2024-05-07T00:00:00"/>
    <x v="0"/>
    <x v="1"/>
    <n v="13074"/>
    <x v="4"/>
    <x v="0"/>
    <n v="5505.1"/>
    <n v="1.64"/>
    <n v="13074"/>
    <n v="13074"/>
    <x v="20"/>
    <s v="Comber Noil"/>
    <n v="6014040"/>
    <x v="0"/>
    <n v="1082527.2"/>
    <x v="0"/>
    <m/>
    <m/>
    <x v="0"/>
    <x v="0"/>
    <x v="0"/>
    <x v="0"/>
    <x v="0"/>
    <x v="0"/>
    <m/>
    <x v="0"/>
    <x v="1"/>
    <x v="0"/>
    <x v="0"/>
    <x v="0"/>
    <x v="9"/>
    <n v="460"/>
    <n v="82.8"/>
    <n v="1082527.2"/>
    <d v="2024-05-31T00:00:00"/>
    <x v="0"/>
  </r>
  <r>
    <n v="779"/>
    <d v="2024-05-01T00:00:00"/>
    <s v="07052024-A-094631"/>
    <d v="2024-05-07T00:00:00"/>
    <x v="0"/>
    <x v="1"/>
    <n v="12654"/>
    <x v="4"/>
    <x v="0"/>
    <n v="5505.1"/>
    <n v="1.77"/>
    <n v="12654"/>
    <n v="12654"/>
    <x v="20"/>
    <s v="Comber Noil"/>
    <n v="6263730"/>
    <x v="0"/>
    <n v="1127471.3999999999"/>
    <x v="0"/>
    <m/>
    <m/>
    <x v="0"/>
    <x v="0"/>
    <x v="0"/>
    <x v="0"/>
    <x v="0"/>
    <x v="0"/>
    <m/>
    <x v="0"/>
    <x v="1"/>
    <x v="0"/>
    <x v="0"/>
    <x v="0"/>
    <x v="9"/>
    <n v="495"/>
    <n v="89.1"/>
    <n v="1127471.3999999999"/>
    <d v="2024-05-31T00:00:00"/>
    <x v="0"/>
  </r>
  <r>
    <n v="780"/>
    <d v="2024-05-01T00:00:00"/>
    <s v="07052024-A-094659"/>
    <d v="2024-05-07T00:00:00"/>
    <x v="0"/>
    <x v="1"/>
    <n v="12128"/>
    <x v="4"/>
    <x v="0"/>
    <n v="5505.1"/>
    <n v="1.77"/>
    <n v="12128"/>
    <n v="12128"/>
    <x v="20"/>
    <s v="Comber Noil"/>
    <n v="6003360"/>
    <x v="0"/>
    <n v="1080604.8"/>
    <x v="0"/>
    <m/>
    <m/>
    <x v="0"/>
    <x v="0"/>
    <x v="0"/>
    <x v="0"/>
    <x v="0"/>
    <x v="0"/>
    <m/>
    <x v="0"/>
    <x v="1"/>
    <x v="0"/>
    <x v="0"/>
    <x v="0"/>
    <x v="9"/>
    <n v="495"/>
    <n v="89.100000000000009"/>
    <n v="1080604.8"/>
    <d v="2024-05-31T00:00:00"/>
    <x v="0"/>
  </r>
  <r>
    <n v="781"/>
    <d v="2024-05-01T00:00:00"/>
    <s v="07052024-A-094668"/>
    <d v="2024-05-07T00:00:00"/>
    <x v="0"/>
    <x v="1"/>
    <n v="12070"/>
    <x v="4"/>
    <x v="0"/>
    <n v="5505.1"/>
    <n v="1.64"/>
    <n v="12070"/>
    <n v="12070"/>
    <x v="20"/>
    <s v="Comber Noil"/>
    <n v="5552200"/>
    <x v="0"/>
    <n v="999396"/>
    <x v="0"/>
    <m/>
    <m/>
    <x v="0"/>
    <x v="0"/>
    <x v="0"/>
    <x v="0"/>
    <x v="0"/>
    <x v="0"/>
    <m/>
    <x v="0"/>
    <x v="1"/>
    <x v="0"/>
    <x v="0"/>
    <x v="0"/>
    <x v="9"/>
    <n v="460"/>
    <n v="82.8"/>
    <n v="999396"/>
    <d v="2024-05-31T00:00:00"/>
    <x v="0"/>
  </r>
  <r>
    <n v="782"/>
    <d v="2024-05-03T00:00:00"/>
    <s v="07052024-A-094678"/>
    <d v="2024-05-07T00:00:00"/>
    <x v="0"/>
    <x v="1"/>
    <n v="12814"/>
    <x v="4"/>
    <x v="0"/>
    <n v="5505.1"/>
    <n v="1.55"/>
    <n v="12814"/>
    <n v="12814"/>
    <x v="20"/>
    <s v="Comber Noil"/>
    <n v="5574090"/>
    <x v="0"/>
    <n v="1003336.2"/>
    <x v="0"/>
    <m/>
    <m/>
    <x v="0"/>
    <x v="0"/>
    <x v="0"/>
    <x v="0"/>
    <x v="0"/>
    <x v="0"/>
    <m/>
    <x v="0"/>
    <x v="1"/>
    <x v="0"/>
    <x v="0"/>
    <x v="0"/>
    <x v="9"/>
    <n v="435"/>
    <n v="78.3"/>
    <n v="1003336.2"/>
    <d v="2024-06-02T00:00:00"/>
    <x v="0"/>
  </r>
  <r>
    <n v="783"/>
    <d v="2024-05-01T00:00:00"/>
    <s v="07052024-A-094693"/>
    <d v="2024-05-07T00:00:00"/>
    <x v="0"/>
    <x v="1"/>
    <n v="12447"/>
    <x v="4"/>
    <x v="0"/>
    <n v="5505.1"/>
    <n v="1.64"/>
    <n v="12447"/>
    <n v="12447"/>
    <x v="20"/>
    <s v="Comber Noil"/>
    <n v="5725620"/>
    <x v="0"/>
    <n v="1030611.6"/>
    <x v="0"/>
    <m/>
    <m/>
    <x v="0"/>
    <x v="0"/>
    <x v="0"/>
    <x v="0"/>
    <x v="0"/>
    <x v="0"/>
    <m/>
    <x v="0"/>
    <x v="1"/>
    <x v="0"/>
    <x v="0"/>
    <x v="0"/>
    <x v="9"/>
    <n v="460"/>
    <n v="82.8"/>
    <n v="1030611.6"/>
    <d v="2024-05-31T00:00:00"/>
    <x v="0"/>
  </r>
  <r>
    <n v="784"/>
    <d v="2024-05-01T00:00:00"/>
    <s v="07052024-A-094704"/>
    <d v="2024-05-07T00:00:00"/>
    <x v="0"/>
    <x v="1"/>
    <n v="12108"/>
    <x v="4"/>
    <x v="0"/>
    <n v="5505.1"/>
    <n v="1.64"/>
    <n v="12108"/>
    <n v="12108"/>
    <x v="20"/>
    <s v="Comber Noil"/>
    <n v="5569680"/>
    <x v="0"/>
    <n v="1002542.3999999999"/>
    <x v="0"/>
    <m/>
    <m/>
    <x v="0"/>
    <x v="0"/>
    <x v="0"/>
    <x v="0"/>
    <x v="0"/>
    <x v="0"/>
    <m/>
    <x v="0"/>
    <x v="1"/>
    <x v="0"/>
    <x v="0"/>
    <x v="0"/>
    <x v="9"/>
    <n v="460"/>
    <n v="82.8"/>
    <n v="1002542.4"/>
    <d v="2024-05-31T00:00:00"/>
    <x v="0"/>
  </r>
  <r>
    <n v="785"/>
    <d v="2024-05-01T00:00:00"/>
    <s v="07052024-A-094719"/>
    <d v="2024-05-07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5-31T00:00:00"/>
    <x v="0"/>
  </r>
  <r>
    <n v="786"/>
    <d v="2024-05-01T00:00:00"/>
    <s v="07052024-A-094854"/>
    <d v="2024-05-07T00:00:00"/>
    <x v="0"/>
    <x v="1"/>
    <n v="4354"/>
    <x v="4"/>
    <x v="0"/>
    <n v="5206.12"/>
    <n v="1.91"/>
    <n v="4354"/>
    <n v="4354"/>
    <x v="3"/>
    <s v="PC65:35 20/1 (9600 LBS)"/>
    <n v="2332800"/>
    <x v="0"/>
    <n v="419904"/>
    <x v="0"/>
    <m/>
    <m/>
    <x v="0"/>
    <x v="0"/>
    <x v="0"/>
    <x v="0"/>
    <x v="0"/>
    <x v="0"/>
    <m/>
    <x v="0"/>
    <x v="1"/>
    <x v="0"/>
    <x v="0"/>
    <x v="0"/>
    <x v="3"/>
    <n v="535.78318787322007"/>
    <n v="96.440973817179611"/>
    <n v="419904"/>
    <d v="2024-05-31T00:00:00"/>
    <x v="0"/>
  </r>
  <r>
    <n v="787"/>
    <d v="2024-05-01T00:00:00"/>
    <s v="07052024-A-094898"/>
    <d v="2024-05-07T00:00:00"/>
    <x v="0"/>
    <x v="2"/>
    <n v="4536"/>
    <x v="4"/>
    <x v="0"/>
    <n v="5206.12"/>
    <n v="1.91"/>
    <n v="66"/>
    <n v="4536"/>
    <x v="3"/>
    <s v="PC65:35 20/1 (10000 LBS)"/>
    <n v="2430000"/>
    <x v="0"/>
    <n v="437400"/>
    <x v="0"/>
    <m/>
    <m/>
    <x v="0"/>
    <x v="0"/>
    <x v="0"/>
    <x v="0"/>
    <x v="0"/>
    <x v="0"/>
    <m/>
    <x v="0"/>
    <x v="1"/>
    <x v="0"/>
    <x v="0"/>
    <x v="0"/>
    <x v="3"/>
    <n v="535.71428571428567"/>
    <n v="96.428571428571431"/>
    <n v="6364.2857142857147"/>
    <d v="2024-05-31T00:00:00"/>
    <x v="0"/>
  </r>
  <r>
    <n v="788"/>
    <d v="2024-05-01T00:00:00"/>
    <s v="07052024-A-094913"/>
    <d v="2024-05-07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5-31T00:00:00"/>
    <x v="0"/>
  </r>
  <r>
    <n v="789"/>
    <d v="2024-05-01T00:00:00"/>
    <s v="07052024-A-094927"/>
    <d v="2024-05-07T00:00:00"/>
    <x v="0"/>
    <x v="1"/>
    <n v="4536"/>
    <x v="4"/>
    <x v="0"/>
    <n v="5206.12"/>
    <n v="1.91"/>
    <n v="4536"/>
    <n v="4536"/>
    <x v="3"/>
    <s v="PC65:35 20/1 (10000 LBS)"/>
    <n v="2430000"/>
    <x v="0"/>
    <n v="437400"/>
    <x v="0"/>
    <m/>
    <m/>
    <x v="0"/>
    <x v="0"/>
    <x v="0"/>
    <x v="0"/>
    <x v="0"/>
    <x v="0"/>
    <m/>
    <x v="0"/>
    <x v="1"/>
    <x v="0"/>
    <x v="0"/>
    <x v="0"/>
    <x v="3"/>
    <n v="535.71428571428567"/>
    <n v="96.428571428571431"/>
    <n v="437400"/>
    <d v="2024-05-31T00:00:00"/>
    <x v="0"/>
  </r>
  <r>
    <n v="790"/>
    <d v="2024-05-01T00:00:00"/>
    <s v="07052024-A-094942"/>
    <d v="2024-05-07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5-31T00:00:00"/>
    <x v="0"/>
  </r>
  <r>
    <n v="791"/>
    <d v="2024-05-01T00:00:00"/>
    <s v="07052024-A-094954"/>
    <d v="2024-05-07T00:00:00"/>
    <x v="0"/>
    <x v="0"/>
    <n v="2268"/>
    <x v="4"/>
    <x v="0"/>
    <n v="5206.12"/>
    <n v="1.82"/>
    <n v="0"/>
    <n v="0"/>
    <x v="3"/>
    <s v="PC65:35 16/1 (5000 LBS)"/>
    <n v="1155000"/>
    <x v="0"/>
    <n v="207900"/>
    <x v="0"/>
    <m/>
    <m/>
    <x v="0"/>
    <x v="0"/>
    <x v="0"/>
    <x v="0"/>
    <x v="0"/>
    <x v="0"/>
    <m/>
    <x v="0"/>
    <x v="1"/>
    <x v="0"/>
    <x v="0"/>
    <x v="0"/>
    <x v="3"/>
    <n v="509.25925925925924"/>
    <n v="91.666666666666671"/>
    <n v="0"/>
    <d v="2024-05-31T00:00:00"/>
    <x v="0"/>
  </r>
  <r>
    <n v="792"/>
    <d v="2024-05-01T00:00:00"/>
    <s v="07052024-A-094968"/>
    <d v="2024-05-07T00:00:00"/>
    <x v="0"/>
    <x v="1"/>
    <n v="4536"/>
    <x v="4"/>
    <x v="0"/>
    <n v="5206.12"/>
    <n v="1.91"/>
    <n v="4536"/>
    <n v="4536"/>
    <x v="3"/>
    <s v="PC65:35 20/1 (10000 LBS)"/>
    <n v="2430000"/>
    <x v="0"/>
    <n v="437400"/>
    <x v="0"/>
    <m/>
    <m/>
    <x v="0"/>
    <x v="0"/>
    <x v="0"/>
    <x v="0"/>
    <x v="0"/>
    <x v="0"/>
    <m/>
    <x v="0"/>
    <x v="1"/>
    <x v="0"/>
    <x v="0"/>
    <x v="0"/>
    <x v="3"/>
    <n v="535.71428571428567"/>
    <n v="96.428571428571431"/>
    <n v="437400"/>
    <d v="2024-05-31T00:00:00"/>
    <x v="0"/>
  </r>
  <r>
    <n v="793"/>
    <d v="2024-05-01T00:00:00"/>
    <s v="07052024-A-094983"/>
    <d v="2024-05-07T00:00:00"/>
    <x v="0"/>
    <x v="0"/>
    <n v="4082"/>
    <x v="4"/>
    <x v="0"/>
    <n v="5205.13"/>
    <n v="4.25"/>
    <n v="0"/>
    <n v="0"/>
    <x v="10"/>
    <s v="30/1 Cotton Yarn (9000 LBS)"/>
    <n v="4860000"/>
    <x v="0"/>
    <n v="874800"/>
    <x v="0"/>
    <m/>
    <m/>
    <x v="0"/>
    <x v="0"/>
    <x v="0"/>
    <x v="6"/>
    <x v="0"/>
    <x v="0"/>
    <m/>
    <x v="0"/>
    <x v="1"/>
    <x v="0"/>
    <x v="0"/>
    <x v="0"/>
    <x v="3"/>
    <n v="1190.592846643802"/>
    <n v="214.30671239588438"/>
    <n v="0"/>
    <d v="2024-05-31T00:00:00"/>
    <x v="0"/>
  </r>
  <r>
    <n v="794"/>
    <d v="2024-05-01T00:00:00"/>
    <s v="07052024-A-095004"/>
    <d v="2024-05-07T00:00:00"/>
    <x v="0"/>
    <x v="0"/>
    <n v="1814"/>
    <x v="4"/>
    <x v="0"/>
    <n v="5205.13"/>
    <n v="4.25"/>
    <n v="0"/>
    <n v="0"/>
    <x v="10"/>
    <s v="30/1 Cotton Yarn (4000 LBS)"/>
    <n v="2160000"/>
    <x v="0"/>
    <n v="388800"/>
    <x v="0"/>
    <m/>
    <m/>
    <x v="0"/>
    <x v="0"/>
    <x v="0"/>
    <x v="6"/>
    <x v="0"/>
    <x v="0"/>
    <m/>
    <x v="0"/>
    <x v="1"/>
    <x v="0"/>
    <x v="0"/>
    <x v="0"/>
    <x v="3"/>
    <n v="1190.7386990077177"/>
    <n v="214.33296582138919"/>
    <n v="0"/>
    <d v="2024-05-31T00:00:00"/>
    <x v="0"/>
  </r>
  <r>
    <n v="795"/>
    <d v="2024-05-01T00:00:00"/>
    <s v="07052024-A-095015"/>
    <d v="2024-05-07T00:00:00"/>
    <x v="0"/>
    <x v="0"/>
    <n v="3130"/>
    <x v="4"/>
    <x v="0"/>
    <n v="5205.13"/>
    <n v="4.25"/>
    <n v="0"/>
    <n v="0"/>
    <x v="10"/>
    <s v="30/1 Cotton Yarn (6900 LBS)"/>
    <n v="3726000"/>
    <x v="0"/>
    <n v="670680"/>
    <x v="0"/>
    <m/>
    <m/>
    <x v="0"/>
    <x v="0"/>
    <x v="0"/>
    <x v="6"/>
    <x v="0"/>
    <x v="0"/>
    <m/>
    <x v="0"/>
    <x v="1"/>
    <x v="0"/>
    <x v="0"/>
    <x v="0"/>
    <x v="3"/>
    <n v="1190.4153354632588"/>
    <n v="214.27476038338659"/>
    <n v="0"/>
    <d v="2024-05-31T00:00:00"/>
    <x v="0"/>
  </r>
  <r>
    <n v="796"/>
    <d v="2024-05-01T00:00:00"/>
    <s v="07052024-A-095032"/>
    <d v="2024-05-07T00:00:00"/>
    <x v="0"/>
    <x v="0"/>
    <n v="2631"/>
    <x v="4"/>
    <x v="0"/>
    <n v="5205.13"/>
    <n v="2.99"/>
    <n v="0"/>
    <n v="0"/>
    <x v="10"/>
    <s v="30/1 Cotton Yarn (5800 LBS)"/>
    <n v="2204000"/>
    <x v="0"/>
    <n v="396720"/>
    <x v="0"/>
    <m/>
    <m/>
    <x v="0"/>
    <x v="0"/>
    <x v="0"/>
    <x v="5"/>
    <x v="0"/>
    <x v="0"/>
    <m/>
    <x v="0"/>
    <x v="1"/>
    <x v="0"/>
    <x v="0"/>
    <x v="0"/>
    <x v="3"/>
    <n v="837.70429494488792"/>
    <n v="150.78677309007981"/>
    <n v="0"/>
    <d v="2024-05-31T00:00:00"/>
    <x v="0"/>
  </r>
  <r>
    <n v="797"/>
    <d v="2024-05-01T00:00:00"/>
    <s v="07052024-A-095047"/>
    <d v="2024-05-07T00:00:00"/>
    <x v="0"/>
    <x v="0"/>
    <n v="2798"/>
    <x v="4"/>
    <x v="0"/>
    <n v="5205.12"/>
    <n v="6.42"/>
    <n v="0"/>
    <n v="0"/>
    <x v="10"/>
    <s v="24/1 Cotton Yarn (6168.96 LBS)"/>
    <n v="5032000"/>
    <x v="0"/>
    <n v="905760"/>
    <x v="0"/>
    <m/>
    <m/>
    <x v="0"/>
    <x v="0"/>
    <x v="0"/>
    <x v="0"/>
    <x v="0"/>
    <x v="0"/>
    <m/>
    <x v="0"/>
    <x v="1"/>
    <x v="0"/>
    <x v="0"/>
    <x v="0"/>
    <x v="3"/>
    <n v="1798.4274481772695"/>
    <n v="323.7169406719085"/>
    <n v="0"/>
    <d v="2024-05-31T00:00:00"/>
    <x v="0"/>
  </r>
  <r>
    <n v="798"/>
    <d v="2024-05-03T00:00:00"/>
    <s v="24052024-A-103130"/>
    <d v="5202-05-24T00:00:00"/>
    <x v="0"/>
    <x v="0"/>
    <n v="2010"/>
    <x v="4"/>
    <x v="0"/>
    <n v="3204.172"/>
    <n v="4.96"/>
    <n v="0"/>
    <n v="0"/>
    <x v="5"/>
    <s v="PIGMASOL YELLOW MRP"/>
    <n v="2793900"/>
    <x v="0"/>
    <n v="502902"/>
    <x v="0"/>
    <m/>
    <m/>
    <x v="0"/>
    <x v="0"/>
    <x v="0"/>
    <x v="5"/>
    <x v="0"/>
    <x v="0"/>
    <m/>
    <x v="0"/>
    <x v="1"/>
    <x v="0"/>
    <x v="0"/>
    <x v="0"/>
    <x v="4"/>
    <n v="1390"/>
    <n v="250.2"/>
    <n v="0"/>
    <d v="2024-06-02T00:00:00"/>
    <x v="0"/>
  </r>
  <r>
    <n v="799"/>
    <d v="2024-05-04T00:00:00"/>
    <s v="24052024-A-103146"/>
    <d v="5202-05-24T00:00:00"/>
    <x v="0"/>
    <x v="0"/>
    <n v="1050"/>
    <x v="4"/>
    <x v="0"/>
    <n v="3204.172"/>
    <n v="5.98"/>
    <n v="0"/>
    <n v="0"/>
    <x v="5"/>
    <s v="PIGMASOL RED MKB-R"/>
    <n v="1758750"/>
    <x v="0"/>
    <n v="316575"/>
    <x v="0"/>
    <m/>
    <m/>
    <x v="0"/>
    <x v="0"/>
    <x v="0"/>
    <x v="5"/>
    <x v="0"/>
    <x v="0"/>
    <m/>
    <x v="0"/>
    <x v="1"/>
    <x v="0"/>
    <x v="0"/>
    <x v="0"/>
    <x v="4"/>
    <n v="1675"/>
    <n v="301.5"/>
    <n v="0"/>
    <d v="2024-06-03T00:00:00"/>
    <x v="0"/>
  </r>
  <r>
    <n v="800"/>
    <d v="2024-05-01T00:00:00"/>
    <s v="24052024-A-103156"/>
    <d v="5202-05-24T00:00:00"/>
    <x v="0"/>
    <x v="0"/>
    <n v="210"/>
    <x v="4"/>
    <x v="0"/>
    <n v="3507.9"/>
    <n v="3.13"/>
    <n v="0"/>
    <n v="0"/>
    <x v="12"/>
    <s v="PROMOLAZE HT CONC  "/>
    <n v="183750"/>
    <x v="0"/>
    <n v="33075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5-31T00:00:00"/>
    <x v="0"/>
  </r>
  <r>
    <n v="801"/>
    <d v="2024-05-01T00:00:00"/>
    <s v="24052024-A-103170"/>
    <d v="5202-05-24T00:00:00"/>
    <x v="0"/>
    <x v="1"/>
    <n v="29302"/>
    <x v="4"/>
    <x v="0"/>
    <n v="2815.12"/>
    <n v="0.28000000000000003"/>
    <n v="29302"/>
    <n v="29302"/>
    <x v="12"/>
    <s v="CAUSTIC SODA LIQUID"/>
    <n v="2281160.7000000002"/>
    <x v="0"/>
    <n v="410608.92600000004"/>
    <x v="0"/>
    <m/>
    <m/>
    <x v="0"/>
    <x v="0"/>
    <x v="0"/>
    <x v="0"/>
    <x v="0"/>
    <x v="0"/>
    <m/>
    <x v="0"/>
    <x v="1"/>
    <x v="0"/>
    <x v="0"/>
    <x v="0"/>
    <x v="5"/>
    <n v="77.850000000000009"/>
    <n v="14.013000000000002"/>
    <n v="410608.92600000004"/>
    <d v="2024-05-31T00:00:00"/>
    <x v="0"/>
  </r>
  <r>
    <n v="802"/>
    <d v="2024-05-01T00:00:00"/>
    <s v="24052024-A-103193"/>
    <d v="5202-05-24T00:00:00"/>
    <x v="0"/>
    <x v="1"/>
    <n v="29460"/>
    <x v="4"/>
    <x v="0"/>
    <n v="2815.12"/>
    <n v="0.28000000000000003"/>
    <n v="29460"/>
    <n v="29460"/>
    <x v="12"/>
    <s v="CAUSTIC SODA LIQUID"/>
    <n v="2293461"/>
    <x v="0"/>
    <n v="412822.98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2822.98"/>
    <d v="2024-05-31T00:00:00"/>
    <x v="0"/>
  </r>
  <r>
    <n v="803"/>
    <d v="2024-05-02T00:00:00"/>
    <s v="24052024-A-103197"/>
    <d v="5202-05-24T00:00:00"/>
    <x v="0"/>
    <x v="1"/>
    <n v="29080"/>
    <x v="4"/>
    <x v="0"/>
    <n v="2815.12"/>
    <n v="0.28000000000000003"/>
    <n v="29080"/>
    <n v="29080"/>
    <x v="12"/>
    <s v="CAUSTIC SODA LIQUID"/>
    <n v="2263878"/>
    <x v="0"/>
    <n v="407498.04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07498.04"/>
    <d v="2024-06-01T00:00:00"/>
    <x v="0"/>
  </r>
  <r>
    <n v="804"/>
    <d v="2024-05-04T00:00:00"/>
    <s v="24052024-A-103211"/>
    <d v="5202-05-24T00:00:00"/>
    <x v="0"/>
    <x v="1"/>
    <n v="29250"/>
    <x v="4"/>
    <x v="0"/>
    <n v="2815.12"/>
    <n v="0.28000000000000003"/>
    <n v="29250"/>
    <n v="29250"/>
    <x v="12"/>
    <s v="CAUSTIC SODA LIQUID"/>
    <n v="2296125"/>
    <x v="0"/>
    <n v="413302.5"/>
    <x v="0"/>
    <m/>
    <m/>
    <x v="0"/>
    <x v="0"/>
    <x v="0"/>
    <x v="0"/>
    <x v="0"/>
    <x v="0"/>
    <m/>
    <x v="0"/>
    <x v="1"/>
    <x v="0"/>
    <x v="0"/>
    <x v="0"/>
    <x v="5"/>
    <n v="78.5"/>
    <n v="14.13"/>
    <n v="413302.5"/>
    <d v="2024-06-03T00:00:00"/>
    <x v="0"/>
  </r>
  <r>
    <n v="805"/>
    <d v="2024-05-04T00:00:00"/>
    <s v="24052024-A-103219"/>
    <d v="5202-05-24T00:00:00"/>
    <x v="0"/>
    <x v="1"/>
    <n v="29330"/>
    <x v="4"/>
    <x v="0"/>
    <n v="2815.12"/>
    <n v="0.28000000000000003"/>
    <n v="29330"/>
    <n v="29330"/>
    <x v="12"/>
    <s v="CAUSTIC SODA LIQUID"/>
    <n v="2302405"/>
    <x v="0"/>
    <n v="414432.89999999997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414432.89999999997"/>
    <d v="2024-06-03T00:00:00"/>
    <x v="0"/>
  </r>
  <r>
    <n v="806"/>
    <d v="2024-05-04T00:00:00"/>
    <s v="24052024-A-103228"/>
    <d v="5202-05-24T00:00:00"/>
    <x v="0"/>
    <x v="1"/>
    <n v="29302"/>
    <x v="4"/>
    <x v="0"/>
    <n v="2815.12"/>
    <n v="0.28000000000000003"/>
    <n v="29302"/>
    <n v="29302"/>
    <x v="12"/>
    <s v="CAUSTIC SODA LIQUID"/>
    <n v="2300207"/>
    <x v="0"/>
    <n v="414037.26"/>
    <x v="0"/>
    <m/>
    <m/>
    <x v="0"/>
    <x v="0"/>
    <x v="0"/>
    <x v="0"/>
    <x v="0"/>
    <x v="0"/>
    <m/>
    <x v="0"/>
    <x v="1"/>
    <x v="0"/>
    <x v="0"/>
    <x v="0"/>
    <x v="5"/>
    <n v="78.5"/>
    <n v="14.13"/>
    <n v="414037.26"/>
    <d v="2024-06-03T00:00:00"/>
    <x v="0"/>
  </r>
  <r>
    <n v="807"/>
    <d v="2024-05-01T00:00:00"/>
    <s v="24052024-A-103235"/>
    <d v="5202-05-24T00:00:00"/>
    <x v="0"/>
    <x v="0"/>
    <n v="25"/>
    <x v="4"/>
    <x v="0"/>
    <n v="3204.1590000000001"/>
    <n v="44.64"/>
    <n v="0"/>
    <n v="0"/>
    <x v="5"/>
    <s v="INDANTHREN BRILLIANT BLUE RCL GRAN"/>
    <n v="312500"/>
    <x v="0"/>
    <n v="56250"/>
    <x v="0"/>
    <m/>
    <m/>
    <x v="0"/>
    <x v="0"/>
    <x v="0"/>
    <x v="0"/>
    <x v="0"/>
    <x v="0"/>
    <m/>
    <x v="0"/>
    <x v="1"/>
    <x v="0"/>
    <x v="0"/>
    <x v="0"/>
    <x v="4"/>
    <n v="12500"/>
    <n v="2250"/>
    <n v="0"/>
    <d v="2024-05-31T00:00:00"/>
    <x v="0"/>
  </r>
  <r>
    <n v="807"/>
    <d v="2024-05-01T00:00:00"/>
    <s v="24052024-A-103235"/>
    <d v="5202-05-24T00:00:00"/>
    <x v="0"/>
    <x v="0"/>
    <n v="30"/>
    <x v="4"/>
    <x v="0"/>
    <n v="3204.1109999999999"/>
    <n v="39.520000000000003"/>
    <n v="0"/>
    <n v="0"/>
    <x v="5"/>
    <s v="DIANIX RUBINE S-3B "/>
    <n v="332000"/>
    <x v="0"/>
    <n v="59760"/>
    <x v="0"/>
    <m/>
    <m/>
    <x v="0"/>
    <x v="0"/>
    <x v="0"/>
    <x v="0"/>
    <x v="0"/>
    <x v="0"/>
    <m/>
    <x v="0"/>
    <x v="1"/>
    <x v="0"/>
    <x v="0"/>
    <x v="0"/>
    <x v="4"/>
    <n v="11066.666666666666"/>
    <n v="1992"/>
    <n v="0"/>
    <d v="2024-05-31T00:00:00"/>
    <x v="0"/>
  </r>
  <r>
    <n v="808"/>
    <d v="2024-05-01T00:00:00"/>
    <s v="24052024-A-103243"/>
    <d v="5202-05-2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5"/>
    <x v="0"/>
    <x v="0"/>
    <m/>
    <x v="0"/>
    <x v="1"/>
    <x v="0"/>
    <x v="0"/>
    <x v="0"/>
    <x v="5"/>
    <n v="139"/>
    <n v="25.02"/>
    <n v="0"/>
    <d v="2024-05-31T00:00:00"/>
    <x v="0"/>
  </r>
  <r>
    <n v="809"/>
    <d v="2024-05-01T00:00:00"/>
    <s v="24052024-A-103248"/>
    <d v="5202-05-2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5-31T00:00:00"/>
    <x v="0"/>
  </r>
  <r>
    <n v="810"/>
    <d v="2024-05-01T00:00:00"/>
    <s v="24052024-A-103255"/>
    <d v="5202-05-2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5"/>
    <x v="0"/>
    <x v="0"/>
    <m/>
    <x v="0"/>
    <x v="1"/>
    <x v="0"/>
    <x v="0"/>
    <x v="0"/>
    <x v="5"/>
    <n v="139"/>
    <n v="25.02"/>
    <n v="0"/>
    <d v="2024-05-31T00:00:00"/>
    <x v="0"/>
  </r>
  <r>
    <n v="811"/>
    <d v="2024-05-04T00:00:00"/>
    <s v="24052024-A-103261"/>
    <d v="5202-05-2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03T00:00:00"/>
    <x v="0"/>
  </r>
  <r>
    <n v="812"/>
    <d v="2024-05-04T00:00:00"/>
    <s v="24052024-A-103269"/>
    <d v="5202-05-24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6-03T00:00:00"/>
    <x v="0"/>
  </r>
  <r>
    <n v="813"/>
    <d v="2024-05-03T00:00:00"/>
    <s v="24052024-A-103276"/>
    <d v="5202-05-2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5"/>
    <x v="0"/>
    <x v="0"/>
    <m/>
    <x v="0"/>
    <x v="1"/>
    <x v="0"/>
    <x v="0"/>
    <x v="0"/>
    <x v="5"/>
    <n v="139"/>
    <n v="25.02"/>
    <n v="0"/>
    <d v="2024-06-02T00:00:00"/>
    <x v="0"/>
  </r>
  <r>
    <n v="814"/>
    <d v="2024-05-04T00:00:00"/>
    <s v="24052024-A-103279"/>
    <d v="5202-05-2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03T00:00:00"/>
    <x v="0"/>
  </r>
  <r>
    <n v="815"/>
    <d v="2024-05-04T00:00:00"/>
    <s v="24052024-A-103317"/>
    <d v="5202-05-24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0"/>
    <x v="0"/>
    <x v="0"/>
    <m/>
    <x v="0"/>
    <x v="1"/>
    <x v="0"/>
    <x v="0"/>
    <x v="0"/>
    <x v="5"/>
    <n v="675"/>
    <n v="121.5"/>
    <n v="0"/>
    <d v="2024-06-03T00:00:00"/>
    <x v="0"/>
  </r>
  <r>
    <n v="816"/>
    <d v="2024-05-04T00:00:00"/>
    <s v="24052024-A-103325"/>
    <d v="5202-05-24T00:00:00"/>
    <x v="0"/>
    <x v="1"/>
    <n v="400"/>
    <x v="4"/>
    <x v="0"/>
    <n v="2904.2089999999998"/>
    <n v="2.68"/>
    <n v="400"/>
    <n v="400"/>
    <x v="12"/>
    <s v="CHEMITOL WS GRANULES"/>
    <n v="300000"/>
    <x v="0"/>
    <n v="54000"/>
    <x v="0"/>
    <m/>
    <m/>
    <x v="0"/>
    <x v="0"/>
    <x v="0"/>
    <x v="0"/>
    <x v="0"/>
    <x v="0"/>
    <m/>
    <x v="0"/>
    <x v="1"/>
    <x v="0"/>
    <x v="0"/>
    <x v="0"/>
    <x v="5"/>
    <n v="750"/>
    <n v="135"/>
    <n v="54000"/>
    <d v="2024-06-03T00:00:00"/>
    <x v="0"/>
  </r>
  <r>
    <n v="817"/>
    <d v="2024-05-03T00:00:00"/>
    <s v="24052024-A-103409"/>
    <d v="5202-05-24T00:00:00"/>
    <x v="0"/>
    <x v="0"/>
    <n v="800"/>
    <x v="4"/>
    <x v="0"/>
    <n v="3204.16"/>
    <n v="5.21"/>
    <n v="0"/>
    <n v="0"/>
    <x v="5"/>
    <s v="INKPRESSO RK CYNINE , DEEP BLACK "/>
    <n v="1168000"/>
    <x v="0"/>
    <n v="210240"/>
    <x v="0"/>
    <m/>
    <m/>
    <x v="0"/>
    <x v="0"/>
    <x v="0"/>
    <x v="5"/>
    <x v="0"/>
    <x v="0"/>
    <m/>
    <x v="0"/>
    <x v="1"/>
    <x v="0"/>
    <x v="0"/>
    <x v="0"/>
    <x v="4"/>
    <n v="1460"/>
    <n v="262.8"/>
    <n v="0"/>
    <d v="2024-06-02T00:00:00"/>
    <x v="0"/>
  </r>
  <r>
    <n v="818"/>
    <d v="2024-05-03T00:00:00"/>
    <s v="24052024-A-103444"/>
    <d v="5202-05-24T00:00:00"/>
    <x v="0"/>
    <x v="0"/>
    <n v="800"/>
    <x v="4"/>
    <x v="0"/>
    <n v="3204.16"/>
    <n v="5.21"/>
    <n v="0"/>
    <n v="0"/>
    <x v="5"/>
    <s v="INKPRESSO RK BRILLIANT YELLOW,MAGENTA,ORANGE"/>
    <n v="1168000"/>
    <x v="0"/>
    <n v="210240"/>
    <x v="0"/>
    <m/>
    <m/>
    <x v="0"/>
    <x v="0"/>
    <x v="0"/>
    <x v="0"/>
    <x v="0"/>
    <x v="0"/>
    <m/>
    <x v="0"/>
    <x v="1"/>
    <x v="0"/>
    <x v="0"/>
    <x v="0"/>
    <x v="4"/>
    <n v="1460"/>
    <n v="262.8"/>
    <n v="0"/>
    <d v="2024-06-02T00:00:00"/>
    <x v="0"/>
  </r>
  <r>
    <n v="819"/>
    <d v="2024-05-01T00:00:00"/>
    <s v="24052024-A-103447"/>
    <d v="5202-05-24T00:00:00"/>
    <x v="0"/>
    <x v="0"/>
    <n v="1200"/>
    <x v="4"/>
    <x v="0"/>
    <n v="3809.9189999999999"/>
    <n v="2.5"/>
    <n v="0"/>
    <n v="0"/>
    <x v="12"/>
    <s v="ALKASOFT PEN"/>
    <n v="840000"/>
    <x v="0"/>
    <n v="151200"/>
    <x v="0"/>
    <m/>
    <m/>
    <x v="0"/>
    <x v="0"/>
    <x v="0"/>
    <x v="5"/>
    <x v="0"/>
    <x v="0"/>
    <m/>
    <x v="0"/>
    <x v="1"/>
    <x v="0"/>
    <x v="0"/>
    <x v="0"/>
    <x v="5"/>
    <n v="700"/>
    <n v="126"/>
    <n v="0"/>
    <d v="2024-05-31T00:00:00"/>
    <x v="0"/>
  </r>
  <r>
    <n v="820"/>
    <d v="2024-05-01T00:00:00"/>
    <s v="24052024-A-103454"/>
    <d v="5202-05-24T00:00:00"/>
    <x v="0"/>
    <x v="0"/>
    <n v="1200"/>
    <x v="4"/>
    <x v="0"/>
    <n v="3809.9189999999999"/>
    <n v="2.5"/>
    <n v="0"/>
    <n v="0"/>
    <x v="12"/>
    <s v="ALKASOFT PEN"/>
    <n v="840000"/>
    <x v="0"/>
    <n v="151200"/>
    <x v="0"/>
    <m/>
    <m/>
    <x v="0"/>
    <x v="0"/>
    <x v="0"/>
    <x v="5"/>
    <x v="0"/>
    <x v="0"/>
    <m/>
    <x v="0"/>
    <x v="1"/>
    <x v="0"/>
    <x v="0"/>
    <x v="0"/>
    <x v="5"/>
    <n v="700"/>
    <n v="126"/>
    <n v="0"/>
    <d v="2024-05-31T00:00:00"/>
    <x v="0"/>
  </r>
  <r>
    <n v="821"/>
    <d v="2024-05-01T00:00:00"/>
    <s v="24052024-A-103465"/>
    <d v="5202-05-24T00:00:00"/>
    <x v="0"/>
    <x v="0"/>
    <n v="960"/>
    <x v="4"/>
    <x v="0"/>
    <n v="3809.9189999999999"/>
    <n v="2.5"/>
    <n v="0"/>
    <n v="0"/>
    <x v="12"/>
    <s v="ALKASOFT PEN"/>
    <n v="672000"/>
    <x v="0"/>
    <n v="120960"/>
    <x v="0"/>
    <m/>
    <m/>
    <x v="0"/>
    <x v="0"/>
    <x v="0"/>
    <x v="5"/>
    <x v="0"/>
    <x v="0"/>
    <m/>
    <x v="0"/>
    <x v="1"/>
    <x v="0"/>
    <x v="0"/>
    <x v="0"/>
    <x v="5"/>
    <n v="700"/>
    <n v="126"/>
    <n v="0"/>
    <d v="2024-05-31T00:00:00"/>
    <x v="0"/>
  </r>
  <r>
    <n v="822"/>
    <d v="2024-05-04T00:00:00"/>
    <s v="24052024-A-103475"/>
    <d v="5202-05-24T00:00:00"/>
    <x v="0"/>
    <x v="0"/>
    <n v="1440"/>
    <x v="4"/>
    <x v="0"/>
    <n v="3809.9189999999999"/>
    <n v="2.5"/>
    <n v="0"/>
    <n v="0"/>
    <x v="12"/>
    <s v="ALKASOFT PEN"/>
    <n v="1008000"/>
    <x v="0"/>
    <n v="181440"/>
    <x v="0"/>
    <m/>
    <m/>
    <x v="0"/>
    <x v="0"/>
    <x v="0"/>
    <x v="5"/>
    <x v="0"/>
    <x v="0"/>
    <m/>
    <x v="0"/>
    <x v="1"/>
    <x v="0"/>
    <x v="0"/>
    <x v="0"/>
    <x v="5"/>
    <n v="700"/>
    <n v="126"/>
    <n v="0"/>
    <d v="2024-06-03T00:00:00"/>
    <x v="0"/>
  </r>
  <r>
    <n v="823"/>
    <d v="2024-05-01T00:00:00"/>
    <s v="24052024-A-103482"/>
    <d v="5202-05-24T00:00:00"/>
    <x v="0"/>
    <x v="0"/>
    <n v="1680"/>
    <x v="4"/>
    <x v="0"/>
    <n v="3204.172"/>
    <n v="4.07"/>
    <n v="0"/>
    <n v="0"/>
    <x v="5"/>
    <s v="FAVOPRINT BLUE AFFR"/>
    <n v="1915200"/>
    <x v="0"/>
    <n v="344736"/>
    <x v="0"/>
    <m/>
    <m/>
    <x v="0"/>
    <x v="0"/>
    <x v="0"/>
    <x v="5"/>
    <x v="0"/>
    <x v="0"/>
    <m/>
    <x v="0"/>
    <x v="1"/>
    <x v="0"/>
    <x v="0"/>
    <x v="0"/>
    <x v="4"/>
    <n v="1140"/>
    <n v="205.2"/>
    <n v="0"/>
    <d v="2024-05-31T00:00:00"/>
    <x v="0"/>
  </r>
  <r>
    <n v="824"/>
    <d v="2024-05-01T00:00:00"/>
    <s v="24052024-A-103491"/>
    <d v="5202-05-24T00:00:00"/>
    <x v="0"/>
    <x v="0"/>
    <n v="510"/>
    <x v="4"/>
    <x v="0"/>
    <n v="3204.172"/>
    <n v="4.07"/>
    <n v="0"/>
    <n v="0"/>
    <x v="5"/>
    <s v="FAVOPRINT YELLOW AF-3GN"/>
    <n v="581400"/>
    <x v="0"/>
    <n v="104652"/>
    <x v="0"/>
    <m/>
    <m/>
    <x v="0"/>
    <x v="0"/>
    <x v="0"/>
    <x v="5"/>
    <x v="0"/>
    <x v="0"/>
    <m/>
    <x v="0"/>
    <x v="1"/>
    <x v="0"/>
    <x v="0"/>
    <x v="0"/>
    <x v="4"/>
    <n v="1140"/>
    <n v="205.2"/>
    <n v="0"/>
    <d v="2024-05-31T00:00:00"/>
    <x v="0"/>
  </r>
  <r>
    <n v="825"/>
    <d v="2024-05-03T00:00:00"/>
    <s v="24052024-A-103500"/>
    <d v="5202-05-24T00:00:00"/>
    <x v="0"/>
    <x v="2"/>
    <n v="35000"/>
    <x v="4"/>
    <x v="0"/>
    <n v="2501.009"/>
    <n v="0.03"/>
    <n v="19925"/>
    <n v="35000"/>
    <x v="12"/>
    <s v="REFINED LAKE SALT"/>
    <n v="295750"/>
    <x v="0"/>
    <n v="53235"/>
    <x v="0"/>
    <m/>
    <m/>
    <x v="0"/>
    <x v="0"/>
    <x v="0"/>
    <x v="0"/>
    <x v="0"/>
    <x v="0"/>
    <m/>
    <x v="0"/>
    <x v="1"/>
    <x v="0"/>
    <x v="0"/>
    <x v="0"/>
    <x v="5"/>
    <n v="8.4499999999999993"/>
    <n v="1.5209999999999999"/>
    <n v="30305.924999999999"/>
    <d v="2024-06-02T00:00:00"/>
    <x v="0"/>
  </r>
  <r>
    <n v="826"/>
    <d v="2024-05-01T00:00:00"/>
    <s v="24052024-A-103525"/>
    <d v="5202-05-24T00:00:00"/>
    <x v="0"/>
    <x v="0"/>
    <n v="600"/>
    <x v="4"/>
    <x v="0"/>
    <n v="3809.9189999999999"/>
    <n v="1.88"/>
    <n v="0"/>
    <n v="0"/>
    <x v="12"/>
    <s v="RUCOFIN SIQ"/>
    <n v="315000"/>
    <x v="0"/>
    <n v="56700"/>
    <x v="0"/>
    <m/>
    <m/>
    <x v="0"/>
    <x v="0"/>
    <x v="0"/>
    <x v="5"/>
    <x v="0"/>
    <x v="0"/>
    <m/>
    <x v="0"/>
    <x v="1"/>
    <x v="0"/>
    <x v="0"/>
    <x v="0"/>
    <x v="5"/>
    <n v="525"/>
    <n v="94.5"/>
    <n v="0"/>
    <d v="2024-05-31T00:00:00"/>
    <x v="0"/>
  </r>
  <r>
    <n v="827"/>
    <d v="2024-05-04T00:00:00"/>
    <s v="24052024-A-103531"/>
    <d v="5202-05-24T00:00:00"/>
    <x v="0"/>
    <x v="0"/>
    <n v="200"/>
    <x v="4"/>
    <x v="0"/>
    <n v="3507.9"/>
    <n v="12.5"/>
    <n v="0"/>
    <n v="0"/>
    <x v="12"/>
    <s v="AQUAZYM AD"/>
    <n v="700000"/>
    <x v="0"/>
    <n v="126000"/>
    <x v="0"/>
    <m/>
    <m/>
    <x v="0"/>
    <x v="0"/>
    <x v="0"/>
    <x v="5"/>
    <x v="0"/>
    <x v="0"/>
    <m/>
    <x v="0"/>
    <x v="1"/>
    <x v="0"/>
    <x v="0"/>
    <x v="0"/>
    <x v="5"/>
    <n v="3500"/>
    <n v="630"/>
    <n v="0"/>
    <d v="2024-06-03T00:00:00"/>
    <x v="0"/>
  </r>
  <r>
    <n v="828"/>
    <d v="2024-05-01T00:00:00"/>
    <s v="24052024-A-103544"/>
    <d v="5202-05-24T00:00:00"/>
    <x v="0"/>
    <x v="0"/>
    <n v="5040"/>
    <x v="4"/>
    <x v="0"/>
    <n v="3910"/>
    <n v="1.8"/>
    <n v="0"/>
    <n v="0"/>
    <x v="12"/>
    <s v="Solusoft MW.PK liq c"/>
    <n v="2545200"/>
    <x v="0"/>
    <n v="458136"/>
    <x v="0"/>
    <m/>
    <m/>
    <x v="0"/>
    <x v="0"/>
    <x v="0"/>
    <x v="5"/>
    <x v="0"/>
    <x v="0"/>
    <m/>
    <x v="0"/>
    <x v="1"/>
    <x v="0"/>
    <x v="0"/>
    <x v="0"/>
    <x v="5"/>
    <n v="505"/>
    <n v="90.9"/>
    <n v="0"/>
    <d v="2024-05-31T00:00:00"/>
    <x v="0"/>
  </r>
  <r>
    <n v="829"/>
    <d v="2024-05-01T00:00:00"/>
    <s v="24052024-A-103590"/>
    <d v="5202-05-24T00:00:00"/>
    <x v="0"/>
    <x v="1"/>
    <n v="8126"/>
    <x v="4"/>
    <x v="0"/>
    <n v="5208.1899999999996"/>
    <n v="6.1"/>
    <n v="8126"/>
    <n v="8126"/>
    <x v="14"/>
    <s v="60/1 COTTON FABRIC (19144/MTRS)"/>
    <n v="13879400"/>
    <x v="0"/>
    <n v="2498292"/>
    <x v="0"/>
    <m/>
    <m/>
    <x v="0"/>
    <x v="0"/>
    <x v="0"/>
    <x v="0"/>
    <x v="0"/>
    <x v="0"/>
    <m/>
    <x v="0"/>
    <x v="1"/>
    <x v="0"/>
    <x v="0"/>
    <x v="0"/>
    <x v="2"/>
    <n v="1708.0236278611862"/>
    <n v="307.44425301501354"/>
    <n v="2498292"/>
    <d v="2024-05-31T00:00:00"/>
    <x v="0"/>
  </r>
  <r>
    <n v="830"/>
    <d v="2024-05-01T00:00:00"/>
    <s v="24052024-A-103591"/>
    <d v="5202-05-24T00:00:00"/>
    <x v="0"/>
    <x v="1"/>
    <n v="3485"/>
    <x v="4"/>
    <x v="0"/>
    <n v="5208.1899999999996"/>
    <n v="6.67"/>
    <n v="3485"/>
    <n v="3485"/>
    <x v="14"/>
    <s v="60/1COTTON FABRIC (9893/MTRS)"/>
    <n v="6509594"/>
    <x v="0"/>
    <n v="1171726.92"/>
    <x v="0"/>
    <m/>
    <m/>
    <x v="0"/>
    <x v="0"/>
    <x v="0"/>
    <x v="0"/>
    <x v="0"/>
    <x v="0"/>
    <m/>
    <x v="0"/>
    <x v="1"/>
    <x v="0"/>
    <x v="0"/>
    <x v="0"/>
    <x v="2"/>
    <n v="1867.8892395982784"/>
    <n v="336.22006312769008"/>
    <n v="1171726.92"/>
    <d v="2024-05-31T00:00:00"/>
    <x v="0"/>
  </r>
  <r>
    <n v="831"/>
    <d v="2024-05-01T00:00:00"/>
    <s v="24052024-A-103594"/>
    <d v="5202-05-24T00:00:00"/>
    <x v="0"/>
    <x v="1"/>
    <n v="3857"/>
    <x v="4"/>
    <x v="0"/>
    <n v="5208.1899999999996"/>
    <n v="6.65"/>
    <n v="3857"/>
    <n v="3857"/>
    <x v="14"/>
    <s v="60/1 COTTON FABRIC (9842/MTRS)"/>
    <n v="7184660"/>
    <x v="0"/>
    <n v="1293238.8"/>
    <x v="0"/>
    <m/>
    <m/>
    <x v="0"/>
    <x v="0"/>
    <x v="0"/>
    <x v="0"/>
    <x v="0"/>
    <x v="0"/>
    <m/>
    <x v="0"/>
    <x v="1"/>
    <x v="0"/>
    <x v="0"/>
    <x v="0"/>
    <x v="2"/>
    <n v="1862.7586206896551"/>
    <n v="335.29655172413794"/>
    <n v="1293238.8"/>
    <d v="2024-05-31T00:00:00"/>
    <x v="0"/>
  </r>
  <r>
    <n v="832"/>
    <d v="2024-05-01T00:00:00"/>
    <s v="24052024-A-103597"/>
    <d v="5202-05-24T00:00:00"/>
    <x v="0"/>
    <x v="0"/>
    <n v="2125"/>
    <x v="4"/>
    <x v="0"/>
    <n v="5210.1099999999997"/>
    <n v="4.34"/>
    <n v="0"/>
    <n v="0"/>
    <x v="2"/>
    <s v="CVC 60:40 40/1 FABRIC (9286/MTRS)"/>
    <n v="2581508"/>
    <x v="0"/>
    <n v="464671.44"/>
    <x v="0"/>
    <m/>
    <m/>
    <x v="0"/>
    <x v="0"/>
    <x v="0"/>
    <x v="5"/>
    <x v="0"/>
    <x v="0"/>
    <m/>
    <x v="0"/>
    <x v="1"/>
    <x v="0"/>
    <x v="0"/>
    <x v="0"/>
    <x v="2"/>
    <n v="1214.8272941176472"/>
    <n v="218.66891294117647"/>
    <n v="0"/>
    <d v="2024-05-31T00:00:00"/>
    <x v="0"/>
  </r>
  <r>
    <n v="833"/>
    <d v="2024-05-01T00:00:00"/>
    <s v="24052024-A-103600"/>
    <d v="5202-05-24T00:00:00"/>
    <x v="0"/>
    <x v="1"/>
    <n v="2490"/>
    <x v="4"/>
    <x v="0"/>
    <n v="5208.1899999999996"/>
    <n v="6.11"/>
    <n v="2490"/>
    <n v="2490"/>
    <x v="14"/>
    <s v="60/1 COTTON FABRIC (5874/MTRS)"/>
    <n v="4258650"/>
    <x v="0"/>
    <n v="766557"/>
    <x v="0"/>
    <m/>
    <m/>
    <x v="0"/>
    <x v="0"/>
    <x v="0"/>
    <x v="0"/>
    <x v="0"/>
    <x v="0"/>
    <m/>
    <x v="0"/>
    <x v="1"/>
    <x v="0"/>
    <x v="0"/>
    <x v="0"/>
    <x v="2"/>
    <n v="1710.301204819277"/>
    <n v="307.85421686746986"/>
    <n v="766557"/>
    <d v="2024-05-31T00:00:00"/>
    <x v="0"/>
  </r>
  <r>
    <n v="834"/>
    <d v="2024-05-01T00:00:00"/>
    <s v="24052024-A-103605"/>
    <d v="5202-05-24T00:00:00"/>
    <x v="0"/>
    <x v="1"/>
    <n v="17700"/>
    <x v="4"/>
    <x v="0"/>
    <n v="5208.1099999999997"/>
    <n v="4.45"/>
    <n v="17700"/>
    <n v="17700"/>
    <x v="14"/>
    <s v="40/1 COTTON FABRIC (50000/MTRS)"/>
    <n v="22050000"/>
    <x v="0"/>
    <n v="3969000"/>
    <x v="0"/>
    <m/>
    <m/>
    <x v="0"/>
    <x v="0"/>
    <x v="0"/>
    <x v="0"/>
    <x v="0"/>
    <x v="0"/>
    <m/>
    <x v="0"/>
    <x v="1"/>
    <x v="0"/>
    <x v="0"/>
    <x v="0"/>
    <x v="2"/>
    <n v="1245.7627118644068"/>
    <n v="224.23728813559322"/>
    <n v="3969000"/>
    <d v="2024-05-31T00:00:00"/>
    <x v="0"/>
  </r>
  <r>
    <n v="835"/>
    <d v="2024-05-01T00:00:00"/>
    <s v="24052024-A-103608"/>
    <d v="5202-05-24T00:00:00"/>
    <x v="0"/>
    <x v="0"/>
    <n v="11135"/>
    <x v="4"/>
    <x v="0"/>
    <n v="5210.1099999999997"/>
    <n v="2.94"/>
    <n v="0"/>
    <n v="0"/>
    <x v="2"/>
    <s v="PC 65:35  24/1 FABRIC (21001/MTRS)"/>
    <n v="9156436"/>
    <x v="0"/>
    <n v="1648158.48"/>
    <x v="0"/>
    <m/>
    <m/>
    <x v="0"/>
    <x v="0"/>
    <x v="0"/>
    <x v="0"/>
    <x v="0"/>
    <x v="0"/>
    <m/>
    <x v="0"/>
    <x v="1"/>
    <x v="0"/>
    <x v="0"/>
    <x v="0"/>
    <x v="2"/>
    <n v="822.31127076784912"/>
    <n v="148.01602873821284"/>
    <n v="0"/>
    <d v="2024-05-31T00:00:00"/>
    <x v="0"/>
  </r>
  <r>
    <n v="836"/>
    <d v="2024-05-01T00:00:00"/>
    <s v="24052024-A-103609"/>
    <d v="5202-05-24T00:00:00"/>
    <x v="0"/>
    <x v="0"/>
    <n v="11804"/>
    <x v="4"/>
    <x v="0"/>
    <n v="5210.1099999999997"/>
    <n v="4.0599999999999996"/>
    <n v="0"/>
    <n v="0"/>
    <x v="2"/>
    <s v="CVC 60:40 40/1 FABRIC (29436/MTRS)"/>
    <n v="13415457"/>
    <x v="0"/>
    <n v="2414782.2599999998"/>
    <x v="0"/>
    <m/>
    <m/>
    <x v="0"/>
    <x v="0"/>
    <x v="0"/>
    <x v="5"/>
    <x v="0"/>
    <x v="0"/>
    <m/>
    <x v="0"/>
    <x v="1"/>
    <x v="0"/>
    <x v="0"/>
    <x v="0"/>
    <x v="2"/>
    <n v="1136.5178752965096"/>
    <n v="204.57321755337171"/>
    <n v="0"/>
    <d v="2024-05-31T00:00:00"/>
    <x v="0"/>
  </r>
  <r>
    <n v="837"/>
    <d v="2024-05-01T00:00:00"/>
    <s v="29052024-A-105977"/>
    <d v="5202-05-29T00:00:00"/>
    <x v="0"/>
    <x v="0"/>
    <n v="469"/>
    <x v="4"/>
    <x v="0"/>
    <n v="5205.13"/>
    <n v="4.25"/>
    <n v="0"/>
    <n v="0"/>
    <x v="10"/>
    <s v="30/1 Cotton Yarn ( 1033LBS)"/>
    <n v="557820"/>
    <x v="0"/>
    <n v="100407.59999999999"/>
    <x v="0"/>
    <m/>
    <m/>
    <x v="0"/>
    <x v="0"/>
    <x v="0"/>
    <x v="5"/>
    <x v="0"/>
    <x v="0"/>
    <m/>
    <x v="0"/>
    <x v="1"/>
    <x v="0"/>
    <x v="0"/>
    <x v="0"/>
    <x v="3"/>
    <n v="1189.3816631130064"/>
    <n v="214.08869936034114"/>
    <n v="0"/>
    <d v="2024-05-31T00:00:00"/>
    <x v="0"/>
  </r>
  <r>
    <n v="838"/>
    <d v="2024-05-01T00:00:00"/>
    <s v="29052024-A-105995"/>
    <d v="5202-05-29T00:00:00"/>
    <x v="0"/>
    <x v="0"/>
    <n v="196"/>
    <x v="4"/>
    <x v="0"/>
    <n v="5205.13"/>
    <n v="4.26"/>
    <n v="0"/>
    <n v="0"/>
    <x v="10"/>
    <s v="30/1 Cotton Yarn ( 433LBS)"/>
    <n v="233820"/>
    <x v="0"/>
    <n v="42087.6"/>
    <x v="0"/>
    <m/>
    <m/>
    <x v="0"/>
    <x v="0"/>
    <x v="0"/>
    <x v="5"/>
    <x v="0"/>
    <x v="0"/>
    <m/>
    <x v="0"/>
    <x v="1"/>
    <x v="0"/>
    <x v="0"/>
    <x v="0"/>
    <x v="3"/>
    <n v="1192.9591836734694"/>
    <n v="214.73265306122448"/>
    <n v="0"/>
    <d v="2024-05-31T00:00:00"/>
    <x v="0"/>
  </r>
  <r>
    <n v="839"/>
    <d v="2024-05-01T00:00:00"/>
    <s v="29052024-A-105997"/>
    <d v="5202-05-29T00:00:00"/>
    <x v="0"/>
    <x v="2"/>
    <n v="3083"/>
    <x v="4"/>
    <x v="0"/>
    <n v="5205.13"/>
    <n v="4.25"/>
    <n v="210"/>
    <n v="3083"/>
    <x v="10"/>
    <s v="30/1 Cotton Yarn ( 6796LBS)"/>
    <n v="3669840"/>
    <x v="0"/>
    <n v="660571.19999999995"/>
    <x v="0"/>
    <m/>
    <m/>
    <x v="0"/>
    <x v="0"/>
    <x v="0"/>
    <x v="0"/>
    <x v="0"/>
    <x v="0"/>
    <m/>
    <x v="0"/>
    <x v="1"/>
    <x v="0"/>
    <x v="0"/>
    <x v="0"/>
    <x v="3"/>
    <n v="1190.3470645475186"/>
    <n v="214.26247161855335"/>
    <n v="44995.119039896206"/>
    <d v="2024-05-31T00:00:00"/>
    <x v="0"/>
  </r>
  <r>
    <n v="840"/>
    <d v="2024-05-01T00:00:00"/>
    <s v="30052024-A-106238"/>
    <d v="5202-05-30T00:00:00"/>
    <x v="0"/>
    <x v="0"/>
    <n v="30069"/>
    <x v="4"/>
    <x v="0"/>
    <n v="5503.201"/>
    <n v="1.3"/>
    <n v="0"/>
    <n v="0"/>
    <x v="1"/>
    <s v="Polyester Staple Fiber"/>
    <n v="10975258"/>
    <x v="0"/>
    <n v="1975546.44"/>
    <x v="0"/>
    <m/>
    <m/>
    <x v="0"/>
    <x v="0"/>
    <x v="0"/>
    <x v="0"/>
    <x v="0"/>
    <x v="0"/>
    <m/>
    <x v="0"/>
    <x v="1"/>
    <x v="0"/>
    <x v="0"/>
    <x v="0"/>
    <x v="1"/>
    <n v="365.00242774950948"/>
    <n v="65.700436994911698"/>
    <n v="0"/>
    <d v="2024-05-31T00:00:00"/>
    <x v="0"/>
  </r>
  <r>
    <n v="841"/>
    <d v="2024-05-01T00:00:00"/>
    <s v="30052024-A-106371"/>
    <d v="5202-05-30T00:00:00"/>
    <x v="0"/>
    <x v="0"/>
    <n v="29879"/>
    <x v="4"/>
    <x v="0"/>
    <n v="5503.201"/>
    <n v="1.3"/>
    <n v="0"/>
    <n v="0"/>
    <x v="1"/>
    <s v="Polyester Staple Fiber"/>
    <n v="10905689"/>
    <x v="0"/>
    <n v="1963024.02"/>
    <x v="0"/>
    <m/>
    <m/>
    <x v="0"/>
    <x v="0"/>
    <x v="0"/>
    <x v="0"/>
    <x v="0"/>
    <x v="0"/>
    <m/>
    <x v="0"/>
    <x v="1"/>
    <x v="0"/>
    <x v="0"/>
    <x v="0"/>
    <x v="1"/>
    <n v="364.995113624954"/>
    <n v="65.699120452491712"/>
    <n v="0"/>
    <d v="2024-05-31T00:00:00"/>
    <x v="0"/>
  </r>
  <r>
    <n v="842"/>
    <d v="2024-05-01T00:00:00"/>
    <s v="30052024-A-106387"/>
    <d v="5202-05-30T00:00:00"/>
    <x v="0"/>
    <x v="0"/>
    <n v="30073"/>
    <x v="4"/>
    <x v="0"/>
    <n v="5503.201"/>
    <n v="1.3"/>
    <n v="0"/>
    <n v="0"/>
    <x v="1"/>
    <s v="Polyester Staple Fiber"/>
    <n v="10976755"/>
    <x v="0"/>
    <n v="1975815.9"/>
    <x v="0"/>
    <m/>
    <m/>
    <x v="0"/>
    <x v="0"/>
    <x v="0"/>
    <x v="0"/>
    <x v="0"/>
    <x v="0"/>
    <m/>
    <x v="0"/>
    <x v="1"/>
    <x v="0"/>
    <x v="0"/>
    <x v="0"/>
    <x v="1"/>
    <n v="365.00365776610249"/>
    <n v="65.700658397898451"/>
    <n v="0"/>
    <d v="2024-05-31T00:00:00"/>
    <x v="0"/>
  </r>
  <r>
    <n v="843"/>
    <d v="2024-05-01T00:00:00"/>
    <s v="30052024-A-106398"/>
    <d v="5202-05-30T00:00:00"/>
    <x v="0"/>
    <x v="0"/>
    <n v="29921"/>
    <x v="4"/>
    <x v="0"/>
    <n v="5503.201"/>
    <n v="1.3"/>
    <n v="0"/>
    <n v="0"/>
    <x v="1"/>
    <s v="Polyester Staple Fiber"/>
    <n v="10920983"/>
    <x v="0"/>
    <n v="1965776.94"/>
    <x v="0"/>
    <m/>
    <m/>
    <x v="0"/>
    <x v="0"/>
    <x v="0"/>
    <x v="0"/>
    <x v="0"/>
    <x v="0"/>
    <m/>
    <x v="0"/>
    <x v="1"/>
    <x v="0"/>
    <x v="0"/>
    <x v="0"/>
    <x v="1"/>
    <n v="364.99391731559774"/>
    <n v="65.698905116807595"/>
    <n v="0"/>
    <d v="2024-05-31T00:00:00"/>
    <x v="0"/>
  </r>
  <r>
    <n v="844"/>
    <d v="2024-05-01T00:00:00"/>
    <s v="30052024-A-106404"/>
    <d v="5202-05-30T00:00:00"/>
    <x v="0"/>
    <x v="0"/>
    <n v="820"/>
    <x v="4"/>
    <x v="0"/>
    <n v="5503.201"/>
    <n v="1.3"/>
    <n v="0"/>
    <n v="0"/>
    <x v="1"/>
    <s v="Polyester Staple Fiber"/>
    <n v="299446"/>
    <x v="0"/>
    <n v="53900.28"/>
    <x v="0"/>
    <m/>
    <m/>
    <x v="0"/>
    <x v="0"/>
    <x v="0"/>
    <x v="0"/>
    <x v="0"/>
    <x v="0"/>
    <m/>
    <x v="0"/>
    <x v="1"/>
    <x v="0"/>
    <x v="0"/>
    <x v="0"/>
    <x v="1"/>
    <n v="365.17804878048781"/>
    <n v="65.732048780487801"/>
    <n v="0"/>
    <d v="2024-05-31T00:00:00"/>
    <x v="0"/>
  </r>
  <r>
    <n v="845"/>
    <d v="2024-05-18T00:00:00"/>
    <s v="30052024-A-106409"/>
    <d v="5202-05-30T00:00:00"/>
    <x v="0"/>
    <x v="0"/>
    <n v="5096"/>
    <x v="4"/>
    <x v="0"/>
    <n v="5503.201"/>
    <n v="1.39"/>
    <n v="0"/>
    <n v="0"/>
    <x v="1"/>
    <s v="Polyester Staple Fiber"/>
    <n v="1987518"/>
    <x v="0"/>
    <n v="357753.24"/>
    <x v="0"/>
    <m/>
    <m/>
    <x v="0"/>
    <x v="0"/>
    <x v="0"/>
    <x v="0"/>
    <x v="0"/>
    <x v="0"/>
    <m/>
    <x v="0"/>
    <x v="1"/>
    <x v="0"/>
    <x v="0"/>
    <x v="0"/>
    <x v="1"/>
    <n v="390.01530612244898"/>
    <n v="70.202755102040811"/>
    <n v="0"/>
    <d v="2024-06-17T00:00:00"/>
    <x v="0"/>
  </r>
  <r>
    <n v="846"/>
    <d v="2024-05-03T00:00:00"/>
    <s v="30052024-A-106415"/>
    <d v="5202-05-30T00:00:00"/>
    <x v="0"/>
    <x v="1"/>
    <n v="12437"/>
    <x v="4"/>
    <x v="0"/>
    <n v="5505.1"/>
    <n v="1.55"/>
    <n v="12437"/>
    <n v="12437"/>
    <x v="20"/>
    <s v="Comber Noil"/>
    <n v="5410095"/>
    <x v="0"/>
    <n v="973817.1"/>
    <x v="0"/>
    <m/>
    <m/>
    <x v="0"/>
    <x v="0"/>
    <x v="0"/>
    <x v="0"/>
    <x v="0"/>
    <x v="0"/>
    <m/>
    <x v="0"/>
    <x v="1"/>
    <x v="0"/>
    <x v="0"/>
    <x v="0"/>
    <x v="9"/>
    <n v="435"/>
    <n v="78.3"/>
    <n v="973817.1"/>
    <d v="2024-06-02T00:00:00"/>
    <x v="0"/>
  </r>
  <r>
    <n v="847"/>
    <d v="2024-05-04T00:00:00"/>
    <s v="30052024-A-106422"/>
    <d v="5202-05-30T00:00:00"/>
    <x v="0"/>
    <x v="1"/>
    <n v="12884"/>
    <x v="4"/>
    <x v="0"/>
    <n v="5505.1"/>
    <n v="1.55"/>
    <n v="12884"/>
    <n v="12884"/>
    <x v="20"/>
    <s v="Comber Noil"/>
    <n v="5604540"/>
    <x v="0"/>
    <n v="1008817.2"/>
    <x v="0"/>
    <m/>
    <m/>
    <x v="0"/>
    <x v="0"/>
    <x v="0"/>
    <x v="0"/>
    <x v="0"/>
    <x v="0"/>
    <m/>
    <x v="0"/>
    <x v="1"/>
    <x v="0"/>
    <x v="0"/>
    <x v="0"/>
    <x v="9"/>
    <n v="435"/>
    <n v="78.3"/>
    <n v="1008817.2"/>
    <d v="2024-06-03T00:00:00"/>
    <x v="0"/>
  </r>
  <r>
    <n v="848"/>
    <d v="2024-05-04T00:00:00"/>
    <s v="30052024-A-106431"/>
    <d v="5202-05-30T00:00:00"/>
    <x v="0"/>
    <x v="1"/>
    <n v="11920"/>
    <x v="4"/>
    <x v="0"/>
    <n v="5505.1"/>
    <n v="1.55"/>
    <n v="11920"/>
    <n v="11920"/>
    <x v="20"/>
    <s v="Comber Noil"/>
    <n v="5185200"/>
    <x v="0"/>
    <n v="933336"/>
    <x v="0"/>
    <m/>
    <m/>
    <x v="0"/>
    <x v="0"/>
    <x v="0"/>
    <x v="0"/>
    <x v="0"/>
    <x v="0"/>
    <m/>
    <x v="0"/>
    <x v="1"/>
    <x v="0"/>
    <x v="0"/>
    <x v="0"/>
    <x v="9"/>
    <n v="435"/>
    <n v="78.3"/>
    <n v="933336"/>
    <d v="2024-06-03T00:00:00"/>
    <x v="0"/>
  </r>
  <r>
    <n v="849"/>
    <d v="2024-05-06T00:00:00"/>
    <s v="30052024-A-106434"/>
    <d v="5202-05-30T00:00:00"/>
    <x v="0"/>
    <x v="1"/>
    <n v="12397"/>
    <x v="4"/>
    <x v="0"/>
    <n v="5505.1"/>
    <n v="1.55"/>
    <n v="12397"/>
    <n v="12397"/>
    <x v="20"/>
    <s v="Comber Noil"/>
    <n v="5392695"/>
    <x v="0"/>
    <n v="970685.1"/>
    <x v="0"/>
    <m/>
    <m/>
    <x v="0"/>
    <x v="0"/>
    <x v="0"/>
    <x v="0"/>
    <x v="0"/>
    <x v="0"/>
    <m/>
    <x v="0"/>
    <x v="1"/>
    <x v="0"/>
    <x v="0"/>
    <x v="0"/>
    <x v="9"/>
    <n v="435"/>
    <n v="78.3"/>
    <n v="970685.1"/>
    <d v="2024-06-05T00:00:00"/>
    <x v="0"/>
  </r>
  <r>
    <n v="850"/>
    <d v="2024-05-06T00:00:00"/>
    <s v="30052024-A-106438"/>
    <d v="5202-05-30T00:00:00"/>
    <x v="0"/>
    <x v="1"/>
    <n v="12147"/>
    <x v="4"/>
    <x v="0"/>
    <n v="5505.1"/>
    <n v="1.55"/>
    <n v="12147"/>
    <n v="12147"/>
    <x v="20"/>
    <s v="Comber Noil"/>
    <n v="5283945"/>
    <x v="0"/>
    <n v="951110.1"/>
    <x v="0"/>
    <m/>
    <m/>
    <x v="0"/>
    <x v="0"/>
    <x v="0"/>
    <x v="0"/>
    <x v="0"/>
    <x v="0"/>
    <m/>
    <x v="0"/>
    <x v="1"/>
    <x v="0"/>
    <x v="0"/>
    <x v="0"/>
    <x v="9"/>
    <n v="435"/>
    <n v="78.3"/>
    <n v="951110.1"/>
    <d v="2024-06-05T00:00:00"/>
    <x v="0"/>
  </r>
  <r>
    <n v="851"/>
    <d v="2024-05-10T00:00:00"/>
    <s v="30052024-A-106515"/>
    <d v="5202-05-30T00:00:00"/>
    <x v="0"/>
    <x v="1"/>
    <n v="12244"/>
    <x v="4"/>
    <x v="0"/>
    <n v="5505.1"/>
    <n v="1.41"/>
    <n v="12244"/>
    <n v="12244"/>
    <x v="20"/>
    <s v="Comber Noil"/>
    <n v="4836380"/>
    <x v="0"/>
    <n v="870548.4"/>
    <x v="0"/>
    <m/>
    <m/>
    <x v="0"/>
    <x v="0"/>
    <x v="0"/>
    <x v="0"/>
    <x v="0"/>
    <x v="0"/>
    <m/>
    <x v="0"/>
    <x v="1"/>
    <x v="0"/>
    <x v="0"/>
    <x v="0"/>
    <x v="9"/>
    <n v="395"/>
    <n v="71.100000000000009"/>
    <n v="870548.40000000014"/>
    <d v="2024-06-09T00:00:00"/>
    <x v="0"/>
  </r>
  <r>
    <n v="852"/>
    <d v="2024-05-10T00:00:00"/>
    <s v="30052024-A-106523"/>
    <d v="5202-05-30T00:00:00"/>
    <x v="0"/>
    <x v="1"/>
    <n v="12442"/>
    <x v="4"/>
    <x v="0"/>
    <n v="5505.1"/>
    <n v="1.41"/>
    <n v="12442"/>
    <n v="12442"/>
    <x v="20"/>
    <s v="Comber Noil"/>
    <n v="4914590"/>
    <x v="0"/>
    <n v="884626.2"/>
    <x v="0"/>
    <m/>
    <m/>
    <x v="0"/>
    <x v="0"/>
    <x v="0"/>
    <x v="0"/>
    <x v="0"/>
    <x v="0"/>
    <m/>
    <x v="0"/>
    <x v="1"/>
    <x v="0"/>
    <x v="0"/>
    <x v="0"/>
    <x v="9"/>
    <n v="395"/>
    <n v="71.099999999999994"/>
    <n v="884626.2"/>
    <d v="2024-06-09T00:00:00"/>
    <x v="0"/>
  </r>
  <r>
    <n v="853"/>
    <d v="2024-05-11T00:00:00"/>
    <s v="30052024-A-106527"/>
    <d v="5202-05-30T00:00:00"/>
    <x v="0"/>
    <x v="1"/>
    <n v="12584"/>
    <x v="4"/>
    <x v="0"/>
    <n v="5505.1"/>
    <n v="1.41"/>
    <n v="12584"/>
    <n v="12584"/>
    <x v="20"/>
    <s v="Comber Noil"/>
    <n v="4970680"/>
    <x v="0"/>
    <n v="894722.4"/>
    <x v="0"/>
    <m/>
    <m/>
    <x v="0"/>
    <x v="0"/>
    <x v="0"/>
    <x v="0"/>
    <x v="0"/>
    <x v="0"/>
    <m/>
    <x v="0"/>
    <x v="1"/>
    <x v="0"/>
    <x v="0"/>
    <x v="0"/>
    <x v="9"/>
    <n v="395"/>
    <n v="71.100000000000009"/>
    <n v="894722.40000000014"/>
    <d v="2024-06-10T00:00:00"/>
    <x v="0"/>
  </r>
  <r>
    <n v="854"/>
    <d v="2024-05-11T00:00:00"/>
    <s v="30052024-A-106533"/>
    <d v="5202-05-30T00:00:00"/>
    <x v="0"/>
    <x v="1"/>
    <n v="12851"/>
    <x v="4"/>
    <x v="0"/>
    <n v="5505.1"/>
    <n v="1.41"/>
    <n v="12851"/>
    <n v="12851"/>
    <x v="20"/>
    <s v="Comber Noil"/>
    <n v="5076145"/>
    <x v="0"/>
    <n v="913706.1"/>
    <x v="0"/>
    <m/>
    <m/>
    <x v="0"/>
    <x v="0"/>
    <x v="0"/>
    <x v="0"/>
    <x v="0"/>
    <x v="0"/>
    <m/>
    <x v="0"/>
    <x v="1"/>
    <x v="0"/>
    <x v="0"/>
    <x v="0"/>
    <x v="9"/>
    <n v="395"/>
    <n v="71.099999999999994"/>
    <n v="913706.1"/>
    <d v="2024-06-10T00:00:00"/>
    <x v="0"/>
  </r>
  <r>
    <n v="855"/>
    <d v="2024-05-12T00:00:00"/>
    <s v="30052024-A-106540"/>
    <d v="5202-05-30T00:00:00"/>
    <x v="0"/>
    <x v="1"/>
    <n v="13122"/>
    <x v="4"/>
    <x v="0"/>
    <n v="5505.1"/>
    <n v="1.41"/>
    <n v="13122"/>
    <n v="13122"/>
    <x v="20"/>
    <s v="Comber Noil"/>
    <n v="5183190"/>
    <x v="0"/>
    <n v="932974.2"/>
    <x v="0"/>
    <m/>
    <m/>
    <x v="0"/>
    <x v="0"/>
    <x v="0"/>
    <x v="0"/>
    <x v="0"/>
    <x v="0"/>
    <m/>
    <x v="0"/>
    <x v="1"/>
    <x v="0"/>
    <x v="0"/>
    <x v="0"/>
    <x v="9"/>
    <n v="395"/>
    <n v="71.099999999999994"/>
    <n v="932974.2"/>
    <d v="2024-06-11T00:00:00"/>
    <x v="0"/>
  </r>
  <r>
    <n v="856"/>
    <d v="2024-05-12T00:00:00"/>
    <s v="30052024-A-106543"/>
    <d v="5202-05-30T00:00:00"/>
    <x v="0"/>
    <x v="1"/>
    <n v="12028"/>
    <x v="4"/>
    <x v="0"/>
    <n v="5505.1"/>
    <n v="1.41"/>
    <n v="12028"/>
    <n v="12028"/>
    <x v="20"/>
    <s v="Comber Noil"/>
    <n v="4751060"/>
    <x v="0"/>
    <n v="855190.79999999993"/>
    <x v="0"/>
    <m/>
    <m/>
    <x v="0"/>
    <x v="0"/>
    <x v="0"/>
    <x v="0"/>
    <x v="0"/>
    <x v="0"/>
    <m/>
    <x v="0"/>
    <x v="1"/>
    <x v="0"/>
    <x v="0"/>
    <x v="0"/>
    <x v="9"/>
    <n v="395"/>
    <n v="71.099999999999994"/>
    <n v="855190.79999999993"/>
    <d v="2024-06-11T00:00:00"/>
    <x v="0"/>
  </r>
  <r>
    <n v="857"/>
    <d v="2024-05-17T00:00:00"/>
    <s v="30052024-A-106549"/>
    <d v="5202-05-30T00:00:00"/>
    <x v="0"/>
    <x v="1"/>
    <n v="12582"/>
    <x v="4"/>
    <x v="0"/>
    <n v="5505.1"/>
    <n v="1.38"/>
    <n v="12582"/>
    <n v="12582"/>
    <x v="20"/>
    <s v="Comber Noil"/>
    <n v="4844070"/>
    <x v="0"/>
    <n v="871932.6"/>
    <x v="0"/>
    <m/>
    <m/>
    <x v="0"/>
    <x v="0"/>
    <x v="0"/>
    <x v="0"/>
    <x v="0"/>
    <x v="0"/>
    <m/>
    <x v="0"/>
    <x v="1"/>
    <x v="0"/>
    <x v="0"/>
    <x v="0"/>
    <x v="9"/>
    <n v="385"/>
    <n v="69.3"/>
    <n v="871932.6"/>
    <d v="2024-06-16T00:00:00"/>
    <x v="0"/>
  </r>
  <r>
    <n v="858"/>
    <d v="2024-05-17T00:00:00"/>
    <s v="30052024-A-106554"/>
    <d v="5202-05-30T00:00:00"/>
    <x v="0"/>
    <x v="1"/>
    <n v="12805"/>
    <x v="4"/>
    <x v="0"/>
    <n v="5505.1"/>
    <n v="1.38"/>
    <n v="12805"/>
    <n v="12805"/>
    <x v="20"/>
    <s v="Comber Noil"/>
    <n v="4929925"/>
    <x v="0"/>
    <n v="887386.5"/>
    <x v="0"/>
    <m/>
    <m/>
    <x v="0"/>
    <x v="0"/>
    <x v="0"/>
    <x v="0"/>
    <x v="0"/>
    <x v="0"/>
    <m/>
    <x v="0"/>
    <x v="1"/>
    <x v="0"/>
    <x v="0"/>
    <x v="0"/>
    <x v="9"/>
    <n v="385"/>
    <n v="69.3"/>
    <n v="887386.5"/>
    <d v="2024-06-16T00:00:00"/>
    <x v="0"/>
  </r>
  <r>
    <n v="859"/>
    <d v="2024-05-18T00:00:00"/>
    <s v="30052024-A-106567"/>
    <d v="5202-05-30T00:00:00"/>
    <x v="0"/>
    <x v="1"/>
    <n v="12077"/>
    <x v="4"/>
    <x v="0"/>
    <n v="5505.1"/>
    <n v="1.38"/>
    <n v="12077"/>
    <n v="12077"/>
    <x v="20"/>
    <s v="Comber Noil"/>
    <n v="4649645"/>
    <x v="0"/>
    <n v="836936.1"/>
    <x v="0"/>
    <m/>
    <m/>
    <x v="0"/>
    <x v="0"/>
    <x v="0"/>
    <x v="0"/>
    <x v="0"/>
    <x v="0"/>
    <m/>
    <x v="0"/>
    <x v="1"/>
    <x v="0"/>
    <x v="0"/>
    <x v="0"/>
    <x v="9"/>
    <n v="385"/>
    <n v="69.3"/>
    <n v="836936.1"/>
    <d v="2024-06-17T00:00:00"/>
    <x v="0"/>
  </r>
  <r>
    <n v="860"/>
    <d v="2024-05-18T00:00:00"/>
    <s v="30052024-A-106576"/>
    <d v="5202-05-30T00:00:00"/>
    <x v="0"/>
    <x v="1"/>
    <n v="12664"/>
    <x v="4"/>
    <x v="0"/>
    <n v="5505.1"/>
    <n v="1.38"/>
    <n v="12664"/>
    <n v="12664"/>
    <x v="20"/>
    <s v="Comber Noil"/>
    <n v="4875640"/>
    <x v="0"/>
    <n v="877615.2"/>
    <x v="0"/>
    <m/>
    <m/>
    <x v="0"/>
    <x v="0"/>
    <x v="0"/>
    <x v="0"/>
    <x v="0"/>
    <x v="0"/>
    <m/>
    <x v="0"/>
    <x v="1"/>
    <x v="0"/>
    <x v="0"/>
    <x v="0"/>
    <x v="9"/>
    <n v="385"/>
    <n v="69.3"/>
    <n v="877615.2"/>
    <d v="2024-06-17T00:00:00"/>
    <x v="0"/>
  </r>
  <r>
    <n v="861"/>
    <d v="2024-05-24T00:00:00"/>
    <s v="30052024-A-106583"/>
    <d v="5202-05-30T00:00:00"/>
    <x v="0"/>
    <x v="1"/>
    <n v="12335"/>
    <x v="4"/>
    <x v="0"/>
    <n v="5505.1"/>
    <n v="1.36"/>
    <n v="12335"/>
    <n v="12335"/>
    <x v="20"/>
    <s v="Comber Noil"/>
    <n v="4711970"/>
    <x v="0"/>
    <n v="848154.6"/>
    <x v="0"/>
    <m/>
    <m/>
    <x v="0"/>
    <x v="0"/>
    <x v="0"/>
    <x v="0"/>
    <x v="0"/>
    <x v="0"/>
    <m/>
    <x v="0"/>
    <x v="1"/>
    <x v="0"/>
    <x v="0"/>
    <x v="0"/>
    <x v="9"/>
    <n v="382"/>
    <n v="68.760000000000005"/>
    <n v="848154.60000000009"/>
    <d v="2024-06-23T00:00:00"/>
    <x v="0"/>
  </r>
  <r>
    <n v="862"/>
    <d v="2024-05-24T00:00:00"/>
    <s v="30052024-A-106590"/>
    <d v="5202-05-30T00:00:00"/>
    <x v="0"/>
    <x v="1"/>
    <n v="12224"/>
    <x v="4"/>
    <x v="0"/>
    <n v="5505.1"/>
    <n v="1.36"/>
    <n v="12224"/>
    <n v="12224"/>
    <x v="20"/>
    <s v="Comber Noil"/>
    <n v="4669568"/>
    <x v="0"/>
    <n v="840522.23999999999"/>
    <x v="0"/>
    <m/>
    <m/>
    <x v="0"/>
    <x v="0"/>
    <x v="0"/>
    <x v="0"/>
    <x v="0"/>
    <x v="0"/>
    <m/>
    <x v="0"/>
    <x v="1"/>
    <x v="0"/>
    <x v="0"/>
    <x v="0"/>
    <x v="9"/>
    <n v="382"/>
    <n v="68.760000000000005"/>
    <n v="840522.24000000011"/>
    <d v="2024-06-23T00:00:00"/>
    <x v="0"/>
  </r>
  <r>
    <n v="863"/>
    <d v="2024-05-25T00:00:00"/>
    <s v="30052024-A-106595"/>
    <d v="5202-05-30T00:00:00"/>
    <x v="0"/>
    <x v="1"/>
    <n v="12095"/>
    <x v="4"/>
    <x v="0"/>
    <n v="5505.1"/>
    <n v="1.36"/>
    <n v="12095"/>
    <n v="12095"/>
    <x v="20"/>
    <s v="Comber Noil"/>
    <n v="4620290"/>
    <x v="0"/>
    <n v="831652.2"/>
    <x v="0"/>
    <m/>
    <m/>
    <x v="0"/>
    <x v="0"/>
    <x v="0"/>
    <x v="0"/>
    <x v="0"/>
    <x v="0"/>
    <m/>
    <x v="0"/>
    <x v="1"/>
    <x v="0"/>
    <x v="0"/>
    <x v="0"/>
    <x v="9"/>
    <n v="382"/>
    <n v="68.759999999999991"/>
    <n v="831652.19999999984"/>
    <d v="2024-06-24T00:00:00"/>
    <x v="0"/>
  </r>
  <r>
    <n v="864"/>
    <d v="2024-05-25T00:00:00"/>
    <s v="30052024-A-106602"/>
    <d v="5202-05-30T00:00:00"/>
    <x v="0"/>
    <x v="1"/>
    <n v="13081"/>
    <x v="4"/>
    <x v="0"/>
    <n v="5505.1"/>
    <n v="1.36"/>
    <n v="13081"/>
    <n v="13081"/>
    <x v="20"/>
    <s v="Comber Noil"/>
    <n v="4996942"/>
    <x v="0"/>
    <n v="899449.55999999994"/>
    <x v="0"/>
    <m/>
    <m/>
    <x v="0"/>
    <x v="0"/>
    <x v="0"/>
    <x v="0"/>
    <x v="0"/>
    <x v="0"/>
    <m/>
    <x v="0"/>
    <x v="1"/>
    <x v="0"/>
    <x v="0"/>
    <x v="0"/>
    <x v="9"/>
    <n v="382"/>
    <n v="68.759999999999991"/>
    <n v="899449.55999999982"/>
    <d v="2024-06-24T00:00:00"/>
    <x v="0"/>
  </r>
  <r>
    <n v="865"/>
    <d v="2024-05-15T00:00:00"/>
    <s v="03062024-A-108361"/>
    <d v="6202-06-03T00:00:00"/>
    <x v="0"/>
    <x v="0"/>
    <n v="2000"/>
    <x v="4"/>
    <x v="0"/>
    <n v="3204.2"/>
    <n v="1.8"/>
    <n v="0"/>
    <n v="0"/>
    <x v="5"/>
    <s v="LEUCOPHOR BMF LIQUID"/>
    <n v="1010000"/>
    <x v="0"/>
    <n v="181800"/>
    <x v="0"/>
    <m/>
    <m/>
    <x v="0"/>
    <x v="0"/>
    <x v="0"/>
    <x v="0"/>
    <x v="0"/>
    <x v="0"/>
    <m/>
    <x v="0"/>
    <x v="1"/>
    <x v="0"/>
    <x v="0"/>
    <x v="0"/>
    <x v="4"/>
    <n v="505"/>
    <n v="90.9"/>
    <n v="0"/>
    <d v="2024-06-14T00:00:00"/>
    <x v="0"/>
  </r>
  <r>
    <n v="866"/>
    <d v="2024-05-13T00:00:00"/>
    <s v="03062024-A-108373"/>
    <d v="6202-06-03T00:00:00"/>
    <x v="0"/>
    <x v="0"/>
    <n v="90"/>
    <x v="4"/>
    <x v="0"/>
    <n v="3910"/>
    <n v="3.8"/>
    <n v="0"/>
    <n v="0"/>
    <x v="12"/>
    <s v="SOLUSOFT FE PK LIQUID"/>
    <n v="95850"/>
    <x v="0"/>
    <n v="17253"/>
    <x v="0"/>
    <m/>
    <m/>
    <x v="0"/>
    <x v="0"/>
    <x v="0"/>
    <x v="5"/>
    <x v="0"/>
    <x v="0"/>
    <m/>
    <x v="0"/>
    <x v="1"/>
    <x v="0"/>
    <x v="0"/>
    <x v="0"/>
    <x v="5"/>
    <n v="1065"/>
    <n v="191.7"/>
    <n v="0"/>
    <d v="2024-06-12T00:00:00"/>
    <x v="0"/>
  </r>
  <r>
    <n v="867"/>
    <d v="2024-05-13T00:00:00"/>
    <s v="03062024-A-108393"/>
    <d v="6202-06-03T00:00:00"/>
    <x v="0"/>
    <x v="0"/>
    <n v="4840"/>
    <x v="4"/>
    <x v="0"/>
    <n v="3809.9189999999999"/>
    <n v="0.41"/>
    <n v="0"/>
    <n v="0"/>
    <x v="12"/>
    <s v="PRESTOGEN F-PL LIQ"/>
    <n v="556600"/>
    <x v="0"/>
    <n v="100188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12T00:00:00"/>
    <x v="0"/>
  </r>
  <r>
    <n v="868"/>
    <d v="2024-05-12T00:00:00"/>
    <s v="03062024-A-108403"/>
    <d v="6202-06-03T00:00:00"/>
    <x v="0"/>
    <x v="0"/>
    <n v="5060"/>
    <x v="4"/>
    <x v="0"/>
    <n v="3809.9189999999999"/>
    <n v="0.41"/>
    <n v="0"/>
    <n v="0"/>
    <x v="12"/>
    <s v="PRESTOGEN F-PL LIQ"/>
    <n v="581900"/>
    <x v="0"/>
    <n v="104742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11T00:00:00"/>
    <x v="0"/>
  </r>
  <r>
    <n v="869"/>
    <d v="2024-05-11T00:00:00"/>
    <s v="03062024-A-108417"/>
    <d v="6202-06-03T00:00:00"/>
    <x v="0"/>
    <x v="0"/>
    <n v="24"/>
    <x v="4"/>
    <x v="0"/>
    <n v="3809.9189999999999"/>
    <n v="23.76"/>
    <n v="0"/>
    <n v="0"/>
    <x v="12"/>
    <s v="PHOBOL CP -C /PHOBOL EXTENDERXAN "/>
    <n v="159700"/>
    <x v="0"/>
    <n v="28746"/>
    <x v="0"/>
    <m/>
    <m/>
    <x v="0"/>
    <x v="0"/>
    <x v="0"/>
    <x v="0"/>
    <x v="0"/>
    <x v="0"/>
    <m/>
    <x v="0"/>
    <x v="1"/>
    <x v="0"/>
    <x v="0"/>
    <x v="0"/>
    <x v="5"/>
    <n v="6654.166666666667"/>
    <n v="1197.75"/>
    <n v="0"/>
    <d v="2024-06-10T00:00:00"/>
    <x v="0"/>
  </r>
  <r>
    <n v="870"/>
    <d v="2024-05-07T00:00:00"/>
    <s v="03062024-A-108446"/>
    <d v="6202-06-03T00:00:00"/>
    <x v="0"/>
    <x v="0"/>
    <n v="220"/>
    <x v="4"/>
    <x v="0"/>
    <n v="3809.9189999999999"/>
    <n v="0.41"/>
    <n v="0"/>
    <n v="0"/>
    <x v="12"/>
    <s v="PRESTOGEN F-PL LIQ"/>
    <n v="25300"/>
    <x v="0"/>
    <n v="4554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06T00:00:00"/>
    <x v="0"/>
  </r>
  <r>
    <n v="871"/>
    <d v="2024-05-08T00:00:00"/>
    <s v="03062024-A-108450"/>
    <d v="6202-06-03T00:00:00"/>
    <x v="0"/>
    <x v="0"/>
    <n v="1980"/>
    <x v="4"/>
    <x v="0"/>
    <n v="3809.9189999999999"/>
    <n v="0.41"/>
    <n v="0"/>
    <n v="0"/>
    <x v="12"/>
    <s v="PRESTOGEN F-PL LIQ"/>
    <n v="227700"/>
    <x v="0"/>
    <n v="40986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07T00:00:00"/>
    <x v="0"/>
  </r>
  <r>
    <n v="871"/>
    <d v="2024-05-08T00:00:00"/>
    <s v="03062024-A-108450"/>
    <d v="6202-06-03T00:00:00"/>
    <x v="0"/>
    <x v="0"/>
    <n v="800"/>
    <x v="4"/>
    <x v="0"/>
    <n v="2904.2089999999998"/>
    <n v="0.89"/>
    <n v="0"/>
    <n v="0"/>
    <x v="12"/>
    <s v="REVATOL S LIQUID"/>
    <n v="200000"/>
    <x v="0"/>
    <n v="36000"/>
    <x v="0"/>
    <m/>
    <m/>
    <x v="0"/>
    <x v="0"/>
    <x v="0"/>
    <x v="0"/>
    <x v="0"/>
    <x v="0"/>
    <m/>
    <x v="0"/>
    <x v="1"/>
    <x v="0"/>
    <x v="0"/>
    <x v="0"/>
    <x v="5"/>
    <n v="250"/>
    <n v="45"/>
    <n v="0"/>
    <d v="2024-06-07T00:00:00"/>
    <x v="0"/>
  </r>
  <r>
    <n v="871"/>
    <d v="2024-05-08T00:00:00"/>
    <s v="03062024-A-108450"/>
    <d v="6202-06-03T00:00:00"/>
    <x v="0"/>
    <x v="0"/>
    <n v="360"/>
    <x v="4"/>
    <x v="0"/>
    <n v="3809.9110000000001"/>
    <n v="1.0900000000000001"/>
    <n v="0"/>
    <n v="0"/>
    <x v="12"/>
    <s v="SIRRIX NE LIQ NEW 0120 "/>
    <n v="109800"/>
    <x v="0"/>
    <n v="19764"/>
    <x v="0"/>
    <m/>
    <m/>
    <x v="0"/>
    <x v="0"/>
    <x v="0"/>
    <x v="0"/>
    <x v="0"/>
    <x v="0"/>
    <m/>
    <x v="0"/>
    <x v="1"/>
    <x v="0"/>
    <x v="0"/>
    <x v="0"/>
    <x v="5"/>
    <n v="305"/>
    <n v="54.9"/>
    <n v="0"/>
    <d v="2024-06-07T00:00:00"/>
    <x v="0"/>
  </r>
  <r>
    <n v="872"/>
    <d v="2024-05-08T00:00:00"/>
    <s v="03062024-A-108468"/>
    <d v="6202-06-03T00:00:00"/>
    <x v="0"/>
    <x v="0"/>
    <n v="2200"/>
    <x v="4"/>
    <x v="0"/>
    <n v="2931.9090000000001"/>
    <n v="1.92"/>
    <n v="0"/>
    <n v="0"/>
    <x v="12"/>
    <s v="LUFIBROL ANTOX LIQ"/>
    <n v="1183600"/>
    <x v="0"/>
    <n v="213048"/>
    <x v="0"/>
    <m/>
    <m/>
    <x v="0"/>
    <x v="0"/>
    <x v="0"/>
    <x v="0"/>
    <x v="0"/>
    <x v="0"/>
    <m/>
    <x v="0"/>
    <x v="1"/>
    <x v="0"/>
    <x v="0"/>
    <x v="0"/>
    <x v="5"/>
    <n v="538"/>
    <n v="96.84"/>
    <n v="0"/>
    <d v="2024-06-07T00:00:00"/>
    <x v="0"/>
  </r>
  <r>
    <n v="872"/>
    <d v="2024-05-08T00:00:00"/>
    <s v="03062024-A-108468"/>
    <d v="6202-06-03T00:00:00"/>
    <x v="0"/>
    <x v="0"/>
    <n v="200"/>
    <x v="4"/>
    <x v="0"/>
    <n v="3402.9"/>
    <n v="1.96"/>
    <n v="0"/>
    <n v="0"/>
    <x v="12"/>
    <s v="MERCEROL QW -LF"/>
    <n v="110000"/>
    <x v="0"/>
    <n v="1980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6-07T00:00:00"/>
    <x v="0"/>
  </r>
  <r>
    <n v="872"/>
    <d v="2024-05-08T00:00:00"/>
    <s v="03062024-A-108468"/>
    <d v="6202-06-03T00:00:00"/>
    <x v="0"/>
    <x v="0"/>
    <n v="200"/>
    <x v="4"/>
    <x v="0"/>
    <n v="3402.42"/>
    <n v="3.13"/>
    <n v="0"/>
    <n v="0"/>
    <x v="12"/>
    <s v="KIERALON MRN PK LIQ C"/>
    <n v="175000"/>
    <x v="0"/>
    <n v="31500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6-07T00:00:00"/>
    <x v="0"/>
  </r>
  <r>
    <n v="873"/>
    <d v="2024-05-08T00:00:00"/>
    <s v="03062024-A-108477"/>
    <d v="6202-06-03T00:00:00"/>
    <x v="0"/>
    <x v="0"/>
    <n v="120"/>
    <x v="4"/>
    <x v="0"/>
    <n v="3204.172"/>
    <n v="4.68"/>
    <n v="0"/>
    <n v="0"/>
    <x v="5"/>
    <s v="PRINTOFIX BLUE HG"/>
    <n v="157200"/>
    <x v="0"/>
    <n v="28296"/>
    <x v="0"/>
    <m/>
    <m/>
    <x v="0"/>
    <x v="0"/>
    <x v="0"/>
    <x v="0"/>
    <x v="0"/>
    <x v="0"/>
    <m/>
    <x v="0"/>
    <x v="1"/>
    <x v="0"/>
    <x v="0"/>
    <x v="0"/>
    <x v="4"/>
    <n v="1310"/>
    <n v="235.8"/>
    <n v="0"/>
    <d v="2024-06-07T00:00:00"/>
    <x v="0"/>
  </r>
  <r>
    <n v="873"/>
    <d v="2024-05-08T00:00:00"/>
    <s v="03062024-A-108477"/>
    <d v="6202-06-03T00:00:00"/>
    <x v="0"/>
    <x v="0"/>
    <n v="150"/>
    <x v="4"/>
    <x v="0"/>
    <n v="3809.9110000000001"/>
    <n v="3.29"/>
    <n v="0"/>
    <n v="0"/>
    <x v="12"/>
    <s v="LUPRINTOL ADDITIVE RM LIQ"/>
    <n v="138000"/>
    <x v="0"/>
    <n v="24840"/>
    <x v="0"/>
    <m/>
    <m/>
    <x v="0"/>
    <x v="0"/>
    <x v="0"/>
    <x v="0"/>
    <x v="0"/>
    <x v="0"/>
    <m/>
    <x v="0"/>
    <x v="1"/>
    <x v="0"/>
    <x v="0"/>
    <x v="0"/>
    <x v="5"/>
    <n v="920"/>
    <n v="165.6"/>
    <n v="0"/>
    <d v="2024-06-07T00:00:00"/>
    <x v="0"/>
  </r>
  <r>
    <n v="874"/>
    <d v="2024-05-08T00:00:00"/>
    <s v="03062024-A-108479"/>
    <d v="6202-06-03T00:00:00"/>
    <x v="0"/>
    <x v="0"/>
    <n v="1000"/>
    <x v="4"/>
    <x v="0"/>
    <n v="3204.2"/>
    <n v="1.8"/>
    <n v="0"/>
    <n v="0"/>
    <x v="5"/>
    <s v="LEUCOPHOR BMF LIQUID"/>
    <n v="505000"/>
    <x v="0"/>
    <n v="9090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6-07T00:00:00"/>
    <x v="0"/>
  </r>
  <r>
    <n v="875"/>
    <d v="2024-05-10T00:00:00"/>
    <s v="03062024-A-108481"/>
    <d v="6202-06-03T00:00:00"/>
    <x v="0"/>
    <x v="0"/>
    <n v="1760"/>
    <x v="4"/>
    <x v="0"/>
    <n v="3809.9189999999999"/>
    <n v="0.41"/>
    <n v="0"/>
    <n v="0"/>
    <x v="12"/>
    <s v="PRESTOGEN F-PL LIQ"/>
    <n v="202400"/>
    <x v="0"/>
    <n v="36432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09T00:00:00"/>
    <x v="0"/>
  </r>
  <r>
    <n v="876"/>
    <d v="2024-05-10T00:00:00"/>
    <s v="03062024-A-108482"/>
    <d v="6202-06-03T00:00:00"/>
    <x v="0"/>
    <x v="0"/>
    <n v="880"/>
    <x v="4"/>
    <x v="0"/>
    <n v="3809.9189999999999"/>
    <n v="0.41"/>
    <n v="0"/>
    <n v="0"/>
    <x v="12"/>
    <s v="PRESTOGEN F-PL LIQ"/>
    <n v="101200"/>
    <x v="0"/>
    <n v="18216"/>
    <x v="0"/>
    <m/>
    <m/>
    <x v="0"/>
    <x v="0"/>
    <x v="0"/>
    <x v="5"/>
    <x v="0"/>
    <x v="0"/>
    <m/>
    <x v="0"/>
    <x v="1"/>
    <x v="0"/>
    <x v="0"/>
    <x v="0"/>
    <x v="5"/>
    <n v="115"/>
    <n v="20.7"/>
    <n v="0"/>
    <d v="2024-06-09T00:00:00"/>
    <x v="0"/>
  </r>
  <r>
    <n v="876"/>
    <d v="2024-05-10T00:00:00"/>
    <s v="03062024-A-108482"/>
    <d v="6202-06-03T00:00:00"/>
    <x v="0"/>
    <x v="0"/>
    <n v="1000"/>
    <x v="4"/>
    <x v="0"/>
    <n v="3204.2"/>
    <n v="1.8"/>
    <n v="0"/>
    <n v="0"/>
    <x v="5"/>
    <s v="LEUCOPHOR BMF LIQUID"/>
    <n v="505000"/>
    <x v="0"/>
    <n v="90900"/>
    <x v="0"/>
    <m/>
    <m/>
    <x v="0"/>
    <x v="0"/>
    <x v="0"/>
    <x v="5"/>
    <x v="0"/>
    <x v="0"/>
    <m/>
    <x v="0"/>
    <x v="1"/>
    <x v="0"/>
    <x v="0"/>
    <x v="0"/>
    <x v="4"/>
    <n v="505"/>
    <n v="90.9"/>
    <n v="0"/>
    <d v="2024-06-09T00:00:00"/>
    <x v="0"/>
  </r>
  <r>
    <n v="877"/>
    <d v="2024-05-18T00:00:00"/>
    <s v="03062024-A-108483"/>
    <d v="6202-06-03T00:00:00"/>
    <x v="0"/>
    <x v="0"/>
    <n v="1540"/>
    <x v="4"/>
    <x v="0"/>
    <n v="3809.9189999999999"/>
    <n v="0.41"/>
    <n v="0"/>
    <n v="0"/>
    <x v="12"/>
    <s v="PRESTOGEN F-PL LIQ"/>
    <n v="177100"/>
    <x v="0"/>
    <n v="31878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17T00:00:00"/>
    <x v="0"/>
  </r>
  <r>
    <n v="878"/>
    <d v="2024-05-18T00:00:00"/>
    <s v="03062024-A-108485"/>
    <d v="6202-06-03T00:00:00"/>
    <x v="0"/>
    <x v="0"/>
    <n v="220"/>
    <x v="4"/>
    <x v="0"/>
    <n v="3809.9189999999999"/>
    <n v="0.41"/>
    <n v="0"/>
    <n v="0"/>
    <x v="12"/>
    <s v="PRESTOGEN F-PL LIQ"/>
    <n v="25300"/>
    <x v="0"/>
    <n v="4554"/>
    <x v="0"/>
    <m/>
    <m/>
    <x v="0"/>
    <x v="0"/>
    <x v="0"/>
    <x v="0"/>
    <x v="0"/>
    <x v="0"/>
    <m/>
    <x v="0"/>
    <x v="1"/>
    <x v="0"/>
    <x v="0"/>
    <x v="0"/>
    <x v="5"/>
    <n v="115"/>
    <n v="20.7"/>
    <n v="0"/>
    <d v="2024-06-17T00:00:00"/>
    <x v="0"/>
  </r>
  <r>
    <n v="879"/>
    <d v="2024-05-18T00:00:00"/>
    <s v="03062024-A-108486"/>
    <d v="6202-06-03T00:00:00"/>
    <x v="0"/>
    <x v="0"/>
    <n v="760"/>
    <x v="4"/>
    <x v="0"/>
    <n v="3809.9110000000001"/>
    <s v="0.57 / 2.21"/>
    <n v="0"/>
    <n v="0"/>
    <x v="12"/>
    <s v="CATALYST NKS LIQ / ARKOFIX NZW LIQ"/>
    <n v="379200"/>
    <x v="0"/>
    <n v="68256"/>
    <x v="0"/>
    <m/>
    <m/>
    <x v="0"/>
    <x v="0"/>
    <x v="0"/>
    <x v="0"/>
    <x v="0"/>
    <x v="0"/>
    <m/>
    <x v="0"/>
    <x v="1"/>
    <x v="0"/>
    <x v="0"/>
    <x v="0"/>
    <x v="5"/>
    <n v="498.94736842105266"/>
    <n v="89.810526315789474"/>
    <n v="0"/>
    <d v="2024-06-17T00:00:00"/>
    <x v="0"/>
  </r>
  <r>
    <n v="879"/>
    <d v="2024-05-18T00:00:00"/>
    <s v="03062024-A-108486"/>
    <d v="6202-06-03T00:00:00"/>
    <x v="0"/>
    <x v="0"/>
    <n v="90"/>
    <x v="4"/>
    <x v="0"/>
    <n v="3809.9189999999999"/>
    <n v="1.92"/>
    <n v="0"/>
    <n v="0"/>
    <x v="12"/>
    <s v="CERALUBE PHD LIQ C"/>
    <n v="48420"/>
    <x v="0"/>
    <n v="8715.6"/>
    <x v="0"/>
    <m/>
    <m/>
    <x v="0"/>
    <x v="0"/>
    <x v="0"/>
    <x v="0"/>
    <x v="0"/>
    <x v="0"/>
    <m/>
    <x v="0"/>
    <x v="1"/>
    <x v="0"/>
    <x v="0"/>
    <x v="0"/>
    <x v="5"/>
    <n v="538"/>
    <n v="96.84"/>
    <n v="0"/>
    <d v="2024-06-17T00:00:00"/>
    <x v="0"/>
  </r>
  <r>
    <n v="879"/>
    <d v="2024-05-18T00:00:00"/>
    <s v="03062024-A-108486"/>
    <d v="6202-06-03T00:00:00"/>
    <x v="0"/>
    <x v="0"/>
    <n v="90"/>
    <x v="4"/>
    <x v="0"/>
    <n v="3910"/>
    <n v="3.8"/>
    <n v="0"/>
    <n v="0"/>
    <x v="12"/>
    <s v="SOLUSOFT FE PK LIQUID"/>
    <n v="95850"/>
    <x v="0"/>
    <n v="17253"/>
    <x v="0"/>
    <m/>
    <m/>
    <x v="0"/>
    <x v="0"/>
    <x v="0"/>
    <x v="0"/>
    <x v="0"/>
    <x v="0"/>
    <m/>
    <x v="0"/>
    <x v="1"/>
    <x v="0"/>
    <x v="0"/>
    <x v="0"/>
    <x v="5"/>
    <n v="1065"/>
    <n v="191.7"/>
    <n v="0"/>
    <d v="2024-06-17T00:00:00"/>
    <x v="0"/>
  </r>
  <r>
    <n v="880"/>
    <d v="2024-05-19T00:00:00"/>
    <s v="03062024-A-108487"/>
    <d v="6202-06-03T00:00:00"/>
    <x v="0"/>
    <x v="0"/>
    <n v="16"/>
    <x v="4"/>
    <x v="0"/>
    <n v="3402.9"/>
    <n v="2.61"/>
    <n v="0"/>
    <n v="0"/>
    <x v="12"/>
    <s v="INVADINE PBN "/>
    <n v="11680"/>
    <x v="0"/>
    <n v="2102.4"/>
    <x v="0"/>
    <m/>
    <m/>
    <x v="0"/>
    <x v="0"/>
    <x v="0"/>
    <x v="0"/>
    <x v="0"/>
    <x v="0"/>
    <m/>
    <x v="0"/>
    <x v="1"/>
    <x v="0"/>
    <x v="0"/>
    <x v="0"/>
    <x v="5"/>
    <n v="730"/>
    <n v="131.4"/>
    <n v="0"/>
    <d v="2024-06-18T00:00:00"/>
    <x v="0"/>
  </r>
  <r>
    <n v="880"/>
    <d v="2024-05-19T00:00:00"/>
    <s v="03062024-A-108487"/>
    <d v="6202-06-03T00:00:00"/>
    <x v="0"/>
    <x v="0"/>
    <n v="280"/>
    <x v="4"/>
    <x v="0"/>
    <n v="3809.9189999999999"/>
    <n v="22.99"/>
    <n v="0"/>
    <n v="0"/>
    <x v="12"/>
    <s v="PHOBOL EXTENDERXAN /PHOBOL CP -C"/>
    <n v="1802100"/>
    <x v="0"/>
    <n v="324378"/>
    <x v="0"/>
    <m/>
    <m/>
    <x v="0"/>
    <x v="0"/>
    <x v="0"/>
    <x v="0"/>
    <x v="0"/>
    <x v="0"/>
    <m/>
    <x v="0"/>
    <x v="1"/>
    <x v="0"/>
    <x v="0"/>
    <x v="0"/>
    <x v="5"/>
    <n v="6436.0714285714284"/>
    <n v="1158.4928571428572"/>
    <n v="0"/>
    <d v="2024-06-18T00:00:00"/>
    <x v="0"/>
  </r>
  <r>
    <n v="881"/>
    <d v="2024-05-13T00:00:00"/>
    <s v="03062024-A-108489"/>
    <d v="6202-06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12T00:00:00"/>
    <x v="0"/>
  </r>
  <r>
    <n v="882"/>
    <d v="2024-05-13T00:00:00"/>
    <s v="03062024-A-108490"/>
    <d v="6202-06-03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6-12T00:00:00"/>
    <x v="0"/>
  </r>
  <r>
    <n v="883"/>
    <d v="2024-05-13T00:00:00"/>
    <s v="03062024-A-108491"/>
    <d v="6202-06-03T00:00:00"/>
    <x v="0"/>
    <x v="0"/>
    <n v="650"/>
    <x v="4"/>
    <x v="0"/>
    <n v="3809.9189999999999"/>
    <n v="0.66"/>
    <n v="0"/>
    <n v="0"/>
    <x v="12"/>
    <s v="PESOFIX WM"/>
    <n v="120250"/>
    <x v="0"/>
    <n v="21645"/>
    <x v="0"/>
    <m/>
    <m/>
    <x v="0"/>
    <x v="0"/>
    <x v="0"/>
    <x v="0"/>
    <x v="0"/>
    <x v="0"/>
    <m/>
    <x v="0"/>
    <x v="1"/>
    <x v="0"/>
    <x v="0"/>
    <x v="0"/>
    <x v="5"/>
    <n v="185"/>
    <n v="33.299999999999997"/>
    <n v="0"/>
    <d v="2024-06-12T00:00:00"/>
    <x v="0"/>
  </r>
  <r>
    <n v="884"/>
    <d v="2024-05-13T00:00:00"/>
    <s v="03062024-A-108492"/>
    <d v="6202-06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12T00:00:00"/>
    <x v="0"/>
  </r>
  <r>
    <n v="885"/>
    <d v="2024-05-13T00:00:00"/>
    <s v="04062024-A-108590"/>
    <d v="6202-06-04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6-12T00:00:00"/>
    <x v="0"/>
  </r>
  <r>
    <n v="886"/>
    <d v="2024-05-14T00:00:00"/>
    <s v="04062024-A-108596"/>
    <d v="6202-06-0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13T00:00:00"/>
    <x v="0"/>
  </r>
  <r>
    <n v="887"/>
    <d v="2024-05-14T00:00:00"/>
    <s v="04062024-A-108600"/>
    <d v="6202-06-04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6-13T00:00:00"/>
    <x v="0"/>
  </r>
  <r>
    <n v="888"/>
    <d v="2024-05-18T00:00:00"/>
    <s v="04062024-A-108604"/>
    <d v="6202-06-0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17T00:00:00"/>
    <x v="0"/>
  </r>
  <r>
    <n v="889"/>
    <d v="2024-05-22T00:00:00"/>
    <s v="04062024-A-108606"/>
    <d v="6202-06-0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21T00:00:00"/>
    <x v="0"/>
  </r>
  <r>
    <n v="890"/>
    <d v="2024-05-25T00:00:00"/>
    <s v="04062024-A-108609"/>
    <d v="6202-06-04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6-24T00:00:00"/>
    <x v="0"/>
  </r>
  <r>
    <n v="891"/>
    <d v="2024-05-06T00:00:00"/>
    <s v="04062024-A-108615"/>
    <d v="6202-06-04T00:00:00"/>
    <x v="0"/>
    <x v="1"/>
    <n v="9690"/>
    <x v="4"/>
    <x v="0"/>
    <n v="2815.12"/>
    <n v="0.28000000000000003"/>
    <n v="9690"/>
    <n v="9690"/>
    <x v="12"/>
    <s v="CAUSTIC SODA LIQUID"/>
    <n v="760665"/>
    <x v="0"/>
    <n v="136919.69999999998"/>
    <x v="0"/>
    <m/>
    <m/>
    <x v="0"/>
    <x v="0"/>
    <x v="0"/>
    <x v="0"/>
    <x v="0"/>
    <x v="0"/>
    <m/>
    <x v="0"/>
    <x v="1"/>
    <x v="0"/>
    <x v="0"/>
    <x v="0"/>
    <x v="5"/>
    <n v="78.5"/>
    <n v="14.129999999999999"/>
    <n v="136919.69999999998"/>
    <d v="2024-06-05T00:00:00"/>
    <x v="0"/>
  </r>
  <r>
    <n v="892"/>
    <d v="2024-05-07T00:00:00"/>
    <s v="04062024-A-108622"/>
    <d v="6202-06-04T00:00:00"/>
    <x v="0"/>
    <x v="1"/>
    <n v="29080"/>
    <x v="4"/>
    <x v="0"/>
    <n v="2815.12"/>
    <n v="0.28000000000000003"/>
    <n v="29080"/>
    <n v="29080"/>
    <x v="12"/>
    <s v="CAUSTIC SODA LIQUID"/>
    <n v="2263878"/>
    <x v="0"/>
    <n v="407498.04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07498.04"/>
    <d v="2024-06-06T00:00:00"/>
    <x v="0"/>
  </r>
  <r>
    <n v="893"/>
    <d v="2024-05-08T00:00:00"/>
    <s v="04062024-A-108631"/>
    <d v="6202-06-04T00:00:00"/>
    <x v="0"/>
    <x v="1"/>
    <n v="29310"/>
    <x v="4"/>
    <x v="0"/>
    <n v="2815.12"/>
    <n v="0.28000000000000003"/>
    <n v="29310"/>
    <n v="29310"/>
    <x v="12"/>
    <s v="CAUSTIC SODA LIQUID"/>
    <n v="2281784"/>
    <x v="0"/>
    <n v="410721.12"/>
    <x v="0"/>
    <m/>
    <m/>
    <x v="0"/>
    <x v="0"/>
    <x v="0"/>
    <x v="0"/>
    <x v="0"/>
    <x v="0"/>
    <m/>
    <x v="0"/>
    <x v="1"/>
    <x v="0"/>
    <x v="0"/>
    <x v="0"/>
    <x v="5"/>
    <n v="77.850017059024225"/>
    <n v="14.013003070624361"/>
    <n v="410721.12"/>
    <d v="2024-06-07T00:00:00"/>
    <x v="0"/>
  </r>
  <r>
    <n v="894"/>
    <d v="2024-05-13T00:00:00"/>
    <s v="04062024-A-108635"/>
    <d v="6202-06-04T00:00:00"/>
    <x v="0"/>
    <x v="1"/>
    <n v="29030"/>
    <x v="4"/>
    <x v="0"/>
    <n v="2815.12"/>
    <n v="0.28000000000000003"/>
    <n v="29030"/>
    <n v="29030"/>
    <x v="12"/>
    <s v="CAUSTIC SODA LIQUID"/>
    <n v="2259986"/>
    <x v="0"/>
    <n v="406797.48"/>
    <x v="0"/>
    <m/>
    <m/>
    <x v="0"/>
    <x v="0"/>
    <x v="0"/>
    <x v="0"/>
    <x v="0"/>
    <x v="0"/>
    <m/>
    <x v="0"/>
    <x v="1"/>
    <x v="0"/>
    <x v="0"/>
    <x v="0"/>
    <x v="5"/>
    <n v="77.850017223561835"/>
    <n v="14.013003100241129"/>
    <n v="406797.48"/>
    <d v="2024-06-12T00:00:00"/>
    <x v="0"/>
  </r>
  <r>
    <n v="895"/>
    <d v="2024-05-14T00:00:00"/>
    <s v="04062024-A-108638"/>
    <d v="6202-06-04T00:00:00"/>
    <x v="0"/>
    <x v="1"/>
    <n v="29110"/>
    <x v="4"/>
    <x v="0"/>
    <n v="2815.12"/>
    <n v="0.28000000000000003"/>
    <n v="29110"/>
    <n v="29110"/>
    <x v="12"/>
    <s v="CAUSTIC SODA LIQUID"/>
    <n v="2266214"/>
    <x v="0"/>
    <n v="407918.51999999996"/>
    <x v="0"/>
    <m/>
    <m/>
    <x v="0"/>
    <x v="0"/>
    <x v="0"/>
    <x v="0"/>
    <x v="0"/>
    <x v="0"/>
    <m/>
    <x v="0"/>
    <x v="1"/>
    <x v="0"/>
    <x v="0"/>
    <x v="0"/>
    <x v="5"/>
    <n v="77.850017176228107"/>
    <n v="14.013003091721057"/>
    <n v="407918.51999999996"/>
    <d v="2024-06-13T00:00:00"/>
    <x v="0"/>
  </r>
  <r>
    <n v="896"/>
    <d v="2024-05-17T00:00:00"/>
    <s v="04062024-A-108644"/>
    <d v="6202-06-04T00:00:00"/>
    <x v="0"/>
    <x v="1"/>
    <n v="29420"/>
    <x v="4"/>
    <x v="0"/>
    <n v="2815.12"/>
    <n v="0.28000000000000003"/>
    <n v="29420"/>
    <n v="29420"/>
    <x v="12"/>
    <s v="CAUSTIC SODA LIQUID"/>
    <n v="2290347"/>
    <x v="0"/>
    <n v="412262.45999999996"/>
    <x v="0"/>
    <m/>
    <m/>
    <x v="0"/>
    <x v="0"/>
    <x v="0"/>
    <x v="0"/>
    <x v="0"/>
    <x v="0"/>
    <m/>
    <x v="0"/>
    <x v="1"/>
    <x v="0"/>
    <x v="0"/>
    <x v="0"/>
    <x v="5"/>
    <n v="77.849999999999994"/>
    <n v="14.012999999999998"/>
    <n v="412262.45999999996"/>
    <d v="2024-06-16T00:00:00"/>
    <x v="0"/>
  </r>
  <r>
    <n v="897"/>
    <d v="2024-05-19T00:00:00"/>
    <s v="04062024-A-108650"/>
    <d v="6202-06-04T00:00:00"/>
    <x v="0"/>
    <x v="1"/>
    <n v="29060"/>
    <x v="4"/>
    <x v="0"/>
    <n v="2815.12"/>
    <n v="0.28000000000000003"/>
    <n v="29060"/>
    <n v="29060"/>
    <x v="12"/>
    <s v="CAUSTIC SODA LIQUID"/>
    <n v="2262321"/>
    <x v="0"/>
    <n v="407217.77999999997"/>
    <x v="0"/>
    <m/>
    <m/>
    <x v="0"/>
    <x v="0"/>
    <x v="0"/>
    <x v="0"/>
    <x v="0"/>
    <x v="0"/>
    <m/>
    <x v="0"/>
    <x v="1"/>
    <x v="0"/>
    <x v="0"/>
    <x v="0"/>
    <x v="5"/>
    <n v="77.849999999999994"/>
    <n v="14.012999999999998"/>
    <n v="407217.77999999997"/>
    <d v="2024-06-18T00:00:00"/>
    <x v="0"/>
  </r>
  <r>
    <n v="898"/>
    <d v="2024-05-12T00:00:00"/>
    <s v="04062024-A-108654"/>
    <d v="6202-06-04T00:00:00"/>
    <x v="0"/>
    <x v="1"/>
    <n v="29460"/>
    <x v="4"/>
    <x v="0"/>
    <n v="2815.12"/>
    <n v="0.28000000000000003"/>
    <n v="29460"/>
    <n v="29460"/>
    <x v="12"/>
    <s v="CAUSTIC SODA LIQUID"/>
    <n v="2293461"/>
    <x v="0"/>
    <n v="412822.98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2822.98"/>
    <d v="2024-06-11T00:00:00"/>
    <x v="0"/>
  </r>
  <r>
    <n v="899"/>
    <d v="2024-05-08T00:00:00"/>
    <s v="04062024-A-108664"/>
    <d v="6202-06-04T00:00:00"/>
    <x v="0"/>
    <x v="1"/>
    <n v="29260"/>
    <x v="4"/>
    <x v="0"/>
    <n v="2815.12"/>
    <n v="0.28000000000000003"/>
    <n v="29260"/>
    <n v="29260"/>
    <x v="12"/>
    <s v="CAUSTIC SODA LIQUID"/>
    <n v="2277891"/>
    <x v="0"/>
    <n v="410020.38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0020.38"/>
    <d v="2024-06-07T00:00:00"/>
    <x v="0"/>
  </r>
  <r>
    <n v="900"/>
    <d v="2024-05-20T00:00:00"/>
    <s v="04062024-A-108671"/>
    <d v="6202-06-04T00:00:00"/>
    <x v="0"/>
    <x v="1"/>
    <n v="29020"/>
    <x v="4"/>
    <x v="0"/>
    <n v="2815.12"/>
    <n v="0.28000000000000003"/>
    <n v="29020"/>
    <n v="29020"/>
    <x v="12"/>
    <s v="CAUSTIC SODA LIQUID"/>
    <n v="2259207"/>
    <x v="0"/>
    <n v="406657.26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06657.26"/>
    <d v="2024-06-19T00:00:00"/>
    <x v="0"/>
  </r>
  <r>
    <n v="901"/>
    <d v="2024-05-21T00:00:00"/>
    <s v="04062024-A-108676"/>
    <d v="6202-06-04T00:00:00"/>
    <x v="0"/>
    <x v="1"/>
    <n v="29320"/>
    <x v="4"/>
    <x v="0"/>
    <n v="2815.12"/>
    <n v="0.28000000000000003"/>
    <n v="29320"/>
    <n v="29320"/>
    <x v="12"/>
    <s v="CAUSTIC SODA LIQUID"/>
    <n v="2282562"/>
    <x v="0"/>
    <n v="410861.16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0861.16"/>
    <d v="2024-06-20T00:00:00"/>
    <x v="0"/>
  </r>
  <r>
    <n v="902"/>
    <d v="2024-05-25T00:00:00"/>
    <s v="04062024-A-108681"/>
    <d v="6202-06-04T00:00:00"/>
    <x v="0"/>
    <x v="1"/>
    <n v="29352"/>
    <x v="4"/>
    <x v="0"/>
    <n v="2815.12"/>
    <n v="0.28000000000000003"/>
    <n v="29352"/>
    <n v="29352"/>
    <x v="12"/>
    <s v="CAUSTIC SODA LIQUID"/>
    <n v="2285053"/>
    <x v="0"/>
    <n v="411309.54"/>
    <x v="0"/>
    <m/>
    <m/>
    <x v="0"/>
    <x v="0"/>
    <x v="0"/>
    <x v="0"/>
    <x v="0"/>
    <x v="0"/>
    <m/>
    <x v="0"/>
    <x v="1"/>
    <x v="0"/>
    <x v="0"/>
    <x v="0"/>
    <x v="5"/>
    <n v="77.849993186154265"/>
    <n v="14.012998773507768"/>
    <n v="411309.54"/>
    <d v="2024-06-24T00:00:00"/>
    <x v="0"/>
  </r>
  <r>
    <n v="903"/>
    <d v="2024-05-17T00:00:00"/>
    <s v="04062024-A-108688"/>
    <d v="6202-06-04T00:00:00"/>
    <x v="0"/>
    <x v="1"/>
    <n v="29690"/>
    <x v="4"/>
    <x v="0"/>
    <n v="2815.12"/>
    <n v="0.28000000000000003"/>
    <n v="29690"/>
    <n v="29690"/>
    <x v="12"/>
    <s v="CAUSTIC SODA LIQUID"/>
    <n v="2311367"/>
    <x v="0"/>
    <n v="416046.06"/>
    <x v="0"/>
    <m/>
    <m/>
    <x v="0"/>
    <x v="0"/>
    <x v="0"/>
    <x v="0"/>
    <x v="0"/>
    <x v="0"/>
    <m/>
    <x v="0"/>
    <x v="1"/>
    <x v="0"/>
    <x v="0"/>
    <x v="0"/>
    <x v="5"/>
    <n v="77.850016840687104"/>
    <n v="14.013003031323677"/>
    <n v="416046.06"/>
    <d v="2024-06-16T00:00:00"/>
    <x v="0"/>
  </r>
  <r>
    <n v="904"/>
    <d v="2024-05-31T00:00:00"/>
    <s v="04062024-A-108709"/>
    <d v="6202-06-04T00:00:00"/>
    <x v="0"/>
    <x v="0"/>
    <n v="420"/>
    <x v="4"/>
    <x v="0"/>
    <n v="3809.9189999999999"/>
    <n v="1.43"/>
    <n v="0"/>
    <n v="0"/>
    <x v="12"/>
    <s v="VERAPRO AD LIQ"/>
    <n v="168000"/>
    <x v="0"/>
    <n v="30240"/>
    <x v="0"/>
    <m/>
    <m/>
    <x v="0"/>
    <x v="0"/>
    <x v="0"/>
    <x v="0"/>
    <x v="0"/>
    <x v="0"/>
    <m/>
    <x v="0"/>
    <x v="1"/>
    <x v="0"/>
    <x v="0"/>
    <x v="0"/>
    <x v="5"/>
    <n v="400"/>
    <n v="72"/>
    <n v="0"/>
    <d v="2024-06-30T00:00:00"/>
    <x v="0"/>
  </r>
  <r>
    <n v="905"/>
    <d v="2024-05-19T00:00:00"/>
    <s v="04062024-A-108736"/>
    <d v="6202-06-04T00:00:00"/>
    <x v="0"/>
    <x v="0"/>
    <n v="480"/>
    <x v="4"/>
    <x v="0"/>
    <n v="3809.9189999999999"/>
    <n v="2.41"/>
    <n v="0"/>
    <n v="0"/>
    <x v="12"/>
    <s v="PERLAVIN SRD"/>
    <n v="324000"/>
    <x v="0"/>
    <n v="58320"/>
    <x v="0"/>
    <m/>
    <m/>
    <x v="0"/>
    <x v="0"/>
    <x v="0"/>
    <x v="0"/>
    <x v="0"/>
    <x v="0"/>
    <m/>
    <x v="0"/>
    <x v="1"/>
    <x v="0"/>
    <x v="0"/>
    <x v="0"/>
    <x v="5"/>
    <n v="675"/>
    <n v="121.5"/>
    <n v="0"/>
    <d v="2024-06-18T00:00:00"/>
    <x v="0"/>
  </r>
  <r>
    <n v="906"/>
    <d v="2024-05-06T00:00:00"/>
    <s v="04062024-A-108741"/>
    <d v="6202-06-04T00:00:00"/>
    <x v="0"/>
    <x v="0"/>
    <n v="990"/>
    <x v="4"/>
    <x v="0"/>
    <n v="3204.172"/>
    <n v="5.98"/>
    <n v="0"/>
    <n v="0"/>
    <x v="5"/>
    <s v="PIGMASOL RED MKB-R"/>
    <n v="1658250"/>
    <x v="0"/>
    <n v="298485"/>
    <x v="0"/>
    <m/>
    <m/>
    <x v="0"/>
    <x v="0"/>
    <x v="0"/>
    <x v="5"/>
    <x v="0"/>
    <x v="0"/>
    <m/>
    <x v="0"/>
    <x v="1"/>
    <x v="0"/>
    <x v="0"/>
    <x v="0"/>
    <x v="4"/>
    <n v="1675"/>
    <n v="301.5"/>
    <n v="0"/>
    <d v="2024-06-05T00:00:00"/>
    <x v="0"/>
  </r>
  <r>
    <n v="907"/>
    <d v="2024-05-06T00:00:00"/>
    <s v="04062024-A-108748"/>
    <d v="6202-06-04T00:00:00"/>
    <x v="0"/>
    <x v="0"/>
    <n v="200"/>
    <x v="4"/>
    <x v="0"/>
    <n v="3507.9"/>
    <n v="12.5"/>
    <n v="0"/>
    <n v="0"/>
    <x v="12"/>
    <s v="AQUAZYM AD"/>
    <n v="700000"/>
    <x v="0"/>
    <n v="126000"/>
    <x v="0"/>
    <m/>
    <m/>
    <x v="0"/>
    <x v="0"/>
    <x v="0"/>
    <x v="0"/>
    <x v="0"/>
    <x v="0"/>
    <m/>
    <x v="0"/>
    <x v="1"/>
    <x v="0"/>
    <x v="0"/>
    <x v="0"/>
    <x v="5"/>
    <n v="3500"/>
    <n v="630"/>
    <n v="0"/>
    <d v="2024-06-05T00:00:00"/>
    <x v="0"/>
  </r>
  <r>
    <n v="908"/>
    <d v="2024-06-01T00:00:00"/>
    <s v="07062024-A-111142"/>
    <d v="6202-06-07T00:00:00"/>
    <x v="0"/>
    <x v="1"/>
    <n v="12821"/>
    <x v="4"/>
    <x v="0"/>
    <n v="5505.1"/>
    <n v="1.36"/>
    <n v="12821"/>
    <n v="12821"/>
    <x v="20"/>
    <s v="Comber Noil"/>
    <n v="4897622"/>
    <x v="0"/>
    <n v="881571.96"/>
    <x v="0"/>
    <m/>
    <m/>
    <x v="0"/>
    <x v="0"/>
    <x v="0"/>
    <x v="0"/>
    <x v="0"/>
    <x v="0"/>
    <m/>
    <x v="0"/>
    <x v="1"/>
    <x v="0"/>
    <x v="0"/>
    <x v="0"/>
    <x v="9"/>
    <n v="382"/>
    <n v="68.759999999999991"/>
    <n v="881571.95999999985"/>
    <d v="2024-07-01T00:00:00"/>
    <x v="0"/>
  </r>
  <r>
    <n v="909"/>
    <d v="2024-06-01T00:00:00"/>
    <s v="07062024-A-111148"/>
    <d v="6202-06-07T00:00:00"/>
    <x v="0"/>
    <x v="1"/>
    <n v="12594"/>
    <x v="4"/>
    <x v="0"/>
    <n v="5505.1"/>
    <n v="1.36"/>
    <n v="12594"/>
    <n v="12594"/>
    <x v="20"/>
    <s v="Comber Noil"/>
    <n v="4810908"/>
    <x v="0"/>
    <n v="865963.44"/>
    <x v="0"/>
    <m/>
    <m/>
    <x v="0"/>
    <x v="0"/>
    <x v="0"/>
    <x v="0"/>
    <x v="0"/>
    <x v="0"/>
    <m/>
    <x v="0"/>
    <x v="1"/>
    <x v="0"/>
    <x v="0"/>
    <x v="0"/>
    <x v="9"/>
    <n v="382"/>
    <n v="68.759999999999991"/>
    <n v="865963.43999999983"/>
    <d v="2024-07-01T00:00:00"/>
    <x v="0"/>
  </r>
  <r>
    <n v="910"/>
    <d v="2024-06-01T00:00:00"/>
    <s v="07062024-A-111158"/>
    <d v="6202-06-07T00:00:00"/>
    <x v="0"/>
    <x v="0"/>
    <n v="13064"/>
    <x v="4"/>
    <x v="0"/>
    <n v="5509.53"/>
    <n v="3.11"/>
    <n v="0"/>
    <n v="0"/>
    <x v="3"/>
    <s v="PC52:48 - ( 28800 LBS)"/>
    <n v="11376000"/>
    <x v="0"/>
    <n v="2047680"/>
    <x v="0"/>
    <m/>
    <m/>
    <x v="0"/>
    <x v="0"/>
    <x v="0"/>
    <x v="0"/>
    <x v="0"/>
    <x v="0"/>
    <m/>
    <x v="0"/>
    <x v="1"/>
    <x v="0"/>
    <x v="0"/>
    <x v="0"/>
    <x v="3"/>
    <n v="870.78995713410905"/>
    <n v="156.74219228413963"/>
    <n v="0"/>
    <d v="2024-07-01T00:00:00"/>
    <x v="0"/>
  </r>
  <r>
    <n v="911"/>
    <d v="2024-06-01T00:00:00"/>
    <s v="07062024-A-111163"/>
    <d v="6202-06-07T00:00:00"/>
    <x v="0"/>
    <x v="0"/>
    <n v="8528"/>
    <x v="4"/>
    <x v="0"/>
    <n v="5205.12"/>
    <n v="3.27"/>
    <n v="0"/>
    <n v="0"/>
    <x v="10"/>
    <s v="20/1 Cotton Yarn( 18800LBS)"/>
    <n v="7802000"/>
    <x v="0"/>
    <n v="1404360"/>
    <x v="0"/>
    <m/>
    <m/>
    <x v="0"/>
    <x v="0"/>
    <x v="0"/>
    <x v="0"/>
    <x v="0"/>
    <x v="0"/>
    <m/>
    <x v="0"/>
    <x v="1"/>
    <x v="0"/>
    <x v="0"/>
    <x v="0"/>
    <x v="3"/>
    <n v="914.86866791744842"/>
    <n v="164.67636022514071"/>
    <n v="0"/>
    <d v="2024-07-01T00:00:00"/>
    <x v="0"/>
  </r>
  <r>
    <n v="912"/>
    <d v="2024-06-01T00:00:00"/>
    <s v="13062024-A-115010"/>
    <d v="6202-06-13T00:00:00"/>
    <x v="0"/>
    <x v="1"/>
    <n v="29000"/>
    <x v="4"/>
    <x v="0"/>
    <n v="2815.12"/>
    <n v="0.28000000000000003"/>
    <n v="29000"/>
    <n v="29000"/>
    <x v="12"/>
    <s v="CAUSTIC SODA LIQUID"/>
    <n v="2257650"/>
    <x v="0"/>
    <n v="406377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06377"/>
    <d v="2024-07-01T00:00:00"/>
    <x v="0"/>
  </r>
  <r>
    <n v="913"/>
    <d v="2024-06-01T00:00:00"/>
    <s v="13062024-A-115058"/>
    <d v="6202-06-13T00:00:00"/>
    <x v="0"/>
    <x v="1"/>
    <n v="29020"/>
    <x v="4"/>
    <x v="0"/>
    <n v="2815.12"/>
    <n v="0.28000000000000003"/>
    <n v="29020"/>
    <n v="29020"/>
    <x v="12"/>
    <s v="CAUSTIC SODA LIQUID"/>
    <n v="2259207"/>
    <x v="0"/>
    <n v="406657.26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06657.26"/>
    <d v="2024-07-01T00:00:00"/>
    <x v="0"/>
  </r>
  <r>
    <n v="914"/>
    <d v="2024-06-01T00:00:00"/>
    <s v="13062024-A-115074"/>
    <d v="6202-06-13T00:00:00"/>
    <x v="0"/>
    <x v="1"/>
    <n v="29312"/>
    <x v="4"/>
    <x v="0"/>
    <n v="2815.12"/>
    <n v="0.28000000000000003"/>
    <n v="29312"/>
    <n v="29312"/>
    <x v="12"/>
    <s v="CAUSTIC SODA LIQUID"/>
    <n v="2281939"/>
    <x v="0"/>
    <n v="410749.01999999996"/>
    <x v="0"/>
    <m/>
    <m/>
    <x v="0"/>
    <x v="0"/>
    <x v="0"/>
    <x v="0"/>
    <x v="0"/>
    <x v="0"/>
    <m/>
    <x v="0"/>
    <x v="1"/>
    <x v="0"/>
    <x v="0"/>
    <x v="0"/>
    <x v="5"/>
    <n v="77.849993176855889"/>
    <n v="14.012998771834059"/>
    <n v="410749.01999999996"/>
    <d v="2024-07-01T00:00:00"/>
    <x v="0"/>
  </r>
  <r>
    <n v="915"/>
    <d v="2024-06-02T00:00:00"/>
    <s v="13062024-A-115082"/>
    <d v="6202-06-13T00:00:00"/>
    <x v="0"/>
    <x v="1"/>
    <n v="29440"/>
    <x v="4"/>
    <x v="0"/>
    <n v="2815.12"/>
    <n v="0.28000000000000003"/>
    <n v="29440"/>
    <n v="29440"/>
    <x v="12"/>
    <s v="CAUSTIC SODA LIQUID"/>
    <n v="2291904"/>
    <x v="0"/>
    <n v="412542.71999999997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2542.71999999997"/>
    <d v="2024-07-02T00:00:00"/>
    <x v="0"/>
  </r>
  <r>
    <n v="916"/>
    <d v="2024-06-02T00:00:00"/>
    <s v="13062024-A-115091"/>
    <d v="6202-06-13T00:00:00"/>
    <x v="0"/>
    <x v="0"/>
    <n v="500"/>
    <x v="4"/>
    <x v="0"/>
    <n v="3204.2"/>
    <n v="1.73"/>
    <n v="0"/>
    <n v="0"/>
    <x v="5"/>
    <s v="LEUCOPHOR BMF LIQUID"/>
    <n v="241500"/>
    <x v="0"/>
    <n v="4347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2T00:00:00"/>
    <x v="0"/>
  </r>
  <r>
    <n v="917"/>
    <d v="2024-06-04T00:00:00"/>
    <s v="13062024-A-115099"/>
    <d v="6202-06-13T00:00:00"/>
    <x v="0"/>
    <x v="0"/>
    <n v="500"/>
    <x v="4"/>
    <x v="0"/>
    <n v="3204.2"/>
    <n v="1.73"/>
    <n v="0"/>
    <n v="0"/>
    <x v="5"/>
    <s v="LEUCOPHOR BMF LIQUID"/>
    <n v="241500"/>
    <x v="0"/>
    <n v="4347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4T00:00:00"/>
    <x v="0"/>
  </r>
  <r>
    <n v="918"/>
    <d v="2024-06-04T00:00:00"/>
    <s v="13062024-A-115106"/>
    <d v="6202-06-13T00:00:00"/>
    <x v="0"/>
    <x v="0"/>
    <n v="1000"/>
    <x v="4"/>
    <x v="0"/>
    <n v="3204.2"/>
    <n v="1.73"/>
    <n v="0"/>
    <n v="0"/>
    <x v="5"/>
    <s v="LEUCOPHOR BMF LIQUID"/>
    <n v="483000"/>
    <x v="0"/>
    <n v="8694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4T00:00:00"/>
    <x v="0"/>
  </r>
  <r>
    <n v="919"/>
    <d v="2024-06-01T00:00:00"/>
    <s v="13062024-A-115110"/>
    <d v="6202-06-13T00:00:00"/>
    <x v="0"/>
    <x v="2"/>
    <n v="440"/>
    <x v="4"/>
    <x v="0"/>
    <n v="3809.9110000000001"/>
    <n v="1.57"/>
    <n v="28"/>
    <n v="440"/>
    <x v="12"/>
    <s v="FIXAPRET NEC PLUS LIQ C"/>
    <n v="193600"/>
    <x v="0"/>
    <n v="34848"/>
    <x v="0"/>
    <m/>
    <m/>
    <x v="0"/>
    <x v="0"/>
    <x v="0"/>
    <x v="0"/>
    <x v="0"/>
    <x v="0"/>
    <m/>
    <x v="0"/>
    <x v="1"/>
    <x v="0"/>
    <x v="0"/>
    <x v="0"/>
    <x v="5"/>
    <n v="440"/>
    <n v="79.2"/>
    <n v="2217.6"/>
    <d v="2024-07-01T00:00:00"/>
    <x v="0"/>
  </r>
  <r>
    <n v="919"/>
    <d v="2024-06-01T00:00:00"/>
    <s v="13062024-A-115110"/>
    <d v="6202-06-13T00:00:00"/>
    <x v="0"/>
    <x v="2"/>
    <n v="400"/>
    <x v="4"/>
    <x v="0"/>
    <n v="2904.2089999999998"/>
    <n v="0.89"/>
    <n v="28"/>
    <n v="400"/>
    <x v="12"/>
    <s v="REVATOL S LIQUID"/>
    <n v="100000"/>
    <x v="0"/>
    <n v="18000"/>
    <x v="0"/>
    <m/>
    <m/>
    <x v="0"/>
    <x v="0"/>
    <x v="0"/>
    <x v="0"/>
    <x v="0"/>
    <x v="0"/>
    <m/>
    <x v="0"/>
    <x v="1"/>
    <x v="0"/>
    <x v="0"/>
    <x v="0"/>
    <x v="5"/>
    <n v="250"/>
    <n v="45"/>
    <n v="1260"/>
    <d v="2024-07-01T00:00:00"/>
    <x v="0"/>
  </r>
  <r>
    <n v="920"/>
    <d v="2024-06-01T00:00:00"/>
    <s v="13062024-A-115125"/>
    <d v="6202-06-13T00:00:00"/>
    <x v="0"/>
    <x v="0"/>
    <n v="100"/>
    <x v="4"/>
    <x v="0"/>
    <n v="3204.16"/>
    <n v="10"/>
    <n v="0"/>
    <n v="0"/>
    <x v="5"/>
    <s v="DRIMAREN"/>
    <n v="280000"/>
    <x v="0"/>
    <n v="50400"/>
    <x v="0"/>
    <m/>
    <m/>
    <x v="0"/>
    <x v="0"/>
    <x v="0"/>
    <x v="0"/>
    <x v="0"/>
    <x v="0"/>
    <m/>
    <x v="0"/>
    <x v="1"/>
    <x v="0"/>
    <x v="0"/>
    <x v="0"/>
    <x v="4"/>
    <n v="2800"/>
    <n v="504"/>
    <n v="0"/>
    <d v="2024-07-01T00:00:00"/>
    <x v="0"/>
  </r>
  <r>
    <n v="921"/>
    <d v="2024-06-01T00:00:00"/>
    <s v="13062024-A-115133"/>
    <d v="6202-06-13T00:00:00"/>
    <x v="0"/>
    <x v="0"/>
    <n v="1980"/>
    <x v="4"/>
    <x v="0"/>
    <n v="3809.9189999999999"/>
    <n v="0.38"/>
    <n v="0"/>
    <n v="0"/>
    <x v="12"/>
    <s v="PRESTOGEN F-PL LIQ"/>
    <n v="209880"/>
    <x v="0"/>
    <n v="37778.400000000001"/>
    <x v="0"/>
    <m/>
    <m/>
    <x v="0"/>
    <x v="0"/>
    <x v="0"/>
    <x v="0"/>
    <x v="0"/>
    <x v="0"/>
    <m/>
    <x v="0"/>
    <x v="1"/>
    <x v="0"/>
    <x v="0"/>
    <x v="0"/>
    <x v="5"/>
    <n v="106"/>
    <n v="19.080000000000002"/>
    <n v="0"/>
    <d v="2024-07-01T00:00:00"/>
    <x v="0"/>
  </r>
  <r>
    <n v="921"/>
    <d v="2024-06-01T00:00:00"/>
    <s v="13062024-A-115133"/>
    <d v="6202-06-13T00:00:00"/>
    <x v="0"/>
    <x v="0"/>
    <n v="500"/>
    <x v="4"/>
    <x v="0"/>
    <n v="3204.2"/>
    <n v="1.73"/>
    <n v="0"/>
    <n v="0"/>
    <x v="5"/>
    <s v="LEUCOPHOR BMF LIQUID"/>
    <n v="241500"/>
    <x v="0"/>
    <n v="4347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1T00:00:00"/>
    <x v="0"/>
  </r>
  <r>
    <n v="922"/>
    <d v="2024-06-01T00:00:00"/>
    <s v="13062024-A-115144"/>
    <d v="6202-06-13T00:00:00"/>
    <x v="0"/>
    <x v="0"/>
    <n v="200"/>
    <x v="4"/>
    <x v="0"/>
    <n v="3402.9"/>
    <n v="1.96"/>
    <n v="0"/>
    <n v="0"/>
    <x v="12"/>
    <s v="MERCEROL QW -LF"/>
    <n v="110000"/>
    <x v="0"/>
    <n v="1980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7-01T00:00:00"/>
    <x v="0"/>
  </r>
  <r>
    <n v="922"/>
    <d v="2024-06-01T00:00:00"/>
    <s v="13062024-A-115144"/>
    <d v="6202-06-13T00:00:00"/>
    <x v="0"/>
    <x v="0"/>
    <n v="200"/>
    <x v="4"/>
    <x v="0"/>
    <n v="3402.42"/>
    <n v="3.13"/>
    <n v="0"/>
    <n v="0"/>
    <x v="12"/>
    <s v="KIERALON MRN PK LIQ C"/>
    <n v="175000"/>
    <x v="0"/>
    <n v="31500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7-01T00:00:00"/>
    <x v="0"/>
  </r>
  <r>
    <n v="923"/>
    <d v="2024-06-01T00:00:00"/>
    <s v="13062024-A-115152"/>
    <d v="6202-06-13T00:00:00"/>
    <x v="0"/>
    <x v="0"/>
    <n v="90"/>
    <x v="4"/>
    <x v="0"/>
    <n v="3910"/>
    <n v="3.8"/>
    <n v="0"/>
    <n v="0"/>
    <x v="12"/>
    <s v="SOLUSOFT FE PK LIQUID"/>
    <n v="95850"/>
    <x v="0"/>
    <n v="17253"/>
    <x v="0"/>
    <m/>
    <m/>
    <x v="0"/>
    <x v="0"/>
    <x v="0"/>
    <x v="0"/>
    <x v="0"/>
    <x v="0"/>
    <m/>
    <x v="0"/>
    <x v="1"/>
    <x v="0"/>
    <x v="0"/>
    <x v="0"/>
    <x v="5"/>
    <n v="1065"/>
    <n v="191.7"/>
    <n v="0"/>
    <d v="2024-07-01T00:00:00"/>
    <x v="0"/>
  </r>
  <r>
    <n v="924"/>
    <d v="2024-06-01T00:00:00"/>
    <s v="13062024-A-115164"/>
    <d v="6202-06-13T00:00:00"/>
    <x v="0"/>
    <x v="0"/>
    <n v="1200"/>
    <x v="4"/>
    <x v="0"/>
    <n v="3809.9110000000001"/>
    <n v="1.0900000000000001"/>
    <n v="0"/>
    <n v="0"/>
    <x v="12"/>
    <s v="SIRRIX NE LIQ NEW 0120 "/>
    <n v="366000"/>
    <x v="0"/>
    <n v="65880"/>
    <x v="0"/>
    <m/>
    <m/>
    <x v="0"/>
    <x v="0"/>
    <x v="0"/>
    <x v="0"/>
    <x v="0"/>
    <x v="0"/>
    <m/>
    <x v="0"/>
    <x v="1"/>
    <x v="0"/>
    <x v="0"/>
    <x v="0"/>
    <x v="5"/>
    <n v="305"/>
    <n v="54.9"/>
    <n v="0"/>
    <d v="2024-07-01T00:00:00"/>
    <x v="0"/>
  </r>
  <r>
    <n v="925"/>
    <d v="2024-06-04T00:00:00"/>
    <s v="13062024-A-115200"/>
    <d v="6202-06-13T00:00:00"/>
    <x v="0"/>
    <x v="0"/>
    <n v="150"/>
    <x v="4"/>
    <x v="0"/>
    <n v="3809.9189999999999"/>
    <n v="1.77"/>
    <n v="0"/>
    <n v="0"/>
    <x v="12"/>
    <s v="HF PIOL B 95"/>
    <n v="74250"/>
    <x v="0"/>
    <n v="13365"/>
    <x v="0"/>
    <m/>
    <m/>
    <x v="0"/>
    <x v="0"/>
    <x v="0"/>
    <x v="0"/>
    <x v="0"/>
    <x v="0"/>
    <m/>
    <x v="0"/>
    <x v="1"/>
    <x v="0"/>
    <x v="0"/>
    <x v="0"/>
    <x v="5"/>
    <n v="495"/>
    <n v="89.1"/>
    <n v="0"/>
    <d v="2024-07-04T00:00:00"/>
    <x v="0"/>
  </r>
  <r>
    <n v="926"/>
    <d v="2024-06-01T00:00:00"/>
    <s v="13062024-A-115204"/>
    <d v="6202-06-13T00:00:00"/>
    <x v="0"/>
    <x v="0"/>
    <n v="3000"/>
    <x v="4"/>
    <x v="0"/>
    <n v="3906.9090000000001"/>
    <n v="0.5"/>
    <n v="0"/>
    <n v="0"/>
    <x v="12"/>
    <s v="TUBIFAST ACL"/>
    <n v="417000"/>
    <x v="0"/>
    <n v="7506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01T00:00:00"/>
    <x v="0"/>
  </r>
  <r>
    <n v="927"/>
    <d v="2024-06-04T00:00:00"/>
    <s v="13062024-A-115207"/>
    <d v="6202-06-13T00:00:00"/>
    <x v="0"/>
    <x v="0"/>
    <n v="2000"/>
    <x v="4"/>
    <x v="0"/>
    <n v="3906.9090000000001"/>
    <n v="0.5"/>
    <n v="0"/>
    <n v="0"/>
    <x v="12"/>
    <s v="TUBIFAST ACL"/>
    <n v="278000"/>
    <x v="0"/>
    <n v="5004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04T00:00:00"/>
    <x v="0"/>
  </r>
  <r>
    <n v="928"/>
    <d v="2024-06-04T00:00:00"/>
    <s v="13062024-A-115208"/>
    <d v="6202-06-13T00:00:00"/>
    <x v="0"/>
    <x v="0"/>
    <n v="3000"/>
    <x v="4"/>
    <x v="0"/>
    <n v="3906.9090000000001"/>
    <n v="0.5"/>
    <n v="0"/>
    <n v="0"/>
    <x v="12"/>
    <s v="TUBIFAST ACL"/>
    <n v="417000"/>
    <x v="0"/>
    <n v="7506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04T00:00:00"/>
    <x v="0"/>
  </r>
  <r>
    <n v="929"/>
    <d v="2024-06-04T00:00:00"/>
    <s v="13062024-A-115210"/>
    <d v="6202-06-1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04T00:00:00"/>
    <x v="0"/>
  </r>
  <r>
    <n v="930"/>
    <d v="2024-06-01T00:00:00"/>
    <s v="13062024-A-115212"/>
    <d v="6202-06-13T00:00:00"/>
    <x v="0"/>
    <x v="0"/>
    <n v="2000"/>
    <x v="4"/>
    <x v="0"/>
    <n v="3906.9090000000001"/>
    <n v="0.5"/>
    <n v="0"/>
    <n v="0"/>
    <x v="12"/>
    <s v="TUBIFAST ACL"/>
    <n v="278000"/>
    <x v="0"/>
    <n v="5004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01T00:00:00"/>
    <x v="0"/>
  </r>
  <r>
    <n v="931"/>
    <d v="2024-06-01T00:00:00"/>
    <s v="13062024-A-115216"/>
    <d v="6202-06-13T00:00:00"/>
    <x v="0"/>
    <x v="0"/>
    <n v="2400"/>
    <x v="4"/>
    <x v="0"/>
    <n v="3809.9189999999999"/>
    <n v="11.88"/>
    <n v="0"/>
    <n v="0"/>
    <x v="12"/>
    <s v="RUCO-DRY ECO PLUS  / RUCO-LINK RCX"/>
    <n v="7980000"/>
    <x v="0"/>
    <n v="1436400"/>
    <x v="0"/>
    <m/>
    <m/>
    <x v="0"/>
    <x v="0"/>
    <x v="0"/>
    <x v="0"/>
    <x v="0"/>
    <x v="0"/>
    <m/>
    <x v="0"/>
    <x v="1"/>
    <x v="0"/>
    <x v="0"/>
    <x v="0"/>
    <x v="5"/>
    <n v="3325"/>
    <n v="598.5"/>
    <n v="0"/>
    <d v="2024-07-01T00:00:00"/>
    <x v="0"/>
  </r>
  <r>
    <n v="932"/>
    <d v="2024-06-01T00:00:00"/>
    <s v="13062024-A-115219"/>
    <d v="6202-06-13T00:00:00"/>
    <x v="0"/>
    <x v="0"/>
    <n v="720"/>
    <x v="4"/>
    <x v="0"/>
    <n v="3809.9189999999999"/>
    <n v="15.89"/>
    <n v="0"/>
    <n v="0"/>
    <x v="12"/>
    <s v="RUCO-LINK RCX"/>
    <n v="3204000"/>
    <x v="0"/>
    <n v="576720"/>
    <x v="0"/>
    <m/>
    <m/>
    <x v="0"/>
    <x v="0"/>
    <x v="0"/>
    <x v="0"/>
    <x v="0"/>
    <x v="0"/>
    <m/>
    <x v="0"/>
    <x v="1"/>
    <x v="0"/>
    <x v="0"/>
    <x v="0"/>
    <x v="5"/>
    <n v="4450"/>
    <n v="801"/>
    <n v="0"/>
    <d v="2024-07-01T00:00:00"/>
    <x v="0"/>
  </r>
  <r>
    <n v="933"/>
    <d v="2024-06-01T00:00:00"/>
    <s v="13062024-A-115222"/>
    <d v="6202-06-13T00:00:00"/>
    <x v="0"/>
    <x v="0"/>
    <n v="1050"/>
    <x v="4"/>
    <x v="0"/>
    <n v="3809.9189999999999"/>
    <n v="10.54"/>
    <n v="0"/>
    <n v="0"/>
    <x v="12"/>
    <s v="RUCO-DRY ECO PLUS "/>
    <n v="3097500"/>
    <x v="0"/>
    <n v="557550"/>
    <x v="0"/>
    <m/>
    <m/>
    <x v="0"/>
    <x v="0"/>
    <x v="0"/>
    <x v="0"/>
    <x v="0"/>
    <x v="0"/>
    <m/>
    <x v="0"/>
    <x v="1"/>
    <x v="0"/>
    <x v="0"/>
    <x v="0"/>
    <x v="5"/>
    <n v="2950"/>
    <n v="531"/>
    <n v="0"/>
    <d v="2024-07-01T00:00:00"/>
    <x v="0"/>
  </r>
  <r>
    <n v="934"/>
    <d v="2024-06-04T00:00:00"/>
    <s v="13062024-A-115226"/>
    <d v="6202-06-13T00:00:00"/>
    <x v="0"/>
    <x v="0"/>
    <n v="3600"/>
    <x v="4"/>
    <x v="0"/>
    <n v="3809.9189999999999"/>
    <n v="10.54"/>
    <n v="0"/>
    <n v="0"/>
    <x v="12"/>
    <s v="RUCO-DRY ECO PLUS "/>
    <n v="10620000"/>
    <x v="0"/>
    <n v="1911600"/>
    <x v="0"/>
    <m/>
    <m/>
    <x v="0"/>
    <x v="0"/>
    <x v="0"/>
    <x v="0"/>
    <x v="0"/>
    <x v="0"/>
    <m/>
    <x v="0"/>
    <x v="1"/>
    <x v="0"/>
    <x v="0"/>
    <x v="0"/>
    <x v="5"/>
    <n v="2950"/>
    <n v="531"/>
    <n v="0"/>
    <d v="2024-07-04T00:00:00"/>
    <x v="0"/>
  </r>
  <r>
    <n v="935"/>
    <d v="2024-06-01T00:00:00"/>
    <s v="13062024-A-115229"/>
    <d v="6202-06-13T00:00:00"/>
    <x v="0"/>
    <x v="0"/>
    <n v="720"/>
    <x v="4"/>
    <x v="0"/>
    <n v="3402.42"/>
    <n v="3.29"/>
    <n v="0"/>
    <n v="0"/>
    <x v="12"/>
    <s v="RUCOWET VL"/>
    <n v="662400"/>
    <x v="0"/>
    <n v="119232"/>
    <x v="0"/>
    <m/>
    <m/>
    <x v="0"/>
    <x v="0"/>
    <x v="0"/>
    <x v="0"/>
    <x v="0"/>
    <x v="0"/>
    <m/>
    <x v="0"/>
    <x v="1"/>
    <x v="0"/>
    <x v="0"/>
    <x v="0"/>
    <x v="5"/>
    <n v="920"/>
    <n v="165.6"/>
    <n v="0"/>
    <d v="2024-07-01T00:00:00"/>
    <x v="0"/>
  </r>
  <r>
    <n v="936"/>
    <d v="2024-06-01T00:00:00"/>
    <s v="13062024-A-115231"/>
    <d v="6202-06-13T00:00:00"/>
    <x v="0"/>
    <x v="0"/>
    <n v="720"/>
    <x v="4"/>
    <x v="0"/>
    <n v="3402.42"/>
    <n v="3.29"/>
    <n v="0"/>
    <n v="0"/>
    <x v="12"/>
    <s v="RUCOWET VL"/>
    <n v="662400"/>
    <x v="0"/>
    <n v="119232"/>
    <x v="0"/>
    <m/>
    <m/>
    <x v="0"/>
    <x v="0"/>
    <x v="0"/>
    <x v="0"/>
    <x v="0"/>
    <x v="0"/>
    <m/>
    <x v="0"/>
    <x v="1"/>
    <x v="0"/>
    <x v="0"/>
    <x v="0"/>
    <x v="5"/>
    <n v="920"/>
    <n v="165.6"/>
    <n v="0"/>
    <d v="2024-07-01T00:00:00"/>
    <x v="0"/>
  </r>
  <r>
    <n v="937"/>
    <d v="2024-06-01T00:00:00"/>
    <s v="13062024-A-115234"/>
    <d v="6202-06-13T00:00:00"/>
    <x v="0"/>
    <x v="0"/>
    <n v="2070"/>
    <x v="4"/>
    <x v="0"/>
    <n v="3910"/>
    <n v="1.8"/>
    <n v="0"/>
    <n v="0"/>
    <x v="12"/>
    <s v="Solusoft MW.PK liq c"/>
    <n v="1045350"/>
    <x v="0"/>
    <n v="188163"/>
    <x v="0"/>
    <m/>
    <m/>
    <x v="0"/>
    <x v="0"/>
    <x v="0"/>
    <x v="0"/>
    <x v="0"/>
    <x v="0"/>
    <m/>
    <x v="0"/>
    <x v="1"/>
    <x v="0"/>
    <x v="0"/>
    <x v="0"/>
    <x v="5"/>
    <n v="505"/>
    <n v="90.9"/>
    <n v="0"/>
    <d v="2024-07-01T00:00:00"/>
    <x v="0"/>
  </r>
  <r>
    <n v="938"/>
    <d v="2024-06-01T00:00:00"/>
    <s v="13062024-A-115237"/>
    <d v="6202-06-13T00:00:00"/>
    <x v="0"/>
    <x v="0"/>
    <n v="4590"/>
    <x v="4"/>
    <x v="0"/>
    <n v="3910"/>
    <n v="1.8"/>
    <n v="0"/>
    <n v="0"/>
    <x v="12"/>
    <s v="Solusoft MW.PK liq c"/>
    <n v="2317950"/>
    <x v="0"/>
    <n v="417231"/>
    <x v="0"/>
    <m/>
    <m/>
    <x v="0"/>
    <x v="0"/>
    <x v="0"/>
    <x v="0"/>
    <x v="0"/>
    <x v="0"/>
    <m/>
    <x v="0"/>
    <x v="1"/>
    <x v="0"/>
    <x v="0"/>
    <x v="0"/>
    <x v="5"/>
    <n v="505"/>
    <n v="90.9"/>
    <n v="0"/>
    <d v="2024-07-01T00:00:00"/>
    <x v="0"/>
  </r>
  <r>
    <n v="939"/>
    <d v="2024-06-01T00:00:00"/>
    <s v="13062024-A-115241"/>
    <d v="6202-06-13T00:00:00"/>
    <x v="0"/>
    <x v="1"/>
    <n v="500"/>
    <x v="4"/>
    <x v="0"/>
    <n v="2904.2089999999998"/>
    <n v="2.68"/>
    <n v="500"/>
    <n v="500"/>
    <x v="12"/>
    <s v="CHEMITOL WS GRANULES"/>
    <n v="375000"/>
    <x v="0"/>
    <n v="67500"/>
    <x v="0"/>
    <m/>
    <m/>
    <x v="0"/>
    <x v="0"/>
    <x v="0"/>
    <x v="0"/>
    <x v="0"/>
    <x v="0"/>
    <m/>
    <x v="0"/>
    <x v="1"/>
    <x v="0"/>
    <x v="0"/>
    <x v="0"/>
    <x v="5"/>
    <n v="750"/>
    <n v="135"/>
    <n v="67500"/>
    <d v="2024-07-01T00:00:00"/>
    <x v="0"/>
  </r>
  <r>
    <n v="940"/>
    <d v="2024-06-01T00:00:00"/>
    <s v="13062024-A-115244"/>
    <d v="6202-06-13T00:00:00"/>
    <x v="0"/>
    <x v="0"/>
    <n v="600"/>
    <x v="4"/>
    <x v="0"/>
    <n v="3809.9189999999999"/>
    <n v="2.41"/>
    <n v="0"/>
    <n v="0"/>
    <x v="12"/>
    <s v="PERLAVIN SRD"/>
    <n v="405000"/>
    <x v="0"/>
    <n v="72900"/>
    <x v="0"/>
    <m/>
    <m/>
    <x v="0"/>
    <x v="0"/>
    <x v="0"/>
    <x v="0"/>
    <x v="0"/>
    <x v="0"/>
    <m/>
    <x v="0"/>
    <x v="1"/>
    <x v="0"/>
    <x v="0"/>
    <x v="0"/>
    <x v="5"/>
    <n v="675"/>
    <n v="121.5"/>
    <n v="0"/>
    <d v="2024-07-01T00:00:00"/>
    <x v="0"/>
  </r>
  <r>
    <n v="941"/>
    <d v="2024-06-01T00:00:00"/>
    <s v="13062024-A-115248"/>
    <d v="6202-06-13T00:00:00"/>
    <x v="0"/>
    <x v="0"/>
    <n v="240"/>
    <x v="4"/>
    <x v="0"/>
    <n v="3809.9189999999999"/>
    <n v="2.41"/>
    <n v="0"/>
    <n v="0"/>
    <x v="12"/>
    <s v="PERLAVIN SRD"/>
    <n v="162000"/>
    <x v="0"/>
    <n v="29160"/>
    <x v="0"/>
    <m/>
    <m/>
    <x v="0"/>
    <x v="0"/>
    <x v="0"/>
    <x v="0"/>
    <x v="0"/>
    <x v="0"/>
    <m/>
    <x v="0"/>
    <x v="1"/>
    <x v="0"/>
    <x v="0"/>
    <x v="0"/>
    <x v="5"/>
    <n v="675"/>
    <n v="121.5"/>
    <n v="0"/>
    <d v="2024-07-01T00:00:00"/>
    <x v="0"/>
  </r>
  <r>
    <n v="942"/>
    <d v="2024-06-01T00:00:00"/>
    <s v="14062024-A-115442"/>
    <d v="6202-06-14T00:00:00"/>
    <x v="0"/>
    <x v="0"/>
    <n v="210"/>
    <x v="4"/>
    <x v="0"/>
    <n v="3507.9"/>
    <n v="3.13"/>
    <n v="0"/>
    <n v="0"/>
    <x v="12"/>
    <s v="PROMOLAZE HT CONC  "/>
    <n v="183750"/>
    <x v="0"/>
    <n v="33075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7-01T00:00:00"/>
    <x v="0"/>
  </r>
  <r>
    <n v="943"/>
    <d v="2024-06-01T00:00:00"/>
    <s v="14062024-A-115448"/>
    <d v="6202-06-14T00:00:00"/>
    <x v="0"/>
    <x v="0"/>
    <n v="450"/>
    <x v="4"/>
    <x v="0"/>
    <n v="3507.9"/>
    <n v="3.13"/>
    <n v="0"/>
    <n v="0"/>
    <x v="12"/>
    <s v="PROMOLAZE HT CONC  "/>
    <n v="393750"/>
    <x v="0"/>
    <n v="70875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7-01T00:00:00"/>
    <x v="0"/>
  </r>
  <r>
    <n v="944"/>
    <d v="2024-06-02T00:00:00"/>
    <s v="14062024-A-115459"/>
    <d v="6202-06-14T00:00:00"/>
    <x v="0"/>
    <x v="0"/>
    <n v="200"/>
    <x v="4"/>
    <x v="0"/>
    <n v="3507.9"/>
    <n v="12.5"/>
    <n v="0"/>
    <n v="0"/>
    <x v="12"/>
    <s v="AQUAZYM AD"/>
    <n v="700000"/>
    <x v="0"/>
    <n v="126000"/>
    <x v="0"/>
    <m/>
    <m/>
    <x v="0"/>
    <x v="0"/>
    <x v="0"/>
    <x v="0"/>
    <x v="0"/>
    <x v="0"/>
    <m/>
    <x v="0"/>
    <x v="1"/>
    <x v="0"/>
    <x v="0"/>
    <x v="0"/>
    <x v="5"/>
    <n v="3500"/>
    <n v="630"/>
    <n v="0"/>
    <d v="2024-07-02T00:00:00"/>
    <x v="0"/>
  </r>
  <r>
    <n v="945"/>
    <d v="2024-06-01T00:00:00"/>
    <s v="14062024-A-115471"/>
    <d v="6202-06-14T00:00:00"/>
    <x v="0"/>
    <x v="0"/>
    <n v="270"/>
    <x v="4"/>
    <x v="0"/>
    <n v="3809.9189999999999"/>
    <n v="1.41"/>
    <n v="0"/>
    <n v="0"/>
    <x v="12"/>
    <s v="ASULUBE PES,PROGAL DFT"/>
    <n v="106800"/>
    <x v="0"/>
    <n v="19224"/>
    <x v="0"/>
    <m/>
    <m/>
    <x v="0"/>
    <x v="0"/>
    <x v="0"/>
    <x v="0"/>
    <x v="0"/>
    <x v="0"/>
    <m/>
    <x v="0"/>
    <x v="1"/>
    <x v="0"/>
    <x v="0"/>
    <x v="0"/>
    <x v="5"/>
    <n v="395.55555555555554"/>
    <n v="71.2"/>
    <n v="0"/>
    <d v="2024-07-01T00:00:00"/>
    <x v="0"/>
  </r>
  <r>
    <n v="946"/>
    <d v="2024-06-04T00:00:00"/>
    <s v="14062024-A-115480"/>
    <d v="6202-06-14T00:00:00"/>
    <x v="0"/>
    <x v="0"/>
    <n v="900"/>
    <x v="4"/>
    <x v="0"/>
    <n v="3204.172"/>
    <n v="4.96"/>
    <n v="0"/>
    <n v="0"/>
    <x v="5"/>
    <s v="PIGMASOL YELLOW MRP"/>
    <n v="1251000"/>
    <x v="0"/>
    <n v="225180"/>
    <x v="0"/>
    <m/>
    <m/>
    <x v="0"/>
    <x v="0"/>
    <x v="0"/>
    <x v="0"/>
    <x v="0"/>
    <x v="0"/>
    <m/>
    <x v="0"/>
    <x v="1"/>
    <x v="0"/>
    <x v="0"/>
    <x v="0"/>
    <x v="4"/>
    <n v="1390"/>
    <n v="250.2"/>
    <n v="0"/>
    <d v="2024-07-04T00:00:00"/>
    <x v="0"/>
  </r>
  <r>
    <n v="947"/>
    <d v="2024-06-04T00:00:00"/>
    <s v="14062024-A-115491"/>
    <d v="6202-06-14T00:00:00"/>
    <x v="0"/>
    <x v="0"/>
    <n v="600"/>
    <x v="4"/>
    <x v="0"/>
    <n v="3204.172"/>
    <n v="4.96"/>
    <n v="0"/>
    <n v="0"/>
    <x v="5"/>
    <s v="PIGMASOL YELLOW MRP"/>
    <n v="834000"/>
    <x v="0"/>
    <n v="150120"/>
    <x v="0"/>
    <m/>
    <m/>
    <x v="0"/>
    <x v="0"/>
    <x v="0"/>
    <x v="0"/>
    <x v="0"/>
    <x v="0"/>
    <m/>
    <x v="0"/>
    <x v="1"/>
    <x v="0"/>
    <x v="0"/>
    <x v="0"/>
    <x v="4"/>
    <n v="1390"/>
    <n v="250.2"/>
    <n v="0"/>
    <d v="2024-07-04T00:00:00"/>
    <x v="0"/>
  </r>
  <r>
    <n v="948"/>
    <d v="2024-06-01T00:00:00"/>
    <s v="14062024-A-115502"/>
    <d v="6202-06-14T00:00:00"/>
    <x v="0"/>
    <x v="0"/>
    <n v="480"/>
    <x v="4"/>
    <x v="0"/>
    <n v="2931.9090000000001"/>
    <n v="3.93"/>
    <n v="0"/>
    <n v="0"/>
    <x v="12"/>
    <s v="CROSQUEST HRO"/>
    <n v="528000"/>
    <x v="0"/>
    <n v="95040"/>
    <x v="0"/>
    <m/>
    <m/>
    <x v="0"/>
    <x v="0"/>
    <x v="0"/>
    <x v="0"/>
    <x v="0"/>
    <x v="0"/>
    <m/>
    <x v="0"/>
    <x v="1"/>
    <x v="0"/>
    <x v="0"/>
    <x v="0"/>
    <x v="5"/>
    <n v="1100"/>
    <n v="198"/>
    <n v="0"/>
    <d v="2024-07-01T00:00:00"/>
    <x v="0"/>
  </r>
  <r>
    <n v="949"/>
    <d v="2024-06-01T00:00:00"/>
    <s v="14062024-A-115517"/>
    <d v="6202-06-14T00:00:00"/>
    <x v="0"/>
    <x v="0"/>
    <n v="5000"/>
    <x v="4"/>
    <x v="0"/>
    <n v="3809.9189999999999"/>
    <n v="2.25"/>
    <n v="0"/>
    <n v="0"/>
    <x v="12"/>
    <s v="SEQUIN FE 75"/>
    <n v="3150000"/>
    <x v="0"/>
    <n v="567000"/>
    <x v="0"/>
    <m/>
    <m/>
    <x v="0"/>
    <x v="0"/>
    <x v="0"/>
    <x v="0"/>
    <x v="0"/>
    <x v="0"/>
    <m/>
    <x v="0"/>
    <x v="1"/>
    <x v="0"/>
    <x v="0"/>
    <x v="0"/>
    <x v="5"/>
    <n v="630"/>
    <n v="113.4"/>
    <n v="0"/>
    <d v="2024-07-01T00:00:00"/>
    <x v="0"/>
  </r>
  <r>
    <n v="950"/>
    <d v="2024-06-01T00:00:00"/>
    <s v="14062024-A-115530"/>
    <d v="6202-06-14T00:00:00"/>
    <x v="0"/>
    <x v="2"/>
    <n v="100"/>
    <x v="4"/>
    <x v="0"/>
    <n v="3402.9"/>
    <n v="6.43"/>
    <n v="5"/>
    <n v="100"/>
    <x v="12"/>
    <s v="HI TOUCH GT"/>
    <n v="180000"/>
    <x v="0"/>
    <n v="32400"/>
    <x v="0"/>
    <m/>
    <m/>
    <x v="0"/>
    <x v="0"/>
    <x v="0"/>
    <x v="0"/>
    <x v="0"/>
    <x v="0"/>
    <m/>
    <x v="0"/>
    <x v="1"/>
    <x v="0"/>
    <x v="0"/>
    <x v="0"/>
    <x v="5"/>
    <n v="1800"/>
    <n v="324"/>
    <n v="1620"/>
    <d v="2024-07-01T00:00:00"/>
    <x v="0"/>
  </r>
  <r>
    <n v="951"/>
    <d v="2024-06-02T00:00:00"/>
    <s v="14062024-A-115536"/>
    <d v="6202-06-14T00:00:00"/>
    <x v="0"/>
    <x v="0"/>
    <n v="480"/>
    <x v="4"/>
    <x v="0"/>
    <n v="3809.9189999999999"/>
    <n v="1.52"/>
    <n v="0"/>
    <n v="0"/>
    <x v="12"/>
    <s v="SUBLICORE ARC PLUS "/>
    <n v="204000"/>
    <x v="0"/>
    <n v="36720"/>
    <x v="0"/>
    <m/>
    <m/>
    <x v="0"/>
    <x v="0"/>
    <x v="0"/>
    <x v="0"/>
    <x v="0"/>
    <x v="0"/>
    <m/>
    <x v="0"/>
    <x v="1"/>
    <x v="0"/>
    <x v="0"/>
    <x v="0"/>
    <x v="5"/>
    <n v="425"/>
    <n v="76.5"/>
    <n v="0"/>
    <d v="2024-07-02T00:00:00"/>
    <x v="0"/>
  </r>
  <r>
    <n v="952"/>
    <d v="2024-06-01T00:00:00"/>
    <s v="14062024-A-115541"/>
    <d v="6202-06-14T00:00:00"/>
    <x v="0"/>
    <x v="0"/>
    <n v="1560"/>
    <x v="4"/>
    <x v="0"/>
    <n v="3809.9189999999999"/>
    <n v="2.5"/>
    <n v="0"/>
    <n v="0"/>
    <x v="12"/>
    <s v="ALKASOFT PEN"/>
    <n v="1092000"/>
    <x v="0"/>
    <n v="196560"/>
    <x v="0"/>
    <m/>
    <m/>
    <x v="0"/>
    <x v="0"/>
    <x v="0"/>
    <x v="0"/>
    <x v="0"/>
    <x v="0"/>
    <m/>
    <x v="0"/>
    <x v="1"/>
    <x v="0"/>
    <x v="0"/>
    <x v="0"/>
    <x v="5"/>
    <n v="700"/>
    <n v="126"/>
    <n v="0"/>
    <d v="2024-07-01T00:00:00"/>
    <x v="0"/>
  </r>
  <r>
    <n v="953"/>
    <d v="2024-06-03T00:00:00"/>
    <s v="14062024-A-115549"/>
    <d v="6202-06-14T00:00:00"/>
    <x v="0"/>
    <x v="0"/>
    <n v="1440"/>
    <x v="4"/>
    <x v="0"/>
    <n v="3809.9189999999999"/>
    <n v="2.5"/>
    <n v="0"/>
    <n v="0"/>
    <x v="12"/>
    <s v="ALKASOFT PEN"/>
    <n v="1008000"/>
    <x v="0"/>
    <n v="181440"/>
    <x v="0"/>
    <m/>
    <m/>
    <x v="0"/>
    <x v="0"/>
    <x v="0"/>
    <x v="0"/>
    <x v="0"/>
    <x v="0"/>
    <m/>
    <x v="0"/>
    <x v="1"/>
    <x v="0"/>
    <x v="0"/>
    <x v="0"/>
    <x v="5"/>
    <n v="700"/>
    <n v="126"/>
    <n v="0"/>
    <d v="2024-07-03T00:00:00"/>
    <x v="0"/>
  </r>
  <r>
    <n v="954"/>
    <d v="2024-06-02T00:00:00"/>
    <s v="14062024-A-115558"/>
    <d v="6202-06-14T00:00:00"/>
    <x v="0"/>
    <x v="2"/>
    <n v="30000"/>
    <x v="4"/>
    <x v="0"/>
    <n v="2501.009"/>
    <n v="0.03"/>
    <n v="28691"/>
    <n v="30000"/>
    <x v="12"/>
    <s v="REFINED LAKE SALT"/>
    <n v="253500"/>
    <x v="0"/>
    <n v="45630"/>
    <x v="0"/>
    <m/>
    <m/>
    <x v="0"/>
    <x v="0"/>
    <x v="0"/>
    <x v="0"/>
    <x v="0"/>
    <x v="0"/>
    <m/>
    <x v="0"/>
    <x v="1"/>
    <x v="0"/>
    <x v="0"/>
    <x v="0"/>
    <x v="5"/>
    <n v="8.4499999999999993"/>
    <n v="1.5209999999999999"/>
    <n v="43639.010999999999"/>
    <d v="2024-07-02T00:00:00"/>
    <x v="0"/>
  </r>
  <r>
    <n v="955"/>
    <d v="2024-06-05T00:00:00"/>
    <s v="25062024-A-118686"/>
    <d v="6202-06-25T00:00:00"/>
    <x v="0"/>
    <x v="1"/>
    <n v="5870"/>
    <x v="4"/>
    <x v="0"/>
    <n v="5208.1099999999997"/>
    <n v="4.75"/>
    <n v="5870"/>
    <n v="5870"/>
    <x v="14"/>
    <s v="40/1 Cotton Fabric Grey ( 16273 Mtr)"/>
    <n v="7811040"/>
    <x v="0"/>
    <n v="1405987.2"/>
    <x v="0"/>
    <m/>
    <m/>
    <x v="0"/>
    <x v="0"/>
    <x v="0"/>
    <x v="0"/>
    <x v="0"/>
    <x v="0"/>
    <m/>
    <x v="0"/>
    <x v="1"/>
    <x v="0"/>
    <x v="0"/>
    <x v="0"/>
    <x v="2"/>
    <n v="1330.6712095400342"/>
    <n v="239.52081771720611"/>
    <n v="1405987.2"/>
    <d v="2024-07-05T00:00:00"/>
    <x v="0"/>
  </r>
  <r>
    <n v="956"/>
    <d v="2024-06-05T00:00:00"/>
    <s v="25062024-A-118710"/>
    <d v="6202-06-25T00:00:00"/>
    <x v="0"/>
    <x v="1"/>
    <n v="7671"/>
    <x v="4"/>
    <x v="0"/>
    <n v="5208.1099999999997"/>
    <n v="4.75"/>
    <n v="7671"/>
    <n v="7671"/>
    <x v="14"/>
    <s v="40/1 Cotton Fabric Grey ( 19982 Mtr)"/>
    <n v="10210802"/>
    <x v="0"/>
    <n v="1837944.3599999999"/>
    <x v="0"/>
    <m/>
    <m/>
    <x v="0"/>
    <x v="0"/>
    <x v="0"/>
    <x v="0"/>
    <x v="0"/>
    <x v="0"/>
    <m/>
    <x v="0"/>
    <x v="1"/>
    <x v="0"/>
    <x v="0"/>
    <x v="0"/>
    <x v="2"/>
    <n v="1331.0913831312737"/>
    <n v="239.59644896362923"/>
    <n v="1837944.3599999999"/>
    <d v="2024-07-05T00:00:00"/>
    <x v="0"/>
  </r>
  <r>
    <n v="957"/>
    <d v="2024-06-11T00:00:00"/>
    <s v="25062024-A-118717"/>
    <d v="6202-06-25T00:00:00"/>
    <x v="0"/>
    <x v="1"/>
    <n v="9823"/>
    <x v="4"/>
    <x v="0"/>
    <n v="5210.1099999999997"/>
    <n v="2.97"/>
    <n v="9823"/>
    <n v="9823"/>
    <x v="2"/>
    <s v="PC 65:35  24/1 FABRIC (18720/MTRS)"/>
    <n v="8161920"/>
    <x v="0"/>
    <n v="1469145.5999999999"/>
    <x v="0"/>
    <m/>
    <m/>
    <x v="0"/>
    <x v="0"/>
    <x v="0"/>
    <x v="0"/>
    <x v="0"/>
    <x v="0"/>
    <m/>
    <x v="0"/>
    <x v="1"/>
    <x v="0"/>
    <x v="0"/>
    <x v="0"/>
    <x v="2"/>
    <n v="830.89891071973943"/>
    <n v="149.56180392955307"/>
    <n v="1469145.5999999999"/>
    <d v="2024-07-11T00:00:00"/>
    <x v="0"/>
  </r>
  <r>
    <n v="958"/>
    <d v="2024-06-11T00:00:00"/>
    <s v="25062024-A-118726"/>
    <d v="6202-06-25T00:00:00"/>
    <x v="0"/>
    <x v="2"/>
    <n v="13822"/>
    <x v="4"/>
    <x v="0"/>
    <n v="5210.1099999999997"/>
    <n v="4.08"/>
    <n v="329"/>
    <n v="13822"/>
    <x v="2"/>
    <s v="CVC60:40 - 40/1 (34630 MTRS)"/>
    <n v="15782623"/>
    <x v="0"/>
    <n v="2840872.1399999997"/>
    <x v="0"/>
    <m/>
    <m/>
    <x v="0"/>
    <x v="0"/>
    <x v="0"/>
    <x v="0"/>
    <x v="0"/>
    <x v="0"/>
    <m/>
    <x v="0"/>
    <x v="1"/>
    <x v="0"/>
    <x v="0"/>
    <x v="0"/>
    <x v="2"/>
    <n v="1141.847995948488"/>
    <n v="205.5326392707278"/>
    <n v="67620.238320069446"/>
    <d v="2024-07-11T00:00:00"/>
    <x v="0"/>
  </r>
  <r>
    <n v="959"/>
    <d v="2024-06-11T00:00:00"/>
    <s v="25062024-A-118728"/>
    <d v="6202-06-25T00:00:00"/>
    <x v="0"/>
    <x v="1"/>
    <n v="14057"/>
    <x v="4"/>
    <x v="0"/>
    <n v="5208.1099999999997"/>
    <n v="4.4800000000000004"/>
    <n v="14057"/>
    <n v="14057"/>
    <x v="14"/>
    <s v="40/1 COTTON FABRIC (40005/MTRS)"/>
    <n v="17642205"/>
    <x v="0"/>
    <n v="3175596.9"/>
    <x v="0"/>
    <m/>
    <m/>
    <x v="0"/>
    <x v="0"/>
    <x v="0"/>
    <x v="0"/>
    <x v="0"/>
    <x v="0"/>
    <m/>
    <x v="0"/>
    <x v="1"/>
    <x v="0"/>
    <x v="0"/>
    <x v="0"/>
    <x v="2"/>
    <n v="1255.0476630860069"/>
    <n v="225.90857935548124"/>
    <n v="3175596.9"/>
    <d v="2024-07-11T00:00:00"/>
    <x v="0"/>
  </r>
  <r>
    <n v="960"/>
    <d v="2024-06-15T00:00:00"/>
    <s v="26062024-A-119544"/>
    <d v="6202-06-26T00:00:00"/>
    <x v="0"/>
    <x v="2"/>
    <n v="2233"/>
    <x v="4"/>
    <x v="0"/>
    <n v="5402.33"/>
    <n v="2.13"/>
    <n v="0"/>
    <n v="0"/>
    <x v="6"/>
    <s v="100% Polyester"/>
    <n v="1328875"/>
    <x v="0"/>
    <n v="239197.5"/>
    <x v="0"/>
    <m/>
    <m/>
    <x v="0"/>
    <x v="0"/>
    <x v="0"/>
    <x v="0"/>
    <x v="0"/>
    <x v="0"/>
    <m/>
    <x v="0"/>
    <x v="1"/>
    <x v="0"/>
    <x v="0"/>
    <x v="0"/>
    <x v="3"/>
    <n v="595.10747872816842"/>
    <n v="107.1193461710703"/>
    <n v="0"/>
    <d v="2024-07-15T00:00:00"/>
    <x v="0"/>
  </r>
  <r>
    <n v="961"/>
    <d v="2024-06-11T00:00:00"/>
    <s v="26062024-A-119546"/>
    <d v="6202-06-26T00:00:00"/>
    <x v="0"/>
    <x v="0"/>
    <n v="5988"/>
    <x v="4"/>
    <x v="0"/>
    <n v="5206.1400000000003"/>
    <n v="4.49"/>
    <n v="0"/>
    <n v="0"/>
    <x v="3"/>
    <s v="CVC 60:40 60S YARN "/>
    <n v="7524000"/>
    <x v="0"/>
    <n v="1354320"/>
    <x v="0"/>
    <m/>
    <m/>
    <x v="0"/>
    <x v="0"/>
    <x v="0"/>
    <x v="0"/>
    <x v="0"/>
    <x v="0"/>
    <m/>
    <x v="0"/>
    <x v="1"/>
    <x v="0"/>
    <x v="0"/>
    <x v="0"/>
    <x v="3"/>
    <n v="1256.5130260521041"/>
    <n v="226.17234468937875"/>
    <n v="0"/>
    <d v="2024-07-11T00:00:00"/>
    <x v="0"/>
  </r>
  <r>
    <n v="962"/>
    <d v="2024-06-17T00:00:00"/>
    <s v="26062024-A-119549"/>
    <d v="6202-06-26T00:00:00"/>
    <x v="0"/>
    <x v="0"/>
    <n v="8119"/>
    <x v="4"/>
    <x v="0"/>
    <n v="5206.1400000000003"/>
    <n v="4.49"/>
    <n v="0"/>
    <n v="0"/>
    <x v="3"/>
    <s v="CVC 60:40 60S YARN "/>
    <n v="10203000"/>
    <x v="0"/>
    <n v="1836540"/>
    <x v="0"/>
    <m/>
    <m/>
    <x v="0"/>
    <x v="0"/>
    <x v="0"/>
    <x v="0"/>
    <x v="0"/>
    <x v="0"/>
    <m/>
    <x v="0"/>
    <x v="1"/>
    <x v="0"/>
    <x v="0"/>
    <x v="0"/>
    <x v="3"/>
    <n v="1256.6818573715975"/>
    <n v="226.20273432688754"/>
    <n v="0"/>
    <d v="2024-07-17T00:00:00"/>
    <x v="0"/>
  </r>
  <r>
    <n v="963"/>
    <d v="2024-06-08T00:00:00"/>
    <s v="03072024-A-123382"/>
    <d v="2024-07-03T00:00:00"/>
    <x v="0"/>
    <x v="0"/>
    <n v="500"/>
    <x v="4"/>
    <x v="0"/>
    <n v="3204.2"/>
    <n v="1.73"/>
    <n v="0"/>
    <n v="0"/>
    <x v="5"/>
    <s v="LEUCOPHOR BMF LIQUID"/>
    <n v="241500"/>
    <x v="0"/>
    <n v="4347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8T00:00:00"/>
    <x v="0"/>
  </r>
  <r>
    <n v="964"/>
    <d v="2024-06-09T00:00:00"/>
    <s v="03072024-A-123394"/>
    <d v="2024-07-03T00:00:00"/>
    <x v="0"/>
    <x v="0"/>
    <n v="1980"/>
    <x v="4"/>
    <x v="0"/>
    <n v="3809.9189999999999"/>
    <n v="0.38"/>
    <n v="0"/>
    <n v="0"/>
    <x v="12"/>
    <s v="PRESTOGEN F-PL LIQ"/>
    <n v="209880"/>
    <x v="0"/>
    <n v="37778.400000000001"/>
    <x v="0"/>
    <m/>
    <m/>
    <x v="0"/>
    <x v="0"/>
    <x v="0"/>
    <x v="0"/>
    <x v="0"/>
    <x v="0"/>
    <m/>
    <x v="0"/>
    <x v="1"/>
    <x v="0"/>
    <x v="0"/>
    <x v="0"/>
    <x v="5"/>
    <n v="106"/>
    <n v="19.080000000000002"/>
    <n v="0"/>
    <d v="2024-07-09T00:00:00"/>
    <x v="0"/>
  </r>
  <r>
    <n v="965"/>
    <d v="2024-06-09T00:00:00"/>
    <s v="03072024-A-123403"/>
    <d v="2024-07-03T00:00:00"/>
    <x v="0"/>
    <x v="0"/>
    <n v="1980"/>
    <x v="4"/>
    <x v="0"/>
    <n v="3809.9189999999999"/>
    <n v="0.38"/>
    <n v="0"/>
    <n v="0"/>
    <x v="12"/>
    <s v="PRESTOGEN F-PL LIQ"/>
    <n v="209880"/>
    <x v="0"/>
    <n v="37778.400000000001"/>
    <x v="0"/>
    <m/>
    <m/>
    <x v="0"/>
    <x v="0"/>
    <x v="0"/>
    <x v="0"/>
    <x v="0"/>
    <x v="0"/>
    <m/>
    <x v="0"/>
    <x v="1"/>
    <x v="0"/>
    <x v="0"/>
    <x v="0"/>
    <x v="5"/>
    <n v="106"/>
    <n v="19.080000000000002"/>
    <n v="0"/>
    <d v="2024-07-09T00:00:00"/>
    <x v="0"/>
  </r>
  <r>
    <n v="966"/>
    <d v="2024-06-09T00:00:00"/>
    <s v="03072024-A-123409"/>
    <d v="2024-07-03T00:00:00"/>
    <x v="0"/>
    <x v="0"/>
    <n v="900"/>
    <x v="4"/>
    <x v="0"/>
    <n v="3204.2"/>
    <n v="1.73"/>
    <n v="0"/>
    <n v="0"/>
    <x v="5"/>
    <s v="LEUCOPHOR BMF LIQUID"/>
    <n v="434700"/>
    <x v="0"/>
    <n v="78246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9T00:00:00"/>
    <x v="0"/>
  </r>
  <r>
    <n v="967"/>
    <d v="2024-06-09T00:00:00"/>
    <s v="03072024-A-123416"/>
    <d v="2024-07-03T00:00:00"/>
    <x v="0"/>
    <x v="0"/>
    <n v="900"/>
    <x v="4"/>
    <x v="0"/>
    <n v="3204.2"/>
    <n v="1.73"/>
    <n v="0"/>
    <n v="0"/>
    <x v="5"/>
    <s v="LEUCOPHOR BMF LIQUID"/>
    <n v="434700"/>
    <x v="0"/>
    <n v="78246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09T00:00:00"/>
    <x v="0"/>
  </r>
  <r>
    <n v="968"/>
    <d v="2024-06-14T00:00:00"/>
    <s v="03072024-A-123422"/>
    <d v="2024-07-03T00:00:00"/>
    <x v="0"/>
    <x v="0"/>
    <n v="2900"/>
    <x v="4"/>
    <x v="0"/>
    <n v="3204.2"/>
    <n v="1.73"/>
    <n v="0"/>
    <n v="0"/>
    <x v="5"/>
    <s v="LEUCOPHOR BMF LIQUID"/>
    <n v="1400700"/>
    <x v="0"/>
    <n v="252126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14T00:00:00"/>
    <x v="0"/>
  </r>
  <r>
    <n v="969"/>
    <d v="2024-06-14T00:00:00"/>
    <s v="03072024-A-123429"/>
    <d v="2024-07-03T00:00:00"/>
    <x v="0"/>
    <x v="0"/>
    <n v="1760"/>
    <x v="4"/>
    <x v="0"/>
    <n v="3809.9189999999999"/>
    <n v="0.38"/>
    <n v="0"/>
    <n v="0"/>
    <x v="12"/>
    <s v="PRESTOGEN F-PL LIQ"/>
    <n v="186560"/>
    <x v="0"/>
    <n v="33580.799999999996"/>
    <x v="0"/>
    <m/>
    <m/>
    <x v="0"/>
    <x v="0"/>
    <x v="0"/>
    <x v="0"/>
    <x v="0"/>
    <x v="0"/>
    <m/>
    <x v="0"/>
    <x v="1"/>
    <x v="0"/>
    <x v="0"/>
    <x v="0"/>
    <x v="5"/>
    <n v="106"/>
    <n v="19.079999999999998"/>
    <n v="0"/>
    <d v="2024-07-14T00:00:00"/>
    <x v="0"/>
  </r>
  <r>
    <n v="970"/>
    <d v="2024-06-14T00:00:00"/>
    <s v="03072024-A-123437"/>
    <d v="2024-07-03T00:00:00"/>
    <x v="0"/>
    <x v="0"/>
    <n v="220"/>
    <x v="4"/>
    <x v="0"/>
    <n v="3809.9189999999999"/>
    <n v="0.38"/>
    <n v="0"/>
    <n v="0"/>
    <x v="12"/>
    <s v="PRESTOGEN F-PL LIQ"/>
    <n v="23320"/>
    <x v="0"/>
    <n v="4197.5999999999995"/>
    <x v="0"/>
    <m/>
    <m/>
    <x v="0"/>
    <x v="0"/>
    <x v="0"/>
    <x v="0"/>
    <x v="0"/>
    <x v="0"/>
    <m/>
    <x v="0"/>
    <x v="1"/>
    <x v="0"/>
    <x v="0"/>
    <x v="0"/>
    <x v="5"/>
    <n v="106"/>
    <n v="19.079999999999998"/>
    <n v="0"/>
    <d v="2024-07-14T00:00:00"/>
    <x v="0"/>
  </r>
  <r>
    <n v="971"/>
    <d v="2024-06-19T00:00:00"/>
    <s v="03072024-A-123445"/>
    <d v="2024-07-03T00:00:00"/>
    <x v="0"/>
    <x v="0"/>
    <n v="200"/>
    <x v="4"/>
    <x v="0"/>
    <n v="3204.16"/>
    <n v="4.63"/>
    <n v="0"/>
    <n v="0"/>
    <x v="5"/>
    <s v="DRIMAREN YELLOW PS-2R GR"/>
    <n v="259000"/>
    <x v="0"/>
    <n v="46620"/>
    <x v="0"/>
    <m/>
    <m/>
    <x v="0"/>
    <x v="0"/>
    <x v="0"/>
    <x v="0"/>
    <x v="0"/>
    <x v="0"/>
    <m/>
    <x v="0"/>
    <x v="1"/>
    <x v="0"/>
    <x v="0"/>
    <x v="0"/>
    <x v="4"/>
    <n v="1295"/>
    <n v="233.1"/>
    <n v="0"/>
    <d v="2024-07-19T00:00:00"/>
    <x v="0"/>
  </r>
  <r>
    <n v="972"/>
    <d v="2024-06-18T00:00:00"/>
    <s v="03072024-A-123456"/>
    <d v="2024-07-03T00:00:00"/>
    <x v="0"/>
    <x v="0"/>
    <n v="1000"/>
    <x v="4"/>
    <x v="0"/>
    <n v="3204.172"/>
    <n v="1.1599999999999999"/>
    <n v="0"/>
    <n v="0"/>
    <x v="5"/>
    <s v="PRINTOFIX BLACK FF-RT"/>
    <n v="324000"/>
    <x v="0"/>
    <n v="58320"/>
    <x v="0"/>
    <m/>
    <m/>
    <x v="0"/>
    <x v="0"/>
    <x v="0"/>
    <x v="0"/>
    <x v="0"/>
    <x v="0"/>
    <m/>
    <x v="0"/>
    <x v="1"/>
    <x v="0"/>
    <x v="0"/>
    <x v="0"/>
    <x v="4"/>
    <n v="324"/>
    <n v="58.32"/>
    <n v="0"/>
    <d v="2024-07-18T00:00:00"/>
    <x v="0"/>
  </r>
  <r>
    <n v="973"/>
    <d v="2024-06-16T00:00:00"/>
    <s v="03072024-A-123470"/>
    <d v="2024-07-03T00:00:00"/>
    <x v="0"/>
    <x v="0"/>
    <n v="7"/>
    <x v="4"/>
    <x v="0"/>
    <n v="3809.9110000000001"/>
    <n v="2.16"/>
    <n v="0"/>
    <n v="0"/>
    <x v="12"/>
    <s v="OPTICID PSD LIQ CONC "/>
    <n v="4225"/>
    <x v="0"/>
    <n v="760.5"/>
    <x v="0"/>
    <m/>
    <m/>
    <x v="0"/>
    <x v="0"/>
    <x v="0"/>
    <x v="0"/>
    <x v="0"/>
    <x v="0"/>
    <m/>
    <x v="0"/>
    <x v="1"/>
    <x v="0"/>
    <x v="0"/>
    <x v="0"/>
    <x v="5"/>
    <n v="603.57142857142856"/>
    <n v="108.64285714285714"/>
    <n v="0"/>
    <d v="2024-07-16T00:00:00"/>
    <x v="0"/>
  </r>
  <r>
    <n v="973"/>
    <d v="2024-06-16T00:00:00"/>
    <s v="03072024-A-123470"/>
    <d v="2024-07-03T00:00:00"/>
    <x v="0"/>
    <x v="0"/>
    <n v="10"/>
    <x v="4"/>
    <x v="0"/>
    <n v="3204.16"/>
    <n v="6.23"/>
    <n v="0"/>
    <n v="0"/>
    <x v="5"/>
    <s v="DRIMAREN NAVY CL-R GRAIN,DRIMAREN YELLOW CL-2R GR"/>
    <n v="17437.82"/>
    <x v="0"/>
    <n v="3138.8075999999996"/>
    <x v="0"/>
    <m/>
    <m/>
    <x v="0"/>
    <x v="0"/>
    <x v="0"/>
    <x v="0"/>
    <x v="0"/>
    <x v="0"/>
    <m/>
    <x v="0"/>
    <x v="1"/>
    <x v="0"/>
    <x v="0"/>
    <x v="0"/>
    <x v="4"/>
    <n v="1743.7819999999999"/>
    <n v="313.88075999999995"/>
    <n v="0"/>
    <d v="2024-07-16T00:00:00"/>
    <x v="0"/>
  </r>
  <r>
    <n v="974"/>
    <d v="2024-06-16T00:00:00"/>
    <s v="03072024-A-123487"/>
    <d v="2024-07-03T00:00:00"/>
    <x v="0"/>
    <x v="0"/>
    <n v="4"/>
    <x v="4"/>
    <x v="0"/>
    <n v="3809.9110000000001"/>
    <n v="1.03"/>
    <n v="0"/>
    <n v="0"/>
    <x v="12"/>
    <s v="DEKOL 2005 LIQ C "/>
    <n v="1155"/>
    <x v="0"/>
    <n v="207.9"/>
    <x v="0"/>
    <m/>
    <m/>
    <x v="0"/>
    <x v="0"/>
    <x v="0"/>
    <x v="0"/>
    <x v="0"/>
    <x v="0"/>
    <m/>
    <x v="0"/>
    <x v="1"/>
    <x v="0"/>
    <x v="0"/>
    <x v="0"/>
    <x v="5"/>
    <n v="288.75"/>
    <n v="51.975000000000001"/>
    <n v="0"/>
    <d v="2024-07-16T00:00:00"/>
    <x v="0"/>
  </r>
  <r>
    <n v="974"/>
    <d v="2024-06-16T00:00:00"/>
    <s v="03072024-A-123487"/>
    <d v="2024-07-03T00:00:00"/>
    <x v="0"/>
    <x v="0"/>
    <n v="9"/>
    <x v="4"/>
    <x v="0"/>
    <n v="3809.9189999999999"/>
    <n v="1.73"/>
    <n v="0"/>
    <n v="0"/>
    <x v="12"/>
    <s v="DRIMAGEN E3R"/>
    <n v="4365"/>
    <x v="0"/>
    <n v="785.69999999999993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16T00:00:00"/>
    <x v="0"/>
  </r>
  <r>
    <n v="974"/>
    <d v="2024-06-16T00:00:00"/>
    <s v="03072024-A-123487"/>
    <d v="2024-07-03T00:00:00"/>
    <x v="0"/>
    <x v="0"/>
    <n v="9"/>
    <x v="4"/>
    <x v="0"/>
    <n v="3402.9"/>
    <n v="4.17"/>
    <n v="0"/>
    <n v="0"/>
    <x v="12"/>
    <s v="LYOGEN NH"/>
    <n v="10512"/>
    <x v="0"/>
    <n v="1892.1599999999999"/>
    <x v="0"/>
    <m/>
    <m/>
    <x v="0"/>
    <x v="0"/>
    <x v="0"/>
    <x v="0"/>
    <x v="0"/>
    <x v="0"/>
    <m/>
    <x v="0"/>
    <x v="1"/>
    <x v="0"/>
    <x v="0"/>
    <x v="0"/>
    <x v="5"/>
    <n v="1168"/>
    <n v="210.23999999999998"/>
    <n v="0"/>
    <d v="2024-07-16T00:00:00"/>
    <x v="0"/>
  </r>
  <r>
    <n v="975"/>
    <d v="2024-06-16T00:00:00"/>
    <s v="03072024-A-123501"/>
    <d v="2024-07-03T00:00:00"/>
    <x v="0"/>
    <x v="2"/>
    <n v="1540"/>
    <x v="4"/>
    <x v="0"/>
    <n v="3204.172"/>
    <n v="2.39"/>
    <n v="58"/>
    <n v="1540"/>
    <x v="5"/>
    <s v="PRINTOFIX BLACK FF-RT,PRINTOFIX BLUE H-G"/>
    <n v="1031400"/>
    <x v="0"/>
    <n v="185652"/>
    <x v="0"/>
    <m/>
    <m/>
    <x v="0"/>
    <x v="0"/>
    <x v="0"/>
    <x v="0"/>
    <x v="0"/>
    <x v="0"/>
    <m/>
    <x v="0"/>
    <x v="1"/>
    <x v="0"/>
    <x v="0"/>
    <x v="0"/>
    <x v="4"/>
    <n v="669.74025974025972"/>
    <n v="120.55324675324675"/>
    <n v="6992.0883116883115"/>
    <d v="2024-07-16T00:00:00"/>
    <x v="0"/>
  </r>
  <r>
    <n v="976"/>
    <d v="2024-06-10T00:00:00"/>
    <s v="03072024-A-123511"/>
    <d v="2024-07-03T00:00:00"/>
    <x v="0"/>
    <x v="0"/>
    <n v="390"/>
    <x v="4"/>
    <x v="0"/>
    <n v="3906.9090000000001"/>
    <n v="0.61"/>
    <n v="0"/>
    <n v="0"/>
    <x v="12"/>
    <s v="SOLIDOKOLL V LIQ "/>
    <n v="66300"/>
    <x v="0"/>
    <n v="11934"/>
    <x v="0"/>
    <m/>
    <m/>
    <x v="0"/>
    <x v="0"/>
    <x v="0"/>
    <x v="0"/>
    <x v="0"/>
    <x v="0"/>
    <m/>
    <x v="0"/>
    <x v="1"/>
    <x v="0"/>
    <x v="0"/>
    <x v="0"/>
    <x v="5"/>
    <n v="170"/>
    <n v="30.6"/>
    <n v="0"/>
    <d v="2024-07-10T00:00:00"/>
    <x v="0"/>
  </r>
  <r>
    <n v="977"/>
    <d v="2024-06-09T00:00:00"/>
    <s v="03072024-A-123519"/>
    <d v="2024-07-03T00:00:00"/>
    <x v="0"/>
    <x v="0"/>
    <n v="130"/>
    <x v="4"/>
    <x v="0"/>
    <n v="3906.9090000000001"/>
    <n v="0.61"/>
    <n v="0"/>
    <n v="0"/>
    <x v="12"/>
    <s v="SOLIDOKOLL V LIQ "/>
    <n v="22100"/>
    <x v="0"/>
    <n v="3978"/>
    <x v="0"/>
    <m/>
    <m/>
    <x v="0"/>
    <x v="0"/>
    <x v="0"/>
    <x v="0"/>
    <x v="0"/>
    <x v="0"/>
    <m/>
    <x v="0"/>
    <x v="1"/>
    <x v="0"/>
    <x v="0"/>
    <x v="0"/>
    <x v="5"/>
    <n v="170"/>
    <n v="30.6"/>
    <n v="0"/>
    <d v="2024-07-09T00:00:00"/>
    <x v="0"/>
  </r>
  <r>
    <n v="978"/>
    <d v="2024-06-18T00:00:00"/>
    <s v="03072024-A-123569"/>
    <d v="2024-07-03T00:00:00"/>
    <x v="0"/>
    <x v="0"/>
    <n v="3"/>
    <x v="4"/>
    <x v="0"/>
    <n v="3204.16"/>
    <n v="5.62"/>
    <n v="0"/>
    <n v="0"/>
    <x v="5"/>
    <s v="DRIMAREN YELLOW CL-2R GR"/>
    <n v="4722"/>
    <x v="0"/>
    <n v="849.95999999999992"/>
    <x v="0"/>
    <m/>
    <m/>
    <x v="0"/>
    <x v="0"/>
    <x v="0"/>
    <x v="0"/>
    <x v="0"/>
    <x v="0"/>
    <m/>
    <x v="0"/>
    <x v="1"/>
    <x v="0"/>
    <x v="0"/>
    <x v="0"/>
    <x v="4"/>
    <n v="1574"/>
    <n v="283.32"/>
    <n v="0"/>
    <d v="2024-07-18T00:00:00"/>
    <x v="0"/>
  </r>
  <r>
    <n v="979"/>
    <d v="2024-06-24T00:00:00"/>
    <s v="03072024-A-123586"/>
    <d v="2024-07-03T00:00:00"/>
    <x v="0"/>
    <x v="2"/>
    <n v="1980"/>
    <x v="4"/>
    <x v="0"/>
    <n v="3809.9189999999999"/>
    <n v="0.38"/>
    <n v="3"/>
    <n v="1980"/>
    <x v="12"/>
    <s v="PRESTOGEN F-PL LIQ"/>
    <n v="209880"/>
    <x v="0"/>
    <n v="37778.400000000001"/>
    <x v="0"/>
    <m/>
    <m/>
    <x v="0"/>
    <x v="0"/>
    <x v="0"/>
    <x v="0"/>
    <x v="0"/>
    <x v="0"/>
    <m/>
    <x v="0"/>
    <x v="1"/>
    <x v="0"/>
    <x v="0"/>
    <x v="0"/>
    <x v="5"/>
    <n v="106"/>
    <n v="19.080000000000002"/>
    <n v="57.240000000000009"/>
    <d v="2024-07-24T00:00:00"/>
    <x v="0"/>
  </r>
  <r>
    <n v="980"/>
    <d v="2024-06-19T00:00:00"/>
    <s v="03072024-A-123590"/>
    <d v="2024-07-03T00:00:00"/>
    <x v="0"/>
    <x v="0"/>
    <n v="360"/>
    <x v="4"/>
    <x v="0"/>
    <n v="3809.9189999999999"/>
    <n v="4.88"/>
    <n v="0"/>
    <n v="0"/>
    <x v="12"/>
    <s v="OPTIFIX EC LIQUID"/>
    <n v="491400"/>
    <x v="0"/>
    <n v="88452"/>
    <x v="0"/>
    <m/>
    <m/>
    <x v="0"/>
    <x v="0"/>
    <x v="0"/>
    <x v="0"/>
    <x v="0"/>
    <x v="0"/>
    <m/>
    <x v="0"/>
    <x v="1"/>
    <x v="0"/>
    <x v="0"/>
    <x v="0"/>
    <x v="5"/>
    <n v="1365"/>
    <n v="245.7"/>
    <n v="0"/>
    <d v="2024-07-19T00:00:00"/>
    <x v="0"/>
  </r>
  <r>
    <n v="981"/>
    <d v="2024-06-18T00:00:00"/>
    <s v="03072024-A-123604"/>
    <d v="2024-07-03T00:00:00"/>
    <x v="0"/>
    <x v="0"/>
    <n v="90"/>
    <x v="4"/>
    <x v="0"/>
    <n v="3809.9189999999999"/>
    <n v="4.88"/>
    <n v="0"/>
    <n v="0"/>
    <x v="12"/>
    <s v="OPTIFIX EC LIQUID"/>
    <n v="122850"/>
    <x v="0"/>
    <n v="22113"/>
    <x v="0"/>
    <m/>
    <m/>
    <x v="0"/>
    <x v="0"/>
    <x v="0"/>
    <x v="0"/>
    <x v="0"/>
    <x v="0"/>
    <m/>
    <x v="0"/>
    <x v="1"/>
    <x v="0"/>
    <x v="0"/>
    <x v="0"/>
    <x v="5"/>
    <n v="1365"/>
    <n v="245.7"/>
    <n v="0"/>
    <d v="2024-07-18T00:00:00"/>
    <x v="0"/>
  </r>
  <r>
    <n v="982"/>
    <d v="2024-06-18T00:00:00"/>
    <s v="03072024-A-123615"/>
    <d v="2024-07-03T00:00:00"/>
    <x v="0"/>
    <x v="0"/>
    <n v="300"/>
    <x v="4"/>
    <x v="0"/>
    <n v="3204.2"/>
    <n v="1.73"/>
    <n v="0"/>
    <n v="0"/>
    <x v="5"/>
    <s v="LEUCOPHOR BMF LIQUID"/>
    <n v="144900"/>
    <x v="0"/>
    <n v="26082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18T00:00:00"/>
    <x v="0"/>
  </r>
  <r>
    <n v="983"/>
    <d v="2024-06-17T00:00:00"/>
    <s v="03072024-A-123620"/>
    <d v="2024-07-03T00:00:00"/>
    <x v="0"/>
    <x v="0"/>
    <n v="1980"/>
    <x v="4"/>
    <x v="0"/>
    <n v="3809.9189999999999"/>
    <n v="0.38"/>
    <n v="0"/>
    <n v="0"/>
    <x v="12"/>
    <s v="PRESTOGEN F-PL LIQ"/>
    <n v="209880"/>
    <x v="0"/>
    <n v="37778.400000000001"/>
    <x v="0"/>
    <m/>
    <m/>
    <x v="0"/>
    <x v="0"/>
    <x v="0"/>
    <x v="0"/>
    <x v="0"/>
    <x v="0"/>
    <m/>
    <x v="0"/>
    <x v="1"/>
    <x v="0"/>
    <x v="0"/>
    <x v="0"/>
    <x v="5"/>
    <n v="106"/>
    <n v="19.080000000000002"/>
    <n v="0"/>
    <d v="2024-07-17T00:00:00"/>
    <x v="0"/>
  </r>
  <r>
    <n v="984"/>
    <d v="2024-06-26T00:00:00"/>
    <s v="03072024-A-123631"/>
    <d v="2024-07-03T00:00:00"/>
    <x v="0"/>
    <x v="0"/>
    <n v="300"/>
    <x v="4"/>
    <x v="0"/>
    <n v="3905.12"/>
    <n v="1.71"/>
    <n v="0"/>
    <n v="0"/>
    <x v="12"/>
    <s v="APPRETAN EMJ"/>
    <n v="144000"/>
    <x v="0"/>
    <n v="25920"/>
    <x v="0"/>
    <m/>
    <m/>
    <x v="0"/>
    <x v="0"/>
    <x v="0"/>
    <x v="0"/>
    <x v="0"/>
    <x v="0"/>
    <m/>
    <x v="0"/>
    <x v="1"/>
    <x v="0"/>
    <x v="0"/>
    <x v="0"/>
    <x v="5"/>
    <n v="480"/>
    <n v="86.4"/>
    <n v="0"/>
    <d v="2024-07-26T00:00:00"/>
    <x v="0"/>
  </r>
  <r>
    <n v="985"/>
    <d v="2024-06-25T00:00:00"/>
    <s v="03072024-A-123637"/>
    <d v="2024-07-03T00:00:00"/>
    <x v="0"/>
    <x v="0"/>
    <n v="1980"/>
    <x v="4"/>
    <x v="0"/>
    <n v="3809.9189999999999"/>
    <n v="0.38"/>
    <n v="0"/>
    <n v="0"/>
    <x v="12"/>
    <s v="PRESTOGEN F-PL LIQ"/>
    <n v="209880"/>
    <x v="0"/>
    <n v="37778.400000000001"/>
    <x v="0"/>
    <m/>
    <m/>
    <x v="0"/>
    <x v="0"/>
    <x v="0"/>
    <x v="0"/>
    <x v="0"/>
    <x v="0"/>
    <m/>
    <x v="0"/>
    <x v="1"/>
    <x v="0"/>
    <x v="0"/>
    <x v="0"/>
    <x v="5"/>
    <n v="106"/>
    <n v="19.080000000000002"/>
    <n v="0"/>
    <d v="2024-07-25T00:00:00"/>
    <x v="0"/>
  </r>
  <r>
    <n v="986"/>
    <d v="2024-06-18T00:00:00"/>
    <s v="03072024-A-123643"/>
    <d v="2024-07-03T00:00:00"/>
    <x v="0"/>
    <x v="0"/>
    <n v="450"/>
    <x v="4"/>
    <x v="0"/>
    <n v="3809.9189999999999"/>
    <n v="1.73"/>
    <n v="0"/>
    <n v="0"/>
    <x v="12"/>
    <s v="HEPTOL B 95"/>
    <n v="218250"/>
    <x v="0"/>
    <n v="39285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18T00:00:00"/>
    <x v="0"/>
  </r>
  <r>
    <n v="987"/>
    <d v="2024-06-18T00:00:00"/>
    <s v="03072024-A-123649"/>
    <d v="2024-07-03T00:00:00"/>
    <x v="0"/>
    <x v="0"/>
    <n v="670"/>
    <x v="4"/>
    <x v="0"/>
    <n v="3809.9189999999999"/>
    <n v="0.91"/>
    <n v="0"/>
    <n v="0"/>
    <x v="12"/>
    <s v="CONTAVAN BA,HEPTOL B 95"/>
    <n v="170510"/>
    <x v="0"/>
    <n v="30691.8"/>
    <x v="0"/>
    <m/>
    <m/>
    <x v="0"/>
    <x v="0"/>
    <x v="0"/>
    <x v="0"/>
    <x v="0"/>
    <x v="0"/>
    <m/>
    <x v="0"/>
    <x v="1"/>
    <x v="0"/>
    <x v="0"/>
    <x v="0"/>
    <x v="5"/>
    <n v="254.49253731343285"/>
    <n v="45.808656716417907"/>
    <n v="0"/>
    <d v="2024-07-18T00:00:00"/>
    <x v="0"/>
  </r>
  <r>
    <n v="988"/>
    <d v="2024-06-18T00:00:00"/>
    <s v="03072024-A-123654"/>
    <d v="2024-07-03T00:00:00"/>
    <x v="0"/>
    <x v="0"/>
    <n v="560"/>
    <x v="4"/>
    <x v="0"/>
    <n v="3809.9189999999999"/>
    <n v="1.24"/>
    <n v="0"/>
    <n v="0"/>
    <x v="12"/>
    <s v="HEPTOL B 95,CONTAVAN BA"/>
    <n v="194380"/>
    <x v="0"/>
    <n v="34988.400000000001"/>
    <x v="0"/>
    <m/>
    <m/>
    <x v="0"/>
    <x v="0"/>
    <x v="0"/>
    <x v="0"/>
    <x v="0"/>
    <x v="0"/>
    <m/>
    <x v="0"/>
    <x v="1"/>
    <x v="0"/>
    <x v="0"/>
    <x v="0"/>
    <x v="5"/>
    <n v="347.10714285714283"/>
    <n v="62.479285714285716"/>
    <n v="0"/>
    <d v="2024-07-18T00:00:00"/>
    <x v="0"/>
  </r>
  <r>
    <n v="989"/>
    <d v="2024-06-25T00:00:00"/>
    <s v="03072024-A-123656"/>
    <d v="2024-07-03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7-25T00:00:00"/>
    <x v="0"/>
  </r>
  <r>
    <n v="990"/>
    <d v="2024-06-25T00:00:00"/>
    <s v="03072024-A-123659"/>
    <d v="2024-07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25T00:00:00"/>
    <x v="0"/>
  </r>
  <r>
    <n v="991"/>
    <d v="2024-06-25T00:00:00"/>
    <s v="03072024-A-123660"/>
    <d v="2024-07-03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7-25T00:00:00"/>
    <x v="0"/>
  </r>
  <r>
    <n v="992"/>
    <d v="2024-06-17T00:00:00"/>
    <s v="03072024-A-123662"/>
    <d v="2024-07-03T00:00:00"/>
    <x v="0"/>
    <x v="0"/>
    <n v="390"/>
    <x v="4"/>
    <x v="0"/>
    <n v="3809.9189999999999"/>
    <n v="0.66"/>
    <n v="0"/>
    <n v="0"/>
    <x v="12"/>
    <s v="PESOFIX WM"/>
    <n v="72150"/>
    <x v="0"/>
    <n v="12987"/>
    <x v="0"/>
    <m/>
    <m/>
    <x v="0"/>
    <x v="0"/>
    <x v="0"/>
    <x v="0"/>
    <x v="0"/>
    <x v="0"/>
    <m/>
    <x v="0"/>
    <x v="1"/>
    <x v="0"/>
    <x v="0"/>
    <x v="0"/>
    <x v="5"/>
    <n v="185"/>
    <n v="33.299999999999997"/>
    <n v="0"/>
    <d v="2024-07-17T00:00:00"/>
    <x v="0"/>
  </r>
  <r>
    <n v="993"/>
    <d v="2024-06-17T00:00:00"/>
    <s v="03072024-A-123689"/>
    <d v="2024-07-03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7-17T00:00:00"/>
    <x v="0"/>
  </r>
  <r>
    <n v="994"/>
    <d v="2024-06-17T00:00:00"/>
    <s v="03072024-A-123695"/>
    <d v="2024-07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17T00:00:00"/>
    <x v="0"/>
  </r>
  <r>
    <n v="995"/>
    <d v="2024-06-17T00:00:00"/>
    <s v="03072024-A-123703"/>
    <d v="2024-07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17T00:00:00"/>
    <x v="0"/>
  </r>
  <r>
    <n v="996"/>
    <d v="2024-06-17T00:00:00"/>
    <s v="03072024-A-123708"/>
    <d v="2024-07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17T00:00:00"/>
    <x v="0"/>
  </r>
  <r>
    <n v="997"/>
    <d v="2024-06-17T00:00:00"/>
    <s v="03072024-A-123712"/>
    <d v="2024-07-03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17T00:00:00"/>
    <x v="0"/>
  </r>
  <r>
    <n v="998"/>
    <d v="2024-06-24T00:00:00"/>
    <s v="03072024-A-123718"/>
    <d v="2024-07-03T00:00:00"/>
    <x v="0"/>
    <x v="0"/>
    <n v="3000"/>
    <x v="4"/>
    <x v="0"/>
    <n v="3809.9189999999999"/>
    <n v="1.04"/>
    <n v="3000"/>
    <n v="0"/>
    <x v="12"/>
    <s v="HEPTOL B 95 , CONTAVAN BA"/>
    <n v="875850"/>
    <x v="0"/>
    <n v="157653"/>
    <x v="0"/>
    <m/>
    <m/>
    <x v="0"/>
    <x v="0"/>
    <x v="0"/>
    <x v="0"/>
    <x v="0"/>
    <x v="0"/>
    <m/>
    <x v="0"/>
    <x v="1"/>
    <x v="0"/>
    <x v="0"/>
    <x v="0"/>
    <x v="5"/>
    <n v="291.95"/>
    <n v="52.551000000000002"/>
    <n v="157653"/>
    <d v="2024-07-24T00:00:00"/>
    <x v="0"/>
  </r>
  <r>
    <n v="999"/>
    <d v="2024-06-24T00:00:00"/>
    <s v="03072024-A-123724"/>
    <d v="2024-07-03T00:00:00"/>
    <x v="0"/>
    <x v="2"/>
    <n v="1660"/>
    <x v="4"/>
    <x v="0"/>
    <n v="3809.9189999999999"/>
    <n v="1.1499999999999999"/>
    <n v="7"/>
    <n v="1660"/>
    <x v="12"/>
    <s v="HEPTOL B 95 , CONTAVAN BA"/>
    <n v="534830"/>
    <x v="0"/>
    <n v="96269.4"/>
    <x v="0"/>
    <m/>
    <m/>
    <x v="0"/>
    <x v="0"/>
    <x v="0"/>
    <x v="0"/>
    <x v="0"/>
    <x v="0"/>
    <m/>
    <x v="0"/>
    <x v="1"/>
    <x v="0"/>
    <x v="0"/>
    <x v="0"/>
    <x v="5"/>
    <n v="322.18674698795184"/>
    <n v="57.99361445783132"/>
    <n v="405.95530120481925"/>
    <d v="2024-07-24T00:00:00"/>
    <x v="0"/>
  </r>
  <r>
    <n v="1000"/>
    <d v="2024-06-24T00:00:00"/>
    <s v="03072024-A-123743"/>
    <d v="2024-07-03T00:00:00"/>
    <x v="0"/>
    <x v="0"/>
    <n v="1360"/>
    <x v="4"/>
    <x v="0"/>
    <n v="3809.9189999999999"/>
    <n v="1.02"/>
    <n v="0"/>
    <n v="0"/>
    <x v="12"/>
    <s v="HEPTOL B 95 , CONTAVAN BA"/>
    <n v="389330"/>
    <x v="0"/>
    <n v="70079.399999999994"/>
    <x v="0"/>
    <m/>
    <m/>
    <x v="0"/>
    <x v="0"/>
    <x v="0"/>
    <x v="0"/>
    <x v="0"/>
    <x v="0"/>
    <m/>
    <x v="0"/>
    <x v="1"/>
    <x v="0"/>
    <x v="0"/>
    <x v="0"/>
    <x v="5"/>
    <n v="286.27205882352939"/>
    <n v="51.528970588235289"/>
    <n v="0"/>
    <d v="2024-07-24T00:00:00"/>
    <x v="0"/>
  </r>
  <r>
    <n v="1001"/>
    <d v="2024-06-24T00:00:00"/>
    <s v="03072024-A-123749"/>
    <d v="2024-07-03T00:00:00"/>
    <x v="0"/>
    <x v="0"/>
    <n v="130"/>
    <x v="4"/>
    <x v="0"/>
    <n v="3809.9189999999999"/>
    <n v="0.67"/>
    <n v="0"/>
    <n v="0"/>
    <x v="12"/>
    <s v="CONTAVAN BA"/>
    <n v="24440"/>
    <x v="0"/>
    <n v="4399.2"/>
    <x v="0"/>
    <m/>
    <m/>
    <x v="0"/>
    <x v="0"/>
    <x v="0"/>
    <x v="0"/>
    <x v="0"/>
    <x v="0"/>
    <m/>
    <x v="0"/>
    <x v="1"/>
    <x v="0"/>
    <x v="0"/>
    <x v="0"/>
    <x v="5"/>
    <n v="188"/>
    <n v="33.839999999999996"/>
    <n v="0"/>
    <d v="2024-07-24T00:00:00"/>
    <x v="0"/>
  </r>
  <r>
    <n v="1002"/>
    <d v="2024-06-24T00:00:00"/>
    <s v="03072024-A-123754"/>
    <d v="2024-07-03T00:00:00"/>
    <x v="0"/>
    <x v="0"/>
    <n v="5000"/>
    <x v="4"/>
    <x v="0"/>
    <n v="3906.9090000000001"/>
    <n v="0.69"/>
    <n v="0"/>
    <n v="0"/>
    <x v="12"/>
    <s v="TUBIFAST ACE"/>
    <n v="965000"/>
    <x v="0"/>
    <n v="173700"/>
    <x v="0"/>
    <m/>
    <m/>
    <x v="0"/>
    <x v="0"/>
    <x v="0"/>
    <x v="0"/>
    <x v="0"/>
    <x v="0"/>
    <m/>
    <x v="0"/>
    <x v="1"/>
    <x v="0"/>
    <x v="0"/>
    <x v="0"/>
    <x v="5"/>
    <n v="193"/>
    <n v="34.74"/>
    <n v="0"/>
    <d v="2024-07-24T00:00:00"/>
    <x v="0"/>
  </r>
  <r>
    <n v="1003"/>
    <d v="2024-06-14T00:00:00"/>
    <s v="03072024-A-123759"/>
    <d v="2024-07-03T00:00:00"/>
    <x v="0"/>
    <x v="1"/>
    <n v="29450"/>
    <x v="4"/>
    <x v="0"/>
    <n v="2815.12"/>
    <n v="0.28000000000000003"/>
    <n v="29450"/>
    <n v="29450"/>
    <x v="12"/>
    <s v="CAUSTIC SODA LIQUID"/>
    <n v="2292682.5"/>
    <x v="0"/>
    <n v="412682.85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2682.85"/>
    <d v="2024-07-14T00:00:00"/>
    <x v="0"/>
  </r>
  <r>
    <n v="1004"/>
    <d v="2024-06-24T00:00:00"/>
    <s v="03072024-A-123765"/>
    <d v="2024-07-03T00:00:00"/>
    <x v="0"/>
    <x v="1"/>
    <n v="29360"/>
    <x v="4"/>
    <x v="0"/>
    <n v="2815.12"/>
    <n v="0.28000000000000003"/>
    <n v="29360"/>
    <n v="29360"/>
    <x v="12"/>
    <s v="CAUSTIC SODA LIQUID"/>
    <n v="2285676"/>
    <x v="0"/>
    <n v="411421.68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1421.68"/>
    <d v="2024-07-24T00:00:00"/>
    <x v="0"/>
  </r>
  <r>
    <n v="1005"/>
    <d v="2024-06-24T00:00:00"/>
    <s v="03072024-A-123778"/>
    <d v="2024-07-03T00:00:00"/>
    <x v="0"/>
    <x v="1"/>
    <n v="29450"/>
    <x v="4"/>
    <x v="0"/>
    <n v="2815.12"/>
    <n v="0.28000000000000003"/>
    <n v="29450"/>
    <n v="29450"/>
    <x v="12"/>
    <s v="CAUSTIC SODA LIQUID"/>
    <n v="2292682.5"/>
    <x v="0"/>
    <n v="412682.85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2682.85"/>
    <d v="2024-07-24T00:00:00"/>
    <x v="0"/>
  </r>
  <r>
    <n v="1006"/>
    <d v="2024-06-10T00:00:00"/>
    <s v="03072024-A-123787"/>
    <d v="2024-07-03T00:00:00"/>
    <x v="0"/>
    <x v="1"/>
    <n v="29352"/>
    <x v="4"/>
    <x v="0"/>
    <n v="2815.12"/>
    <n v="0.28000000000000003"/>
    <n v="29352"/>
    <n v="29352"/>
    <x v="12"/>
    <s v="CAUSTIC SODA LIQUID"/>
    <n v="2285053.2000000002"/>
    <x v="0"/>
    <n v="411309.576"/>
    <x v="0"/>
    <m/>
    <m/>
    <x v="0"/>
    <x v="0"/>
    <x v="0"/>
    <x v="0"/>
    <x v="0"/>
    <x v="0"/>
    <m/>
    <x v="0"/>
    <x v="1"/>
    <x v="0"/>
    <x v="0"/>
    <x v="0"/>
    <x v="5"/>
    <n v="77.850000000000009"/>
    <n v="14.013"/>
    <n v="411309.576"/>
    <d v="2024-07-10T00:00:00"/>
    <x v="0"/>
  </r>
  <r>
    <n v="1007"/>
    <d v="2024-06-10T00:00:00"/>
    <s v="03072024-A-123798"/>
    <d v="2024-07-03T00:00:00"/>
    <x v="0"/>
    <x v="1"/>
    <n v="29332"/>
    <x v="4"/>
    <x v="0"/>
    <n v="2815.12"/>
    <n v="0.28000000000000003"/>
    <n v="29332"/>
    <n v="29332"/>
    <x v="12"/>
    <s v="CAUSTIC SODA LIQUID"/>
    <n v="2283496.2000000002"/>
    <x v="0"/>
    <n v="411029.31599999999"/>
    <x v="0"/>
    <m/>
    <m/>
    <x v="0"/>
    <x v="0"/>
    <x v="0"/>
    <x v="0"/>
    <x v="0"/>
    <x v="0"/>
    <m/>
    <x v="0"/>
    <x v="1"/>
    <x v="0"/>
    <x v="0"/>
    <x v="0"/>
    <x v="5"/>
    <n v="77.850000000000009"/>
    <n v="14.013"/>
    <n v="411029.31599999999"/>
    <d v="2024-07-10T00:00:00"/>
    <x v="0"/>
  </r>
  <r>
    <n v="1008"/>
    <d v="2024-06-17T00:00:00"/>
    <s v="03072024-A-123825"/>
    <d v="2024-07-03T00:00:00"/>
    <x v="0"/>
    <x v="1"/>
    <n v="29410"/>
    <x v="4"/>
    <x v="0"/>
    <n v="2815.12"/>
    <n v="0.28000000000000003"/>
    <n v="29410"/>
    <n v="29410"/>
    <x v="12"/>
    <s v="CAUSTIC SODA LIQUID"/>
    <n v="2289568.5"/>
    <x v="0"/>
    <n v="412122.32999999996"/>
    <x v="0"/>
    <m/>
    <m/>
    <x v="0"/>
    <x v="0"/>
    <x v="0"/>
    <x v="0"/>
    <x v="0"/>
    <x v="0"/>
    <m/>
    <x v="0"/>
    <x v="1"/>
    <x v="0"/>
    <x v="0"/>
    <x v="0"/>
    <x v="5"/>
    <n v="77.849999999999994"/>
    <n v="14.012999999999998"/>
    <n v="412122.32999999996"/>
    <d v="2024-07-17T00:00:00"/>
    <x v="0"/>
  </r>
  <r>
    <n v="1009"/>
    <d v="2024-06-15T00:00:00"/>
    <s v="03072024-A-123834"/>
    <d v="2024-07-03T00:00:00"/>
    <x v="0"/>
    <x v="1"/>
    <n v="29350"/>
    <x v="4"/>
    <x v="0"/>
    <n v="2815.12"/>
    <n v="0.28000000000000003"/>
    <n v="29350"/>
    <n v="29350"/>
    <x v="12"/>
    <s v="CAUSTIC SODA LIQUID"/>
    <n v="2284897.5"/>
    <x v="0"/>
    <n v="411281.55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1281.55"/>
    <d v="2024-07-15T00:00:00"/>
    <x v="0"/>
  </r>
  <r>
    <n v="1010"/>
    <d v="2024-06-27T00:00:00"/>
    <s v="03072024-A-123851"/>
    <d v="2024-07-03T00:00:00"/>
    <x v="0"/>
    <x v="1"/>
    <n v="29410"/>
    <x v="4"/>
    <x v="0"/>
    <n v="2815.12"/>
    <n v="0.28000000000000003"/>
    <n v="29410"/>
    <n v="29410"/>
    <x v="12"/>
    <s v="CAUSTIC SODA LIQUID"/>
    <n v="2289568.5"/>
    <x v="0"/>
    <n v="412122.32999999996"/>
    <x v="0"/>
    <m/>
    <m/>
    <x v="0"/>
    <x v="0"/>
    <x v="0"/>
    <x v="0"/>
    <x v="0"/>
    <x v="0"/>
    <m/>
    <x v="0"/>
    <x v="1"/>
    <x v="0"/>
    <x v="0"/>
    <x v="0"/>
    <x v="5"/>
    <n v="77.849999999999994"/>
    <n v="14.012999999999998"/>
    <n v="412122.32999999996"/>
    <d v="2024-07-27T00:00:00"/>
    <x v="0"/>
  </r>
  <r>
    <n v="1011"/>
    <d v="2024-06-25T00:00:00"/>
    <s v="03072024-A-123861"/>
    <d v="2024-07-03T00:00:00"/>
    <x v="0"/>
    <x v="1"/>
    <n v="29430"/>
    <x v="4"/>
    <x v="0"/>
    <n v="2815.12"/>
    <n v="0.28000000000000003"/>
    <n v="29430"/>
    <n v="29430"/>
    <x v="12"/>
    <s v="CAUSTIC SODA LIQUID"/>
    <n v="2291125.5"/>
    <x v="0"/>
    <n v="412402.58999999997"/>
    <x v="0"/>
    <m/>
    <m/>
    <x v="0"/>
    <x v="0"/>
    <x v="0"/>
    <x v="0"/>
    <x v="0"/>
    <x v="0"/>
    <m/>
    <x v="0"/>
    <x v="1"/>
    <x v="0"/>
    <x v="0"/>
    <x v="0"/>
    <x v="5"/>
    <n v="77.849999999999994"/>
    <n v="14.012999999999998"/>
    <n v="412402.58999999997"/>
    <d v="2024-07-25T00:00:00"/>
    <x v="0"/>
  </r>
  <r>
    <n v="1012"/>
    <d v="2024-06-09T00:00:00"/>
    <s v="03072024-A-123876"/>
    <d v="2024-07-03T00:00:00"/>
    <x v="0"/>
    <x v="2"/>
    <n v="10000"/>
    <x v="4"/>
    <x v="0"/>
    <n v="2836.3"/>
    <n v="0.35"/>
    <n v="184"/>
    <n v="10000"/>
    <x v="12"/>
    <s v="REFINED SODIUM BICARBONATE"/>
    <n v="975000"/>
    <x v="0"/>
    <n v="175500"/>
    <x v="0"/>
    <m/>
    <m/>
    <x v="0"/>
    <x v="0"/>
    <x v="0"/>
    <x v="0"/>
    <x v="0"/>
    <x v="0"/>
    <m/>
    <x v="0"/>
    <x v="1"/>
    <x v="0"/>
    <x v="0"/>
    <x v="0"/>
    <x v="5"/>
    <n v="97.5"/>
    <n v="17.55"/>
    <n v="3229.2000000000003"/>
    <d v="2024-07-09T00:00:00"/>
    <x v="0"/>
  </r>
  <r>
    <n v="1013"/>
    <d v="2024-06-09T00:00:00"/>
    <s v="03072024-A-123888"/>
    <d v="2024-07-03T00:00:00"/>
    <x v="0"/>
    <x v="2"/>
    <n v="20000"/>
    <x v="4"/>
    <x v="0"/>
    <n v="2836.2"/>
    <n v="0.34"/>
    <n v="3"/>
    <n v="20000"/>
    <x v="12"/>
    <s v="LIGHT ASH"/>
    <n v="1910000"/>
    <x v="0"/>
    <n v="343800"/>
    <x v="0"/>
    <m/>
    <m/>
    <x v="0"/>
    <x v="0"/>
    <x v="0"/>
    <x v="0"/>
    <x v="0"/>
    <x v="0"/>
    <m/>
    <x v="0"/>
    <x v="1"/>
    <x v="0"/>
    <x v="0"/>
    <x v="0"/>
    <x v="5"/>
    <n v="95.5"/>
    <n v="17.190000000000001"/>
    <n v="51.570000000000007"/>
    <d v="2024-07-09T00:00:00"/>
    <x v="0"/>
  </r>
  <r>
    <n v="1014"/>
    <d v="2024-06-17T00:00:00"/>
    <s v="03072024-A-123911"/>
    <d v="2024-07-03T00:00:00"/>
    <x v="0"/>
    <x v="1"/>
    <n v="40000"/>
    <x v="4"/>
    <x v="0"/>
    <n v="2501.009"/>
    <n v="0.03"/>
    <n v="40000"/>
    <n v="40000"/>
    <x v="12"/>
    <s v="REFINED LAKE SALT"/>
    <n v="338000"/>
    <x v="0"/>
    <n v="60840"/>
    <x v="0"/>
    <m/>
    <m/>
    <x v="0"/>
    <x v="0"/>
    <x v="0"/>
    <x v="0"/>
    <x v="0"/>
    <x v="0"/>
    <m/>
    <x v="0"/>
    <x v="1"/>
    <x v="0"/>
    <x v="0"/>
    <x v="0"/>
    <x v="5"/>
    <n v="8.4499999999999993"/>
    <n v="1.5209999999999999"/>
    <n v="60839.999999999993"/>
    <d v="2024-07-17T00:00:00"/>
    <x v="0"/>
  </r>
  <r>
    <n v="1015"/>
    <d v="2024-06-19T00:00:00"/>
    <s v="03072024-A-123917"/>
    <d v="2024-07-03T00:00:00"/>
    <x v="0"/>
    <x v="0"/>
    <n v="6660"/>
    <x v="4"/>
    <x v="0"/>
    <n v="3910"/>
    <n v="1.8"/>
    <n v="0"/>
    <n v="0"/>
    <x v="12"/>
    <s v="SOLUSOFT MW PK LIQ"/>
    <n v="3363300"/>
    <x v="0"/>
    <n v="605394"/>
    <x v="0"/>
    <m/>
    <m/>
    <x v="0"/>
    <x v="0"/>
    <x v="0"/>
    <x v="0"/>
    <x v="0"/>
    <x v="0"/>
    <m/>
    <x v="0"/>
    <x v="1"/>
    <x v="0"/>
    <x v="0"/>
    <x v="0"/>
    <x v="5"/>
    <n v="505"/>
    <n v="90.9"/>
    <n v="0"/>
    <d v="2024-07-19T00:00:00"/>
    <x v="0"/>
  </r>
  <r>
    <n v="1016"/>
    <d v="2024-06-18T00:00:00"/>
    <s v="04072024-A-124583"/>
    <d v="2024-07-04T00:00:00"/>
    <x v="0"/>
    <x v="0"/>
    <n v="3266"/>
    <x v="4"/>
    <x v="0"/>
    <n v="5205.12"/>
    <n v="3.27"/>
    <n v="0"/>
    <n v="0"/>
    <x v="10"/>
    <s v="20/1 Cotton Yarn 7200 LBS)"/>
    <n v="2988000"/>
    <x v="0"/>
    <n v="537840"/>
    <x v="0"/>
    <m/>
    <m/>
    <x v="0"/>
    <x v="0"/>
    <x v="0"/>
    <x v="0"/>
    <x v="0"/>
    <x v="0"/>
    <m/>
    <x v="0"/>
    <x v="1"/>
    <x v="0"/>
    <x v="0"/>
    <x v="0"/>
    <x v="3"/>
    <n v="914.88058787507657"/>
    <n v="164.67850581751378"/>
    <n v="0"/>
    <d v="2024-07-18T00:00:00"/>
    <x v="0"/>
  </r>
  <r>
    <n v="1017"/>
    <d v="2024-06-25T00:00:00"/>
    <s v="04072024-A-124590"/>
    <d v="2024-07-04T00:00:00"/>
    <x v="0"/>
    <x v="0"/>
    <n v="7757"/>
    <x v="4"/>
    <x v="0"/>
    <n v="5205.12"/>
    <n v="3.27"/>
    <n v="0"/>
    <n v="0"/>
    <x v="10"/>
    <s v="20/1 Cotton Yarn 17100 LBS)"/>
    <n v="7096500"/>
    <x v="0"/>
    <n v="1277370"/>
    <x v="0"/>
    <m/>
    <m/>
    <x v="0"/>
    <x v="0"/>
    <x v="0"/>
    <x v="0"/>
    <x v="0"/>
    <x v="0"/>
    <m/>
    <x v="0"/>
    <x v="1"/>
    <x v="0"/>
    <x v="0"/>
    <x v="0"/>
    <x v="3"/>
    <n v="914.85110223024367"/>
    <n v="164.67319840144387"/>
    <n v="0"/>
    <d v="2024-07-25T00:00:00"/>
    <x v="0"/>
  </r>
  <r>
    <n v="1018"/>
    <d v="2024-06-30T00:00:00"/>
    <s v="04072024-A-124593"/>
    <d v="2024-07-04T00:00:00"/>
    <x v="0"/>
    <x v="0"/>
    <n v="23665"/>
    <x v="4"/>
    <x v="0"/>
    <n v="5503.201"/>
    <n v="1.31"/>
    <n v="0"/>
    <n v="0"/>
    <x v="1"/>
    <s v="Polyester Staple Fiber"/>
    <n v="8688494.8300000001"/>
    <x v="0"/>
    <n v="1563929.0693999999"/>
    <x v="0"/>
    <m/>
    <m/>
    <x v="0"/>
    <x v="0"/>
    <x v="0"/>
    <x v="0"/>
    <x v="0"/>
    <x v="0"/>
    <m/>
    <x v="0"/>
    <x v="1"/>
    <x v="0"/>
    <x v="0"/>
    <x v="0"/>
    <x v="1"/>
    <n v="367.14535516585676"/>
    <n v="66.086163929854209"/>
    <n v="0"/>
    <d v="2024-07-30T00:00:00"/>
    <x v="0"/>
  </r>
  <r>
    <n v="1019"/>
    <d v="2024-06-30T00:00:00"/>
    <s v="04072024-A-124594"/>
    <d v="2024-07-04T00:00:00"/>
    <x v="0"/>
    <x v="0"/>
    <n v="558"/>
    <x v="4"/>
    <x v="0"/>
    <n v="5503.201"/>
    <n v="4.1100000000000003"/>
    <n v="0"/>
    <n v="0"/>
    <x v="1"/>
    <s v="Polyester Staple Fiber"/>
    <n v="641700"/>
    <x v="0"/>
    <n v="115506"/>
    <x v="0"/>
    <m/>
    <m/>
    <x v="0"/>
    <x v="0"/>
    <x v="0"/>
    <x v="0"/>
    <x v="0"/>
    <x v="0"/>
    <m/>
    <x v="0"/>
    <x v="1"/>
    <x v="0"/>
    <x v="0"/>
    <x v="0"/>
    <x v="1"/>
    <n v="1150"/>
    <n v="207"/>
    <n v="0"/>
    <d v="2024-07-30T00:00:00"/>
    <x v="0"/>
  </r>
  <r>
    <n v="1020"/>
    <d v="2024-06-30T00:00:00"/>
    <s v="04072024-A-124595"/>
    <d v="2024-07-04T00:00:00"/>
    <x v="0"/>
    <x v="2"/>
    <n v="23969"/>
    <x v="4"/>
    <x v="0"/>
    <n v="5503.201"/>
    <n v="1.31"/>
    <n v="2309"/>
    <n v="23969"/>
    <x v="1"/>
    <s v="Polyester Staple Fiber"/>
    <n v="8800108.4100000001"/>
    <x v="0"/>
    <n v="1584019.5138000001"/>
    <x v="0"/>
    <m/>
    <m/>
    <x v="0"/>
    <x v="0"/>
    <x v="0"/>
    <x v="0"/>
    <x v="0"/>
    <x v="0"/>
    <m/>
    <x v="0"/>
    <x v="1"/>
    <x v="0"/>
    <x v="0"/>
    <x v="0"/>
    <x v="1"/>
    <n v="367.14541324210438"/>
    <n v="66.086174383578793"/>
    <n v="152592.97665168342"/>
    <d v="2024-07-30T00:00:00"/>
    <x v="0"/>
  </r>
  <r>
    <n v="1021"/>
    <d v="2024-06-09T00:00:00"/>
    <s v="06072024-A-125012"/>
    <d v="2024-07-06T00:00:00"/>
    <x v="0"/>
    <x v="0"/>
    <n v="375"/>
    <x v="4"/>
    <x v="0"/>
    <n v="3809.9189999999999"/>
    <n v="2.2999999999999998"/>
    <n v="0"/>
    <n v="0"/>
    <x v="12"/>
    <s v="DYMAFIX DM -2558"/>
    <n v="241875"/>
    <x v="0"/>
    <n v="43537.5"/>
    <x v="0"/>
    <m/>
    <m/>
    <x v="0"/>
    <x v="0"/>
    <x v="0"/>
    <x v="0"/>
    <x v="0"/>
    <x v="0"/>
    <m/>
    <x v="0"/>
    <x v="1"/>
    <x v="0"/>
    <x v="0"/>
    <x v="0"/>
    <x v="5"/>
    <n v="645"/>
    <n v="116.1"/>
    <n v="0"/>
    <d v="2024-07-09T00:00:00"/>
    <x v="0"/>
  </r>
  <r>
    <n v="1022"/>
    <d v="2024-06-11T00:00:00"/>
    <s v="06072024-A-125019"/>
    <d v="2024-07-06T00:00:00"/>
    <x v="0"/>
    <x v="0"/>
    <n v="375"/>
    <x v="4"/>
    <x v="0"/>
    <n v="3809.9189999999999"/>
    <n v="2.2999999999999998"/>
    <n v="0"/>
    <n v="0"/>
    <x v="12"/>
    <s v="DYMAFIX DM -2558"/>
    <n v="241875"/>
    <x v="0"/>
    <n v="43537.5"/>
    <x v="0"/>
    <m/>
    <m/>
    <x v="0"/>
    <x v="0"/>
    <x v="0"/>
    <x v="0"/>
    <x v="0"/>
    <x v="0"/>
    <m/>
    <x v="0"/>
    <x v="1"/>
    <x v="0"/>
    <x v="0"/>
    <x v="0"/>
    <x v="5"/>
    <n v="645"/>
    <n v="116.1"/>
    <n v="0"/>
    <d v="2024-07-11T00:00:00"/>
    <x v="0"/>
  </r>
  <r>
    <n v="1023"/>
    <d v="2024-06-15T00:00:00"/>
    <s v="06072024-A-125021"/>
    <d v="2024-07-06T00:00:00"/>
    <x v="0"/>
    <x v="0"/>
    <n v="120"/>
    <x v="4"/>
    <x v="0"/>
    <n v="2809.201"/>
    <n v="2.3199999999999998"/>
    <n v="0"/>
    <n v="0"/>
    <x v="12"/>
    <s v="ALKA PP BOOSTER "/>
    <n v="78000"/>
    <x v="0"/>
    <n v="14040"/>
    <x v="0"/>
    <m/>
    <m/>
    <x v="0"/>
    <x v="0"/>
    <x v="0"/>
    <x v="0"/>
    <x v="0"/>
    <x v="0"/>
    <m/>
    <x v="0"/>
    <x v="1"/>
    <x v="0"/>
    <x v="0"/>
    <x v="0"/>
    <x v="5"/>
    <n v="650"/>
    <n v="117"/>
    <n v="0"/>
    <d v="2024-07-15T00:00:00"/>
    <x v="0"/>
  </r>
  <r>
    <n v="1024"/>
    <d v="2024-06-17T00:00:00"/>
    <s v="06072024-A-125028"/>
    <d v="2024-07-06T00:00:00"/>
    <x v="0"/>
    <x v="0"/>
    <n v="1950"/>
    <x v="4"/>
    <x v="0"/>
    <n v="3809.9189999999999"/>
    <n v="1.96"/>
    <n v="0"/>
    <n v="0"/>
    <x v="12"/>
    <s v="ALKAFIX FK-400"/>
    <n v="1072500"/>
    <x v="0"/>
    <n v="193050"/>
    <x v="0"/>
    <m/>
    <m/>
    <x v="0"/>
    <x v="0"/>
    <x v="0"/>
    <x v="0"/>
    <x v="0"/>
    <x v="0"/>
    <m/>
    <x v="0"/>
    <x v="1"/>
    <x v="0"/>
    <x v="0"/>
    <x v="0"/>
    <x v="5"/>
    <n v="550"/>
    <n v="99"/>
    <n v="0"/>
    <d v="2024-07-17T00:00:00"/>
    <x v="0"/>
  </r>
  <r>
    <n v="1025"/>
    <d v="2024-06-30T00:00:00"/>
    <s v="06072024-A-125030"/>
    <d v="2024-07-06T00:00:00"/>
    <x v="0"/>
    <x v="0"/>
    <n v="450"/>
    <x v="4"/>
    <x v="0"/>
    <n v="3809.9189999999999"/>
    <n v="1.73"/>
    <n v="0"/>
    <n v="0"/>
    <x v="12"/>
    <s v="HEPTOL B 95 "/>
    <n v="218250"/>
    <x v="0"/>
    <n v="39285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30T00:00:00"/>
    <x v="0"/>
  </r>
  <r>
    <n v="1026"/>
    <d v="2024-06-30T00:00:00"/>
    <s v="06072024-A-125032"/>
    <d v="2024-07-06T00:00:00"/>
    <x v="0"/>
    <x v="0"/>
    <n v="150"/>
    <x v="4"/>
    <x v="0"/>
    <n v="3809.9189999999999"/>
    <n v="1.73"/>
    <n v="0"/>
    <n v="0"/>
    <x v="12"/>
    <s v="HEPTOL B 95 "/>
    <n v="72750"/>
    <x v="0"/>
    <n v="13095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30T00:00:00"/>
    <x v="0"/>
  </r>
  <r>
    <n v="1027"/>
    <d v="2024-06-30T00:00:00"/>
    <s v="06072024-A-125034"/>
    <d v="2024-07-06T00:00:00"/>
    <x v="0"/>
    <x v="0"/>
    <n v="150"/>
    <x v="4"/>
    <x v="0"/>
    <n v="3809.9189999999999"/>
    <n v="1.73"/>
    <n v="0"/>
    <n v="0"/>
    <x v="12"/>
    <s v="HEPTOL B 95 "/>
    <n v="72750"/>
    <x v="0"/>
    <n v="13095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30T00:00:00"/>
    <x v="0"/>
  </r>
  <r>
    <n v="1028"/>
    <d v="2024-06-30T00:00:00"/>
    <s v="06072024-A-125039"/>
    <d v="2024-07-06T00:00:00"/>
    <x v="0"/>
    <x v="0"/>
    <n v="300"/>
    <x v="4"/>
    <x v="0"/>
    <n v="3809.9189999999999"/>
    <n v="1.73"/>
    <n v="0"/>
    <n v="0"/>
    <x v="12"/>
    <s v="HEPTOL B 95 "/>
    <n v="145500"/>
    <x v="0"/>
    <n v="26190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30T00:00:00"/>
    <x v="0"/>
  </r>
  <r>
    <n v="1029"/>
    <d v="2024-06-30T00:00:00"/>
    <s v="06072024-A-125044"/>
    <d v="2024-07-06T00:00:00"/>
    <x v="0"/>
    <x v="0"/>
    <n v="1040"/>
    <x v="4"/>
    <x v="0"/>
    <n v="3809.9189999999999"/>
    <n v="0.67"/>
    <n v="0"/>
    <n v="0"/>
    <x v="12"/>
    <s v="CONTAVAN BA"/>
    <n v="195520"/>
    <x v="0"/>
    <n v="35193.599999999999"/>
    <x v="0"/>
    <m/>
    <m/>
    <x v="0"/>
    <x v="0"/>
    <x v="0"/>
    <x v="0"/>
    <x v="0"/>
    <x v="0"/>
    <m/>
    <x v="0"/>
    <x v="1"/>
    <x v="0"/>
    <x v="0"/>
    <x v="0"/>
    <x v="5"/>
    <n v="188"/>
    <n v="33.839999999999996"/>
    <n v="0"/>
    <d v="2024-07-30T00:00:00"/>
    <x v="0"/>
  </r>
  <r>
    <n v="1030"/>
    <d v="2024-06-30T00:00:00"/>
    <s v="06072024-A-125055"/>
    <d v="2024-07-06T00:00:00"/>
    <x v="0"/>
    <x v="0"/>
    <n v="5000"/>
    <x v="4"/>
    <x v="0"/>
    <n v="3906.9090000000001"/>
    <n v="0.5"/>
    <n v="0"/>
    <n v="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0"/>
    <d v="2024-07-30T00:00:00"/>
    <x v="0"/>
  </r>
  <r>
    <n v="1031"/>
    <d v="2024-06-30T00:00:00"/>
    <s v="06072024-A-125057"/>
    <d v="2024-07-06T00:00:00"/>
    <x v="0"/>
    <x v="2"/>
    <n v="5000"/>
    <x v="4"/>
    <x v="0"/>
    <n v="3906.9090000000001"/>
    <n v="0.5"/>
    <n v="89"/>
    <n v="5000"/>
    <x v="12"/>
    <s v="TUBIFAST ACL"/>
    <n v="695000"/>
    <x v="0"/>
    <n v="125100"/>
    <x v="0"/>
    <m/>
    <m/>
    <x v="0"/>
    <x v="0"/>
    <x v="0"/>
    <x v="0"/>
    <x v="0"/>
    <x v="0"/>
    <m/>
    <x v="0"/>
    <x v="1"/>
    <x v="0"/>
    <x v="0"/>
    <x v="0"/>
    <x v="5"/>
    <n v="139"/>
    <n v="25.02"/>
    <n v="2226.7799999999997"/>
    <d v="2024-07-30T00:00:00"/>
    <x v="0"/>
  </r>
  <r>
    <n v="1032"/>
    <d v="2024-07-04T00:00:00"/>
    <s v="06072024-A-125061"/>
    <d v="2024-07-06T00:00:00"/>
    <x v="0"/>
    <x v="0"/>
    <n v="600"/>
    <x v="4"/>
    <x v="0"/>
    <n v="3809.9189999999999"/>
    <n v="1.73"/>
    <n v="0"/>
    <n v="0"/>
    <x v="12"/>
    <s v="HEPTOL B 95"/>
    <n v="291000"/>
    <x v="0"/>
    <n v="52380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8-03T00:00:00"/>
    <x v="0"/>
  </r>
  <r>
    <n v="1033"/>
    <d v="2024-07-04T00:00:00"/>
    <s v="06072024-A-125065"/>
    <d v="2024-07-06T00:00:00"/>
    <x v="0"/>
    <x v="2"/>
    <n v="1950"/>
    <x v="4"/>
    <x v="0"/>
    <n v="3809.9189999999999"/>
    <n v="0.67"/>
    <n v="0"/>
    <n v="1950"/>
    <x v="12"/>
    <s v="CONTAVAN BA"/>
    <n v="366600"/>
    <x v="0"/>
    <n v="65988"/>
    <x v="0"/>
    <m/>
    <m/>
    <x v="0"/>
    <x v="0"/>
    <x v="0"/>
    <x v="0"/>
    <x v="0"/>
    <x v="0"/>
    <m/>
    <x v="0"/>
    <x v="1"/>
    <x v="0"/>
    <x v="0"/>
    <x v="0"/>
    <x v="5"/>
    <n v="188"/>
    <n v="33.840000000000003"/>
    <n v="0"/>
    <d v="2024-08-03T00:00:00"/>
    <x v="0"/>
  </r>
  <r>
    <n v="1034"/>
    <d v="2024-07-04T00:00:00"/>
    <s v="06072024-A-125070"/>
    <d v="2024-07-06T00:00:00"/>
    <x v="0"/>
    <x v="2"/>
    <n v="750"/>
    <x v="4"/>
    <x v="0"/>
    <n v="3809.9189999999999"/>
    <n v="1.73"/>
    <n v="252"/>
    <n v="750"/>
    <x v="12"/>
    <s v="HEPTOL B95 "/>
    <n v="363750"/>
    <x v="0"/>
    <n v="65475"/>
    <x v="0"/>
    <m/>
    <m/>
    <x v="0"/>
    <x v="0"/>
    <x v="0"/>
    <x v="0"/>
    <x v="0"/>
    <x v="0"/>
    <m/>
    <x v="0"/>
    <x v="1"/>
    <x v="0"/>
    <x v="0"/>
    <x v="0"/>
    <x v="5"/>
    <n v="485"/>
    <n v="87.3"/>
    <n v="21999.599999999999"/>
    <d v="2024-08-03T00:00:00"/>
    <x v="0"/>
  </r>
  <r>
    <n v="1035"/>
    <d v="2024-06-30T00:00:00"/>
    <s v="06072024-A-125073"/>
    <d v="2024-07-06T00:00:00"/>
    <x v="0"/>
    <x v="0"/>
    <n v="300"/>
    <x v="4"/>
    <x v="0"/>
    <n v="3809.9189999999999"/>
    <n v="1.73"/>
    <n v="0"/>
    <n v="0"/>
    <x v="12"/>
    <s v="HEPTOL B95 "/>
    <n v="145500"/>
    <x v="0"/>
    <n v="26190"/>
    <x v="0"/>
    <m/>
    <m/>
    <x v="0"/>
    <x v="0"/>
    <x v="0"/>
    <x v="0"/>
    <x v="0"/>
    <x v="0"/>
    <m/>
    <x v="0"/>
    <x v="1"/>
    <x v="0"/>
    <x v="0"/>
    <x v="0"/>
    <x v="5"/>
    <n v="485"/>
    <n v="87.3"/>
    <n v="0"/>
    <d v="2024-07-30T00:00:00"/>
    <x v="0"/>
  </r>
  <r>
    <n v="1036"/>
    <d v="2024-06-30T00:00:00"/>
    <s v="06072024-A-125077"/>
    <d v="2024-07-06T00:00:00"/>
    <x v="0"/>
    <x v="0"/>
    <n v="1040"/>
    <x v="4"/>
    <x v="0"/>
    <n v="3809.9189999999999"/>
    <n v="0.67"/>
    <n v="0"/>
    <n v="0"/>
    <x v="12"/>
    <s v="CONTAVAN BA"/>
    <n v="195520"/>
    <x v="0"/>
    <n v="35193.599999999999"/>
    <x v="0"/>
    <m/>
    <m/>
    <x v="0"/>
    <x v="0"/>
    <x v="0"/>
    <x v="0"/>
    <x v="0"/>
    <x v="0"/>
    <m/>
    <x v="0"/>
    <x v="1"/>
    <x v="0"/>
    <x v="0"/>
    <x v="0"/>
    <x v="5"/>
    <n v="188"/>
    <n v="33.839999999999996"/>
    <n v="0"/>
    <d v="2024-07-30T00:00:00"/>
    <x v="0"/>
  </r>
  <r>
    <n v="1037"/>
    <d v="2024-06-19T00:00:00"/>
    <s v="06072024-A-125086"/>
    <d v="2024-07-06T00:00:00"/>
    <x v="0"/>
    <x v="0"/>
    <n v="210"/>
    <x v="4"/>
    <x v="0"/>
    <n v="3204.172"/>
    <n v="3.75"/>
    <n v="0"/>
    <n v="0"/>
    <x v="5"/>
    <s v="FAVOPRINT YELLOW AF-3GN"/>
    <n v="220500"/>
    <x v="0"/>
    <n v="39690"/>
    <x v="0"/>
    <m/>
    <m/>
    <x v="0"/>
    <x v="0"/>
    <x v="0"/>
    <x v="0"/>
    <x v="0"/>
    <x v="0"/>
    <m/>
    <x v="0"/>
    <x v="1"/>
    <x v="0"/>
    <x v="0"/>
    <x v="0"/>
    <x v="4"/>
    <n v="1050"/>
    <n v="189"/>
    <n v="0"/>
    <d v="2024-07-19T00:00:00"/>
    <x v="0"/>
  </r>
  <r>
    <n v="1038"/>
    <d v="2024-06-19T00:00:00"/>
    <s v="06072024-A-125091"/>
    <d v="2024-07-06T00:00:00"/>
    <x v="0"/>
    <x v="0"/>
    <n v="120"/>
    <x v="4"/>
    <x v="0"/>
    <n v="3204.172"/>
    <n v="4.07"/>
    <n v="0"/>
    <n v="0"/>
    <x v="5"/>
    <s v="FAVOPRINT BLUE AFFR"/>
    <n v="136800"/>
    <x v="0"/>
    <n v="24624"/>
    <x v="0"/>
    <m/>
    <m/>
    <x v="0"/>
    <x v="0"/>
    <x v="0"/>
    <x v="0"/>
    <x v="0"/>
    <x v="0"/>
    <m/>
    <x v="0"/>
    <x v="1"/>
    <x v="0"/>
    <x v="0"/>
    <x v="0"/>
    <x v="4"/>
    <n v="1140"/>
    <n v="205.2"/>
    <n v="0"/>
    <d v="2024-07-19T00:00:00"/>
    <x v="0"/>
  </r>
  <r>
    <n v="1039"/>
    <d v="2024-06-24T00:00:00"/>
    <s v="06072024-A-125093"/>
    <d v="2024-07-06T00:00:00"/>
    <x v="0"/>
    <x v="0"/>
    <n v="1500"/>
    <x v="4"/>
    <x v="0"/>
    <n v="3204.172"/>
    <n v="4.07"/>
    <n v="0"/>
    <n v="0"/>
    <x v="5"/>
    <s v="FAVOPRINT BLUE AFFR"/>
    <n v="1710000"/>
    <x v="0"/>
    <n v="307800"/>
    <x v="0"/>
    <m/>
    <m/>
    <x v="0"/>
    <x v="0"/>
    <x v="0"/>
    <x v="0"/>
    <x v="0"/>
    <x v="0"/>
    <m/>
    <x v="0"/>
    <x v="1"/>
    <x v="0"/>
    <x v="0"/>
    <x v="0"/>
    <x v="4"/>
    <n v="1140"/>
    <n v="205.2"/>
    <n v="0"/>
    <d v="2024-07-24T00:00:00"/>
    <x v="0"/>
  </r>
  <r>
    <n v="1040"/>
    <d v="2024-06-16T00:00:00"/>
    <s v="06072024-A-125095"/>
    <d v="2024-07-06T00:00:00"/>
    <x v="0"/>
    <x v="0"/>
    <n v="210"/>
    <x v="4"/>
    <x v="0"/>
    <n v="3204.172"/>
    <n v="4.07"/>
    <n v="0"/>
    <n v="0"/>
    <x v="5"/>
    <s v="FAVOPRINT BLUE AFFR"/>
    <n v="239400"/>
    <x v="0"/>
    <n v="43092"/>
    <x v="0"/>
    <m/>
    <m/>
    <x v="0"/>
    <x v="0"/>
    <x v="0"/>
    <x v="0"/>
    <x v="0"/>
    <x v="0"/>
    <m/>
    <x v="0"/>
    <x v="1"/>
    <x v="0"/>
    <x v="0"/>
    <x v="0"/>
    <x v="4"/>
    <n v="1140"/>
    <n v="205.2"/>
    <n v="0"/>
    <d v="2024-07-16T00:00:00"/>
    <x v="0"/>
  </r>
  <r>
    <n v="1041"/>
    <d v="2024-06-16T00:00:00"/>
    <s v="06072024-A-125099"/>
    <d v="2024-07-06T00:00:00"/>
    <x v="0"/>
    <x v="0"/>
    <n v="120"/>
    <x v="4"/>
    <x v="0"/>
    <n v="3204.172"/>
    <n v="4.0199999999999996"/>
    <n v="0"/>
    <n v="0"/>
    <x v="5"/>
    <s v="FAVOPRINT GREEN AFG2B,YELLOW AF-3GN"/>
    <n v="135000"/>
    <x v="0"/>
    <n v="24300"/>
    <x v="0"/>
    <m/>
    <m/>
    <x v="0"/>
    <x v="0"/>
    <x v="0"/>
    <x v="0"/>
    <x v="0"/>
    <x v="0"/>
    <m/>
    <x v="0"/>
    <x v="1"/>
    <x v="0"/>
    <x v="0"/>
    <x v="0"/>
    <x v="4"/>
    <n v="1125"/>
    <n v="202.5"/>
    <n v="0"/>
    <d v="2024-07-16T00:00:00"/>
    <x v="0"/>
  </r>
  <r>
    <n v="1042"/>
    <d v="2024-06-12T00:00:00"/>
    <s v="06072024-A-125108"/>
    <d v="2024-07-06T00:00:00"/>
    <x v="0"/>
    <x v="0"/>
    <n v="1020"/>
    <x v="4"/>
    <x v="0"/>
    <n v="3204.172"/>
    <n v="4.07"/>
    <n v="0"/>
    <n v="0"/>
    <x v="5"/>
    <s v="FAVOPRINT BLUE AFFR"/>
    <n v="1162800"/>
    <x v="0"/>
    <n v="209304"/>
    <x v="0"/>
    <m/>
    <m/>
    <x v="0"/>
    <x v="0"/>
    <x v="0"/>
    <x v="0"/>
    <x v="0"/>
    <x v="0"/>
    <m/>
    <x v="0"/>
    <x v="1"/>
    <x v="0"/>
    <x v="0"/>
    <x v="0"/>
    <x v="4"/>
    <n v="1140"/>
    <n v="205.2"/>
    <n v="0"/>
    <d v="2024-07-12T00:00:00"/>
    <x v="0"/>
  </r>
  <r>
    <n v="1043"/>
    <d v="2024-06-11T00:00:00"/>
    <s v="06072024-A-125115"/>
    <d v="2024-07-06T00:00:00"/>
    <x v="0"/>
    <x v="0"/>
    <n v="1020"/>
    <x v="4"/>
    <x v="0"/>
    <n v="3204.172"/>
    <n v="4.07"/>
    <n v="0"/>
    <n v="0"/>
    <x v="5"/>
    <s v="FAVOPRINT BLUE AFFR"/>
    <n v="1162800"/>
    <x v="0"/>
    <n v="209304"/>
    <x v="0"/>
    <m/>
    <m/>
    <x v="0"/>
    <x v="0"/>
    <x v="0"/>
    <x v="0"/>
    <x v="0"/>
    <x v="0"/>
    <m/>
    <x v="0"/>
    <x v="1"/>
    <x v="0"/>
    <x v="0"/>
    <x v="0"/>
    <x v="4"/>
    <n v="1140"/>
    <n v="205.2"/>
    <n v="0"/>
    <d v="2024-07-11T00:00:00"/>
    <x v="0"/>
  </r>
  <r>
    <n v="1044"/>
    <d v="2024-06-14T00:00:00"/>
    <s v="06072024-A-125119"/>
    <d v="2024-07-06T00:00:00"/>
    <x v="0"/>
    <x v="0"/>
    <n v="930"/>
    <x v="4"/>
    <x v="0"/>
    <n v="3204.172"/>
    <n v="5.98"/>
    <n v="0"/>
    <n v="0"/>
    <x v="5"/>
    <s v="PIGMASOL RED MKB-R"/>
    <n v="1557750"/>
    <x v="0"/>
    <n v="280395"/>
    <x v="0"/>
    <m/>
    <m/>
    <x v="0"/>
    <x v="0"/>
    <x v="0"/>
    <x v="0"/>
    <x v="0"/>
    <x v="0"/>
    <m/>
    <x v="0"/>
    <x v="1"/>
    <x v="0"/>
    <x v="0"/>
    <x v="0"/>
    <x v="4"/>
    <n v="1675"/>
    <n v="301.5"/>
    <n v="0"/>
    <d v="2024-07-14T00:00:00"/>
    <x v="0"/>
  </r>
  <r>
    <n v="1045"/>
    <d v="2024-06-14T00:00:00"/>
    <s v="06072024-A-125124"/>
    <d v="2024-07-06T00:00:00"/>
    <x v="0"/>
    <x v="0"/>
    <n v="900"/>
    <x v="4"/>
    <x v="0"/>
    <n v="3204.172"/>
    <n v="4.96"/>
    <n v="0"/>
    <n v="0"/>
    <x v="5"/>
    <s v="PIGMASOL YELLOW MRP"/>
    <n v="1251000"/>
    <x v="0"/>
    <n v="225180"/>
    <x v="0"/>
    <m/>
    <m/>
    <x v="0"/>
    <x v="0"/>
    <x v="0"/>
    <x v="0"/>
    <x v="0"/>
    <x v="0"/>
    <m/>
    <x v="0"/>
    <x v="1"/>
    <x v="0"/>
    <x v="0"/>
    <x v="0"/>
    <x v="4"/>
    <n v="1390"/>
    <n v="250.2"/>
    <n v="0"/>
    <d v="2024-07-14T00:00:00"/>
    <x v="0"/>
  </r>
  <r>
    <n v="1046"/>
    <d v="2024-06-28T00:00:00"/>
    <s v="06072024-A-125130"/>
    <d v="2024-07-06T00:00:00"/>
    <x v="0"/>
    <x v="0"/>
    <n v="900"/>
    <x v="4"/>
    <x v="0"/>
    <n v="3204.172"/>
    <n v="5.64"/>
    <n v="0"/>
    <n v="0"/>
    <x v="5"/>
    <s v="PIGMASOL YELLOW MRP,RED MKB-R"/>
    <n v="1422000"/>
    <x v="0"/>
    <n v="255960"/>
    <x v="0"/>
    <m/>
    <m/>
    <x v="0"/>
    <x v="0"/>
    <x v="0"/>
    <x v="0"/>
    <x v="0"/>
    <x v="0"/>
    <m/>
    <x v="0"/>
    <x v="1"/>
    <x v="0"/>
    <x v="0"/>
    <x v="0"/>
    <x v="4"/>
    <n v="1580"/>
    <n v="284.39999999999998"/>
    <n v="0"/>
    <d v="2024-07-28T00:00:00"/>
    <x v="0"/>
  </r>
  <r>
    <n v="1047"/>
    <d v="2024-06-18T00:00:00"/>
    <s v="06072024-A-125137"/>
    <d v="2024-07-06T00:00:00"/>
    <x v="0"/>
    <x v="0"/>
    <n v="90"/>
    <x v="4"/>
    <x v="0"/>
    <n v="3809.9189999999999"/>
    <n v="4.88"/>
    <n v="0"/>
    <n v="0"/>
    <x v="12"/>
    <s v="OPTIFIX EC LIQUID"/>
    <n v="122850"/>
    <x v="0"/>
    <n v="22113"/>
    <x v="0"/>
    <m/>
    <m/>
    <x v="0"/>
    <x v="0"/>
    <x v="0"/>
    <x v="0"/>
    <x v="0"/>
    <x v="0"/>
    <m/>
    <x v="0"/>
    <x v="1"/>
    <x v="0"/>
    <x v="0"/>
    <x v="0"/>
    <x v="5"/>
    <n v="1365"/>
    <n v="245.7"/>
    <n v="0"/>
    <d v="2024-07-18T00:00:00"/>
    <x v="0"/>
  </r>
  <r>
    <n v="1048"/>
    <d v="2024-06-24T00:00:00"/>
    <s v="06072024-A-125143"/>
    <d v="2024-07-06T00:00:00"/>
    <x v="0"/>
    <x v="0"/>
    <n v="50"/>
    <x v="4"/>
    <x v="0"/>
    <n v="3204.16"/>
    <n v="8.39"/>
    <n v="0"/>
    <n v="0"/>
    <x v="5"/>
    <s v="SUNZOL NAVY BLUE GRB"/>
    <n v="117500"/>
    <x v="0"/>
    <n v="21150"/>
    <x v="0"/>
    <m/>
    <m/>
    <x v="0"/>
    <x v="0"/>
    <x v="0"/>
    <x v="0"/>
    <x v="0"/>
    <x v="0"/>
    <m/>
    <x v="0"/>
    <x v="1"/>
    <x v="0"/>
    <x v="0"/>
    <x v="0"/>
    <x v="4"/>
    <n v="2350"/>
    <n v="423"/>
    <n v="0"/>
    <d v="2024-07-24T00:00:00"/>
    <x v="0"/>
  </r>
  <r>
    <n v="1049"/>
    <d v="2024-06-29T00:00:00"/>
    <s v="06072024-A-125149"/>
    <d v="2024-07-06T00:00:00"/>
    <x v="0"/>
    <x v="1"/>
    <n v="29320"/>
    <x v="4"/>
    <x v="0"/>
    <n v="2815.12"/>
    <n v="0.28000000000000003"/>
    <n v="29320"/>
    <n v="29320"/>
    <x v="12"/>
    <s v="CAUSTIC SODA LIQUID"/>
    <n v="2282562"/>
    <x v="0"/>
    <n v="410861.16"/>
    <x v="0"/>
    <m/>
    <m/>
    <x v="0"/>
    <x v="0"/>
    <x v="0"/>
    <x v="0"/>
    <x v="0"/>
    <x v="0"/>
    <m/>
    <x v="0"/>
    <x v="1"/>
    <x v="0"/>
    <x v="0"/>
    <x v="0"/>
    <x v="5"/>
    <n v="77.849999999999994"/>
    <n v="14.013"/>
    <n v="410861.16"/>
    <d v="2024-07-29T00:00:00"/>
    <x v="0"/>
  </r>
  <r>
    <n v="1050"/>
    <d v="2024-06-30T00:00:00"/>
    <s v="06072024-A-125153"/>
    <d v="2024-07-06T00:00:00"/>
    <x v="0"/>
    <x v="0"/>
    <n v="600"/>
    <x v="4"/>
    <x v="0"/>
    <n v="3507.9"/>
    <n v="3.13"/>
    <n v="0"/>
    <n v="0"/>
    <x v="12"/>
    <s v="PROMOLAZE HT CONC  "/>
    <n v="525000"/>
    <x v="0"/>
    <n v="94500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7-30T00:00:00"/>
    <x v="0"/>
  </r>
  <r>
    <n v="1051"/>
    <d v="2024-06-30T00:00:00"/>
    <s v="06072024-A-125155"/>
    <d v="2024-07-06T00:00:00"/>
    <x v="0"/>
    <x v="0"/>
    <n v="4536"/>
    <x v="4"/>
    <x v="0"/>
    <n v="5205.12"/>
    <n v="3.27"/>
    <n v="0"/>
    <n v="0"/>
    <x v="10"/>
    <s v="20/1 Cotton Yarn 10000 LBS)"/>
    <n v="4150000"/>
    <x v="0"/>
    <n v="747000"/>
    <x v="0"/>
    <m/>
    <m/>
    <x v="0"/>
    <x v="0"/>
    <x v="0"/>
    <x v="0"/>
    <x v="0"/>
    <x v="0"/>
    <m/>
    <x v="0"/>
    <x v="1"/>
    <x v="0"/>
    <x v="0"/>
    <x v="0"/>
    <x v="3"/>
    <n v="914.90299823633154"/>
    <n v="164.68253968253967"/>
    <n v="0"/>
    <d v="2024-07-30T00:00:00"/>
    <x v="0"/>
  </r>
  <r>
    <n v="1052"/>
    <d v="2024-06-29T00:00:00"/>
    <s v="06072024-A-125196"/>
    <d v="2024-07-06T00:00:00"/>
    <x v="0"/>
    <x v="0"/>
    <n v="2000"/>
    <x v="4"/>
    <x v="0"/>
    <n v="3204.2"/>
    <n v="1.73"/>
    <n v="0"/>
    <n v="0"/>
    <x v="5"/>
    <s v="LEUCOPHOR BMF LIQUID"/>
    <n v="966000"/>
    <x v="0"/>
    <n v="17388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29T00:00:00"/>
    <x v="0"/>
  </r>
  <r>
    <n v="1052"/>
    <d v="2024-06-29T00:00:00"/>
    <s v="06072024-A-125196"/>
    <d v="2024-07-06T00:00:00"/>
    <x v="0"/>
    <x v="0"/>
    <n v="800"/>
    <x v="4"/>
    <x v="0"/>
    <n v="3402.42"/>
    <n v="3.13"/>
    <n v="0"/>
    <n v="0"/>
    <x v="12"/>
    <s v="KIERALON MRN PK LIQ"/>
    <n v="700000"/>
    <x v="0"/>
    <n v="126000"/>
    <x v="0"/>
    <m/>
    <m/>
    <x v="0"/>
    <x v="0"/>
    <x v="0"/>
    <x v="0"/>
    <x v="0"/>
    <x v="0"/>
    <m/>
    <x v="0"/>
    <x v="1"/>
    <x v="0"/>
    <x v="0"/>
    <x v="0"/>
    <x v="5"/>
    <n v="875"/>
    <n v="157.5"/>
    <n v="0"/>
    <d v="2024-07-29T00:00:00"/>
    <x v="0"/>
  </r>
  <r>
    <n v="1053"/>
    <d v="2024-06-30T00:00:00"/>
    <s v="06072024-A-125209"/>
    <d v="2024-07-06T00:00:00"/>
    <x v="0"/>
    <x v="0"/>
    <n v="3000"/>
    <x v="4"/>
    <x v="0"/>
    <n v="3204.2"/>
    <n v="1.73"/>
    <n v="0"/>
    <n v="0"/>
    <x v="5"/>
    <s v="LEUCOPHOR BMF LIQUID"/>
    <n v="1449000"/>
    <x v="0"/>
    <n v="260820"/>
    <x v="0"/>
    <m/>
    <m/>
    <x v="0"/>
    <x v="0"/>
    <x v="0"/>
    <x v="0"/>
    <x v="0"/>
    <x v="0"/>
    <m/>
    <x v="0"/>
    <x v="1"/>
    <x v="0"/>
    <x v="0"/>
    <x v="0"/>
    <x v="4"/>
    <n v="483"/>
    <n v="86.94"/>
    <n v="0"/>
    <d v="2024-07-30T00:00:00"/>
    <x v="0"/>
  </r>
  <r>
    <n v="1054"/>
    <d v="2024-06-30T00:00:00"/>
    <s v="06072024-A-125210"/>
    <d v="2024-07-06T00:00:00"/>
    <x v="0"/>
    <x v="0"/>
    <n v="540"/>
    <x v="4"/>
    <x v="0"/>
    <n v="3809.9110000000001"/>
    <n v="1.71"/>
    <n v="0"/>
    <n v="0"/>
    <x v="12"/>
    <s v="OPTIFIX RSL LIQ"/>
    <n v="259200"/>
    <x v="0"/>
    <n v="46656"/>
    <x v="0"/>
    <m/>
    <m/>
    <x v="0"/>
    <x v="0"/>
    <x v="0"/>
    <x v="0"/>
    <x v="0"/>
    <x v="0"/>
    <m/>
    <x v="0"/>
    <x v="1"/>
    <x v="0"/>
    <x v="0"/>
    <x v="0"/>
    <x v="5"/>
    <n v="480"/>
    <n v="86.4"/>
    <n v="0"/>
    <d v="2024-07-30T00:00:00"/>
    <x v="0"/>
  </r>
  <r>
    <n v="1055"/>
    <d v="2024-06-09T00:00:00"/>
    <s v="06072024-A-125212"/>
    <d v="2024-07-06T00:00:00"/>
    <x v="0"/>
    <x v="0"/>
    <n v="600"/>
    <x v="4"/>
    <x v="0"/>
    <n v="3809.9189999999999"/>
    <n v="1.88"/>
    <n v="0"/>
    <n v="0"/>
    <x v="12"/>
    <s v="RUCOFIN SIQ"/>
    <n v="315000"/>
    <x v="0"/>
    <n v="56700"/>
    <x v="0"/>
    <m/>
    <m/>
    <x v="0"/>
    <x v="0"/>
    <x v="0"/>
    <x v="0"/>
    <x v="0"/>
    <x v="0"/>
    <m/>
    <x v="0"/>
    <x v="1"/>
    <x v="0"/>
    <x v="0"/>
    <x v="0"/>
    <x v="5"/>
    <n v="525"/>
    <n v="94.5"/>
    <n v="0"/>
    <d v="2024-07-09T00:00:00"/>
    <x v="0"/>
  </r>
  <r>
    <n v="1056"/>
    <d v="2024-06-29T00:00:00"/>
    <s v="06072024-A-125215"/>
    <d v="2024-07-06T00:00:00"/>
    <x v="0"/>
    <x v="0"/>
    <n v="600"/>
    <x v="4"/>
    <x v="0"/>
    <n v="3809.9189999999999"/>
    <n v="1.88"/>
    <n v="0"/>
    <n v="0"/>
    <x v="12"/>
    <s v="RUCOFIN SIQ"/>
    <n v="315000"/>
    <x v="0"/>
    <n v="56700"/>
    <x v="0"/>
    <m/>
    <m/>
    <x v="0"/>
    <x v="0"/>
    <x v="0"/>
    <x v="0"/>
    <x v="0"/>
    <x v="0"/>
    <m/>
    <x v="0"/>
    <x v="1"/>
    <x v="0"/>
    <x v="0"/>
    <x v="0"/>
    <x v="5"/>
    <n v="525"/>
    <n v="94.5"/>
    <n v="0"/>
    <d v="2024-07-29T00:00:00"/>
    <x v="0"/>
  </r>
  <r>
    <n v="1057"/>
    <d v="2024-06-29T00:00:00"/>
    <s v="06072024-A-125219"/>
    <d v="2024-07-06T00:00:00"/>
    <x v="0"/>
    <x v="0"/>
    <n v="720"/>
    <x v="4"/>
    <x v="0"/>
    <n v="3402.42"/>
    <n v="3.29"/>
    <n v="0"/>
    <n v="0"/>
    <x v="12"/>
    <s v="RUCOWET VL"/>
    <n v="662400"/>
    <x v="0"/>
    <n v="119232"/>
    <x v="0"/>
    <m/>
    <m/>
    <x v="0"/>
    <x v="0"/>
    <x v="0"/>
    <x v="0"/>
    <x v="0"/>
    <x v="0"/>
    <m/>
    <x v="0"/>
    <x v="1"/>
    <x v="0"/>
    <x v="0"/>
    <x v="0"/>
    <x v="5"/>
    <n v="920"/>
    <n v="165.6"/>
    <n v="0"/>
    <d v="2024-07-29T00:00:00"/>
    <x v="0"/>
  </r>
  <r>
    <n v="1058"/>
    <d v="2024-06-27T00:00:00"/>
    <s v="06072024-A-125222"/>
    <d v="2024-07-06T00:00:00"/>
    <x v="0"/>
    <x v="0"/>
    <n v="1110"/>
    <x v="4"/>
    <x v="0"/>
    <n v="3204.172"/>
    <n v="4.07"/>
    <n v="0"/>
    <n v="0"/>
    <x v="5"/>
    <s v="FAVOPRINT BLUE AFFR"/>
    <n v="1265400"/>
    <x v="0"/>
    <n v="227772"/>
    <x v="0"/>
    <m/>
    <m/>
    <x v="0"/>
    <x v="0"/>
    <x v="0"/>
    <x v="0"/>
    <x v="0"/>
    <x v="0"/>
    <m/>
    <x v="0"/>
    <x v="1"/>
    <x v="0"/>
    <x v="0"/>
    <x v="0"/>
    <x v="4"/>
    <n v="1140"/>
    <n v="205.2"/>
    <n v="0"/>
    <d v="2024-07-27T00:00:00"/>
    <x v="0"/>
  </r>
  <r>
    <n v="1059"/>
    <d v="2024-06-28T00:00:00"/>
    <s v="06072024-A-125224"/>
    <d v="2024-07-06T00:00:00"/>
    <x v="0"/>
    <x v="0"/>
    <n v="200"/>
    <x v="4"/>
    <x v="0"/>
    <n v="3507.9"/>
    <n v="12.5"/>
    <n v="0"/>
    <n v="0"/>
    <x v="12"/>
    <s v="AQUAZYM AD"/>
    <n v="700000"/>
    <x v="0"/>
    <n v="126000"/>
    <x v="0"/>
    <m/>
    <m/>
    <x v="0"/>
    <x v="0"/>
    <x v="0"/>
    <x v="0"/>
    <x v="0"/>
    <x v="0"/>
    <m/>
    <x v="0"/>
    <x v="1"/>
    <x v="0"/>
    <x v="0"/>
    <x v="0"/>
    <x v="5"/>
    <n v="3500"/>
    <n v="630"/>
    <n v="0"/>
    <d v="2024-07-28T00:00:00"/>
    <x v="0"/>
  </r>
  <r>
    <n v="1060"/>
    <d v="2024-06-30T00:00:00"/>
    <s v="12072024-A-128155"/>
    <d v="2024-07-12T00:00:00"/>
    <x v="0"/>
    <x v="2"/>
    <n v="18189"/>
    <x v="4"/>
    <x v="0"/>
    <n v="5206.1400000000003"/>
    <n v="4.49"/>
    <n v="309"/>
    <n v="18189"/>
    <x v="3"/>
    <s v="CVC60:40 60/1 (40100 LBS)"/>
    <n v="22857000"/>
    <x v="0"/>
    <n v="4114260"/>
    <x v="0"/>
    <m/>
    <m/>
    <x v="0"/>
    <x v="0"/>
    <x v="0"/>
    <x v="0"/>
    <x v="0"/>
    <x v="0"/>
    <m/>
    <x v="0"/>
    <x v="1"/>
    <x v="0"/>
    <x v="0"/>
    <x v="0"/>
    <x v="3"/>
    <n v="1256.638627742042"/>
    <n v="226.19495299356754"/>
    <n v="69894.240475012368"/>
    <d v="2024-07-30T00:00:00"/>
    <x v="0"/>
  </r>
  <r>
    <n v="1061"/>
    <d v="2024-06-27T00:00:00"/>
    <s v="12072024-A-128159"/>
    <d v="2024-07-12T00:00:00"/>
    <x v="0"/>
    <x v="0"/>
    <n v="8618"/>
    <x v="4"/>
    <x v="0"/>
    <n v="5206.1400000000003"/>
    <n v="4.49"/>
    <n v="0"/>
    <n v="0"/>
    <x v="3"/>
    <s v="CVC60:40 60/1 (19000 LBS)"/>
    <n v="10830000"/>
    <x v="0"/>
    <n v="1949400"/>
    <x v="0"/>
    <m/>
    <m/>
    <x v="0"/>
    <x v="0"/>
    <x v="0"/>
    <x v="0"/>
    <x v="0"/>
    <x v="0"/>
    <m/>
    <x v="0"/>
    <x v="1"/>
    <x v="0"/>
    <x v="0"/>
    <x v="0"/>
    <x v="3"/>
    <n v="1256.6720816894872"/>
    <n v="226.20097470410769"/>
    <n v="0"/>
    <d v="2024-07-27T00:00:00"/>
    <x v="0"/>
  </r>
  <r>
    <s v="Additional"/>
    <d v="2024-06-16T00:00:00"/>
    <s v="19072024-A-129717"/>
    <d v="2024-07-19T00:00:00"/>
    <x v="0"/>
    <x v="0"/>
    <n v="9072"/>
    <x v="4"/>
    <x v="0"/>
    <n v="5205.12"/>
    <n v="3.23"/>
    <n v="0"/>
    <n v="0"/>
    <x v="10"/>
    <s v="20/1 Cotton Yarn( 20000 LBS)"/>
    <n v="8200000"/>
    <x v="0"/>
    <n v="1476000"/>
    <x v="0"/>
    <m/>
    <m/>
    <x v="0"/>
    <x v="0"/>
    <x v="0"/>
    <x v="0"/>
    <x v="0"/>
    <x v="0"/>
    <m/>
    <x v="0"/>
    <x v="1"/>
    <x v="0"/>
    <x v="0"/>
    <x v="0"/>
    <x v="3"/>
    <n v="903.88007054673722"/>
    <n v="162.69841269841271"/>
    <n v="0"/>
    <d v="2024-07-16T00:00:00"/>
    <x v="0"/>
  </r>
  <r>
    <s v="Additional"/>
    <d v="2024-06-30T00:00:00"/>
    <s v="19072024-A-129723"/>
    <d v="2024-07-19T00:00:00"/>
    <x v="0"/>
    <x v="2"/>
    <n v="5352"/>
    <x v="4"/>
    <x v="0"/>
    <n v="5205.12"/>
    <n v="3.27"/>
    <n v="94"/>
    <n v="5352"/>
    <x v="10"/>
    <s v="20/1 Cotton Yarn( 11800 LBS)"/>
    <n v="4897000"/>
    <x v="0"/>
    <n v="881460"/>
    <x v="0"/>
    <m/>
    <m/>
    <x v="0"/>
    <x v="0"/>
    <x v="0"/>
    <x v="0"/>
    <x v="0"/>
    <x v="0"/>
    <m/>
    <x v="0"/>
    <x v="1"/>
    <x v="0"/>
    <x v="0"/>
    <x v="0"/>
    <x v="3"/>
    <n v="914.98505231689091"/>
    <n v="164.69730941704037"/>
    <n v="15481.547085201795"/>
    <d v="2024-07-30T00:00:00"/>
    <x v="0"/>
  </r>
  <r>
    <m/>
    <m/>
    <m/>
    <m/>
    <x v="2"/>
    <x v="3"/>
    <m/>
    <x v="2"/>
    <x v="0"/>
    <m/>
    <m/>
    <n v="0"/>
    <n v="0"/>
    <x v="18"/>
    <m/>
    <m/>
    <x v="0"/>
    <m/>
    <x v="0"/>
    <m/>
    <m/>
    <x v="0"/>
    <x v="0"/>
    <x v="0"/>
    <x v="0"/>
    <x v="0"/>
    <x v="0"/>
    <m/>
    <x v="0"/>
    <x v="2"/>
    <x v="0"/>
    <x v="0"/>
    <x v="0"/>
    <x v="8"/>
    <e v="#DIV/0!"/>
    <e v="#DIV/0!"/>
    <e v="#DIV/0!"/>
    <s v=""/>
    <x v="0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  <r>
    <m/>
    <m/>
    <m/>
    <m/>
    <x v="2"/>
    <x v="3"/>
    <m/>
    <x v="2"/>
    <x v="0"/>
    <m/>
    <m/>
    <m/>
    <m/>
    <x v="18"/>
    <m/>
    <m/>
    <x v="0"/>
    <m/>
    <x v="0"/>
    <m/>
    <m/>
    <x v="0"/>
    <x v="0"/>
    <x v="0"/>
    <x v="0"/>
    <x v="0"/>
    <x v="0"/>
    <m/>
    <x v="0"/>
    <x v="0"/>
    <x v="0"/>
    <x v="0"/>
    <x v="0"/>
    <x v="8"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8CBAD8-C13F-4F1D-B1C3-0DDA952FBBD3}" name="PivotTable1" cacheId="14" applyNumberFormats="0" applyBorderFormats="0" applyFontFormats="0" applyPatternFormats="0" applyAlignmentFormats="0" applyWidthHeightFormats="1" dataCaption="Values" grandTotalCaption="Total" updatedVersion="8" minRefreshableVersion="3" showDrill="0" itemPrintTitles="1" createdVersion="8" indent="0" compact="0" compactData="0" multipleFieldFilters="0" chartFormat="18">
  <location ref="C7:G28" firstHeaderRow="0" firstDataRow="1" firstDataCol="1" rowPageCount="1" colPageCount="1"/>
  <pivotFields count="39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1">
        <item x="2"/>
        <item x="3"/>
        <item x="9"/>
        <item x="11"/>
        <item x="13"/>
        <item x="1"/>
        <item x="6"/>
        <item x="0"/>
        <item x="12"/>
        <item x="5"/>
        <item x="16"/>
        <item x="4"/>
        <item x="7"/>
        <item x="8"/>
        <item x="10"/>
        <item x="14"/>
        <item x="15"/>
        <item x="17"/>
        <item h="1" x="18"/>
        <item x="19"/>
        <item x="20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3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No of GDs" fld="2" subtotal="count" baseField="0" baseItem="0"/>
    <dataField name="Qty (Kg)" fld="6" baseField="0" baseItem="0"/>
    <dataField name="Value (PKR)" fld="15" baseField="0" baseItem="0"/>
    <dataField name="Duty/Taxes" fld="17" baseField="0" baseItem="0"/>
  </dataFields>
  <formats count="22">
    <format dxfId="518">
      <pivotArea outline="0" collapsedLevelsAreSubtotals="1" fieldPosition="0"/>
    </format>
    <format dxfId="517">
      <pivotArea dataOnly="0" labelOnly="1" outline="0" fieldPosition="0">
        <references count="1">
          <reference field="5" count="0"/>
        </references>
      </pivotArea>
    </format>
    <format dxfId="516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15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14">
      <pivotArea type="all" dataOnly="0" outline="0" fieldPosition="0"/>
    </format>
    <format dxfId="513">
      <pivotArea outline="0" collapsedLevelsAreSubtotals="1" fieldPosition="0"/>
    </format>
    <format dxfId="512">
      <pivotArea field="13" type="button" dataOnly="0" labelOnly="1" outline="0" axis="axisRow" fieldPosition="0"/>
    </format>
    <format dxfId="511">
      <pivotArea dataOnly="0" labelOnly="1" outline="0" fieldPosition="0">
        <references count="1">
          <reference field="13" count="0"/>
        </references>
      </pivotArea>
    </format>
    <format dxfId="510">
      <pivotArea dataOnly="0" labelOnly="1" grandRow="1" outline="0" fieldPosition="0"/>
    </format>
    <format dxfId="50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08">
      <pivotArea type="all" dataOnly="0" outline="0" fieldPosition="0"/>
    </format>
    <format dxfId="507">
      <pivotArea outline="0" collapsedLevelsAreSubtotals="1" fieldPosition="0"/>
    </format>
    <format dxfId="506">
      <pivotArea field="13" type="button" dataOnly="0" labelOnly="1" outline="0" axis="axisRow" fieldPosition="0"/>
    </format>
    <format dxfId="505">
      <pivotArea dataOnly="0" labelOnly="1" outline="0" fieldPosition="0">
        <references count="1">
          <reference field="13" count="0"/>
        </references>
      </pivotArea>
    </format>
    <format dxfId="504">
      <pivotArea dataOnly="0" labelOnly="1" grandRow="1" outline="0" fieldPosition="0"/>
    </format>
    <format dxfId="50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02">
      <pivotArea dataOnly="0" outline="0" fieldPosition="0">
        <references count="1">
          <reference field="4294967294" count="1">
            <x v="0"/>
          </reference>
        </references>
      </pivotArea>
    </format>
    <format dxfId="501">
      <pivotArea outline="0" fieldPosition="0">
        <references count="1">
          <reference field="4294967294" count="1" selected="0">
            <x v="0"/>
          </reference>
        </references>
      </pivotArea>
    </format>
    <format dxfId="500">
      <pivotArea dataOnly="0" labelOnly="1" outline="0" fieldPosition="0">
        <references count="1">
          <reference field="5" count="0"/>
        </references>
      </pivotArea>
    </format>
    <format dxfId="4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8">
      <pivotArea outline="0" fieldPosition="0">
        <references count="1">
          <reference field="4294967294" count="1" selected="0">
            <x v="0"/>
          </reference>
        </references>
      </pivotArea>
    </format>
    <format dxfId="497">
      <pivotArea outline="0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D4D65-9C2F-46D8-970A-5FE2B03F8592}" name="PivotTable1" cacheId="16" applyNumberFormats="0" applyBorderFormats="0" applyFontFormats="0" applyPatternFormats="0" applyAlignmentFormats="0" applyWidthHeightFormats="1" dataCaption="Values" grandTotalCaption="Total" updatedVersion="8" minRefreshableVersion="3" showDrill="0" itemPrintTitles="1" createdVersion="8" indent="0" compact="0" compactData="0" multipleFieldFilters="0">
  <location ref="C6:G27" firstHeaderRow="0" firstDataRow="1" firstDataCol="1" rowPageCount="2" colPageCount="1"/>
  <pivotFields count="39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axis="axisPage" compact="0" outline="0" showAll="0">
      <items count="6">
        <item x="1"/>
        <item x="0"/>
        <item x="3"/>
        <item x="4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1">
        <item x="2"/>
        <item x="3"/>
        <item x="9"/>
        <item x="11"/>
        <item x="13"/>
        <item x="1"/>
        <item x="6"/>
        <item x="0"/>
        <item x="12"/>
        <item x="5"/>
        <item x="16"/>
        <item x="4"/>
        <item x="7"/>
        <item x="8"/>
        <item x="10"/>
        <item x="14"/>
        <item x="15"/>
        <item x="17"/>
        <item h="1" x="18"/>
        <item x="19"/>
        <item x="20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3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7" hier="-1"/>
    <pageField fld="5" hier="-1"/>
  </pageFields>
  <dataFields count="4">
    <dataField name="No of GDs" fld="2" subtotal="count" baseField="0" baseItem="0"/>
    <dataField name="Qty (Kg)" fld="6" baseField="0" baseItem="0"/>
    <dataField name="Value (PKR)" fld="15" baseField="0" baseItem="0"/>
    <dataField name="Duty/Taxes" fld="17" baseField="0" baseItem="0"/>
  </dataFields>
  <formats count="26">
    <format dxfId="496">
      <pivotArea outline="0" collapsedLevelsAreSubtotals="1" fieldPosition="0"/>
    </format>
    <format dxfId="495">
      <pivotArea dataOnly="0" labelOnly="1" outline="0" fieldPosition="0">
        <references count="1">
          <reference field="5" count="0"/>
        </references>
      </pivotArea>
    </format>
    <format dxfId="494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93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92">
      <pivotArea type="all" dataOnly="0" outline="0" fieldPosition="0"/>
    </format>
    <format dxfId="491">
      <pivotArea outline="0" collapsedLevelsAreSubtotals="1" fieldPosition="0"/>
    </format>
    <format dxfId="490">
      <pivotArea field="13" type="button" dataOnly="0" labelOnly="1" outline="0" axis="axisRow" fieldPosition="0"/>
    </format>
    <format dxfId="489">
      <pivotArea dataOnly="0" labelOnly="1" outline="0" fieldPosition="0">
        <references count="1">
          <reference field="13" count="0"/>
        </references>
      </pivotArea>
    </format>
    <format dxfId="488">
      <pivotArea dataOnly="0" labelOnly="1" grandRow="1" outline="0" fieldPosition="0"/>
    </format>
    <format dxfId="487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86">
      <pivotArea dataOnly="0" outline="0" fieldPosition="0">
        <references count="2">
          <reference field="4294967294" count="1">
            <x v="0"/>
          </reference>
          <reference field="7" count="1" selected="0">
            <x v="0"/>
          </reference>
        </references>
      </pivotArea>
    </format>
    <format dxfId="485">
      <pivotArea dataOnly="0" outline="0" fieldPosition="0">
        <references count="2">
          <reference field="4294967294" count="1">
            <x v="0"/>
          </reference>
          <reference field="7" count="1" selected="0">
            <x v="0"/>
          </reference>
        </references>
      </pivotArea>
    </format>
    <format dxfId="484">
      <pivotArea type="all" dataOnly="0" outline="0" fieldPosition="0"/>
    </format>
    <format dxfId="483">
      <pivotArea outline="0" collapsedLevelsAreSubtotals="1" fieldPosition="0"/>
    </format>
    <format dxfId="482">
      <pivotArea field="13" type="button" dataOnly="0" labelOnly="1" outline="0" axis="axisRow" fieldPosition="0"/>
    </format>
    <format dxfId="481">
      <pivotArea dataOnly="0" labelOnly="1" outline="0" fieldPosition="0">
        <references count="1">
          <reference field="13" count="0"/>
        </references>
      </pivotArea>
    </format>
    <format dxfId="480">
      <pivotArea dataOnly="0" labelOnly="1" grandRow="1" outline="0" fieldPosition="0"/>
    </format>
    <format dxfId="47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78">
      <pivotArea type="all" dataOnly="0" outline="0" fieldPosition="0"/>
    </format>
    <format dxfId="477">
      <pivotArea outline="0" collapsedLevelsAreSubtotals="1" fieldPosition="0"/>
    </format>
    <format dxfId="476">
      <pivotArea field="13" type="button" dataOnly="0" labelOnly="1" outline="0" axis="axisRow" fieldPosition="0"/>
    </format>
    <format dxfId="475">
      <pivotArea dataOnly="0" labelOnly="1" outline="0" fieldPosition="0">
        <references count="1">
          <reference field="13" count="0"/>
        </references>
      </pivotArea>
    </format>
    <format dxfId="474">
      <pivotArea dataOnly="0" labelOnly="1" grandRow="1" outline="0" fieldPosition="0"/>
    </format>
    <format dxfId="47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9">
      <pivotArea dataOnly="0" outline="0" fieldPosition="0">
        <references count="1">
          <reference field="4294967294" count="1">
            <x v="0"/>
          </reference>
        </references>
      </pivotArea>
    </format>
    <format dxfId="68">
      <pivotArea dataOnly="0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5A616-F180-4A1D-8A67-BA4FF80724F9}" name="PivotTable1" cacheId="16" applyNumberFormats="0" applyBorderFormats="0" applyFontFormats="0" applyPatternFormats="0" applyAlignmentFormats="0" applyWidthHeightFormats="1" dataCaption="Values" grandTotalCaption="Grand Total" updatedVersion="8" minRefreshableVersion="3" showDrill="0" itemPrintTitles="1" createdVersion="8" indent="0" compact="0" compactData="0" multipleFieldFilters="0">
  <location ref="C6:H60" firstHeaderRow="0" firstDataRow="1" firstDataCol="2" rowPageCount="1" colPageCount="1"/>
  <pivotFields count="39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axis="axisRow" compact="0" outline="0" showAll="0">
      <items count="6">
        <item x="0"/>
        <item x="1"/>
        <item x="3"/>
        <item x="4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1">
        <item x="2"/>
        <item x="3"/>
        <item x="9"/>
        <item x="11"/>
        <item x="13"/>
        <item x="1"/>
        <item x="6"/>
        <item x="0"/>
        <item x="12"/>
        <item x="5"/>
        <item x="16"/>
        <item x="4"/>
        <item x="7"/>
        <item x="8"/>
        <item x="10"/>
        <item x="14"/>
        <item x="15"/>
        <item x="17"/>
        <item h="1" x="18"/>
        <item x="19"/>
        <item x="20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7"/>
    <field x="13"/>
  </rowFields>
  <rowItems count="5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default">
      <x v="1"/>
    </i>
    <i>
      <x v="2"/>
      <x/>
    </i>
    <i r="1">
      <x v="1"/>
    </i>
    <i r="1">
      <x v="2"/>
    </i>
    <i r="1">
      <x v="6"/>
    </i>
    <i r="1">
      <x v="8"/>
    </i>
    <i r="1">
      <x v="9"/>
    </i>
    <i r="1">
      <x v="14"/>
    </i>
    <i r="1">
      <x v="15"/>
    </i>
    <i r="1">
      <x v="17"/>
    </i>
    <i r="1">
      <x v="19"/>
    </i>
    <i t="default">
      <x v="2"/>
    </i>
    <i>
      <x v="3"/>
      <x/>
    </i>
    <i r="1">
      <x v="1"/>
    </i>
    <i r="1">
      <x v="5"/>
    </i>
    <i r="1">
      <x v="6"/>
    </i>
    <i r="1">
      <x v="7"/>
    </i>
    <i r="1">
      <x v="8"/>
    </i>
    <i r="1">
      <x v="9"/>
    </i>
    <i r="1">
      <x v="14"/>
    </i>
    <i r="1">
      <x v="15"/>
    </i>
    <i r="1">
      <x v="20"/>
    </i>
    <i t="default"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No of GDs" fld="2" subtotal="count" baseField="0" baseItem="0"/>
    <dataField name="Qty (Kg)" fld="6" baseField="0" baseItem="0"/>
    <dataField name="Value (PKR)" fld="15" baseField="0" baseItem="0"/>
    <dataField name="Duty/Taxes" fld="17" baseField="0" baseItem="0"/>
  </dataFields>
  <formats count="59">
    <format dxfId="472">
      <pivotArea outline="0" collapsedLevelsAreSubtotals="1" fieldPosition="0"/>
    </format>
    <format dxfId="471">
      <pivotArea dataOnly="0" labelOnly="1" outline="0" fieldPosition="0">
        <references count="1">
          <reference field="5" count="0"/>
        </references>
      </pivotArea>
    </format>
    <format dxfId="470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6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68">
      <pivotArea type="all" dataOnly="0" outline="0" fieldPosition="0"/>
    </format>
    <format dxfId="467">
      <pivotArea outline="0" collapsedLevelsAreSubtotals="1" fieldPosition="0"/>
    </format>
    <format dxfId="466">
      <pivotArea field="13" type="button" dataOnly="0" labelOnly="1" outline="0" axis="axisRow" fieldPosition="1"/>
    </format>
    <format dxfId="465">
      <pivotArea dataOnly="0" labelOnly="1" outline="0" fieldPosition="0">
        <references count="1">
          <reference field="13" count="0"/>
        </references>
      </pivotArea>
    </format>
    <format dxfId="464">
      <pivotArea dataOnly="0" labelOnly="1" grandRow="1" outline="0" fieldPosition="0"/>
    </format>
    <format dxfId="463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62">
      <pivotArea dataOnly="0" outline="0" fieldPosition="0">
        <references count="2">
          <reference field="4294967294" count="1">
            <x v="0"/>
          </reference>
          <reference field="7" count="1" selected="0">
            <x v="1"/>
          </reference>
        </references>
      </pivotArea>
    </format>
    <format dxfId="461">
      <pivotArea type="all" dataOnly="0" outline="0" fieldPosition="0"/>
    </format>
    <format dxfId="460">
      <pivotArea outline="0" collapsedLevelsAreSubtotals="1" fieldPosition="0"/>
    </format>
    <format dxfId="459">
      <pivotArea field="13" type="button" dataOnly="0" labelOnly="1" outline="0" axis="axisRow" fieldPosition="1"/>
    </format>
    <format dxfId="458">
      <pivotArea dataOnly="0" labelOnly="1" outline="0" fieldPosition="0">
        <references count="1">
          <reference field="13" count="0"/>
        </references>
      </pivotArea>
    </format>
    <format dxfId="457">
      <pivotArea dataOnly="0" labelOnly="1" grandRow="1" outline="0" fieldPosition="0"/>
    </format>
    <format dxfId="4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5">
      <pivotArea type="all" dataOnly="0" outline="0" fieldPosition="0"/>
    </format>
    <format dxfId="454">
      <pivotArea outline="0" collapsedLevelsAreSubtotals="1" fieldPosition="0"/>
    </format>
    <format dxfId="453">
      <pivotArea field="13" type="button" dataOnly="0" labelOnly="1" outline="0" axis="axisRow" fieldPosition="1"/>
    </format>
    <format dxfId="452">
      <pivotArea dataOnly="0" labelOnly="1" outline="0" fieldPosition="0">
        <references count="1">
          <reference field="13" count="0"/>
        </references>
      </pivotArea>
    </format>
    <format dxfId="451">
      <pivotArea dataOnly="0" labelOnly="1" grandRow="1" outline="0" fieldPosition="0"/>
    </format>
    <format dxfId="45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49">
      <pivotArea dataOnly="0" outline="0" fieldPosition="0">
        <references count="1">
          <reference field="4294967294" count="1">
            <x v="0"/>
          </reference>
        </references>
      </pivotArea>
    </format>
    <format dxfId="448">
      <pivotArea dataOnly="0" outline="0" fieldPosition="0">
        <references count="1">
          <reference field="4294967294" count="1">
            <x v="0"/>
          </reference>
        </references>
      </pivotArea>
    </format>
    <format dxfId="447">
      <pivotArea dataOnly="0" outline="0" fieldPosition="0">
        <references count="1">
          <reference field="4294967294" count="1">
            <x v="0"/>
          </reference>
        </references>
      </pivotArea>
    </format>
    <format dxfId="446">
      <pivotArea outline="0" fieldPosition="0">
        <references count="1">
          <reference field="7" count="1" selected="0" defaultSubtotal="1">
            <x v="1"/>
          </reference>
        </references>
      </pivotArea>
    </format>
    <format dxfId="445">
      <pivotArea dataOnly="0" labelOnly="1" outline="0" fieldPosition="0">
        <references count="1">
          <reference field="7" count="1" defaultSubtotal="1">
            <x v="1"/>
          </reference>
        </references>
      </pivotArea>
    </format>
    <format dxfId="444">
      <pivotArea outline="0" fieldPosition="0">
        <references count="1">
          <reference field="7" count="1" selected="0" defaultSubtotal="1">
            <x v="0"/>
          </reference>
        </references>
      </pivotArea>
    </format>
    <format dxfId="443">
      <pivotArea dataOnly="0" labelOnly="1" outline="0" fieldPosition="0">
        <references count="1">
          <reference field="7" count="1" defaultSubtotal="1">
            <x v="0"/>
          </reference>
        </references>
      </pivotArea>
    </format>
    <format dxfId="442">
      <pivotArea outline="0" fieldPosition="0">
        <references count="1">
          <reference field="7" count="1" selected="0" defaultSubtotal="1">
            <x v="2"/>
          </reference>
        </references>
      </pivotArea>
    </format>
    <format dxfId="441">
      <pivotArea dataOnly="0" labelOnly="1" outline="0" fieldPosition="0">
        <references count="1">
          <reference field="7" count="1" defaultSubtotal="1">
            <x v="2"/>
          </reference>
        </references>
      </pivotArea>
    </format>
    <format dxfId="440">
      <pivotArea outline="0" fieldPosition="0">
        <references count="1">
          <reference field="7" count="1" selected="0" defaultSubtotal="1">
            <x v="3"/>
          </reference>
        </references>
      </pivotArea>
    </format>
    <format dxfId="439">
      <pivotArea dataOnly="0" labelOnly="1" outline="0" fieldPosition="0">
        <references count="1">
          <reference field="7" count="1" defaultSubtotal="1">
            <x v="3"/>
          </reference>
        </references>
      </pivotArea>
    </format>
    <format dxfId="438">
      <pivotArea outline="0" fieldPosition="0">
        <references count="1">
          <reference field="7" count="1" selected="0" defaultSubtotal="1">
            <x v="1"/>
          </reference>
        </references>
      </pivotArea>
    </format>
    <format dxfId="437">
      <pivotArea dataOnly="0" labelOnly="1" outline="0" fieldPosition="0">
        <references count="1">
          <reference field="7" count="1" defaultSubtotal="1">
            <x v="1"/>
          </reference>
        </references>
      </pivotArea>
    </format>
    <format dxfId="436">
      <pivotArea outline="0" fieldPosition="0">
        <references count="1">
          <reference field="7" count="1" selected="0" defaultSubtotal="1">
            <x v="1"/>
          </reference>
        </references>
      </pivotArea>
    </format>
    <format dxfId="435">
      <pivotArea dataOnly="0" labelOnly="1" outline="0" fieldPosition="0">
        <references count="1">
          <reference field="7" count="1" defaultSubtotal="1">
            <x v="1"/>
          </reference>
        </references>
      </pivotArea>
    </format>
    <format dxfId="434">
      <pivotArea outline="0" fieldPosition="0">
        <references count="1">
          <reference field="7" count="1" selected="0" defaultSubtotal="1">
            <x v="0"/>
          </reference>
        </references>
      </pivotArea>
    </format>
    <format dxfId="433">
      <pivotArea dataOnly="0" labelOnly="1" outline="0" fieldPosition="0">
        <references count="1">
          <reference field="7" count="1" defaultSubtotal="1">
            <x v="0"/>
          </reference>
        </references>
      </pivotArea>
    </format>
    <format dxfId="432">
      <pivotArea outline="0" fieldPosition="0">
        <references count="1">
          <reference field="7" count="1" selected="0" defaultSubtotal="1">
            <x v="0"/>
          </reference>
        </references>
      </pivotArea>
    </format>
    <format dxfId="431">
      <pivotArea dataOnly="0" labelOnly="1" outline="0" fieldPosition="0">
        <references count="1">
          <reference field="7" count="1" defaultSubtotal="1">
            <x v="0"/>
          </reference>
        </references>
      </pivotArea>
    </format>
    <format dxfId="430">
      <pivotArea outline="0" fieldPosition="0">
        <references count="1">
          <reference field="7" count="1" selected="0" defaultSubtotal="1">
            <x v="2"/>
          </reference>
        </references>
      </pivotArea>
    </format>
    <format dxfId="429">
      <pivotArea dataOnly="0" labelOnly="1" outline="0" fieldPosition="0">
        <references count="1">
          <reference field="7" count="1" defaultSubtotal="1">
            <x v="2"/>
          </reference>
        </references>
      </pivotArea>
    </format>
    <format dxfId="428">
      <pivotArea outline="0" fieldPosition="0">
        <references count="1">
          <reference field="7" count="1" selected="0" defaultSubtotal="1">
            <x v="2"/>
          </reference>
        </references>
      </pivotArea>
    </format>
    <format dxfId="427">
      <pivotArea dataOnly="0" labelOnly="1" outline="0" fieldPosition="0">
        <references count="1">
          <reference field="7" count="1" defaultSubtotal="1">
            <x v="2"/>
          </reference>
        </references>
      </pivotArea>
    </format>
    <format dxfId="426">
      <pivotArea outline="0" fieldPosition="0">
        <references count="1">
          <reference field="7" count="1" selected="0" defaultSubtotal="1">
            <x v="3"/>
          </reference>
        </references>
      </pivotArea>
    </format>
    <format dxfId="425">
      <pivotArea dataOnly="0" labelOnly="1" outline="0" fieldPosition="0">
        <references count="1">
          <reference field="7" count="1" defaultSubtotal="1">
            <x v="3"/>
          </reference>
        </references>
      </pivotArea>
    </format>
    <format dxfId="424">
      <pivotArea outline="0" fieldPosition="0">
        <references count="1">
          <reference field="7" count="1" selected="0" defaultSubtotal="1">
            <x v="3"/>
          </reference>
        </references>
      </pivotArea>
    </format>
    <format dxfId="423">
      <pivotArea dataOnly="0" labelOnly="1" outline="0" fieldPosition="0">
        <references count="1">
          <reference field="7" count="1" defaultSubtotal="1">
            <x v="3"/>
          </reference>
        </references>
      </pivotArea>
    </format>
    <format dxfId="422">
      <pivotArea dataOnly="0" labelOnly="1" grandRow="1" outline="0" fieldPosition="0"/>
    </format>
    <format dxfId="421">
      <pivotArea grandRow="1" outline="0" collapsedLevelsAreSubtotals="1" fieldPosition="0"/>
    </format>
    <format dxfId="420">
      <pivotArea dataOnly="0" labelOnly="1" grandRow="1" outline="0" fieldPosition="0"/>
    </format>
    <format dxfId="419">
      <pivotArea grandRow="1" outline="0" collapsedLevelsAreSubtotals="1" fieldPosition="0"/>
    </format>
    <format dxfId="67">
      <pivotArea outline="0" fieldPosition="0">
        <references count="1">
          <reference field="7" count="1" selected="0" defaultSubtotal="1">
            <x v="1"/>
          </reference>
        </references>
      </pivotArea>
    </format>
    <format dxfId="66">
      <pivotArea outline="0" fieldPosition="0">
        <references count="1">
          <reference field="7" count="1" selected="0" defaultSubtotal="1">
            <x v="0"/>
          </reference>
        </references>
      </pivotArea>
    </format>
    <format dxfId="65">
      <pivotArea outline="0" fieldPosition="0">
        <references count="1">
          <reference field="7" count="1" selected="0" defaultSubtotal="1">
            <x v="2"/>
          </reference>
        </references>
      </pivotArea>
    </format>
    <format dxfId="64">
      <pivotArea outline="0" fieldPosition="0">
        <references count="1">
          <reference field="7" count="1" selected="0" defaultSubtotal="1">
            <x v="3"/>
          </reference>
        </references>
      </pivotArea>
    </format>
    <format dxfId="6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EED87B-4E6F-47E7-A261-C8DEBC6DB688}" name="PivotTable1" cacheId="16" applyNumberFormats="0" applyBorderFormats="0" applyFontFormats="0" applyPatternFormats="0" applyAlignmentFormats="0" applyWidthHeightFormats="1" dataCaption="Values" grandTotalCaption="Total" updatedVersion="8" minRefreshableVersion="3" showDrill="0" itemPrintTitles="1" createdVersion="8" indent="0" compact="0" compactData="0" multipleFieldFilters="0">
  <location ref="C7:G19" firstHeaderRow="0" firstDataRow="1" firstDataCol="1" rowPageCount="2" colPageCount="1"/>
  <pivotFields count="39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axis="axisPage" compact="0" outline="0" showAll="0">
      <items count="6">
        <item x="1"/>
        <item x="0"/>
        <item x="3"/>
        <item x="4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1">
        <item x="2"/>
        <item x="3"/>
        <item x="9"/>
        <item x="11"/>
        <item x="13"/>
        <item x="1"/>
        <item x="6"/>
        <item x="0"/>
        <item x="12"/>
        <item x="5"/>
        <item x="16"/>
        <item x="4"/>
        <item x="7"/>
        <item x="8"/>
        <item x="10"/>
        <item x="14"/>
        <item x="15"/>
        <item x="17"/>
        <item h="1" x="18"/>
        <item x="19"/>
        <item x="20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7" item="0" hier="-1"/>
    <pageField fld="5" hier="-1"/>
  </pageFields>
  <dataFields count="4">
    <dataField name="No of GDs" fld="2" subtotal="count" baseField="0" baseItem="0"/>
    <dataField name="Qty (Kg)" fld="6" baseField="0" baseItem="0"/>
    <dataField name="Value (PKR)" fld="15" baseField="0" baseItem="0"/>
    <dataField name="Duty/Taxes" fld="17" baseField="0" baseItem="0"/>
  </dataFields>
  <formats count="24">
    <format dxfId="418">
      <pivotArea outline="0" collapsedLevelsAreSubtotals="1" fieldPosition="0"/>
    </format>
    <format dxfId="417">
      <pivotArea dataOnly="0" labelOnly="1" outline="0" fieldPosition="0">
        <references count="1">
          <reference field="5" count="0"/>
        </references>
      </pivotArea>
    </format>
    <format dxfId="416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15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field="13" type="button" dataOnly="0" labelOnly="1" outline="0" axis="axisRow" fieldPosition="0"/>
    </format>
    <format dxfId="411">
      <pivotArea dataOnly="0" labelOnly="1" outline="0" fieldPosition="0">
        <references count="1">
          <reference field="13" count="0"/>
        </references>
      </pivotArea>
    </format>
    <format dxfId="410">
      <pivotArea dataOnly="0" labelOnly="1" grandRow="1" outline="0" fieldPosition="0"/>
    </format>
    <format dxfId="40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08">
      <pivotArea dataOnly="0" outline="0" fieldPosition="0">
        <references count="2">
          <reference field="4294967294" count="1">
            <x v="0"/>
          </reference>
          <reference field="7" count="1" selected="0">
            <x v="0"/>
          </reference>
        </references>
      </pivotArea>
    </format>
    <format dxfId="407">
      <pivotArea dataOnly="0" outline="0" fieldPosition="0">
        <references count="2">
          <reference field="4294967294" count="1">
            <x v="0"/>
          </reference>
          <reference field="7" count="1" selected="0">
            <x v="0"/>
          </reference>
        </references>
      </pivotArea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field="13" type="button" dataOnly="0" labelOnly="1" outline="0" axis="axisRow" fieldPosition="0"/>
    </format>
    <format dxfId="403">
      <pivotArea dataOnly="0" labelOnly="1" outline="0" fieldPosition="0">
        <references count="1">
          <reference field="13" count="0"/>
        </references>
      </pivotArea>
    </format>
    <format dxfId="402">
      <pivotArea dataOnly="0" labelOnly="1" grandRow="1" outline="0" fieldPosition="0"/>
    </format>
    <format dxfId="40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13" type="button" dataOnly="0" labelOnly="1" outline="0" axis="axisRow" fieldPosition="0"/>
    </format>
    <format dxfId="397">
      <pivotArea dataOnly="0" labelOnly="1" outline="0" fieldPosition="0">
        <references count="1">
          <reference field="13" count="0"/>
        </references>
      </pivotArea>
    </format>
    <format dxfId="396">
      <pivotArea dataOnly="0" labelOnly="1" grandRow="1" outline="0" fieldPosition="0"/>
    </format>
    <format dxfId="39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CB9BE1-6F87-48BC-8E6A-99E25D9C09A0}" name="PivotTable2" cacheId="14" applyNumberFormats="0" applyBorderFormats="0" applyFontFormats="0" applyPatternFormats="0" applyAlignmentFormats="0" applyWidthHeightFormats="1" dataCaption="Values" updatedVersion="8" minRefreshableVersion="3" showDrill="0" itemPrintTitles="1" createdVersion="8" indent="0" compact="0" compactData="0" multipleFieldFilters="0" chartFormat="4">
  <location ref="C8:H166" firstHeaderRow="0" firstDataRow="1" firstDataCol="3" rowPageCount="2" colPageCount="1"/>
  <pivotFields count="39">
    <pivotField axis="axisRow" compact="0" outline="0" showAll="0" defaultSubtotal="0">
      <items count="8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35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m="1" x="840"/>
        <item m="1" x="841"/>
        <item m="1" x="842"/>
        <item m="1" x="843"/>
        <item m="1" x="844"/>
        <item m="1" x="845"/>
        <item m="1" x="846"/>
        <item m="1" x="837"/>
        <item m="1" x="838"/>
        <item m="1" x="839"/>
        <item x="836"/>
      </items>
    </pivotField>
    <pivotField compact="0" outline="0" showAll="0"/>
    <pivotField axis="axisRow" compact="0" outline="0" showAll="0">
      <items count="2017">
        <item x="609"/>
        <item x="612"/>
        <item x="567"/>
        <item x="618"/>
        <item x="625"/>
        <item x="635"/>
        <item x="636"/>
        <item x="569"/>
        <item x="651"/>
        <item x="656"/>
        <item x="657"/>
        <item x="659"/>
        <item x="662"/>
        <item x="665"/>
        <item x="684"/>
        <item x="686"/>
        <item x="697"/>
        <item x="694"/>
        <item x="588"/>
        <item x="750"/>
        <item x="767"/>
        <item x="769"/>
        <item x="598"/>
        <item x="601"/>
        <item x="603"/>
        <item x="746"/>
        <item x="748"/>
        <item x="749"/>
        <item x="755"/>
        <item x="754"/>
        <item x="756"/>
        <item x="757"/>
        <item x="758"/>
        <item x="759"/>
        <item x="760"/>
        <item x="594"/>
        <item x="764"/>
        <item x="768"/>
        <item x="778"/>
        <item x="777"/>
        <item x="771"/>
        <item x="779"/>
        <item x="781"/>
        <item x="784"/>
        <item x="786"/>
        <item x="787"/>
        <item x="789"/>
        <item x="790"/>
        <item x="793"/>
        <item x="794"/>
        <item x="795"/>
        <item x="798"/>
        <item x="595"/>
        <item x="597"/>
        <item x="596"/>
        <item x="600"/>
        <item x="599"/>
        <item x="606"/>
        <item x="610"/>
        <item x="615"/>
        <item x="616"/>
        <item x="622"/>
        <item x="626"/>
        <item x="638"/>
        <item x="643"/>
        <item x="645"/>
        <item x="650"/>
        <item x="654"/>
        <item x="658"/>
        <item x="664"/>
        <item x="661"/>
        <item x="666"/>
        <item x="667"/>
        <item x="671"/>
        <item x="668"/>
        <item x="672"/>
        <item x="670"/>
        <item x="572"/>
        <item x="674"/>
        <item x="676"/>
        <item x="675"/>
        <item x="683"/>
        <item x="687"/>
        <item x="579"/>
        <item x="688"/>
        <item x="689"/>
        <item x="690"/>
        <item x="691"/>
        <item x="692"/>
        <item x="693"/>
        <item x="696"/>
        <item x="698"/>
        <item x="700"/>
        <item x="701"/>
        <item x="703"/>
        <item x="709"/>
        <item x="713"/>
        <item x="714"/>
        <item x="715"/>
        <item x="712"/>
        <item x="721"/>
        <item x="718"/>
        <item x="726"/>
        <item x="733"/>
        <item x="737"/>
        <item x="586"/>
        <item x="739"/>
        <item x="699"/>
        <item x="583"/>
        <item x="582"/>
        <item x="702"/>
        <item x="705"/>
        <item x="704"/>
        <item x="584"/>
        <item x="707"/>
        <item x="710"/>
        <item x="706"/>
        <item x="716"/>
        <item x="711"/>
        <item x="717"/>
        <item x="719"/>
        <item x="720"/>
        <item x="722"/>
        <item x="589"/>
        <item x="585"/>
        <item x="587"/>
        <item x="725"/>
        <item x="724"/>
        <item x="727"/>
        <item x="728"/>
        <item x="591"/>
        <item x="590"/>
        <item x="732"/>
        <item x="734"/>
        <item x="735"/>
        <item x="736"/>
        <item x="592"/>
        <item x="740"/>
        <item x="741"/>
        <item x="593"/>
        <item x="742"/>
        <item x="743"/>
        <item x="744"/>
        <item x="745"/>
        <item x="751"/>
        <item x="752"/>
        <item x="761"/>
        <item x="762"/>
        <item x="765"/>
        <item x="763"/>
        <item x="766"/>
        <item x="776"/>
        <item x="772"/>
        <item x="773"/>
        <item x="774"/>
        <item x="775"/>
        <item x="780"/>
        <item x="783"/>
        <item x="785"/>
        <item x="792"/>
        <item x="796"/>
        <item x="797"/>
        <item x="602"/>
        <item x="607"/>
        <item x="617"/>
        <item x="620"/>
        <item x="629"/>
        <item x="628"/>
        <item x="627"/>
        <item x="630"/>
        <item x="632"/>
        <item x="634"/>
        <item x="637"/>
        <item x="639"/>
        <item x="640"/>
        <item x="642"/>
        <item x="568"/>
        <item x="644"/>
        <item x="646"/>
        <item x="649"/>
        <item x="648"/>
        <item x="653"/>
        <item x="655"/>
        <item x="578"/>
        <item x="663"/>
        <item x="669"/>
        <item x="673"/>
        <item x="573"/>
        <item x="580"/>
        <item x="581"/>
        <item x="677"/>
        <item x="680"/>
        <item x="679"/>
        <item x="678"/>
        <item x="681"/>
        <item x="682"/>
        <item x="652"/>
        <item x="574"/>
        <item x="685"/>
        <item x="695"/>
        <item x="723"/>
        <item x="747"/>
        <item x="753"/>
        <item x="770"/>
        <item x="791"/>
        <item x="729"/>
        <item x="730"/>
        <item x="731"/>
        <item x="799"/>
        <item x="608"/>
        <item x="611"/>
        <item x="613"/>
        <item x="614"/>
        <item x="619"/>
        <item x="621"/>
        <item x="624"/>
        <item x="623"/>
        <item x="631"/>
        <item x="633"/>
        <item x="641"/>
        <item x="647"/>
        <item x="570"/>
        <item x="571"/>
        <item x="577"/>
        <item x="660"/>
        <item x="708"/>
        <item x="738"/>
        <item x="782"/>
        <item x="788"/>
        <item x="800"/>
        <item x="605"/>
        <item x="6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75"/>
        <item x="576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165"/>
        <item x="1166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m="1" x="1933"/>
        <item m="1" x="1871"/>
        <item m="1" x="1949"/>
        <item m="1" x="1882"/>
        <item m="1" x="1891"/>
        <item m="1" x="1901"/>
        <item m="1" x="1959"/>
        <item m="1" x="1973"/>
        <item m="1" x="1983"/>
        <item m="1" x="1976"/>
        <item m="1" x="1984"/>
        <item m="1" x="1928"/>
        <item m="1" x="1867"/>
        <item m="1" x="1876"/>
        <item m="1" x="1951"/>
        <item m="1" x="1892"/>
        <item m="1" x="1877"/>
        <item m="1" x="1909"/>
        <item m="1" x="1894"/>
        <item m="1" x="1908"/>
        <item m="1" x="1893"/>
        <item m="1" x="1965"/>
        <item m="1" x="1958"/>
        <item m="1" x="1878"/>
        <item m="1" x="1944"/>
        <item m="1" x="1914"/>
        <item m="1" x="1985"/>
        <item m="1" x="1935"/>
        <item m="1" x="1990"/>
        <item m="1" x="1868"/>
        <item m="1" x="2015"/>
        <item m="1" x="1872"/>
        <item m="1" x="1895"/>
        <item m="1" x="1979"/>
        <item m="1" x="1902"/>
        <item m="1" x="1980"/>
        <item m="1" x="1919"/>
        <item m="1" x="1931"/>
        <item m="1" x="1978"/>
        <item m="1" x="1930"/>
        <item m="1" x="1938"/>
        <item m="1" x="1945"/>
        <item m="1" x="1865"/>
        <item m="1" x="2011"/>
        <item m="1" x="1946"/>
        <item m="1" x="1974"/>
        <item m="1" x="1885"/>
        <item m="1" x="1906"/>
        <item m="1" x="1886"/>
        <item m="1" x="1890"/>
        <item m="1" x="1925"/>
        <item m="1" x="1915"/>
        <item m="1" x="1921"/>
        <item m="1" x="2003"/>
        <item m="1" x="1997"/>
        <item m="1" x="1948"/>
        <item m="1" x="2014"/>
        <item m="1" x="1953"/>
        <item m="1" x="1932"/>
        <item m="1" x="1936"/>
        <item m="1" x="2006"/>
        <item m="1" x="2012"/>
        <item m="1" x="1862"/>
        <item m="1" x="2010"/>
        <item m="1" x="1947"/>
        <item m="1" x="1942"/>
        <item m="1" x="1961"/>
        <item m="1" x="1879"/>
        <item m="1" x="1896"/>
        <item m="1" x="1968"/>
        <item m="1" x="1967"/>
        <item m="1" x="1884"/>
        <item m="1" x="1881"/>
        <item m="1" x="1957"/>
        <item m="1" x="1873"/>
        <item m="1" x="1955"/>
        <item m="1" x="1907"/>
        <item m="1" x="1975"/>
        <item m="1" x="1903"/>
        <item m="1" x="1971"/>
        <item m="1" x="1898"/>
        <item m="1" x="1920"/>
        <item m="1" x="1917"/>
        <item m="1" x="1982"/>
        <item m="1" x="2007"/>
        <item m="1" x="1934"/>
        <item m="1" x="1996"/>
        <item m="1" x="1897"/>
        <item m="1" x="1923"/>
        <item m="1" x="1924"/>
        <item m="1" x="1998"/>
        <item m="1" x="2013"/>
        <item m="1" x="1962"/>
        <item m="1" x="1972"/>
        <item m="1" x="1899"/>
        <item m="1" x="1999"/>
        <item m="1" x="1870"/>
        <item m="1" x="1912"/>
        <item m="1" x="1913"/>
        <item m="1" x="1995"/>
        <item m="1" x="2001"/>
        <item m="1" x="2005"/>
        <item m="1" x="1954"/>
        <item m="1" x="1943"/>
        <item m="1" x="1866"/>
        <item m="1" x="1969"/>
        <item m="1" x="1889"/>
        <item x="801"/>
        <item x="802"/>
        <item x="803"/>
        <item x="804"/>
        <item x="1077"/>
        <item x="1078"/>
        <item x="1079"/>
        <item x="1080"/>
        <item x="1081"/>
        <item x="1082"/>
        <item x="1083"/>
        <item x="1167"/>
        <item m="1" x="1960"/>
        <item m="1" x="1956"/>
        <item m="1" x="1966"/>
        <item m="1" x="1986"/>
        <item m="1" x="1922"/>
        <item m="1" x="1916"/>
        <item m="1" x="1861"/>
        <item m="1" x="2000"/>
        <item m="1" x="1940"/>
        <item m="1" x="1869"/>
        <item m="1" x="1883"/>
        <item m="1" x="1952"/>
        <item m="1" x="1887"/>
        <item m="1" x="1910"/>
        <item m="1" x="1888"/>
        <item m="1" x="1977"/>
        <item m="1" x="1904"/>
        <item m="1" x="2009"/>
        <item m="1" x="1863"/>
        <item m="1" x="1991"/>
        <item m="1" x="1963"/>
        <item m="1" x="1874"/>
        <item m="1" x="1970"/>
        <item m="1" x="1905"/>
        <item m="1" x="1911"/>
        <item m="1" x="1987"/>
        <item m="1" x="1926"/>
        <item m="1" x="1939"/>
        <item m="1" x="1864"/>
        <item m="1" x="1880"/>
        <item m="1" x="1964"/>
        <item m="1" x="1994"/>
        <item m="1" x="1927"/>
        <item m="1" x="1988"/>
        <item m="1" x="1918"/>
        <item m="1" x="1941"/>
        <item m="1" x="2002"/>
        <item m="1" x="1929"/>
        <item m="1" x="1992"/>
        <item m="1" x="1981"/>
        <item m="1" x="1993"/>
        <item m="1" x="1989"/>
        <item m="1" x="1900"/>
        <item m="1" x="2008"/>
        <item m="1" x="2004"/>
        <item m="1" x="1937"/>
        <item m="1" x="1875"/>
        <item m="1" x="1950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8"/>
        <item x="1169"/>
        <item x="1170"/>
        <item t="default"/>
      </items>
    </pivotField>
    <pivotField compact="0" outline="0" showAll="0"/>
    <pivotField compact="0" outline="0" showAll="0"/>
    <pivotField axis="axisPage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axis="axisPage" compact="0" outline="0" showAll="0">
      <items count="6">
        <item x="1"/>
        <item x="0"/>
        <item x="3"/>
        <item x="4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1">
        <item h="1" x="2"/>
        <item h="1" x="3"/>
        <item h="1" x="9"/>
        <item h="1" x="11"/>
        <item h="1" x="13"/>
        <item x="1"/>
        <item h="1" x="6"/>
        <item x="0"/>
        <item x="12"/>
        <item x="5"/>
        <item h="1" x="16"/>
        <item h="1" x="4"/>
        <item h="1" x="7"/>
        <item h="1" x="8"/>
        <item h="1" x="10"/>
        <item h="1" x="14"/>
        <item h="1" x="15"/>
        <item h="1" x="17"/>
        <item h="1" x="18"/>
        <item h="1" x="19"/>
        <item h="1" x="20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13"/>
    <field x="0"/>
    <field x="2"/>
  </rowFields>
  <rowItems count="158">
    <i>
      <x v="5"/>
      <x v="582"/>
      <x v="189"/>
    </i>
    <i r="1">
      <x v="589"/>
      <x v="18"/>
    </i>
    <i r="1">
      <x v="593"/>
      <x v="136"/>
    </i>
    <i r="1">
      <x v="611"/>
      <x v="58"/>
    </i>
    <i r="1">
      <x v="613"/>
      <x v="1"/>
    </i>
    <i r="1">
      <x v="619"/>
      <x v="3"/>
    </i>
    <i r="1">
      <x v="650"/>
      <x v="179"/>
    </i>
    <i r="1">
      <x v="651"/>
      <x v="66"/>
    </i>
    <i r="1">
      <x v="658"/>
      <x v="10"/>
    </i>
    <i r="1">
      <x v="740"/>
      <x v="106"/>
    </i>
    <i r="1">
      <x v="746"/>
      <x v="143"/>
    </i>
    <i r="1">
      <x v="794"/>
      <x v="48"/>
    </i>
    <i r="1">
      <x v="799"/>
      <x v="51"/>
    </i>
    <i r="1">
      <x v="802"/>
      <x v="1913"/>
    </i>
    <i r="1">
      <x v="804"/>
      <x v="1809"/>
    </i>
    <i r="1">
      <x v="809"/>
      <x v="1870"/>
    </i>
    <i>
      <x v="7"/>
      <x v="568"/>
      <x v="2"/>
    </i>
    <i r="1">
      <x v="571"/>
      <x v="221"/>
    </i>
    <i r="1">
      <x v="572"/>
      <x v="222"/>
    </i>
    <i r="1">
      <x v="578"/>
      <x v="223"/>
    </i>
    <i r="1">
      <x v="605"/>
      <x v="231"/>
    </i>
    <i r="1">
      <x v="606"/>
      <x v="230"/>
    </i>
    <i r="1">
      <x v="609"/>
      <x v="209"/>
    </i>
    <i r="1">
      <x v="610"/>
      <x/>
    </i>
    <i r="1">
      <x v="612"/>
      <x v="210"/>
    </i>
    <i r="1">
      <x v="614"/>
      <x v="211"/>
    </i>
    <i r="1">
      <x v="615"/>
      <x v="212"/>
    </i>
    <i r="1">
      <x v="621"/>
      <x v="165"/>
    </i>
    <i r="1">
      <x v="622"/>
      <x v="214"/>
    </i>
    <i r="1">
      <x v="624"/>
      <x v="216"/>
    </i>
    <i r="1">
      <x v="625"/>
      <x v="215"/>
    </i>
    <i r="1">
      <x v="631"/>
      <x v="169"/>
    </i>
    <i r="1">
      <x v="632"/>
      <x v="217"/>
    </i>
    <i r="1">
      <x v="634"/>
      <x v="218"/>
    </i>
    <i r="1">
      <x v="645"/>
      <x v="177"/>
    </i>
    <i r="1">
      <x v="648"/>
      <x v="220"/>
    </i>
    <i r="1">
      <x v="656"/>
      <x v="182"/>
    </i>
    <i r="1">
      <x v="661"/>
      <x v="224"/>
    </i>
    <i r="1">
      <x v="709"/>
      <x v="225"/>
    </i>
    <i r="1">
      <x v="739"/>
      <x v="226"/>
    </i>
    <i r="1">
      <x v="765"/>
      <x v="36"/>
    </i>
    <i r="1">
      <x v="769"/>
      <x v="37"/>
    </i>
    <i r="1">
      <x v="783"/>
      <x v="227"/>
    </i>
    <i r="1">
      <x v="789"/>
      <x v="228"/>
    </i>
    <i r="1">
      <x v="797"/>
      <x v="160"/>
    </i>
    <i r="1">
      <x v="798"/>
      <x v="161"/>
    </i>
    <i r="1">
      <x v="801"/>
      <x v="229"/>
    </i>
    <i r="1">
      <x v="802"/>
      <x v="1903"/>
    </i>
    <i r="2">
      <x v="1910"/>
    </i>
    <i r="2">
      <x v="1911"/>
    </i>
    <i r="2">
      <x v="1925"/>
    </i>
    <i>
      <x v="8"/>
      <x v="573"/>
      <x v="77"/>
    </i>
    <i r="1">
      <x v="575"/>
      <x v="197"/>
    </i>
    <i r="1">
      <x v="587"/>
      <x v="105"/>
    </i>
    <i r="1">
      <x v="588"/>
      <x v="125"/>
    </i>
    <i r="1">
      <x v="595"/>
      <x v="35"/>
    </i>
    <i r="1">
      <x v="597"/>
      <x v="54"/>
    </i>
    <i r="1">
      <x v="598"/>
      <x v="53"/>
    </i>
    <i r="1">
      <x v="600"/>
      <x v="56"/>
    </i>
    <i r="1">
      <x v="617"/>
      <x v="60"/>
    </i>
    <i r="1">
      <x v="620"/>
      <x v="213"/>
    </i>
    <i r="1">
      <x v="623"/>
      <x v="61"/>
    </i>
    <i r="1">
      <x v="627"/>
      <x v="62"/>
    </i>
    <i r="1">
      <x v="642"/>
      <x v="219"/>
    </i>
    <i r="1">
      <x v="647"/>
      <x v="178"/>
    </i>
    <i r="1">
      <x v="659"/>
      <x v="68"/>
    </i>
    <i r="1">
      <x v="662"/>
      <x v="70"/>
    </i>
    <i r="1">
      <x v="667"/>
      <x v="71"/>
    </i>
    <i r="1">
      <x v="668"/>
      <x v="72"/>
    </i>
    <i r="1">
      <x v="670"/>
      <x v="185"/>
    </i>
    <i r="1">
      <x v="671"/>
      <x v="76"/>
    </i>
    <i r="1">
      <x v="673"/>
      <x v="75"/>
    </i>
    <i r="1">
      <x v="675"/>
      <x v="78"/>
    </i>
    <i r="1">
      <x v="676"/>
      <x v="80"/>
    </i>
    <i r="1">
      <x v="677"/>
      <x v="79"/>
    </i>
    <i r="1">
      <x v="680"/>
      <x v="192"/>
    </i>
    <i r="1">
      <x v="681"/>
      <x v="191"/>
    </i>
    <i r="1">
      <x v="682"/>
      <x v="194"/>
    </i>
    <i r="1">
      <x v="685"/>
      <x v="14"/>
    </i>
    <i r="1">
      <x v="689"/>
      <x v="84"/>
    </i>
    <i r="1">
      <x v="700"/>
      <x v="107"/>
    </i>
    <i r="1">
      <x v="701"/>
      <x v="92"/>
    </i>
    <i r="1">
      <x v="702"/>
      <x v="93"/>
    </i>
    <i r="1">
      <x v="704"/>
      <x v="94"/>
    </i>
    <i r="1">
      <x v="707"/>
      <x v="116"/>
    </i>
    <i r="1">
      <x v="711"/>
      <x v="115"/>
    </i>
    <i r="1">
      <x v="714"/>
      <x v="96"/>
    </i>
    <i r="1">
      <x v="715"/>
      <x v="97"/>
    </i>
    <i r="1">
      <x v="717"/>
      <x v="117"/>
    </i>
    <i r="1">
      <x v="718"/>
      <x v="119"/>
    </i>
    <i r="1">
      <x v="719"/>
      <x v="101"/>
    </i>
    <i r="1">
      <x v="722"/>
      <x v="100"/>
    </i>
    <i r="1">
      <x v="733"/>
      <x v="132"/>
    </i>
    <i r="1">
      <x v="741"/>
      <x v="137"/>
    </i>
    <i r="1">
      <x v="742"/>
      <x v="138"/>
    </i>
    <i r="1">
      <x v="749"/>
      <x v="26"/>
    </i>
    <i r="1">
      <x v="756"/>
      <x v="28"/>
    </i>
    <i r="1">
      <x v="761"/>
      <x v="34"/>
    </i>
    <i r="1">
      <x v="763"/>
      <x v="147"/>
    </i>
    <i r="1">
      <x v="778"/>
      <x v="39"/>
    </i>
    <i r="1">
      <x v="791"/>
      <x v="47"/>
    </i>
    <i r="1">
      <x v="793"/>
      <x v="159"/>
    </i>
    <i r="1">
      <x v="795"/>
      <x v="49"/>
    </i>
    <i r="1">
      <x v="802"/>
      <x v="1904"/>
    </i>
    <i r="2">
      <x v="1908"/>
    </i>
    <i r="2">
      <x v="1917"/>
    </i>
    <i r="2">
      <x v="1919"/>
    </i>
    <i r="2">
      <x v="1927"/>
    </i>
    <i r="1">
      <x v="803"/>
      <x v="1808"/>
    </i>
    <i r="1">
      <x v="805"/>
      <x v="1810"/>
    </i>
    <i r="1">
      <x v="806"/>
      <x v="1811"/>
    </i>
    <i r="1">
      <x v="807"/>
      <x v="1868"/>
    </i>
    <i r="1">
      <x v="814"/>
      <x v="1875"/>
    </i>
    <i r="1">
      <x v="824"/>
      <x v="1885"/>
    </i>
    <i r="1">
      <x v="828"/>
      <x v="1889"/>
    </i>
    <i r="1">
      <x v="829"/>
      <x v="1890"/>
    </i>
    <i r="1">
      <x v="830"/>
      <x v="1891"/>
    </i>
    <i r="1">
      <x v="832"/>
      <x v="1893"/>
    </i>
    <i r="1">
      <x v="833"/>
      <x v="1894"/>
    </i>
    <i>
      <x v="9"/>
      <x v="574"/>
      <x v="187"/>
    </i>
    <i r="1">
      <x v="586"/>
      <x v="124"/>
    </i>
    <i r="1">
      <x v="591"/>
      <x v="131"/>
    </i>
    <i r="1">
      <x v="592"/>
      <x v="130"/>
    </i>
    <i r="1">
      <x v="601"/>
      <x v="55"/>
    </i>
    <i r="1">
      <x v="603"/>
      <x v="162"/>
    </i>
    <i r="1">
      <x v="604"/>
      <x v="24"/>
    </i>
    <i r="1">
      <x v="608"/>
      <x v="163"/>
    </i>
    <i r="1">
      <x v="635"/>
      <x v="171"/>
    </i>
    <i r="1">
      <x v="636"/>
      <x v="5"/>
    </i>
    <i r="1">
      <x v="638"/>
      <x v="172"/>
    </i>
    <i r="1">
      <x v="639"/>
      <x v="63"/>
    </i>
    <i r="1">
      <x v="640"/>
      <x v="173"/>
    </i>
    <i r="1">
      <x v="643"/>
      <x v="175"/>
    </i>
    <i r="1">
      <x v="649"/>
      <x v="180"/>
    </i>
    <i r="1">
      <x v="652"/>
      <x v="8"/>
    </i>
    <i r="1">
      <x v="666"/>
      <x v="13"/>
    </i>
    <i r="1">
      <x v="672"/>
      <x v="73"/>
    </i>
    <i r="1">
      <x v="678"/>
      <x v="190"/>
    </i>
    <i r="1">
      <x v="679"/>
      <x v="193"/>
    </i>
    <i r="1">
      <x v="696"/>
      <x v="199"/>
    </i>
    <i r="1">
      <x v="698"/>
      <x v="16"/>
    </i>
    <i r="1">
      <x v="728"/>
      <x v="128"/>
    </i>
    <i r="1">
      <x v="736"/>
      <x v="134"/>
    </i>
    <i r="1">
      <x v="748"/>
      <x v="201"/>
    </i>
    <i r="1">
      <x v="750"/>
      <x v="27"/>
    </i>
    <i r="1">
      <x v="751"/>
      <x v="19"/>
    </i>
    <i r="1">
      <x v="760"/>
      <x v="33"/>
    </i>
    <i r="1">
      <x v="768"/>
      <x v="20"/>
    </i>
    <i r="1">
      <x v="790"/>
      <x v="46"/>
    </i>
    <i r="1">
      <x v="796"/>
      <x v="50"/>
    </i>
    <i r="1">
      <x v="802"/>
      <x v="1912"/>
    </i>
    <i r="2">
      <x v="1918"/>
    </i>
    <i r="2">
      <x v="1928"/>
    </i>
    <i r="2">
      <x v="1929"/>
    </i>
    <i r="1">
      <x v="815"/>
      <x v="1876"/>
    </i>
    <i r="1">
      <x v="820"/>
      <x v="1881"/>
    </i>
    <i r="1">
      <x v="822"/>
      <x v="188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0" hier="-1"/>
    <pageField fld="5" hier="-1"/>
  </pageFields>
  <dataFields count="3">
    <dataField name="Qty (Kg)" fld="6" baseField="0" baseItem="0"/>
    <dataField name="Value (PKR)" fld="15" baseField="0" baseItem="0"/>
    <dataField name="Duty/Taxes" fld="17" baseField="0" baseItem="0"/>
  </dataFields>
  <formats count="157">
    <format dxfId="394">
      <pivotArea outline="0" collapsedLevelsAreSubtotals="1" fieldPosition="0"/>
    </format>
    <format dxfId="393">
      <pivotArea dataOnly="0" labelOnly="1" outline="0" fieldPosition="0">
        <references count="1">
          <reference field="5" count="0"/>
        </references>
      </pivotArea>
    </format>
    <format dxfId="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13" type="button" dataOnly="0" labelOnly="1" outline="0" axis="axisRow" fieldPosition="0"/>
    </format>
    <format dxfId="387">
      <pivotArea field="2" type="button" dataOnly="0" labelOnly="1" outline="0" axis="axisRow" fieldPosition="2"/>
    </format>
    <format dxfId="386">
      <pivotArea dataOnly="0" labelOnly="1" outline="0" fieldPosition="0">
        <references count="1">
          <reference field="13" count="0"/>
        </references>
      </pivotArea>
    </format>
    <format dxfId="385">
      <pivotArea dataOnly="0" labelOnly="1" grandRow="1" outline="0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grandRow="1" outline="0" collapsedLevelsAreSubtotals="1" fieldPosition="0"/>
    </format>
    <format dxfId="382">
      <pivotArea outline="0" collapsedLevelsAreSubtotals="1" fieldPosition="0"/>
    </format>
    <format dxfId="3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0">
      <pivotArea field="13" type="button" dataOnly="0" labelOnly="1" outline="0" axis="axisRow" fieldPosition="0"/>
    </format>
    <format dxfId="379">
      <pivotArea field="2" type="button" dataOnly="0" labelOnly="1" outline="0" axis="axisRow" fieldPosition="2"/>
    </format>
    <format dxfId="378">
      <pivotArea dataOnly="0" labelOnly="1" outline="0" fieldPosition="0">
        <references count="1">
          <reference field="13" count="0"/>
        </references>
      </pivotArea>
    </format>
    <format dxfId="377">
      <pivotArea dataOnly="0" labelOnly="1" grandRow="1" outline="0" fieldPosition="0"/>
    </format>
    <format dxfId="376">
      <pivotArea dataOnly="0" labelOnly="1" outline="0" fieldPosition="0">
        <references count="1">
          <reference field="0" count="0"/>
        </references>
      </pivotArea>
    </format>
    <format dxfId="375">
      <pivotArea outline="0" fieldPosition="0">
        <references count="3">
          <reference field="0" count="127" selected="0">
            <x v="568"/>
            <x v="571"/>
            <x v="572"/>
            <x v="573"/>
            <x v="574"/>
            <x v="575"/>
            <x v="578"/>
            <x v="582"/>
            <x v="586"/>
            <x v="587"/>
            <x v="588"/>
            <x v="589"/>
            <x v="591"/>
            <x v="592"/>
            <x v="593"/>
            <x v="595"/>
            <x v="597"/>
            <x v="598"/>
            <x v="600"/>
            <x v="601"/>
            <x v="603"/>
            <x v="604"/>
            <x v="605"/>
            <x v="606"/>
            <x v="608"/>
            <x v="609"/>
            <x v="610"/>
            <x v="611"/>
            <x v="612"/>
            <x v="613"/>
            <x v="614"/>
            <x v="615"/>
            <x v="617"/>
            <x v="619"/>
            <x v="620"/>
            <x v="621"/>
            <x v="622"/>
            <x v="623"/>
            <x v="624"/>
            <x v="625"/>
            <x v="627"/>
            <x v="631"/>
            <x v="632"/>
            <x v="634"/>
            <x v="635"/>
            <x v="636"/>
            <x v="638"/>
            <x v="639"/>
            <x v="640"/>
            <x v="642"/>
            <x v="643"/>
            <x v="645"/>
            <x v="647"/>
            <x v="648"/>
            <x v="649"/>
            <x v="650"/>
            <x v="651"/>
            <x v="652"/>
            <x v="656"/>
            <x v="658"/>
            <x v="659"/>
            <x v="661"/>
            <x v="662"/>
            <x v="666"/>
            <x v="667"/>
            <x v="668"/>
            <x v="670"/>
            <x v="671"/>
            <x v="672"/>
            <x v="673"/>
            <x v="675"/>
            <x v="676"/>
            <x v="677"/>
            <x v="678"/>
            <x v="679"/>
            <x v="680"/>
            <x v="681"/>
            <x v="682"/>
            <x v="685"/>
            <x v="689"/>
            <x v="696"/>
            <x v="698"/>
            <x v="700"/>
            <x v="701"/>
            <x v="702"/>
            <x v="704"/>
            <x v="707"/>
            <x v="709"/>
            <x v="711"/>
            <x v="714"/>
            <x v="715"/>
            <x v="717"/>
            <x v="718"/>
            <x v="719"/>
            <x v="722"/>
            <x v="728"/>
            <x v="733"/>
            <x v="736"/>
            <x v="739"/>
            <x v="740"/>
            <x v="741"/>
            <x v="742"/>
            <x v="746"/>
            <x v="748"/>
            <x v="749"/>
            <x v="750"/>
            <x v="751"/>
            <x v="756"/>
            <x v="760"/>
            <x v="761"/>
            <x v="763"/>
            <x v="765"/>
            <x v="768"/>
            <x v="769"/>
            <x v="778"/>
            <x v="783"/>
            <x v="789"/>
            <x v="790"/>
            <x v="791"/>
            <x v="793"/>
            <x v="794"/>
            <x v="795"/>
            <x v="796"/>
            <x v="797"/>
            <x v="798"/>
            <x v="799"/>
            <x v="801"/>
          </reference>
          <reference field="2" count="127" selected="0">
            <x v="0"/>
            <x v="1"/>
            <x v="2"/>
            <x v="3"/>
            <x v="5"/>
            <x v="8"/>
            <x v="10"/>
            <x v="13"/>
            <x v="14"/>
            <x v="16"/>
            <x v="18"/>
            <x v="19"/>
            <x v="20"/>
            <x v="24"/>
            <x v="26"/>
            <x v="27"/>
            <x v="28"/>
            <x v="33"/>
            <x v="34"/>
            <x v="35"/>
            <x v="36"/>
            <x v="37"/>
            <x v="39"/>
            <x v="46"/>
            <x v="47"/>
            <x v="48"/>
            <x v="49"/>
            <x v="50"/>
            <x v="51"/>
            <x v="53"/>
            <x v="54"/>
            <x v="55"/>
            <x v="56"/>
            <x v="58"/>
            <x v="60"/>
            <x v="61"/>
            <x v="62"/>
            <x v="63"/>
            <x v="66"/>
            <x v="68"/>
            <x v="70"/>
            <x v="71"/>
            <x v="72"/>
            <x v="73"/>
            <x v="75"/>
            <x v="76"/>
            <x v="77"/>
            <x v="78"/>
            <x v="79"/>
            <x v="80"/>
            <x v="84"/>
            <x v="92"/>
            <x v="93"/>
            <x v="94"/>
            <x v="96"/>
            <x v="97"/>
            <x v="100"/>
            <x v="101"/>
            <x v="105"/>
            <x v="106"/>
            <x v="107"/>
            <x v="115"/>
            <x v="116"/>
            <x v="117"/>
            <x v="119"/>
            <x v="124"/>
            <x v="125"/>
            <x v="128"/>
            <x v="130"/>
            <x v="131"/>
            <x v="132"/>
            <x v="134"/>
            <x v="136"/>
            <x v="137"/>
            <x v="138"/>
            <x v="143"/>
            <x v="147"/>
            <x v="159"/>
            <x v="160"/>
            <x v="161"/>
            <x v="162"/>
            <x v="163"/>
            <x v="165"/>
            <x v="169"/>
            <x v="171"/>
            <x v="172"/>
            <x v="173"/>
            <x v="175"/>
            <x v="177"/>
            <x v="178"/>
            <x v="179"/>
            <x v="180"/>
            <x v="182"/>
            <x v="185"/>
            <x v="187"/>
            <x v="189"/>
            <x v="190"/>
            <x v="191"/>
            <x v="192"/>
            <x v="193"/>
            <x v="194"/>
            <x v="197"/>
            <x v="199"/>
            <x v="201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</reference>
          <reference field="13" count="0" selected="0"/>
        </references>
      </pivotArea>
    </format>
    <format dxfId="374">
      <pivotArea field="13" type="button" dataOnly="0" labelOnly="1" outline="0" axis="axisRow" fieldPosition="0"/>
    </format>
    <format dxfId="373">
      <pivotArea field="0" type="button" dataOnly="0" labelOnly="1" outline="0" axis="axisRow" fieldPosition="1"/>
    </format>
    <format dxfId="372">
      <pivotArea field="2" type="button" dataOnly="0" labelOnly="1" outline="0" axis="axisRow" fieldPosition="2"/>
    </format>
    <format dxfId="371">
      <pivotArea dataOnly="0" labelOnly="1" outline="0" fieldPosition="0">
        <references count="1">
          <reference field="13" count="0"/>
        </references>
      </pivotArea>
    </format>
    <format dxfId="370">
      <pivotArea dataOnly="0" labelOnly="1" outline="0" fieldPosition="0">
        <references count="2">
          <reference field="0" count="13">
            <x v="582"/>
            <x v="589"/>
            <x v="593"/>
            <x v="611"/>
            <x v="613"/>
            <x v="619"/>
            <x v="650"/>
            <x v="651"/>
            <x v="658"/>
            <x v="740"/>
            <x v="746"/>
            <x v="794"/>
            <x v="799"/>
          </reference>
          <reference field="13" count="1" selected="0">
            <x v="5"/>
          </reference>
        </references>
      </pivotArea>
    </format>
    <format dxfId="369">
      <pivotArea dataOnly="0" labelOnly="1" outline="0" fieldPosition="0">
        <references count="2">
          <reference field="0" count="31">
            <x v="568"/>
            <x v="571"/>
            <x v="572"/>
            <x v="578"/>
            <x v="605"/>
            <x v="606"/>
            <x v="609"/>
            <x v="610"/>
            <x v="612"/>
            <x v="614"/>
            <x v="615"/>
            <x v="621"/>
            <x v="622"/>
            <x v="624"/>
            <x v="625"/>
            <x v="631"/>
            <x v="632"/>
            <x v="634"/>
            <x v="645"/>
            <x v="648"/>
            <x v="656"/>
            <x v="661"/>
            <x v="709"/>
            <x v="739"/>
            <x v="765"/>
            <x v="769"/>
            <x v="783"/>
            <x v="789"/>
            <x v="797"/>
            <x v="798"/>
            <x v="801"/>
          </reference>
          <reference field="13" count="1" selected="0">
            <x v="7"/>
          </reference>
        </references>
      </pivotArea>
    </format>
    <format dxfId="368">
      <pivotArea dataOnly="0" labelOnly="1" outline="0" fieldPosition="0">
        <references count="2">
          <reference field="0" count="50">
            <x v="573"/>
            <x v="575"/>
            <x v="587"/>
            <x v="588"/>
            <x v="595"/>
            <x v="597"/>
            <x v="598"/>
            <x v="600"/>
            <x v="617"/>
            <x v="620"/>
            <x v="623"/>
            <x v="627"/>
            <x v="642"/>
            <x v="647"/>
            <x v="659"/>
            <x v="662"/>
            <x v="667"/>
            <x v="668"/>
            <x v="670"/>
            <x v="671"/>
            <x v="673"/>
            <x v="675"/>
            <x v="676"/>
            <x v="677"/>
            <x v="680"/>
            <x v="681"/>
            <x v="682"/>
            <x v="685"/>
            <x v="689"/>
            <x v="700"/>
            <x v="701"/>
            <x v="702"/>
            <x v="704"/>
            <x v="707"/>
            <x v="711"/>
            <x v="714"/>
            <x v="715"/>
            <x v="717"/>
            <x v="718"/>
            <x v="719"/>
            <x v="722"/>
            <x v="733"/>
            <x v="741"/>
            <x v="742"/>
            <x v="749"/>
            <x v="756"/>
            <x v="761"/>
            <x v="763"/>
            <x v="778"/>
            <x v="791"/>
          </reference>
          <reference field="13" count="1" selected="0">
            <x v="8"/>
          </reference>
        </references>
      </pivotArea>
    </format>
    <format dxfId="367">
      <pivotArea dataOnly="0" labelOnly="1" outline="0" fieldPosition="0">
        <references count="2">
          <reference field="0" count="2">
            <x v="793"/>
            <x v="795"/>
          </reference>
          <reference field="13" count="1" selected="0">
            <x v="8"/>
          </reference>
        </references>
      </pivotArea>
    </format>
    <format dxfId="366">
      <pivotArea dataOnly="0" labelOnly="1" outline="0" fieldPosition="0">
        <references count="2">
          <reference field="0" count="31">
            <x v="574"/>
            <x v="586"/>
            <x v="591"/>
            <x v="592"/>
            <x v="601"/>
            <x v="603"/>
            <x v="604"/>
            <x v="608"/>
            <x v="635"/>
            <x v="636"/>
            <x v="638"/>
            <x v="639"/>
            <x v="640"/>
            <x v="643"/>
            <x v="649"/>
            <x v="652"/>
            <x v="666"/>
            <x v="672"/>
            <x v="678"/>
            <x v="679"/>
            <x v="696"/>
            <x v="698"/>
            <x v="728"/>
            <x v="736"/>
            <x v="748"/>
            <x v="750"/>
            <x v="751"/>
            <x v="760"/>
            <x v="768"/>
            <x v="790"/>
            <x v="796"/>
          </reference>
          <reference field="13" count="1" selected="0">
            <x v="9"/>
          </reference>
        </references>
      </pivotArea>
    </format>
    <format dxfId="365">
      <pivotArea dataOnly="0" labelOnly="1" outline="0" fieldPosition="0">
        <references count="3">
          <reference field="0" count="1" selected="0">
            <x v="582"/>
          </reference>
          <reference field="2" count="1">
            <x v="189"/>
          </reference>
          <reference field="13" count="1" selected="0">
            <x v="5"/>
          </reference>
        </references>
      </pivotArea>
    </format>
    <format dxfId="364">
      <pivotArea dataOnly="0" labelOnly="1" outline="0" fieldPosition="0">
        <references count="3">
          <reference field="0" count="1" selected="0">
            <x v="589"/>
          </reference>
          <reference field="2" count="1">
            <x v="18"/>
          </reference>
          <reference field="13" count="1" selected="0">
            <x v="5"/>
          </reference>
        </references>
      </pivotArea>
    </format>
    <format dxfId="363">
      <pivotArea dataOnly="0" labelOnly="1" outline="0" fieldPosition="0">
        <references count="3">
          <reference field="0" count="1" selected="0">
            <x v="593"/>
          </reference>
          <reference field="2" count="1">
            <x v="136"/>
          </reference>
          <reference field="13" count="1" selected="0">
            <x v="5"/>
          </reference>
        </references>
      </pivotArea>
    </format>
    <format dxfId="362">
      <pivotArea dataOnly="0" labelOnly="1" outline="0" fieldPosition="0">
        <references count="3">
          <reference field="0" count="1" selected="0">
            <x v="611"/>
          </reference>
          <reference field="2" count="1">
            <x v="58"/>
          </reference>
          <reference field="13" count="1" selected="0">
            <x v="5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613"/>
          </reference>
          <reference field="2" count="1">
            <x v="1"/>
          </reference>
          <reference field="13" count="1" selected="0">
            <x v="5"/>
          </reference>
        </references>
      </pivotArea>
    </format>
    <format dxfId="360">
      <pivotArea dataOnly="0" labelOnly="1" outline="0" fieldPosition="0">
        <references count="3">
          <reference field="0" count="1" selected="0">
            <x v="619"/>
          </reference>
          <reference field="2" count="1">
            <x v="3"/>
          </reference>
          <reference field="13" count="1" selected="0">
            <x v="5"/>
          </reference>
        </references>
      </pivotArea>
    </format>
    <format dxfId="359">
      <pivotArea dataOnly="0" labelOnly="1" outline="0" fieldPosition="0">
        <references count="3">
          <reference field="0" count="1" selected="0">
            <x v="650"/>
          </reference>
          <reference field="2" count="1">
            <x v="179"/>
          </reference>
          <reference field="13" count="1" selected="0">
            <x v="5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651"/>
          </reference>
          <reference field="2" count="1">
            <x v="66"/>
          </reference>
          <reference field="13" count="1" selected="0">
            <x v="5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658"/>
          </reference>
          <reference field="2" count="1">
            <x v="10"/>
          </reference>
          <reference field="13" count="1" selected="0">
            <x v="5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740"/>
          </reference>
          <reference field="2" count="1">
            <x v="106"/>
          </reference>
          <reference field="13" count="1" selected="0">
            <x v="5"/>
          </reference>
        </references>
      </pivotArea>
    </format>
    <format dxfId="355">
      <pivotArea dataOnly="0" labelOnly="1" outline="0" fieldPosition="0">
        <references count="3">
          <reference field="0" count="1" selected="0">
            <x v="746"/>
          </reference>
          <reference field="2" count="1">
            <x v="143"/>
          </reference>
          <reference field="13" count="1" selected="0">
            <x v="5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794"/>
          </reference>
          <reference field="2" count="1">
            <x v="48"/>
          </reference>
          <reference field="13" count="1" selected="0">
            <x v="5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799"/>
          </reference>
          <reference field="2" count="1">
            <x v="51"/>
          </reference>
          <reference field="13" count="1" selected="0">
            <x v="5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568"/>
          </reference>
          <reference field="2" count="1">
            <x v="2"/>
          </reference>
          <reference field="13" count="1" selected="0">
            <x v="7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571"/>
          </reference>
          <reference field="2" count="1">
            <x v="221"/>
          </reference>
          <reference field="13" count="1" selected="0">
            <x v="7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572"/>
          </reference>
          <reference field="2" count="1">
            <x v="222"/>
          </reference>
          <reference field="13" count="1" selected="0">
            <x v="7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578"/>
          </reference>
          <reference field="2" count="1">
            <x v="223"/>
          </reference>
          <reference field="13" count="1" selected="0">
            <x v="7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605"/>
          </reference>
          <reference field="2" count="1">
            <x v="231"/>
          </reference>
          <reference field="13" count="1" selected="0">
            <x v="7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606"/>
          </reference>
          <reference field="2" count="1">
            <x v="230"/>
          </reference>
          <reference field="13" count="1" selected="0">
            <x v="7"/>
          </reference>
        </references>
      </pivotArea>
    </format>
    <format dxfId="346">
      <pivotArea dataOnly="0" labelOnly="1" outline="0" fieldPosition="0">
        <references count="3">
          <reference field="0" count="1" selected="0">
            <x v="609"/>
          </reference>
          <reference field="2" count="1">
            <x v="209"/>
          </reference>
          <reference field="13" count="1" selected="0">
            <x v="7"/>
          </reference>
        </references>
      </pivotArea>
    </format>
    <format dxfId="345">
      <pivotArea dataOnly="0" labelOnly="1" outline="0" fieldPosition="0">
        <references count="3">
          <reference field="0" count="1" selected="0">
            <x v="610"/>
          </reference>
          <reference field="2" count="1">
            <x v="0"/>
          </reference>
          <reference field="13" count="1" selected="0">
            <x v="7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612"/>
          </reference>
          <reference field="2" count="1">
            <x v="210"/>
          </reference>
          <reference field="13" count="1" selected="0">
            <x v="7"/>
          </reference>
        </references>
      </pivotArea>
    </format>
    <format dxfId="343">
      <pivotArea dataOnly="0" labelOnly="1" outline="0" fieldPosition="0">
        <references count="3">
          <reference field="0" count="1" selected="0">
            <x v="614"/>
          </reference>
          <reference field="2" count="1">
            <x v="211"/>
          </reference>
          <reference field="13" count="1" selected="0">
            <x v="7"/>
          </reference>
        </references>
      </pivotArea>
    </format>
    <format dxfId="342">
      <pivotArea dataOnly="0" labelOnly="1" outline="0" fieldPosition="0">
        <references count="3">
          <reference field="0" count="1" selected="0">
            <x v="615"/>
          </reference>
          <reference field="2" count="1">
            <x v="212"/>
          </reference>
          <reference field="13" count="1" selected="0">
            <x v="7"/>
          </reference>
        </references>
      </pivotArea>
    </format>
    <format dxfId="341">
      <pivotArea dataOnly="0" labelOnly="1" outline="0" fieldPosition="0">
        <references count="3">
          <reference field="0" count="1" selected="0">
            <x v="621"/>
          </reference>
          <reference field="2" count="1">
            <x v="165"/>
          </reference>
          <reference field="13" count="1" selected="0">
            <x v="7"/>
          </reference>
        </references>
      </pivotArea>
    </format>
    <format dxfId="340">
      <pivotArea dataOnly="0" labelOnly="1" outline="0" fieldPosition="0">
        <references count="3">
          <reference field="0" count="1" selected="0">
            <x v="622"/>
          </reference>
          <reference field="2" count="1">
            <x v="214"/>
          </reference>
          <reference field="13" count="1" selected="0">
            <x v="7"/>
          </reference>
        </references>
      </pivotArea>
    </format>
    <format dxfId="339">
      <pivotArea dataOnly="0" labelOnly="1" outline="0" fieldPosition="0">
        <references count="3">
          <reference field="0" count="1" selected="0">
            <x v="624"/>
          </reference>
          <reference field="2" count="1">
            <x v="216"/>
          </reference>
          <reference field="13" count="1" selected="0">
            <x v="7"/>
          </reference>
        </references>
      </pivotArea>
    </format>
    <format dxfId="338">
      <pivotArea dataOnly="0" labelOnly="1" outline="0" fieldPosition="0">
        <references count="3">
          <reference field="0" count="1" selected="0">
            <x v="625"/>
          </reference>
          <reference field="2" count="1">
            <x v="215"/>
          </reference>
          <reference field="13" count="1" selected="0">
            <x v="7"/>
          </reference>
        </references>
      </pivotArea>
    </format>
    <format dxfId="337">
      <pivotArea dataOnly="0" labelOnly="1" outline="0" fieldPosition="0">
        <references count="3">
          <reference field="0" count="1" selected="0">
            <x v="631"/>
          </reference>
          <reference field="2" count="1">
            <x v="169"/>
          </reference>
          <reference field="13" count="1" selected="0">
            <x v="7"/>
          </reference>
        </references>
      </pivotArea>
    </format>
    <format dxfId="336">
      <pivotArea dataOnly="0" labelOnly="1" outline="0" fieldPosition="0">
        <references count="3">
          <reference field="0" count="1" selected="0">
            <x v="632"/>
          </reference>
          <reference field="2" count="1">
            <x v="217"/>
          </reference>
          <reference field="13" count="1" selected="0">
            <x v="7"/>
          </reference>
        </references>
      </pivotArea>
    </format>
    <format dxfId="335">
      <pivotArea dataOnly="0" labelOnly="1" outline="0" fieldPosition="0">
        <references count="3">
          <reference field="0" count="1" selected="0">
            <x v="634"/>
          </reference>
          <reference field="2" count="1">
            <x v="218"/>
          </reference>
          <reference field="13" count="1" selected="0">
            <x v="7"/>
          </reference>
        </references>
      </pivotArea>
    </format>
    <format dxfId="334">
      <pivotArea dataOnly="0" labelOnly="1" outline="0" fieldPosition="0">
        <references count="3">
          <reference field="0" count="1" selected="0">
            <x v="645"/>
          </reference>
          <reference field="2" count="1">
            <x v="177"/>
          </reference>
          <reference field="13" count="1" selected="0">
            <x v="7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648"/>
          </reference>
          <reference field="2" count="1">
            <x v="220"/>
          </reference>
          <reference field="13" count="1" selected="0">
            <x v="7"/>
          </reference>
        </references>
      </pivotArea>
    </format>
    <format dxfId="332">
      <pivotArea dataOnly="0" labelOnly="1" outline="0" fieldPosition="0">
        <references count="3">
          <reference field="0" count="1" selected="0">
            <x v="656"/>
          </reference>
          <reference field="2" count="1">
            <x v="182"/>
          </reference>
          <reference field="13" count="1" selected="0">
            <x v="7"/>
          </reference>
        </references>
      </pivotArea>
    </format>
    <format dxfId="331">
      <pivotArea dataOnly="0" labelOnly="1" outline="0" fieldPosition="0">
        <references count="3">
          <reference field="0" count="1" selected="0">
            <x v="661"/>
          </reference>
          <reference field="2" count="1">
            <x v="224"/>
          </reference>
          <reference field="13" count="1" selected="0">
            <x v="7"/>
          </reference>
        </references>
      </pivotArea>
    </format>
    <format dxfId="330">
      <pivotArea dataOnly="0" labelOnly="1" outline="0" fieldPosition="0">
        <references count="3">
          <reference field="0" count="1" selected="0">
            <x v="709"/>
          </reference>
          <reference field="2" count="1">
            <x v="225"/>
          </reference>
          <reference field="13" count="1" selected="0">
            <x v="7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739"/>
          </reference>
          <reference field="2" count="1">
            <x v="226"/>
          </reference>
          <reference field="13" count="1" selected="0">
            <x v="7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765"/>
          </reference>
          <reference field="2" count="1">
            <x v="36"/>
          </reference>
          <reference field="13" count="1" selected="0">
            <x v="7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769"/>
          </reference>
          <reference field="2" count="1">
            <x v="37"/>
          </reference>
          <reference field="13" count="1" selected="0">
            <x v="7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783"/>
          </reference>
          <reference field="2" count="1">
            <x v="227"/>
          </reference>
          <reference field="13" count="1" selected="0">
            <x v="7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789"/>
          </reference>
          <reference field="2" count="1">
            <x v="228"/>
          </reference>
          <reference field="13" count="1" selected="0">
            <x v="7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797"/>
          </reference>
          <reference field="2" count="1">
            <x v="160"/>
          </reference>
          <reference field="13" count="1" selected="0">
            <x v="7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798"/>
          </reference>
          <reference field="2" count="1">
            <x v="161"/>
          </reference>
          <reference field="13" count="1" selected="0">
            <x v="7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801"/>
          </reference>
          <reference field="2" count="1">
            <x v="229"/>
          </reference>
          <reference field="13" count="1" selected="0">
            <x v="7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573"/>
          </reference>
          <reference field="2" count="1">
            <x v="77"/>
          </reference>
          <reference field="13" count="1" selected="0">
            <x v="8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575"/>
          </reference>
          <reference field="2" count="1">
            <x v="197"/>
          </reference>
          <reference field="13" count="1" selected="0">
            <x v="8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587"/>
          </reference>
          <reference field="2" count="1">
            <x v="105"/>
          </reference>
          <reference field="13" count="1" selected="0">
            <x v="8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588"/>
          </reference>
          <reference field="2" count="1">
            <x v="125"/>
          </reference>
          <reference field="13" count="1" selected="0">
            <x v="8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595"/>
          </reference>
          <reference field="2" count="1">
            <x v="35"/>
          </reference>
          <reference field="13" count="1" selected="0">
            <x v="8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597"/>
          </reference>
          <reference field="2" count="1">
            <x v="54"/>
          </reference>
          <reference field="13" count="1" selected="0">
            <x v="8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598"/>
          </reference>
          <reference field="2" count="1">
            <x v="53"/>
          </reference>
          <reference field="13" count="1" selected="0">
            <x v="8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600"/>
          </reference>
          <reference field="2" count="1">
            <x v="56"/>
          </reference>
          <reference field="13" count="1" selected="0">
            <x v="8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617"/>
          </reference>
          <reference field="2" count="1">
            <x v="60"/>
          </reference>
          <reference field="13" count="1" selected="0">
            <x v="8"/>
          </reference>
        </references>
      </pivotArea>
    </format>
    <format dxfId="312">
      <pivotArea dataOnly="0" labelOnly="1" outline="0" fieldPosition="0">
        <references count="3">
          <reference field="0" count="1" selected="0">
            <x v="620"/>
          </reference>
          <reference field="2" count="1">
            <x v="213"/>
          </reference>
          <reference field="13" count="1" selected="0">
            <x v="8"/>
          </reference>
        </references>
      </pivotArea>
    </format>
    <format dxfId="311">
      <pivotArea dataOnly="0" labelOnly="1" outline="0" fieldPosition="0">
        <references count="3">
          <reference field="0" count="1" selected="0">
            <x v="623"/>
          </reference>
          <reference field="2" count="1">
            <x v="61"/>
          </reference>
          <reference field="13" count="1" selected="0">
            <x v="8"/>
          </reference>
        </references>
      </pivotArea>
    </format>
    <format dxfId="310">
      <pivotArea dataOnly="0" labelOnly="1" outline="0" fieldPosition="0">
        <references count="3">
          <reference field="0" count="1" selected="0">
            <x v="627"/>
          </reference>
          <reference field="2" count="1">
            <x v="62"/>
          </reference>
          <reference field="13" count="1" selected="0">
            <x v="8"/>
          </reference>
        </references>
      </pivotArea>
    </format>
    <format dxfId="309">
      <pivotArea dataOnly="0" labelOnly="1" outline="0" fieldPosition="0">
        <references count="3">
          <reference field="0" count="1" selected="0">
            <x v="642"/>
          </reference>
          <reference field="2" count="1">
            <x v="219"/>
          </reference>
          <reference field="13" count="1" selected="0">
            <x v="8"/>
          </reference>
        </references>
      </pivotArea>
    </format>
    <format dxfId="308">
      <pivotArea dataOnly="0" labelOnly="1" outline="0" fieldPosition="0">
        <references count="3">
          <reference field="0" count="1" selected="0">
            <x v="647"/>
          </reference>
          <reference field="2" count="1">
            <x v="178"/>
          </reference>
          <reference field="13" count="1" selected="0">
            <x v="8"/>
          </reference>
        </references>
      </pivotArea>
    </format>
    <format dxfId="307">
      <pivotArea dataOnly="0" labelOnly="1" outline="0" fieldPosition="0">
        <references count="3">
          <reference field="0" count="1" selected="0">
            <x v="659"/>
          </reference>
          <reference field="2" count="1">
            <x v="68"/>
          </reference>
          <reference field="13" count="1" selected="0">
            <x v="8"/>
          </reference>
        </references>
      </pivotArea>
    </format>
    <format dxfId="306">
      <pivotArea dataOnly="0" labelOnly="1" outline="0" fieldPosition="0">
        <references count="3">
          <reference field="0" count="1" selected="0">
            <x v="662"/>
          </reference>
          <reference field="2" count="1">
            <x v="70"/>
          </reference>
          <reference field="13" count="1" selected="0">
            <x v="8"/>
          </reference>
        </references>
      </pivotArea>
    </format>
    <format dxfId="305">
      <pivotArea dataOnly="0" labelOnly="1" outline="0" fieldPosition="0">
        <references count="3">
          <reference field="0" count="1" selected="0">
            <x v="667"/>
          </reference>
          <reference field="2" count="1">
            <x v="71"/>
          </reference>
          <reference field="13" count="1" selected="0">
            <x v="8"/>
          </reference>
        </references>
      </pivotArea>
    </format>
    <format dxfId="304">
      <pivotArea dataOnly="0" labelOnly="1" outline="0" fieldPosition="0">
        <references count="3">
          <reference field="0" count="1" selected="0">
            <x v="668"/>
          </reference>
          <reference field="2" count="1">
            <x v="72"/>
          </reference>
          <reference field="13" count="1" selected="0">
            <x v="8"/>
          </reference>
        </references>
      </pivotArea>
    </format>
    <format dxfId="303">
      <pivotArea dataOnly="0" labelOnly="1" outline="0" fieldPosition="0">
        <references count="3">
          <reference field="0" count="1" selected="0">
            <x v="670"/>
          </reference>
          <reference field="2" count="1">
            <x v="185"/>
          </reference>
          <reference field="13" count="1" selected="0">
            <x v="8"/>
          </reference>
        </references>
      </pivotArea>
    </format>
    <format dxfId="302">
      <pivotArea dataOnly="0" labelOnly="1" outline="0" fieldPosition="0">
        <references count="3">
          <reference field="0" count="1" selected="0">
            <x v="671"/>
          </reference>
          <reference field="2" count="1">
            <x v="76"/>
          </reference>
          <reference field="13" count="1" selected="0">
            <x v="8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673"/>
          </reference>
          <reference field="2" count="1">
            <x v="75"/>
          </reference>
          <reference field="13" count="1" selected="0">
            <x v="8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675"/>
          </reference>
          <reference field="2" count="1">
            <x v="78"/>
          </reference>
          <reference field="13" count="1" selected="0">
            <x v="8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676"/>
          </reference>
          <reference field="2" count="1">
            <x v="80"/>
          </reference>
          <reference field="13" count="1" selected="0">
            <x v="8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677"/>
          </reference>
          <reference field="2" count="1">
            <x v="79"/>
          </reference>
          <reference field="13" count="1" selected="0">
            <x v="8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680"/>
          </reference>
          <reference field="2" count="1">
            <x v="192"/>
          </reference>
          <reference field="13" count="1" selected="0">
            <x v="8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681"/>
          </reference>
          <reference field="2" count="1">
            <x v="191"/>
          </reference>
          <reference field="13" count="1" selected="0">
            <x v="8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682"/>
          </reference>
          <reference field="2" count="1">
            <x v="194"/>
          </reference>
          <reference field="13" count="1" selected="0">
            <x v="8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685"/>
          </reference>
          <reference field="2" count="1">
            <x v="14"/>
          </reference>
          <reference field="13" count="1" selected="0">
            <x v="8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689"/>
          </reference>
          <reference field="2" count="1">
            <x v="84"/>
          </reference>
          <reference field="13" count="1" selected="0">
            <x v="8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700"/>
          </reference>
          <reference field="2" count="1">
            <x v="107"/>
          </reference>
          <reference field="13" count="1" selected="0">
            <x v="8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701"/>
          </reference>
          <reference field="2" count="1">
            <x v="92"/>
          </reference>
          <reference field="13" count="1" selected="0">
            <x v="8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702"/>
          </reference>
          <reference field="2" count="1">
            <x v="93"/>
          </reference>
          <reference field="13" count="1" selected="0">
            <x v="8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704"/>
          </reference>
          <reference field="2" count="1">
            <x v="94"/>
          </reference>
          <reference field="13" count="1" selected="0">
            <x v="8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707"/>
          </reference>
          <reference field="2" count="1">
            <x v="116"/>
          </reference>
          <reference field="13" count="1" selected="0">
            <x v="8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711"/>
          </reference>
          <reference field="2" count="1">
            <x v="115"/>
          </reference>
          <reference field="13" count="1" selected="0">
            <x v="8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714"/>
          </reference>
          <reference field="2" count="1">
            <x v="96"/>
          </reference>
          <reference field="13" count="1" selected="0">
            <x v="8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715"/>
          </reference>
          <reference field="2" count="1">
            <x v="97"/>
          </reference>
          <reference field="13" count="1" selected="0">
            <x v="8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717"/>
          </reference>
          <reference field="2" count="1">
            <x v="117"/>
          </reference>
          <reference field="13" count="1" selected="0">
            <x v="8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718"/>
          </reference>
          <reference field="2" count="1">
            <x v="119"/>
          </reference>
          <reference field="13" count="1" selected="0">
            <x v="8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719"/>
          </reference>
          <reference field="2" count="1">
            <x v="101"/>
          </reference>
          <reference field="13" count="1" selected="0">
            <x v="8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722"/>
          </reference>
          <reference field="2" count="1">
            <x v="100"/>
          </reference>
          <reference field="13" count="1" selected="0">
            <x v="8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733"/>
          </reference>
          <reference field="2" count="1">
            <x v="132"/>
          </reference>
          <reference field="13" count="1" selected="0">
            <x v="8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741"/>
          </reference>
          <reference field="2" count="1">
            <x v="137"/>
          </reference>
          <reference field="13" count="1" selected="0">
            <x v="8"/>
          </reference>
        </references>
      </pivotArea>
    </format>
    <format dxfId="278">
      <pivotArea dataOnly="0" labelOnly="1" outline="0" fieldPosition="0">
        <references count="3">
          <reference field="0" count="1" selected="0">
            <x v="742"/>
          </reference>
          <reference field="2" count="1">
            <x v="138"/>
          </reference>
          <reference field="13" count="1" selected="0">
            <x v="8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749"/>
          </reference>
          <reference field="2" count="1">
            <x v="26"/>
          </reference>
          <reference field="13" count="1" selected="0">
            <x v="8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756"/>
          </reference>
          <reference field="2" count="1">
            <x v="28"/>
          </reference>
          <reference field="13" count="1" selected="0">
            <x v="8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761"/>
          </reference>
          <reference field="2" count="1">
            <x v="34"/>
          </reference>
          <reference field="13" count="1" selected="0">
            <x v="8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763"/>
          </reference>
          <reference field="2" count="1">
            <x v="147"/>
          </reference>
          <reference field="13" count="1" selected="0">
            <x v="8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778"/>
          </reference>
          <reference field="2" count="1">
            <x v="39"/>
          </reference>
          <reference field="13" count="1" selected="0">
            <x v="8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791"/>
          </reference>
          <reference field="2" count="1">
            <x v="47"/>
          </reference>
          <reference field="13" count="1" selected="0">
            <x v="8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793"/>
          </reference>
          <reference field="2" count="1">
            <x v="159"/>
          </reference>
          <reference field="13" count="1" selected="0">
            <x v="8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795"/>
          </reference>
          <reference field="2" count="1">
            <x v="49"/>
          </reference>
          <reference field="13" count="1" selected="0">
            <x v="8"/>
          </reference>
        </references>
      </pivotArea>
    </format>
    <format dxfId="269">
      <pivotArea dataOnly="0" labelOnly="1" outline="0" fieldPosition="0">
        <references count="3">
          <reference field="0" count="1" selected="0">
            <x v="574"/>
          </reference>
          <reference field="2" count="1">
            <x v="187"/>
          </reference>
          <reference field="13" count="1" selected="0">
            <x v="9"/>
          </reference>
        </references>
      </pivotArea>
    </format>
    <format dxfId="268">
      <pivotArea dataOnly="0" labelOnly="1" outline="0" fieldPosition="0">
        <references count="3">
          <reference field="0" count="1" selected="0">
            <x v="586"/>
          </reference>
          <reference field="2" count="1">
            <x v="124"/>
          </reference>
          <reference field="13" count="1" selected="0">
            <x v="9"/>
          </reference>
        </references>
      </pivotArea>
    </format>
    <format dxfId="267">
      <pivotArea dataOnly="0" labelOnly="1" outline="0" fieldPosition="0">
        <references count="3">
          <reference field="0" count="1" selected="0">
            <x v="591"/>
          </reference>
          <reference field="2" count="1">
            <x v="131"/>
          </reference>
          <reference field="13" count="1" selected="0">
            <x v="9"/>
          </reference>
        </references>
      </pivotArea>
    </format>
    <format dxfId="266">
      <pivotArea dataOnly="0" labelOnly="1" outline="0" fieldPosition="0">
        <references count="3">
          <reference field="0" count="1" selected="0">
            <x v="592"/>
          </reference>
          <reference field="2" count="1">
            <x v="130"/>
          </reference>
          <reference field="13" count="1" selected="0">
            <x v="9"/>
          </reference>
        </references>
      </pivotArea>
    </format>
    <format dxfId="265">
      <pivotArea dataOnly="0" labelOnly="1" outline="0" fieldPosition="0">
        <references count="3">
          <reference field="0" count="1" selected="0">
            <x v="601"/>
          </reference>
          <reference field="2" count="1">
            <x v="55"/>
          </reference>
          <reference field="13" count="1" selected="0">
            <x v="9"/>
          </reference>
        </references>
      </pivotArea>
    </format>
    <format dxfId="264">
      <pivotArea dataOnly="0" labelOnly="1" outline="0" fieldPosition="0">
        <references count="3">
          <reference field="0" count="1" selected="0">
            <x v="603"/>
          </reference>
          <reference field="2" count="1">
            <x v="162"/>
          </reference>
          <reference field="13" count="1" selected="0">
            <x v="9"/>
          </reference>
        </references>
      </pivotArea>
    </format>
    <format dxfId="263">
      <pivotArea dataOnly="0" labelOnly="1" outline="0" fieldPosition="0">
        <references count="3">
          <reference field="0" count="1" selected="0">
            <x v="604"/>
          </reference>
          <reference field="2" count="1">
            <x v="24"/>
          </reference>
          <reference field="13" count="1" selected="0">
            <x v="9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608"/>
          </reference>
          <reference field="2" count="1">
            <x v="163"/>
          </reference>
          <reference field="13" count="1" selected="0">
            <x v="9"/>
          </reference>
        </references>
      </pivotArea>
    </format>
    <format dxfId="261">
      <pivotArea dataOnly="0" labelOnly="1" outline="0" fieldPosition="0">
        <references count="3">
          <reference field="0" count="1" selected="0">
            <x v="635"/>
          </reference>
          <reference field="2" count="1">
            <x v="171"/>
          </reference>
          <reference field="13" count="1" selected="0">
            <x v="9"/>
          </reference>
        </references>
      </pivotArea>
    </format>
    <format dxfId="260">
      <pivotArea dataOnly="0" labelOnly="1" outline="0" fieldPosition="0">
        <references count="3">
          <reference field="0" count="1" selected="0">
            <x v="636"/>
          </reference>
          <reference field="2" count="1">
            <x v="5"/>
          </reference>
          <reference field="13" count="1" selected="0">
            <x v="9"/>
          </reference>
        </references>
      </pivotArea>
    </format>
    <format dxfId="259">
      <pivotArea dataOnly="0" labelOnly="1" outline="0" fieldPosition="0">
        <references count="3">
          <reference field="0" count="1" selected="0">
            <x v="638"/>
          </reference>
          <reference field="2" count="1">
            <x v="172"/>
          </reference>
          <reference field="13" count="1" selected="0">
            <x v="9"/>
          </reference>
        </references>
      </pivotArea>
    </format>
    <format dxfId="258">
      <pivotArea dataOnly="0" labelOnly="1" outline="0" fieldPosition="0">
        <references count="3">
          <reference field="0" count="1" selected="0">
            <x v="639"/>
          </reference>
          <reference field="2" count="1">
            <x v="63"/>
          </reference>
          <reference field="13" count="1" selected="0">
            <x v="9"/>
          </reference>
        </references>
      </pivotArea>
    </format>
    <format dxfId="257">
      <pivotArea dataOnly="0" labelOnly="1" outline="0" fieldPosition="0">
        <references count="3">
          <reference field="0" count="1" selected="0">
            <x v="640"/>
          </reference>
          <reference field="2" count="1">
            <x v="173"/>
          </reference>
          <reference field="13" count="1" selected="0">
            <x v="9"/>
          </reference>
        </references>
      </pivotArea>
    </format>
    <format dxfId="256">
      <pivotArea dataOnly="0" labelOnly="1" outline="0" fieldPosition="0">
        <references count="3">
          <reference field="0" count="1" selected="0">
            <x v="643"/>
          </reference>
          <reference field="2" count="1">
            <x v="175"/>
          </reference>
          <reference field="13" count="1" selected="0">
            <x v="9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649"/>
          </reference>
          <reference field="2" count="1">
            <x v="180"/>
          </reference>
          <reference field="13" count="1" selected="0">
            <x v="9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652"/>
          </reference>
          <reference field="2" count="1">
            <x v="8"/>
          </reference>
          <reference field="13" count="1" selected="0">
            <x v="9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666"/>
          </reference>
          <reference field="2" count="1">
            <x v="13"/>
          </reference>
          <reference field="13" count="1" selected="0">
            <x v="9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672"/>
          </reference>
          <reference field="2" count="1">
            <x v="73"/>
          </reference>
          <reference field="13" count="1" selected="0">
            <x v="9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678"/>
          </reference>
          <reference field="2" count="1">
            <x v="190"/>
          </reference>
          <reference field="13" count="1" selected="0">
            <x v="9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679"/>
          </reference>
          <reference field="2" count="1">
            <x v="193"/>
          </reference>
          <reference field="13" count="1" selected="0">
            <x v="9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696"/>
          </reference>
          <reference field="2" count="1">
            <x v="199"/>
          </reference>
          <reference field="13" count="1" selected="0">
            <x v="9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698"/>
          </reference>
          <reference field="2" count="1">
            <x v="16"/>
          </reference>
          <reference field="13" count="1" selected="0">
            <x v="9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728"/>
          </reference>
          <reference field="2" count="1">
            <x v="128"/>
          </reference>
          <reference field="13" count="1" selected="0">
            <x v="9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736"/>
          </reference>
          <reference field="2" count="1">
            <x v="134"/>
          </reference>
          <reference field="13" count="1" selected="0">
            <x v="9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748"/>
          </reference>
          <reference field="2" count="1">
            <x v="201"/>
          </reference>
          <reference field="13" count="1" selected="0">
            <x v="9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750"/>
          </reference>
          <reference field="2" count="1">
            <x v="27"/>
          </reference>
          <reference field="13" count="1" selected="0">
            <x v="9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751"/>
          </reference>
          <reference field="2" count="1">
            <x v="19"/>
          </reference>
          <reference field="13" count="1" selected="0">
            <x v="9"/>
          </reference>
        </references>
      </pivotArea>
    </format>
    <format dxfId="242">
      <pivotArea dataOnly="0" labelOnly="1" outline="0" fieldPosition="0">
        <references count="3">
          <reference field="0" count="1" selected="0">
            <x v="760"/>
          </reference>
          <reference field="2" count="1">
            <x v="33"/>
          </reference>
          <reference field="13" count="1" selected="0">
            <x v="9"/>
          </reference>
        </references>
      </pivotArea>
    </format>
    <format dxfId="241">
      <pivotArea dataOnly="0" labelOnly="1" outline="0" fieldPosition="0">
        <references count="3">
          <reference field="0" count="1" selected="0">
            <x v="768"/>
          </reference>
          <reference field="2" count="1">
            <x v="20"/>
          </reference>
          <reference field="13" count="1" selected="0">
            <x v="9"/>
          </reference>
        </references>
      </pivotArea>
    </format>
    <format dxfId="240">
      <pivotArea dataOnly="0" labelOnly="1" outline="0" fieldPosition="0">
        <references count="3">
          <reference field="0" count="1" selected="0">
            <x v="790"/>
          </reference>
          <reference field="2" count="1">
            <x v="46"/>
          </reference>
          <reference field="13" count="1" selected="0">
            <x v="9"/>
          </reference>
        </references>
      </pivotArea>
    </format>
    <format dxfId="239">
      <pivotArea dataOnly="0" labelOnly="1" outline="0" fieldPosition="0">
        <references count="3">
          <reference field="0" count="1" selected="0">
            <x v="796"/>
          </reference>
          <reference field="2" count="1">
            <x v="50"/>
          </reference>
          <reference field="13" count="1" selected="0">
            <x v="9"/>
          </reference>
        </references>
      </pivotArea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F2CDF-6D09-4DF8-A1BF-47F4F936A64D}" name="PivotTable1" cacheId="15" applyNumberFormats="0" applyBorderFormats="0" applyFontFormats="0" applyPatternFormats="0" applyAlignmentFormats="0" applyWidthHeightFormats="1" dataCaption="Values" grandTotalCaption="Total" updatedVersion="8" minRefreshableVersion="3" showDrill="0" itemPrintTitles="1" createdVersion="8" indent="0" compact="0" compactData="0" multipleFieldFilters="0">
  <location ref="C7:G10" firstHeaderRow="0" firstDataRow="1" firstDataCol="1" rowPageCount="1" colPageCount="1"/>
  <pivotFields count="8"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  <pivotField dataField="1" compact="0" numFmtId="164" outline="0" showAll="0"/>
    <pivotField dataField="1" compact="0" numFmtId="164" outline="0" showAll="0"/>
    <pivotField compact="0" outline="0" showAll="0"/>
    <pivotField axis="axisPage" compact="0" outline="0" showAll="0">
      <items count="113">
        <item x="0"/>
        <item x="1"/>
        <item m="1" x="100"/>
        <item m="1" x="69"/>
        <item m="1" x="87"/>
        <item m="1" x="33"/>
        <item m="1" x="28"/>
        <item m="1" x="96"/>
        <item m="1" x="83"/>
        <item m="1" x="22"/>
        <item m="1" x="18"/>
        <item m="1" x="73"/>
        <item m="1" x="12"/>
        <item m="1" x="48"/>
        <item m="1" x="32"/>
        <item m="1" x="74"/>
        <item m="1" x="101"/>
        <item m="1" x="85"/>
        <item m="1" x="49"/>
        <item m="1" x="45"/>
        <item m="1" x="98"/>
        <item m="1" x="95"/>
        <item m="1" x="102"/>
        <item m="1" x="43"/>
        <item m="1" x="24"/>
        <item m="1" x="25"/>
        <item m="1" x="21"/>
        <item m="1" x="61"/>
        <item m="1" x="72"/>
        <item m="1" x="10"/>
        <item m="1" x="81"/>
        <item m="1" x="26"/>
        <item m="1" x="56"/>
        <item m="1" x="4"/>
        <item m="1" x="5"/>
        <item m="1" x="99"/>
        <item m="1" x="17"/>
        <item m="1" x="106"/>
        <item m="1" x="63"/>
        <item m="1" x="110"/>
        <item m="1" x="47"/>
        <item m="1" x="76"/>
        <item m="1" x="13"/>
        <item m="1" x="50"/>
        <item m="1" x="6"/>
        <item m="1" x="35"/>
        <item m="1" x="79"/>
        <item m="1" x="62"/>
        <item m="1" x="107"/>
        <item m="1" x="53"/>
        <item m="1" x="103"/>
        <item m="1" x="20"/>
        <item m="1" x="9"/>
        <item m="1" x="86"/>
        <item m="1" x="2"/>
        <item m="1" x="82"/>
        <item m="1" x="108"/>
        <item m="1" x="75"/>
        <item m="1" x="41"/>
        <item m="1" x="91"/>
        <item m="1" x="11"/>
        <item m="1" x="64"/>
        <item m="1" x="77"/>
        <item m="1" x="31"/>
        <item m="1" x="93"/>
        <item m="1" x="104"/>
        <item m="1" x="42"/>
        <item m="1" x="89"/>
        <item m="1" x="36"/>
        <item m="1" x="54"/>
        <item m="1" x="70"/>
        <item m="1" x="3"/>
        <item m="1" x="15"/>
        <item m="1" x="78"/>
        <item m="1" x="59"/>
        <item m="1" x="46"/>
        <item m="1" x="94"/>
        <item m="1" x="27"/>
        <item m="1" x="23"/>
        <item m="1" x="71"/>
        <item m="1" x="7"/>
        <item m="1" x="84"/>
        <item m="1" x="67"/>
        <item m="1" x="39"/>
        <item m="1" x="88"/>
        <item m="1" x="34"/>
        <item m="1" x="16"/>
        <item m="1" x="65"/>
        <item m="1" x="60"/>
        <item m="1" x="51"/>
        <item m="1" x="57"/>
        <item m="1" x="29"/>
        <item m="1" x="80"/>
        <item m="1" x="66"/>
        <item m="1" x="111"/>
        <item m="1" x="90"/>
        <item m="1" x="52"/>
        <item m="1" x="8"/>
        <item m="1" x="37"/>
        <item m="1" x="68"/>
        <item m="1" x="55"/>
        <item m="1" x="40"/>
        <item m="1" x="14"/>
        <item m="1" x="105"/>
        <item m="1" x="44"/>
        <item m="1" x="38"/>
        <item m="1" x="97"/>
        <item m="1" x="109"/>
        <item m="1" x="58"/>
        <item m="1" x="19"/>
        <item m="1" x="30"/>
        <item m="1" x="92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7" item="0" hier="-1"/>
  </pageFields>
  <dataFields count="4">
    <dataField name="No of GDs" fld="2" subtotal="count" baseField="0" baseItem="0"/>
    <dataField name="Units" fld="3" baseField="0" baseItem="0"/>
    <dataField name="Value." fld="4" baseField="0" baseItem="0"/>
    <dataField name="Duty/Taxes" fld="5" baseField="0" baseItem="0"/>
  </dataFields>
  <formats count="14">
    <format dxfId="237">
      <pivotArea outline="0" collapsedLevelsAreSubtotals="1" fieldPosition="0"/>
    </format>
    <format dxfId="236">
      <pivotArea type="all" dataOnly="0" outline="0" fieldPosition="0"/>
    </format>
    <format dxfId="235">
      <pivotArea outline="0" collapsedLevelsAreSubtotals="1" fieldPosition="0"/>
    </format>
    <format dxfId="234">
      <pivotArea dataOnly="0" labelOnly="1" grandRow="1" outline="0" fieldPosition="0"/>
    </format>
    <format dxfId="233">
      <pivotArea outline="0" fieldPosition="0">
        <references count="1">
          <reference field="4294967294" count="1" selected="0">
            <x v="0"/>
          </reference>
        </references>
      </pivotArea>
    </format>
    <format dxfId="232">
      <pivotArea dataOnly="0" outline="0" fieldPosition="0">
        <references count="1">
          <reference field="4294967294" count="1">
            <x v="0"/>
          </reference>
        </references>
      </pivotArea>
    </format>
    <format dxfId="231">
      <pivotArea dataOnly="0" outline="0" fieldPosition="0">
        <references count="1">
          <reference field="4294967294" count="1">
            <x v="0"/>
          </reference>
        </references>
      </pivotArea>
    </format>
    <format dxfId="230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field="1" type="button" dataOnly="0" labelOnly="1" outline="0" axis="axisRow" fieldPosition="0"/>
    </format>
    <format dxfId="226">
      <pivotArea dataOnly="0" labelOnly="1" outline="0" fieldPosition="0">
        <references count="1">
          <reference field="1" count="0"/>
        </references>
      </pivotArea>
    </format>
    <format dxfId="225">
      <pivotArea dataOnly="0" labelOnly="1" grandRow="1" outline="0" fieldPosition="0"/>
    </format>
    <format dxfId="2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DF5E30-AC66-4E39-A6BF-DAD53787E08E}" name="PivotTable2" cacheId="13" applyNumberFormats="0" applyBorderFormats="0" applyFontFormats="0" applyPatternFormats="0" applyAlignmentFormats="0" applyWidthHeightFormats="1" dataCaption="Values" updatedVersion="8" minRefreshableVersion="3" showDrill="0" itemPrintTitles="1" createdVersion="8" indent="0" compact="0" compactData="0" multipleFieldFilters="0">
  <location ref="C7:H140" firstHeaderRow="0" firstDataRow="1" firstDataCol="3" rowPageCount="1" colPageCount="1"/>
  <pivotFields count="8">
    <pivotField axis="axisRow" compact="0" outline="0" showAll="0" defaultSubtotal="0">
      <items count="132"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0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"/>
        <item x="2"/>
        <item x="58"/>
        <item x="59"/>
        <item x="60"/>
        <item x="61"/>
        <item x="62"/>
        <item x="63"/>
        <item x="64"/>
        <item x="65"/>
        <item x="66"/>
        <item x="67"/>
        <item x="68"/>
        <item x="3"/>
        <item x="69"/>
        <item x="70"/>
        <item x="4"/>
        <item x="5"/>
        <item x="71"/>
        <item x="72"/>
        <item x="6"/>
        <item x="7"/>
        <item x="73"/>
        <item x="74"/>
        <item x="75"/>
        <item x="76"/>
        <item x="8"/>
        <item x="77"/>
        <item x="78"/>
        <item x="9"/>
        <item x="79"/>
        <item x="80"/>
        <item x="81"/>
        <item x="82"/>
        <item x="83"/>
        <item x="84"/>
        <item x="10"/>
        <item x="11"/>
        <item x="85"/>
        <item x="86"/>
        <item x="12"/>
        <item x="13"/>
        <item x="14"/>
        <item x="15"/>
        <item x="87"/>
        <item x="88"/>
        <item x="89"/>
        <item x="90"/>
        <item x="91"/>
        <item x="92"/>
        <item x="16"/>
        <item x="93"/>
        <item x="94"/>
        <item x="95"/>
        <item x="17"/>
        <item x="96"/>
        <item x="97"/>
        <item x="98"/>
        <item x="99"/>
        <item x="100"/>
        <item x="101"/>
        <item x="102"/>
        <item x="103"/>
        <item x="104"/>
        <item x="18"/>
        <item x="105"/>
        <item x="106"/>
        <item x="107"/>
        <item x="108"/>
        <item x="109"/>
        <item x="110"/>
        <item x="111"/>
        <item x="112"/>
        <item x="113"/>
        <item x="114"/>
        <item x="19"/>
        <item x="115"/>
        <item x="116"/>
        <item x="20"/>
        <item x="117"/>
        <item x="21"/>
        <item x="118"/>
        <item x="119"/>
        <item x="120"/>
        <item x="121"/>
        <item x="122"/>
        <item x="123"/>
        <item x="124"/>
        <item x="22"/>
        <item x="125"/>
        <item x="23"/>
        <item x="126"/>
        <item x="127"/>
        <item x="24"/>
        <item x="128"/>
        <item x="129"/>
        <item x="130"/>
        <item x="25"/>
        <item x="131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>
      <items count="133">
        <item x="0"/>
        <item x="26"/>
        <item x="45"/>
        <item x="52"/>
        <item x="4"/>
        <item x="7"/>
        <item x="6"/>
        <item x="9"/>
        <item x="19"/>
        <item x="20"/>
        <item x="131"/>
        <item x="33"/>
        <item x="105"/>
        <item x="21"/>
        <item x="126"/>
        <item x="25"/>
        <item x="1"/>
        <item x="2"/>
        <item x="3"/>
        <item x="10"/>
        <item x="15"/>
        <item x="17"/>
        <item x="30"/>
        <item x="90"/>
        <item x="16"/>
        <item x="94"/>
        <item x="31"/>
        <item x="97"/>
        <item x="98"/>
        <item x="104"/>
        <item x="18"/>
        <item x="107"/>
        <item x="116"/>
        <item x="119"/>
        <item x="121"/>
        <item x="22"/>
        <item x="23"/>
        <item x="24"/>
        <item x="129"/>
        <item x="35"/>
        <item x="42"/>
        <item x="49"/>
        <item x="48"/>
        <item x="58"/>
        <item x="62"/>
        <item x="64"/>
        <item x="71"/>
        <item x="28"/>
        <item x="82"/>
        <item x="85"/>
        <item x="11"/>
        <item x="12"/>
        <item x="43"/>
        <item x="44"/>
        <item x="47"/>
        <item x="46"/>
        <item x="51"/>
        <item x="56"/>
        <item x="53"/>
        <item x="61"/>
        <item x="60"/>
        <item x="59"/>
        <item x="27"/>
        <item x="63"/>
        <item x="65"/>
        <item x="66"/>
        <item x="67"/>
        <item x="68"/>
        <item x="70"/>
        <item x="69"/>
        <item x="5"/>
        <item x="73"/>
        <item x="74"/>
        <item x="75"/>
        <item x="76"/>
        <item x="8"/>
        <item x="77"/>
        <item x="79"/>
        <item x="80"/>
        <item x="81"/>
        <item x="83"/>
        <item x="84"/>
        <item x="13"/>
        <item x="14"/>
        <item x="88"/>
        <item x="92"/>
        <item x="91"/>
        <item x="29"/>
        <item x="95"/>
        <item x="96"/>
        <item x="99"/>
        <item x="100"/>
        <item x="102"/>
        <item x="103"/>
        <item x="106"/>
        <item x="108"/>
        <item x="111"/>
        <item x="112"/>
        <item x="113"/>
        <item x="114"/>
        <item x="115"/>
        <item x="117"/>
        <item x="32"/>
        <item x="118"/>
        <item x="120"/>
        <item x="122"/>
        <item x="123"/>
        <item x="124"/>
        <item x="125"/>
        <item x="127"/>
        <item x="128"/>
        <item x="130"/>
        <item x="36"/>
        <item x="38"/>
        <item x="40"/>
        <item x="41"/>
        <item x="54"/>
        <item x="55"/>
        <item x="57"/>
        <item x="72"/>
        <item x="78"/>
        <item x="86"/>
        <item x="87"/>
        <item x="89"/>
        <item x="93"/>
        <item x="101"/>
        <item x="109"/>
        <item x="110"/>
        <item x="34"/>
        <item x="39"/>
        <item x="37"/>
        <item x="50"/>
        <item t="default"/>
      </items>
    </pivotField>
    <pivotField dataField="1" compact="0" outline="0" showAll="0"/>
    <pivotField dataField="1" compact="0" numFmtId="164" outline="0" showAll="0"/>
    <pivotField dataField="1" compact="0" numFmtId="164" outline="0" showAll="0"/>
    <pivotField compact="0" outline="0" showAll="0"/>
    <pivotField axis="axisPage" compact="0" outline="0" showAll="0">
      <items count="2">
        <item x="0"/>
        <item t="default"/>
      </items>
    </pivotField>
  </pivotFields>
  <rowFields count="3">
    <field x="1"/>
    <field x="0"/>
    <field x="2"/>
  </rowFields>
  <rowItems count="133">
    <i>
      <x/>
      <x v="17"/>
      <x/>
    </i>
    <i r="1">
      <x v="33"/>
      <x v="16"/>
    </i>
    <i r="1">
      <x v="34"/>
      <x v="17"/>
    </i>
    <i r="1">
      <x v="46"/>
      <x v="18"/>
    </i>
    <i r="1">
      <x v="49"/>
      <x v="4"/>
    </i>
    <i r="1">
      <x v="50"/>
      <x v="70"/>
    </i>
    <i r="1">
      <x v="53"/>
      <x v="6"/>
    </i>
    <i r="1">
      <x v="54"/>
      <x v="5"/>
    </i>
    <i r="1">
      <x v="59"/>
      <x v="75"/>
    </i>
    <i r="1">
      <x v="62"/>
      <x v="7"/>
    </i>
    <i r="1">
      <x v="69"/>
      <x v="19"/>
    </i>
    <i r="1">
      <x v="70"/>
      <x v="50"/>
    </i>
    <i r="1">
      <x v="73"/>
      <x v="51"/>
    </i>
    <i r="1">
      <x v="74"/>
      <x v="82"/>
    </i>
    <i r="1">
      <x v="75"/>
      <x v="83"/>
    </i>
    <i r="1">
      <x v="76"/>
      <x v="20"/>
    </i>
    <i r="1">
      <x v="83"/>
      <x v="24"/>
    </i>
    <i r="1">
      <x v="87"/>
      <x v="21"/>
    </i>
    <i r="1">
      <x v="97"/>
      <x v="30"/>
    </i>
    <i r="1">
      <x v="108"/>
      <x v="8"/>
    </i>
    <i r="1">
      <x v="111"/>
      <x v="9"/>
    </i>
    <i r="1">
      <x v="113"/>
      <x v="13"/>
    </i>
    <i r="1">
      <x v="121"/>
      <x v="35"/>
    </i>
    <i r="1">
      <x v="123"/>
      <x v="36"/>
    </i>
    <i r="1">
      <x v="126"/>
      <x v="37"/>
    </i>
    <i r="1">
      <x v="130"/>
      <x v="15"/>
    </i>
    <i>
      <x v="1"/>
      <x/>
      <x v="1"/>
    </i>
    <i r="1">
      <x v="1"/>
      <x v="62"/>
    </i>
    <i r="1">
      <x v="2"/>
      <x v="47"/>
    </i>
    <i r="1">
      <x v="3"/>
      <x v="87"/>
    </i>
    <i r="1">
      <x v="4"/>
      <x v="22"/>
    </i>
    <i r="1">
      <x v="5"/>
      <x v="26"/>
    </i>
    <i r="1">
      <x v="6"/>
      <x v="102"/>
    </i>
    <i r="1">
      <x v="7"/>
      <x v="11"/>
    </i>
    <i r="1">
      <x v="8"/>
      <x v="128"/>
    </i>
    <i r="1">
      <x v="9"/>
      <x v="39"/>
    </i>
    <i r="1">
      <x v="10"/>
      <x v="112"/>
    </i>
    <i r="1">
      <x v="11"/>
      <x v="130"/>
    </i>
    <i r="1">
      <x v="12"/>
      <x v="113"/>
    </i>
    <i r="1">
      <x v="13"/>
      <x v="129"/>
    </i>
    <i r="1">
      <x v="14"/>
      <x v="114"/>
    </i>
    <i r="1">
      <x v="15"/>
      <x v="115"/>
    </i>
    <i r="1">
      <x v="16"/>
      <x v="40"/>
    </i>
    <i r="1">
      <x v="18"/>
      <x v="52"/>
    </i>
    <i r="1">
      <x v="19"/>
      <x v="53"/>
    </i>
    <i r="1">
      <x v="20"/>
      <x v="2"/>
    </i>
    <i r="1">
      <x v="21"/>
      <x v="55"/>
    </i>
    <i r="1">
      <x v="22"/>
      <x v="54"/>
    </i>
    <i r="1">
      <x v="23"/>
      <x v="42"/>
    </i>
    <i r="1">
      <x v="24"/>
      <x v="41"/>
    </i>
    <i r="1">
      <x v="25"/>
      <x v="131"/>
    </i>
    <i r="1">
      <x v="26"/>
      <x v="56"/>
    </i>
    <i r="1">
      <x v="27"/>
      <x v="3"/>
    </i>
    <i r="1">
      <x v="28"/>
      <x v="58"/>
    </i>
    <i r="1">
      <x v="29"/>
      <x v="116"/>
    </i>
    <i r="1">
      <x v="30"/>
      <x v="117"/>
    </i>
    <i r="1">
      <x v="31"/>
      <x v="57"/>
    </i>
    <i r="1">
      <x v="32"/>
      <x v="118"/>
    </i>
    <i r="1">
      <x v="35"/>
      <x v="43"/>
    </i>
    <i r="1">
      <x v="36"/>
      <x v="61"/>
    </i>
    <i r="1">
      <x v="37"/>
      <x v="60"/>
    </i>
    <i r="1">
      <x v="38"/>
      <x v="59"/>
    </i>
    <i r="1">
      <x v="39"/>
      <x v="44"/>
    </i>
    <i r="1">
      <x v="40"/>
      <x v="63"/>
    </i>
    <i r="1">
      <x v="41"/>
      <x v="45"/>
    </i>
    <i r="1">
      <x v="42"/>
      <x v="64"/>
    </i>
    <i r="1">
      <x v="43"/>
      <x v="65"/>
    </i>
    <i r="1">
      <x v="44"/>
      <x v="66"/>
    </i>
    <i r="1">
      <x v="45"/>
      <x v="67"/>
    </i>
    <i r="1">
      <x v="47"/>
      <x v="69"/>
    </i>
    <i r="1">
      <x v="48"/>
      <x v="68"/>
    </i>
    <i r="1">
      <x v="51"/>
      <x v="46"/>
    </i>
    <i r="1">
      <x v="52"/>
      <x v="119"/>
    </i>
    <i r="1">
      <x v="55"/>
      <x v="71"/>
    </i>
    <i r="1">
      <x v="56"/>
      <x v="72"/>
    </i>
    <i r="1">
      <x v="57"/>
      <x v="73"/>
    </i>
    <i r="1">
      <x v="58"/>
      <x v="74"/>
    </i>
    <i r="1">
      <x v="60"/>
      <x v="76"/>
    </i>
    <i r="1">
      <x v="61"/>
      <x v="120"/>
    </i>
    <i r="1">
      <x v="63"/>
      <x v="77"/>
    </i>
    <i r="1">
      <x v="64"/>
      <x v="78"/>
    </i>
    <i r="1">
      <x v="65"/>
      <x v="79"/>
    </i>
    <i r="1">
      <x v="66"/>
      <x v="48"/>
    </i>
    <i r="1">
      <x v="67"/>
      <x v="80"/>
    </i>
    <i r="1">
      <x v="68"/>
      <x v="81"/>
    </i>
    <i r="1">
      <x v="71"/>
      <x v="49"/>
    </i>
    <i r="1">
      <x v="72"/>
      <x v="121"/>
    </i>
    <i r="1">
      <x v="77"/>
      <x v="122"/>
    </i>
    <i r="1">
      <x v="78"/>
      <x v="84"/>
    </i>
    <i r="1">
      <x v="79"/>
      <x v="123"/>
    </i>
    <i r="1">
      <x v="80"/>
      <x v="23"/>
    </i>
    <i r="1">
      <x v="81"/>
      <x v="86"/>
    </i>
    <i r="1">
      <x v="82"/>
      <x v="85"/>
    </i>
    <i r="1">
      <x v="84"/>
      <x v="124"/>
    </i>
    <i r="1">
      <x v="85"/>
      <x v="25"/>
    </i>
    <i r="1">
      <x v="86"/>
      <x v="88"/>
    </i>
    <i r="1">
      <x v="88"/>
      <x v="89"/>
    </i>
    <i r="1">
      <x v="89"/>
      <x v="27"/>
    </i>
    <i r="1">
      <x v="90"/>
      <x v="28"/>
    </i>
    <i r="1">
      <x v="91"/>
      <x v="90"/>
    </i>
    <i r="1">
      <x v="92"/>
      <x v="91"/>
    </i>
    <i r="1">
      <x v="93"/>
      <x v="125"/>
    </i>
    <i r="1">
      <x v="94"/>
      <x v="92"/>
    </i>
    <i r="1">
      <x v="95"/>
      <x v="93"/>
    </i>
    <i r="1">
      <x v="96"/>
      <x v="29"/>
    </i>
    <i r="1">
      <x v="98"/>
      <x v="12"/>
    </i>
    <i r="1">
      <x v="99"/>
      <x v="94"/>
    </i>
    <i r="1">
      <x v="100"/>
      <x v="31"/>
    </i>
    <i r="1">
      <x v="101"/>
      <x v="95"/>
    </i>
    <i r="1">
      <x v="102"/>
      <x v="126"/>
    </i>
    <i r="1">
      <x v="103"/>
      <x v="127"/>
    </i>
    <i r="1">
      <x v="104"/>
      <x v="96"/>
    </i>
    <i r="1">
      <x v="105"/>
      <x v="97"/>
    </i>
    <i r="1">
      <x v="106"/>
      <x v="98"/>
    </i>
    <i r="1">
      <x v="107"/>
      <x v="99"/>
    </i>
    <i r="1">
      <x v="109"/>
      <x v="100"/>
    </i>
    <i r="1">
      <x v="110"/>
      <x v="32"/>
    </i>
    <i r="1">
      <x v="112"/>
      <x v="101"/>
    </i>
    <i r="1">
      <x v="114"/>
      <x v="103"/>
    </i>
    <i r="1">
      <x v="115"/>
      <x v="33"/>
    </i>
    <i r="1">
      <x v="116"/>
      <x v="104"/>
    </i>
    <i r="1">
      <x v="117"/>
      <x v="34"/>
    </i>
    <i r="1">
      <x v="118"/>
      <x v="105"/>
    </i>
    <i r="1">
      <x v="119"/>
      <x v="106"/>
    </i>
    <i r="1">
      <x v="120"/>
      <x v="107"/>
    </i>
    <i r="1">
      <x v="122"/>
      <x v="108"/>
    </i>
    <i r="1">
      <x v="124"/>
      <x v="14"/>
    </i>
    <i r="1">
      <x v="125"/>
      <x v="109"/>
    </i>
    <i r="1">
      <x v="127"/>
      <x v="110"/>
    </i>
    <i r="1">
      <x v="128"/>
      <x v="38"/>
    </i>
    <i r="1">
      <x v="129"/>
      <x v="111"/>
    </i>
    <i r="1">
      <x v="131"/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item="0" hier="-1"/>
  </pageFields>
  <dataFields count="3">
    <dataField name="Units" fld="3" baseField="0" baseItem="0"/>
    <dataField name="Value." fld="4" baseField="0" baseItem="0"/>
    <dataField name="Duty/Taxes" fld="5" baseField="0" baseItem="0"/>
  </dataFields>
  <formats count="154">
    <format dxfId="223">
      <pivotArea outline="0" collapsedLevelsAreSubtotals="1" fieldPosition="0"/>
    </format>
    <format dxfId="222">
      <pivotArea dataOnly="0" labelOnly="1" outline="0" fieldPosition="0">
        <references count="1">
          <reference field="7" count="0"/>
        </references>
      </pivotArea>
    </format>
    <format dxfId="221">
      <pivotArea type="all" dataOnly="0" outline="0" fieldPosition="0"/>
    </format>
    <format dxfId="220">
      <pivotArea outline="0" collapsedLevelsAreSubtotals="1" fieldPosition="0"/>
    </format>
    <format dxfId="219">
      <pivotArea dataOnly="0" labelOnly="1" grandRow="1" outline="0" fieldPosition="0"/>
    </format>
    <format dxfId="218">
      <pivotArea grandRow="1" outline="0" collapsedLevelsAreSubtotals="1" fieldPosition="0"/>
    </format>
    <format dxfId="217">
      <pivotArea outline="0" collapsedLevelsAreSubtotals="1" fieldPosition="0"/>
    </format>
    <format dxfId="216">
      <pivotArea dataOnly="0" labelOnly="1" grandRow="1" outline="0" fieldPosition="0"/>
    </format>
    <format dxfId="215">
      <pivotArea dataOnly="0" labelOnly="1" outline="0" fieldPosition="0">
        <references count="1">
          <reference field="0" count="0"/>
        </references>
      </pivotArea>
    </format>
    <format dxfId="214">
      <pivotArea outline="0" collapsedLevelsAreSubtotals="1" fieldPosition="0"/>
    </format>
    <format dxfId="213">
      <pivotArea dataOnly="0" labelOnly="1" outline="0" fieldPosition="0">
        <references count="1">
          <reference field="1" count="0"/>
        </references>
      </pivotArea>
    </format>
    <format dxfId="212">
      <pivotArea dataOnly="0" labelOnly="1" outline="0" fieldPosition="0">
        <references count="1">
          <reference field="1" count="0" defaultSubtotal="1"/>
        </references>
      </pivotArea>
    </format>
    <format dxfId="211">
      <pivotArea dataOnly="0" labelOnly="1" grandRow="1" outline="0" fieldPosition="0"/>
    </format>
    <format dxfId="210">
      <pivotArea dataOnly="0" labelOnly="1" outline="0" fieldPosition="0">
        <references count="2">
          <reference field="0" count="26">
            <x v="17"/>
            <x v="33"/>
            <x v="34"/>
            <x v="46"/>
            <x v="49"/>
            <x v="50"/>
            <x v="53"/>
            <x v="54"/>
            <x v="59"/>
            <x v="62"/>
            <x v="69"/>
            <x v="70"/>
            <x v="73"/>
            <x v="74"/>
            <x v="75"/>
            <x v="76"/>
            <x v="83"/>
            <x v="87"/>
            <x v="97"/>
            <x v="108"/>
            <x v="111"/>
            <x v="113"/>
            <x v="121"/>
            <x v="123"/>
            <x v="126"/>
            <x v="130"/>
          </reference>
          <reference field="1" count="1" selected="0">
            <x v="0"/>
          </reference>
        </references>
      </pivotArea>
    </format>
    <format dxfId="209">
      <pivotArea dataOnly="0" labelOnly="1" outline="0" fieldPosition="0">
        <references count="2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51"/>
            <x v="52"/>
            <x v="55"/>
            <x v="56"/>
            <x v="57"/>
          </reference>
          <reference field="1" count="1" selected="0">
            <x v="1"/>
          </reference>
        </references>
      </pivotArea>
    </format>
    <format dxfId="208">
      <pivotArea dataOnly="0" labelOnly="1" outline="0" fieldPosition="0">
        <references count="2">
          <reference field="0" count="50">
            <x v="58"/>
            <x v="60"/>
            <x v="61"/>
            <x v="63"/>
            <x v="64"/>
            <x v="65"/>
            <x v="66"/>
            <x v="67"/>
            <x v="68"/>
            <x v="71"/>
            <x v="72"/>
            <x v="77"/>
            <x v="78"/>
            <x v="79"/>
            <x v="80"/>
            <x v="81"/>
            <x v="82"/>
            <x v="84"/>
            <x v="85"/>
            <x v="86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2"/>
            <x v="114"/>
            <x v="115"/>
            <x v="116"/>
            <x v="117"/>
            <x v="118"/>
            <x v="119"/>
            <x v="120"/>
            <x v="122"/>
          </reference>
          <reference field="1" count="1" selected="0">
            <x v="1"/>
          </reference>
        </references>
      </pivotArea>
    </format>
    <format dxfId="207">
      <pivotArea dataOnly="0" labelOnly="1" outline="0" fieldPosition="0">
        <references count="2">
          <reference field="0" count="6">
            <x v="124"/>
            <x v="125"/>
            <x v="127"/>
            <x v="128"/>
            <x v="129"/>
            <x v="131"/>
          </reference>
          <reference field="1" count="1" selected="0">
            <x v="1"/>
          </reference>
        </references>
      </pivotArea>
    </format>
    <format dxfId="206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205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0"/>
          </reference>
          <reference field="2" count="1">
            <x v="16"/>
          </reference>
        </references>
      </pivotArea>
    </format>
    <format dxfId="204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0"/>
          </reference>
          <reference field="2" count="1">
            <x v="17"/>
          </reference>
        </references>
      </pivotArea>
    </format>
    <format dxfId="203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202">
      <pivotArea dataOnly="0" labelOnly="1" outline="0" fieldPosition="0">
        <references count="3">
          <reference field="0" count="1" selected="0">
            <x v="49"/>
          </reference>
          <reference field="1" count="1" selected="0">
            <x v="0"/>
          </reference>
          <reference field="2" count="1">
            <x v="4"/>
          </reference>
        </references>
      </pivotArea>
    </format>
    <format dxfId="201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0"/>
          </reference>
          <reference field="2" count="1">
            <x v="70"/>
          </reference>
        </references>
      </pivotArea>
    </format>
    <format dxfId="200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0"/>
          </reference>
          <reference field="2" count="1">
            <x v="6"/>
          </reference>
        </references>
      </pivotArea>
    </format>
    <format dxfId="199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0"/>
          </reference>
          <reference field="2" count="1">
            <x v="5"/>
          </reference>
        </references>
      </pivotArea>
    </format>
    <format dxfId="198">
      <pivotArea dataOnly="0" labelOnly="1" outline="0" fieldPosition="0">
        <references count="3">
          <reference field="0" count="1" selected="0">
            <x v="59"/>
          </reference>
          <reference field="1" count="1" selected="0">
            <x v="0"/>
          </reference>
          <reference field="2" count="1">
            <x v="75"/>
          </reference>
        </references>
      </pivotArea>
    </format>
    <format dxfId="197">
      <pivotArea dataOnly="0" labelOnly="1" outline="0" fieldPosition="0">
        <references count="3">
          <reference field="0" count="1" selected="0">
            <x v="62"/>
          </reference>
          <reference field="1" count="1" selected="0">
            <x v="0"/>
          </reference>
          <reference field="2" count="1">
            <x v="7"/>
          </reference>
        </references>
      </pivotArea>
    </format>
    <format dxfId="196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0"/>
          </reference>
          <reference field="2" count="1">
            <x v="19"/>
          </reference>
        </references>
      </pivotArea>
    </format>
    <format dxfId="195">
      <pivotArea dataOnly="0" labelOnly="1" outline="0" fieldPosition="0">
        <references count="3">
          <reference field="0" count="1" selected="0">
            <x v="70"/>
          </reference>
          <reference field="1" count="1" selected="0">
            <x v="0"/>
          </reference>
          <reference field="2" count="1">
            <x v="50"/>
          </reference>
        </references>
      </pivotArea>
    </format>
    <format dxfId="194">
      <pivotArea dataOnly="0" labelOnly="1" outline="0" fieldPosition="0">
        <references count="3">
          <reference field="0" count="1" selected="0">
            <x v="73"/>
          </reference>
          <reference field="1" count="1" selected="0">
            <x v="0"/>
          </reference>
          <reference field="2" count="1">
            <x v="51"/>
          </reference>
        </references>
      </pivotArea>
    </format>
    <format dxfId="193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0"/>
          </reference>
          <reference field="2" count="1">
            <x v="82"/>
          </reference>
        </references>
      </pivotArea>
    </format>
    <format dxfId="192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0"/>
          </reference>
          <reference field="2" count="1">
            <x v="83"/>
          </reference>
        </references>
      </pivotArea>
    </format>
    <format dxfId="191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0"/>
          </reference>
          <reference field="2" count="1">
            <x v="20"/>
          </reference>
        </references>
      </pivotArea>
    </format>
    <format dxfId="190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0"/>
          </reference>
          <reference field="2" count="1">
            <x v="24"/>
          </reference>
        </references>
      </pivotArea>
    </format>
    <format dxfId="189">
      <pivotArea dataOnly="0" labelOnly="1" outline="0" fieldPosition="0">
        <references count="3">
          <reference field="0" count="1" selected="0">
            <x v="87"/>
          </reference>
          <reference field="1" count="1" selected="0">
            <x v="0"/>
          </reference>
          <reference field="2" count="1">
            <x v="21"/>
          </reference>
        </references>
      </pivotArea>
    </format>
    <format dxfId="188">
      <pivotArea dataOnly="0" labelOnly="1" outline="0" fieldPosition="0">
        <references count="3">
          <reference field="0" count="1" selected="0">
            <x v="97"/>
          </reference>
          <reference field="1" count="1" selected="0">
            <x v="0"/>
          </reference>
          <reference field="2" count="1">
            <x v="30"/>
          </reference>
        </references>
      </pivotArea>
    </format>
    <format dxfId="187">
      <pivotArea dataOnly="0" labelOnly="1" outline="0" fieldPosition="0">
        <references count="3">
          <reference field="0" count="1" selected="0">
            <x v="108"/>
          </reference>
          <reference field="1" count="1" selected="0">
            <x v="0"/>
          </reference>
          <reference field="2" count="1">
            <x v="8"/>
          </reference>
        </references>
      </pivotArea>
    </format>
    <format dxfId="186">
      <pivotArea dataOnly="0" labelOnly="1" outline="0" fieldPosition="0">
        <references count="3">
          <reference field="0" count="1" selected="0">
            <x v="111"/>
          </reference>
          <reference field="1" count="1" selected="0">
            <x v="0"/>
          </reference>
          <reference field="2" count="1">
            <x v="9"/>
          </reference>
        </references>
      </pivotArea>
    </format>
    <format dxfId="185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0"/>
          </reference>
          <reference field="2" count="1">
            <x v="13"/>
          </reference>
        </references>
      </pivotArea>
    </format>
    <format dxfId="184">
      <pivotArea dataOnly="0" labelOnly="1" outline="0" fieldPosition="0">
        <references count="3">
          <reference field="0" count="1" selected="0">
            <x v="121"/>
          </reference>
          <reference field="1" count="1" selected="0">
            <x v="0"/>
          </reference>
          <reference field="2" count="1">
            <x v="35"/>
          </reference>
        </references>
      </pivotArea>
    </format>
    <format dxfId="183">
      <pivotArea dataOnly="0" labelOnly="1" outline="0" fieldPosition="0">
        <references count="3">
          <reference field="0" count="1" selected="0">
            <x v="123"/>
          </reference>
          <reference field="1" count="1" selected="0">
            <x v="0"/>
          </reference>
          <reference field="2" count="1">
            <x v="36"/>
          </reference>
        </references>
      </pivotArea>
    </format>
    <format dxfId="182">
      <pivotArea dataOnly="0" labelOnly="1" outline="0" fieldPosition="0">
        <references count="3">
          <reference field="0" count="1" selected="0">
            <x v="126"/>
          </reference>
          <reference field="1" count="1" selected="0">
            <x v="0"/>
          </reference>
          <reference field="2" count="1">
            <x v="37"/>
          </reference>
        </references>
      </pivotArea>
    </format>
    <format dxfId="181">
      <pivotArea dataOnly="0" labelOnly="1" outline="0" fieldPosition="0">
        <references count="3">
          <reference field="0" count="1" selected="0">
            <x v="130"/>
          </reference>
          <reference field="1" count="1" selected="0">
            <x v="0"/>
          </reference>
          <reference field="2" count="1">
            <x v="15"/>
          </reference>
        </references>
      </pivotArea>
    </format>
    <format dxfId="18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17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1">
            <x v="62"/>
          </reference>
        </references>
      </pivotArea>
    </format>
    <format dxfId="17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1">
            <x v="47"/>
          </reference>
        </references>
      </pivotArea>
    </format>
    <format dxfId="17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2" count="1">
            <x v="87"/>
          </reference>
        </references>
      </pivotArea>
    </format>
    <format dxfId="17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2" count="1">
            <x v="22"/>
          </reference>
        </references>
      </pivotArea>
    </format>
    <format dxfId="17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2" count="1">
            <x v="26"/>
          </reference>
        </references>
      </pivotArea>
    </format>
    <format dxfId="17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1"/>
          </reference>
          <reference field="2" count="1">
            <x v="102"/>
          </reference>
        </references>
      </pivotArea>
    </format>
    <format dxfId="17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2" count="1">
            <x v="11"/>
          </reference>
        </references>
      </pivotArea>
    </format>
    <format dxfId="17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2" count="1">
            <x v="128"/>
          </reference>
        </references>
      </pivotArea>
    </format>
    <format dxfId="171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39"/>
          </reference>
        </references>
      </pivotArea>
    </format>
    <format dxfId="17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1"/>
          </reference>
          <reference field="2" count="1">
            <x v="112"/>
          </reference>
        </references>
      </pivotArea>
    </format>
    <format dxfId="169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1"/>
          </reference>
          <reference field="2" count="1">
            <x v="130"/>
          </reference>
        </references>
      </pivotArea>
    </format>
    <format dxfId="16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"/>
          </reference>
          <reference field="2" count="1">
            <x v="113"/>
          </reference>
        </references>
      </pivotArea>
    </format>
    <format dxfId="167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"/>
          </reference>
          <reference field="2" count="1">
            <x v="129"/>
          </reference>
        </references>
      </pivotArea>
    </format>
    <format dxfId="166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"/>
          </reference>
          <reference field="2" count="1">
            <x v="114"/>
          </reference>
        </references>
      </pivotArea>
    </format>
    <format dxfId="165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"/>
          </reference>
          <reference field="2" count="1">
            <x v="115"/>
          </reference>
        </references>
      </pivotArea>
    </format>
    <format dxfId="164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"/>
          </reference>
          <reference field="2" count="1">
            <x v="40"/>
          </reference>
        </references>
      </pivotArea>
    </format>
    <format dxfId="163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"/>
          </reference>
          <reference field="2" count="1">
            <x v="52"/>
          </reference>
        </references>
      </pivotArea>
    </format>
    <format dxfId="16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"/>
          </reference>
          <reference field="2" count="1">
            <x v="53"/>
          </reference>
        </references>
      </pivotArea>
    </format>
    <format dxfId="161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"/>
          </reference>
          <reference field="2" count="1">
            <x v="2"/>
          </reference>
        </references>
      </pivotArea>
    </format>
    <format dxfId="16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"/>
          </reference>
          <reference field="2" count="1">
            <x v="55"/>
          </reference>
        </references>
      </pivotArea>
    </format>
    <format dxfId="159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"/>
          </reference>
          <reference field="2" count="1">
            <x v="54"/>
          </reference>
        </references>
      </pivotArea>
    </format>
    <format dxfId="158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"/>
          </reference>
          <reference field="2" count="1">
            <x v="42"/>
          </reference>
        </references>
      </pivotArea>
    </format>
    <format dxfId="157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"/>
          </reference>
          <reference field="2" count="1">
            <x v="41"/>
          </reference>
        </references>
      </pivotArea>
    </format>
    <format dxfId="156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"/>
          </reference>
          <reference field="2" count="1">
            <x v="131"/>
          </reference>
        </references>
      </pivotArea>
    </format>
    <format dxfId="15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"/>
          </reference>
          <reference field="2" count="1">
            <x v="56"/>
          </reference>
        </references>
      </pivotArea>
    </format>
    <format dxfId="154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"/>
          </reference>
          <reference field="2" count="1">
            <x v="3"/>
          </reference>
        </references>
      </pivotArea>
    </format>
    <format dxfId="153">
      <pivotArea dataOnly="0" labelOnly="1" outline="0" fieldPosition="0">
        <references count="3">
          <reference field="0" count="1" selected="0">
            <x v="28"/>
          </reference>
          <reference field="1" count="1" selected="0">
            <x v="1"/>
          </reference>
          <reference field="2" count="1">
            <x v="58"/>
          </reference>
        </references>
      </pivotArea>
    </format>
    <format dxfId="152">
      <pivotArea dataOnly="0" labelOnly="1" outline="0" fieldPosition="0">
        <references count="3">
          <reference field="0" count="1" selected="0">
            <x v="29"/>
          </reference>
          <reference field="1" count="1" selected="0">
            <x v="1"/>
          </reference>
          <reference field="2" count="1">
            <x v="116"/>
          </reference>
        </references>
      </pivotArea>
    </format>
    <format dxfId="151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1"/>
          </reference>
          <reference field="2" count="1">
            <x v="117"/>
          </reference>
        </references>
      </pivotArea>
    </format>
    <format dxfId="150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1"/>
          </reference>
          <reference field="2" count="1">
            <x v="57"/>
          </reference>
        </references>
      </pivotArea>
    </format>
    <format dxfId="149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1"/>
          </reference>
          <reference field="2" count="1">
            <x v="118"/>
          </reference>
        </references>
      </pivotArea>
    </format>
    <format dxfId="148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1"/>
          </reference>
          <reference field="2" count="1">
            <x v="43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36"/>
          </reference>
          <reference field="1" count="1" selected="0">
            <x v="1"/>
          </reference>
          <reference field="2" count="1">
            <x v="61"/>
          </reference>
        </references>
      </pivotArea>
    </format>
    <format dxfId="146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1"/>
          </reference>
          <reference field="2" count="1">
            <x v="60"/>
          </reference>
        </references>
      </pivotArea>
    </format>
    <format dxfId="145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1"/>
          </reference>
          <reference field="2" count="1">
            <x v="59"/>
          </reference>
        </references>
      </pivotArea>
    </format>
    <format dxfId="144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1"/>
          </reference>
          <reference field="2" count="1">
            <x v="44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1"/>
          </reference>
          <reference field="2" count="1">
            <x v="63"/>
          </reference>
        </references>
      </pivotArea>
    </format>
    <format dxfId="142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1"/>
          </reference>
          <reference field="2" count="1">
            <x v="45"/>
          </reference>
        </references>
      </pivotArea>
    </format>
    <format dxfId="141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1"/>
          </reference>
          <reference field="2" count="1">
            <x v="64"/>
          </reference>
        </references>
      </pivotArea>
    </format>
    <format dxfId="140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1"/>
          </reference>
          <reference field="2" count="1">
            <x v="65"/>
          </reference>
        </references>
      </pivotArea>
    </format>
    <format dxfId="139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1"/>
          </reference>
          <reference field="2" count="1">
            <x v="66"/>
          </reference>
        </references>
      </pivotArea>
    </format>
    <format dxfId="138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1"/>
          </reference>
          <reference field="2" count="1">
            <x v="67"/>
          </reference>
        </references>
      </pivotArea>
    </format>
    <format dxfId="137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1"/>
          </reference>
          <reference field="2" count="1">
            <x v="69"/>
          </reference>
        </references>
      </pivotArea>
    </format>
    <format dxfId="136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1"/>
          </reference>
          <reference field="2" count="1">
            <x v="68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1"/>
          </reference>
          <reference field="2" count="1">
            <x v="46"/>
          </reference>
        </references>
      </pivotArea>
    </format>
    <format dxfId="134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1"/>
          </reference>
          <reference field="2" count="1">
            <x v="119"/>
          </reference>
        </references>
      </pivotArea>
    </format>
    <format dxfId="133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1"/>
          </reference>
          <reference field="2" count="1">
            <x v="71"/>
          </reference>
        </references>
      </pivotArea>
    </format>
    <format dxfId="132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1"/>
          </reference>
          <reference field="2" count="1">
            <x v="72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1"/>
          </reference>
          <reference field="2" count="1">
            <x v="73"/>
          </reference>
        </references>
      </pivotArea>
    </format>
    <format dxfId="130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1"/>
          </reference>
          <reference field="2" count="1">
            <x v="74"/>
          </reference>
        </references>
      </pivotArea>
    </format>
    <format dxfId="129">
      <pivotArea dataOnly="0" labelOnly="1" outline="0" fieldPosition="0">
        <references count="3">
          <reference field="0" count="1" selected="0">
            <x v="60"/>
          </reference>
          <reference field="1" count="1" selected="0">
            <x v="1"/>
          </reference>
          <reference field="2" count="1">
            <x v="76"/>
          </reference>
        </references>
      </pivotArea>
    </format>
    <format dxfId="128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1"/>
          </reference>
          <reference field="2" count="1">
            <x v="120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1"/>
          </reference>
          <reference field="2" count="1">
            <x v="77"/>
          </reference>
        </references>
      </pivotArea>
    </format>
    <format dxfId="126">
      <pivotArea dataOnly="0" labelOnly="1" outline="0" fieldPosition="0">
        <references count="3">
          <reference field="0" count="1" selected="0">
            <x v="64"/>
          </reference>
          <reference field="1" count="1" selected="0">
            <x v="1"/>
          </reference>
          <reference field="2" count="1">
            <x v="78"/>
          </reference>
        </references>
      </pivotArea>
    </format>
    <format dxfId="125">
      <pivotArea dataOnly="0" labelOnly="1" outline="0" fieldPosition="0">
        <references count="3">
          <reference field="0" count="1" selected="0">
            <x v="65"/>
          </reference>
          <reference field="1" count="1" selected="0">
            <x v="1"/>
          </reference>
          <reference field="2" count="1">
            <x v="79"/>
          </reference>
        </references>
      </pivotArea>
    </format>
    <format dxfId="124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1"/>
          </reference>
          <reference field="2" count="1">
            <x v="48"/>
          </reference>
        </references>
      </pivotArea>
    </format>
    <format dxfId="123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1"/>
          </reference>
          <reference field="2" count="1">
            <x v="80"/>
          </reference>
        </references>
      </pivotArea>
    </format>
    <format dxfId="122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1"/>
          </reference>
          <reference field="2" count="1">
            <x v="81"/>
          </reference>
        </references>
      </pivotArea>
    </format>
    <format dxfId="121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1"/>
          </reference>
          <reference field="2" count="1">
            <x v="49"/>
          </reference>
        </references>
      </pivotArea>
    </format>
    <format dxfId="120">
      <pivotArea dataOnly="0" labelOnly="1" outline="0" fieldPosition="0">
        <references count="3">
          <reference field="0" count="1" selected="0">
            <x v="72"/>
          </reference>
          <reference field="1" count="1" selected="0">
            <x v="1"/>
          </reference>
          <reference field="2" count="1">
            <x v="121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1"/>
          </reference>
          <reference field="2" count="1">
            <x v="122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78"/>
          </reference>
          <reference field="1" count="1" selected="0">
            <x v="1"/>
          </reference>
          <reference field="2" count="1">
            <x v="84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1"/>
          </reference>
          <reference field="2" count="1">
            <x v="123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80"/>
          </reference>
          <reference field="1" count="1" selected="0">
            <x v="1"/>
          </reference>
          <reference field="2" count="1">
            <x v="23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81"/>
          </reference>
          <reference field="1" count="1" selected="0">
            <x v="1"/>
          </reference>
          <reference field="2" count="1">
            <x v="86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82"/>
          </reference>
          <reference field="1" count="1" selected="0">
            <x v="1"/>
          </reference>
          <reference field="2" count="1">
            <x v="85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84"/>
          </reference>
          <reference field="1" count="1" selected="0">
            <x v="1"/>
          </reference>
          <reference field="2" count="1">
            <x v="124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1"/>
          </reference>
          <reference field="2" count="1">
            <x v="25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86"/>
          </reference>
          <reference field="1" count="1" selected="0">
            <x v="1"/>
          </reference>
          <reference field="2" count="1">
            <x v="88"/>
          </reference>
        </references>
      </pivotArea>
    </format>
    <format dxfId="110">
      <pivotArea dataOnly="0" labelOnly="1" outline="0" fieldPosition="0">
        <references count="3">
          <reference field="0" count="1" selected="0">
            <x v="88"/>
          </reference>
          <reference field="1" count="1" selected="0">
            <x v="1"/>
          </reference>
          <reference field="2" count="1">
            <x v="89"/>
          </reference>
        </references>
      </pivotArea>
    </format>
    <format dxfId="109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1"/>
          </reference>
          <reference field="2" count="1">
            <x v="27"/>
          </reference>
        </references>
      </pivotArea>
    </format>
    <format dxfId="108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1"/>
          </reference>
          <reference field="2" count="1">
            <x v="28"/>
          </reference>
        </references>
      </pivotArea>
    </format>
    <format dxfId="107">
      <pivotArea dataOnly="0" labelOnly="1" outline="0" fieldPosition="0">
        <references count="3">
          <reference field="0" count="1" selected="0">
            <x v="91"/>
          </reference>
          <reference field="1" count="1" selected="0">
            <x v="1"/>
          </reference>
          <reference field="2" count="1">
            <x v="90"/>
          </reference>
        </references>
      </pivotArea>
    </format>
    <format dxfId="106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1"/>
          </reference>
          <reference field="2" count="1">
            <x v="91"/>
          </reference>
        </references>
      </pivotArea>
    </format>
    <format dxfId="105">
      <pivotArea dataOnly="0" labelOnly="1" outline="0" fieldPosition="0">
        <references count="3">
          <reference field="0" count="1" selected="0">
            <x v="93"/>
          </reference>
          <reference field="1" count="1" selected="0">
            <x v="1"/>
          </reference>
          <reference field="2" count="1">
            <x v="125"/>
          </reference>
        </references>
      </pivotArea>
    </format>
    <format dxfId="104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1"/>
          </reference>
          <reference field="2" count="1">
            <x v="92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1"/>
          </reference>
          <reference field="2" count="1">
            <x v="93"/>
          </reference>
        </references>
      </pivotArea>
    </format>
    <format dxfId="102">
      <pivotArea dataOnly="0" labelOnly="1" outline="0" fieldPosition="0">
        <references count="3">
          <reference field="0" count="1" selected="0">
            <x v="96"/>
          </reference>
          <reference field="1" count="1" selected="0">
            <x v="1"/>
          </reference>
          <reference field="2" count="1">
            <x v="29"/>
          </reference>
        </references>
      </pivotArea>
    </format>
    <format dxfId="101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1"/>
          </reference>
          <reference field="2" count="1">
            <x v="12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99"/>
          </reference>
          <reference field="1" count="1" selected="0">
            <x v="1"/>
          </reference>
          <reference field="2" count="1">
            <x v="94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1"/>
          </reference>
          <reference field="2" count="1">
            <x v="31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1"/>
          </reference>
          <reference field="2" count="1">
            <x v="95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1"/>
          </reference>
          <reference field="2" count="1">
            <x v="126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103"/>
          </reference>
          <reference field="1" count="1" selected="0">
            <x v="1"/>
          </reference>
          <reference field="2" count="1">
            <x v="127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104"/>
          </reference>
          <reference field="1" count="1" selected="0">
            <x v="1"/>
          </reference>
          <reference field="2" count="1">
            <x v="96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105"/>
          </reference>
          <reference field="1" count="1" selected="0">
            <x v="1"/>
          </reference>
          <reference field="2" count="1">
            <x v="97"/>
          </reference>
        </references>
      </pivotArea>
    </format>
    <format dxfId="93">
      <pivotArea dataOnly="0" labelOnly="1" outline="0" fieldPosition="0">
        <references count="3">
          <reference field="0" count="1" selected="0">
            <x v="106"/>
          </reference>
          <reference field="1" count="1" selected="0">
            <x v="1"/>
          </reference>
          <reference field="2" count="1">
            <x v="98"/>
          </reference>
        </references>
      </pivotArea>
    </format>
    <format dxfId="92">
      <pivotArea dataOnly="0" labelOnly="1" outline="0" fieldPosition="0">
        <references count="3">
          <reference field="0" count="1" selected="0">
            <x v="107"/>
          </reference>
          <reference field="1" count="1" selected="0">
            <x v="1"/>
          </reference>
          <reference field="2" count="1">
            <x v="99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109"/>
          </reference>
          <reference field="1" count="1" selected="0">
            <x v="1"/>
          </reference>
          <reference field="2" count="1">
            <x v="100"/>
          </reference>
        </references>
      </pivotArea>
    </format>
    <format dxfId="90">
      <pivotArea dataOnly="0" labelOnly="1" outline="0" fieldPosition="0">
        <references count="3">
          <reference field="0" count="1" selected="0">
            <x v="110"/>
          </reference>
          <reference field="1" count="1" selected="0">
            <x v="1"/>
          </reference>
          <reference field="2" count="1">
            <x v="32"/>
          </reference>
        </references>
      </pivotArea>
    </format>
    <format dxfId="89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1"/>
          </reference>
          <reference field="2" count="1">
            <x v="101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1"/>
          </reference>
          <reference field="2" count="1">
            <x v="103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1"/>
          </reference>
          <reference field="2" count="1">
            <x v="33"/>
          </reference>
        </references>
      </pivotArea>
    </format>
    <format dxfId="86">
      <pivotArea dataOnly="0" labelOnly="1" outline="0" fieldPosition="0">
        <references count="3">
          <reference field="0" count="1" selected="0">
            <x v="116"/>
          </reference>
          <reference field="1" count="1" selected="0">
            <x v="1"/>
          </reference>
          <reference field="2" count="1">
            <x v="104"/>
          </reference>
        </references>
      </pivotArea>
    </format>
    <format dxfId="85">
      <pivotArea dataOnly="0" labelOnly="1" outline="0" fieldPosition="0">
        <references count="3">
          <reference field="0" count="1" selected="0">
            <x v="117"/>
          </reference>
          <reference field="1" count="1" selected="0">
            <x v="1"/>
          </reference>
          <reference field="2" count="1">
            <x v="34"/>
          </reference>
        </references>
      </pivotArea>
    </format>
    <format dxfId="84">
      <pivotArea dataOnly="0" labelOnly="1" outline="0" fieldPosition="0">
        <references count="3">
          <reference field="0" count="1" selected="0">
            <x v="118"/>
          </reference>
          <reference field="1" count="1" selected="0">
            <x v="1"/>
          </reference>
          <reference field="2" count="1">
            <x v="105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119"/>
          </reference>
          <reference field="1" count="1" selected="0">
            <x v="1"/>
          </reference>
          <reference field="2" count="1">
            <x v="106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120"/>
          </reference>
          <reference field="1" count="1" selected="0">
            <x v="1"/>
          </reference>
          <reference field="2" count="1">
            <x v="107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122"/>
          </reference>
          <reference field="1" count="1" selected="0">
            <x v="1"/>
          </reference>
          <reference field="2" count="1">
            <x v="108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124"/>
          </reference>
          <reference field="1" count="1" selected="0">
            <x v="1"/>
          </reference>
          <reference field="2" count="1">
            <x v="14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125"/>
          </reference>
          <reference field="1" count="1" selected="0">
            <x v="1"/>
          </reference>
          <reference field="2" count="1">
            <x v="109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127"/>
          </reference>
          <reference field="1" count="1" selected="0">
            <x v="1"/>
          </reference>
          <reference field="2" count="1">
            <x v="110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128"/>
          </reference>
          <reference field="1" count="1" selected="0">
            <x v="1"/>
          </reference>
          <reference field="2" count="1">
            <x v="38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129"/>
          </reference>
          <reference field="1" count="1" selected="0">
            <x v="1"/>
          </reference>
          <reference field="2" count="1">
            <x v="111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131"/>
          </reference>
          <reference field="1" count="1" selected="0">
            <x v="1"/>
          </reference>
          <reference field="2" count="1">
            <x v="10"/>
          </reference>
        </references>
      </pivotArea>
    </format>
    <format dxfId="74">
      <pivotArea dataOnly="0" outline="0" fieldPosition="0">
        <references count="2">
          <reference field="4294967294" count="1">
            <x v="0"/>
          </reference>
          <reference field="7" count="0" selected="0"/>
        </references>
      </pivotArea>
    </format>
    <format dxfId="73">
      <pivotArea dataOnly="0" outline="0" fieldPosition="0">
        <references count="2">
          <reference field="4294967294" count="1">
            <x v="0"/>
          </reference>
          <reference field="7" count="0" selected="0"/>
        </references>
      </pivotArea>
    </format>
    <format dxfId="72">
      <pivotArea dataOnly="0" outline="0" fieldPosition="0">
        <references count="2">
          <reference field="4294967294" count="1">
            <x v="0"/>
          </reference>
          <reference field="7" count="0" selected="0"/>
        </references>
      </pivotArea>
    </format>
    <format dxfId="71">
      <pivotArea outline="0" fieldPosition="0">
        <references count="1">
          <reference field="4294967294" count="1" selected="0">
            <x v="0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596-7F5D-4FFE-B972-037725F8C165}">
  <sheetPr codeName="Sheet7">
    <tabColor rgb="FFFFC000"/>
    <pageSetUpPr fitToPage="1"/>
  </sheetPr>
  <dimension ref="A1:Q256"/>
  <sheetViews>
    <sheetView topLeftCell="C19" workbookViewId="0">
      <selection activeCell="D28" sqref="D28"/>
    </sheetView>
  </sheetViews>
  <sheetFormatPr defaultRowHeight="15" x14ac:dyDescent="0.25"/>
  <cols>
    <col min="1" max="2" width="9.140625" hidden="1" customWidth="1"/>
    <col min="3" max="3" width="20.7109375" customWidth="1"/>
    <col min="4" max="4" width="8.7109375" style="82" customWidth="1"/>
    <col min="5" max="7" width="14.28515625" style="1" customWidth="1"/>
    <col min="8" max="8" width="8.7109375" customWidth="1"/>
    <col min="9" max="11" width="14.28515625" style="1" customWidth="1"/>
    <col min="12" max="12" width="7.7109375" style="35" customWidth="1"/>
    <col min="13" max="13" width="8.7109375" customWidth="1"/>
    <col min="14" max="14" width="14.28515625" customWidth="1"/>
    <col min="15" max="16" width="14.28515625" style="1" customWidth="1"/>
    <col min="17" max="17" width="7.7109375" style="75" customWidth="1"/>
  </cols>
  <sheetData>
    <row r="1" spans="1:17" ht="19.5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</row>
    <row r="2" spans="1:17" ht="19.5" x14ac:dyDescent="0.3">
      <c r="C2" s="118" t="s">
        <v>150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17" ht="19.5" x14ac:dyDescent="0.3">
      <c r="C3" s="117" t="s">
        <v>149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</row>
    <row r="4" spans="1:17" x14ac:dyDescent="0.25">
      <c r="D4" s="81"/>
    </row>
    <row r="5" spans="1:17" x14ac:dyDescent="0.25">
      <c r="A5" s="3" t="s">
        <v>139</v>
      </c>
      <c r="B5" s="3" t="s">
        <v>140</v>
      </c>
      <c r="C5" s="23" t="s">
        <v>128</v>
      </c>
      <c r="D5" s="80" t="s">
        <v>135</v>
      </c>
    </row>
    <row r="6" spans="1:17" x14ac:dyDescent="0.25">
      <c r="D6" s="119" t="s">
        <v>141</v>
      </c>
      <c r="E6" s="119"/>
      <c r="F6" s="119"/>
      <c r="G6" s="119"/>
      <c r="H6" s="119" t="s">
        <v>142</v>
      </c>
      <c r="I6" s="119"/>
      <c r="J6" s="119"/>
      <c r="K6" s="119"/>
      <c r="L6" s="119"/>
      <c r="M6" s="120" t="s">
        <v>143</v>
      </c>
      <c r="N6" s="120"/>
      <c r="O6" s="120"/>
      <c r="P6" s="120"/>
      <c r="Q6" s="120"/>
    </row>
    <row r="7" spans="1:17" x14ac:dyDescent="0.25">
      <c r="A7" s="5"/>
      <c r="B7" s="5"/>
      <c r="C7" s="23" t="s">
        <v>130</v>
      </c>
      <c r="D7" s="79" t="s">
        <v>386</v>
      </c>
      <c r="E7" s="12" t="s">
        <v>145</v>
      </c>
      <c r="F7" s="12" t="s">
        <v>147</v>
      </c>
      <c r="G7" s="12" t="s">
        <v>137</v>
      </c>
      <c r="H7" s="46" t="s">
        <v>386</v>
      </c>
      <c r="I7" s="9" t="s">
        <v>144</v>
      </c>
      <c r="J7" s="9" t="s">
        <v>146</v>
      </c>
      <c r="K7" s="9" t="s">
        <v>137</v>
      </c>
      <c r="L7" s="71" t="s">
        <v>394</v>
      </c>
      <c r="M7" s="69" t="s">
        <v>386</v>
      </c>
      <c r="N7" s="9" t="s">
        <v>144</v>
      </c>
      <c r="O7" s="9" t="s">
        <v>138</v>
      </c>
      <c r="P7" s="9" t="s">
        <v>137</v>
      </c>
      <c r="Q7" s="76" t="s">
        <v>394</v>
      </c>
    </row>
    <row r="8" spans="1:17" x14ac:dyDescent="0.25">
      <c r="A8" s="24">
        <f>F8/E8</f>
        <v>1233.0230926245486</v>
      </c>
      <c r="B8" s="24">
        <f>G8/E8</f>
        <v>369.32705470701012</v>
      </c>
      <c r="C8" s="15" t="s">
        <v>395</v>
      </c>
      <c r="D8" s="45">
        <v>59</v>
      </c>
      <c r="E8" s="13">
        <v>308104.39</v>
      </c>
      <c r="F8" s="13">
        <v>379899827.80900002</v>
      </c>
      <c r="G8" s="13">
        <v>113791286.90099999</v>
      </c>
      <c r="H8" s="45">
        <f t="shared" ref="H8:H25" si="0">D8-M8</f>
        <v>41</v>
      </c>
      <c r="I8" s="10">
        <f t="shared" ref="I8:I25" si="1">E8-N8</f>
        <v>275233.18</v>
      </c>
      <c r="J8" s="10">
        <f t="shared" ref="J8:J25" si="2">ROUND(I8*A8,0)</f>
        <v>339368867</v>
      </c>
      <c r="K8" s="10">
        <f t="shared" ref="K8:K25" si="3">ROUND(I8*B8,0)</f>
        <v>101651060</v>
      </c>
      <c r="L8" s="74">
        <f t="shared" ref="L8:L25" si="4">J8/F8</f>
        <v>0.89331145254064837</v>
      </c>
      <c r="M8" s="70">
        <f>COUNTIFS([1]GD.List!$N$3:$N$5000,C8,[1]GD.List!$L$3:$L$5000,"&lt;&gt;0")</f>
        <v>18</v>
      </c>
      <c r="N8" s="10">
        <f>SUMIFS([1]GD.List!$L$3:$L$5000,[1]GD.List!$N$3:$N$5000,C8)</f>
        <v>32871.21</v>
      </c>
      <c r="O8" s="10">
        <f t="shared" ref="O8:O25" si="5">ROUND(N8*A8,0)</f>
        <v>40530961</v>
      </c>
      <c r="P8" s="10">
        <f t="shared" ref="P8:P25" si="6">ROUND(N8*B8,0)</f>
        <v>12140227</v>
      </c>
      <c r="Q8" s="74">
        <f t="shared" ref="Q8:Q25" si="7">O8/F8</f>
        <v>0.10668854796211572</v>
      </c>
    </row>
    <row r="9" spans="1:17" x14ac:dyDescent="0.25">
      <c r="A9" s="24">
        <f t="shared" ref="A9:A11" si="8">F9/E9</f>
        <v>786.21917930121481</v>
      </c>
      <c r="B9" s="24">
        <f t="shared" ref="B9:B11" si="9">G9/E9</f>
        <v>155.94323443880634</v>
      </c>
      <c r="C9" s="15" t="s">
        <v>396</v>
      </c>
      <c r="D9" s="45">
        <v>115</v>
      </c>
      <c r="E9" s="13">
        <v>1552021.1687999996</v>
      </c>
      <c r="F9" s="13">
        <v>1220228809.5920479</v>
      </c>
      <c r="G9" s="13">
        <v>242027200.98016858</v>
      </c>
      <c r="H9" s="45">
        <f t="shared" si="0"/>
        <v>80</v>
      </c>
      <c r="I9" s="10">
        <f t="shared" si="1"/>
        <v>1090647.0355999996</v>
      </c>
      <c r="J9" s="10">
        <f t="shared" si="2"/>
        <v>857487617</v>
      </c>
      <c r="K9" s="10">
        <f t="shared" si="3"/>
        <v>170079026</v>
      </c>
      <c r="L9" s="74">
        <f t="shared" si="4"/>
        <v>0.70272690683862715</v>
      </c>
      <c r="M9" s="70">
        <f>COUNTIFS([1]GD.List!$N$3:$N$5000,C9,[1]GD.List!$L$3:$L$5000,"&lt;&gt;0")</f>
        <v>35</v>
      </c>
      <c r="N9" s="10">
        <f>SUMIFS([1]GD.List!$L$3:$L$5000,[1]GD.List!$N$3:$N$5000,C9)</f>
        <v>461374.13319999992</v>
      </c>
      <c r="O9" s="10">
        <f t="shared" si="5"/>
        <v>362741192</v>
      </c>
      <c r="P9" s="10">
        <f t="shared" si="6"/>
        <v>71948175</v>
      </c>
      <c r="Q9" s="74">
        <f t="shared" si="7"/>
        <v>0.29727309267617863</v>
      </c>
    </row>
    <row r="10" spans="1:17" x14ac:dyDescent="0.25">
      <c r="A10" s="24">
        <f t="shared" si="8"/>
        <v>319.36555884026961</v>
      </c>
      <c r="B10" s="24">
        <f t="shared" si="9"/>
        <v>132.27419699355269</v>
      </c>
      <c r="C10" s="15" t="s">
        <v>397</v>
      </c>
      <c r="D10" s="45">
        <v>87</v>
      </c>
      <c r="E10" s="13">
        <v>1004240.318</v>
      </c>
      <c r="F10" s="13">
        <v>320719770.36800003</v>
      </c>
      <c r="G10" s="13">
        <v>132835081.65200001</v>
      </c>
      <c r="H10" s="45">
        <f t="shared" si="0"/>
        <v>19</v>
      </c>
      <c r="I10" s="10">
        <f t="shared" si="1"/>
        <v>632385.77799999993</v>
      </c>
      <c r="J10" s="10">
        <f t="shared" si="2"/>
        <v>201962237</v>
      </c>
      <c r="K10" s="10">
        <f t="shared" si="3"/>
        <v>83648321</v>
      </c>
      <c r="L10" s="74">
        <f t="shared" si="4"/>
        <v>0.62971558244839299</v>
      </c>
      <c r="M10" s="70">
        <f>COUNTIFS([1]GD.List!$N$3:$N$5000,C10,[1]GD.List!$L$3:$L$5000,"&lt;&gt;0")</f>
        <v>68</v>
      </c>
      <c r="N10" s="10">
        <f>SUMIFS([1]GD.List!$L$3:$L$5000,[1]GD.List!$N$3:$N$5000,C10)</f>
        <v>371854.54000000004</v>
      </c>
      <c r="O10" s="10">
        <f t="shared" si="5"/>
        <v>118757533</v>
      </c>
      <c r="P10" s="10">
        <f t="shared" si="6"/>
        <v>49186761</v>
      </c>
      <c r="Q10" s="74">
        <f t="shared" si="7"/>
        <v>0.37028441640418774</v>
      </c>
    </row>
    <row r="11" spans="1:17" x14ac:dyDescent="0.25">
      <c r="A11" s="24">
        <f t="shared" si="8"/>
        <v>1310.0219044421972</v>
      </c>
      <c r="B11" s="24">
        <f t="shared" si="9"/>
        <v>552.59844771881126</v>
      </c>
      <c r="C11" s="15" t="s">
        <v>398</v>
      </c>
      <c r="D11" s="45">
        <v>51</v>
      </c>
      <c r="E11" s="13">
        <v>334829.8</v>
      </c>
      <c r="F11" s="13">
        <v>438634372.25999999</v>
      </c>
      <c r="G11" s="13">
        <v>185026427.73000002</v>
      </c>
      <c r="H11" s="45">
        <f t="shared" si="0"/>
        <v>41</v>
      </c>
      <c r="I11" s="10">
        <f t="shared" si="1"/>
        <v>287665.3</v>
      </c>
      <c r="J11" s="10">
        <f t="shared" si="2"/>
        <v>376847844</v>
      </c>
      <c r="K11" s="10">
        <f t="shared" si="3"/>
        <v>158963398</v>
      </c>
      <c r="L11" s="73">
        <f t="shared" si="4"/>
        <v>0.85913888156631713</v>
      </c>
      <c r="M11" s="70">
        <f>COUNTIFS([1]GD.List!$N$3:$N$5000,C11,[1]GD.List!$L$3:$L$5000,"&lt;&gt;0")</f>
        <v>10</v>
      </c>
      <c r="N11" s="10">
        <f>SUMIFS([1]GD.List!$L$3:$L$5000,[1]GD.List!$N$3:$N$5000,C11)</f>
        <v>47164.499999999993</v>
      </c>
      <c r="O11" s="10">
        <f t="shared" si="5"/>
        <v>61786528</v>
      </c>
      <c r="P11" s="10">
        <f t="shared" si="6"/>
        <v>26063029</v>
      </c>
      <c r="Q11" s="74">
        <f t="shared" si="7"/>
        <v>0.14086111784093408</v>
      </c>
    </row>
    <row r="12" spans="1:17" x14ac:dyDescent="0.25">
      <c r="A12" s="24">
        <f t="shared" ref="A12:A28" si="10">F12/E12</f>
        <v>1201.2804663212435</v>
      </c>
      <c r="B12" s="24">
        <f t="shared" ref="B12:B28" si="11">G12/E12</f>
        <v>481.93049174822488</v>
      </c>
      <c r="C12" s="15" t="s">
        <v>399</v>
      </c>
      <c r="D12" s="45">
        <v>8</v>
      </c>
      <c r="E12" s="13">
        <v>20844</v>
      </c>
      <c r="F12" s="13">
        <v>25039490.039999999</v>
      </c>
      <c r="G12" s="13">
        <v>10045359.17</v>
      </c>
      <c r="H12" s="45">
        <f t="shared" si="0"/>
        <v>6</v>
      </c>
      <c r="I12" s="10">
        <f t="shared" si="1"/>
        <v>13020</v>
      </c>
      <c r="J12" s="10">
        <f t="shared" si="2"/>
        <v>15640672</v>
      </c>
      <c r="K12" s="10">
        <f t="shared" si="3"/>
        <v>6274735</v>
      </c>
      <c r="L12" s="73">
        <f t="shared" si="4"/>
        <v>0.62464019734484977</v>
      </c>
      <c r="M12" s="70">
        <f>COUNTIFS([1]GD.List!$N$3:$N$5000,C12,[1]GD.List!$L$3:$L$5000,"&lt;&gt;0")</f>
        <v>2</v>
      </c>
      <c r="N12" s="10">
        <f>SUMIFS([1]GD.List!$L$3:$L$5000,[1]GD.List!$N$3:$N$5000,C12)</f>
        <v>7824</v>
      </c>
      <c r="O12" s="10">
        <f t="shared" si="5"/>
        <v>9398818</v>
      </c>
      <c r="P12" s="10">
        <f t="shared" si="6"/>
        <v>3770624</v>
      </c>
      <c r="Q12" s="74">
        <f t="shared" si="7"/>
        <v>0.37535980105767364</v>
      </c>
    </row>
    <row r="13" spans="1:17" x14ac:dyDescent="0.25">
      <c r="A13" s="24">
        <f t="shared" si="10"/>
        <v>240.46988505201006</v>
      </c>
      <c r="B13" s="24">
        <f t="shared" si="11"/>
        <v>81.6222858986891</v>
      </c>
      <c r="C13" s="15" t="s">
        <v>134</v>
      </c>
      <c r="D13" s="45">
        <v>56</v>
      </c>
      <c r="E13" s="13">
        <v>8794321.6799999997</v>
      </c>
      <c r="F13" s="13">
        <v>2114769523.5</v>
      </c>
      <c r="G13" s="13">
        <v>717812638.44999981</v>
      </c>
      <c r="H13" s="45">
        <f t="shared" si="0"/>
        <v>45</v>
      </c>
      <c r="I13" s="10">
        <f t="shared" si="1"/>
        <v>7188079.0299999993</v>
      </c>
      <c r="J13" s="10">
        <f t="shared" si="2"/>
        <v>1728516538</v>
      </c>
      <c r="K13" s="10">
        <f t="shared" si="3"/>
        <v>586707442</v>
      </c>
      <c r="L13" s="73">
        <f t="shared" si="4"/>
        <v>0.81735457164110203</v>
      </c>
      <c r="M13" s="70">
        <f>COUNTIFS([1]GD.List!$N$3:$N$5000,C13,[1]GD.List!$L$3:$L$5000,"&lt;&gt;0")</f>
        <v>11</v>
      </c>
      <c r="N13" s="10">
        <f>SUMIFS([1]GD.List!$L$3:$L$5000,[1]GD.List!$N$3:$N$5000,C13)</f>
        <v>1606242.65</v>
      </c>
      <c r="O13" s="10">
        <f t="shared" si="5"/>
        <v>386252985</v>
      </c>
      <c r="P13" s="10">
        <f t="shared" si="6"/>
        <v>131105197</v>
      </c>
      <c r="Q13" s="74">
        <f t="shared" si="7"/>
        <v>0.18264542812246556</v>
      </c>
    </row>
    <row r="14" spans="1:17" s="1" customFormat="1" x14ac:dyDescent="0.25">
      <c r="A14" s="24">
        <f t="shared" si="10"/>
        <v>366.81694942643986</v>
      </c>
      <c r="B14" s="24">
        <f t="shared" si="11"/>
        <v>133.82474591445285</v>
      </c>
      <c r="C14" s="15" t="s">
        <v>400</v>
      </c>
      <c r="D14" s="45">
        <v>192</v>
      </c>
      <c r="E14" s="13">
        <v>4801215.4493999965</v>
      </c>
      <c r="F14" s="13">
        <v>1761167204.6880002</v>
      </c>
      <c r="G14" s="13">
        <v>642521437.59650004</v>
      </c>
      <c r="H14" s="45">
        <f t="shared" si="0"/>
        <v>139</v>
      </c>
      <c r="I14" s="10">
        <f t="shared" si="1"/>
        <v>3612091.755099996</v>
      </c>
      <c r="J14" s="10">
        <f t="shared" si="2"/>
        <v>1324976479</v>
      </c>
      <c r="K14" s="10">
        <f t="shared" si="3"/>
        <v>483387261</v>
      </c>
      <c r="L14" s="73">
        <f t="shared" si="4"/>
        <v>0.75232861222550773</v>
      </c>
      <c r="M14" s="70">
        <f>COUNTIFS([1]GD.List!$N$3:$N$5000,C14,[1]GD.List!$L$3:$L$5000,"&lt;&gt;0")</f>
        <v>53</v>
      </c>
      <c r="N14" s="10">
        <f>SUMIFS([1]GD.List!$L$3:$L$5000,[1]GD.List!$N$3:$N$5000,C14)</f>
        <v>1189123.6943000003</v>
      </c>
      <c r="O14" s="10">
        <f t="shared" si="5"/>
        <v>436190726</v>
      </c>
      <c r="P14" s="10">
        <f t="shared" si="6"/>
        <v>159134176</v>
      </c>
      <c r="Q14" s="74">
        <f t="shared" si="7"/>
        <v>0.24767138795164734</v>
      </c>
    </row>
    <row r="15" spans="1:17" s="1" customFormat="1" x14ac:dyDescent="0.25">
      <c r="A15" s="24">
        <f t="shared" si="10"/>
        <v>545.43453511478003</v>
      </c>
      <c r="B15" s="24">
        <f t="shared" si="11"/>
        <v>123.24316048796464</v>
      </c>
      <c r="C15" s="15" t="s">
        <v>131</v>
      </c>
      <c r="D15" s="45">
        <v>220</v>
      </c>
      <c r="E15" s="13">
        <v>17370902.219999999</v>
      </c>
      <c r="F15" s="13">
        <v>9474689976.8899994</v>
      </c>
      <c r="G15" s="13">
        <v>2140844890.1202011</v>
      </c>
      <c r="H15" s="45">
        <f t="shared" si="0"/>
        <v>210</v>
      </c>
      <c r="I15" s="10">
        <f t="shared" si="1"/>
        <v>16049066.359999999</v>
      </c>
      <c r="J15" s="10">
        <f t="shared" si="2"/>
        <v>8753715049</v>
      </c>
      <c r="K15" s="10">
        <f t="shared" si="3"/>
        <v>1977937661</v>
      </c>
      <c r="L15" s="73">
        <f t="shared" si="4"/>
        <v>0.92390516949382506</v>
      </c>
      <c r="M15" s="70">
        <f>COUNTIFS([1]GD.List!$N$3:$N$5000,C15,[1]GD.List!$L$3:$L$5000,"&lt;&gt;0")</f>
        <v>10</v>
      </c>
      <c r="N15" s="10">
        <f>SUMIFS([1]GD.List!$L$3:$L$5000,[1]GD.List!$N$3:$N$5000,C15)</f>
        <v>1321835.8599999999</v>
      </c>
      <c r="O15" s="10">
        <f t="shared" si="5"/>
        <v>720974928</v>
      </c>
      <c r="P15" s="10">
        <f t="shared" si="6"/>
        <v>162907229</v>
      </c>
      <c r="Q15" s="74">
        <f t="shared" si="7"/>
        <v>7.6094830517784914E-2</v>
      </c>
    </row>
    <row r="16" spans="1:17" s="1" customFormat="1" x14ac:dyDescent="0.25">
      <c r="A16" s="24">
        <f t="shared" si="10"/>
        <v>291.94761102453862</v>
      </c>
      <c r="B16" s="24">
        <f t="shared" si="11"/>
        <v>92.15098211478761</v>
      </c>
      <c r="C16" s="15" t="s">
        <v>132</v>
      </c>
      <c r="D16" s="45">
        <v>439</v>
      </c>
      <c r="E16" s="13">
        <v>7211041</v>
      </c>
      <c r="F16" s="13">
        <v>2105246192.95</v>
      </c>
      <c r="G16" s="13">
        <v>664504510.22000015</v>
      </c>
      <c r="H16" s="45">
        <f t="shared" si="0"/>
        <v>305</v>
      </c>
      <c r="I16" s="10">
        <f t="shared" si="1"/>
        <v>4245641.68</v>
      </c>
      <c r="J16" s="10">
        <f t="shared" si="2"/>
        <v>1239504946</v>
      </c>
      <c r="K16" s="10">
        <f t="shared" si="3"/>
        <v>391240051</v>
      </c>
      <c r="L16" s="73">
        <f t="shared" si="4"/>
        <v>0.5887695938607207</v>
      </c>
      <c r="M16" s="70">
        <f>COUNTIFS([1]GD.List!$N$3:$N$5000,C16,[1]GD.List!$L$3:$L$5000,"&lt;&gt;0")</f>
        <v>134</v>
      </c>
      <c r="N16" s="10">
        <f>SUMIFS([1]GD.List!$L$3:$L$5000,[1]GD.List!$N$3:$N$5000,C16)</f>
        <v>2965399.32</v>
      </c>
      <c r="O16" s="10">
        <f t="shared" si="5"/>
        <v>865741247</v>
      </c>
      <c r="P16" s="10">
        <f t="shared" si="6"/>
        <v>273264460</v>
      </c>
      <c r="Q16" s="74">
        <f t="shared" si="7"/>
        <v>0.41123040616302947</v>
      </c>
    </row>
    <row r="17" spans="1:17" s="1" customFormat="1" x14ac:dyDescent="0.25">
      <c r="A17" s="24">
        <f t="shared" si="10"/>
        <v>3090.1038688829312</v>
      </c>
      <c r="B17" s="24">
        <f t="shared" si="11"/>
        <v>1266.9900492171246</v>
      </c>
      <c r="C17" s="15" t="s">
        <v>133</v>
      </c>
      <c r="D17" s="45">
        <v>183</v>
      </c>
      <c r="E17" s="13">
        <v>513236</v>
      </c>
      <c r="F17" s="13">
        <v>1585952549.25</v>
      </c>
      <c r="G17" s="13">
        <v>650264904.9000001</v>
      </c>
      <c r="H17" s="45">
        <f t="shared" si="0"/>
        <v>178</v>
      </c>
      <c r="I17" s="10">
        <f t="shared" si="1"/>
        <v>501722.62</v>
      </c>
      <c r="J17" s="10">
        <f t="shared" si="2"/>
        <v>1550375009</v>
      </c>
      <c r="K17" s="10">
        <f t="shared" si="3"/>
        <v>635677567</v>
      </c>
      <c r="L17" s="73">
        <f t="shared" si="4"/>
        <v>0.97756708404244208</v>
      </c>
      <c r="M17" s="70">
        <f>COUNTIFS([1]GD.List!$N$3:$N$5000,C17,[1]GD.List!$L$3:$L$5000,"&lt;&gt;0")</f>
        <v>5</v>
      </c>
      <c r="N17" s="10">
        <f>SUMIFS([1]GD.List!$L$3:$L$5000,[1]GD.List!$N$3:$N$5000,C17)</f>
        <v>11513.380000000001</v>
      </c>
      <c r="O17" s="10">
        <f t="shared" si="5"/>
        <v>35577540</v>
      </c>
      <c r="P17" s="10">
        <f t="shared" si="6"/>
        <v>14587338</v>
      </c>
      <c r="Q17" s="74">
        <f t="shared" si="7"/>
        <v>2.2432915799923955E-2</v>
      </c>
    </row>
    <row r="18" spans="1:17" s="1" customFormat="1" x14ac:dyDescent="0.25">
      <c r="A18" s="24">
        <f t="shared" si="10"/>
        <v>3687.4034819532908</v>
      </c>
      <c r="B18" s="24">
        <f t="shared" si="11"/>
        <v>1392.7339278131635</v>
      </c>
      <c r="C18" s="15" t="s">
        <v>401</v>
      </c>
      <c r="D18" s="45">
        <v>3</v>
      </c>
      <c r="E18" s="13">
        <v>5887.5</v>
      </c>
      <c r="F18" s="13">
        <v>21709588</v>
      </c>
      <c r="G18" s="13">
        <v>8199721</v>
      </c>
      <c r="H18" s="45">
        <f t="shared" si="0"/>
        <v>2</v>
      </c>
      <c r="I18" s="10">
        <f t="shared" si="1"/>
        <v>5587.5</v>
      </c>
      <c r="J18" s="10">
        <f t="shared" si="2"/>
        <v>20603367</v>
      </c>
      <c r="K18" s="10">
        <f t="shared" si="3"/>
        <v>7781901</v>
      </c>
      <c r="L18" s="73">
        <f t="shared" si="4"/>
        <v>0.94904458804100755</v>
      </c>
      <c r="M18" s="70">
        <f>COUNTIFS([1]GD.List!$N$3:$N$5000,C18,[1]GD.List!$L$3:$L$5000,"&lt;&gt;0")</f>
        <v>1</v>
      </c>
      <c r="N18" s="10">
        <f>SUMIFS([1]GD.List!$L$3:$L$5000,[1]GD.List!$N$3:$N$5000,C18)</f>
        <v>300</v>
      </c>
      <c r="O18" s="10">
        <f t="shared" si="5"/>
        <v>1106221</v>
      </c>
      <c r="P18" s="10">
        <f t="shared" si="6"/>
        <v>417820</v>
      </c>
      <c r="Q18" s="74">
        <f t="shared" si="7"/>
        <v>5.0955411958992496E-2</v>
      </c>
    </row>
    <row r="19" spans="1:17" s="1" customFormat="1" x14ac:dyDescent="0.25">
      <c r="A19" s="24">
        <f t="shared" si="10"/>
        <v>2717.0108108108107</v>
      </c>
      <c r="B19" s="24">
        <f t="shared" si="11"/>
        <v>1102.8918918918919</v>
      </c>
      <c r="C19" s="15" t="s">
        <v>406</v>
      </c>
      <c r="D19" s="45">
        <v>1</v>
      </c>
      <c r="E19" s="13">
        <v>185</v>
      </c>
      <c r="F19" s="13">
        <v>502647</v>
      </c>
      <c r="G19" s="13">
        <v>204035</v>
      </c>
      <c r="H19" s="45">
        <f t="shared" si="0"/>
        <v>1</v>
      </c>
      <c r="I19" s="10">
        <f t="shared" si="1"/>
        <v>185</v>
      </c>
      <c r="J19" s="10">
        <f t="shared" si="2"/>
        <v>502647</v>
      </c>
      <c r="K19" s="10">
        <f t="shared" si="3"/>
        <v>204035</v>
      </c>
      <c r="L19" s="73">
        <f t="shared" si="4"/>
        <v>1</v>
      </c>
      <c r="M19" s="70">
        <f>COUNTIFS([1]GD.List!$N$3:$N$5000,C19,[1]GD.List!$L$3:$L$5000,"&lt;&gt;0")</f>
        <v>0</v>
      </c>
      <c r="N19" s="10">
        <f>SUMIFS([1]GD.List!$L$3:$L$5000,[1]GD.List!$N$3:$N$5000,C19)</f>
        <v>0</v>
      </c>
      <c r="O19" s="10">
        <f t="shared" si="5"/>
        <v>0</v>
      </c>
      <c r="P19" s="10">
        <f t="shared" si="6"/>
        <v>0</v>
      </c>
      <c r="Q19" s="74">
        <f t="shared" si="7"/>
        <v>0</v>
      </c>
    </row>
    <row r="20" spans="1:17" s="1" customFormat="1" x14ac:dyDescent="0.25">
      <c r="A20" s="24">
        <f t="shared" si="10"/>
        <v>429.83123076923079</v>
      </c>
      <c r="B20" s="24">
        <f t="shared" si="11"/>
        <v>133.9728076923077</v>
      </c>
      <c r="C20" s="15" t="s">
        <v>407</v>
      </c>
      <c r="D20" s="45">
        <v>1</v>
      </c>
      <c r="E20" s="13">
        <v>26000</v>
      </c>
      <c r="F20" s="13">
        <v>11175612</v>
      </c>
      <c r="G20" s="13">
        <v>3483293</v>
      </c>
      <c r="H20" s="45">
        <f t="shared" si="0"/>
        <v>1</v>
      </c>
      <c r="I20" s="10">
        <f t="shared" si="1"/>
        <v>26000</v>
      </c>
      <c r="J20" s="10">
        <f t="shared" si="2"/>
        <v>11175612</v>
      </c>
      <c r="K20" s="10">
        <f t="shared" si="3"/>
        <v>3483293</v>
      </c>
      <c r="L20" s="73">
        <f t="shared" si="4"/>
        <v>1</v>
      </c>
      <c r="M20" s="70">
        <f>COUNTIFS([1]GD.List!$N$3:$N$5000,C20,[1]GD.List!$L$3:$L$5000,"&lt;&gt;0")</f>
        <v>0</v>
      </c>
      <c r="N20" s="10">
        <f>SUMIFS([1]GD.List!$L$3:$L$5000,[1]GD.List!$N$3:$N$5000,C20)</f>
        <v>0</v>
      </c>
      <c r="O20" s="10">
        <f t="shared" si="5"/>
        <v>0</v>
      </c>
      <c r="P20" s="10">
        <f t="shared" si="6"/>
        <v>0</v>
      </c>
      <c r="Q20" s="74">
        <f t="shared" si="7"/>
        <v>0</v>
      </c>
    </row>
    <row r="21" spans="1:17" s="1" customFormat="1" x14ac:dyDescent="0.25">
      <c r="A21" s="24">
        <f t="shared" si="10"/>
        <v>23.933968665297741</v>
      </c>
      <c r="B21" s="24">
        <f t="shared" si="11"/>
        <v>5.4824184804928136</v>
      </c>
      <c r="C21" s="15" t="s">
        <v>408</v>
      </c>
      <c r="D21" s="45">
        <v>5</v>
      </c>
      <c r="E21" s="13">
        <v>24350000</v>
      </c>
      <c r="F21" s="13">
        <v>582792137</v>
      </c>
      <c r="G21" s="13">
        <v>133496890</v>
      </c>
      <c r="H21" s="45">
        <f t="shared" si="0"/>
        <v>5</v>
      </c>
      <c r="I21" s="10">
        <f t="shared" si="1"/>
        <v>24350000</v>
      </c>
      <c r="J21" s="10">
        <f t="shared" si="2"/>
        <v>582792137</v>
      </c>
      <c r="K21" s="10">
        <f t="shared" si="3"/>
        <v>133496890</v>
      </c>
      <c r="L21" s="73">
        <f t="shared" si="4"/>
        <v>1</v>
      </c>
      <c r="M21" s="70">
        <f>COUNTIFS([1]GD.List!$N$3:$N$5000,C21,[1]GD.List!$L$3:$L$5000,"&lt;&gt;0")</f>
        <v>0</v>
      </c>
      <c r="N21" s="10">
        <f>SUMIFS([1]GD.List!$L$3:$L$5000,[1]GD.List!$N$3:$N$5000,C21)</f>
        <v>0</v>
      </c>
      <c r="O21" s="10">
        <f t="shared" si="5"/>
        <v>0</v>
      </c>
      <c r="P21" s="10">
        <f t="shared" si="6"/>
        <v>0</v>
      </c>
      <c r="Q21" s="74">
        <f t="shared" si="7"/>
        <v>0</v>
      </c>
    </row>
    <row r="22" spans="1:17" s="1" customFormat="1" x14ac:dyDescent="0.25">
      <c r="A22" s="24">
        <f t="shared" si="10"/>
        <v>899.97394027673272</v>
      </c>
      <c r="B22" s="24">
        <f t="shared" si="11"/>
        <v>181.26559680887456</v>
      </c>
      <c r="C22" s="15" t="s">
        <v>402</v>
      </c>
      <c r="D22" s="45">
        <v>239</v>
      </c>
      <c r="E22" s="13">
        <v>7918974.2686000001</v>
      </c>
      <c r="F22" s="13">
        <v>7126870475.4619999</v>
      </c>
      <c r="G22" s="13">
        <v>1435437596.9119</v>
      </c>
      <c r="H22" s="45">
        <f t="shared" si="0"/>
        <v>174</v>
      </c>
      <c r="I22" s="10">
        <f t="shared" si="1"/>
        <v>6137192.3700999999</v>
      </c>
      <c r="J22" s="10">
        <f t="shared" si="2"/>
        <v>5523313200</v>
      </c>
      <c r="K22" s="10">
        <f t="shared" si="3"/>
        <v>1112461838</v>
      </c>
      <c r="L22" s="73">
        <f t="shared" si="4"/>
        <v>0.77499839782649493</v>
      </c>
      <c r="M22" s="70">
        <f>COUNTIFS([1]GD.List!$N$3:$N$5000,C22,[1]GD.List!$L$3:$L$5000,"&lt;&gt;0")</f>
        <v>65</v>
      </c>
      <c r="N22" s="10">
        <f>SUMIFS([1]GD.List!$L$3:$L$5000,[1]GD.List!$N$3:$N$5000,C22)</f>
        <v>1781781.8985000001</v>
      </c>
      <c r="O22" s="10">
        <f t="shared" si="5"/>
        <v>1603557276</v>
      </c>
      <c r="P22" s="10">
        <f t="shared" si="6"/>
        <v>322975759</v>
      </c>
      <c r="Q22" s="74">
        <f t="shared" si="7"/>
        <v>0.22500160224899404</v>
      </c>
    </row>
    <row r="23" spans="1:17" s="1" customFormat="1" x14ac:dyDescent="0.25">
      <c r="A23" s="24">
        <f t="shared" si="10"/>
        <v>979.97875729520717</v>
      </c>
      <c r="B23" s="24">
        <f t="shared" si="11"/>
        <v>247.04460360646036</v>
      </c>
      <c r="C23" s="15" t="s">
        <v>403</v>
      </c>
      <c r="D23" s="45">
        <v>37</v>
      </c>
      <c r="E23" s="13">
        <v>465593.36</v>
      </c>
      <c r="F23" s="13">
        <v>456271602.33770001</v>
      </c>
      <c r="G23" s="13">
        <v>115022327.06299999</v>
      </c>
      <c r="H23" s="45">
        <f t="shared" si="0"/>
        <v>13</v>
      </c>
      <c r="I23" s="10">
        <f t="shared" si="1"/>
        <v>311176.98</v>
      </c>
      <c r="J23" s="10">
        <f t="shared" si="2"/>
        <v>304946830</v>
      </c>
      <c r="K23" s="10">
        <f t="shared" si="3"/>
        <v>76874594</v>
      </c>
      <c r="L23" s="73">
        <f t="shared" si="4"/>
        <v>0.66834496917539898</v>
      </c>
      <c r="M23" s="70">
        <f>COUNTIFS([1]GD.List!$N$3:$N$5000,C23,[1]GD.List!$L$3:$L$5000,"&lt;&gt;0")</f>
        <v>24</v>
      </c>
      <c r="N23" s="10">
        <f>SUMIFS([1]GD.List!$L$3:$L$5000,[1]GD.List!$N$3:$N$5000,C23)</f>
        <v>154416.38</v>
      </c>
      <c r="O23" s="10">
        <f t="shared" si="5"/>
        <v>151324772</v>
      </c>
      <c r="P23" s="10">
        <f t="shared" si="6"/>
        <v>38147733</v>
      </c>
      <c r="Q23" s="74">
        <f t="shared" si="7"/>
        <v>0.33165503008447167</v>
      </c>
    </row>
    <row r="24" spans="1:17" s="1" customFormat="1" x14ac:dyDescent="0.25">
      <c r="A24" s="24">
        <f t="shared" si="10"/>
        <v>6276.998569444444</v>
      </c>
      <c r="B24" s="24">
        <f t="shared" si="11"/>
        <v>1956.4584027777778</v>
      </c>
      <c r="C24" s="15" t="s">
        <v>409</v>
      </c>
      <c r="D24" s="45">
        <v>3</v>
      </c>
      <c r="E24" s="13">
        <v>576</v>
      </c>
      <c r="F24" s="13">
        <v>3615551.176</v>
      </c>
      <c r="G24" s="13">
        <v>1126920.04</v>
      </c>
      <c r="H24" s="45">
        <f t="shared" si="0"/>
        <v>3</v>
      </c>
      <c r="I24" s="10">
        <f t="shared" si="1"/>
        <v>576</v>
      </c>
      <c r="J24" s="10">
        <f t="shared" si="2"/>
        <v>3615551</v>
      </c>
      <c r="K24" s="10">
        <f t="shared" si="3"/>
        <v>1126920</v>
      </c>
      <c r="L24" s="73">
        <f t="shared" si="4"/>
        <v>0.99999995132139152</v>
      </c>
      <c r="M24" s="70">
        <f>COUNTIFS([1]GD.List!$N$3:$N$5000,C24,[1]GD.List!$L$3:$L$5000,"&lt;&gt;0")</f>
        <v>0</v>
      </c>
      <c r="N24" s="10">
        <f>SUMIFS([1]GD.List!$L$3:$L$5000,[1]GD.List!$N$3:$N$5000,C24)</f>
        <v>0</v>
      </c>
      <c r="O24" s="10">
        <f t="shared" si="5"/>
        <v>0</v>
      </c>
      <c r="P24" s="10">
        <f t="shared" si="6"/>
        <v>0</v>
      </c>
      <c r="Q24" s="74">
        <f t="shared" si="7"/>
        <v>0</v>
      </c>
    </row>
    <row r="25" spans="1:17" x14ac:dyDescent="0.25">
      <c r="A25" s="24">
        <f t="shared" si="10"/>
        <v>1869.5116280932277</v>
      </c>
      <c r="B25" s="24">
        <f t="shared" si="11"/>
        <v>337.37576814859437</v>
      </c>
      <c r="C25" s="15" t="s">
        <v>404</v>
      </c>
      <c r="D25" s="45">
        <v>30</v>
      </c>
      <c r="E25" s="13">
        <v>56175.800899999995</v>
      </c>
      <c r="F25" s="13">
        <v>105021313</v>
      </c>
      <c r="G25" s="13">
        <v>18952353.979999997</v>
      </c>
      <c r="H25" s="45">
        <f t="shared" si="0"/>
        <v>27</v>
      </c>
      <c r="I25" s="10">
        <f t="shared" si="1"/>
        <v>56080.329999999994</v>
      </c>
      <c r="J25" s="10">
        <f t="shared" si="2"/>
        <v>104842829</v>
      </c>
      <c r="K25" s="10">
        <f t="shared" si="3"/>
        <v>18920144</v>
      </c>
      <c r="L25" s="73">
        <f t="shared" si="4"/>
        <v>0.99830049734761939</v>
      </c>
      <c r="M25" s="70">
        <f>COUNTIFS([1]GD.List!$N$3:$N$5000,C25,[1]GD.List!$L$3:$L$5000,"&lt;&gt;0")</f>
        <v>3</v>
      </c>
      <c r="N25" s="10">
        <f>SUMIFS([1]GD.List!$L$3:$L$5000,[1]GD.List!$N$3:$N$5000,C25)</f>
        <v>95.470899999999986</v>
      </c>
      <c r="O25" s="10">
        <f t="shared" si="5"/>
        <v>178484</v>
      </c>
      <c r="P25" s="10">
        <f t="shared" si="6"/>
        <v>32210</v>
      </c>
      <c r="Q25" s="74">
        <f t="shared" si="7"/>
        <v>1.6995026523806648E-3</v>
      </c>
    </row>
    <row r="26" spans="1:17" x14ac:dyDescent="0.25">
      <c r="A26" s="24">
        <f t="shared" si="10"/>
        <v>1029.8146452127883</v>
      </c>
      <c r="B26" s="24">
        <f t="shared" si="11"/>
        <v>185.36663613830189</v>
      </c>
      <c r="C26" s="15" t="s">
        <v>405</v>
      </c>
      <c r="D26" s="45">
        <v>36</v>
      </c>
      <c r="E26" s="13">
        <v>690287</v>
      </c>
      <c r="F26" s="13">
        <v>710867662</v>
      </c>
      <c r="G26" s="13">
        <v>127956179.16</v>
      </c>
      <c r="H26" s="45">
        <f t="shared" ref="H26:H27" si="12">D26-M26</f>
        <v>36</v>
      </c>
      <c r="I26" s="10">
        <f t="shared" ref="I26:I27" si="13">E26-N26</f>
        <v>690287</v>
      </c>
      <c r="J26" s="10">
        <f t="shared" ref="J26:J27" si="14">ROUND(I26*A26,0)</f>
        <v>710867662</v>
      </c>
      <c r="K26" s="10">
        <f t="shared" ref="K26:K27" si="15">ROUND(I26*B26,0)</f>
        <v>127956179</v>
      </c>
      <c r="L26" s="73">
        <f t="shared" ref="L26:L27" si="16">J26/F26</f>
        <v>1</v>
      </c>
      <c r="M26" s="70">
        <f>COUNTIFS([1]GD.List!$N$3:$N$5000,C26,[1]GD.List!$L$3:$L$5000,"&lt;&gt;0")</f>
        <v>0</v>
      </c>
      <c r="N26" s="10">
        <f>SUMIFS([1]GD.List!$L$3:$L$5000,[1]GD.List!$N$3:$N$5000,C26)</f>
        <v>0</v>
      </c>
      <c r="O26" s="10">
        <f t="shared" ref="O26" si="17">ROUND(N26*A26,0)</f>
        <v>0</v>
      </c>
      <c r="P26" s="10">
        <f t="shared" ref="P26:P27" si="18">ROUND(N26*B26,0)</f>
        <v>0</v>
      </c>
      <c r="Q26" s="74">
        <f t="shared" ref="Q26:Q27" si="19">O26/F26</f>
        <v>0</v>
      </c>
    </row>
    <row r="27" spans="1:17" x14ac:dyDescent="0.25">
      <c r="A27" s="24">
        <f t="shared" si="10"/>
        <v>424.00816255432682</v>
      </c>
      <c r="B27" s="24">
        <f t="shared" si="11"/>
        <v>76.321469259778866</v>
      </c>
      <c r="C27" s="15" t="s">
        <v>410</v>
      </c>
      <c r="D27" s="45">
        <v>135</v>
      </c>
      <c r="E27" s="13">
        <v>1395029</v>
      </c>
      <c r="F27" s="13">
        <v>591503683</v>
      </c>
      <c r="G27" s="13">
        <v>106470662.94000004</v>
      </c>
      <c r="H27" s="45">
        <f t="shared" si="12"/>
        <v>95</v>
      </c>
      <c r="I27" s="10">
        <f t="shared" si="13"/>
        <v>942376</v>
      </c>
      <c r="J27" s="10">
        <f t="shared" si="14"/>
        <v>399575116</v>
      </c>
      <c r="K27" s="10">
        <f t="shared" si="15"/>
        <v>71923521</v>
      </c>
      <c r="L27" s="73">
        <f t="shared" si="16"/>
        <v>0.67552430776665173</v>
      </c>
      <c r="M27" s="70">
        <f>COUNTIFS([1]GD.List!$N$3:$N$5000,C27,[1]GD.List!$L$3:$L$5000,"&lt;&gt;0")</f>
        <v>40</v>
      </c>
      <c r="N27" s="10">
        <f>SUMIFS([1]GD.List!$L$3:$L$5000,[1]GD.List!$N$3:$N$5000,C27)</f>
        <v>452653</v>
      </c>
      <c r="O27" s="10">
        <f>ROUND(N27*A27,0)</f>
        <v>191928567</v>
      </c>
      <c r="P27" s="10">
        <f t="shared" si="18"/>
        <v>34547142</v>
      </c>
      <c r="Q27" s="74">
        <f t="shared" si="19"/>
        <v>0.32447569223334827</v>
      </c>
    </row>
    <row r="28" spans="1:17" x14ac:dyDescent="0.25">
      <c r="A28" s="24">
        <f t="shared" si="10"/>
        <v>377.98594904368946</v>
      </c>
      <c r="B28" s="24">
        <f t="shared" si="11"/>
        <v>96.980938595341158</v>
      </c>
      <c r="C28" s="15" t="s">
        <v>377</v>
      </c>
      <c r="D28" s="45">
        <v>1900</v>
      </c>
      <c r="E28" s="13">
        <v>76819463.955699965</v>
      </c>
      <c r="F28" s="13">
        <v>29036677988.322746</v>
      </c>
      <c r="G28" s="13">
        <v>7450023716.8147621</v>
      </c>
      <c r="H28" s="46">
        <f>SUM(H8:H27)</f>
        <v>1421</v>
      </c>
      <c r="I28" s="49">
        <f>SUM(I8:I27)</f>
        <v>66415013.918799989</v>
      </c>
      <c r="J28" s="49">
        <f>SUM(J8:J27)</f>
        <v>24050630209</v>
      </c>
      <c r="K28" s="49">
        <f>SUM(K8:K27)</f>
        <v>6149795837</v>
      </c>
      <c r="L28" s="72"/>
      <c r="M28" s="69">
        <f>SUM(M8:M27)</f>
        <v>479</v>
      </c>
      <c r="N28" s="49">
        <f>SUM(N8:N27)</f>
        <v>10404450.036900001</v>
      </c>
      <c r="O28" s="49">
        <f>SUM(O8:O27)</f>
        <v>4986047778</v>
      </c>
      <c r="P28" s="49">
        <f>SUM(P8:P27)</f>
        <v>1300227880</v>
      </c>
      <c r="Q28" s="77"/>
    </row>
    <row r="29" spans="1:17" x14ac:dyDescent="0.25">
      <c r="D29" s="81"/>
      <c r="E29"/>
      <c r="F29"/>
      <c r="G29"/>
    </row>
    <row r="30" spans="1:17" x14ac:dyDescent="0.25">
      <c r="D30" s="81"/>
      <c r="E30"/>
      <c r="F30"/>
      <c r="G30"/>
    </row>
    <row r="31" spans="1:17" x14ac:dyDescent="0.25">
      <c r="D31" s="81"/>
      <c r="E31"/>
      <c r="F31"/>
      <c r="G31"/>
      <c r="N31" s="78"/>
    </row>
    <row r="32" spans="1:17" x14ac:dyDescent="0.25">
      <c r="D32" s="81"/>
      <c r="E32"/>
      <c r="F32"/>
      <c r="G32"/>
    </row>
    <row r="33" spans="4:7" x14ac:dyDescent="0.25">
      <c r="D33" s="81"/>
      <c r="E33"/>
      <c r="F33"/>
      <c r="G33"/>
    </row>
    <row r="34" spans="4:7" x14ac:dyDescent="0.25">
      <c r="D34" s="81"/>
      <c r="E34"/>
      <c r="F34"/>
      <c r="G34"/>
    </row>
    <row r="35" spans="4:7" x14ac:dyDescent="0.25">
      <c r="D35" s="81"/>
      <c r="E35"/>
      <c r="F35"/>
      <c r="G35"/>
    </row>
    <row r="36" spans="4:7" x14ac:dyDescent="0.25">
      <c r="D36" s="81"/>
      <c r="E36"/>
      <c r="F36"/>
      <c r="G36"/>
    </row>
    <row r="37" spans="4:7" x14ac:dyDescent="0.25">
      <c r="D37" s="81"/>
      <c r="E37"/>
      <c r="F37"/>
      <c r="G37"/>
    </row>
    <row r="38" spans="4:7" x14ac:dyDescent="0.25">
      <c r="D38" s="81"/>
      <c r="E38"/>
      <c r="F38"/>
      <c r="G38"/>
    </row>
    <row r="39" spans="4:7" x14ac:dyDescent="0.25">
      <c r="D39" s="81"/>
      <c r="E39"/>
      <c r="F39"/>
      <c r="G39"/>
    </row>
    <row r="40" spans="4:7" x14ac:dyDescent="0.25">
      <c r="D40" s="81"/>
      <c r="E40"/>
      <c r="F40"/>
      <c r="G40"/>
    </row>
    <row r="41" spans="4:7" x14ac:dyDescent="0.25">
      <c r="D41" s="81"/>
      <c r="E41"/>
      <c r="F41"/>
      <c r="G41"/>
    </row>
    <row r="42" spans="4:7" x14ac:dyDescent="0.25">
      <c r="D42" s="81"/>
      <c r="E42"/>
      <c r="F42"/>
      <c r="G42"/>
    </row>
    <row r="43" spans="4:7" x14ac:dyDescent="0.25">
      <c r="D43" s="81"/>
      <c r="E43"/>
      <c r="F43"/>
      <c r="G43"/>
    </row>
    <row r="44" spans="4:7" x14ac:dyDescent="0.25">
      <c r="D44" s="81"/>
      <c r="E44"/>
      <c r="F44"/>
      <c r="G44"/>
    </row>
    <row r="45" spans="4:7" x14ac:dyDescent="0.25">
      <c r="D45" s="81"/>
      <c r="E45"/>
      <c r="F45"/>
      <c r="G45"/>
    </row>
    <row r="46" spans="4:7" x14ac:dyDescent="0.25">
      <c r="D46" s="81"/>
      <c r="E46"/>
      <c r="F46"/>
      <c r="G46"/>
    </row>
    <row r="47" spans="4:7" x14ac:dyDescent="0.25">
      <c r="D47" s="81"/>
      <c r="E47"/>
      <c r="F47"/>
      <c r="G47"/>
    </row>
    <row r="48" spans="4:7" x14ac:dyDescent="0.25">
      <c r="D48" s="81"/>
      <c r="E48"/>
      <c r="F48"/>
      <c r="G48"/>
    </row>
    <row r="49" spans="4:7" x14ac:dyDescent="0.25">
      <c r="D49" s="81"/>
      <c r="E49"/>
      <c r="F49"/>
      <c r="G49"/>
    </row>
    <row r="50" spans="4:7" x14ac:dyDescent="0.25">
      <c r="D50" s="81"/>
      <c r="E50"/>
      <c r="F50"/>
      <c r="G50"/>
    </row>
    <row r="51" spans="4:7" x14ac:dyDescent="0.25">
      <c r="D51" s="81"/>
      <c r="E51"/>
      <c r="F51"/>
      <c r="G51"/>
    </row>
    <row r="52" spans="4:7" x14ac:dyDescent="0.25">
      <c r="D52" s="81"/>
      <c r="E52"/>
      <c r="F52"/>
      <c r="G52"/>
    </row>
    <row r="53" spans="4:7" x14ac:dyDescent="0.25">
      <c r="D53" s="81"/>
      <c r="E53"/>
      <c r="F53"/>
      <c r="G53"/>
    </row>
    <row r="54" spans="4:7" x14ac:dyDescent="0.25">
      <c r="D54" s="81"/>
      <c r="E54"/>
      <c r="F54"/>
      <c r="G54"/>
    </row>
    <row r="55" spans="4:7" x14ac:dyDescent="0.25">
      <c r="D55" s="81"/>
      <c r="E55"/>
      <c r="F55"/>
      <c r="G55"/>
    </row>
    <row r="56" spans="4:7" x14ac:dyDescent="0.25">
      <c r="D56" s="81"/>
      <c r="E56"/>
      <c r="F56"/>
      <c r="G56"/>
    </row>
    <row r="57" spans="4:7" x14ac:dyDescent="0.25">
      <c r="D57" s="81"/>
      <c r="E57"/>
      <c r="F57"/>
      <c r="G57"/>
    </row>
    <row r="58" spans="4:7" x14ac:dyDescent="0.25">
      <c r="D58" s="81"/>
      <c r="E58"/>
      <c r="F58"/>
      <c r="G58"/>
    </row>
    <row r="59" spans="4:7" x14ac:dyDescent="0.25">
      <c r="D59" s="81"/>
      <c r="E59"/>
      <c r="F59"/>
      <c r="G59"/>
    </row>
    <row r="60" spans="4:7" x14ac:dyDescent="0.25">
      <c r="D60" s="81"/>
      <c r="E60"/>
      <c r="F60"/>
      <c r="G60"/>
    </row>
    <row r="61" spans="4:7" x14ac:dyDescent="0.25">
      <c r="D61" s="81"/>
      <c r="E61"/>
      <c r="F61"/>
      <c r="G61"/>
    </row>
    <row r="62" spans="4:7" x14ac:dyDescent="0.25">
      <c r="D62" s="81"/>
      <c r="E62"/>
      <c r="F62"/>
      <c r="G62"/>
    </row>
    <row r="63" spans="4:7" x14ac:dyDescent="0.25">
      <c r="D63" s="81"/>
      <c r="E63"/>
      <c r="F63"/>
      <c r="G63"/>
    </row>
    <row r="64" spans="4:7" x14ac:dyDescent="0.25">
      <c r="D64" s="81"/>
      <c r="E64"/>
      <c r="F64"/>
      <c r="G64"/>
    </row>
    <row r="65" spans="4:7" x14ac:dyDescent="0.25">
      <c r="D65" s="81"/>
      <c r="E65"/>
      <c r="F65"/>
      <c r="G65"/>
    </row>
    <row r="66" spans="4:7" x14ac:dyDescent="0.25">
      <c r="D66" s="81"/>
      <c r="E66"/>
      <c r="F66"/>
      <c r="G66"/>
    </row>
    <row r="67" spans="4:7" x14ac:dyDescent="0.25">
      <c r="D67" s="81"/>
      <c r="E67"/>
      <c r="F67"/>
      <c r="G67"/>
    </row>
    <row r="68" spans="4:7" x14ac:dyDescent="0.25">
      <c r="D68" s="81"/>
      <c r="E68"/>
      <c r="F68"/>
      <c r="G68"/>
    </row>
    <row r="69" spans="4:7" x14ac:dyDescent="0.25">
      <c r="D69" s="81"/>
      <c r="E69"/>
      <c r="F69"/>
      <c r="G69"/>
    </row>
    <row r="70" spans="4:7" x14ac:dyDescent="0.25">
      <c r="D70" s="81"/>
      <c r="E70"/>
      <c r="F70"/>
      <c r="G70"/>
    </row>
    <row r="71" spans="4:7" x14ac:dyDescent="0.25">
      <c r="D71" s="81"/>
      <c r="E71"/>
      <c r="F71"/>
      <c r="G71"/>
    </row>
    <row r="72" spans="4:7" x14ac:dyDescent="0.25">
      <c r="D72" s="81"/>
      <c r="E72"/>
      <c r="F72"/>
      <c r="G72"/>
    </row>
    <row r="73" spans="4:7" x14ac:dyDescent="0.25">
      <c r="D73" s="81"/>
      <c r="E73"/>
      <c r="F73"/>
      <c r="G73"/>
    </row>
    <row r="74" spans="4:7" x14ac:dyDescent="0.25">
      <c r="D74" s="81"/>
      <c r="E74"/>
      <c r="F74"/>
      <c r="G74"/>
    </row>
    <row r="75" spans="4:7" x14ac:dyDescent="0.25">
      <c r="D75" s="81"/>
      <c r="E75"/>
      <c r="F75"/>
      <c r="G75"/>
    </row>
    <row r="76" spans="4:7" x14ac:dyDescent="0.25">
      <c r="D76" s="81"/>
      <c r="E76"/>
      <c r="F76"/>
      <c r="G76"/>
    </row>
    <row r="77" spans="4:7" x14ac:dyDescent="0.25">
      <c r="D77" s="81"/>
      <c r="E77"/>
      <c r="F77"/>
      <c r="G77"/>
    </row>
    <row r="78" spans="4:7" x14ac:dyDescent="0.25">
      <c r="D78" s="81"/>
      <c r="E78"/>
      <c r="F78"/>
      <c r="G78"/>
    </row>
    <row r="79" spans="4:7" x14ac:dyDescent="0.25">
      <c r="D79" s="81"/>
      <c r="E79"/>
      <c r="F79"/>
      <c r="G79"/>
    </row>
    <row r="80" spans="4:7" x14ac:dyDescent="0.25">
      <c r="D80" s="81"/>
      <c r="E80"/>
      <c r="F80"/>
      <c r="G80"/>
    </row>
    <row r="81" spans="4:7" x14ac:dyDescent="0.25">
      <c r="D81" s="81"/>
      <c r="E81"/>
      <c r="F81"/>
      <c r="G81"/>
    </row>
    <row r="82" spans="4:7" x14ac:dyDescent="0.25">
      <c r="D82" s="81"/>
      <c r="E82"/>
      <c r="F82"/>
      <c r="G82"/>
    </row>
    <row r="83" spans="4:7" x14ac:dyDescent="0.25">
      <c r="D83" s="81"/>
      <c r="E83"/>
      <c r="F83"/>
      <c r="G83"/>
    </row>
    <row r="84" spans="4:7" x14ac:dyDescent="0.25">
      <c r="D84" s="81"/>
      <c r="E84"/>
      <c r="F84"/>
      <c r="G84"/>
    </row>
    <row r="85" spans="4:7" x14ac:dyDescent="0.25">
      <c r="D85" s="81"/>
      <c r="E85"/>
      <c r="F85"/>
      <c r="G85"/>
    </row>
    <row r="86" spans="4:7" x14ac:dyDescent="0.25">
      <c r="D86" s="81"/>
      <c r="E86"/>
      <c r="F86"/>
      <c r="G86"/>
    </row>
    <row r="87" spans="4:7" x14ac:dyDescent="0.25">
      <c r="D87" s="81"/>
      <c r="E87"/>
      <c r="F87"/>
      <c r="G87"/>
    </row>
    <row r="88" spans="4:7" x14ac:dyDescent="0.25">
      <c r="D88" s="81"/>
      <c r="E88"/>
      <c r="F88"/>
      <c r="G88"/>
    </row>
    <row r="89" spans="4:7" x14ac:dyDescent="0.25">
      <c r="D89" s="81"/>
      <c r="E89"/>
      <c r="F89"/>
      <c r="G89"/>
    </row>
    <row r="90" spans="4:7" x14ac:dyDescent="0.25">
      <c r="D90" s="81"/>
      <c r="E90"/>
      <c r="F90"/>
      <c r="G90"/>
    </row>
    <row r="91" spans="4:7" x14ac:dyDescent="0.25">
      <c r="D91" s="81"/>
      <c r="E91"/>
      <c r="F91"/>
      <c r="G91"/>
    </row>
    <row r="92" spans="4:7" x14ac:dyDescent="0.25">
      <c r="D92" s="81"/>
      <c r="E92"/>
      <c r="F92"/>
      <c r="G92"/>
    </row>
    <row r="93" spans="4:7" x14ac:dyDescent="0.25">
      <c r="D93" s="81"/>
      <c r="E93"/>
      <c r="F93"/>
      <c r="G93"/>
    </row>
    <row r="94" spans="4:7" x14ac:dyDescent="0.25">
      <c r="D94" s="81"/>
      <c r="E94"/>
      <c r="F94"/>
      <c r="G94"/>
    </row>
    <row r="95" spans="4:7" x14ac:dyDescent="0.25">
      <c r="D95" s="81"/>
      <c r="E95"/>
      <c r="F95"/>
      <c r="G95"/>
    </row>
    <row r="96" spans="4:7" x14ac:dyDescent="0.25">
      <c r="D96" s="81"/>
      <c r="E96"/>
      <c r="F96"/>
      <c r="G96"/>
    </row>
    <row r="97" spans="4:7" x14ac:dyDescent="0.25">
      <c r="D97" s="81"/>
      <c r="E97"/>
      <c r="F97"/>
      <c r="G97"/>
    </row>
    <row r="98" spans="4:7" x14ac:dyDescent="0.25">
      <c r="D98" s="81"/>
      <c r="E98"/>
      <c r="F98"/>
      <c r="G98"/>
    </row>
    <row r="99" spans="4:7" x14ac:dyDescent="0.25">
      <c r="D99" s="81"/>
      <c r="E99"/>
      <c r="F99"/>
      <c r="G99"/>
    </row>
    <row r="100" spans="4:7" x14ac:dyDescent="0.25">
      <c r="D100" s="81"/>
      <c r="E100"/>
      <c r="F100"/>
      <c r="G100"/>
    </row>
    <row r="101" spans="4:7" x14ac:dyDescent="0.25">
      <c r="D101" s="81"/>
      <c r="E101"/>
      <c r="F101"/>
      <c r="G101"/>
    </row>
    <row r="102" spans="4:7" x14ac:dyDescent="0.25">
      <c r="D102" s="81"/>
      <c r="E102"/>
      <c r="F102"/>
      <c r="G102"/>
    </row>
    <row r="103" spans="4:7" x14ac:dyDescent="0.25">
      <c r="D103" s="81"/>
      <c r="E103"/>
      <c r="F103"/>
      <c r="G103"/>
    </row>
    <row r="104" spans="4:7" x14ac:dyDescent="0.25">
      <c r="D104" s="81"/>
      <c r="E104"/>
      <c r="F104"/>
      <c r="G104"/>
    </row>
    <row r="105" spans="4:7" x14ac:dyDescent="0.25">
      <c r="D105" s="81"/>
      <c r="E105"/>
      <c r="F105"/>
      <c r="G105"/>
    </row>
    <row r="106" spans="4:7" x14ac:dyDescent="0.25">
      <c r="D106" s="81"/>
      <c r="E106"/>
      <c r="F106"/>
      <c r="G106"/>
    </row>
    <row r="107" spans="4:7" x14ac:dyDescent="0.25">
      <c r="D107" s="81"/>
      <c r="E107"/>
      <c r="F107"/>
      <c r="G107"/>
    </row>
    <row r="108" spans="4:7" x14ac:dyDescent="0.25">
      <c r="D108" s="81"/>
      <c r="E108"/>
      <c r="F108"/>
      <c r="G108"/>
    </row>
    <row r="109" spans="4:7" x14ac:dyDescent="0.25">
      <c r="D109" s="81"/>
      <c r="E109"/>
      <c r="F109"/>
      <c r="G109"/>
    </row>
    <row r="110" spans="4:7" x14ac:dyDescent="0.25">
      <c r="D110" s="81"/>
      <c r="E110"/>
      <c r="F110"/>
      <c r="G110"/>
    </row>
    <row r="111" spans="4:7" x14ac:dyDescent="0.25">
      <c r="D111" s="81"/>
      <c r="E111"/>
      <c r="F111"/>
      <c r="G111"/>
    </row>
    <row r="112" spans="4:7" x14ac:dyDescent="0.25">
      <c r="D112" s="81"/>
      <c r="E112"/>
      <c r="F112"/>
      <c r="G112"/>
    </row>
    <row r="113" spans="4:7" x14ac:dyDescent="0.25">
      <c r="D113" s="81"/>
      <c r="E113"/>
      <c r="F113"/>
      <c r="G113"/>
    </row>
    <row r="114" spans="4:7" x14ac:dyDescent="0.25">
      <c r="D114" s="81"/>
      <c r="E114"/>
      <c r="F114"/>
      <c r="G114"/>
    </row>
    <row r="115" spans="4:7" x14ac:dyDescent="0.25">
      <c r="D115" s="81"/>
      <c r="E115"/>
      <c r="F115"/>
      <c r="G115"/>
    </row>
    <row r="116" spans="4:7" x14ac:dyDescent="0.25">
      <c r="D116" s="81"/>
      <c r="E116"/>
      <c r="F116"/>
      <c r="G116"/>
    </row>
    <row r="117" spans="4:7" x14ac:dyDescent="0.25">
      <c r="D117" s="81"/>
      <c r="E117"/>
      <c r="F117"/>
      <c r="G117"/>
    </row>
    <row r="118" spans="4:7" x14ac:dyDescent="0.25">
      <c r="D118" s="81"/>
      <c r="E118"/>
      <c r="F118"/>
      <c r="G118"/>
    </row>
    <row r="119" spans="4:7" x14ac:dyDescent="0.25">
      <c r="D119" s="81"/>
      <c r="E119"/>
      <c r="F119"/>
      <c r="G119"/>
    </row>
    <row r="120" spans="4:7" x14ac:dyDescent="0.25">
      <c r="D120" s="81"/>
      <c r="E120"/>
      <c r="F120"/>
      <c r="G120"/>
    </row>
    <row r="121" spans="4:7" x14ac:dyDescent="0.25">
      <c r="D121" s="81"/>
      <c r="E121"/>
      <c r="F121"/>
      <c r="G121"/>
    </row>
    <row r="122" spans="4:7" x14ac:dyDescent="0.25">
      <c r="D122" s="81"/>
      <c r="E122"/>
      <c r="F122"/>
      <c r="G122"/>
    </row>
    <row r="123" spans="4:7" x14ac:dyDescent="0.25">
      <c r="D123" s="81"/>
      <c r="E123"/>
      <c r="F123"/>
      <c r="G123"/>
    </row>
    <row r="124" spans="4:7" x14ac:dyDescent="0.25">
      <c r="D124" s="81"/>
      <c r="E124"/>
      <c r="F124"/>
      <c r="G124"/>
    </row>
    <row r="125" spans="4:7" x14ac:dyDescent="0.25">
      <c r="D125" s="81"/>
      <c r="E125"/>
      <c r="F125"/>
      <c r="G125"/>
    </row>
    <row r="126" spans="4:7" x14ac:dyDescent="0.25">
      <c r="D126" s="81"/>
      <c r="E126"/>
      <c r="F126"/>
      <c r="G126"/>
    </row>
    <row r="127" spans="4:7" x14ac:dyDescent="0.25">
      <c r="D127" s="81"/>
      <c r="E127"/>
      <c r="F127"/>
      <c r="G127"/>
    </row>
    <row r="128" spans="4:7" x14ac:dyDescent="0.25">
      <c r="D128" s="81"/>
      <c r="E128"/>
      <c r="F128"/>
      <c r="G128"/>
    </row>
    <row r="129" spans="4:7" x14ac:dyDescent="0.25">
      <c r="D129" s="81"/>
      <c r="E129"/>
      <c r="F129"/>
      <c r="G129"/>
    </row>
    <row r="130" spans="4:7" x14ac:dyDescent="0.25">
      <c r="D130" s="81"/>
      <c r="E130"/>
      <c r="F130"/>
      <c r="G130"/>
    </row>
    <row r="131" spans="4:7" x14ac:dyDescent="0.25">
      <c r="D131" s="81"/>
      <c r="E131"/>
      <c r="F131"/>
      <c r="G131"/>
    </row>
    <row r="132" spans="4:7" x14ac:dyDescent="0.25">
      <c r="D132" s="81"/>
      <c r="E132"/>
      <c r="F132"/>
      <c r="G132"/>
    </row>
    <row r="133" spans="4:7" x14ac:dyDescent="0.25">
      <c r="D133" s="81"/>
      <c r="E133"/>
      <c r="F133"/>
      <c r="G133"/>
    </row>
    <row r="134" spans="4:7" x14ac:dyDescent="0.25">
      <c r="D134" s="81"/>
      <c r="E134"/>
      <c r="F134"/>
      <c r="G134"/>
    </row>
    <row r="135" spans="4:7" x14ac:dyDescent="0.25">
      <c r="D135" s="81"/>
      <c r="E135"/>
      <c r="F135"/>
      <c r="G135"/>
    </row>
    <row r="136" spans="4:7" x14ac:dyDescent="0.25">
      <c r="D136" s="81"/>
      <c r="E136"/>
      <c r="F136"/>
      <c r="G136"/>
    </row>
    <row r="137" spans="4:7" x14ac:dyDescent="0.25">
      <c r="D137" s="81"/>
      <c r="E137"/>
      <c r="F137"/>
      <c r="G137"/>
    </row>
    <row r="138" spans="4:7" x14ac:dyDescent="0.25">
      <c r="D138" s="81"/>
      <c r="E138"/>
      <c r="F138"/>
      <c r="G138"/>
    </row>
    <row r="139" spans="4:7" x14ac:dyDescent="0.25">
      <c r="D139" s="81"/>
      <c r="E139"/>
      <c r="F139"/>
      <c r="G139"/>
    </row>
    <row r="140" spans="4:7" x14ac:dyDescent="0.25">
      <c r="D140" s="81"/>
      <c r="E140"/>
      <c r="F140"/>
      <c r="G140"/>
    </row>
    <row r="141" spans="4:7" x14ac:dyDescent="0.25">
      <c r="D141" s="81"/>
      <c r="E141"/>
      <c r="F141"/>
      <c r="G141"/>
    </row>
    <row r="142" spans="4:7" x14ac:dyDescent="0.25">
      <c r="D142" s="81"/>
      <c r="E142"/>
      <c r="F142"/>
      <c r="G142"/>
    </row>
    <row r="143" spans="4:7" x14ac:dyDescent="0.25">
      <c r="D143" s="81"/>
      <c r="E143"/>
      <c r="F143"/>
      <c r="G143"/>
    </row>
    <row r="144" spans="4:7" x14ac:dyDescent="0.25">
      <c r="D144" s="81"/>
      <c r="E144"/>
      <c r="F144"/>
      <c r="G144"/>
    </row>
    <row r="145" spans="4:7" x14ac:dyDescent="0.25">
      <c r="D145" s="81"/>
      <c r="E145"/>
      <c r="F145"/>
      <c r="G145"/>
    </row>
    <row r="146" spans="4:7" x14ac:dyDescent="0.25">
      <c r="D146" s="81"/>
      <c r="E146"/>
      <c r="F146"/>
      <c r="G146"/>
    </row>
    <row r="147" spans="4:7" x14ac:dyDescent="0.25">
      <c r="D147" s="81"/>
      <c r="E147"/>
      <c r="F147"/>
      <c r="G147"/>
    </row>
    <row r="148" spans="4:7" x14ac:dyDescent="0.25">
      <c r="D148" s="81"/>
      <c r="E148"/>
      <c r="F148"/>
      <c r="G148"/>
    </row>
    <row r="149" spans="4:7" x14ac:dyDescent="0.25">
      <c r="D149" s="81"/>
      <c r="E149"/>
      <c r="F149"/>
      <c r="G149"/>
    </row>
    <row r="150" spans="4:7" x14ac:dyDescent="0.25">
      <c r="D150" s="81"/>
      <c r="E150"/>
      <c r="F150"/>
      <c r="G150"/>
    </row>
    <row r="151" spans="4:7" x14ac:dyDescent="0.25">
      <c r="D151" s="81"/>
      <c r="E151"/>
      <c r="F151"/>
      <c r="G151"/>
    </row>
    <row r="152" spans="4:7" x14ac:dyDescent="0.25">
      <c r="D152" s="81"/>
      <c r="E152"/>
      <c r="F152"/>
      <c r="G152"/>
    </row>
    <row r="153" spans="4:7" x14ac:dyDescent="0.25">
      <c r="D153" s="81"/>
      <c r="E153"/>
      <c r="F153"/>
      <c r="G153"/>
    </row>
    <row r="154" spans="4:7" x14ac:dyDescent="0.25">
      <c r="D154" s="81"/>
      <c r="E154"/>
      <c r="F154"/>
      <c r="G154"/>
    </row>
    <row r="155" spans="4:7" x14ac:dyDescent="0.25">
      <c r="D155" s="81"/>
      <c r="E155"/>
      <c r="F155"/>
      <c r="G155"/>
    </row>
    <row r="156" spans="4:7" x14ac:dyDescent="0.25">
      <c r="D156" s="81"/>
      <c r="E156"/>
      <c r="F156"/>
      <c r="G156"/>
    </row>
    <row r="157" spans="4:7" x14ac:dyDescent="0.25">
      <c r="D157" s="81"/>
      <c r="E157"/>
      <c r="F157"/>
      <c r="G157"/>
    </row>
    <row r="158" spans="4:7" x14ac:dyDescent="0.25">
      <c r="D158" s="81"/>
      <c r="E158"/>
      <c r="F158"/>
      <c r="G158"/>
    </row>
    <row r="159" spans="4:7" x14ac:dyDescent="0.25">
      <c r="D159" s="81"/>
      <c r="E159"/>
      <c r="F159"/>
      <c r="G159"/>
    </row>
    <row r="160" spans="4:7" x14ac:dyDescent="0.25">
      <c r="D160" s="81"/>
      <c r="E160"/>
      <c r="F160"/>
      <c r="G160"/>
    </row>
    <row r="161" spans="4:7" x14ac:dyDescent="0.25">
      <c r="D161" s="81"/>
      <c r="E161"/>
      <c r="F161"/>
      <c r="G161"/>
    </row>
    <row r="162" spans="4:7" x14ac:dyDescent="0.25">
      <c r="D162" s="81"/>
      <c r="E162"/>
      <c r="F162"/>
      <c r="G162"/>
    </row>
    <row r="163" spans="4:7" x14ac:dyDescent="0.25">
      <c r="D163" s="81"/>
      <c r="E163"/>
      <c r="F163"/>
      <c r="G163"/>
    </row>
    <row r="164" spans="4:7" x14ac:dyDescent="0.25">
      <c r="D164" s="81"/>
      <c r="E164"/>
      <c r="F164"/>
      <c r="G164"/>
    </row>
    <row r="165" spans="4:7" x14ac:dyDescent="0.25">
      <c r="D165" s="81"/>
      <c r="E165"/>
      <c r="F165"/>
      <c r="G165"/>
    </row>
    <row r="166" spans="4:7" x14ac:dyDescent="0.25">
      <c r="D166" s="81"/>
      <c r="E166"/>
      <c r="F166"/>
      <c r="G166"/>
    </row>
    <row r="167" spans="4:7" x14ac:dyDescent="0.25">
      <c r="D167" s="81"/>
      <c r="E167"/>
      <c r="F167"/>
      <c r="G167"/>
    </row>
    <row r="168" spans="4:7" x14ac:dyDescent="0.25">
      <c r="D168" s="81"/>
      <c r="E168"/>
      <c r="F168"/>
      <c r="G168"/>
    </row>
    <row r="169" spans="4:7" x14ac:dyDescent="0.25">
      <c r="D169" s="81"/>
      <c r="E169"/>
      <c r="F169"/>
      <c r="G169"/>
    </row>
    <row r="170" spans="4:7" x14ac:dyDescent="0.25">
      <c r="D170" s="81"/>
      <c r="E170"/>
      <c r="F170"/>
      <c r="G170"/>
    </row>
    <row r="171" spans="4:7" x14ac:dyDescent="0.25">
      <c r="D171" s="81"/>
      <c r="E171"/>
      <c r="F171"/>
      <c r="G171"/>
    </row>
    <row r="172" spans="4:7" x14ac:dyDescent="0.25">
      <c r="D172" s="81"/>
      <c r="E172"/>
      <c r="F172"/>
      <c r="G172"/>
    </row>
    <row r="173" spans="4:7" x14ac:dyDescent="0.25">
      <c r="D173" s="81"/>
      <c r="E173"/>
      <c r="F173"/>
      <c r="G173"/>
    </row>
    <row r="174" spans="4:7" x14ac:dyDescent="0.25">
      <c r="D174" s="81"/>
      <c r="E174"/>
      <c r="F174"/>
      <c r="G174"/>
    </row>
    <row r="175" spans="4:7" x14ac:dyDescent="0.25">
      <c r="D175" s="81"/>
      <c r="E175"/>
      <c r="F175"/>
      <c r="G175"/>
    </row>
    <row r="176" spans="4:7" x14ac:dyDescent="0.25">
      <c r="D176" s="81"/>
      <c r="E176"/>
      <c r="F176"/>
      <c r="G176"/>
    </row>
    <row r="177" spans="4:7" x14ac:dyDescent="0.25">
      <c r="D177" s="81"/>
      <c r="E177"/>
      <c r="F177"/>
      <c r="G177"/>
    </row>
    <row r="178" spans="4:7" x14ac:dyDescent="0.25">
      <c r="D178" s="81"/>
      <c r="E178"/>
      <c r="F178"/>
      <c r="G178"/>
    </row>
    <row r="179" spans="4:7" x14ac:dyDescent="0.25">
      <c r="D179" s="81"/>
      <c r="E179"/>
      <c r="F179"/>
      <c r="G179"/>
    </row>
    <row r="180" spans="4:7" x14ac:dyDescent="0.25">
      <c r="D180" s="81"/>
      <c r="E180"/>
      <c r="F180"/>
      <c r="G180"/>
    </row>
    <row r="181" spans="4:7" x14ac:dyDescent="0.25">
      <c r="D181" s="81"/>
      <c r="E181"/>
      <c r="F181"/>
      <c r="G181"/>
    </row>
    <row r="182" spans="4:7" x14ac:dyDescent="0.25">
      <c r="D182" s="81"/>
      <c r="E182"/>
      <c r="F182"/>
      <c r="G182"/>
    </row>
    <row r="183" spans="4:7" x14ac:dyDescent="0.25">
      <c r="D183" s="81"/>
      <c r="E183"/>
      <c r="F183"/>
      <c r="G183"/>
    </row>
    <row r="184" spans="4:7" x14ac:dyDescent="0.25">
      <c r="D184" s="81"/>
      <c r="E184"/>
      <c r="F184"/>
      <c r="G184"/>
    </row>
    <row r="185" spans="4:7" x14ac:dyDescent="0.25">
      <c r="D185" s="81"/>
      <c r="E185"/>
      <c r="F185"/>
      <c r="G185"/>
    </row>
    <row r="186" spans="4:7" x14ac:dyDescent="0.25">
      <c r="D186" s="81"/>
      <c r="E186"/>
      <c r="F186"/>
      <c r="G186"/>
    </row>
    <row r="187" spans="4:7" x14ac:dyDescent="0.25">
      <c r="D187" s="81"/>
      <c r="E187"/>
      <c r="F187"/>
      <c r="G187"/>
    </row>
    <row r="188" spans="4:7" x14ac:dyDescent="0.25">
      <c r="D188" s="81"/>
      <c r="E188"/>
      <c r="F188"/>
      <c r="G188"/>
    </row>
    <row r="189" spans="4:7" x14ac:dyDescent="0.25">
      <c r="D189" s="81"/>
      <c r="E189"/>
      <c r="F189"/>
      <c r="G189"/>
    </row>
    <row r="190" spans="4:7" x14ac:dyDescent="0.25">
      <c r="D190" s="81"/>
      <c r="E190"/>
      <c r="F190"/>
      <c r="G190"/>
    </row>
    <row r="191" spans="4:7" x14ac:dyDescent="0.25">
      <c r="D191" s="81"/>
      <c r="E191"/>
      <c r="F191"/>
      <c r="G191"/>
    </row>
    <row r="192" spans="4:7" x14ac:dyDescent="0.25">
      <c r="D192" s="81"/>
      <c r="E192"/>
      <c r="F192"/>
      <c r="G192"/>
    </row>
    <row r="193" spans="4:7" x14ac:dyDescent="0.25">
      <c r="D193" s="81"/>
      <c r="E193"/>
      <c r="F193"/>
      <c r="G193"/>
    </row>
    <row r="194" spans="4:7" x14ac:dyDescent="0.25">
      <c r="D194" s="81"/>
      <c r="E194"/>
      <c r="F194"/>
      <c r="G194"/>
    </row>
    <row r="195" spans="4:7" x14ac:dyDescent="0.25">
      <c r="D195" s="81"/>
      <c r="E195"/>
      <c r="F195"/>
      <c r="G195"/>
    </row>
    <row r="196" spans="4:7" x14ac:dyDescent="0.25">
      <c r="D196" s="81"/>
      <c r="E196"/>
      <c r="F196"/>
      <c r="G196"/>
    </row>
    <row r="197" spans="4:7" x14ac:dyDescent="0.25">
      <c r="D197" s="81"/>
      <c r="E197"/>
      <c r="F197"/>
      <c r="G197"/>
    </row>
    <row r="198" spans="4:7" x14ac:dyDescent="0.25">
      <c r="D198" s="81"/>
      <c r="E198"/>
      <c r="F198"/>
      <c r="G198"/>
    </row>
    <row r="199" spans="4:7" x14ac:dyDescent="0.25">
      <c r="D199" s="81"/>
      <c r="E199"/>
      <c r="F199"/>
      <c r="G199"/>
    </row>
    <row r="200" spans="4:7" x14ac:dyDescent="0.25">
      <c r="D200" s="81"/>
      <c r="E200"/>
      <c r="F200"/>
      <c r="G200"/>
    </row>
    <row r="201" spans="4:7" x14ac:dyDescent="0.25">
      <c r="D201" s="81"/>
      <c r="E201"/>
      <c r="F201"/>
      <c r="G201"/>
    </row>
    <row r="202" spans="4:7" x14ac:dyDescent="0.25">
      <c r="D202" s="81"/>
      <c r="E202"/>
      <c r="F202"/>
      <c r="G202"/>
    </row>
    <row r="203" spans="4:7" x14ac:dyDescent="0.25">
      <c r="D203" s="81"/>
      <c r="E203"/>
      <c r="F203"/>
      <c r="G203"/>
    </row>
    <row r="204" spans="4:7" x14ac:dyDescent="0.25">
      <c r="D204" s="81"/>
      <c r="E204"/>
      <c r="F204"/>
      <c r="G204"/>
    </row>
    <row r="205" spans="4:7" x14ac:dyDescent="0.25">
      <c r="D205" s="81"/>
      <c r="E205"/>
      <c r="F205"/>
      <c r="G205"/>
    </row>
    <row r="206" spans="4:7" x14ac:dyDescent="0.25">
      <c r="D206" s="81"/>
      <c r="E206"/>
      <c r="F206"/>
      <c r="G206"/>
    </row>
    <row r="207" spans="4:7" x14ac:dyDescent="0.25">
      <c r="D207" s="81"/>
      <c r="E207"/>
      <c r="F207"/>
      <c r="G207"/>
    </row>
    <row r="208" spans="4:7" x14ac:dyDescent="0.25">
      <c r="D208" s="81"/>
      <c r="E208"/>
      <c r="F208"/>
      <c r="G208"/>
    </row>
    <row r="209" spans="4:7" x14ac:dyDescent="0.25">
      <c r="D209" s="81"/>
      <c r="E209"/>
      <c r="F209"/>
      <c r="G209"/>
    </row>
    <row r="210" spans="4:7" x14ac:dyDescent="0.25">
      <c r="D210" s="81"/>
      <c r="E210"/>
      <c r="F210"/>
      <c r="G210"/>
    </row>
    <row r="211" spans="4:7" x14ac:dyDescent="0.25">
      <c r="D211" s="81"/>
      <c r="E211"/>
      <c r="F211"/>
      <c r="G211"/>
    </row>
    <row r="212" spans="4:7" x14ac:dyDescent="0.25">
      <c r="D212" s="81"/>
      <c r="E212"/>
      <c r="F212"/>
      <c r="G212"/>
    </row>
    <row r="213" spans="4:7" x14ac:dyDescent="0.25">
      <c r="D213" s="81"/>
      <c r="E213"/>
      <c r="F213"/>
      <c r="G213"/>
    </row>
    <row r="214" spans="4:7" x14ac:dyDescent="0.25">
      <c r="D214" s="81"/>
      <c r="E214"/>
      <c r="F214"/>
      <c r="G214"/>
    </row>
    <row r="215" spans="4:7" x14ac:dyDescent="0.25">
      <c r="D215" s="81"/>
      <c r="E215"/>
      <c r="F215"/>
      <c r="G215"/>
    </row>
    <row r="216" spans="4:7" x14ac:dyDescent="0.25">
      <c r="D216" s="81"/>
      <c r="E216"/>
      <c r="F216"/>
      <c r="G216"/>
    </row>
    <row r="217" spans="4:7" x14ac:dyDescent="0.25">
      <c r="D217" s="81"/>
      <c r="E217"/>
      <c r="F217"/>
      <c r="G217"/>
    </row>
    <row r="218" spans="4:7" x14ac:dyDescent="0.25">
      <c r="D218" s="81"/>
      <c r="E218"/>
      <c r="F218"/>
      <c r="G218"/>
    </row>
    <row r="219" spans="4:7" x14ac:dyDescent="0.25">
      <c r="D219" s="81"/>
      <c r="E219"/>
      <c r="F219"/>
      <c r="G219"/>
    </row>
    <row r="220" spans="4:7" x14ac:dyDescent="0.25">
      <c r="D220" s="81"/>
      <c r="E220"/>
      <c r="F220"/>
      <c r="G220"/>
    </row>
    <row r="221" spans="4:7" x14ac:dyDescent="0.25">
      <c r="D221" s="81"/>
      <c r="E221"/>
      <c r="F221"/>
      <c r="G221"/>
    </row>
    <row r="222" spans="4:7" x14ac:dyDescent="0.25">
      <c r="D222" s="81"/>
      <c r="E222"/>
      <c r="F222"/>
      <c r="G222"/>
    </row>
    <row r="223" spans="4:7" x14ac:dyDescent="0.25">
      <c r="D223" s="81"/>
      <c r="E223"/>
      <c r="F223"/>
      <c r="G223"/>
    </row>
    <row r="224" spans="4:7" x14ac:dyDescent="0.25">
      <c r="D224" s="81"/>
      <c r="E224"/>
      <c r="F224"/>
      <c r="G224"/>
    </row>
    <row r="225" spans="4:7" x14ac:dyDescent="0.25">
      <c r="D225" s="81"/>
      <c r="E225"/>
      <c r="F225"/>
      <c r="G225"/>
    </row>
    <row r="226" spans="4:7" x14ac:dyDescent="0.25">
      <c r="D226" s="81"/>
      <c r="E226"/>
      <c r="F226"/>
      <c r="G226"/>
    </row>
    <row r="227" spans="4:7" x14ac:dyDescent="0.25">
      <c r="D227" s="81"/>
      <c r="E227"/>
      <c r="F227"/>
      <c r="G227"/>
    </row>
    <row r="228" spans="4:7" x14ac:dyDescent="0.25">
      <c r="D228" s="81"/>
      <c r="E228"/>
      <c r="F228"/>
      <c r="G228"/>
    </row>
    <row r="229" spans="4:7" x14ac:dyDescent="0.25">
      <c r="D229" s="81"/>
      <c r="E229"/>
      <c r="F229"/>
      <c r="G229"/>
    </row>
    <row r="230" spans="4:7" x14ac:dyDescent="0.25">
      <c r="D230" s="81"/>
      <c r="E230"/>
      <c r="F230"/>
      <c r="G230"/>
    </row>
    <row r="231" spans="4:7" x14ac:dyDescent="0.25">
      <c r="D231" s="81"/>
      <c r="E231"/>
      <c r="F231"/>
      <c r="G231"/>
    </row>
    <row r="232" spans="4:7" x14ac:dyDescent="0.25">
      <c r="D232" s="81"/>
      <c r="E232"/>
      <c r="F232"/>
      <c r="G232"/>
    </row>
    <row r="233" spans="4:7" x14ac:dyDescent="0.25">
      <c r="D233" s="81"/>
      <c r="E233"/>
      <c r="F233"/>
      <c r="G233"/>
    </row>
    <row r="234" spans="4:7" x14ac:dyDescent="0.25">
      <c r="D234" s="81"/>
      <c r="E234"/>
      <c r="F234"/>
      <c r="G234"/>
    </row>
    <row r="235" spans="4:7" x14ac:dyDescent="0.25">
      <c r="D235" s="81"/>
      <c r="E235"/>
      <c r="F235"/>
      <c r="G235"/>
    </row>
    <row r="236" spans="4:7" x14ac:dyDescent="0.25">
      <c r="D236" s="81"/>
      <c r="E236"/>
      <c r="F236"/>
      <c r="G236"/>
    </row>
    <row r="237" spans="4:7" x14ac:dyDescent="0.25">
      <c r="D237" s="81"/>
      <c r="E237"/>
      <c r="F237"/>
      <c r="G237"/>
    </row>
    <row r="238" spans="4:7" x14ac:dyDescent="0.25">
      <c r="D238" s="81"/>
      <c r="E238"/>
      <c r="F238"/>
      <c r="G238"/>
    </row>
    <row r="239" spans="4:7" x14ac:dyDescent="0.25">
      <c r="D239" s="81"/>
      <c r="E239"/>
      <c r="F239"/>
      <c r="G239"/>
    </row>
    <row r="240" spans="4:7" x14ac:dyDescent="0.25">
      <c r="D240" s="81"/>
      <c r="E240"/>
      <c r="F240"/>
      <c r="G240"/>
    </row>
    <row r="241" spans="4:7" x14ac:dyDescent="0.25">
      <c r="D241" s="81"/>
      <c r="E241"/>
      <c r="F241"/>
      <c r="G241"/>
    </row>
    <row r="242" spans="4:7" x14ac:dyDescent="0.25">
      <c r="D242" s="81"/>
      <c r="E242"/>
      <c r="F242"/>
      <c r="G242"/>
    </row>
    <row r="243" spans="4:7" x14ac:dyDescent="0.25">
      <c r="D243" s="81"/>
      <c r="E243"/>
      <c r="F243"/>
      <c r="G243"/>
    </row>
    <row r="244" spans="4:7" x14ac:dyDescent="0.25">
      <c r="D244" s="81"/>
      <c r="E244"/>
      <c r="F244"/>
      <c r="G244"/>
    </row>
    <row r="245" spans="4:7" x14ac:dyDescent="0.25">
      <c r="D245" s="81"/>
      <c r="E245"/>
      <c r="F245"/>
      <c r="G245"/>
    </row>
    <row r="246" spans="4:7" x14ac:dyDescent="0.25">
      <c r="D246" s="81"/>
      <c r="E246"/>
      <c r="F246"/>
      <c r="G246"/>
    </row>
    <row r="247" spans="4:7" x14ac:dyDescent="0.25">
      <c r="D247" s="81"/>
      <c r="E247"/>
      <c r="F247"/>
      <c r="G247"/>
    </row>
    <row r="248" spans="4:7" x14ac:dyDescent="0.25">
      <c r="D248" s="81"/>
      <c r="E248"/>
      <c r="F248"/>
      <c r="G248"/>
    </row>
    <row r="249" spans="4:7" x14ac:dyDescent="0.25">
      <c r="D249" s="81"/>
      <c r="E249"/>
      <c r="F249"/>
      <c r="G249"/>
    </row>
    <row r="250" spans="4:7" x14ac:dyDescent="0.25">
      <c r="D250" s="81"/>
      <c r="E250"/>
      <c r="F250"/>
      <c r="G250"/>
    </row>
    <row r="251" spans="4:7" x14ac:dyDescent="0.25">
      <c r="D251" s="81"/>
      <c r="E251"/>
      <c r="F251"/>
      <c r="G251"/>
    </row>
    <row r="252" spans="4:7" x14ac:dyDescent="0.25">
      <c r="D252" s="81"/>
      <c r="E252"/>
      <c r="F252"/>
      <c r="G252"/>
    </row>
    <row r="253" spans="4:7" x14ac:dyDescent="0.25">
      <c r="D253" s="81"/>
      <c r="E253"/>
      <c r="F253"/>
      <c r="G253"/>
    </row>
    <row r="254" spans="4:7" x14ac:dyDescent="0.25">
      <c r="D254" s="81"/>
      <c r="E254"/>
      <c r="F254"/>
      <c r="G254"/>
    </row>
    <row r="255" spans="4:7" x14ac:dyDescent="0.25">
      <c r="D255" s="81"/>
      <c r="E255"/>
      <c r="F255"/>
      <c r="G255"/>
    </row>
    <row r="256" spans="4:7" x14ac:dyDescent="0.25">
      <c r="D256" s="81"/>
      <c r="E256"/>
      <c r="F256"/>
      <c r="G256"/>
    </row>
  </sheetData>
  <autoFilter ref="H7:Q28" xr:uid="{2E693596-7F5D-4FFE-B972-037725F8C165}"/>
  <mergeCells count="6">
    <mergeCell ref="C1:P1"/>
    <mergeCell ref="C2:P2"/>
    <mergeCell ref="C3:P3"/>
    <mergeCell ref="D6:G6"/>
    <mergeCell ref="H6:L6"/>
    <mergeCell ref="M6:Q6"/>
  </mergeCells>
  <pageMargins left="0.7" right="0.7" top="0.75" bottom="0.75" header="0.3" footer="0.3"/>
  <pageSetup paperSize="9" scale="71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loadfileandCalc">
                <anchor moveWithCells="1" sizeWithCells="1">
                  <from>
                    <xdr:col>17</xdr:col>
                    <xdr:colOff>28575</xdr:colOff>
                    <xdr:row>0</xdr:row>
                    <xdr:rowOff>0</xdr:rowOff>
                  </from>
                  <to>
                    <xdr:col>18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21C80-E7B8-43A6-AE5C-CB850F283132}">
  <sheetPr codeName="Sheet8">
    <tabColor theme="8" tint="0.59999389629810485"/>
    <pageSetUpPr fitToPage="1"/>
  </sheetPr>
  <dimension ref="A1:S203"/>
  <sheetViews>
    <sheetView topLeftCell="C17" workbookViewId="0">
      <selection activeCell="D36" sqref="D36"/>
    </sheetView>
  </sheetViews>
  <sheetFormatPr defaultRowHeight="15" x14ac:dyDescent="0.25"/>
  <cols>
    <col min="1" max="2" width="9.140625" hidden="1" customWidth="1"/>
    <col min="3" max="3" width="20.7109375" bestFit="1" customWidth="1"/>
    <col min="4" max="4" width="8.7109375" style="1" customWidth="1"/>
    <col min="5" max="5" width="14.28515625" style="1" customWidth="1"/>
    <col min="6" max="6" width="16.140625" style="1" customWidth="1"/>
    <col min="7" max="7" width="14.28515625" style="1" customWidth="1"/>
    <col min="8" max="8" width="3.7109375" style="91" customWidth="1"/>
    <col min="9" max="9" width="8.7109375" customWidth="1"/>
    <col min="10" max="12" width="14.28515625" style="1" customWidth="1"/>
    <col min="13" max="13" width="7.7109375" style="35" customWidth="1"/>
    <col min="14" max="14" width="3.7109375" style="86" customWidth="1"/>
    <col min="15" max="15" width="8.7109375" customWidth="1"/>
    <col min="16" max="16" width="14.28515625" customWidth="1"/>
    <col min="17" max="18" width="14.28515625" style="1" customWidth="1"/>
    <col min="19" max="19" width="7.7109375" style="75" customWidth="1"/>
  </cols>
  <sheetData>
    <row r="1" spans="1:19" ht="19.5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</row>
    <row r="2" spans="1:19" ht="19.5" x14ac:dyDescent="0.3">
      <c r="C2" s="117" t="s">
        <v>509</v>
      </c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</row>
    <row r="3" spans="1:19" x14ac:dyDescent="0.25">
      <c r="C3" s="23" t="s">
        <v>379</v>
      </c>
      <c r="D3" s="15" t="s">
        <v>135</v>
      </c>
    </row>
    <row r="4" spans="1:19" hidden="1" x14ac:dyDescent="0.25">
      <c r="A4" s="3" t="s">
        <v>139</v>
      </c>
      <c r="B4" s="3" t="s">
        <v>140</v>
      </c>
      <c r="C4" s="23" t="s">
        <v>128</v>
      </c>
      <c r="D4" s="13" t="s">
        <v>135</v>
      </c>
    </row>
    <row r="5" spans="1:19" x14ac:dyDescent="0.25">
      <c r="C5" s="95"/>
      <c r="D5" s="119" t="s">
        <v>141</v>
      </c>
      <c r="E5" s="119"/>
      <c r="F5" s="119"/>
      <c r="G5" s="119"/>
      <c r="H5" s="87"/>
      <c r="I5" s="119" t="s">
        <v>142</v>
      </c>
      <c r="J5" s="119"/>
      <c r="K5" s="119"/>
      <c r="L5" s="119"/>
      <c r="M5" s="119"/>
      <c r="N5" s="87"/>
      <c r="O5" s="120" t="s">
        <v>143</v>
      </c>
      <c r="P5" s="120"/>
      <c r="Q5" s="120"/>
      <c r="R5" s="120"/>
      <c r="S5" s="120"/>
    </row>
    <row r="6" spans="1:19" x14ac:dyDescent="0.25">
      <c r="A6" s="5"/>
      <c r="B6" s="5"/>
      <c r="C6" s="23" t="s">
        <v>130</v>
      </c>
      <c r="D6" s="45" t="s">
        <v>386</v>
      </c>
      <c r="E6" s="12" t="s">
        <v>145</v>
      </c>
      <c r="F6" s="12" t="s">
        <v>147</v>
      </c>
      <c r="G6" s="12" t="s">
        <v>137</v>
      </c>
      <c r="H6" s="92"/>
      <c r="I6" s="46" t="s">
        <v>386</v>
      </c>
      <c r="J6" s="9" t="s">
        <v>144</v>
      </c>
      <c r="K6" s="9" t="s">
        <v>146</v>
      </c>
      <c r="L6" s="9" t="s">
        <v>137</v>
      </c>
      <c r="M6" s="71" t="s">
        <v>394</v>
      </c>
      <c r="N6" s="88"/>
      <c r="O6" s="46" t="s">
        <v>386</v>
      </c>
      <c r="P6" s="9" t="s">
        <v>144</v>
      </c>
      <c r="Q6" s="9" t="s">
        <v>138</v>
      </c>
      <c r="R6" s="9" t="s">
        <v>137</v>
      </c>
      <c r="S6" s="76" t="s">
        <v>394</v>
      </c>
    </row>
    <row r="7" spans="1:19" x14ac:dyDescent="0.25">
      <c r="A7" s="24">
        <f>F7/E7</f>
        <v>1202.3028951043568</v>
      </c>
      <c r="B7" s="24">
        <f>G7/E7</f>
        <v>343.67801281504597</v>
      </c>
      <c r="C7" s="15" t="s">
        <v>395</v>
      </c>
      <c r="D7" s="45">
        <v>64</v>
      </c>
      <c r="E7" s="13">
        <v>356813.39</v>
      </c>
      <c r="F7" s="13">
        <v>428997771.80900002</v>
      </c>
      <c r="G7" s="13">
        <v>122628916.82099999</v>
      </c>
      <c r="H7" s="93"/>
      <c r="I7" s="45">
        <f t="shared" ref="I7:J22" si="0">D7-O7</f>
        <v>46</v>
      </c>
      <c r="J7" s="10">
        <f t="shared" si="0"/>
        <v>323942.18</v>
      </c>
      <c r="K7" s="10">
        <f t="shared" ref="K7:K18" si="1">IF(J7&lt;&gt;0,ROUND(J7*A7,0),0)</f>
        <v>389476621</v>
      </c>
      <c r="L7" s="10">
        <f t="shared" ref="L7:L18" si="2">IF(J7&lt;&gt;0,ROUND(J7*B7,0),0)</f>
        <v>111331805</v>
      </c>
      <c r="M7" s="74">
        <f>J7/E7</f>
        <v>0.90787562652847753</v>
      </c>
      <c r="N7" s="89"/>
      <c r="O7" s="45">
        <f>COUNTIFS([1]GD.List!$N$3:$N$5000,C7,[1]GD.List!$L$3:$L$5000,"&lt;&gt;0")</f>
        <v>18</v>
      </c>
      <c r="P7" s="10">
        <f>SUMIFS([1]GD.List!$L$3:$L$5000,[1]GD.List!$N$3:$N$5000,C7)</f>
        <v>32871.21</v>
      </c>
      <c r="Q7" s="10">
        <f t="shared" ref="Q7:Q18" si="3">IF(P7&lt;&gt;0,ROUND(P7*A7,0),0)</f>
        <v>39521151</v>
      </c>
      <c r="R7" s="10">
        <f t="shared" ref="R7:R18" si="4">IF(P7&lt;&gt;0,ROUND(P7*B7,0),0)</f>
        <v>11297112</v>
      </c>
      <c r="S7" s="74">
        <f>P7/E7</f>
        <v>9.2124373471522455E-2</v>
      </c>
    </row>
    <row r="8" spans="1:19" x14ac:dyDescent="0.25">
      <c r="A8" s="24">
        <f t="shared" ref="A8:A26" si="5">F8/E8</f>
        <v>802.0673761204738</v>
      </c>
      <c r="B8" s="24">
        <f t="shared" ref="B8:B26" si="6">G8/E8</f>
        <v>158.69023147174116</v>
      </c>
      <c r="C8" s="15" t="s">
        <v>396</v>
      </c>
      <c r="D8" s="45">
        <v>138</v>
      </c>
      <c r="E8" s="13">
        <v>1837285.5690999993</v>
      </c>
      <c r="F8" s="13">
        <v>1473626815.5920479</v>
      </c>
      <c r="G8" s="13">
        <v>291559272.24016857</v>
      </c>
      <c r="H8" s="93"/>
      <c r="I8" s="45">
        <f t="shared" si="0"/>
        <v>103</v>
      </c>
      <c r="J8" s="10">
        <f t="shared" si="0"/>
        <v>1375911.4358999995</v>
      </c>
      <c r="K8" s="10">
        <f t="shared" si="1"/>
        <v>1103573675</v>
      </c>
      <c r="L8" s="10">
        <f t="shared" si="2"/>
        <v>218343704</v>
      </c>
      <c r="M8" s="74">
        <f t="shared" ref="M8:M26" si="7">J8/E8</f>
        <v>0.74888273169967501</v>
      </c>
      <c r="N8" s="89"/>
      <c r="O8" s="45">
        <f>COUNTIFS([1]GD.List!$N$3:$N$5000,C8,[1]GD.List!$L$3:$L$5000,"&lt;&gt;0")</f>
        <v>35</v>
      </c>
      <c r="P8" s="10">
        <f>SUMIFS([1]GD.List!$L$3:$L$5000,[1]GD.List!$N$3:$N$5000,C8)</f>
        <v>461374.13319999992</v>
      </c>
      <c r="Q8" s="10">
        <f t="shared" si="3"/>
        <v>370053140</v>
      </c>
      <c r="R8" s="10">
        <f t="shared" si="4"/>
        <v>73215568</v>
      </c>
      <c r="S8" s="74">
        <f t="shared" ref="S8:S26" si="8">P8/E8</f>
        <v>0.25111726830032505</v>
      </c>
    </row>
    <row r="9" spans="1:19" x14ac:dyDescent="0.25">
      <c r="A9" s="24">
        <f t="shared" si="5"/>
        <v>358.82557487601463</v>
      </c>
      <c r="B9" s="24">
        <f t="shared" si="6"/>
        <v>153.62458596841796</v>
      </c>
      <c r="C9" s="15" t="s">
        <v>397</v>
      </c>
      <c r="D9" s="45">
        <v>122</v>
      </c>
      <c r="E9" s="13">
        <v>1188582.638</v>
      </c>
      <c r="F9" s="13">
        <v>426493848.36800003</v>
      </c>
      <c r="G9" s="13">
        <v>182595515.65200001</v>
      </c>
      <c r="H9" s="93"/>
      <c r="I9" s="45">
        <f t="shared" si="0"/>
        <v>54</v>
      </c>
      <c r="J9" s="10">
        <f t="shared" si="0"/>
        <v>816728.098</v>
      </c>
      <c r="K9" s="10">
        <f t="shared" si="1"/>
        <v>293062929</v>
      </c>
      <c r="L9" s="10">
        <f t="shared" si="2"/>
        <v>125469516</v>
      </c>
      <c r="M9" s="74">
        <f t="shared" si="7"/>
        <v>0.68714456352339881</v>
      </c>
      <c r="N9" s="89"/>
      <c r="O9" s="45">
        <f>COUNTIFS([1]GD.List!$N$3:$N$5000,C9,[1]GD.List!$L$3:$L$5000,"&lt;&gt;0")</f>
        <v>68</v>
      </c>
      <c r="P9" s="10">
        <f>SUMIFS([1]GD.List!$L$3:$L$5000,[1]GD.List!$N$3:$N$5000,C9)</f>
        <v>371854.54000000004</v>
      </c>
      <c r="Q9" s="10">
        <f t="shared" si="3"/>
        <v>133430919</v>
      </c>
      <c r="R9" s="10">
        <f t="shared" si="4"/>
        <v>57126000</v>
      </c>
      <c r="S9" s="74">
        <f t="shared" si="8"/>
        <v>0.31285543647660113</v>
      </c>
    </row>
    <row r="10" spans="1:19" x14ac:dyDescent="0.25">
      <c r="A10" s="24">
        <f t="shared" si="5"/>
        <v>1316.2565461258071</v>
      </c>
      <c r="B10" s="24">
        <f t="shared" si="6"/>
        <v>556.96482352263843</v>
      </c>
      <c r="C10" s="15" t="s">
        <v>398</v>
      </c>
      <c r="D10" s="45">
        <v>54</v>
      </c>
      <c r="E10" s="13">
        <v>345644.9</v>
      </c>
      <c r="F10" s="13">
        <v>454957362.25999999</v>
      </c>
      <c r="G10" s="13">
        <v>192512050.73000002</v>
      </c>
      <c r="H10" s="93"/>
      <c r="I10" s="45">
        <f t="shared" si="0"/>
        <v>44</v>
      </c>
      <c r="J10" s="10">
        <f t="shared" si="0"/>
        <v>298480.40000000002</v>
      </c>
      <c r="K10" s="10">
        <f t="shared" si="1"/>
        <v>392876780</v>
      </c>
      <c r="L10" s="10">
        <f t="shared" si="2"/>
        <v>166243083</v>
      </c>
      <c r="M10" s="74">
        <f t="shared" si="7"/>
        <v>0.86354637374947529</v>
      </c>
      <c r="N10" s="90"/>
      <c r="O10" s="45">
        <f>COUNTIFS([1]GD.List!$N$3:$N$5000,C10,[1]GD.List!$L$3:$L$5000,"&lt;&gt;0")</f>
        <v>10</v>
      </c>
      <c r="P10" s="10">
        <f>SUMIFS([1]GD.List!$L$3:$L$5000,[1]GD.List!$N$3:$N$5000,C10)</f>
        <v>47164.499999999993</v>
      </c>
      <c r="Q10" s="10">
        <f t="shared" si="3"/>
        <v>62080582</v>
      </c>
      <c r="R10" s="10">
        <f t="shared" si="4"/>
        <v>26268967</v>
      </c>
      <c r="S10" s="74">
        <f t="shared" si="8"/>
        <v>0.13645362625052471</v>
      </c>
    </row>
    <row r="11" spans="1:19" x14ac:dyDescent="0.25">
      <c r="A11" s="24">
        <f t="shared" si="5"/>
        <v>1201.2804663212435</v>
      </c>
      <c r="B11" s="24">
        <f t="shared" si="6"/>
        <v>481.93049174822488</v>
      </c>
      <c r="C11" s="15" t="s">
        <v>399</v>
      </c>
      <c r="D11" s="45">
        <v>8</v>
      </c>
      <c r="E11" s="13">
        <v>20844</v>
      </c>
      <c r="F11" s="13">
        <v>25039490.039999999</v>
      </c>
      <c r="G11" s="13">
        <v>10045359.17</v>
      </c>
      <c r="H11" s="93"/>
      <c r="I11" s="45">
        <f t="shared" si="0"/>
        <v>6</v>
      </c>
      <c r="J11" s="10">
        <f t="shared" si="0"/>
        <v>13020</v>
      </c>
      <c r="K11" s="10">
        <f t="shared" si="1"/>
        <v>15640672</v>
      </c>
      <c r="L11" s="10">
        <f t="shared" si="2"/>
        <v>6274735</v>
      </c>
      <c r="M11" s="74">
        <f t="shared" si="7"/>
        <v>0.62464018422567646</v>
      </c>
      <c r="N11" s="90"/>
      <c r="O11" s="45">
        <f>COUNTIFS([1]GD.List!$N$3:$N$5000,C11,[1]GD.List!$L$3:$L$5000,"&lt;&gt;0")</f>
        <v>2</v>
      </c>
      <c r="P11" s="10">
        <f>SUMIFS([1]GD.List!$L$3:$L$5000,[1]GD.List!$N$3:$N$5000,C11)</f>
        <v>7824</v>
      </c>
      <c r="Q11" s="10">
        <f t="shared" si="3"/>
        <v>9398818</v>
      </c>
      <c r="R11" s="10">
        <f t="shared" si="4"/>
        <v>3770624</v>
      </c>
      <c r="S11" s="74">
        <f t="shared" si="8"/>
        <v>0.37535981577432354</v>
      </c>
    </row>
    <row r="12" spans="1:19" x14ac:dyDescent="0.25">
      <c r="A12" s="24">
        <f t="shared" si="5"/>
        <v>246.94591010385054</v>
      </c>
      <c r="B12" s="24">
        <f t="shared" si="6"/>
        <v>84.145753545858071</v>
      </c>
      <c r="C12" s="15" t="s">
        <v>134</v>
      </c>
      <c r="D12" s="45">
        <v>68</v>
      </c>
      <c r="E12" s="13">
        <v>9589946.6799999997</v>
      </c>
      <c r="F12" s="13">
        <v>2368198110.7399998</v>
      </c>
      <c r="G12" s="13">
        <v>806953289.85319984</v>
      </c>
      <c r="H12" s="94"/>
      <c r="I12" s="45">
        <f t="shared" si="0"/>
        <v>57</v>
      </c>
      <c r="J12" s="10">
        <f t="shared" si="0"/>
        <v>7983704.0299999993</v>
      </c>
      <c r="K12" s="10">
        <f t="shared" si="1"/>
        <v>1971543058</v>
      </c>
      <c r="L12" s="10">
        <f t="shared" si="2"/>
        <v>671794792</v>
      </c>
      <c r="M12" s="74">
        <f t="shared" si="7"/>
        <v>0.83250765581941688</v>
      </c>
      <c r="N12" s="90"/>
      <c r="O12" s="45">
        <f>COUNTIFS([1]GD.List!$N$3:$N$5000,C12,[1]GD.List!$L$3:$L$5000,"&lt;&gt;0")</f>
        <v>11</v>
      </c>
      <c r="P12" s="10">
        <f>SUMIFS([1]GD.List!$L$3:$L$5000,[1]GD.List!$N$3:$N$5000,C12)</f>
        <v>1606242.65</v>
      </c>
      <c r="Q12" s="10">
        <f t="shared" si="3"/>
        <v>396655053</v>
      </c>
      <c r="R12" s="10">
        <f t="shared" si="4"/>
        <v>135158498</v>
      </c>
      <c r="S12" s="74">
        <f t="shared" si="8"/>
        <v>0.16749234418058306</v>
      </c>
    </row>
    <row r="13" spans="1:19" x14ac:dyDescent="0.25">
      <c r="A13" s="24">
        <f t="shared" si="5"/>
        <v>367.89863791520725</v>
      </c>
      <c r="B13" s="24">
        <f t="shared" si="6"/>
        <v>133.73286157606788</v>
      </c>
      <c r="C13" s="15" t="s">
        <v>400</v>
      </c>
      <c r="D13" s="45">
        <v>194</v>
      </c>
      <c r="E13" s="13">
        <v>4821596.8662999962</v>
      </c>
      <c r="F13" s="13">
        <v>1773858919.6880002</v>
      </c>
      <c r="G13" s="13">
        <v>644805946.29650009</v>
      </c>
      <c r="I13" s="45">
        <f t="shared" si="0"/>
        <v>141</v>
      </c>
      <c r="J13" s="10">
        <f t="shared" si="0"/>
        <v>3632473.1719999956</v>
      </c>
      <c r="K13" s="10">
        <f t="shared" si="1"/>
        <v>1336381932</v>
      </c>
      <c r="L13" s="10">
        <f t="shared" si="2"/>
        <v>485781032</v>
      </c>
      <c r="M13" s="74">
        <f t="shared" si="7"/>
        <v>0.75337554605378865</v>
      </c>
      <c r="N13" s="90"/>
      <c r="O13" s="45">
        <f>COUNTIFS([1]GD.List!$N$3:$N$5000,C13,[1]GD.List!$L$3:$L$5000,"&lt;&gt;0")</f>
        <v>53</v>
      </c>
      <c r="P13" s="10">
        <f>SUMIFS([1]GD.List!$L$3:$L$5000,[1]GD.List!$N$3:$N$5000,C13)</f>
        <v>1189123.6943000003</v>
      </c>
      <c r="Q13" s="10">
        <f t="shared" si="3"/>
        <v>437476987</v>
      </c>
      <c r="R13" s="10">
        <f t="shared" si="4"/>
        <v>159024914</v>
      </c>
      <c r="S13" s="74">
        <f t="shared" si="8"/>
        <v>0.24662445394621135</v>
      </c>
    </row>
    <row r="14" spans="1:19" x14ac:dyDescent="0.25">
      <c r="A14" s="24">
        <f t="shared" si="5"/>
        <v>544.15148215416514</v>
      </c>
      <c r="B14" s="24">
        <f t="shared" si="6"/>
        <v>125.31241267396543</v>
      </c>
      <c r="C14" s="15" t="s">
        <v>131</v>
      </c>
      <c r="D14" s="45">
        <v>224</v>
      </c>
      <c r="E14" s="13">
        <v>18494754.219999999</v>
      </c>
      <c r="F14" s="13">
        <v>10063947920.889999</v>
      </c>
      <c r="G14" s="13">
        <v>2317622273.1202035</v>
      </c>
      <c r="H14" s="83"/>
      <c r="I14" s="45">
        <f t="shared" si="0"/>
        <v>214</v>
      </c>
      <c r="J14" s="10">
        <f t="shared" si="0"/>
        <v>17172918.359999999</v>
      </c>
      <c r="K14" s="10">
        <f t="shared" si="1"/>
        <v>9344668979</v>
      </c>
      <c r="L14" s="10">
        <f t="shared" si="2"/>
        <v>2151979832</v>
      </c>
      <c r="M14" s="74">
        <f t="shared" si="7"/>
        <v>0.92852914700696143</v>
      </c>
      <c r="N14" s="90"/>
      <c r="O14" s="45">
        <f>COUNTIFS([1]GD.List!$N$3:$N$5000,C14,[1]GD.List!$L$3:$L$5000,"&lt;&gt;0")</f>
        <v>10</v>
      </c>
      <c r="P14" s="10">
        <f>SUMIFS([1]GD.List!$L$3:$L$5000,[1]GD.List!$N$3:$N$5000,C14)</f>
        <v>1321835.8599999999</v>
      </c>
      <c r="Q14" s="10">
        <f t="shared" si="3"/>
        <v>719278942</v>
      </c>
      <c r="R14" s="10">
        <f t="shared" si="4"/>
        <v>165642441</v>
      </c>
      <c r="S14" s="74">
        <f t="shared" si="8"/>
        <v>7.1470852993038583E-2</v>
      </c>
    </row>
    <row r="15" spans="1:19" x14ac:dyDescent="0.25">
      <c r="A15" s="24">
        <f t="shared" si="5"/>
        <v>261.43147000586976</v>
      </c>
      <c r="B15" s="24">
        <f t="shared" si="6"/>
        <v>79.392551304766243</v>
      </c>
      <c r="C15" s="15" t="s">
        <v>132</v>
      </c>
      <c r="D15" s="45">
        <v>676</v>
      </c>
      <c r="E15" s="13">
        <v>9064957</v>
      </c>
      <c r="F15" s="13">
        <v>2369865034.0499992</v>
      </c>
      <c r="G15" s="13">
        <v>719690063.69799984</v>
      </c>
      <c r="H15" s="84"/>
      <c r="I15" s="45">
        <f t="shared" si="0"/>
        <v>542</v>
      </c>
      <c r="J15" s="10">
        <f t="shared" si="0"/>
        <v>6099557.6799999997</v>
      </c>
      <c r="K15" s="10">
        <f t="shared" si="1"/>
        <v>1594616331</v>
      </c>
      <c r="L15" s="10">
        <f t="shared" si="2"/>
        <v>484259446</v>
      </c>
      <c r="M15" s="74">
        <f t="shared" si="7"/>
        <v>0.67287221329345515</v>
      </c>
      <c r="N15" s="90"/>
      <c r="O15" s="45">
        <f>COUNTIFS([1]GD.List!$N$3:$N$5000,C15,[1]GD.List!$L$3:$L$5000,"&lt;&gt;0")</f>
        <v>134</v>
      </c>
      <c r="P15" s="10">
        <f>SUMIFS([1]GD.List!$L$3:$L$5000,[1]GD.List!$N$3:$N$5000,C15)</f>
        <v>2965399.32</v>
      </c>
      <c r="Q15" s="10">
        <f>IF(P15&lt;&gt;0,ROUND(P15*A15,0),0)</f>
        <v>775248703</v>
      </c>
      <c r="R15" s="10">
        <f>IF(P15&lt;&gt;0,ROUND(P15*B15,0),0)</f>
        <v>235430618</v>
      </c>
      <c r="S15" s="74">
        <f t="shared" si="8"/>
        <v>0.32712778670654474</v>
      </c>
    </row>
    <row r="16" spans="1:19" x14ac:dyDescent="0.25">
      <c r="A16" s="24">
        <f t="shared" si="5"/>
        <v>2848.6190279379143</v>
      </c>
      <c r="B16" s="24">
        <f t="shared" si="6"/>
        <v>1151.2058007687697</v>
      </c>
      <c r="C16" s="15" t="s">
        <v>133</v>
      </c>
      <c r="D16" s="45">
        <v>247</v>
      </c>
      <c r="E16" s="13">
        <v>581969</v>
      </c>
      <c r="F16" s="13">
        <v>1657807967.0699999</v>
      </c>
      <c r="G16" s="13">
        <v>669966088.66760015</v>
      </c>
      <c r="H16" s="84"/>
      <c r="I16" s="45">
        <f t="shared" si="0"/>
        <v>242</v>
      </c>
      <c r="J16" s="10">
        <f t="shared" si="0"/>
        <v>570455.62</v>
      </c>
      <c r="K16" s="10">
        <f t="shared" si="1"/>
        <v>1625010734</v>
      </c>
      <c r="L16" s="10">
        <f t="shared" si="2"/>
        <v>656711819</v>
      </c>
      <c r="M16" s="74">
        <f t="shared" si="7"/>
        <v>0.98021650637748747</v>
      </c>
      <c r="N16" s="90"/>
      <c r="O16" s="45">
        <f>COUNTIFS([1]GD.List!$N$3:$N$5000,C16,[1]GD.List!$L$3:$L$5000,"&lt;&gt;0")</f>
        <v>5</v>
      </c>
      <c r="P16" s="10">
        <f>SUMIFS([1]GD.List!$L$3:$L$5000,[1]GD.List!$N$3:$N$5000,C16)</f>
        <v>11513.380000000001</v>
      </c>
      <c r="Q16" s="10">
        <f t="shared" si="3"/>
        <v>32797233</v>
      </c>
      <c r="R16" s="10">
        <f t="shared" si="4"/>
        <v>13254270</v>
      </c>
      <c r="S16" s="74">
        <f t="shared" si="8"/>
        <v>1.9783493622512541E-2</v>
      </c>
    </row>
    <row r="17" spans="1:19" x14ac:dyDescent="0.25">
      <c r="A17" s="24">
        <f t="shared" si="5"/>
        <v>3687.4034819532908</v>
      </c>
      <c r="B17" s="24">
        <f t="shared" si="6"/>
        <v>1392.7339278131635</v>
      </c>
      <c r="C17" s="15" t="s">
        <v>401</v>
      </c>
      <c r="D17" s="45">
        <v>3</v>
      </c>
      <c r="E17" s="13">
        <v>5887.5</v>
      </c>
      <c r="F17" s="13">
        <v>21709588</v>
      </c>
      <c r="G17" s="13">
        <v>8199721</v>
      </c>
      <c r="H17" s="85"/>
      <c r="I17" s="45">
        <f t="shared" si="0"/>
        <v>2</v>
      </c>
      <c r="J17" s="10">
        <f t="shared" si="0"/>
        <v>5587.5</v>
      </c>
      <c r="K17" s="10">
        <f t="shared" si="1"/>
        <v>20603367</v>
      </c>
      <c r="L17" s="10">
        <f t="shared" si="2"/>
        <v>7781901</v>
      </c>
      <c r="M17" s="74">
        <f t="shared" si="7"/>
        <v>0.94904458598726116</v>
      </c>
      <c r="N17" s="90"/>
      <c r="O17" s="45">
        <f>COUNTIFS([1]GD.List!$N$3:$N$5000,C17,[1]GD.List!$L$3:$L$5000,"&lt;&gt;0")</f>
        <v>1</v>
      </c>
      <c r="P17" s="10">
        <f>SUMIFS([1]GD.List!$L$3:$L$5000,[1]GD.List!$N$3:$N$5000,C17)</f>
        <v>300</v>
      </c>
      <c r="Q17" s="10">
        <f t="shared" si="3"/>
        <v>1106221</v>
      </c>
      <c r="R17" s="10">
        <f t="shared" si="4"/>
        <v>417820</v>
      </c>
      <c r="S17" s="74">
        <f t="shared" si="8"/>
        <v>5.0955414012738856E-2</v>
      </c>
    </row>
    <row r="18" spans="1:19" x14ac:dyDescent="0.25">
      <c r="A18" s="24">
        <f t="shared" si="5"/>
        <v>2717.0108108108107</v>
      </c>
      <c r="B18" s="24">
        <f t="shared" si="6"/>
        <v>1102.8918918918919</v>
      </c>
      <c r="C18" s="15" t="s">
        <v>406</v>
      </c>
      <c r="D18" s="45">
        <v>1</v>
      </c>
      <c r="E18" s="13">
        <v>185</v>
      </c>
      <c r="F18" s="13">
        <v>502647</v>
      </c>
      <c r="G18" s="13">
        <v>204035</v>
      </c>
      <c r="H18" s="94"/>
      <c r="I18" s="45">
        <f t="shared" si="0"/>
        <v>1</v>
      </c>
      <c r="J18" s="10">
        <f t="shared" si="0"/>
        <v>185</v>
      </c>
      <c r="K18" s="10">
        <f t="shared" si="1"/>
        <v>502647</v>
      </c>
      <c r="L18" s="10">
        <f t="shared" si="2"/>
        <v>204035</v>
      </c>
      <c r="M18" s="74">
        <f t="shared" si="7"/>
        <v>1</v>
      </c>
      <c r="N18" s="90"/>
      <c r="O18" s="45">
        <f>COUNTIFS([1]GD.List!$N$3:$N$5000,C18,[1]GD.List!$L$3:$L$5000,"&lt;&gt;0")</f>
        <v>0</v>
      </c>
      <c r="P18" s="10">
        <f>SUMIFS([1]GD.List!$L$3:$L$5000,[1]GD.List!$N$3:$N$5000,C18)</f>
        <v>0</v>
      </c>
      <c r="Q18" s="10">
        <f t="shared" si="3"/>
        <v>0</v>
      </c>
      <c r="R18" s="10">
        <f t="shared" si="4"/>
        <v>0</v>
      </c>
      <c r="S18" s="74">
        <f t="shared" si="8"/>
        <v>0</v>
      </c>
    </row>
    <row r="19" spans="1:19" x14ac:dyDescent="0.25">
      <c r="A19" s="24">
        <f t="shared" si="5"/>
        <v>429.83123076923079</v>
      </c>
      <c r="B19" s="24">
        <f t="shared" si="6"/>
        <v>133.9728076923077</v>
      </c>
      <c r="C19" s="15" t="s">
        <v>407</v>
      </c>
      <c r="D19" s="45">
        <v>1</v>
      </c>
      <c r="E19" s="13">
        <v>26000</v>
      </c>
      <c r="F19" s="13">
        <v>11175612</v>
      </c>
      <c r="G19" s="13">
        <v>3483293</v>
      </c>
      <c r="H19" s="85"/>
      <c r="I19" s="45">
        <f t="shared" si="0"/>
        <v>1</v>
      </c>
      <c r="J19" s="10">
        <f t="shared" si="0"/>
        <v>26000</v>
      </c>
      <c r="K19" s="10">
        <f>IF(J19&lt;&gt;0,ROUND(J19*A19,0),0)</f>
        <v>11175612</v>
      </c>
      <c r="L19" s="10">
        <f>IF(J19&lt;&gt;0,ROUND(J19*B19,0),0)</f>
        <v>3483293</v>
      </c>
      <c r="M19" s="74">
        <f t="shared" si="7"/>
        <v>1</v>
      </c>
      <c r="N19" s="90"/>
      <c r="O19" s="45">
        <f>COUNTIFS([1]GD.List!$N$3:$N$5000,C19,[1]GD.List!$L$3:$L$5000,"&lt;&gt;0")</f>
        <v>0</v>
      </c>
      <c r="P19" s="10">
        <f>SUMIFS([1]GD.List!$L$3:$L$5000,[1]GD.List!$N$3:$N$5000,C19)</f>
        <v>0</v>
      </c>
      <c r="Q19" s="10">
        <f>IF(P19&lt;&gt;0,ROUND(P19*A19,0),0)</f>
        <v>0</v>
      </c>
      <c r="R19" s="10">
        <f>IF(P19&lt;&gt;0,ROUND(P19*B19,0),0)</f>
        <v>0</v>
      </c>
      <c r="S19" s="74">
        <f t="shared" si="8"/>
        <v>0</v>
      </c>
    </row>
    <row r="20" spans="1:19" x14ac:dyDescent="0.25">
      <c r="A20" s="24">
        <f t="shared" si="5"/>
        <v>23.933968665297741</v>
      </c>
      <c r="B20" s="24">
        <f t="shared" si="6"/>
        <v>5.4824184804928136</v>
      </c>
      <c r="C20" s="15" t="s">
        <v>408</v>
      </c>
      <c r="D20" s="45">
        <v>5</v>
      </c>
      <c r="E20" s="13">
        <v>24350000</v>
      </c>
      <c r="F20" s="13">
        <v>582792137</v>
      </c>
      <c r="G20" s="13">
        <v>133496890</v>
      </c>
      <c r="H20" s="94"/>
      <c r="I20" s="45">
        <f t="shared" si="0"/>
        <v>5</v>
      </c>
      <c r="J20" s="10">
        <f t="shared" si="0"/>
        <v>24350000</v>
      </c>
      <c r="K20" s="10">
        <f t="shared" ref="K20:K26" si="9">IF(J20&lt;&gt;0,ROUND(J20*A20,0),0)</f>
        <v>582792137</v>
      </c>
      <c r="L20" s="10">
        <f t="shared" ref="L20:L26" si="10">IF(J20&lt;&gt;0,ROUND(J20*B20,0),0)</f>
        <v>133496890</v>
      </c>
      <c r="M20" s="74">
        <f t="shared" si="7"/>
        <v>1</v>
      </c>
      <c r="N20" s="90"/>
      <c r="O20" s="45">
        <f>COUNTIFS([1]GD.List!$N$3:$N$5000,C20,[1]GD.List!$L$3:$L$5000,"&lt;&gt;0")</f>
        <v>0</v>
      </c>
      <c r="P20" s="10">
        <f>SUMIFS([1]GD.List!$L$3:$L$5000,[1]GD.List!$N$3:$N$5000,C20)</f>
        <v>0</v>
      </c>
      <c r="Q20" s="10">
        <f t="shared" ref="Q20:Q26" si="11">IF(P20&lt;&gt;0,ROUND(P20*A20,0),0)</f>
        <v>0</v>
      </c>
      <c r="R20" s="10">
        <f t="shared" ref="R20:R26" si="12">IF(P20&lt;&gt;0,ROUND(P20*B20,0),0)</f>
        <v>0</v>
      </c>
      <c r="S20" s="74">
        <f t="shared" si="8"/>
        <v>0</v>
      </c>
    </row>
    <row r="21" spans="1:19" x14ac:dyDescent="0.25">
      <c r="A21" s="24">
        <f t="shared" si="5"/>
        <v>902.84533254015753</v>
      </c>
      <c r="B21" s="24">
        <f t="shared" si="6"/>
        <v>181.55714359490244</v>
      </c>
      <c r="C21" s="15" t="s">
        <v>402</v>
      </c>
      <c r="D21" s="45">
        <v>257</v>
      </c>
      <c r="E21" s="13">
        <v>8012656.426</v>
      </c>
      <c r="F21" s="13">
        <v>7234189455.4619999</v>
      </c>
      <c r="G21" s="13">
        <v>1454755013.3118999</v>
      </c>
      <c r="H21" s="94"/>
      <c r="I21" s="45">
        <f t="shared" si="0"/>
        <v>192</v>
      </c>
      <c r="J21" s="10">
        <f t="shared" si="0"/>
        <v>6230874.5274999999</v>
      </c>
      <c r="K21" s="10">
        <f t="shared" si="9"/>
        <v>5625515985</v>
      </c>
      <c r="L21" s="10">
        <f t="shared" si="10"/>
        <v>1131259781</v>
      </c>
      <c r="M21" s="74">
        <f t="shared" si="7"/>
        <v>0.77762906534737275</v>
      </c>
      <c r="N21" s="90"/>
      <c r="O21" s="45">
        <f>COUNTIFS([1]GD.List!$N$3:$N$5000,C21,[1]GD.List!$L$3:$L$5000,"&lt;&gt;0")</f>
        <v>65</v>
      </c>
      <c r="P21" s="10">
        <f>SUMIFS([1]GD.List!$L$3:$L$5000,[1]GD.List!$N$3:$N$5000,C21)</f>
        <v>1781781.8985000001</v>
      </c>
      <c r="Q21" s="10">
        <f t="shared" si="11"/>
        <v>1608673471</v>
      </c>
      <c r="R21" s="10">
        <f t="shared" si="12"/>
        <v>323495232</v>
      </c>
      <c r="S21" s="74">
        <f t="shared" si="8"/>
        <v>0.22237093465262728</v>
      </c>
    </row>
    <row r="22" spans="1:19" x14ac:dyDescent="0.25">
      <c r="A22" s="24">
        <f t="shared" si="5"/>
        <v>1058.7533186282649</v>
      </c>
      <c r="B22" s="24">
        <f t="shared" si="6"/>
        <v>246.25759898273574</v>
      </c>
      <c r="C22" s="15" t="s">
        <v>403</v>
      </c>
      <c r="D22" s="45">
        <v>55</v>
      </c>
      <c r="E22" s="13">
        <v>590737.36</v>
      </c>
      <c r="F22" s="13">
        <v>625445140.33770001</v>
      </c>
      <c r="G22" s="13">
        <v>145473563.903</v>
      </c>
      <c r="H22" s="94"/>
      <c r="I22" s="45">
        <f t="shared" si="0"/>
        <v>31</v>
      </c>
      <c r="J22" s="10">
        <f t="shared" si="0"/>
        <v>436320.98</v>
      </c>
      <c r="K22" s="10">
        <f t="shared" si="9"/>
        <v>461956286</v>
      </c>
      <c r="L22" s="10">
        <f t="shared" si="10"/>
        <v>107447357</v>
      </c>
      <c r="M22" s="74">
        <f t="shared" si="7"/>
        <v>0.73860400500147816</v>
      </c>
      <c r="N22" s="90"/>
      <c r="O22" s="45">
        <f>COUNTIFS([1]GD.List!$N$3:$N$5000,C22,[1]GD.List!$L$3:$L$5000,"&lt;&gt;0")</f>
        <v>24</v>
      </c>
      <c r="P22" s="10">
        <f>SUMIFS([1]GD.List!$L$3:$L$5000,[1]GD.List!$N$3:$N$5000,C22)</f>
        <v>154416.38</v>
      </c>
      <c r="Q22" s="10">
        <f t="shared" si="11"/>
        <v>163488855</v>
      </c>
      <c r="R22" s="10">
        <f t="shared" si="12"/>
        <v>38026207</v>
      </c>
      <c r="S22" s="74">
        <f t="shared" si="8"/>
        <v>0.26139599499852184</v>
      </c>
    </row>
    <row r="23" spans="1:19" x14ac:dyDescent="0.25">
      <c r="A23" s="24">
        <f t="shared" si="5"/>
        <v>6276.998569444444</v>
      </c>
      <c r="B23" s="24">
        <f t="shared" si="6"/>
        <v>1956.4584027777778</v>
      </c>
      <c r="C23" s="15" t="s">
        <v>409</v>
      </c>
      <c r="D23" s="45">
        <v>3</v>
      </c>
      <c r="E23" s="13">
        <v>576</v>
      </c>
      <c r="F23" s="13">
        <v>3615551.176</v>
      </c>
      <c r="G23" s="13">
        <v>1126920.04</v>
      </c>
      <c r="H23" s="94"/>
      <c r="I23" s="45">
        <f t="shared" ref="I23:J26" si="13">D23-O23</f>
        <v>3</v>
      </c>
      <c r="J23" s="10">
        <f t="shared" si="13"/>
        <v>576</v>
      </c>
      <c r="K23" s="10">
        <f t="shared" si="9"/>
        <v>3615551</v>
      </c>
      <c r="L23" s="10">
        <f t="shared" si="10"/>
        <v>1126920</v>
      </c>
      <c r="M23" s="74">
        <f t="shared" si="7"/>
        <v>1</v>
      </c>
      <c r="N23" s="90"/>
      <c r="O23" s="45">
        <f>COUNTIFS([1]GD.List!$N$3:$N$5000,C23,[1]GD.List!$L$3:$L$5000,"&lt;&gt;0")</f>
        <v>0</v>
      </c>
      <c r="P23" s="10">
        <f>SUMIFS([1]GD.List!$L$3:$L$5000,[1]GD.List!$N$3:$N$5000,C23)</f>
        <v>0</v>
      </c>
      <c r="Q23" s="10">
        <f t="shared" si="11"/>
        <v>0</v>
      </c>
      <c r="R23" s="10">
        <f t="shared" si="12"/>
        <v>0</v>
      </c>
      <c r="S23" s="74">
        <f t="shared" si="8"/>
        <v>0</v>
      </c>
    </row>
    <row r="24" spans="1:19" x14ac:dyDescent="0.25">
      <c r="A24" s="24">
        <f t="shared" si="5"/>
        <v>1869.5116280932277</v>
      </c>
      <c r="B24" s="24">
        <f t="shared" si="6"/>
        <v>337.37576814859437</v>
      </c>
      <c r="C24" s="15" t="s">
        <v>404</v>
      </c>
      <c r="D24" s="45">
        <v>30</v>
      </c>
      <c r="E24" s="13">
        <v>56175.800899999995</v>
      </c>
      <c r="F24" s="13">
        <v>105021313</v>
      </c>
      <c r="G24" s="13">
        <v>18952353.979999997</v>
      </c>
      <c r="H24" s="94"/>
      <c r="I24" s="45">
        <f t="shared" si="13"/>
        <v>27</v>
      </c>
      <c r="J24" s="10">
        <f t="shared" si="13"/>
        <v>56080.329999999994</v>
      </c>
      <c r="K24" s="10">
        <f t="shared" si="9"/>
        <v>104842829</v>
      </c>
      <c r="L24" s="10">
        <f t="shared" si="10"/>
        <v>18920144</v>
      </c>
      <c r="M24" s="74">
        <f t="shared" si="7"/>
        <v>0.99830049775044682</v>
      </c>
      <c r="N24" s="90"/>
      <c r="O24" s="45">
        <f>COUNTIFS([1]GD.List!$N$3:$N$5000,C24,[1]GD.List!$L$3:$L$5000,"&lt;&gt;0")</f>
        <v>3</v>
      </c>
      <c r="P24" s="10">
        <f>SUMIFS([1]GD.List!$L$3:$L$5000,[1]GD.List!$N$3:$N$5000,C24)</f>
        <v>95.470899999999986</v>
      </c>
      <c r="Q24" s="10">
        <f t="shared" si="11"/>
        <v>178484</v>
      </c>
      <c r="R24" s="10">
        <f t="shared" si="12"/>
        <v>32210</v>
      </c>
      <c r="S24" s="74">
        <f t="shared" si="8"/>
        <v>1.6995022495531523E-3</v>
      </c>
    </row>
    <row r="25" spans="1:19" x14ac:dyDescent="0.25">
      <c r="A25" s="24">
        <f t="shared" si="5"/>
        <v>1029.8146452127883</v>
      </c>
      <c r="B25" s="24">
        <f t="shared" si="6"/>
        <v>185.36663613830189</v>
      </c>
      <c r="C25" s="15" t="s">
        <v>405</v>
      </c>
      <c r="D25" s="45">
        <v>36</v>
      </c>
      <c r="E25" s="13">
        <v>690287</v>
      </c>
      <c r="F25" s="13">
        <v>710867662</v>
      </c>
      <c r="G25" s="13">
        <v>127956179.16</v>
      </c>
      <c r="H25" s="94"/>
      <c r="I25" s="45">
        <f t="shared" si="13"/>
        <v>36</v>
      </c>
      <c r="J25" s="10">
        <f t="shared" si="13"/>
        <v>690287</v>
      </c>
      <c r="K25" s="10">
        <f t="shared" si="9"/>
        <v>710867662</v>
      </c>
      <c r="L25" s="10">
        <f t="shared" si="10"/>
        <v>127956179</v>
      </c>
      <c r="M25" s="74">
        <f t="shared" si="7"/>
        <v>1</v>
      </c>
      <c r="N25" s="90"/>
      <c r="O25" s="45">
        <f>COUNTIFS([1]GD.List!$N$3:$N$5000,C25,[1]GD.List!$L$3:$L$5000,"&lt;&gt;0")</f>
        <v>0</v>
      </c>
      <c r="P25" s="10">
        <f>SUMIFS([1]GD.List!$L$3:$L$5000,[1]GD.List!$N$3:$N$5000,C25)</f>
        <v>0</v>
      </c>
      <c r="Q25" s="10">
        <f t="shared" si="11"/>
        <v>0</v>
      </c>
      <c r="R25" s="10">
        <f t="shared" si="12"/>
        <v>0</v>
      </c>
      <c r="S25" s="74">
        <f t="shared" si="8"/>
        <v>0</v>
      </c>
    </row>
    <row r="26" spans="1:19" x14ac:dyDescent="0.25">
      <c r="A26" s="24">
        <f t="shared" si="5"/>
        <v>431.10039940437673</v>
      </c>
      <c r="B26" s="24">
        <f t="shared" si="6"/>
        <v>77.598071892787829</v>
      </c>
      <c r="C26" s="15" t="s">
        <v>410</v>
      </c>
      <c r="D26" s="45">
        <v>183</v>
      </c>
      <c r="E26" s="13">
        <v>1995221</v>
      </c>
      <c r="F26" s="13">
        <v>860140570</v>
      </c>
      <c r="G26" s="13">
        <v>154825302.60000002</v>
      </c>
      <c r="H26" s="94"/>
      <c r="I26" s="45">
        <f t="shared" si="13"/>
        <v>143</v>
      </c>
      <c r="J26" s="10">
        <f t="shared" si="13"/>
        <v>1542568</v>
      </c>
      <c r="K26" s="10">
        <f t="shared" si="9"/>
        <v>665001681</v>
      </c>
      <c r="L26" s="10">
        <f t="shared" si="10"/>
        <v>119700303</v>
      </c>
      <c r="M26" s="74">
        <f t="shared" si="7"/>
        <v>0.77313139747426474</v>
      </c>
      <c r="N26" s="90"/>
      <c r="O26" s="45">
        <f>COUNTIFS([1]GD.List!$N$3:$N$5000,C26,[1]GD.List!$L$3:$L$5000,"&lt;&gt;0")</f>
        <v>40</v>
      </c>
      <c r="P26" s="10">
        <f>SUMIFS([1]GD.List!$L$3:$L$5000,[1]GD.List!$N$3:$N$5000,C26)</f>
        <v>452653</v>
      </c>
      <c r="Q26" s="10">
        <f t="shared" si="11"/>
        <v>195138889</v>
      </c>
      <c r="R26" s="10">
        <f t="shared" si="12"/>
        <v>35125000</v>
      </c>
      <c r="S26" s="74">
        <f t="shared" si="8"/>
        <v>0.22686860252573524</v>
      </c>
    </row>
    <row r="27" spans="1:19" x14ac:dyDescent="0.25">
      <c r="C27" s="15" t="s">
        <v>377</v>
      </c>
      <c r="D27" s="45">
        <v>2369</v>
      </c>
      <c r="E27" s="13">
        <v>82030120.350299954</v>
      </c>
      <c r="F27" s="13">
        <v>31198252916.48275</v>
      </c>
      <c r="G27" s="13">
        <v>8006852048.2435627</v>
      </c>
      <c r="H27" s="94"/>
      <c r="I27" s="46">
        <f>SUM(I6:I26)</f>
        <v>1890</v>
      </c>
      <c r="J27" s="49">
        <f>SUM(J6:J26)</f>
        <v>71625670.313399985</v>
      </c>
      <c r="K27" s="49">
        <f>SUM(K6:K26)</f>
        <v>26253725468</v>
      </c>
      <c r="L27" s="49">
        <f>SUM(L6:L26)</f>
        <v>6729566567</v>
      </c>
      <c r="M27" s="72"/>
      <c r="N27" s="90"/>
      <c r="O27" s="46">
        <f>SUM(O7:O26)</f>
        <v>479</v>
      </c>
      <c r="P27" s="49">
        <f>SUM(P7:P26)</f>
        <v>10404450.036900001</v>
      </c>
      <c r="Q27" s="49">
        <f t="shared" ref="Q27:R27" si="14">SUM(Q7:Q26)</f>
        <v>4944527448</v>
      </c>
      <c r="R27" s="49">
        <f t="shared" si="14"/>
        <v>1277285481</v>
      </c>
      <c r="S27" s="77"/>
    </row>
    <row r="28" spans="1:19" x14ac:dyDescent="0.25">
      <c r="D28"/>
      <c r="E28"/>
      <c r="F28"/>
      <c r="G28"/>
      <c r="H28" s="94"/>
      <c r="N28" s="90"/>
    </row>
    <row r="29" spans="1:19" x14ac:dyDescent="0.25">
      <c r="D29"/>
      <c r="E29"/>
      <c r="F29"/>
      <c r="G29"/>
      <c r="H29" s="94"/>
    </row>
    <row r="30" spans="1:19" x14ac:dyDescent="0.25">
      <c r="D30"/>
      <c r="E30"/>
      <c r="F30"/>
      <c r="G30"/>
      <c r="H30" s="94"/>
    </row>
    <row r="31" spans="1:19" x14ac:dyDescent="0.25">
      <c r="C31" s="63" t="s">
        <v>130</v>
      </c>
      <c r="D31" s="46" t="s">
        <v>386</v>
      </c>
      <c r="E31" s="16" t="s">
        <v>145</v>
      </c>
      <c r="F31" s="16" t="s">
        <v>147</v>
      </c>
      <c r="G31" s="16" t="s">
        <v>137</v>
      </c>
      <c r="H31" s="94"/>
    </row>
    <row r="32" spans="1:19" x14ac:dyDescent="0.25">
      <c r="C32" s="62" t="s">
        <v>285</v>
      </c>
      <c r="D32" s="34">
        <v>40</v>
      </c>
      <c r="E32" s="19">
        <v>326</v>
      </c>
      <c r="F32" s="19">
        <v>2006716970</v>
      </c>
      <c r="G32" s="19">
        <v>640960049.84173203</v>
      </c>
      <c r="H32" s="94"/>
    </row>
    <row r="33" spans="3:8" x14ac:dyDescent="0.25">
      <c r="C33" s="62" t="s">
        <v>284</v>
      </c>
      <c r="D33" s="34">
        <v>129</v>
      </c>
      <c r="E33" s="19">
        <v>1297830.6700000002</v>
      </c>
      <c r="F33" s="19">
        <v>2507269243</v>
      </c>
      <c r="G33" s="19">
        <v>1053267894</v>
      </c>
      <c r="H33" s="94"/>
    </row>
    <row r="34" spans="3:8" x14ac:dyDescent="0.25">
      <c r="C34" s="65" t="s">
        <v>377</v>
      </c>
      <c r="D34" s="66">
        <f>SUM(D32:D33)</f>
        <v>169</v>
      </c>
      <c r="E34" s="67">
        <f>SUM(E32:E33)</f>
        <v>1298156.6700000002</v>
      </c>
      <c r="F34" s="67">
        <f>SUM(F32:F33)</f>
        <v>4513986213</v>
      </c>
      <c r="G34" s="67">
        <f>SUM(G32:G33)</f>
        <v>1694227943.841732</v>
      </c>
      <c r="H34" s="94"/>
    </row>
    <row r="35" spans="3:8" x14ac:dyDescent="0.25">
      <c r="E35"/>
      <c r="F35"/>
      <c r="G35"/>
      <c r="H35" s="94"/>
    </row>
    <row r="36" spans="3:8" x14ac:dyDescent="0.25">
      <c r="C36" s="64" t="s">
        <v>136</v>
      </c>
      <c r="D36" s="136">
        <f>D27+D34</f>
        <v>2538</v>
      </c>
      <c r="E36" s="100">
        <f>E27+E34</f>
        <v>83328277.020299956</v>
      </c>
      <c r="F36" s="100">
        <f>F27+F34</f>
        <v>35712239129.48275</v>
      </c>
      <c r="G36" s="100">
        <f>G27+G34</f>
        <v>9701079992.0852947</v>
      </c>
      <c r="H36" s="94"/>
    </row>
    <row r="37" spans="3:8" x14ac:dyDescent="0.25">
      <c r="D37"/>
      <c r="E37"/>
      <c r="F37"/>
      <c r="G37"/>
      <c r="H37" s="94"/>
    </row>
    <row r="38" spans="3:8" x14ac:dyDescent="0.25">
      <c r="D38"/>
      <c r="E38"/>
      <c r="F38"/>
      <c r="G38"/>
      <c r="H38" s="94"/>
    </row>
    <row r="39" spans="3:8" x14ac:dyDescent="0.25">
      <c r="D39"/>
      <c r="E39"/>
      <c r="F39"/>
      <c r="G39"/>
      <c r="H39" s="94"/>
    </row>
    <row r="40" spans="3:8" x14ac:dyDescent="0.25">
      <c r="D40"/>
      <c r="E40"/>
      <c r="F40"/>
      <c r="G40"/>
      <c r="H40" s="94"/>
    </row>
    <row r="41" spans="3:8" x14ac:dyDescent="0.25">
      <c r="D41"/>
      <c r="E41"/>
      <c r="F41"/>
      <c r="G41"/>
      <c r="H41" s="94"/>
    </row>
    <row r="42" spans="3:8" x14ac:dyDescent="0.25">
      <c r="D42"/>
      <c r="E42"/>
      <c r="F42"/>
      <c r="G42"/>
      <c r="H42" s="94"/>
    </row>
    <row r="43" spans="3:8" x14ac:dyDescent="0.25">
      <c r="D43"/>
      <c r="E43"/>
      <c r="F43"/>
      <c r="G43"/>
      <c r="H43" s="94"/>
    </row>
    <row r="44" spans="3:8" x14ac:dyDescent="0.25">
      <c r="D44"/>
      <c r="E44"/>
      <c r="F44"/>
      <c r="G44"/>
      <c r="H44" s="94"/>
    </row>
    <row r="45" spans="3:8" x14ac:dyDescent="0.25">
      <c r="D45"/>
      <c r="E45"/>
      <c r="F45"/>
      <c r="G45"/>
      <c r="H45" s="94"/>
    </row>
    <row r="46" spans="3:8" x14ac:dyDescent="0.25">
      <c r="D46"/>
      <c r="E46"/>
      <c r="F46"/>
      <c r="G46"/>
      <c r="H46" s="94"/>
    </row>
    <row r="47" spans="3:8" x14ac:dyDescent="0.25">
      <c r="D47"/>
      <c r="E47"/>
      <c r="F47"/>
      <c r="G47"/>
      <c r="H47" s="94"/>
    </row>
    <row r="48" spans="3:8" x14ac:dyDescent="0.25">
      <c r="D48"/>
      <c r="E48"/>
      <c r="F48"/>
      <c r="G48"/>
      <c r="H48" s="94"/>
    </row>
    <row r="49" spans="4:8" x14ac:dyDescent="0.25">
      <c r="D49"/>
      <c r="E49"/>
      <c r="F49"/>
      <c r="G49"/>
      <c r="H49" s="94"/>
    </row>
    <row r="50" spans="4:8" x14ac:dyDescent="0.25">
      <c r="D50"/>
      <c r="E50"/>
      <c r="F50"/>
      <c r="G50"/>
      <c r="H50" s="94"/>
    </row>
    <row r="51" spans="4:8" x14ac:dyDescent="0.25">
      <c r="D51"/>
      <c r="E51"/>
      <c r="F51"/>
      <c r="G51"/>
      <c r="H51" s="94"/>
    </row>
    <row r="52" spans="4:8" x14ac:dyDescent="0.25">
      <c r="D52"/>
      <c r="E52"/>
      <c r="F52"/>
      <c r="G52"/>
      <c r="H52" s="94"/>
    </row>
    <row r="53" spans="4:8" x14ac:dyDescent="0.25">
      <c r="D53"/>
      <c r="E53"/>
      <c r="F53"/>
      <c r="G53"/>
      <c r="H53" s="94"/>
    </row>
    <row r="54" spans="4:8" x14ac:dyDescent="0.25">
      <c r="D54"/>
      <c r="E54"/>
      <c r="F54"/>
      <c r="G54"/>
      <c r="H54" s="94"/>
    </row>
    <row r="55" spans="4:8" x14ac:dyDescent="0.25">
      <c r="D55"/>
      <c r="E55"/>
      <c r="F55"/>
      <c r="G55"/>
      <c r="H55" s="94"/>
    </row>
    <row r="56" spans="4:8" x14ac:dyDescent="0.25">
      <c r="D56"/>
      <c r="E56"/>
      <c r="F56"/>
      <c r="G56"/>
      <c r="H56" s="94"/>
    </row>
    <row r="57" spans="4:8" x14ac:dyDescent="0.25">
      <c r="D57"/>
      <c r="E57"/>
      <c r="F57"/>
      <c r="G57"/>
      <c r="H57" s="94"/>
    </row>
    <row r="58" spans="4:8" x14ac:dyDescent="0.25">
      <c r="D58"/>
      <c r="E58"/>
      <c r="F58"/>
      <c r="G58"/>
      <c r="H58" s="94"/>
    </row>
    <row r="59" spans="4:8" x14ac:dyDescent="0.25">
      <c r="D59"/>
      <c r="E59"/>
      <c r="F59"/>
      <c r="G59"/>
      <c r="H59" s="94"/>
    </row>
    <row r="60" spans="4:8" x14ac:dyDescent="0.25">
      <c r="D60"/>
      <c r="E60"/>
      <c r="F60"/>
      <c r="G60"/>
      <c r="H60" s="94"/>
    </row>
    <row r="61" spans="4:8" x14ac:dyDescent="0.25">
      <c r="D61"/>
      <c r="E61"/>
      <c r="F61"/>
      <c r="G61"/>
      <c r="H61" s="94"/>
    </row>
    <row r="62" spans="4:8" x14ac:dyDescent="0.25">
      <c r="D62"/>
      <c r="E62"/>
      <c r="F62"/>
      <c r="G62"/>
      <c r="H62" s="94"/>
    </row>
    <row r="63" spans="4:8" x14ac:dyDescent="0.25">
      <c r="D63"/>
      <c r="E63"/>
      <c r="F63"/>
      <c r="G63"/>
      <c r="H63" s="94"/>
    </row>
    <row r="64" spans="4:8" x14ac:dyDescent="0.25">
      <c r="D64"/>
      <c r="E64"/>
      <c r="F64"/>
      <c r="G64"/>
      <c r="H64" s="94"/>
    </row>
    <row r="65" spans="4:8" x14ac:dyDescent="0.25">
      <c r="D65"/>
      <c r="E65"/>
      <c r="F65"/>
      <c r="G65"/>
      <c r="H65" s="94"/>
    </row>
    <row r="66" spans="4:8" x14ac:dyDescent="0.25">
      <c r="D66"/>
      <c r="E66"/>
      <c r="F66"/>
      <c r="G66"/>
      <c r="H66" s="94"/>
    </row>
    <row r="67" spans="4:8" x14ac:dyDescent="0.25">
      <c r="D67"/>
      <c r="E67"/>
      <c r="F67"/>
      <c r="G67"/>
      <c r="H67" s="94"/>
    </row>
    <row r="68" spans="4:8" x14ac:dyDescent="0.25">
      <c r="D68"/>
      <c r="E68"/>
      <c r="F68"/>
      <c r="G68"/>
      <c r="H68" s="94"/>
    </row>
    <row r="69" spans="4:8" x14ac:dyDescent="0.25">
      <c r="D69"/>
      <c r="E69"/>
      <c r="F69"/>
      <c r="G69"/>
      <c r="H69" s="94"/>
    </row>
    <row r="70" spans="4:8" x14ac:dyDescent="0.25">
      <c r="D70"/>
      <c r="E70"/>
      <c r="F70"/>
      <c r="G70"/>
      <c r="H70" s="94"/>
    </row>
    <row r="71" spans="4:8" x14ac:dyDescent="0.25">
      <c r="D71"/>
      <c r="E71"/>
      <c r="F71"/>
      <c r="G71"/>
      <c r="H71" s="94"/>
    </row>
    <row r="72" spans="4:8" x14ac:dyDescent="0.25">
      <c r="D72"/>
      <c r="E72"/>
      <c r="F72"/>
      <c r="G72"/>
      <c r="H72" s="94"/>
    </row>
    <row r="73" spans="4:8" x14ac:dyDescent="0.25">
      <c r="D73"/>
      <c r="E73"/>
      <c r="F73"/>
      <c r="G73"/>
      <c r="H73" s="94"/>
    </row>
    <row r="74" spans="4:8" x14ac:dyDescent="0.25">
      <c r="D74"/>
      <c r="E74"/>
      <c r="F74"/>
      <c r="G74"/>
      <c r="H74" s="94"/>
    </row>
    <row r="75" spans="4:8" x14ac:dyDescent="0.25">
      <c r="D75"/>
      <c r="E75"/>
      <c r="F75"/>
      <c r="G75"/>
      <c r="H75" s="94"/>
    </row>
    <row r="76" spans="4:8" x14ac:dyDescent="0.25">
      <c r="D76"/>
      <c r="E76"/>
      <c r="F76"/>
      <c r="G76"/>
      <c r="H76" s="94"/>
    </row>
    <row r="77" spans="4:8" x14ac:dyDescent="0.25">
      <c r="D77"/>
      <c r="E77"/>
      <c r="F77"/>
      <c r="G77"/>
      <c r="H77" s="94"/>
    </row>
    <row r="78" spans="4:8" x14ac:dyDescent="0.25">
      <c r="D78"/>
      <c r="E78"/>
      <c r="F78"/>
      <c r="G78"/>
      <c r="H78" s="94"/>
    </row>
    <row r="79" spans="4:8" x14ac:dyDescent="0.25">
      <c r="D79"/>
      <c r="E79"/>
      <c r="F79"/>
      <c r="G79"/>
      <c r="H79" s="94"/>
    </row>
    <row r="80" spans="4:8" x14ac:dyDescent="0.25">
      <c r="D80"/>
      <c r="E80"/>
      <c r="F80"/>
      <c r="G80"/>
      <c r="H80" s="94"/>
    </row>
    <row r="81" spans="4:8" x14ac:dyDescent="0.25">
      <c r="D81"/>
      <c r="E81"/>
      <c r="F81"/>
      <c r="G81"/>
      <c r="H81" s="94"/>
    </row>
    <row r="82" spans="4:8" x14ac:dyDescent="0.25">
      <c r="D82"/>
      <c r="E82"/>
      <c r="F82"/>
      <c r="G82"/>
      <c r="H82" s="94"/>
    </row>
    <row r="83" spans="4:8" x14ac:dyDescent="0.25">
      <c r="D83"/>
      <c r="E83"/>
      <c r="F83"/>
      <c r="G83"/>
      <c r="H83" s="94"/>
    </row>
    <row r="84" spans="4:8" x14ac:dyDescent="0.25">
      <c r="D84"/>
      <c r="E84"/>
      <c r="F84"/>
      <c r="G84"/>
      <c r="H84" s="94"/>
    </row>
    <row r="85" spans="4:8" x14ac:dyDescent="0.25">
      <c r="D85"/>
      <c r="E85"/>
      <c r="F85"/>
      <c r="G85"/>
      <c r="H85" s="94"/>
    </row>
    <row r="86" spans="4:8" x14ac:dyDescent="0.25">
      <c r="D86"/>
      <c r="E86"/>
      <c r="F86"/>
      <c r="G86"/>
      <c r="H86" s="94"/>
    </row>
    <row r="87" spans="4:8" x14ac:dyDescent="0.25">
      <c r="D87"/>
      <c r="E87"/>
      <c r="F87"/>
      <c r="G87"/>
      <c r="H87" s="94"/>
    </row>
    <row r="88" spans="4:8" x14ac:dyDescent="0.25">
      <c r="D88"/>
      <c r="E88"/>
      <c r="F88"/>
      <c r="G88"/>
      <c r="H88" s="94"/>
    </row>
    <row r="89" spans="4:8" x14ac:dyDescent="0.25">
      <c r="D89"/>
      <c r="E89"/>
      <c r="F89"/>
      <c r="G89"/>
      <c r="H89" s="94"/>
    </row>
    <row r="90" spans="4:8" x14ac:dyDescent="0.25">
      <c r="D90"/>
      <c r="E90"/>
      <c r="F90"/>
      <c r="G90"/>
      <c r="H90" s="94"/>
    </row>
    <row r="91" spans="4:8" x14ac:dyDescent="0.25">
      <c r="D91"/>
      <c r="E91"/>
      <c r="F91"/>
      <c r="G91"/>
      <c r="H91" s="94"/>
    </row>
    <row r="92" spans="4:8" x14ac:dyDescent="0.25">
      <c r="D92"/>
      <c r="E92"/>
      <c r="F92"/>
      <c r="G92"/>
      <c r="H92" s="94"/>
    </row>
    <row r="93" spans="4:8" x14ac:dyDescent="0.25">
      <c r="D93"/>
      <c r="E93"/>
      <c r="F93"/>
      <c r="G93"/>
      <c r="H93" s="94"/>
    </row>
    <row r="94" spans="4:8" x14ac:dyDescent="0.25">
      <c r="D94"/>
      <c r="E94"/>
      <c r="F94"/>
      <c r="G94"/>
      <c r="H94" s="94"/>
    </row>
    <row r="95" spans="4:8" x14ac:dyDescent="0.25">
      <c r="D95"/>
      <c r="E95"/>
      <c r="F95"/>
      <c r="G95"/>
      <c r="H95" s="94"/>
    </row>
    <row r="96" spans="4:8" x14ac:dyDescent="0.25">
      <c r="D96"/>
      <c r="E96"/>
      <c r="F96"/>
      <c r="G96"/>
      <c r="H96" s="94"/>
    </row>
    <row r="97" spans="4:8" x14ac:dyDescent="0.25">
      <c r="D97"/>
      <c r="E97"/>
      <c r="F97"/>
      <c r="G97"/>
      <c r="H97" s="94"/>
    </row>
    <row r="98" spans="4:8" x14ac:dyDescent="0.25">
      <c r="D98"/>
      <c r="E98"/>
      <c r="F98"/>
      <c r="G98"/>
      <c r="H98" s="94"/>
    </row>
    <row r="99" spans="4:8" x14ac:dyDescent="0.25">
      <c r="D99"/>
      <c r="E99"/>
      <c r="F99"/>
      <c r="G99"/>
      <c r="H99" s="94"/>
    </row>
    <row r="100" spans="4:8" x14ac:dyDescent="0.25">
      <c r="D100"/>
      <c r="E100"/>
      <c r="F100"/>
      <c r="G100"/>
      <c r="H100" s="94"/>
    </row>
    <row r="101" spans="4:8" x14ac:dyDescent="0.25">
      <c r="D101"/>
      <c r="E101"/>
      <c r="F101"/>
      <c r="G101"/>
      <c r="H101" s="94"/>
    </row>
    <row r="102" spans="4:8" x14ac:dyDescent="0.25">
      <c r="D102"/>
      <c r="E102"/>
      <c r="F102"/>
      <c r="G102"/>
      <c r="H102" s="94"/>
    </row>
    <row r="103" spans="4:8" x14ac:dyDescent="0.25">
      <c r="D103"/>
      <c r="E103"/>
      <c r="F103"/>
      <c r="G103"/>
      <c r="H103" s="94"/>
    </row>
    <row r="104" spans="4:8" x14ac:dyDescent="0.25">
      <c r="D104"/>
      <c r="E104"/>
      <c r="F104"/>
      <c r="G104"/>
      <c r="H104" s="94"/>
    </row>
    <row r="105" spans="4:8" x14ac:dyDescent="0.25">
      <c r="D105"/>
      <c r="E105"/>
      <c r="F105"/>
      <c r="G105"/>
      <c r="H105" s="94"/>
    </row>
    <row r="106" spans="4:8" x14ac:dyDescent="0.25">
      <c r="D106"/>
      <c r="E106"/>
      <c r="F106"/>
      <c r="G106"/>
      <c r="H106" s="94"/>
    </row>
    <row r="107" spans="4:8" x14ac:dyDescent="0.25">
      <c r="D107"/>
      <c r="E107"/>
      <c r="F107"/>
      <c r="G107"/>
      <c r="H107" s="94"/>
    </row>
    <row r="108" spans="4:8" x14ac:dyDescent="0.25">
      <c r="D108"/>
      <c r="E108"/>
      <c r="F108"/>
      <c r="G108"/>
      <c r="H108" s="94"/>
    </row>
    <row r="109" spans="4:8" x14ac:dyDescent="0.25">
      <c r="D109"/>
      <c r="E109"/>
      <c r="F109"/>
      <c r="G109"/>
      <c r="H109" s="94"/>
    </row>
    <row r="110" spans="4:8" x14ac:dyDescent="0.25">
      <c r="D110"/>
      <c r="E110"/>
      <c r="F110"/>
      <c r="G110"/>
      <c r="H110" s="94"/>
    </row>
    <row r="111" spans="4:8" x14ac:dyDescent="0.25">
      <c r="D111"/>
      <c r="E111"/>
      <c r="F111"/>
      <c r="G111"/>
      <c r="H111" s="94"/>
    </row>
    <row r="112" spans="4:8" x14ac:dyDescent="0.25">
      <c r="D112"/>
      <c r="E112"/>
      <c r="F112"/>
      <c r="G112"/>
      <c r="H112" s="94"/>
    </row>
    <row r="113" spans="4:8" x14ac:dyDescent="0.25">
      <c r="D113"/>
      <c r="E113"/>
      <c r="F113"/>
      <c r="G113"/>
      <c r="H113" s="94"/>
    </row>
    <row r="114" spans="4:8" x14ac:dyDescent="0.25">
      <c r="D114"/>
      <c r="E114"/>
      <c r="F114"/>
      <c r="G114"/>
      <c r="H114" s="94"/>
    </row>
    <row r="115" spans="4:8" x14ac:dyDescent="0.25">
      <c r="D115"/>
      <c r="E115"/>
      <c r="F115"/>
      <c r="G115"/>
      <c r="H115" s="94"/>
    </row>
    <row r="116" spans="4:8" x14ac:dyDescent="0.25">
      <c r="D116"/>
      <c r="E116"/>
      <c r="F116"/>
      <c r="G116"/>
      <c r="H116" s="94"/>
    </row>
    <row r="117" spans="4:8" x14ac:dyDescent="0.25">
      <c r="D117"/>
      <c r="E117"/>
      <c r="F117"/>
      <c r="G117"/>
      <c r="H117" s="94"/>
    </row>
    <row r="118" spans="4:8" x14ac:dyDescent="0.25">
      <c r="D118"/>
      <c r="E118"/>
      <c r="F118"/>
      <c r="G118"/>
      <c r="H118" s="94"/>
    </row>
    <row r="119" spans="4:8" x14ac:dyDescent="0.25">
      <c r="D119"/>
      <c r="E119"/>
      <c r="F119"/>
      <c r="G119"/>
      <c r="H119" s="94"/>
    </row>
    <row r="120" spans="4:8" x14ac:dyDescent="0.25">
      <c r="D120"/>
      <c r="E120"/>
      <c r="F120"/>
      <c r="G120"/>
      <c r="H120" s="94"/>
    </row>
    <row r="121" spans="4:8" x14ac:dyDescent="0.25">
      <c r="D121"/>
      <c r="E121"/>
      <c r="F121"/>
      <c r="G121"/>
      <c r="H121" s="94"/>
    </row>
    <row r="122" spans="4:8" x14ac:dyDescent="0.25">
      <c r="D122"/>
      <c r="E122"/>
      <c r="F122"/>
      <c r="G122"/>
      <c r="H122" s="94"/>
    </row>
    <row r="123" spans="4:8" x14ac:dyDescent="0.25">
      <c r="D123"/>
      <c r="E123"/>
      <c r="F123"/>
      <c r="G123"/>
      <c r="H123" s="94"/>
    </row>
    <row r="124" spans="4:8" x14ac:dyDescent="0.25">
      <c r="D124"/>
      <c r="E124"/>
      <c r="F124"/>
      <c r="G124"/>
      <c r="H124" s="94"/>
    </row>
    <row r="125" spans="4:8" x14ac:dyDescent="0.25">
      <c r="D125"/>
      <c r="E125"/>
      <c r="F125"/>
      <c r="G125"/>
      <c r="H125" s="94"/>
    </row>
    <row r="126" spans="4:8" x14ac:dyDescent="0.25">
      <c r="D126"/>
      <c r="E126"/>
      <c r="F126"/>
      <c r="G126"/>
      <c r="H126" s="94"/>
    </row>
    <row r="127" spans="4:8" x14ac:dyDescent="0.25">
      <c r="D127"/>
      <c r="E127"/>
      <c r="F127"/>
      <c r="G127"/>
      <c r="H127" s="94"/>
    </row>
    <row r="128" spans="4:8" x14ac:dyDescent="0.25">
      <c r="D128"/>
      <c r="E128"/>
      <c r="F128"/>
      <c r="G128"/>
      <c r="H128" s="94"/>
    </row>
    <row r="129" spans="4:8" x14ac:dyDescent="0.25">
      <c r="D129"/>
      <c r="E129"/>
      <c r="F129"/>
      <c r="G129"/>
      <c r="H129" s="94"/>
    </row>
    <row r="130" spans="4:8" x14ac:dyDescent="0.25">
      <c r="D130"/>
      <c r="E130"/>
      <c r="F130"/>
      <c r="G130"/>
      <c r="H130" s="94"/>
    </row>
    <row r="131" spans="4:8" x14ac:dyDescent="0.25">
      <c r="D131"/>
      <c r="E131"/>
      <c r="F131"/>
      <c r="G131"/>
      <c r="H131" s="94"/>
    </row>
    <row r="132" spans="4:8" x14ac:dyDescent="0.25">
      <c r="D132"/>
      <c r="E132"/>
      <c r="F132"/>
      <c r="G132"/>
      <c r="H132" s="94"/>
    </row>
    <row r="133" spans="4:8" x14ac:dyDescent="0.25">
      <c r="D133"/>
      <c r="E133"/>
      <c r="F133"/>
      <c r="G133"/>
      <c r="H133" s="94"/>
    </row>
    <row r="134" spans="4:8" x14ac:dyDescent="0.25">
      <c r="D134"/>
      <c r="E134"/>
      <c r="F134"/>
      <c r="G134"/>
      <c r="H134" s="94"/>
    </row>
    <row r="135" spans="4:8" x14ac:dyDescent="0.25">
      <c r="D135"/>
      <c r="E135"/>
      <c r="F135"/>
      <c r="G135"/>
      <c r="H135" s="94"/>
    </row>
    <row r="136" spans="4:8" x14ac:dyDescent="0.25">
      <c r="D136"/>
      <c r="E136"/>
      <c r="F136"/>
      <c r="G136"/>
      <c r="H136" s="94"/>
    </row>
    <row r="137" spans="4:8" x14ac:dyDescent="0.25">
      <c r="D137"/>
      <c r="E137"/>
      <c r="F137"/>
      <c r="G137"/>
      <c r="H137" s="94"/>
    </row>
    <row r="138" spans="4:8" x14ac:dyDescent="0.25">
      <c r="D138"/>
      <c r="E138"/>
      <c r="F138"/>
      <c r="G138"/>
      <c r="H138" s="94"/>
    </row>
    <row r="139" spans="4:8" x14ac:dyDescent="0.25">
      <c r="D139"/>
      <c r="E139"/>
      <c r="F139"/>
      <c r="G139"/>
      <c r="H139" s="94"/>
    </row>
    <row r="140" spans="4:8" x14ac:dyDescent="0.25">
      <c r="D140"/>
      <c r="E140"/>
      <c r="F140"/>
      <c r="G140"/>
      <c r="H140" s="94"/>
    </row>
    <row r="141" spans="4:8" x14ac:dyDescent="0.25">
      <c r="D141"/>
      <c r="E141"/>
      <c r="F141"/>
      <c r="G141"/>
      <c r="H141" s="94"/>
    </row>
    <row r="142" spans="4:8" x14ac:dyDescent="0.25">
      <c r="D142"/>
      <c r="E142"/>
      <c r="F142"/>
      <c r="G142"/>
      <c r="H142" s="94"/>
    </row>
    <row r="143" spans="4:8" x14ac:dyDescent="0.25">
      <c r="D143"/>
      <c r="E143"/>
      <c r="F143"/>
      <c r="G143"/>
      <c r="H143" s="94"/>
    </row>
    <row r="144" spans="4:8" x14ac:dyDescent="0.25">
      <c r="D144"/>
      <c r="E144"/>
      <c r="F144"/>
      <c r="G144"/>
      <c r="H144" s="94"/>
    </row>
    <row r="145" spans="4:8" x14ac:dyDescent="0.25">
      <c r="D145"/>
      <c r="E145"/>
      <c r="F145"/>
      <c r="G145"/>
      <c r="H145" s="94"/>
    </row>
    <row r="146" spans="4:8" x14ac:dyDescent="0.25">
      <c r="D146"/>
      <c r="E146"/>
      <c r="F146"/>
      <c r="G146"/>
      <c r="H146" s="94"/>
    </row>
    <row r="147" spans="4:8" x14ac:dyDescent="0.25">
      <c r="D147"/>
      <c r="E147"/>
      <c r="F147"/>
      <c r="G147"/>
      <c r="H147" s="94"/>
    </row>
    <row r="148" spans="4:8" x14ac:dyDescent="0.25">
      <c r="D148"/>
      <c r="E148"/>
      <c r="F148"/>
      <c r="G148"/>
      <c r="H148" s="94"/>
    </row>
    <row r="149" spans="4:8" x14ac:dyDescent="0.25">
      <c r="D149"/>
      <c r="E149"/>
      <c r="F149"/>
      <c r="G149"/>
      <c r="H149" s="94"/>
    </row>
    <row r="150" spans="4:8" x14ac:dyDescent="0.25">
      <c r="D150"/>
      <c r="E150"/>
      <c r="F150"/>
      <c r="G150"/>
      <c r="H150" s="94"/>
    </row>
    <row r="151" spans="4:8" x14ac:dyDescent="0.25">
      <c r="D151"/>
      <c r="E151"/>
      <c r="F151"/>
      <c r="G151"/>
      <c r="H151" s="94"/>
    </row>
    <row r="152" spans="4:8" x14ac:dyDescent="0.25">
      <c r="D152"/>
      <c r="E152"/>
      <c r="F152"/>
      <c r="G152"/>
      <c r="H152" s="94"/>
    </row>
    <row r="153" spans="4:8" x14ac:dyDescent="0.25">
      <c r="D153"/>
      <c r="E153"/>
      <c r="F153"/>
      <c r="G153"/>
      <c r="H153" s="94"/>
    </row>
    <row r="154" spans="4:8" x14ac:dyDescent="0.25">
      <c r="D154"/>
      <c r="E154"/>
      <c r="F154"/>
      <c r="G154"/>
      <c r="H154" s="94"/>
    </row>
    <row r="155" spans="4:8" x14ac:dyDescent="0.25">
      <c r="D155"/>
      <c r="E155"/>
      <c r="F155"/>
      <c r="G155"/>
      <c r="H155" s="94"/>
    </row>
    <row r="156" spans="4:8" x14ac:dyDescent="0.25">
      <c r="D156"/>
      <c r="E156"/>
      <c r="F156"/>
      <c r="G156"/>
      <c r="H156" s="94"/>
    </row>
    <row r="157" spans="4:8" x14ac:dyDescent="0.25">
      <c r="D157"/>
      <c r="E157"/>
      <c r="F157"/>
      <c r="G157"/>
      <c r="H157" s="94"/>
    </row>
    <row r="158" spans="4:8" x14ac:dyDescent="0.25">
      <c r="D158"/>
      <c r="E158"/>
      <c r="F158"/>
      <c r="G158"/>
      <c r="H158" s="94"/>
    </row>
    <row r="159" spans="4:8" x14ac:dyDescent="0.25">
      <c r="D159"/>
      <c r="E159"/>
      <c r="F159"/>
      <c r="G159"/>
      <c r="H159" s="94"/>
    </row>
    <row r="160" spans="4:8" x14ac:dyDescent="0.25">
      <c r="D160"/>
      <c r="E160"/>
      <c r="F160"/>
      <c r="G160"/>
      <c r="H160" s="94"/>
    </row>
    <row r="161" spans="4:8" x14ac:dyDescent="0.25">
      <c r="D161"/>
      <c r="E161"/>
      <c r="F161"/>
      <c r="G161"/>
      <c r="H161" s="94"/>
    </row>
    <row r="162" spans="4:8" x14ac:dyDescent="0.25">
      <c r="D162"/>
      <c r="E162"/>
      <c r="F162"/>
      <c r="G162"/>
      <c r="H162" s="94"/>
    </row>
    <row r="163" spans="4:8" x14ac:dyDescent="0.25">
      <c r="D163"/>
      <c r="E163"/>
      <c r="F163"/>
      <c r="G163"/>
      <c r="H163" s="94"/>
    </row>
    <row r="164" spans="4:8" x14ac:dyDescent="0.25">
      <c r="D164"/>
      <c r="E164"/>
      <c r="F164"/>
      <c r="G164"/>
      <c r="H164" s="94"/>
    </row>
    <row r="165" spans="4:8" x14ac:dyDescent="0.25">
      <c r="D165"/>
      <c r="E165"/>
      <c r="F165"/>
      <c r="G165"/>
      <c r="H165" s="94"/>
    </row>
    <row r="166" spans="4:8" x14ac:dyDescent="0.25">
      <c r="D166"/>
      <c r="E166"/>
      <c r="F166"/>
      <c r="G166"/>
      <c r="H166" s="94"/>
    </row>
    <row r="167" spans="4:8" x14ac:dyDescent="0.25">
      <c r="D167"/>
      <c r="E167"/>
      <c r="F167"/>
      <c r="G167"/>
      <c r="H167" s="94"/>
    </row>
    <row r="168" spans="4:8" x14ac:dyDescent="0.25">
      <c r="D168"/>
      <c r="E168"/>
      <c r="F168"/>
      <c r="G168"/>
      <c r="H168" s="94"/>
    </row>
    <row r="169" spans="4:8" x14ac:dyDescent="0.25">
      <c r="D169"/>
      <c r="E169"/>
      <c r="F169"/>
      <c r="G169"/>
      <c r="H169" s="94"/>
    </row>
    <row r="170" spans="4:8" x14ac:dyDescent="0.25">
      <c r="D170"/>
      <c r="E170"/>
      <c r="F170"/>
      <c r="G170"/>
      <c r="H170" s="94"/>
    </row>
    <row r="171" spans="4:8" x14ac:dyDescent="0.25">
      <c r="D171"/>
      <c r="E171"/>
      <c r="F171"/>
      <c r="G171"/>
      <c r="H171" s="94"/>
    </row>
    <row r="172" spans="4:8" x14ac:dyDescent="0.25">
      <c r="D172"/>
      <c r="E172"/>
      <c r="F172"/>
      <c r="G172"/>
      <c r="H172" s="94"/>
    </row>
    <row r="173" spans="4:8" x14ac:dyDescent="0.25">
      <c r="D173"/>
      <c r="E173"/>
      <c r="F173"/>
      <c r="G173"/>
      <c r="H173" s="94"/>
    </row>
    <row r="174" spans="4:8" x14ac:dyDescent="0.25">
      <c r="D174"/>
      <c r="E174"/>
      <c r="F174"/>
      <c r="G174"/>
      <c r="H174" s="94"/>
    </row>
    <row r="175" spans="4:8" x14ac:dyDescent="0.25">
      <c r="D175"/>
      <c r="E175"/>
      <c r="F175"/>
      <c r="G175"/>
      <c r="H175" s="94"/>
    </row>
    <row r="176" spans="4:8" x14ac:dyDescent="0.25">
      <c r="D176"/>
      <c r="E176"/>
      <c r="F176"/>
      <c r="G176"/>
      <c r="H176" s="94"/>
    </row>
    <row r="177" spans="4:8" x14ac:dyDescent="0.25">
      <c r="D177"/>
      <c r="E177"/>
      <c r="F177"/>
      <c r="G177"/>
      <c r="H177" s="94"/>
    </row>
    <row r="178" spans="4:8" x14ac:dyDescent="0.25">
      <c r="D178"/>
      <c r="E178"/>
      <c r="F178"/>
      <c r="G178"/>
      <c r="H178" s="94"/>
    </row>
    <row r="179" spans="4:8" x14ac:dyDescent="0.25">
      <c r="D179"/>
      <c r="E179"/>
      <c r="F179"/>
      <c r="G179"/>
      <c r="H179" s="94"/>
    </row>
    <row r="180" spans="4:8" x14ac:dyDescent="0.25">
      <c r="D180"/>
      <c r="E180"/>
      <c r="F180"/>
      <c r="G180"/>
      <c r="H180" s="94"/>
    </row>
    <row r="181" spans="4:8" x14ac:dyDescent="0.25">
      <c r="D181"/>
      <c r="E181"/>
      <c r="F181"/>
      <c r="G181"/>
      <c r="H181" s="94"/>
    </row>
    <row r="182" spans="4:8" x14ac:dyDescent="0.25">
      <c r="D182"/>
      <c r="E182"/>
      <c r="F182"/>
      <c r="G182"/>
      <c r="H182" s="94"/>
    </row>
    <row r="183" spans="4:8" x14ac:dyDescent="0.25">
      <c r="D183"/>
      <c r="E183"/>
      <c r="F183"/>
      <c r="G183"/>
      <c r="H183" s="94"/>
    </row>
    <row r="184" spans="4:8" x14ac:dyDescent="0.25">
      <c r="D184"/>
      <c r="E184"/>
      <c r="F184"/>
      <c r="G184"/>
      <c r="H184" s="94"/>
    </row>
    <row r="185" spans="4:8" x14ac:dyDescent="0.25">
      <c r="D185"/>
      <c r="E185"/>
      <c r="F185"/>
      <c r="G185"/>
      <c r="H185" s="94"/>
    </row>
    <row r="186" spans="4:8" x14ac:dyDescent="0.25">
      <c r="D186"/>
      <c r="E186"/>
      <c r="F186"/>
      <c r="G186"/>
      <c r="H186" s="94"/>
    </row>
    <row r="187" spans="4:8" x14ac:dyDescent="0.25">
      <c r="D187"/>
      <c r="E187"/>
      <c r="F187"/>
      <c r="G187"/>
      <c r="H187" s="94"/>
    </row>
    <row r="188" spans="4:8" x14ac:dyDescent="0.25">
      <c r="D188"/>
      <c r="E188"/>
      <c r="F188"/>
      <c r="G188"/>
      <c r="H188" s="94"/>
    </row>
    <row r="189" spans="4:8" x14ac:dyDescent="0.25">
      <c r="D189"/>
      <c r="E189"/>
      <c r="F189"/>
      <c r="G189"/>
      <c r="H189" s="94"/>
    </row>
    <row r="190" spans="4:8" x14ac:dyDescent="0.25">
      <c r="D190"/>
      <c r="E190"/>
      <c r="F190"/>
      <c r="G190"/>
      <c r="H190" s="94"/>
    </row>
    <row r="191" spans="4:8" x14ac:dyDescent="0.25">
      <c r="D191"/>
      <c r="E191"/>
      <c r="F191"/>
      <c r="G191"/>
      <c r="H191" s="94"/>
    </row>
    <row r="192" spans="4:8" x14ac:dyDescent="0.25">
      <c r="D192"/>
      <c r="E192"/>
      <c r="F192"/>
      <c r="G192"/>
      <c r="H192" s="94"/>
    </row>
    <row r="193" spans="4:8" x14ac:dyDescent="0.25">
      <c r="D193"/>
      <c r="E193"/>
      <c r="F193"/>
      <c r="G193"/>
      <c r="H193" s="94"/>
    </row>
    <row r="194" spans="4:8" x14ac:dyDescent="0.25">
      <c r="D194"/>
      <c r="E194"/>
      <c r="F194"/>
      <c r="G194"/>
      <c r="H194" s="94"/>
    </row>
    <row r="195" spans="4:8" x14ac:dyDescent="0.25">
      <c r="D195"/>
      <c r="E195"/>
      <c r="F195"/>
      <c r="G195"/>
      <c r="H195" s="94"/>
    </row>
    <row r="196" spans="4:8" x14ac:dyDescent="0.25">
      <c r="D196"/>
      <c r="E196"/>
      <c r="F196"/>
      <c r="G196"/>
      <c r="H196" s="94"/>
    </row>
    <row r="197" spans="4:8" x14ac:dyDescent="0.25">
      <c r="D197"/>
      <c r="E197"/>
      <c r="F197"/>
      <c r="G197"/>
      <c r="H197" s="94"/>
    </row>
    <row r="198" spans="4:8" x14ac:dyDescent="0.25">
      <c r="D198"/>
      <c r="E198"/>
      <c r="F198"/>
      <c r="G198"/>
      <c r="H198" s="94"/>
    </row>
    <row r="199" spans="4:8" x14ac:dyDescent="0.25">
      <c r="D199"/>
      <c r="E199"/>
      <c r="F199"/>
      <c r="G199"/>
      <c r="H199" s="94"/>
    </row>
    <row r="200" spans="4:8" x14ac:dyDescent="0.25">
      <c r="D200"/>
      <c r="E200"/>
      <c r="F200"/>
      <c r="G200"/>
      <c r="H200" s="94"/>
    </row>
    <row r="201" spans="4:8" x14ac:dyDescent="0.25">
      <c r="D201"/>
      <c r="E201"/>
      <c r="F201"/>
      <c r="G201"/>
      <c r="H201" s="94"/>
    </row>
    <row r="202" spans="4:8" x14ac:dyDescent="0.25">
      <c r="D202"/>
      <c r="E202"/>
      <c r="F202"/>
      <c r="G202"/>
      <c r="H202" s="94"/>
    </row>
    <row r="203" spans="4:8" x14ac:dyDescent="0.25">
      <c r="D203"/>
      <c r="E203"/>
      <c r="F203"/>
      <c r="G203"/>
      <c r="H203" s="94"/>
    </row>
  </sheetData>
  <mergeCells count="5">
    <mergeCell ref="D5:G5"/>
    <mergeCell ref="I5:M5"/>
    <mergeCell ref="O5:S5"/>
    <mergeCell ref="C2:S2"/>
    <mergeCell ref="C1:S1"/>
  </mergeCells>
  <pageMargins left="0.7" right="0.7" top="0.75" bottom="0.75" header="0.3" footer="0.3"/>
  <pageSetup paperSize="9" scale="65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loadfileandCalc">
                <anchor moveWithCells="1" sizeWithCells="1">
                  <from>
                    <xdr:col>19</xdr:col>
                    <xdr:colOff>28575</xdr:colOff>
                    <xdr:row>0</xdr:row>
                    <xdr:rowOff>0</xdr:rowOff>
                  </from>
                  <to>
                    <xdr:col>20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0376C-22CD-4558-82E8-6E043A688F5C}">
  <sheetPr codeName="Sheet1">
    <tabColor theme="8" tint="0.59999389629810485"/>
    <pageSetUpPr fitToPage="1"/>
  </sheetPr>
  <dimension ref="A1:U202"/>
  <sheetViews>
    <sheetView tabSelected="1" view="pageBreakPreview" topLeftCell="C1" zoomScaleNormal="86" zoomScaleSheetLayoutView="100" workbookViewId="0">
      <selection activeCell="C1" sqref="C1:T1"/>
    </sheetView>
  </sheetViews>
  <sheetFormatPr defaultRowHeight="20.100000000000001" customHeight="1" x14ac:dyDescent="0.25"/>
  <cols>
    <col min="1" max="2" width="9.140625" hidden="1" customWidth="1"/>
    <col min="3" max="3" width="10" customWidth="1"/>
    <col min="4" max="4" width="19.85546875" style="1" bestFit="1" customWidth="1"/>
    <col min="5" max="5" width="8.7109375" style="1" customWidth="1"/>
    <col min="6" max="6" width="16.140625" style="1" customWidth="1"/>
    <col min="7" max="7" width="14.28515625" style="1" customWidth="1"/>
    <col min="8" max="8" width="14.7109375" style="1" customWidth="1"/>
    <col min="9" max="9" width="3.7109375" style="91" customWidth="1"/>
    <col min="10" max="10" width="8.7109375" customWidth="1"/>
    <col min="11" max="11" width="14.28515625" style="1" customWidth="1"/>
    <col min="12" max="12" width="19.140625" style="1" bestFit="1" customWidth="1"/>
    <col min="13" max="13" width="14.7109375" style="1" customWidth="1"/>
    <col min="14" max="14" width="7.7109375" style="35" customWidth="1"/>
    <col min="15" max="15" width="3.7109375" style="86" customWidth="1"/>
    <col min="16" max="16" width="8.7109375" customWidth="1"/>
    <col min="17" max="17" width="14.28515625" customWidth="1"/>
    <col min="18" max="18" width="15.5703125" style="1" bestFit="1" customWidth="1"/>
    <col min="19" max="19" width="14.7109375" style="1" customWidth="1"/>
    <col min="20" max="20" width="7.7109375" style="75" customWidth="1"/>
    <col min="21" max="16384" width="9.140625" style="106"/>
  </cols>
  <sheetData>
    <row r="1" spans="1:21" ht="20.100000000000001" customHeight="1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</row>
    <row r="2" spans="1:21" ht="20.100000000000001" customHeight="1" x14ac:dyDescent="0.3">
      <c r="C2" s="135" t="s">
        <v>510</v>
      </c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</row>
    <row r="3" spans="1:21" ht="20.100000000000001" customHeight="1" x14ac:dyDescent="0.25">
      <c r="D3"/>
      <c r="F3" s="147"/>
    </row>
    <row r="4" spans="1:21" ht="15" hidden="1" x14ac:dyDescent="0.25">
      <c r="A4" s="3" t="s">
        <v>139</v>
      </c>
      <c r="B4" s="3" t="s">
        <v>140</v>
      </c>
      <c r="C4" s="23" t="s">
        <v>128</v>
      </c>
      <c r="D4" s="13" t="s">
        <v>135</v>
      </c>
    </row>
    <row r="5" spans="1:21" ht="20.100000000000001" customHeight="1" x14ac:dyDescent="0.25">
      <c r="C5" s="95"/>
      <c r="D5" s="119" t="s">
        <v>141</v>
      </c>
      <c r="E5" s="119"/>
      <c r="F5" s="119"/>
      <c r="G5" s="119"/>
      <c r="H5" s="101"/>
      <c r="I5" s="87"/>
      <c r="J5" s="119" t="s">
        <v>142</v>
      </c>
      <c r="K5" s="119"/>
      <c r="L5" s="119"/>
      <c r="M5" s="119"/>
      <c r="N5" s="119"/>
      <c r="O5" s="87"/>
      <c r="P5" s="120" t="s">
        <v>143</v>
      </c>
      <c r="Q5" s="120"/>
      <c r="R5" s="120"/>
      <c r="S5" s="120"/>
      <c r="T5" s="120"/>
    </row>
    <row r="6" spans="1:21" ht="15" x14ac:dyDescent="0.25">
      <c r="A6" s="5"/>
      <c r="B6" s="5"/>
      <c r="C6" s="23" t="s">
        <v>379</v>
      </c>
      <c r="D6" s="23" t="s">
        <v>130</v>
      </c>
      <c r="E6" s="45" t="s">
        <v>386</v>
      </c>
      <c r="F6" s="12" t="s">
        <v>145</v>
      </c>
      <c r="G6" s="12" t="s">
        <v>147</v>
      </c>
      <c r="H6" s="12" t="s">
        <v>137</v>
      </c>
      <c r="I6" s="92"/>
      <c r="J6" s="46" t="s">
        <v>386</v>
      </c>
      <c r="K6" s="9" t="s">
        <v>144</v>
      </c>
      <c r="L6" s="9" t="s">
        <v>146</v>
      </c>
      <c r="M6" s="9" t="s">
        <v>137</v>
      </c>
      <c r="N6" s="71" t="s">
        <v>394</v>
      </c>
      <c r="O6" s="88"/>
      <c r="P6" s="46" t="s">
        <v>386</v>
      </c>
      <c r="Q6" s="9" t="s">
        <v>144</v>
      </c>
      <c r="R6" s="9" t="s">
        <v>138</v>
      </c>
      <c r="S6" s="9" t="s">
        <v>137</v>
      </c>
      <c r="T6" s="76" t="s">
        <v>394</v>
      </c>
      <c r="U6" s="107"/>
    </row>
    <row r="7" spans="1:21" ht="15" x14ac:dyDescent="0.25">
      <c r="A7" s="24">
        <f>G7/F7</f>
        <v>876.63491729737018</v>
      </c>
      <c r="B7" s="102">
        <f>H7/F7</f>
        <v>309.08374318170809</v>
      </c>
      <c r="C7" s="15" t="s">
        <v>465</v>
      </c>
      <c r="D7" s="15" t="s">
        <v>395</v>
      </c>
      <c r="E7" s="45">
        <v>28</v>
      </c>
      <c r="F7" s="13">
        <v>122858.84999999999</v>
      </c>
      <c r="G7" s="13">
        <v>107702357.809</v>
      </c>
      <c r="H7" s="13">
        <v>37973673.240999997</v>
      </c>
      <c r="I7" s="93"/>
      <c r="J7" s="45">
        <f>E7-P7</f>
        <v>28</v>
      </c>
      <c r="K7" s="10">
        <f>F7-Q7</f>
        <v>122858.84999999999</v>
      </c>
      <c r="L7" s="10">
        <f>IF(K7&lt;&gt;0,ROUND(K7*A7,0),0)</f>
        <v>107702358</v>
      </c>
      <c r="M7" s="10">
        <f>IF(K7&lt;&gt;0,ROUND(K7*B7,0),0)</f>
        <v>37973673</v>
      </c>
      <c r="N7" s="74">
        <f>K7/F7</f>
        <v>1</v>
      </c>
      <c r="O7" s="89"/>
      <c r="P7" s="45">
        <f>COUNTIFS([1]GD.List!$N$3:$N$5000,D7,[1]GD.List!$H$3:$H$5000,$C$7,[1]GD.List!$L$3:$L$5000,"&lt;&gt;0")</f>
        <v>0</v>
      </c>
      <c r="Q7" s="10">
        <f>SUMIFS([1]GD.List!$L$3:$L$5000,[1]GD.List!$N$3:$N$5000,D7,[1]GD.List!$H$3:$H$5000,$C$7)</f>
        <v>0</v>
      </c>
      <c r="R7" s="10">
        <f>IF(Q7&lt;&gt;0,ROUND(Q7*A7,0),0)</f>
        <v>0</v>
      </c>
      <c r="S7" s="10">
        <f>IF(Q7&lt;&gt;0,ROUND(Q7*B7,0),0)</f>
        <v>0</v>
      </c>
      <c r="T7" s="74">
        <f>Q7/F7</f>
        <v>0</v>
      </c>
      <c r="U7" s="107"/>
    </row>
    <row r="8" spans="1:21" ht="15" x14ac:dyDescent="0.25">
      <c r="A8" s="24">
        <f t="shared" ref="A8:A59" si="0">G8/F8</f>
        <v>786.29410170905282</v>
      </c>
      <c r="B8" s="24">
        <f t="shared" ref="B8:B59" si="1">H8/F8</f>
        <v>194.60652207822829</v>
      </c>
      <c r="C8" s="15"/>
      <c r="D8" s="15" t="s">
        <v>396</v>
      </c>
      <c r="E8" s="45">
        <v>18</v>
      </c>
      <c r="F8" s="13">
        <v>340289.08</v>
      </c>
      <c r="G8" s="13">
        <v>267567296.48000002</v>
      </c>
      <c r="H8" s="13">
        <v>66222474.359999999</v>
      </c>
      <c r="I8" s="93"/>
      <c r="J8" s="45">
        <f t="shared" ref="J8:J26" si="2">E8-P8</f>
        <v>18</v>
      </c>
      <c r="K8" s="10">
        <f t="shared" ref="K8:K26" si="3">F8-Q8</f>
        <v>340289.08</v>
      </c>
      <c r="L8" s="10">
        <f t="shared" ref="L8:L26" si="4">IF(K8&lt;&gt;0,ROUND(K8*A8,0),0)</f>
        <v>267567296</v>
      </c>
      <c r="M8" s="10">
        <f t="shared" ref="M8:M26" si="5">IF(K8&lt;&gt;0,ROUND(K8*B8,0),0)</f>
        <v>66222474</v>
      </c>
      <c r="N8" s="74">
        <f t="shared" ref="N8:N26" si="6">K8/F8</f>
        <v>1</v>
      </c>
      <c r="O8" s="89"/>
      <c r="P8" s="45">
        <f>COUNTIFS([1]GD.List!$N$3:$N$5000,D8,[1]GD.List!$H$3:$H$5000,$C$7,[1]GD.List!$L$3:$L$5000,"&lt;&gt;0")</f>
        <v>0</v>
      </c>
      <c r="Q8" s="10">
        <f>SUMIFS([1]GD.List!$L$3:$L$5000,[1]GD.List!$N$3:$N$5000,D8,[1]GD.List!$H$3:$H$5000,$C$7)</f>
        <v>0</v>
      </c>
      <c r="R8" s="10">
        <f t="shared" ref="R8:R49" si="7">IF(Q8&lt;&gt;0,ROUND(Q8*A8,0),0)</f>
        <v>0</v>
      </c>
      <c r="S8" s="10">
        <f t="shared" ref="S8:S49" si="8">IF(Q8&lt;&gt;0,ROUND(Q8*B8,0),0)</f>
        <v>0</v>
      </c>
      <c r="T8" s="74">
        <f t="shared" ref="T8:T49" si="9">Q8/F8</f>
        <v>0</v>
      </c>
      <c r="U8" s="107"/>
    </row>
    <row r="9" spans="1:21" ht="15" x14ac:dyDescent="0.25">
      <c r="A9" s="24">
        <f t="shared" si="0"/>
        <v>319.91056646190697</v>
      </c>
      <c r="B9" s="24">
        <f t="shared" si="1"/>
        <v>129.371149425802</v>
      </c>
      <c r="C9" s="15"/>
      <c r="D9" s="15" t="s">
        <v>397</v>
      </c>
      <c r="E9" s="45">
        <v>17</v>
      </c>
      <c r="F9" s="13">
        <v>408708.33</v>
      </c>
      <c r="G9" s="13">
        <v>130750113.368</v>
      </c>
      <c r="H9" s="13">
        <v>52875066.431999996</v>
      </c>
      <c r="I9" s="93"/>
      <c r="J9" s="45">
        <f t="shared" si="2"/>
        <v>17</v>
      </c>
      <c r="K9" s="10">
        <f t="shared" si="3"/>
        <v>408708.33</v>
      </c>
      <c r="L9" s="10">
        <f t="shared" si="4"/>
        <v>130750113</v>
      </c>
      <c r="M9" s="10">
        <f t="shared" si="5"/>
        <v>52875066</v>
      </c>
      <c r="N9" s="74">
        <f t="shared" si="6"/>
        <v>1</v>
      </c>
      <c r="O9" s="89"/>
      <c r="P9" s="45">
        <f>COUNTIFS([1]GD.List!$N$3:$N$5000,D9,[1]GD.List!$H$3:$H$5000,$C$7,[1]GD.List!$L$3:$L$5000,"&lt;&gt;0")</f>
        <v>0</v>
      </c>
      <c r="Q9" s="10">
        <f>SUMIFS([1]GD.List!$L$3:$L$5000,[1]GD.List!$N$3:$N$5000,D9,[1]GD.List!$H$3:$H$5000,$C$7)</f>
        <v>0</v>
      </c>
      <c r="R9" s="10">
        <f t="shared" si="7"/>
        <v>0</v>
      </c>
      <c r="S9" s="10">
        <f t="shared" si="8"/>
        <v>0</v>
      </c>
      <c r="T9" s="74">
        <f t="shared" si="9"/>
        <v>0</v>
      </c>
      <c r="U9" s="107"/>
    </row>
    <row r="10" spans="1:21" ht="15" x14ac:dyDescent="0.25">
      <c r="A10" s="24">
        <f t="shared" si="0"/>
        <v>1077.0039692855887</v>
      </c>
      <c r="B10" s="24">
        <f t="shared" si="1"/>
        <v>437.06764386625895</v>
      </c>
      <c r="C10" s="15"/>
      <c r="D10" s="15" t="s">
        <v>398</v>
      </c>
      <c r="E10" s="45">
        <v>38</v>
      </c>
      <c r="F10" s="13">
        <v>278957</v>
      </c>
      <c r="G10" s="13">
        <v>300437796.25999999</v>
      </c>
      <c r="H10" s="13">
        <v>121923078.73</v>
      </c>
      <c r="I10" s="93"/>
      <c r="J10" s="45">
        <f t="shared" si="2"/>
        <v>38</v>
      </c>
      <c r="K10" s="10">
        <f t="shared" si="3"/>
        <v>278957</v>
      </c>
      <c r="L10" s="10">
        <f t="shared" si="4"/>
        <v>300437796</v>
      </c>
      <c r="M10" s="10">
        <f t="shared" si="5"/>
        <v>121923079</v>
      </c>
      <c r="N10" s="74">
        <f t="shared" si="6"/>
        <v>1</v>
      </c>
      <c r="O10" s="89"/>
      <c r="P10" s="45">
        <f>COUNTIFS([1]GD.List!$N$3:$N$5000,D10,[1]GD.List!$H$3:$H$5000,$C$7,[1]GD.List!$L$3:$L$5000,"&lt;&gt;0")</f>
        <v>0</v>
      </c>
      <c r="Q10" s="10">
        <f>SUMIFS([1]GD.List!$L$3:$L$5000,[1]GD.List!$N$3:$N$5000,D10,[1]GD.List!$H$3:$H$5000,$C$7)</f>
        <v>0</v>
      </c>
      <c r="R10" s="10">
        <f t="shared" si="7"/>
        <v>0</v>
      </c>
      <c r="S10" s="10">
        <f t="shared" si="8"/>
        <v>0</v>
      </c>
      <c r="T10" s="74">
        <f t="shared" si="9"/>
        <v>0</v>
      </c>
      <c r="U10" s="107"/>
    </row>
    <row r="11" spans="1:21" ht="15" x14ac:dyDescent="0.25">
      <c r="A11" s="24">
        <f t="shared" si="0"/>
        <v>1092.5404511512136</v>
      </c>
      <c r="B11" s="24">
        <f t="shared" si="1"/>
        <v>430.76417003733667</v>
      </c>
      <c r="C11" s="15"/>
      <c r="D11" s="15" t="s">
        <v>399</v>
      </c>
      <c r="E11" s="45">
        <v>5</v>
      </c>
      <c r="F11" s="13">
        <v>12856</v>
      </c>
      <c r="G11" s="13">
        <v>14045700.040000001</v>
      </c>
      <c r="H11" s="13">
        <v>5537904.1699999999</v>
      </c>
      <c r="I11" s="93"/>
      <c r="J11" s="45">
        <f t="shared" si="2"/>
        <v>5</v>
      </c>
      <c r="K11" s="10">
        <f t="shared" si="3"/>
        <v>12856</v>
      </c>
      <c r="L11" s="10">
        <f t="shared" si="4"/>
        <v>14045700</v>
      </c>
      <c r="M11" s="10">
        <f t="shared" si="5"/>
        <v>5537904</v>
      </c>
      <c r="N11" s="74">
        <f t="shared" si="6"/>
        <v>1</v>
      </c>
      <c r="O11" s="89"/>
      <c r="P11" s="45">
        <f>COUNTIFS([1]GD.List!$N$3:$N$5000,D11,[1]GD.List!$H$3:$H$5000,$C$7,[1]GD.List!$L$3:$L$5000,"&lt;&gt;0")</f>
        <v>0</v>
      </c>
      <c r="Q11" s="10">
        <f>SUMIFS([1]GD.List!$L$3:$L$5000,[1]GD.List!$N$3:$N$5000,D11,[1]GD.List!$H$3:$H$5000,$C$7)</f>
        <v>0</v>
      </c>
      <c r="R11" s="10">
        <f t="shared" si="7"/>
        <v>0</v>
      </c>
      <c r="S11" s="10">
        <f t="shared" si="8"/>
        <v>0</v>
      </c>
      <c r="T11" s="74">
        <f t="shared" si="9"/>
        <v>0</v>
      </c>
      <c r="U11" s="107"/>
    </row>
    <row r="12" spans="1:21" ht="15" x14ac:dyDescent="0.25">
      <c r="A12" s="24">
        <f t="shared" si="0"/>
        <v>181.0863298619312</v>
      </c>
      <c r="B12" s="24">
        <f t="shared" si="1"/>
        <v>52.063585419011403</v>
      </c>
      <c r="C12" s="15"/>
      <c r="D12" s="15" t="s">
        <v>134</v>
      </c>
      <c r="E12" s="45">
        <v>17</v>
      </c>
      <c r="F12" s="13">
        <v>4092054.5</v>
      </c>
      <c r="G12" s="13">
        <v>741015131</v>
      </c>
      <c r="H12" s="13">
        <v>213047029</v>
      </c>
      <c r="I12" s="94"/>
      <c r="J12" s="45">
        <f t="shared" si="2"/>
        <v>17</v>
      </c>
      <c r="K12" s="10">
        <f t="shared" si="3"/>
        <v>4092054.5</v>
      </c>
      <c r="L12" s="10">
        <f t="shared" si="4"/>
        <v>741015131</v>
      </c>
      <c r="M12" s="10">
        <f t="shared" si="5"/>
        <v>213047029</v>
      </c>
      <c r="N12" s="74">
        <f t="shared" si="6"/>
        <v>1</v>
      </c>
      <c r="O12" s="89"/>
      <c r="P12" s="45">
        <f>COUNTIFS([1]GD.List!$N$3:$N$5000,D12,[1]GD.List!$H$3:$H$5000,$C$7,[1]GD.List!$L$3:$L$5000,"&lt;&gt;0")</f>
        <v>0</v>
      </c>
      <c r="Q12" s="10">
        <f>SUMIFS([1]GD.List!$L$3:$L$5000,[1]GD.List!$N$3:$N$5000,D12,[1]GD.List!$H$3:$H$5000,$C$7)</f>
        <v>0</v>
      </c>
      <c r="R12" s="10">
        <f t="shared" si="7"/>
        <v>0</v>
      </c>
      <c r="S12" s="10">
        <f t="shared" si="8"/>
        <v>0</v>
      </c>
      <c r="T12" s="74">
        <f t="shared" si="9"/>
        <v>0</v>
      </c>
      <c r="U12" s="107"/>
    </row>
    <row r="13" spans="1:21" ht="15" x14ac:dyDescent="0.25">
      <c r="A13" s="24">
        <f t="shared" si="0"/>
        <v>316.04257581993005</v>
      </c>
      <c r="B13" s="24">
        <f t="shared" si="1"/>
        <v>121.51452059777874</v>
      </c>
      <c r="C13" s="15"/>
      <c r="D13" s="15" t="s">
        <v>400</v>
      </c>
      <c r="E13" s="45">
        <v>109</v>
      </c>
      <c r="F13" s="13">
        <v>2894068.4219999998</v>
      </c>
      <c r="G13" s="13">
        <v>914648838.6880002</v>
      </c>
      <c r="H13" s="13">
        <v>351671336.87650001</v>
      </c>
      <c r="J13" s="45">
        <f t="shared" si="2"/>
        <v>109</v>
      </c>
      <c r="K13" s="10">
        <f t="shared" si="3"/>
        <v>2894068.4219999998</v>
      </c>
      <c r="L13" s="10">
        <f t="shared" si="4"/>
        <v>914648839</v>
      </c>
      <c r="M13" s="10">
        <f t="shared" si="5"/>
        <v>351671337</v>
      </c>
      <c r="N13" s="74">
        <f t="shared" si="6"/>
        <v>1</v>
      </c>
      <c r="O13" s="89"/>
      <c r="P13" s="45">
        <f>COUNTIFS([1]GD.List!$N$3:$N$5000,D13,[1]GD.List!$H$3:$H$5000,$C$7,[1]GD.List!$L$3:$L$5000,"&lt;&gt;0")</f>
        <v>0</v>
      </c>
      <c r="Q13" s="10">
        <f>SUMIFS([1]GD.List!$L$3:$L$5000,[1]GD.List!$N$3:$N$5000,D13,[1]GD.List!$H$3:$H$5000,$C$7)</f>
        <v>0</v>
      </c>
      <c r="R13" s="10">
        <f t="shared" si="7"/>
        <v>0</v>
      </c>
      <c r="S13" s="10">
        <f t="shared" si="8"/>
        <v>0</v>
      </c>
      <c r="T13" s="74">
        <f t="shared" si="9"/>
        <v>0</v>
      </c>
      <c r="U13" s="107"/>
    </row>
    <row r="14" spans="1:21" ht="15" x14ac:dyDescent="0.25">
      <c r="A14" s="24">
        <f t="shared" si="0"/>
        <v>605.94131296506691</v>
      </c>
      <c r="B14" s="24">
        <f t="shared" si="1"/>
        <v>112.42484065147902</v>
      </c>
      <c r="C14" s="15"/>
      <c r="D14" s="15" t="s">
        <v>131</v>
      </c>
      <c r="E14" s="45">
        <v>26</v>
      </c>
      <c r="F14" s="13">
        <v>4926120.3999999994</v>
      </c>
      <c r="G14" s="13">
        <v>2984939863</v>
      </c>
      <c r="H14" s="13">
        <v>553818301</v>
      </c>
      <c r="I14" s="83"/>
      <c r="J14" s="45">
        <f t="shared" si="2"/>
        <v>26</v>
      </c>
      <c r="K14" s="10">
        <f t="shared" si="3"/>
        <v>4926120.3999999994</v>
      </c>
      <c r="L14" s="10">
        <f t="shared" si="4"/>
        <v>2984939863</v>
      </c>
      <c r="M14" s="10">
        <f t="shared" si="5"/>
        <v>553818301</v>
      </c>
      <c r="N14" s="74">
        <f t="shared" si="6"/>
        <v>1</v>
      </c>
      <c r="O14" s="89"/>
      <c r="P14" s="45">
        <f>COUNTIFS([1]GD.List!$N$3:$N$5000,D14,[1]GD.List!$H$3:$H$5000,$C$7,[1]GD.List!$L$3:$L$5000,"&lt;&gt;0")</f>
        <v>0</v>
      </c>
      <c r="Q14" s="10">
        <f>SUMIFS([1]GD.List!$L$3:$L$5000,[1]GD.List!$N$3:$N$5000,D14,[1]GD.List!$H$3:$H$5000,$C$7)</f>
        <v>0</v>
      </c>
      <c r="R14" s="10">
        <f t="shared" si="7"/>
        <v>0</v>
      </c>
      <c r="S14" s="10">
        <f t="shared" si="8"/>
        <v>0</v>
      </c>
      <c r="T14" s="74">
        <f t="shared" si="9"/>
        <v>0</v>
      </c>
      <c r="U14" s="107"/>
    </row>
    <row r="15" spans="1:21" ht="15" x14ac:dyDescent="0.25">
      <c r="A15" s="24">
        <f t="shared" si="0"/>
        <v>354.19097732007282</v>
      </c>
      <c r="B15" s="24">
        <f t="shared" si="1"/>
        <v>106.27492631203687</v>
      </c>
      <c r="C15" s="15"/>
      <c r="D15" s="15" t="s">
        <v>132</v>
      </c>
      <c r="E15" s="45">
        <v>118</v>
      </c>
      <c r="F15" s="13">
        <v>3119234</v>
      </c>
      <c r="G15" s="13">
        <v>1104804538.95</v>
      </c>
      <c r="H15" s="13">
        <v>331496363.5</v>
      </c>
      <c r="I15" s="84"/>
      <c r="J15" s="45">
        <f t="shared" si="2"/>
        <v>118</v>
      </c>
      <c r="K15" s="10">
        <f t="shared" si="3"/>
        <v>3119234</v>
      </c>
      <c r="L15" s="10">
        <f t="shared" si="4"/>
        <v>1104804539</v>
      </c>
      <c r="M15" s="10">
        <f t="shared" si="5"/>
        <v>331496364</v>
      </c>
      <c r="N15" s="74">
        <f t="shared" si="6"/>
        <v>1</v>
      </c>
      <c r="O15" s="89"/>
      <c r="P15" s="45">
        <f>COUNTIFS([1]GD.List!$N$3:$N$5000,D15,[1]GD.List!$H$3:$H$5000,$C$7,[1]GD.List!$L$3:$L$5000,"&lt;&gt;0")</f>
        <v>0</v>
      </c>
      <c r="Q15" s="10">
        <f>SUMIFS([1]GD.List!$L$3:$L$5000,[1]GD.List!$N$3:$N$5000,D15,[1]GD.List!$H$3:$H$5000,$C$7)</f>
        <v>0</v>
      </c>
      <c r="R15" s="10">
        <f t="shared" si="7"/>
        <v>0</v>
      </c>
      <c r="S15" s="10">
        <f t="shared" si="8"/>
        <v>0</v>
      </c>
      <c r="T15" s="74">
        <f t="shared" si="9"/>
        <v>0</v>
      </c>
      <c r="U15" s="107"/>
    </row>
    <row r="16" spans="1:21" ht="15" x14ac:dyDescent="0.25">
      <c r="A16" s="24">
        <f t="shared" si="0"/>
        <v>2251.614362201467</v>
      </c>
      <c r="B16" s="24">
        <f t="shared" si="1"/>
        <v>840.4249120908845</v>
      </c>
      <c r="C16" s="15"/>
      <c r="D16" s="15" t="s">
        <v>133</v>
      </c>
      <c r="E16" s="45">
        <v>71</v>
      </c>
      <c r="F16" s="13">
        <v>314245</v>
      </c>
      <c r="G16" s="13">
        <v>707558555.25</v>
      </c>
      <c r="H16" s="13">
        <v>264099326.5</v>
      </c>
      <c r="I16" s="84"/>
      <c r="J16" s="45">
        <f t="shared" si="2"/>
        <v>71</v>
      </c>
      <c r="K16" s="10">
        <f t="shared" si="3"/>
        <v>314245</v>
      </c>
      <c r="L16" s="10">
        <f t="shared" si="4"/>
        <v>707558555</v>
      </c>
      <c r="M16" s="10">
        <f t="shared" si="5"/>
        <v>264099327</v>
      </c>
      <c r="N16" s="74">
        <f t="shared" si="6"/>
        <v>1</v>
      </c>
      <c r="O16" s="89"/>
      <c r="P16" s="45">
        <f>COUNTIFS([1]GD.List!$N$3:$N$5000,D16,[1]GD.List!$H$3:$H$5000,$C$7,[1]GD.List!$L$3:$L$5000,"&lt;&gt;0")</f>
        <v>0</v>
      </c>
      <c r="Q16" s="10">
        <f>SUMIFS([1]GD.List!$L$3:$L$5000,[1]GD.List!$N$3:$N$5000,D16,[1]GD.List!$H$3:$H$5000,$C$7)</f>
        <v>0</v>
      </c>
      <c r="R16" s="10">
        <f t="shared" si="7"/>
        <v>0</v>
      </c>
      <c r="S16" s="10">
        <f t="shared" si="8"/>
        <v>0</v>
      </c>
      <c r="T16" s="74">
        <f t="shared" si="9"/>
        <v>0</v>
      </c>
      <c r="U16" s="107"/>
    </row>
    <row r="17" spans="1:21" ht="15" x14ac:dyDescent="0.25">
      <c r="A17" s="24">
        <f t="shared" si="0"/>
        <v>3583.6909172259507</v>
      </c>
      <c r="B17" s="24">
        <f t="shared" si="1"/>
        <v>1328.7323489932885</v>
      </c>
      <c r="C17" s="15"/>
      <c r="D17" s="15" t="s">
        <v>401</v>
      </c>
      <c r="E17" s="45">
        <v>2</v>
      </c>
      <c r="F17" s="13">
        <v>5587.5</v>
      </c>
      <c r="G17" s="13">
        <v>20023873</v>
      </c>
      <c r="H17" s="13">
        <v>7424292</v>
      </c>
      <c r="I17" s="85"/>
      <c r="J17" s="45">
        <f t="shared" si="2"/>
        <v>2</v>
      </c>
      <c r="K17" s="10">
        <f t="shared" si="3"/>
        <v>5587.5</v>
      </c>
      <c r="L17" s="10">
        <f t="shared" si="4"/>
        <v>20023873</v>
      </c>
      <c r="M17" s="10">
        <f t="shared" si="5"/>
        <v>7424292</v>
      </c>
      <c r="N17" s="74">
        <f t="shared" si="6"/>
        <v>1</v>
      </c>
      <c r="O17" s="89"/>
      <c r="P17" s="45">
        <f>COUNTIFS([1]GD.List!$N$3:$N$5000,D17,[1]GD.List!$H$3:$H$5000,$C$7,[1]GD.List!$L$3:$L$5000,"&lt;&gt;0")</f>
        <v>0</v>
      </c>
      <c r="Q17" s="10">
        <f>SUMIFS([1]GD.List!$L$3:$L$5000,[1]GD.List!$N$3:$N$5000,D17,[1]GD.List!$H$3:$H$5000,$C$7)</f>
        <v>0</v>
      </c>
      <c r="R17" s="10">
        <f t="shared" si="7"/>
        <v>0</v>
      </c>
      <c r="S17" s="10">
        <f t="shared" si="8"/>
        <v>0</v>
      </c>
      <c r="T17" s="74">
        <f t="shared" si="9"/>
        <v>0</v>
      </c>
      <c r="U17" s="107"/>
    </row>
    <row r="18" spans="1:21" s="108" customFormat="1" ht="15" x14ac:dyDescent="0.25">
      <c r="A18" s="103">
        <f t="shared" si="0"/>
        <v>2717.0108108108107</v>
      </c>
      <c r="B18" s="103">
        <f t="shared" si="1"/>
        <v>1102.8918918918919</v>
      </c>
      <c r="C18" s="15"/>
      <c r="D18" s="15" t="s">
        <v>406</v>
      </c>
      <c r="E18" s="45">
        <v>1</v>
      </c>
      <c r="F18" s="13">
        <v>185</v>
      </c>
      <c r="G18" s="13">
        <v>502647</v>
      </c>
      <c r="H18" s="13">
        <v>204035</v>
      </c>
      <c r="I18" s="85"/>
      <c r="J18" s="45">
        <f t="shared" ref="J18" si="10">E18-P18</f>
        <v>1</v>
      </c>
      <c r="K18" s="10">
        <f t="shared" ref="K18" si="11">F18-Q18</f>
        <v>185</v>
      </c>
      <c r="L18" s="10">
        <f t="shared" ref="L18" si="12">IF(K18&lt;&gt;0,ROUND(K18*A18,0),0)</f>
        <v>502647</v>
      </c>
      <c r="M18" s="10">
        <f t="shared" ref="M18" si="13">IF(K18&lt;&gt;0,ROUND(K18*B18,0),0)</f>
        <v>204035</v>
      </c>
      <c r="N18" s="74">
        <f t="shared" ref="N18" si="14">K18/F18</f>
        <v>1</v>
      </c>
      <c r="O18" s="89"/>
      <c r="P18" s="45">
        <f>COUNTIFS([1]GD.List!$N$3:$N$5000,D18,[1]GD.List!$H$3:$H$5000,$C$7,[1]GD.List!$L$3:$L$5000,"&lt;&gt;0")</f>
        <v>0</v>
      </c>
      <c r="Q18" s="10">
        <f>SUMIFS([1]GD.List!$L$3:$L$5000,[1]GD.List!$N$3:$N$5000,D18,[1]GD.List!$H$3:$H$5000,$C$7)</f>
        <v>0</v>
      </c>
      <c r="R18" s="10">
        <f t="shared" ref="R18" si="15">IF(Q18&lt;&gt;0,ROUND(Q18*A18,0),0)</f>
        <v>0</v>
      </c>
      <c r="S18" s="10">
        <f t="shared" ref="S18" si="16">IF(Q18&lt;&gt;0,ROUND(Q18*B18,0),0)</f>
        <v>0</v>
      </c>
      <c r="T18" s="74">
        <f t="shared" ref="T18" si="17">Q18/F18</f>
        <v>0</v>
      </c>
      <c r="U18" s="107"/>
    </row>
    <row r="19" spans="1:21" ht="15" x14ac:dyDescent="0.25">
      <c r="A19" s="24">
        <f t="shared" si="0"/>
        <v>429.83123076923079</v>
      </c>
      <c r="B19" s="24">
        <f t="shared" si="1"/>
        <v>133.9728076923077</v>
      </c>
      <c r="C19" s="15"/>
      <c r="D19" s="15" t="s">
        <v>407</v>
      </c>
      <c r="E19" s="45">
        <v>1</v>
      </c>
      <c r="F19" s="13">
        <v>26000</v>
      </c>
      <c r="G19" s="13">
        <v>11175612</v>
      </c>
      <c r="H19" s="13">
        <v>3483293</v>
      </c>
      <c r="I19" s="85"/>
      <c r="J19" s="137">
        <f t="shared" si="2"/>
        <v>1</v>
      </c>
      <c r="K19" s="138">
        <f t="shared" si="3"/>
        <v>26000</v>
      </c>
      <c r="L19" s="138">
        <f t="shared" si="4"/>
        <v>11175612</v>
      </c>
      <c r="M19" s="138">
        <f t="shared" si="5"/>
        <v>3483293</v>
      </c>
      <c r="N19" s="139">
        <f t="shared" si="6"/>
        <v>1</v>
      </c>
      <c r="O19" s="89"/>
      <c r="P19" s="137">
        <f>COUNTIFS([1]GD.List!$N$3:$N$5000,D19,[1]GD.List!$H$3:$H$5000,$C$19,[1]GD.List!$L$3:$L$5000,"&lt;&gt;0")</f>
        <v>0</v>
      </c>
      <c r="Q19" s="138">
        <f>SUMIFS([1]GD.List!$L$3:$L$5000,[1]GD.List!$N$3:$N$5000,D19,[1]GD.List!$H$3:$H$5000,$C$19)</f>
        <v>0</v>
      </c>
      <c r="R19" s="138">
        <f t="shared" si="7"/>
        <v>0</v>
      </c>
      <c r="S19" s="138">
        <f t="shared" si="8"/>
        <v>0</v>
      </c>
      <c r="T19" s="139">
        <f t="shared" si="9"/>
        <v>0</v>
      </c>
      <c r="U19" s="107"/>
    </row>
    <row r="20" spans="1:21" ht="15" x14ac:dyDescent="0.25">
      <c r="A20" s="24">
        <f t="shared" si="0"/>
        <v>23.933968665297741</v>
      </c>
      <c r="B20" s="24">
        <f t="shared" si="1"/>
        <v>5.4824184804928136</v>
      </c>
      <c r="C20" s="15"/>
      <c r="D20" s="15" t="s">
        <v>408</v>
      </c>
      <c r="E20" s="45">
        <v>5</v>
      </c>
      <c r="F20" s="13">
        <v>24350000</v>
      </c>
      <c r="G20" s="13">
        <v>582792137</v>
      </c>
      <c r="H20" s="13">
        <v>133496890</v>
      </c>
      <c r="I20" s="94"/>
      <c r="J20" s="45">
        <f t="shared" si="2"/>
        <v>5</v>
      </c>
      <c r="K20" s="10">
        <f t="shared" si="3"/>
        <v>24350000</v>
      </c>
      <c r="L20" s="10">
        <f t="shared" si="4"/>
        <v>582792137</v>
      </c>
      <c r="M20" s="10">
        <f t="shared" si="5"/>
        <v>133496890</v>
      </c>
      <c r="N20" s="74">
        <f t="shared" si="6"/>
        <v>1</v>
      </c>
      <c r="O20" s="89"/>
      <c r="P20" s="45">
        <f>COUNTIFS([1]GD.List!$N$3:$N$5000,D20,[1]GD.List!$H$3:$H$5000,$C$19,[1]GD.List!$L$3:$L$5000,"&lt;&gt;0")</f>
        <v>0</v>
      </c>
      <c r="Q20" s="10">
        <f>SUMIFS([1]GD.List!$L$3:$L$5000,[1]GD.List!$N$3:$N$5000,D20,[1]GD.List!$H$3:$H$5000,$C$19)</f>
        <v>0</v>
      </c>
      <c r="R20" s="10">
        <f t="shared" ref="R20:R26" si="18">IF(Q20&lt;&gt;0,ROUND(Q20*A20,0),0)</f>
        <v>0</v>
      </c>
      <c r="S20" s="10">
        <f t="shared" ref="S20:S26" si="19">IF(Q20&lt;&gt;0,ROUND(Q20*B20,0),0)</f>
        <v>0</v>
      </c>
      <c r="T20" s="74">
        <f t="shared" ref="T20:T37" si="20">Q20/F20</f>
        <v>0</v>
      </c>
      <c r="U20" s="107"/>
    </row>
    <row r="21" spans="1:21" ht="15" x14ac:dyDescent="0.25">
      <c r="A21" s="24">
        <f t="shared" si="0"/>
        <v>705.50919498344103</v>
      </c>
      <c r="B21" s="24">
        <f t="shared" si="1"/>
        <v>170.56602744405524</v>
      </c>
      <c r="C21" s="15"/>
      <c r="D21" s="15" t="s">
        <v>402</v>
      </c>
      <c r="E21" s="45">
        <v>101</v>
      </c>
      <c r="F21" s="13">
        <v>3502079.3899999992</v>
      </c>
      <c r="G21" s="13">
        <v>2470749211.2069998</v>
      </c>
      <c r="H21" s="13">
        <v>597335769.34600008</v>
      </c>
      <c r="I21" s="94"/>
      <c r="J21" s="45">
        <f t="shared" si="2"/>
        <v>101</v>
      </c>
      <c r="K21" s="10">
        <f t="shared" si="3"/>
        <v>3502079.3899999992</v>
      </c>
      <c r="L21" s="10">
        <f t="shared" si="4"/>
        <v>2470749211</v>
      </c>
      <c r="M21" s="10">
        <f t="shared" si="5"/>
        <v>597335769</v>
      </c>
      <c r="N21" s="74">
        <f t="shared" si="6"/>
        <v>1</v>
      </c>
      <c r="O21" s="89"/>
      <c r="P21" s="45">
        <f>COUNTIFS([1]GD.List!$N$3:$N$5000,D21,[1]GD.List!$H$3:$H$5000,$C$19,[1]GD.List!$L$3:$L$5000,"&lt;&gt;0")</f>
        <v>0</v>
      </c>
      <c r="Q21" s="10">
        <f>SUMIFS([1]GD.List!$L$3:$L$5000,[1]GD.List!$N$3:$N$5000,D21,[1]GD.List!$H$3:$H$5000,$C$19)</f>
        <v>0</v>
      </c>
      <c r="R21" s="10">
        <f t="shared" si="18"/>
        <v>0</v>
      </c>
      <c r="S21" s="10">
        <f t="shared" si="19"/>
        <v>0</v>
      </c>
      <c r="T21" s="74">
        <f t="shared" si="20"/>
        <v>0</v>
      </c>
      <c r="U21" s="107"/>
    </row>
    <row r="22" spans="1:21" ht="15" x14ac:dyDescent="0.25">
      <c r="A22" s="24">
        <f t="shared" si="0"/>
        <v>566.30902898172019</v>
      </c>
      <c r="B22" s="24">
        <f t="shared" si="1"/>
        <v>284.89613770074328</v>
      </c>
      <c r="C22" s="15"/>
      <c r="D22" s="15" t="s">
        <v>403</v>
      </c>
      <c r="E22" s="45">
        <v>8</v>
      </c>
      <c r="F22" s="13">
        <v>179784.36</v>
      </c>
      <c r="G22" s="13">
        <v>101813506.33770001</v>
      </c>
      <c r="H22" s="13">
        <v>51219869.783</v>
      </c>
      <c r="I22" s="94"/>
      <c r="J22" s="45">
        <f t="shared" si="2"/>
        <v>8</v>
      </c>
      <c r="K22" s="10">
        <f t="shared" si="3"/>
        <v>179784.36</v>
      </c>
      <c r="L22" s="10">
        <f t="shared" si="4"/>
        <v>101813506</v>
      </c>
      <c r="M22" s="10">
        <f t="shared" si="5"/>
        <v>51219870</v>
      </c>
      <c r="N22" s="74">
        <f t="shared" si="6"/>
        <v>1</v>
      </c>
      <c r="O22" s="89"/>
      <c r="P22" s="45">
        <f>COUNTIFS([1]GD.List!$N$3:$N$5000,D22,[1]GD.List!$H$3:$H$5000,$C$19,[1]GD.List!$L$3:$L$5000,"&lt;&gt;0")</f>
        <v>0</v>
      </c>
      <c r="Q22" s="10">
        <f>SUMIFS([1]GD.List!$L$3:$L$5000,[1]GD.List!$N$3:$N$5000,D22,[1]GD.List!$H$3:$H$5000,$C$19)</f>
        <v>0</v>
      </c>
      <c r="R22" s="10">
        <f t="shared" si="18"/>
        <v>0</v>
      </c>
      <c r="S22" s="10">
        <f t="shared" si="19"/>
        <v>0</v>
      </c>
      <c r="T22" s="74">
        <f t="shared" si="20"/>
        <v>0</v>
      </c>
      <c r="U22" s="107"/>
    </row>
    <row r="23" spans="1:21" ht="15" x14ac:dyDescent="0.25">
      <c r="A23" s="24">
        <f t="shared" si="0"/>
        <v>6276.998569444444</v>
      </c>
      <c r="B23" s="24">
        <f t="shared" si="1"/>
        <v>1956.4584027777778</v>
      </c>
      <c r="C23" s="15"/>
      <c r="D23" s="15" t="s">
        <v>409</v>
      </c>
      <c r="E23" s="45">
        <v>3</v>
      </c>
      <c r="F23" s="13">
        <v>576</v>
      </c>
      <c r="G23" s="13">
        <v>3615551.176</v>
      </c>
      <c r="H23" s="13">
        <v>1126920.04</v>
      </c>
      <c r="I23" s="94"/>
      <c r="J23" s="45">
        <f t="shared" si="2"/>
        <v>3</v>
      </c>
      <c r="K23" s="10">
        <f t="shared" si="3"/>
        <v>576</v>
      </c>
      <c r="L23" s="10">
        <f t="shared" si="4"/>
        <v>3615551</v>
      </c>
      <c r="M23" s="10">
        <f t="shared" si="5"/>
        <v>1126920</v>
      </c>
      <c r="N23" s="74">
        <f t="shared" si="6"/>
        <v>1</v>
      </c>
      <c r="O23" s="89"/>
      <c r="P23" s="45">
        <f>COUNTIFS([1]GD.List!$N$3:$N$5000,D23,[1]GD.List!$H$3:$H$5000,$C$19,[1]GD.List!$L$3:$L$5000,"&lt;&gt;0")</f>
        <v>0</v>
      </c>
      <c r="Q23" s="10">
        <f>SUMIFS([1]GD.List!$L$3:$L$5000,[1]GD.List!$N$3:$N$5000,D23,[1]GD.List!$H$3:$H$5000,$C$19)</f>
        <v>0</v>
      </c>
      <c r="R23" s="10">
        <f t="shared" si="18"/>
        <v>0</v>
      </c>
      <c r="S23" s="10">
        <f t="shared" si="19"/>
        <v>0</v>
      </c>
      <c r="T23" s="74">
        <f t="shared" si="20"/>
        <v>0</v>
      </c>
      <c r="U23" s="107"/>
    </row>
    <row r="24" spans="1:21" ht="15" x14ac:dyDescent="0.25">
      <c r="A24" s="24">
        <f t="shared" si="0"/>
        <v>1240.1620674928931</v>
      </c>
      <c r="B24" s="24">
        <f t="shared" si="1"/>
        <v>225.845332740912</v>
      </c>
      <c r="C24" s="15"/>
      <c r="D24" s="15" t="s">
        <v>404</v>
      </c>
      <c r="E24" s="45">
        <v>2</v>
      </c>
      <c r="F24" s="13">
        <v>18545.36</v>
      </c>
      <c r="G24" s="13">
        <v>22999252</v>
      </c>
      <c r="H24" s="13">
        <v>4188383</v>
      </c>
      <c r="I24" s="94"/>
      <c r="J24" s="45">
        <f t="shared" si="2"/>
        <v>2</v>
      </c>
      <c r="K24" s="10">
        <f t="shared" si="3"/>
        <v>18545.36</v>
      </c>
      <c r="L24" s="10">
        <f t="shared" si="4"/>
        <v>22999252</v>
      </c>
      <c r="M24" s="10">
        <f t="shared" si="5"/>
        <v>4188383</v>
      </c>
      <c r="N24" s="74">
        <f t="shared" si="6"/>
        <v>1</v>
      </c>
      <c r="O24" s="89"/>
      <c r="P24" s="45">
        <f>COUNTIFS([1]GD.List!$N$3:$N$5000,D24,[1]GD.List!$H$3:$H$5000,$C$19,[1]GD.List!$L$3:$L$5000,"&lt;&gt;0")</f>
        <v>0</v>
      </c>
      <c r="Q24" s="10">
        <f>SUMIFS([1]GD.List!$L$3:$L$5000,[1]GD.List!$N$3:$N$5000,D24,[1]GD.List!$H$3:$H$5000,$C$19)</f>
        <v>0</v>
      </c>
      <c r="R24" s="10">
        <f t="shared" si="18"/>
        <v>0</v>
      </c>
      <c r="S24" s="10">
        <f t="shared" si="19"/>
        <v>0</v>
      </c>
      <c r="T24" s="74">
        <f t="shared" si="20"/>
        <v>0</v>
      </c>
      <c r="U24" s="107"/>
    </row>
    <row r="25" spans="1:21" ht="15.75" thickBot="1" x14ac:dyDescent="0.3">
      <c r="A25" s="24">
        <f t="shared" si="0"/>
        <v>235.17911046205273</v>
      </c>
      <c r="B25" s="24">
        <f t="shared" si="1"/>
        <v>62.727275017287546</v>
      </c>
      <c r="C25" s="104" t="s">
        <v>505</v>
      </c>
      <c r="D25" s="104"/>
      <c r="E25" s="140">
        <v>570</v>
      </c>
      <c r="F25" s="141">
        <v>44592149.191999987</v>
      </c>
      <c r="G25" s="141">
        <v>10487141980.565701</v>
      </c>
      <c r="H25" s="141">
        <v>2797144005.9784999</v>
      </c>
      <c r="I25" s="94"/>
      <c r="J25" s="140">
        <f>SUM(J7:J24)</f>
        <v>570</v>
      </c>
      <c r="K25" s="142">
        <f>SUM(K7:K24)</f>
        <v>44592149.192000002</v>
      </c>
      <c r="L25" s="142">
        <f>SUM(L7:L24)</f>
        <v>10487141979</v>
      </c>
      <c r="M25" s="142">
        <f>SUM(M7:M24)</f>
        <v>2797144006</v>
      </c>
      <c r="N25" s="143">
        <f t="shared" ref="N25" si="21">K25/F25</f>
        <v>1.0000000000000004</v>
      </c>
      <c r="O25" s="89"/>
      <c r="P25" s="140">
        <f>SUM(P7:P24)</f>
        <v>0</v>
      </c>
      <c r="Q25" s="142">
        <f>SUM(Q7:Q24)</f>
        <v>0</v>
      </c>
      <c r="R25" s="142">
        <f>SUM(R7:R24)</f>
        <v>0</v>
      </c>
      <c r="S25" s="142">
        <f>SUM(S7:S24)</f>
        <v>0</v>
      </c>
      <c r="T25" s="143">
        <f t="shared" si="20"/>
        <v>0</v>
      </c>
      <c r="U25" s="107"/>
    </row>
    <row r="26" spans="1:21" ht="15.75" thickTop="1" x14ac:dyDescent="0.25">
      <c r="A26" s="24">
        <f t="shared" si="0"/>
        <v>3894.6629556271055</v>
      </c>
      <c r="B26" s="24">
        <f t="shared" si="1"/>
        <v>1669.4310758283946</v>
      </c>
      <c r="C26" s="15" t="s">
        <v>380</v>
      </c>
      <c r="D26" s="15" t="s">
        <v>395</v>
      </c>
      <c r="E26" s="45">
        <v>19</v>
      </c>
      <c r="F26" s="13">
        <v>27697.540000000005</v>
      </c>
      <c r="G26" s="13">
        <v>107872583</v>
      </c>
      <c r="H26" s="13">
        <v>46239134</v>
      </c>
      <c r="I26" s="94"/>
      <c r="J26" s="45">
        <f t="shared" si="2"/>
        <v>4</v>
      </c>
      <c r="K26" s="10">
        <f t="shared" si="3"/>
        <v>5394.4100000000071</v>
      </c>
      <c r="L26" s="10">
        <f t="shared" si="4"/>
        <v>21009409</v>
      </c>
      <c r="M26" s="10">
        <f t="shared" si="5"/>
        <v>9005596</v>
      </c>
      <c r="N26" s="74">
        <f t="shared" si="6"/>
        <v>0.19476133981573837</v>
      </c>
      <c r="O26" s="89"/>
      <c r="P26" s="45">
        <f>COUNTIFS([1]GD.List!$N$3:$N$5000,D26,[1]GD.List!$H$3:$H$5000,$C$26,[1]GD.List!$L$3:$L$5000,"&lt;&gt;0")</f>
        <v>15</v>
      </c>
      <c r="Q26" s="10">
        <f>SUMIFS([1]GD.List!$L$3:$L$5000,[1]GD.List!$N$3:$N$5000,D26,[1]GD.List!$H$3:$H$5000,$C$26)</f>
        <v>22303.129999999997</v>
      </c>
      <c r="R26" s="10">
        <f t="shared" si="18"/>
        <v>86863174</v>
      </c>
      <c r="S26" s="10">
        <f t="shared" si="19"/>
        <v>37233538</v>
      </c>
      <c r="T26" s="74">
        <f t="shared" si="20"/>
        <v>0.8052386601842616</v>
      </c>
      <c r="U26" s="107"/>
    </row>
    <row r="27" spans="1:21" ht="15" x14ac:dyDescent="0.25">
      <c r="A27" s="24">
        <f t="shared" si="0"/>
        <v>698.42441947221175</v>
      </c>
      <c r="B27" s="24">
        <f t="shared" si="1"/>
        <v>286.35400769790311</v>
      </c>
      <c r="C27" s="15"/>
      <c r="D27" s="15" t="s">
        <v>396</v>
      </c>
      <c r="E27" s="45">
        <v>4</v>
      </c>
      <c r="F27" s="13">
        <v>51333.46</v>
      </c>
      <c r="G27" s="13">
        <v>35852542</v>
      </c>
      <c r="H27" s="13">
        <v>14699542</v>
      </c>
      <c r="I27" s="94"/>
      <c r="J27" s="45">
        <f t="shared" ref="J27:J59" si="22">E27-P27</f>
        <v>1</v>
      </c>
      <c r="K27" s="10">
        <f t="shared" ref="K27:K58" si="23">F27-Q27</f>
        <v>12729.93</v>
      </c>
      <c r="L27" s="10">
        <f t="shared" ref="L27:L58" si="24">IF(K27&lt;&gt;0,ROUND(K27*A27,0),0)</f>
        <v>8890894</v>
      </c>
      <c r="M27" s="10">
        <f t="shared" ref="M27:M58" si="25">IF(K27&lt;&gt;0,ROUND(K27*B27,0),0)</f>
        <v>3645266</v>
      </c>
      <c r="N27" s="74">
        <f t="shared" ref="N27:N60" si="26">K27/F27</f>
        <v>0.24798503743951802</v>
      </c>
      <c r="O27" s="89"/>
      <c r="P27" s="45">
        <f>COUNTIFS([1]GD.List!$N$3:$N$5000,D27,[1]GD.List!$H$3:$H$5000,$C$26,[1]GD.List!$L$3:$L$5000,"&lt;&gt;0")</f>
        <v>3</v>
      </c>
      <c r="Q27" s="10">
        <f>SUMIFS([1]GD.List!$L$3:$L$5000,[1]GD.List!$N$3:$N$5000,D27,[1]GD.List!$H$3:$H$5000,$C$26)</f>
        <v>38603.53</v>
      </c>
      <c r="R27" s="10">
        <f t="shared" ref="R27:R36" si="27">IF(Q27&lt;&gt;0,ROUND(Q27*A27,0),0)</f>
        <v>26961648</v>
      </c>
      <c r="S27" s="10">
        <f t="shared" ref="S27:S36" si="28">IF(Q27&lt;&gt;0,ROUND(Q27*B27,0),0)</f>
        <v>11054276</v>
      </c>
      <c r="T27" s="74">
        <f t="shared" ref="T27:T36" si="29">Q27/F27</f>
        <v>0.75201496256048195</v>
      </c>
      <c r="U27" s="107"/>
    </row>
    <row r="28" spans="1:21" ht="15" x14ac:dyDescent="0.25">
      <c r="A28" s="24">
        <f t="shared" si="0"/>
        <v>384.31366195314695</v>
      </c>
      <c r="B28" s="24">
        <f t="shared" si="1"/>
        <v>180.77872005163235</v>
      </c>
      <c r="C28" s="15"/>
      <c r="D28" s="15" t="s">
        <v>397</v>
      </c>
      <c r="E28" s="45">
        <v>85</v>
      </c>
      <c r="F28" s="13">
        <v>685349.7080000001</v>
      </c>
      <c r="G28" s="13">
        <v>263389256</v>
      </c>
      <c r="H28" s="13">
        <v>123896643</v>
      </c>
      <c r="I28" s="94"/>
      <c r="J28" s="45">
        <f t="shared" si="22"/>
        <v>20</v>
      </c>
      <c r="K28" s="10">
        <f t="shared" si="23"/>
        <v>325071.48800000007</v>
      </c>
      <c r="L28" s="10">
        <f t="shared" si="24"/>
        <v>124929414</v>
      </c>
      <c r="M28" s="10">
        <f t="shared" si="25"/>
        <v>58766008</v>
      </c>
      <c r="N28" s="74">
        <f t="shared" si="26"/>
        <v>0.47431476836640019</v>
      </c>
      <c r="O28" s="89"/>
      <c r="P28" s="45">
        <f>COUNTIFS([1]GD.List!$N$3:$N$5000,D28,[1]GD.List!$H$3:$H$5000,$C$26,[1]GD.List!$L$3:$L$5000,"&lt;&gt;0")</f>
        <v>65</v>
      </c>
      <c r="Q28" s="10">
        <f>SUMIFS([1]GD.List!$L$3:$L$5000,[1]GD.List!$N$3:$N$5000,D28,[1]GD.List!$H$3:$H$5000,$C$26)</f>
        <v>360278.22000000003</v>
      </c>
      <c r="R28" s="10">
        <f t="shared" si="27"/>
        <v>138459842</v>
      </c>
      <c r="S28" s="10">
        <f t="shared" si="28"/>
        <v>65130635</v>
      </c>
      <c r="T28" s="74">
        <f t="shared" si="29"/>
        <v>0.52568523163359981</v>
      </c>
      <c r="U28" s="107"/>
    </row>
    <row r="29" spans="1:21" ht="15" x14ac:dyDescent="0.25">
      <c r="A29" s="24">
        <f t="shared" si="0"/>
        <v>2317.0555078207594</v>
      </c>
      <c r="B29" s="24">
        <f t="shared" si="1"/>
        <v>1058.4974485626328</v>
      </c>
      <c r="C29" s="15"/>
      <c r="D29" s="15" t="s">
        <v>398</v>
      </c>
      <c r="E29" s="45">
        <v>16</v>
      </c>
      <c r="F29" s="13">
        <v>66687.899999999994</v>
      </c>
      <c r="G29" s="13">
        <v>154519566</v>
      </c>
      <c r="H29" s="13">
        <v>70588972</v>
      </c>
      <c r="I29" s="94"/>
      <c r="J29" s="45">
        <f t="shared" si="22"/>
        <v>6</v>
      </c>
      <c r="K29" s="10">
        <f t="shared" si="23"/>
        <v>19523.400000000001</v>
      </c>
      <c r="L29" s="10">
        <f t="shared" si="24"/>
        <v>45236802</v>
      </c>
      <c r="M29" s="10">
        <f t="shared" si="25"/>
        <v>20665469</v>
      </c>
      <c r="N29" s="74">
        <f t="shared" si="26"/>
        <v>0.2927577566545056</v>
      </c>
      <c r="O29" s="89"/>
      <c r="P29" s="45">
        <f>COUNTIFS([1]GD.List!$N$3:$N$5000,D29,[1]GD.List!$H$3:$H$5000,$C$26,[1]GD.List!$L$3:$L$5000,"&lt;&gt;0")</f>
        <v>10</v>
      </c>
      <c r="Q29" s="10">
        <f>SUMIFS([1]GD.List!$L$3:$L$5000,[1]GD.List!$N$3:$N$5000,D29,[1]GD.List!$H$3:$H$5000,$C$26)</f>
        <v>47164.499999999993</v>
      </c>
      <c r="R29" s="10">
        <f t="shared" si="27"/>
        <v>109282764</v>
      </c>
      <c r="S29" s="10">
        <f t="shared" si="28"/>
        <v>49923503</v>
      </c>
      <c r="T29" s="74">
        <f t="shared" si="29"/>
        <v>0.70724224334549446</v>
      </c>
      <c r="U29" s="107"/>
    </row>
    <row r="30" spans="1:21" ht="15" x14ac:dyDescent="0.25">
      <c r="A30" s="24">
        <f t="shared" si="0"/>
        <v>1376.28818227341</v>
      </c>
      <c r="B30" s="24">
        <f t="shared" si="1"/>
        <v>564.27829243865801</v>
      </c>
      <c r="C30" s="15"/>
      <c r="D30" s="15" t="s">
        <v>399</v>
      </c>
      <c r="E30" s="45">
        <v>3</v>
      </c>
      <c r="F30" s="13">
        <v>7988</v>
      </c>
      <c r="G30" s="13">
        <v>10993790</v>
      </c>
      <c r="H30" s="13">
        <v>4507455</v>
      </c>
      <c r="I30" s="94"/>
      <c r="J30" s="45">
        <f t="shared" si="22"/>
        <v>1</v>
      </c>
      <c r="K30" s="10">
        <f t="shared" si="23"/>
        <v>164</v>
      </c>
      <c r="L30" s="10">
        <f t="shared" si="24"/>
        <v>225711</v>
      </c>
      <c r="M30" s="10">
        <f t="shared" si="25"/>
        <v>92542</v>
      </c>
      <c r="N30" s="74">
        <f t="shared" si="26"/>
        <v>2.0530796194291438E-2</v>
      </c>
      <c r="O30" s="89"/>
      <c r="P30" s="45">
        <f>COUNTIFS([1]GD.List!$N$3:$N$5000,D30,[1]GD.List!$H$3:$H$5000,$C$26,[1]GD.List!$L$3:$L$5000,"&lt;&gt;0")</f>
        <v>2</v>
      </c>
      <c r="Q30" s="10">
        <f>SUMIFS([1]GD.List!$L$3:$L$5000,[1]GD.List!$N$3:$N$5000,D30,[1]GD.List!$H$3:$H$5000,$C$26)</f>
        <v>7824</v>
      </c>
      <c r="R30" s="10">
        <f t="shared" si="27"/>
        <v>10768079</v>
      </c>
      <c r="S30" s="10">
        <f t="shared" si="28"/>
        <v>4414913</v>
      </c>
      <c r="T30" s="74">
        <f t="shared" si="29"/>
        <v>0.97946920380570857</v>
      </c>
      <c r="U30" s="107"/>
    </row>
    <row r="31" spans="1:21" ht="15" x14ac:dyDescent="0.25">
      <c r="A31" s="24">
        <f t="shared" si="0"/>
        <v>283.4931065430489</v>
      </c>
      <c r="B31" s="24">
        <f t="shared" si="1"/>
        <v>116.23217417002942</v>
      </c>
      <c r="C31" s="15"/>
      <c r="D31" s="15" t="s">
        <v>134</v>
      </c>
      <c r="E31" s="45">
        <v>19</v>
      </c>
      <c r="F31" s="13">
        <v>4616526.9800000004</v>
      </c>
      <c r="G31" s="13">
        <v>1308753575</v>
      </c>
      <c r="H31" s="13">
        <v>536588968</v>
      </c>
      <c r="I31" s="94"/>
      <c r="J31" s="45">
        <f t="shared" si="22"/>
        <v>11</v>
      </c>
      <c r="K31" s="10">
        <f t="shared" si="23"/>
        <v>3012593.8300000005</v>
      </c>
      <c r="L31" s="10">
        <f t="shared" si="24"/>
        <v>854049584</v>
      </c>
      <c r="M31" s="10">
        <f t="shared" si="25"/>
        <v>350160331</v>
      </c>
      <c r="N31" s="74">
        <f t="shared" si="26"/>
        <v>0.65256714475001298</v>
      </c>
      <c r="O31" s="89"/>
      <c r="P31" s="45">
        <f>COUNTIFS([1]GD.List!$N$3:$N$5000,D31,[1]GD.List!$H$3:$H$5000,$C$26,[1]GD.List!$L$3:$L$5000,"&lt;&gt;0")</f>
        <v>8</v>
      </c>
      <c r="Q31" s="10">
        <f>SUMIFS([1]GD.List!$L$3:$L$5000,[1]GD.List!$N$3:$N$5000,D31,[1]GD.List!$H$3:$H$5000,$C$26)</f>
        <v>1603933.15</v>
      </c>
      <c r="R31" s="10">
        <f t="shared" si="27"/>
        <v>454703991</v>
      </c>
      <c r="S31" s="10">
        <f t="shared" si="28"/>
        <v>186428637</v>
      </c>
      <c r="T31" s="74">
        <f t="shared" si="29"/>
        <v>0.34743285524998702</v>
      </c>
      <c r="U31" s="107"/>
    </row>
    <row r="32" spans="1:21" ht="15" x14ac:dyDescent="0.25">
      <c r="A32" s="24">
        <f t="shared" si="0"/>
        <v>410.55901469057045</v>
      </c>
      <c r="B32" s="24">
        <f t="shared" si="1"/>
        <v>168.32919744150465</v>
      </c>
      <c r="C32" s="15"/>
      <c r="D32" s="15" t="s">
        <v>400</v>
      </c>
      <c r="E32" s="45">
        <v>60</v>
      </c>
      <c r="F32" s="13">
        <v>1466471.3</v>
      </c>
      <c r="G32" s="13">
        <v>602073012</v>
      </c>
      <c r="H32" s="13">
        <v>246849937</v>
      </c>
      <c r="I32" s="94"/>
      <c r="J32" s="45">
        <f t="shared" si="22"/>
        <v>18</v>
      </c>
      <c r="K32" s="10">
        <f t="shared" si="23"/>
        <v>487783.51</v>
      </c>
      <c r="L32" s="10">
        <f t="shared" si="24"/>
        <v>200263917</v>
      </c>
      <c r="M32" s="10">
        <f t="shared" si="25"/>
        <v>82108207</v>
      </c>
      <c r="N32" s="74">
        <f t="shared" si="26"/>
        <v>0.33262397293421292</v>
      </c>
      <c r="O32" s="89"/>
      <c r="P32" s="45">
        <f>COUNTIFS([1]GD.List!$N$3:$N$5000,D32,[1]GD.List!$H$3:$H$5000,$C$26,[1]GD.List!$L$3:$L$5000,"&lt;&gt;0")</f>
        <v>42</v>
      </c>
      <c r="Q32" s="10">
        <f>SUMIFS([1]GD.List!$L$3:$L$5000,[1]GD.List!$N$3:$N$5000,D32,[1]GD.List!$H$3:$H$5000,$C$26)</f>
        <v>978687.79</v>
      </c>
      <c r="R32" s="10">
        <f t="shared" si="27"/>
        <v>401809095</v>
      </c>
      <c r="S32" s="10">
        <f t="shared" si="28"/>
        <v>164741730</v>
      </c>
      <c r="T32" s="74">
        <f t="shared" si="29"/>
        <v>0.66737602706578714</v>
      </c>
      <c r="U32" s="107"/>
    </row>
    <row r="33" spans="1:21" ht="15" x14ac:dyDescent="0.25">
      <c r="A33" s="24">
        <f t="shared" si="0"/>
        <v>577.66042846360165</v>
      </c>
      <c r="B33" s="24">
        <f t="shared" si="1"/>
        <v>173.29812875146325</v>
      </c>
      <c r="C33" s="15"/>
      <c r="D33" s="15" t="s">
        <v>131</v>
      </c>
      <c r="E33" s="45">
        <v>39</v>
      </c>
      <c r="F33" s="13">
        <v>7062720.8199999994</v>
      </c>
      <c r="G33" s="13">
        <v>4079854335</v>
      </c>
      <c r="H33" s="13">
        <v>1223956302</v>
      </c>
      <c r="I33" s="94"/>
      <c r="J33" s="45">
        <f t="shared" si="22"/>
        <v>33</v>
      </c>
      <c r="K33" s="10">
        <f t="shared" si="23"/>
        <v>5861135.959999999</v>
      </c>
      <c r="L33" s="10">
        <f t="shared" si="24"/>
        <v>3385746310</v>
      </c>
      <c r="M33" s="10">
        <f t="shared" si="25"/>
        <v>1015723894</v>
      </c>
      <c r="N33" s="74">
        <f t="shared" si="26"/>
        <v>0.82986941001584136</v>
      </c>
      <c r="O33" s="89"/>
      <c r="P33" s="45">
        <f>COUNTIFS([1]GD.List!$N$3:$N$5000,D33,[1]GD.List!$H$3:$H$5000,$C$26,[1]GD.List!$L$3:$L$5000,"&lt;&gt;0")</f>
        <v>6</v>
      </c>
      <c r="Q33" s="10">
        <f>SUMIFS([1]GD.List!$L$3:$L$5000,[1]GD.List!$N$3:$N$5000,D33,[1]GD.List!$H$3:$H$5000,$C$26)</f>
        <v>1201584.8599999999</v>
      </c>
      <c r="R33" s="10">
        <f t="shared" si="27"/>
        <v>694108025</v>
      </c>
      <c r="S33" s="10">
        <f t="shared" si="28"/>
        <v>208232408</v>
      </c>
      <c r="T33" s="74">
        <f t="shared" si="29"/>
        <v>0.17013058998415853</v>
      </c>
      <c r="U33" s="107"/>
    </row>
    <row r="34" spans="1:21" ht="15" x14ac:dyDescent="0.25">
      <c r="A34" s="24">
        <f t="shared" si="0"/>
        <v>375.37397919770456</v>
      </c>
      <c r="B34" s="24">
        <f t="shared" si="1"/>
        <v>146.63161255232103</v>
      </c>
      <c r="C34" s="15"/>
      <c r="D34" s="15" t="s">
        <v>132</v>
      </c>
      <c r="E34" s="45">
        <v>73</v>
      </c>
      <c r="F34" s="13">
        <v>2029776</v>
      </c>
      <c r="G34" s="13">
        <v>761925094</v>
      </c>
      <c r="H34" s="13">
        <v>297629328</v>
      </c>
      <c r="I34" s="94"/>
      <c r="J34" s="45">
        <f t="shared" si="22"/>
        <v>48</v>
      </c>
      <c r="K34" s="10">
        <f t="shared" si="23"/>
        <v>1406850.88</v>
      </c>
      <c r="L34" s="10">
        <f t="shared" si="24"/>
        <v>528095213</v>
      </c>
      <c r="M34" s="10">
        <f t="shared" si="25"/>
        <v>206288813</v>
      </c>
      <c r="N34" s="74">
        <f t="shared" si="26"/>
        <v>0.69310647086180932</v>
      </c>
      <c r="O34" s="89"/>
      <c r="P34" s="45">
        <f>COUNTIFS([1]GD.List!$N$3:$N$5000,D34,[1]GD.List!$H$3:$H$5000,$C$26,[1]GD.List!$L$3:$L$5000,"&lt;&gt;0")</f>
        <v>25</v>
      </c>
      <c r="Q34" s="10">
        <f>SUMIFS([1]GD.List!$L$3:$L$5000,[1]GD.List!$N$3:$N$5000,D34,[1]GD.List!$H$3:$H$5000,$C$26)</f>
        <v>622925.12</v>
      </c>
      <c r="R34" s="10">
        <f t="shared" si="27"/>
        <v>233829881</v>
      </c>
      <c r="S34" s="10">
        <f t="shared" si="28"/>
        <v>91340515</v>
      </c>
      <c r="T34" s="74">
        <f t="shared" si="29"/>
        <v>0.30689352913819062</v>
      </c>
      <c r="U34" s="107"/>
    </row>
    <row r="35" spans="1:21" ht="15" x14ac:dyDescent="0.25">
      <c r="A35" s="24">
        <f t="shared" si="0"/>
        <v>6181.9858491936657</v>
      </c>
      <c r="B35" s="24">
        <f t="shared" si="1"/>
        <v>2818.5679137004213</v>
      </c>
      <c r="C35" s="15"/>
      <c r="D35" s="15" t="s">
        <v>133</v>
      </c>
      <c r="E35" s="45">
        <v>43</v>
      </c>
      <c r="F35" s="13">
        <v>137660</v>
      </c>
      <c r="G35" s="13">
        <v>851012172</v>
      </c>
      <c r="H35" s="13">
        <v>388004059</v>
      </c>
      <c r="I35" s="94"/>
      <c r="J35" s="45">
        <f t="shared" si="22"/>
        <v>39</v>
      </c>
      <c r="K35" s="10">
        <f t="shared" si="23"/>
        <v>126204.62</v>
      </c>
      <c r="L35" s="10">
        <f t="shared" si="24"/>
        <v>780195175</v>
      </c>
      <c r="M35" s="10">
        <f t="shared" si="25"/>
        <v>355716292</v>
      </c>
      <c r="N35" s="74">
        <f t="shared" si="26"/>
        <v>0.91678497748074961</v>
      </c>
      <c r="O35" s="89"/>
      <c r="P35" s="45">
        <f>COUNTIFS([1]GD.List!$N$3:$N$5000,D35,[1]GD.List!$H$3:$H$5000,$C$26,[1]GD.List!$L$3:$L$5000,"&lt;&gt;0")</f>
        <v>4</v>
      </c>
      <c r="Q35" s="10">
        <f>SUMIFS([1]GD.List!$L$3:$L$5000,[1]GD.List!$N$3:$N$5000,D35,[1]GD.List!$H$3:$H$5000,$C$26)</f>
        <v>11455.380000000001</v>
      </c>
      <c r="R35" s="10">
        <f t="shared" si="27"/>
        <v>70816997</v>
      </c>
      <c r="S35" s="10">
        <f t="shared" si="28"/>
        <v>32287767</v>
      </c>
      <c r="T35" s="74">
        <f t="shared" si="29"/>
        <v>8.3215022519250337E-2</v>
      </c>
      <c r="U35" s="107"/>
    </row>
    <row r="36" spans="1:21" ht="15" x14ac:dyDescent="0.25">
      <c r="A36" s="24">
        <f t="shared" si="0"/>
        <v>5619.05</v>
      </c>
      <c r="B36" s="24">
        <f t="shared" si="1"/>
        <v>2584.7633333333333</v>
      </c>
      <c r="C36" s="15"/>
      <c r="D36" s="15" t="s">
        <v>401</v>
      </c>
      <c r="E36" s="45">
        <v>1</v>
      </c>
      <c r="F36" s="13">
        <v>300</v>
      </c>
      <c r="G36" s="13">
        <v>1685715</v>
      </c>
      <c r="H36" s="13">
        <v>775429</v>
      </c>
      <c r="I36" s="94"/>
      <c r="J36" s="45">
        <f t="shared" si="22"/>
        <v>0</v>
      </c>
      <c r="K36" s="10">
        <f t="shared" si="23"/>
        <v>0</v>
      </c>
      <c r="L36" s="10">
        <f t="shared" si="24"/>
        <v>0</v>
      </c>
      <c r="M36" s="10">
        <f t="shared" si="25"/>
        <v>0</v>
      </c>
      <c r="N36" s="74">
        <f t="shared" si="26"/>
        <v>0</v>
      </c>
      <c r="O36" s="89"/>
      <c r="P36" s="45">
        <f>COUNTIFS([1]GD.List!$N$3:$N$5000,D36,[1]GD.List!$H$3:$H$5000,$C$26,[1]GD.List!$L$3:$L$5000,"&lt;&gt;0")</f>
        <v>1</v>
      </c>
      <c r="Q36" s="10">
        <f>SUMIFS([1]GD.List!$L$3:$L$5000,[1]GD.List!$N$3:$N$5000,D36,[1]GD.List!$H$3:$H$5000,$C$26)</f>
        <v>300</v>
      </c>
      <c r="R36" s="10">
        <f t="shared" si="27"/>
        <v>1685715</v>
      </c>
      <c r="S36" s="10">
        <f t="shared" si="28"/>
        <v>775429</v>
      </c>
      <c r="T36" s="74">
        <f t="shared" si="29"/>
        <v>1</v>
      </c>
      <c r="U36" s="107"/>
    </row>
    <row r="37" spans="1:21" s="108" customFormat="1" ht="15.75" thickBot="1" x14ac:dyDescent="0.3">
      <c r="A37" s="103">
        <f t="shared" si="0"/>
        <v>506.29473532278212</v>
      </c>
      <c r="B37" s="103">
        <f t="shared" si="1"/>
        <v>182.86541575680002</v>
      </c>
      <c r="C37" s="104" t="s">
        <v>504</v>
      </c>
      <c r="D37" s="104"/>
      <c r="E37" s="140">
        <v>362</v>
      </c>
      <c r="F37" s="141">
        <v>16152511.708000001</v>
      </c>
      <c r="G37" s="141">
        <v>8177931640</v>
      </c>
      <c r="H37" s="141">
        <v>2953735769</v>
      </c>
      <c r="I37" s="94"/>
      <c r="J37" s="140">
        <f>SUM(J26:J36)</f>
        <v>181</v>
      </c>
      <c r="K37" s="142">
        <f>SUM(K26:K36)</f>
        <v>11257452.027999999</v>
      </c>
      <c r="L37" s="142">
        <f>SUM(L26:L36)</f>
        <v>5948642429</v>
      </c>
      <c r="M37" s="142">
        <f>SUM(M26:M36)</f>
        <v>2102172418</v>
      </c>
      <c r="N37" s="143">
        <f t="shared" si="26"/>
        <v>0.69694746126847995</v>
      </c>
      <c r="O37" s="89"/>
      <c r="P37" s="140">
        <f>SUM(P26:P36)</f>
        <v>181</v>
      </c>
      <c r="Q37" s="142">
        <f>SUM(Q26:Q36)</f>
        <v>4895059.68</v>
      </c>
      <c r="R37" s="142">
        <f>SUM(R26:R36)</f>
        <v>2229289211</v>
      </c>
      <c r="S37" s="142">
        <f>SUM(S26:S36)</f>
        <v>851563351</v>
      </c>
      <c r="T37" s="143">
        <f t="shared" si="20"/>
        <v>0.30305253873151994</v>
      </c>
      <c r="U37" s="107"/>
    </row>
    <row r="38" spans="1:21" ht="15.75" thickTop="1" x14ac:dyDescent="0.25">
      <c r="A38" s="24">
        <f t="shared" si="0"/>
        <v>983.34466750824618</v>
      </c>
      <c r="B38" s="24">
        <f t="shared" si="1"/>
        <v>177.00204015148429</v>
      </c>
      <c r="C38" s="15" t="s">
        <v>466</v>
      </c>
      <c r="D38" s="15" t="s">
        <v>395</v>
      </c>
      <c r="E38" s="45">
        <v>3</v>
      </c>
      <c r="F38" s="13">
        <v>49114</v>
      </c>
      <c r="G38" s="13">
        <v>48295990</v>
      </c>
      <c r="H38" s="13">
        <v>8693278.1999999993</v>
      </c>
      <c r="I38" s="94"/>
      <c r="J38" s="137">
        <f t="shared" si="22"/>
        <v>2</v>
      </c>
      <c r="K38" s="138">
        <f t="shared" si="23"/>
        <v>48697.919999999998</v>
      </c>
      <c r="L38" s="138">
        <f t="shared" si="24"/>
        <v>47886840</v>
      </c>
      <c r="M38" s="138">
        <f t="shared" si="25"/>
        <v>8619631</v>
      </c>
      <c r="N38" s="139">
        <f t="shared" si="26"/>
        <v>0.99152828114183322</v>
      </c>
      <c r="O38" s="89"/>
      <c r="P38" s="137">
        <f>COUNTIFS([1]GD.List!$N$3:$N$5000,D38,[1]GD.List!$H$3:$H$5000,$C$38,[1]GD.List!$L$3:$L$5000,"&lt;&gt;0")</f>
        <v>1</v>
      </c>
      <c r="Q38" s="138">
        <f>SUMIFS([1]GD.List!$L$3:$L$5000,[1]GD.List!$N$3:$N$5000,D38,[1]GD.List!$H$3:$H$5000,$C$38)</f>
        <v>416.07999999999993</v>
      </c>
      <c r="R38" s="138">
        <f t="shared" si="7"/>
        <v>409150</v>
      </c>
      <c r="S38" s="138">
        <f t="shared" si="8"/>
        <v>73647</v>
      </c>
      <c r="T38" s="139">
        <f t="shared" si="9"/>
        <v>8.4717188581667126E-3</v>
      </c>
      <c r="U38" s="107"/>
    </row>
    <row r="39" spans="1:21" ht="15" x14ac:dyDescent="0.25">
      <c r="A39" s="24">
        <f t="shared" si="0"/>
        <v>823.92980929029773</v>
      </c>
      <c r="B39" s="24">
        <f t="shared" si="1"/>
        <v>148.30736567225355</v>
      </c>
      <c r="C39" s="15"/>
      <c r="D39" s="15" t="s">
        <v>396</v>
      </c>
      <c r="E39" s="45">
        <v>68</v>
      </c>
      <c r="F39" s="13">
        <v>1157174.0290999995</v>
      </c>
      <c r="G39" s="13">
        <v>953430177.11204803</v>
      </c>
      <c r="H39" s="13">
        <v>171617431.88016859</v>
      </c>
      <c r="I39" s="94"/>
      <c r="J39" s="45">
        <f t="shared" si="22"/>
        <v>41</v>
      </c>
      <c r="K39" s="10">
        <f t="shared" si="23"/>
        <v>748204.42589999945</v>
      </c>
      <c r="L39" s="10">
        <f t="shared" si="24"/>
        <v>616467930</v>
      </c>
      <c r="M39" s="10">
        <f t="shared" si="25"/>
        <v>110964227</v>
      </c>
      <c r="N39" s="74">
        <f t="shared" si="26"/>
        <v>0.6465789994283927</v>
      </c>
      <c r="O39" s="89"/>
      <c r="P39" s="45">
        <f>COUNTIFS([1]GD.List!$N$3:$N$5000,D39,[1]GD.List!$H$3:$H$5000,$C$38,[1]GD.List!$L$3:$L$5000,"&lt;&gt;0")</f>
        <v>27</v>
      </c>
      <c r="Q39" s="10">
        <f>SUMIFS([1]GD.List!$L$3:$L$5000,[1]GD.List!$N$3:$N$5000,D39,[1]GD.List!$H$3:$H$5000,$C$38)</f>
        <v>408969.60320000001</v>
      </c>
      <c r="R39" s="10">
        <f t="shared" ref="R39:R47" si="30">IF(Q39&lt;&gt;0,ROUND(Q39*A39,0),0)</f>
        <v>336962247</v>
      </c>
      <c r="S39" s="10">
        <f t="shared" ref="S39:S47" si="31">IF(Q39&lt;&gt;0,ROUND(Q39*B39,0),0)</f>
        <v>60653204</v>
      </c>
      <c r="T39" s="74">
        <f t="shared" ref="T39:T48" si="32">Q39/F39</f>
        <v>0.3534210005716073</v>
      </c>
      <c r="U39" s="107"/>
    </row>
    <row r="40" spans="1:21" ht="15" x14ac:dyDescent="0.25">
      <c r="A40" s="24">
        <f t="shared" si="0"/>
        <v>342.2863360437388</v>
      </c>
      <c r="B40" s="24">
        <f t="shared" si="1"/>
        <v>61.611540487872993</v>
      </c>
      <c r="C40" s="15"/>
      <c r="D40" s="15" t="s">
        <v>397</v>
      </c>
      <c r="E40" s="45">
        <v>20</v>
      </c>
      <c r="F40" s="13">
        <v>94524.60000000002</v>
      </c>
      <c r="G40" s="13">
        <v>32354479</v>
      </c>
      <c r="H40" s="13">
        <v>5823806.2200000007</v>
      </c>
      <c r="I40" s="94"/>
      <c r="J40" s="45">
        <f t="shared" si="22"/>
        <v>17</v>
      </c>
      <c r="K40" s="10">
        <f t="shared" si="23"/>
        <v>82948.280000000028</v>
      </c>
      <c r="L40" s="10">
        <f t="shared" si="24"/>
        <v>28392063</v>
      </c>
      <c r="M40" s="10">
        <f t="shared" si="25"/>
        <v>5110571</v>
      </c>
      <c r="N40" s="74">
        <f t="shared" si="26"/>
        <v>0.87753114004185162</v>
      </c>
      <c r="O40" s="89"/>
      <c r="P40" s="45">
        <f>COUNTIFS([1]GD.List!$N$3:$N$5000,D40,[1]GD.List!$H$3:$H$5000,$C$38,[1]GD.List!$L$3:$L$5000,"&lt;&gt;0")</f>
        <v>3</v>
      </c>
      <c r="Q40" s="10">
        <f>SUMIFS([1]GD.List!$L$3:$L$5000,[1]GD.List!$N$3:$N$5000,D40,[1]GD.List!$H$3:$H$5000,$C$38)</f>
        <v>11576.32</v>
      </c>
      <c r="R40" s="10">
        <f t="shared" si="30"/>
        <v>3962416</v>
      </c>
      <c r="S40" s="10">
        <f t="shared" si="31"/>
        <v>713235</v>
      </c>
      <c r="T40" s="74">
        <f t="shared" si="32"/>
        <v>0.12246885995814843</v>
      </c>
      <c r="U40" s="107"/>
    </row>
    <row r="41" spans="1:21" ht="15" x14ac:dyDescent="0.25">
      <c r="A41" s="24">
        <f t="shared" si="0"/>
        <v>559.67342163596288</v>
      </c>
      <c r="B41" s="24">
        <f t="shared" si="1"/>
        <v>100.74121589447331</v>
      </c>
      <c r="C41" s="15"/>
      <c r="D41" s="15" t="s">
        <v>400</v>
      </c>
      <c r="E41" s="45">
        <v>21</v>
      </c>
      <c r="F41" s="13">
        <v>443314.14430000004</v>
      </c>
      <c r="G41" s="13">
        <v>248111144</v>
      </c>
      <c r="H41" s="13">
        <v>44660005.920000002</v>
      </c>
      <c r="I41" s="94"/>
      <c r="J41" s="45">
        <f t="shared" si="22"/>
        <v>10</v>
      </c>
      <c r="K41" s="10">
        <f t="shared" si="23"/>
        <v>232878.24000000002</v>
      </c>
      <c r="L41" s="10">
        <f t="shared" si="24"/>
        <v>130335761</v>
      </c>
      <c r="M41" s="10">
        <f t="shared" si="25"/>
        <v>23460437</v>
      </c>
      <c r="N41" s="74">
        <f t="shared" si="26"/>
        <v>0.52531200051764282</v>
      </c>
      <c r="O41" s="89"/>
      <c r="P41" s="45">
        <f>COUNTIFS([1]GD.List!$N$3:$N$5000,D41,[1]GD.List!$H$3:$H$5000,$C$38,[1]GD.List!$L$3:$L$5000,"&lt;&gt;0")</f>
        <v>11</v>
      </c>
      <c r="Q41" s="10">
        <f>SUMIFS([1]GD.List!$L$3:$L$5000,[1]GD.List!$N$3:$N$5000,D41,[1]GD.List!$H$3:$H$5000,$C$38)</f>
        <v>210435.90430000002</v>
      </c>
      <c r="R41" s="10">
        <f t="shared" si="30"/>
        <v>117775383</v>
      </c>
      <c r="S41" s="10">
        <f t="shared" si="31"/>
        <v>21199569</v>
      </c>
      <c r="T41" s="74">
        <f t="shared" si="32"/>
        <v>0.47468799948235713</v>
      </c>
      <c r="U41" s="107"/>
    </row>
    <row r="42" spans="1:21" ht="15" x14ac:dyDescent="0.25">
      <c r="A42" s="24">
        <f t="shared" si="0"/>
        <v>339.680286548156</v>
      </c>
      <c r="B42" s="24">
        <f t="shared" si="1"/>
        <v>61.14245157866808</v>
      </c>
      <c r="C42" s="15"/>
      <c r="D42" s="15" t="s">
        <v>132</v>
      </c>
      <c r="E42" s="45">
        <v>20</v>
      </c>
      <c r="F42" s="13">
        <v>150760</v>
      </c>
      <c r="G42" s="13">
        <v>51210200</v>
      </c>
      <c r="H42" s="13">
        <v>9217836</v>
      </c>
      <c r="I42" s="94"/>
      <c r="J42" s="45">
        <f t="shared" si="22"/>
        <v>18</v>
      </c>
      <c r="K42" s="10">
        <f t="shared" si="23"/>
        <v>140428.79999999999</v>
      </c>
      <c r="L42" s="10">
        <f t="shared" si="24"/>
        <v>47700895</v>
      </c>
      <c r="M42" s="10">
        <f t="shared" si="25"/>
        <v>8586161</v>
      </c>
      <c r="N42" s="74">
        <f t="shared" si="26"/>
        <v>0.93147253913504902</v>
      </c>
      <c r="O42" s="89"/>
      <c r="P42" s="45">
        <f>COUNTIFS([1]GD.List!$N$3:$N$5000,D42,[1]GD.List!$H$3:$H$5000,$C$38,[1]GD.List!$L$3:$L$5000,"&lt;&gt;0")</f>
        <v>2</v>
      </c>
      <c r="Q42" s="10">
        <f>SUMIFS([1]GD.List!$L$3:$L$5000,[1]GD.List!$N$3:$N$5000,D42,[1]GD.List!$H$3:$H$5000,$C$38)</f>
        <v>10331.200000000001</v>
      </c>
      <c r="R42" s="10">
        <f t="shared" si="30"/>
        <v>3509305</v>
      </c>
      <c r="S42" s="10">
        <f t="shared" si="31"/>
        <v>631675</v>
      </c>
      <c r="T42" s="74">
        <f t="shared" si="32"/>
        <v>6.8527460864950915E-2</v>
      </c>
      <c r="U42" s="107"/>
    </row>
    <row r="43" spans="1:21" ht="15" x14ac:dyDescent="0.25">
      <c r="A43" s="24">
        <f t="shared" si="0"/>
        <v>707.39499999999998</v>
      </c>
      <c r="B43" s="24">
        <f t="shared" si="1"/>
        <v>127.33109999999999</v>
      </c>
      <c r="C43" s="15"/>
      <c r="D43" s="15" t="s">
        <v>133</v>
      </c>
      <c r="E43" s="45">
        <v>6</v>
      </c>
      <c r="F43" s="13">
        <v>400</v>
      </c>
      <c r="G43" s="13">
        <v>282958</v>
      </c>
      <c r="H43" s="13">
        <v>50932.439999999995</v>
      </c>
      <c r="I43" s="94"/>
      <c r="J43" s="45">
        <f t="shared" si="22"/>
        <v>6</v>
      </c>
      <c r="K43" s="10">
        <f t="shared" si="23"/>
        <v>400</v>
      </c>
      <c r="L43" s="10">
        <f t="shared" si="24"/>
        <v>282958</v>
      </c>
      <c r="M43" s="10">
        <f t="shared" si="25"/>
        <v>50932</v>
      </c>
      <c r="N43" s="74">
        <f t="shared" si="26"/>
        <v>1</v>
      </c>
      <c r="O43" s="89"/>
      <c r="P43" s="45">
        <f>COUNTIFS([1]GD.List!$N$3:$N$5000,D43,[1]GD.List!$H$3:$H$5000,$C$38,[1]GD.List!$L$3:$L$5000,"&lt;&gt;0")</f>
        <v>0</v>
      </c>
      <c r="Q43" s="10">
        <f>SUMIFS([1]GD.List!$L$3:$L$5000,[1]GD.List!$N$3:$N$5000,D43,[1]GD.List!$H$3:$H$5000,$C$38)</f>
        <v>0</v>
      </c>
      <c r="R43" s="10">
        <f t="shared" si="30"/>
        <v>0</v>
      </c>
      <c r="S43" s="10">
        <f t="shared" si="31"/>
        <v>0</v>
      </c>
      <c r="T43" s="74">
        <f t="shared" si="32"/>
        <v>0</v>
      </c>
      <c r="U43" s="107"/>
    </row>
    <row r="44" spans="1:21" ht="15" x14ac:dyDescent="0.25">
      <c r="A44" s="24">
        <f t="shared" si="0"/>
        <v>1069.6486191844358</v>
      </c>
      <c r="B44" s="24">
        <f t="shared" si="1"/>
        <v>192.53675145319843</v>
      </c>
      <c r="C44" s="15"/>
      <c r="D44" s="15" t="s">
        <v>402</v>
      </c>
      <c r="E44" s="45">
        <v>105</v>
      </c>
      <c r="F44" s="13">
        <v>4165692.0359999989</v>
      </c>
      <c r="G44" s="13">
        <v>4455826734.2550001</v>
      </c>
      <c r="H44" s="13">
        <v>802048812.16589999</v>
      </c>
      <c r="I44" s="94"/>
      <c r="J44" s="45">
        <f t="shared" si="22"/>
        <v>47</v>
      </c>
      <c r="K44" s="10">
        <f t="shared" si="23"/>
        <v>2394239.1374999988</v>
      </c>
      <c r="L44" s="10">
        <f t="shared" si="24"/>
        <v>2560994587</v>
      </c>
      <c r="M44" s="10">
        <f t="shared" si="25"/>
        <v>460979026</v>
      </c>
      <c r="N44" s="74">
        <f t="shared" si="26"/>
        <v>0.57475183398314933</v>
      </c>
      <c r="O44" s="89"/>
      <c r="P44" s="45">
        <f>COUNTIFS([1]GD.List!$N$3:$N$5000,D44,[1]GD.List!$H$3:$H$5000,$C$38,[1]GD.List!$L$3:$L$5000,"&lt;&gt;0")</f>
        <v>58</v>
      </c>
      <c r="Q44" s="10">
        <f>SUMIFS([1]GD.List!$L$3:$L$5000,[1]GD.List!$N$3:$N$5000,D44,[1]GD.List!$H$3:$H$5000,$C$38)</f>
        <v>1771452.8985000001</v>
      </c>
      <c r="R44" s="10">
        <f t="shared" si="30"/>
        <v>1894832147</v>
      </c>
      <c r="S44" s="10">
        <f t="shared" si="31"/>
        <v>341069786</v>
      </c>
      <c r="T44" s="74">
        <f t="shared" si="32"/>
        <v>0.42524816601685067</v>
      </c>
      <c r="U44" s="107"/>
    </row>
    <row r="45" spans="1:21" ht="15" x14ac:dyDescent="0.25">
      <c r="A45" s="24">
        <f t="shared" si="0"/>
        <v>1166.2414208095145</v>
      </c>
      <c r="B45" s="24">
        <f t="shared" si="1"/>
        <v>209.9234557457126</v>
      </c>
      <c r="C45" s="15"/>
      <c r="D45" s="15" t="s">
        <v>403</v>
      </c>
      <c r="E45" s="45">
        <v>10</v>
      </c>
      <c r="F45" s="13">
        <v>113006</v>
      </c>
      <c r="G45" s="13">
        <v>131792278</v>
      </c>
      <c r="H45" s="13">
        <v>23722610.039999999</v>
      </c>
      <c r="I45" s="94"/>
      <c r="J45" s="45">
        <f t="shared" si="22"/>
        <v>5</v>
      </c>
      <c r="K45" s="10">
        <f t="shared" si="23"/>
        <v>68676.62</v>
      </c>
      <c r="L45" s="10">
        <f t="shared" si="24"/>
        <v>80093519</v>
      </c>
      <c r="M45" s="10">
        <f t="shared" si="25"/>
        <v>14416833</v>
      </c>
      <c r="N45" s="74">
        <f t="shared" si="26"/>
        <v>0.60772543050811456</v>
      </c>
      <c r="O45" s="89"/>
      <c r="P45" s="45">
        <f>COUNTIFS([1]GD.List!$N$3:$N$5000,D45,[1]GD.List!$H$3:$H$5000,$C$38,[1]GD.List!$L$3:$L$5000,"&lt;&gt;0")</f>
        <v>5</v>
      </c>
      <c r="Q45" s="10">
        <f>SUMIFS([1]GD.List!$L$3:$L$5000,[1]GD.List!$N$3:$N$5000,D45,[1]GD.List!$H$3:$H$5000,$C$38)</f>
        <v>44329.38</v>
      </c>
      <c r="R45" s="10">
        <f t="shared" si="30"/>
        <v>51698759</v>
      </c>
      <c r="S45" s="10">
        <f t="shared" si="31"/>
        <v>9305777</v>
      </c>
      <c r="T45" s="74">
        <f t="shared" si="32"/>
        <v>0.39227456949188538</v>
      </c>
      <c r="U45" s="107"/>
    </row>
    <row r="46" spans="1:21" ht="15" x14ac:dyDescent="0.25">
      <c r="A46" s="24">
        <f t="shared" si="0"/>
        <v>2179.6731326631893</v>
      </c>
      <c r="B46" s="24">
        <f t="shared" si="1"/>
        <v>392.34116387937411</v>
      </c>
      <c r="C46" s="15"/>
      <c r="D46" s="15" t="s">
        <v>404</v>
      </c>
      <c r="E46" s="45">
        <v>28</v>
      </c>
      <c r="F46" s="13">
        <v>37630.440899999994</v>
      </c>
      <c r="G46" s="13">
        <v>82022061</v>
      </c>
      <c r="H46" s="13">
        <v>14763970.98</v>
      </c>
      <c r="I46" s="94"/>
      <c r="J46" s="45">
        <f t="shared" si="22"/>
        <v>25</v>
      </c>
      <c r="K46" s="10">
        <f t="shared" si="23"/>
        <v>37534.969999999994</v>
      </c>
      <c r="L46" s="10">
        <f t="shared" si="24"/>
        <v>81813966</v>
      </c>
      <c r="M46" s="10">
        <f t="shared" si="25"/>
        <v>14726514</v>
      </c>
      <c r="N46" s="74">
        <f t="shared" si="26"/>
        <v>0.99746293432347211</v>
      </c>
      <c r="O46" s="89"/>
      <c r="P46" s="45">
        <f>COUNTIFS([1]GD.List!$N$3:$N$5000,D46,[1]GD.List!$H$3:$H$5000,$C$38,[1]GD.List!$L$3:$L$5000,"&lt;&gt;0")</f>
        <v>3</v>
      </c>
      <c r="Q46" s="10">
        <f>SUMIFS([1]GD.List!$L$3:$L$5000,[1]GD.List!$N$3:$N$5000,D46,[1]GD.List!$H$3:$H$5000,$C$38)</f>
        <v>95.470899999999986</v>
      </c>
      <c r="R46" s="10">
        <f t="shared" si="30"/>
        <v>208095</v>
      </c>
      <c r="S46" s="10">
        <f t="shared" si="31"/>
        <v>37457</v>
      </c>
      <c r="T46" s="74">
        <f t="shared" si="32"/>
        <v>2.5370656765278561E-3</v>
      </c>
      <c r="U46" s="107"/>
    </row>
    <row r="47" spans="1:21" ht="15" x14ac:dyDescent="0.25">
      <c r="A47" s="24">
        <f t="shared" si="0"/>
        <v>1029.8146452127883</v>
      </c>
      <c r="B47" s="24">
        <f t="shared" si="1"/>
        <v>185.36663613830189</v>
      </c>
      <c r="C47" s="15"/>
      <c r="D47" s="15" t="s">
        <v>405</v>
      </c>
      <c r="E47" s="45">
        <v>36</v>
      </c>
      <c r="F47" s="13">
        <v>690287</v>
      </c>
      <c r="G47" s="13">
        <v>710867662</v>
      </c>
      <c r="H47" s="13">
        <v>127956179.16</v>
      </c>
      <c r="I47" s="94"/>
      <c r="J47" s="45">
        <f t="shared" si="22"/>
        <v>36</v>
      </c>
      <c r="K47" s="10">
        <f t="shared" si="23"/>
        <v>690287</v>
      </c>
      <c r="L47" s="10">
        <f t="shared" si="24"/>
        <v>710867662</v>
      </c>
      <c r="M47" s="10">
        <f t="shared" si="25"/>
        <v>127956179</v>
      </c>
      <c r="N47" s="74">
        <f t="shared" si="26"/>
        <v>1</v>
      </c>
      <c r="O47" s="89"/>
      <c r="P47" s="45">
        <f>COUNTIFS([1]GD.List!$N$3:$N$5000,D47,[1]GD.List!$H$3:$H$5000,$C$38,[1]GD.List!$L$3:$L$5000,"&lt;&gt;0")</f>
        <v>0</v>
      </c>
      <c r="Q47" s="10">
        <f>SUMIFS([1]GD.List!$L$3:$L$5000,[1]GD.List!$N$3:$N$5000,D47,[1]GD.List!$H$3:$H$5000,$C$38)</f>
        <v>0</v>
      </c>
      <c r="R47" s="10">
        <f t="shared" si="30"/>
        <v>0</v>
      </c>
      <c r="S47" s="10">
        <f t="shared" si="31"/>
        <v>0</v>
      </c>
      <c r="T47" s="74">
        <f t="shared" si="32"/>
        <v>0</v>
      </c>
      <c r="U47" s="107"/>
    </row>
    <row r="48" spans="1:21" s="108" customFormat="1" ht="15.75" thickBot="1" x14ac:dyDescent="0.3">
      <c r="A48" s="103">
        <f t="shared" si="0"/>
        <v>972.80335766494045</v>
      </c>
      <c r="B48" s="103">
        <f t="shared" si="1"/>
        <v>175.10460437968931</v>
      </c>
      <c r="C48" s="104" t="s">
        <v>506</v>
      </c>
      <c r="D48" s="104"/>
      <c r="E48" s="140">
        <v>317</v>
      </c>
      <c r="F48" s="141">
        <v>6901902.2503000004</v>
      </c>
      <c r="G48" s="141">
        <v>6714193683.3670483</v>
      </c>
      <c r="H48" s="141">
        <v>1208554863.0060689</v>
      </c>
      <c r="I48" s="94"/>
      <c r="J48" s="140">
        <f t="shared" si="22"/>
        <v>207</v>
      </c>
      <c r="K48" s="142">
        <f>SUM(K38:K47)</f>
        <v>4444295.3933999985</v>
      </c>
      <c r="L48" s="142">
        <f>SUM(L38:L47)</f>
        <v>4304836181</v>
      </c>
      <c r="M48" s="142">
        <f>SUM(M38:M47)</f>
        <v>774870511</v>
      </c>
      <c r="N48" s="143">
        <f t="shared" si="26"/>
        <v>0.64392325944732431</v>
      </c>
      <c r="O48" s="89"/>
      <c r="P48" s="140">
        <f>SUM(P38:P47)</f>
        <v>110</v>
      </c>
      <c r="Q48" s="142">
        <f>SUM(Q38:Q47)</f>
        <v>2457606.8569</v>
      </c>
      <c r="R48" s="142">
        <f>SUM(R38:R47)</f>
        <v>2409357502</v>
      </c>
      <c r="S48" s="142">
        <f>SUM(S38:S47)</f>
        <v>433684350</v>
      </c>
      <c r="T48" s="143">
        <f t="shared" si="32"/>
        <v>0.35607674055267546</v>
      </c>
      <c r="U48" s="107"/>
    </row>
    <row r="49" spans="1:21" ht="15.75" thickTop="1" x14ac:dyDescent="0.25">
      <c r="A49" s="24">
        <f t="shared" si="0"/>
        <v>1050.8062147216231</v>
      </c>
      <c r="B49" s="24">
        <f t="shared" si="1"/>
        <v>189.14511864989214</v>
      </c>
      <c r="C49" s="15" t="s">
        <v>507</v>
      </c>
      <c r="D49" s="15" t="s">
        <v>395</v>
      </c>
      <c r="E49" s="45">
        <v>14</v>
      </c>
      <c r="F49" s="13">
        <v>157143</v>
      </c>
      <c r="G49" s="13">
        <v>165126841</v>
      </c>
      <c r="H49" s="13">
        <v>29722831.380000003</v>
      </c>
      <c r="I49" s="94"/>
      <c r="J49" s="137">
        <f t="shared" si="22"/>
        <v>12</v>
      </c>
      <c r="K49" s="138">
        <f t="shared" si="23"/>
        <v>146991</v>
      </c>
      <c r="L49" s="138">
        <f t="shared" si="24"/>
        <v>154459056</v>
      </c>
      <c r="M49" s="138">
        <f t="shared" si="25"/>
        <v>27802630</v>
      </c>
      <c r="N49" s="139">
        <f t="shared" si="26"/>
        <v>0.9353964223668888</v>
      </c>
      <c r="O49" s="89"/>
      <c r="P49" s="137">
        <f>COUNTIFS([1]GD.List!$N$3:$N$5000,D49,[1]GD.List!$H$3:$H$5000,$C$49,[1]GD.List!$L$3:$L$5000,"&lt;&gt;0")</f>
        <v>2</v>
      </c>
      <c r="Q49" s="138">
        <f>SUMIFS([1]GD.List!$L$3:$L$5000,[1]GD.List!$N$3:$N$5000,D49,[1]GD.List!$H$3:$H$5000,$C$49)</f>
        <v>10152</v>
      </c>
      <c r="R49" s="138">
        <f t="shared" si="7"/>
        <v>10667785</v>
      </c>
      <c r="S49" s="138">
        <f t="shared" si="8"/>
        <v>1920201</v>
      </c>
      <c r="T49" s="139">
        <f t="shared" si="9"/>
        <v>6.4603577633111239E-2</v>
      </c>
      <c r="U49" s="107"/>
    </row>
    <row r="50" spans="1:21" ht="15" x14ac:dyDescent="0.25">
      <c r="A50" s="24">
        <f t="shared" si="0"/>
        <v>751.42137135211397</v>
      </c>
      <c r="B50" s="24">
        <f t="shared" si="1"/>
        <v>135.25584684338051</v>
      </c>
      <c r="C50" s="15"/>
      <c r="D50" s="15" t="s">
        <v>396</v>
      </c>
      <c r="E50" s="45">
        <v>48</v>
      </c>
      <c r="F50" s="13">
        <v>288489</v>
      </c>
      <c r="G50" s="13">
        <v>216776800</v>
      </c>
      <c r="H50" s="13">
        <v>39019824</v>
      </c>
      <c r="I50" s="94"/>
      <c r="J50" s="45">
        <f t="shared" si="22"/>
        <v>43</v>
      </c>
      <c r="K50" s="10">
        <f t="shared" si="23"/>
        <v>274688</v>
      </c>
      <c r="L50" s="10">
        <f t="shared" si="24"/>
        <v>206406434</v>
      </c>
      <c r="M50" s="10">
        <f t="shared" si="25"/>
        <v>37153158</v>
      </c>
      <c r="N50" s="74">
        <f t="shared" si="26"/>
        <v>0.95216108759779405</v>
      </c>
      <c r="O50" s="89"/>
      <c r="P50" s="45">
        <f>COUNTIFS([1]GD.List!$N$3:$N$5000,D50,[1]GD.List!$H$3:$H$5000,$C$49,[1]GD.List!$L$3:$L$5000,"&lt;&gt;0")</f>
        <v>5</v>
      </c>
      <c r="Q50" s="10">
        <f>SUMIFS([1]GD.List!$L$3:$L$5000,[1]GD.List!$N$3:$N$5000,D50,[1]GD.List!$H$3:$H$5000,$C$49)</f>
        <v>13801</v>
      </c>
      <c r="R50" s="10">
        <f t="shared" ref="R50:R58" si="33">IF(Q50&lt;&gt;0,ROUND(Q50*A50,0),0)</f>
        <v>10370366</v>
      </c>
      <c r="S50" s="10">
        <f t="shared" ref="S50:S58" si="34">IF(Q50&lt;&gt;0,ROUND(Q50*B50,0),0)</f>
        <v>1866666</v>
      </c>
      <c r="T50" s="74">
        <f t="shared" ref="T50:T60" si="35">Q50/F50</f>
        <v>4.7838912402205974E-2</v>
      </c>
      <c r="U50" s="107"/>
    </row>
    <row r="51" spans="1:21" ht="15" x14ac:dyDescent="0.25">
      <c r="A51" s="24">
        <f t="shared" si="0"/>
        <v>361.29110241702307</v>
      </c>
      <c r="B51" s="24">
        <f t="shared" si="1"/>
        <v>65.032398435064138</v>
      </c>
      <c r="C51" s="15"/>
      <c r="D51" s="15" t="s">
        <v>134</v>
      </c>
      <c r="E51" s="45">
        <v>32</v>
      </c>
      <c r="F51" s="13">
        <v>881365.2</v>
      </c>
      <c r="G51" s="13">
        <v>318429404.74000001</v>
      </c>
      <c r="H51" s="13">
        <v>57317292.853199989</v>
      </c>
      <c r="I51" s="94"/>
      <c r="J51" s="45">
        <f t="shared" si="22"/>
        <v>29</v>
      </c>
      <c r="K51" s="10">
        <f t="shared" si="23"/>
        <v>879055.7</v>
      </c>
      <c r="L51" s="10">
        <f t="shared" si="24"/>
        <v>317595003</v>
      </c>
      <c r="M51" s="10">
        <f t="shared" si="25"/>
        <v>57167101</v>
      </c>
      <c r="N51" s="74">
        <f t="shared" si="26"/>
        <v>0.99737963332339419</v>
      </c>
      <c r="O51" s="89"/>
      <c r="P51" s="45">
        <f>COUNTIFS([1]GD.List!$N$3:$N$5000,D51,[1]GD.List!$H$3:$H$5000,$C$49,[1]GD.List!$L$3:$L$5000,"&lt;&gt;0")</f>
        <v>3</v>
      </c>
      <c r="Q51" s="10">
        <f>SUMIFS([1]GD.List!$L$3:$L$5000,[1]GD.List!$N$3:$N$5000,D51,[1]GD.List!$H$3:$H$5000,$C$49)</f>
        <v>2309.5</v>
      </c>
      <c r="R51" s="10">
        <f t="shared" si="33"/>
        <v>834402</v>
      </c>
      <c r="S51" s="10">
        <f t="shared" si="34"/>
        <v>150192</v>
      </c>
      <c r="T51" s="74">
        <f t="shared" si="35"/>
        <v>2.6203666766057929E-3</v>
      </c>
      <c r="U51" s="107"/>
    </row>
    <row r="52" spans="1:21" ht="15" x14ac:dyDescent="0.25">
      <c r="A52" s="24">
        <f t="shared" si="0"/>
        <v>508.70343233951417</v>
      </c>
      <c r="B52" s="24">
        <f t="shared" si="1"/>
        <v>91.566617821112558</v>
      </c>
      <c r="C52" s="15"/>
      <c r="D52" s="15" t="s">
        <v>400</v>
      </c>
      <c r="E52" s="45">
        <v>4</v>
      </c>
      <c r="F52" s="13">
        <v>17743</v>
      </c>
      <c r="G52" s="13">
        <v>9025925</v>
      </c>
      <c r="H52" s="13">
        <v>1624666.5</v>
      </c>
      <c r="I52" s="94"/>
      <c r="J52" s="45">
        <f t="shared" si="22"/>
        <v>4</v>
      </c>
      <c r="K52" s="10">
        <f t="shared" si="23"/>
        <v>17743</v>
      </c>
      <c r="L52" s="10">
        <f t="shared" si="24"/>
        <v>9025925</v>
      </c>
      <c r="M52" s="10">
        <f t="shared" si="25"/>
        <v>1624667</v>
      </c>
      <c r="N52" s="74">
        <f t="shared" si="26"/>
        <v>1</v>
      </c>
      <c r="O52" s="89"/>
      <c r="P52" s="45">
        <f>COUNTIFS([1]GD.List!$N$3:$N$5000,D52,[1]GD.List!$H$3:$H$5000,$C$49,[1]GD.List!$L$3:$L$5000,"&lt;&gt;0")</f>
        <v>0</v>
      </c>
      <c r="Q52" s="10">
        <f>SUMIFS([1]GD.List!$L$3:$L$5000,[1]GD.List!$N$3:$N$5000,D52,[1]GD.List!$H$3:$H$5000,$C$49)</f>
        <v>0</v>
      </c>
      <c r="R52" s="10">
        <f t="shared" si="33"/>
        <v>0</v>
      </c>
      <c r="S52" s="10">
        <f t="shared" si="34"/>
        <v>0</v>
      </c>
      <c r="T52" s="74">
        <f t="shared" si="35"/>
        <v>0</v>
      </c>
      <c r="U52" s="107"/>
    </row>
    <row r="53" spans="1:21" ht="15" x14ac:dyDescent="0.25">
      <c r="A53" s="24">
        <f t="shared" si="0"/>
        <v>460.98890699737296</v>
      </c>
      <c r="B53" s="24">
        <f t="shared" si="1"/>
        <v>82.978003259527142</v>
      </c>
      <c r="C53" s="15"/>
      <c r="D53" s="15" t="s">
        <v>131</v>
      </c>
      <c r="E53" s="45">
        <v>159</v>
      </c>
      <c r="F53" s="13">
        <v>6505913</v>
      </c>
      <c r="G53" s="13">
        <v>2999153722.8899999</v>
      </c>
      <c r="H53" s="13">
        <v>539847670.12020004</v>
      </c>
      <c r="I53" s="94"/>
      <c r="J53" s="45">
        <f t="shared" si="22"/>
        <v>155</v>
      </c>
      <c r="K53" s="10">
        <f t="shared" si="23"/>
        <v>6385662</v>
      </c>
      <c r="L53" s="10">
        <f t="shared" si="24"/>
        <v>2943719346</v>
      </c>
      <c r="M53" s="10">
        <f t="shared" si="25"/>
        <v>529869482</v>
      </c>
      <c r="N53" s="74">
        <f t="shared" si="26"/>
        <v>0.98151666030578644</v>
      </c>
      <c r="O53" s="89"/>
      <c r="P53" s="45">
        <f>COUNTIFS([1]GD.List!$N$3:$N$5000,D53,[1]GD.List!$H$3:$H$5000,$C$49,[1]GD.List!$L$3:$L$5000,"&lt;&gt;0")</f>
        <v>4</v>
      </c>
      <c r="Q53" s="10">
        <f>SUMIFS([1]GD.List!$L$3:$L$5000,[1]GD.List!$N$3:$N$5000,D53,[1]GD.List!$H$3:$H$5000,$C$49)</f>
        <v>120251</v>
      </c>
      <c r="R53" s="10">
        <f t="shared" si="33"/>
        <v>55434377</v>
      </c>
      <c r="S53" s="10">
        <f t="shared" si="34"/>
        <v>9978188</v>
      </c>
      <c r="T53" s="74">
        <f t="shared" si="35"/>
        <v>1.8483339694213556E-2</v>
      </c>
      <c r="U53" s="107"/>
    </row>
    <row r="54" spans="1:21" ht="15" x14ac:dyDescent="0.25">
      <c r="A54" s="24">
        <f t="shared" si="0"/>
        <v>120.02729242930032</v>
      </c>
      <c r="B54" s="24">
        <f t="shared" si="1"/>
        <v>21.604912637274072</v>
      </c>
      <c r="C54" s="15"/>
      <c r="D54" s="15" t="s">
        <v>132</v>
      </c>
      <c r="E54" s="45">
        <v>465</v>
      </c>
      <c r="F54" s="13">
        <v>3765187</v>
      </c>
      <c r="G54" s="13">
        <v>451925201.09999996</v>
      </c>
      <c r="H54" s="13">
        <v>81346536.198000059</v>
      </c>
      <c r="I54" s="94"/>
      <c r="J54" s="45">
        <f t="shared" si="22"/>
        <v>358</v>
      </c>
      <c r="K54" s="10">
        <f t="shared" si="23"/>
        <v>1433044</v>
      </c>
      <c r="L54" s="10">
        <f t="shared" si="24"/>
        <v>172004391</v>
      </c>
      <c r="M54" s="10">
        <f t="shared" si="25"/>
        <v>30960790</v>
      </c>
      <c r="N54" s="74">
        <f t="shared" si="26"/>
        <v>0.38060367254003585</v>
      </c>
      <c r="O54" s="89"/>
      <c r="P54" s="45">
        <f>COUNTIFS([1]GD.List!$N$3:$N$5000,D54,[1]GD.List!$H$3:$H$5000,$C$49,[1]GD.List!$L$3:$L$5000,"&lt;&gt;0")</f>
        <v>107</v>
      </c>
      <c r="Q54" s="10">
        <f>SUMIFS([1]GD.List!$L$3:$L$5000,[1]GD.List!$N$3:$N$5000,D54,[1]GD.List!$H$3:$H$5000,$C$49)</f>
        <v>2332143</v>
      </c>
      <c r="R54" s="10">
        <f t="shared" si="33"/>
        <v>279920810</v>
      </c>
      <c r="S54" s="10">
        <f t="shared" si="34"/>
        <v>50385746</v>
      </c>
      <c r="T54" s="74">
        <f t="shared" si="35"/>
        <v>0.61939632745996409</v>
      </c>
      <c r="U54" s="107"/>
    </row>
    <row r="55" spans="1:21" ht="15" x14ac:dyDescent="0.25">
      <c r="A55" s="24">
        <f t="shared" si="0"/>
        <v>763.15925638573538</v>
      </c>
      <c r="B55" s="24">
        <f t="shared" si="1"/>
        <v>137.36866614943239</v>
      </c>
      <c r="C55" s="15"/>
      <c r="D55" s="15" t="s">
        <v>133</v>
      </c>
      <c r="E55" s="45">
        <v>127</v>
      </c>
      <c r="F55" s="13">
        <v>129664</v>
      </c>
      <c r="G55" s="13">
        <v>98954281.819999993</v>
      </c>
      <c r="H55" s="13">
        <v>17811770.727600001</v>
      </c>
      <c r="I55" s="94"/>
      <c r="J55" s="45">
        <f t="shared" si="22"/>
        <v>126</v>
      </c>
      <c r="K55" s="10">
        <f t="shared" si="23"/>
        <v>129606</v>
      </c>
      <c r="L55" s="10">
        <f t="shared" si="24"/>
        <v>98910019</v>
      </c>
      <c r="M55" s="10">
        <f t="shared" si="25"/>
        <v>17803803</v>
      </c>
      <c r="N55" s="74">
        <f t="shared" si="26"/>
        <v>0.999552690029615</v>
      </c>
      <c r="O55" s="89"/>
      <c r="P55" s="45">
        <f>COUNTIFS([1]GD.List!$N$3:$N$5000,D55,[1]GD.List!$H$3:$H$5000,$C$49,[1]GD.List!$L$3:$L$5000,"&lt;&gt;0")</f>
        <v>1</v>
      </c>
      <c r="Q55" s="10">
        <f>SUMIFS([1]GD.List!$L$3:$L$5000,[1]GD.List!$N$3:$N$5000,D55,[1]GD.List!$H$3:$H$5000,$C$49)</f>
        <v>58</v>
      </c>
      <c r="R55" s="10">
        <f t="shared" si="33"/>
        <v>44263</v>
      </c>
      <c r="S55" s="10">
        <f t="shared" si="34"/>
        <v>7967</v>
      </c>
      <c r="T55" s="74">
        <f t="shared" si="35"/>
        <v>4.4730997038499508E-4</v>
      </c>
      <c r="U55" s="107"/>
    </row>
    <row r="56" spans="1:21" ht="15" x14ac:dyDescent="0.25">
      <c r="A56" s="24">
        <f t="shared" si="0"/>
        <v>891.93067254302161</v>
      </c>
      <c r="B56" s="24">
        <f t="shared" si="1"/>
        <v>160.54752105774389</v>
      </c>
      <c r="C56" s="15"/>
      <c r="D56" s="15" t="s">
        <v>402</v>
      </c>
      <c r="E56" s="45">
        <v>51</v>
      </c>
      <c r="F56" s="13">
        <v>344885</v>
      </c>
      <c r="G56" s="13">
        <v>307613510</v>
      </c>
      <c r="H56" s="13">
        <v>55370431.800000004</v>
      </c>
      <c r="I56" s="94"/>
      <c r="J56" s="45">
        <f t="shared" si="22"/>
        <v>44</v>
      </c>
      <c r="K56" s="10">
        <f t="shared" si="23"/>
        <v>334556</v>
      </c>
      <c r="L56" s="10">
        <f t="shared" si="24"/>
        <v>298400758</v>
      </c>
      <c r="M56" s="10">
        <f t="shared" si="25"/>
        <v>53712136</v>
      </c>
      <c r="N56" s="74">
        <f t="shared" si="26"/>
        <v>0.97005088652739324</v>
      </c>
      <c r="O56" s="89"/>
      <c r="P56" s="45">
        <f>COUNTIFS([1]GD.List!$N$3:$N$5000,D56,[1]GD.List!$H$3:$H$5000,$C$49,[1]GD.List!$L$3:$L$5000,"&lt;&gt;0")</f>
        <v>7</v>
      </c>
      <c r="Q56" s="10">
        <f>SUMIFS([1]GD.List!$L$3:$L$5000,[1]GD.List!$N$3:$N$5000,D56,[1]GD.List!$H$3:$H$5000,$C$49)</f>
        <v>10329</v>
      </c>
      <c r="R56" s="10">
        <f t="shared" si="33"/>
        <v>9212752</v>
      </c>
      <c r="S56" s="10">
        <f t="shared" si="34"/>
        <v>1658295</v>
      </c>
      <c r="T56" s="74">
        <f t="shared" si="35"/>
        <v>2.9949113472606811E-2</v>
      </c>
      <c r="U56" s="107"/>
    </row>
    <row r="57" spans="1:21" ht="15" x14ac:dyDescent="0.25">
      <c r="A57" s="24">
        <f t="shared" si="0"/>
        <v>1315.1310669347233</v>
      </c>
      <c r="B57" s="24">
        <f t="shared" si="1"/>
        <v>236.72359204825023</v>
      </c>
      <c r="C57" s="15"/>
      <c r="D57" s="15" t="s">
        <v>403</v>
      </c>
      <c r="E57" s="45">
        <v>37</v>
      </c>
      <c r="F57" s="13">
        <v>297947</v>
      </c>
      <c r="G57" s="13">
        <v>391839356</v>
      </c>
      <c r="H57" s="13">
        <v>70531084.080000013</v>
      </c>
      <c r="I57" s="94"/>
      <c r="J57" s="45">
        <f t="shared" si="22"/>
        <v>18</v>
      </c>
      <c r="K57" s="10">
        <f t="shared" si="23"/>
        <v>187860</v>
      </c>
      <c r="L57" s="10">
        <f t="shared" si="24"/>
        <v>247060522</v>
      </c>
      <c r="M57" s="10">
        <f t="shared" si="25"/>
        <v>44470894</v>
      </c>
      <c r="N57" s="74">
        <f t="shared" si="26"/>
        <v>0.63051482310612295</v>
      </c>
      <c r="O57" s="89"/>
      <c r="P57" s="45">
        <f>COUNTIFS([1]GD.List!$N$3:$N$5000,D57,[1]GD.List!$H$3:$H$5000,$C$49,[1]GD.List!$L$3:$L$5000,"&lt;&gt;0")</f>
        <v>19</v>
      </c>
      <c r="Q57" s="10">
        <f>SUMIFS([1]GD.List!$L$3:$L$5000,[1]GD.List!$N$3:$N$5000,D57,[1]GD.List!$H$3:$H$5000,$C$49)</f>
        <v>110087</v>
      </c>
      <c r="R57" s="10">
        <f t="shared" si="33"/>
        <v>144778834</v>
      </c>
      <c r="S57" s="10">
        <f t="shared" si="34"/>
        <v>26060190</v>
      </c>
      <c r="T57" s="74">
        <f t="shared" si="35"/>
        <v>0.36948517689387711</v>
      </c>
      <c r="U57" s="107"/>
    </row>
    <row r="58" spans="1:21" ht="15" x14ac:dyDescent="0.25">
      <c r="A58" s="24">
        <f t="shared" si="0"/>
        <v>431.10039940437673</v>
      </c>
      <c r="B58" s="24">
        <f t="shared" si="1"/>
        <v>77.598071892787829</v>
      </c>
      <c r="C58" s="15"/>
      <c r="D58" s="15" t="s">
        <v>410</v>
      </c>
      <c r="E58" s="45">
        <v>183</v>
      </c>
      <c r="F58" s="13">
        <v>1995221</v>
      </c>
      <c r="G58" s="13">
        <v>860140570</v>
      </c>
      <c r="H58" s="13">
        <v>154825302.60000002</v>
      </c>
      <c r="I58" s="94"/>
      <c r="J58" s="45">
        <f t="shared" si="22"/>
        <v>143</v>
      </c>
      <c r="K58" s="10">
        <f t="shared" si="23"/>
        <v>1542568</v>
      </c>
      <c r="L58" s="10">
        <f t="shared" si="24"/>
        <v>665001681</v>
      </c>
      <c r="M58" s="10">
        <f t="shared" si="25"/>
        <v>119700303</v>
      </c>
      <c r="N58" s="74">
        <f t="shared" si="26"/>
        <v>0.77313139747426474</v>
      </c>
      <c r="O58" s="89"/>
      <c r="P58" s="45">
        <f>COUNTIFS([1]GD.List!$N$3:$N$5000,D58,[1]GD.List!$H$3:$H$5000,$C$49,[1]GD.List!$L$3:$L$5000,"&lt;&gt;0")</f>
        <v>40</v>
      </c>
      <c r="Q58" s="10">
        <f>SUMIFS([1]GD.List!$L$3:$L$5000,[1]GD.List!$N$3:$N$5000,D58,[1]GD.List!$H$3:$H$5000,$C$49)</f>
        <v>452653</v>
      </c>
      <c r="R58" s="10">
        <f t="shared" si="33"/>
        <v>195138889</v>
      </c>
      <c r="S58" s="10">
        <f t="shared" si="34"/>
        <v>35125000</v>
      </c>
      <c r="T58" s="74">
        <f t="shared" si="35"/>
        <v>0.22686860252573524</v>
      </c>
      <c r="U58" s="107"/>
    </row>
    <row r="59" spans="1:21" s="108" customFormat="1" ht="15.75" thickBot="1" x14ac:dyDescent="0.3">
      <c r="A59" s="105">
        <f t="shared" si="0"/>
        <v>404.55817233792482</v>
      </c>
      <c r="B59" s="103">
        <f t="shared" si="1"/>
        <v>72.820471020826574</v>
      </c>
      <c r="C59" s="104" t="s">
        <v>508</v>
      </c>
      <c r="D59" s="104"/>
      <c r="E59" s="140">
        <v>1120</v>
      </c>
      <c r="F59" s="141">
        <v>14383557.199999999</v>
      </c>
      <c r="G59" s="141">
        <v>5818985612.5499992</v>
      </c>
      <c r="H59" s="141">
        <v>1047417410.2590014</v>
      </c>
      <c r="I59" s="94"/>
      <c r="J59" s="144">
        <f t="shared" si="22"/>
        <v>932</v>
      </c>
      <c r="K59" s="145">
        <f>SUM(K49:K58)</f>
        <v>11331773.699999999</v>
      </c>
      <c r="L59" s="145">
        <f>SUM(L49:L58)</f>
        <v>5112583135</v>
      </c>
      <c r="M59" s="145">
        <f>SUM(M49:M58)</f>
        <v>920264964</v>
      </c>
      <c r="N59" s="146">
        <f t="shared" si="26"/>
        <v>0.78782831968714939</v>
      </c>
      <c r="O59" s="89"/>
      <c r="P59" s="144">
        <f>SUM(P49:P58)</f>
        <v>188</v>
      </c>
      <c r="Q59" s="145">
        <f>SUM(Q49:Q58)</f>
        <v>3051783.5</v>
      </c>
      <c r="R59" s="145">
        <f>SUM(R49:R58)</f>
        <v>706402478</v>
      </c>
      <c r="S59" s="145">
        <f>SUM(S49:S58)</f>
        <v>127152445</v>
      </c>
      <c r="T59" s="146">
        <f t="shared" si="35"/>
        <v>0.21217168031285058</v>
      </c>
      <c r="U59" s="107"/>
    </row>
    <row r="60" spans="1:21" ht="16.5" thickTop="1" thickBot="1" x14ac:dyDescent="0.3">
      <c r="C60" s="109" t="s">
        <v>136</v>
      </c>
      <c r="D60" s="109"/>
      <c r="E60" s="112">
        <v>2369</v>
      </c>
      <c r="F60" s="113">
        <v>82030120.350299999</v>
      </c>
      <c r="G60" s="113">
        <v>31198252916.482754</v>
      </c>
      <c r="H60" s="113">
        <v>8006852048.2435617</v>
      </c>
      <c r="I60" s="110"/>
      <c r="J60" s="114">
        <f>SUM(J25,J37,J48,J59)</f>
        <v>1890</v>
      </c>
      <c r="K60" s="115">
        <f>SUM(K25,K37,K48,K59)</f>
        <v>71625670.3134</v>
      </c>
      <c r="L60" s="115">
        <f>SUM(L25,L37,L48,L59)</f>
        <v>25853203724</v>
      </c>
      <c r="M60" s="115">
        <f>SUM(M25,M37,M48,M59)</f>
        <v>6594451899</v>
      </c>
      <c r="N60" s="116">
        <f t="shared" si="26"/>
        <v>0.8731630528826605</v>
      </c>
      <c r="O60" s="111"/>
      <c r="P60" s="114">
        <f>SUM(P25,P37,P48,P59)</f>
        <v>479</v>
      </c>
      <c r="Q60" s="115">
        <f>SUM(Q25,Q37,Q48,Q59)</f>
        <v>10404450.036899999</v>
      </c>
      <c r="R60" s="115">
        <f>SUM(R25,R37,R48,R59)</f>
        <v>5345049191</v>
      </c>
      <c r="S60" s="115">
        <f>SUM(S25,S37,S48,S59)</f>
        <v>1412400146</v>
      </c>
      <c r="T60" s="116">
        <f t="shared" si="35"/>
        <v>0.12683694711733953</v>
      </c>
      <c r="U60" s="107"/>
    </row>
    <row r="61" spans="1:21" ht="20.100000000000001" customHeight="1" thickTop="1" x14ac:dyDescent="0.25">
      <c r="D61"/>
      <c r="E61"/>
      <c r="F61"/>
      <c r="G61"/>
      <c r="H61"/>
      <c r="I61" s="94"/>
    </row>
    <row r="62" spans="1:21" ht="20.100000000000001" customHeight="1" x14ac:dyDescent="0.25">
      <c r="D62"/>
      <c r="E62"/>
      <c r="F62"/>
      <c r="G62"/>
      <c r="H62"/>
      <c r="I62" s="94"/>
    </row>
    <row r="63" spans="1:21" ht="20.100000000000001" customHeight="1" x14ac:dyDescent="0.25">
      <c r="D63"/>
      <c r="E63"/>
      <c r="F63"/>
      <c r="G63"/>
      <c r="H63"/>
      <c r="I63" s="94"/>
    </row>
    <row r="64" spans="1:21" ht="20.100000000000001" customHeight="1" x14ac:dyDescent="0.25">
      <c r="D64"/>
      <c r="E64"/>
      <c r="F64"/>
      <c r="G64"/>
      <c r="H64"/>
      <c r="I64" s="94"/>
    </row>
    <row r="65" spans="4:9" ht="20.100000000000001" customHeight="1" x14ac:dyDescent="0.25">
      <c r="D65"/>
      <c r="E65"/>
      <c r="F65"/>
      <c r="G65"/>
      <c r="H65"/>
      <c r="I65" s="94"/>
    </row>
    <row r="66" spans="4:9" ht="20.100000000000001" customHeight="1" x14ac:dyDescent="0.25">
      <c r="D66"/>
      <c r="E66"/>
      <c r="F66"/>
      <c r="G66"/>
      <c r="H66"/>
      <c r="I66" s="94"/>
    </row>
    <row r="67" spans="4:9" ht="20.100000000000001" customHeight="1" x14ac:dyDescent="0.25">
      <c r="D67"/>
      <c r="E67"/>
      <c r="F67"/>
      <c r="G67"/>
      <c r="H67"/>
      <c r="I67" s="94"/>
    </row>
    <row r="68" spans="4:9" ht="20.100000000000001" customHeight="1" x14ac:dyDescent="0.25">
      <c r="D68"/>
      <c r="E68"/>
      <c r="F68"/>
      <c r="G68"/>
      <c r="H68"/>
      <c r="I68" s="94"/>
    </row>
    <row r="69" spans="4:9" ht="20.100000000000001" customHeight="1" x14ac:dyDescent="0.25">
      <c r="D69"/>
      <c r="E69"/>
      <c r="F69"/>
      <c r="G69"/>
      <c r="H69"/>
      <c r="I69" s="94"/>
    </row>
    <row r="70" spans="4:9" ht="20.100000000000001" customHeight="1" x14ac:dyDescent="0.25">
      <c r="D70"/>
      <c r="E70"/>
      <c r="F70"/>
      <c r="G70"/>
      <c r="H70"/>
      <c r="I70" s="94"/>
    </row>
    <row r="71" spans="4:9" ht="20.100000000000001" customHeight="1" x14ac:dyDescent="0.25">
      <c r="D71"/>
      <c r="E71"/>
      <c r="F71"/>
      <c r="G71"/>
      <c r="H71"/>
      <c r="I71" s="94"/>
    </row>
    <row r="72" spans="4:9" ht="20.100000000000001" customHeight="1" x14ac:dyDescent="0.25">
      <c r="D72"/>
      <c r="E72"/>
      <c r="F72"/>
      <c r="G72"/>
      <c r="H72"/>
      <c r="I72" s="94"/>
    </row>
    <row r="73" spans="4:9" ht="20.100000000000001" customHeight="1" x14ac:dyDescent="0.25">
      <c r="D73"/>
      <c r="E73"/>
      <c r="F73"/>
      <c r="G73"/>
      <c r="H73"/>
      <c r="I73" s="94"/>
    </row>
    <row r="74" spans="4:9" ht="20.100000000000001" customHeight="1" x14ac:dyDescent="0.25">
      <c r="D74"/>
      <c r="E74"/>
      <c r="F74"/>
      <c r="G74"/>
      <c r="H74"/>
      <c r="I74" s="94"/>
    </row>
    <row r="75" spans="4:9" ht="20.100000000000001" customHeight="1" x14ac:dyDescent="0.25">
      <c r="D75"/>
      <c r="E75"/>
      <c r="F75"/>
      <c r="G75"/>
      <c r="H75"/>
      <c r="I75" s="94"/>
    </row>
    <row r="76" spans="4:9" ht="20.100000000000001" customHeight="1" x14ac:dyDescent="0.25">
      <c r="D76"/>
      <c r="E76"/>
      <c r="F76"/>
      <c r="G76"/>
      <c r="H76"/>
      <c r="I76" s="94"/>
    </row>
    <row r="77" spans="4:9" ht="20.100000000000001" customHeight="1" x14ac:dyDescent="0.25">
      <c r="D77"/>
      <c r="E77"/>
      <c r="F77"/>
      <c r="G77"/>
      <c r="H77"/>
      <c r="I77" s="94"/>
    </row>
    <row r="78" spans="4:9" ht="20.100000000000001" customHeight="1" x14ac:dyDescent="0.25">
      <c r="D78"/>
      <c r="E78"/>
      <c r="F78"/>
      <c r="G78"/>
      <c r="H78"/>
      <c r="I78" s="94"/>
    </row>
    <row r="79" spans="4:9" ht="20.100000000000001" customHeight="1" x14ac:dyDescent="0.25">
      <c r="D79"/>
      <c r="E79"/>
      <c r="F79"/>
      <c r="G79"/>
      <c r="H79"/>
      <c r="I79" s="94"/>
    </row>
    <row r="80" spans="4:9" ht="20.100000000000001" customHeight="1" x14ac:dyDescent="0.25">
      <c r="D80"/>
      <c r="E80"/>
      <c r="F80"/>
      <c r="G80"/>
      <c r="H80"/>
      <c r="I80" s="94"/>
    </row>
    <row r="81" spans="4:9" ht="20.100000000000001" customHeight="1" x14ac:dyDescent="0.25">
      <c r="D81"/>
      <c r="E81"/>
      <c r="F81"/>
      <c r="G81"/>
      <c r="H81"/>
      <c r="I81" s="94"/>
    </row>
    <row r="82" spans="4:9" ht="20.100000000000001" customHeight="1" x14ac:dyDescent="0.25">
      <c r="D82"/>
      <c r="E82"/>
      <c r="F82"/>
      <c r="G82"/>
      <c r="H82"/>
      <c r="I82" s="94"/>
    </row>
    <row r="83" spans="4:9" ht="20.100000000000001" customHeight="1" x14ac:dyDescent="0.25">
      <c r="D83"/>
      <c r="E83"/>
      <c r="F83"/>
      <c r="G83"/>
      <c r="H83"/>
      <c r="I83" s="94"/>
    </row>
    <row r="84" spans="4:9" ht="20.100000000000001" customHeight="1" x14ac:dyDescent="0.25">
      <c r="D84"/>
      <c r="E84"/>
      <c r="F84"/>
      <c r="G84"/>
      <c r="H84"/>
      <c r="I84" s="94"/>
    </row>
    <row r="85" spans="4:9" ht="20.100000000000001" customHeight="1" x14ac:dyDescent="0.25">
      <c r="D85"/>
      <c r="E85"/>
      <c r="F85"/>
      <c r="G85"/>
      <c r="H85"/>
      <c r="I85" s="94"/>
    </row>
    <row r="86" spans="4:9" ht="20.100000000000001" customHeight="1" x14ac:dyDescent="0.25">
      <c r="D86"/>
      <c r="E86"/>
      <c r="F86"/>
      <c r="G86"/>
      <c r="H86"/>
      <c r="I86" s="94"/>
    </row>
    <row r="87" spans="4:9" ht="20.100000000000001" customHeight="1" x14ac:dyDescent="0.25">
      <c r="D87"/>
      <c r="E87"/>
      <c r="F87"/>
      <c r="G87"/>
      <c r="H87"/>
      <c r="I87" s="94"/>
    </row>
    <row r="88" spans="4:9" ht="20.100000000000001" customHeight="1" x14ac:dyDescent="0.25">
      <c r="D88"/>
      <c r="E88"/>
      <c r="F88"/>
      <c r="G88"/>
      <c r="H88"/>
      <c r="I88" s="94"/>
    </row>
    <row r="89" spans="4:9" ht="20.100000000000001" customHeight="1" x14ac:dyDescent="0.25">
      <c r="D89"/>
      <c r="E89"/>
      <c r="F89"/>
      <c r="G89"/>
      <c r="H89"/>
      <c r="I89" s="94"/>
    </row>
    <row r="90" spans="4:9" ht="20.100000000000001" customHeight="1" x14ac:dyDescent="0.25">
      <c r="D90"/>
      <c r="E90"/>
      <c r="F90"/>
      <c r="G90"/>
      <c r="H90"/>
      <c r="I90" s="94"/>
    </row>
    <row r="91" spans="4:9" ht="20.100000000000001" customHeight="1" x14ac:dyDescent="0.25">
      <c r="D91"/>
      <c r="E91"/>
      <c r="F91"/>
      <c r="G91"/>
      <c r="H91"/>
      <c r="I91" s="94"/>
    </row>
    <row r="92" spans="4:9" ht="20.100000000000001" customHeight="1" x14ac:dyDescent="0.25">
      <c r="D92"/>
      <c r="E92"/>
      <c r="F92"/>
      <c r="G92"/>
      <c r="H92"/>
      <c r="I92" s="94"/>
    </row>
    <row r="93" spans="4:9" ht="20.100000000000001" customHeight="1" x14ac:dyDescent="0.25">
      <c r="D93"/>
      <c r="E93"/>
      <c r="F93"/>
      <c r="G93"/>
      <c r="H93"/>
      <c r="I93" s="94"/>
    </row>
    <row r="94" spans="4:9" ht="20.100000000000001" customHeight="1" x14ac:dyDescent="0.25">
      <c r="D94"/>
      <c r="E94"/>
      <c r="F94"/>
      <c r="G94"/>
      <c r="H94"/>
      <c r="I94" s="94"/>
    </row>
    <row r="95" spans="4:9" ht="20.100000000000001" customHeight="1" x14ac:dyDescent="0.25">
      <c r="D95"/>
      <c r="E95"/>
      <c r="F95"/>
      <c r="G95"/>
      <c r="H95"/>
      <c r="I95" s="94"/>
    </row>
    <row r="96" spans="4:9" ht="20.100000000000001" customHeight="1" x14ac:dyDescent="0.25">
      <c r="D96"/>
      <c r="E96"/>
      <c r="F96"/>
      <c r="G96"/>
      <c r="H96"/>
      <c r="I96" s="94"/>
    </row>
    <row r="97" spans="4:9" ht="20.100000000000001" customHeight="1" x14ac:dyDescent="0.25">
      <c r="D97"/>
      <c r="E97"/>
      <c r="F97"/>
      <c r="G97"/>
      <c r="H97"/>
      <c r="I97" s="94"/>
    </row>
    <row r="98" spans="4:9" ht="20.100000000000001" customHeight="1" x14ac:dyDescent="0.25">
      <c r="D98"/>
      <c r="E98"/>
      <c r="F98"/>
      <c r="G98"/>
      <c r="H98"/>
      <c r="I98" s="94"/>
    </row>
    <row r="99" spans="4:9" ht="20.100000000000001" customHeight="1" x14ac:dyDescent="0.25">
      <c r="D99"/>
      <c r="E99"/>
      <c r="F99"/>
      <c r="G99"/>
      <c r="H99"/>
      <c r="I99" s="94"/>
    </row>
    <row r="100" spans="4:9" ht="20.100000000000001" customHeight="1" x14ac:dyDescent="0.25">
      <c r="D100"/>
      <c r="E100"/>
      <c r="F100"/>
      <c r="G100"/>
      <c r="H100"/>
      <c r="I100" s="94"/>
    </row>
    <row r="101" spans="4:9" ht="20.100000000000001" customHeight="1" x14ac:dyDescent="0.25">
      <c r="D101"/>
      <c r="E101"/>
      <c r="F101"/>
      <c r="G101"/>
      <c r="H101"/>
      <c r="I101" s="94"/>
    </row>
    <row r="102" spans="4:9" ht="20.100000000000001" customHeight="1" x14ac:dyDescent="0.25">
      <c r="D102"/>
      <c r="E102"/>
      <c r="F102"/>
      <c r="G102"/>
      <c r="H102"/>
      <c r="I102" s="94"/>
    </row>
    <row r="103" spans="4:9" ht="20.100000000000001" customHeight="1" x14ac:dyDescent="0.25">
      <c r="D103"/>
      <c r="E103"/>
      <c r="F103"/>
      <c r="G103"/>
      <c r="H103"/>
      <c r="I103" s="94"/>
    </row>
    <row r="104" spans="4:9" ht="20.100000000000001" customHeight="1" x14ac:dyDescent="0.25">
      <c r="D104"/>
      <c r="E104"/>
      <c r="F104"/>
      <c r="G104"/>
      <c r="H104"/>
      <c r="I104" s="94"/>
    </row>
    <row r="105" spans="4:9" ht="20.100000000000001" customHeight="1" x14ac:dyDescent="0.25">
      <c r="D105"/>
      <c r="E105"/>
      <c r="F105"/>
      <c r="G105"/>
      <c r="H105"/>
      <c r="I105" s="94"/>
    </row>
    <row r="106" spans="4:9" ht="20.100000000000001" customHeight="1" x14ac:dyDescent="0.25">
      <c r="D106"/>
      <c r="E106"/>
      <c r="F106"/>
      <c r="G106"/>
      <c r="H106"/>
      <c r="I106" s="94"/>
    </row>
    <row r="107" spans="4:9" ht="20.100000000000001" customHeight="1" x14ac:dyDescent="0.25">
      <c r="D107"/>
      <c r="E107"/>
      <c r="F107"/>
      <c r="G107"/>
      <c r="H107"/>
      <c r="I107" s="94"/>
    </row>
    <row r="108" spans="4:9" ht="20.100000000000001" customHeight="1" x14ac:dyDescent="0.25">
      <c r="D108"/>
      <c r="E108"/>
      <c r="F108"/>
      <c r="G108"/>
      <c r="H108"/>
      <c r="I108" s="94"/>
    </row>
    <row r="109" spans="4:9" ht="20.100000000000001" customHeight="1" x14ac:dyDescent="0.25">
      <c r="D109"/>
      <c r="E109"/>
      <c r="F109"/>
      <c r="G109"/>
      <c r="H109"/>
      <c r="I109" s="94"/>
    </row>
    <row r="110" spans="4:9" ht="20.100000000000001" customHeight="1" x14ac:dyDescent="0.25">
      <c r="D110"/>
      <c r="E110"/>
      <c r="F110"/>
      <c r="G110"/>
      <c r="H110"/>
      <c r="I110" s="94"/>
    </row>
    <row r="111" spans="4:9" ht="20.100000000000001" customHeight="1" x14ac:dyDescent="0.25">
      <c r="D111"/>
      <c r="E111"/>
      <c r="F111"/>
      <c r="G111"/>
      <c r="H111"/>
      <c r="I111" s="94"/>
    </row>
    <row r="112" spans="4:9" ht="20.100000000000001" customHeight="1" x14ac:dyDescent="0.25">
      <c r="D112"/>
      <c r="E112"/>
      <c r="F112"/>
      <c r="G112"/>
      <c r="H112"/>
      <c r="I112" s="94"/>
    </row>
    <row r="113" spans="4:9" ht="20.100000000000001" customHeight="1" x14ac:dyDescent="0.25">
      <c r="D113"/>
      <c r="E113"/>
      <c r="F113"/>
      <c r="G113"/>
      <c r="H113"/>
      <c r="I113" s="94"/>
    </row>
    <row r="114" spans="4:9" ht="20.100000000000001" customHeight="1" x14ac:dyDescent="0.25">
      <c r="D114"/>
      <c r="E114"/>
      <c r="F114"/>
      <c r="G114"/>
      <c r="H114"/>
      <c r="I114" s="94"/>
    </row>
    <row r="115" spans="4:9" ht="20.100000000000001" customHeight="1" x14ac:dyDescent="0.25">
      <c r="D115"/>
      <c r="E115"/>
      <c r="F115"/>
      <c r="G115"/>
      <c r="H115"/>
      <c r="I115" s="94"/>
    </row>
    <row r="116" spans="4:9" ht="20.100000000000001" customHeight="1" x14ac:dyDescent="0.25">
      <c r="D116"/>
      <c r="E116"/>
      <c r="F116"/>
      <c r="G116"/>
      <c r="H116"/>
      <c r="I116" s="94"/>
    </row>
    <row r="117" spans="4:9" ht="20.100000000000001" customHeight="1" x14ac:dyDescent="0.25">
      <c r="D117"/>
      <c r="E117"/>
      <c r="F117"/>
      <c r="G117"/>
      <c r="H117"/>
      <c r="I117" s="94"/>
    </row>
    <row r="118" spans="4:9" ht="20.100000000000001" customHeight="1" x14ac:dyDescent="0.25">
      <c r="D118"/>
      <c r="E118"/>
      <c r="F118"/>
      <c r="G118"/>
      <c r="H118"/>
      <c r="I118" s="94"/>
    </row>
    <row r="119" spans="4:9" ht="20.100000000000001" customHeight="1" x14ac:dyDescent="0.25">
      <c r="D119"/>
      <c r="E119"/>
      <c r="F119"/>
      <c r="G119"/>
      <c r="H119"/>
      <c r="I119" s="94"/>
    </row>
    <row r="120" spans="4:9" ht="20.100000000000001" customHeight="1" x14ac:dyDescent="0.25">
      <c r="D120"/>
      <c r="E120"/>
      <c r="F120"/>
      <c r="G120"/>
      <c r="H120"/>
      <c r="I120" s="94"/>
    </row>
    <row r="121" spans="4:9" ht="20.100000000000001" customHeight="1" x14ac:dyDescent="0.25">
      <c r="D121"/>
      <c r="E121"/>
      <c r="F121"/>
      <c r="G121"/>
      <c r="H121"/>
      <c r="I121" s="94"/>
    </row>
    <row r="122" spans="4:9" ht="20.100000000000001" customHeight="1" x14ac:dyDescent="0.25">
      <c r="D122"/>
      <c r="E122"/>
      <c r="F122"/>
      <c r="G122"/>
      <c r="H122"/>
      <c r="I122" s="94"/>
    </row>
    <row r="123" spans="4:9" ht="20.100000000000001" customHeight="1" x14ac:dyDescent="0.25">
      <c r="D123"/>
      <c r="E123"/>
      <c r="F123"/>
      <c r="G123"/>
      <c r="H123"/>
      <c r="I123" s="94"/>
    </row>
    <row r="124" spans="4:9" ht="20.100000000000001" customHeight="1" x14ac:dyDescent="0.25">
      <c r="D124"/>
      <c r="E124"/>
      <c r="F124"/>
      <c r="G124"/>
      <c r="H124"/>
      <c r="I124" s="94"/>
    </row>
    <row r="125" spans="4:9" ht="20.100000000000001" customHeight="1" x14ac:dyDescent="0.25">
      <c r="D125"/>
      <c r="E125"/>
      <c r="F125"/>
      <c r="G125"/>
      <c r="H125"/>
      <c r="I125" s="94"/>
    </row>
    <row r="126" spans="4:9" ht="20.100000000000001" customHeight="1" x14ac:dyDescent="0.25">
      <c r="D126"/>
      <c r="E126"/>
      <c r="F126"/>
      <c r="G126"/>
      <c r="H126"/>
      <c r="I126" s="94"/>
    </row>
    <row r="127" spans="4:9" ht="20.100000000000001" customHeight="1" x14ac:dyDescent="0.25">
      <c r="D127"/>
      <c r="E127"/>
      <c r="F127"/>
      <c r="G127"/>
      <c r="H127"/>
      <c r="I127" s="94"/>
    </row>
    <row r="128" spans="4:9" ht="20.100000000000001" customHeight="1" x14ac:dyDescent="0.25">
      <c r="D128"/>
      <c r="E128"/>
      <c r="F128"/>
      <c r="G128"/>
      <c r="H128"/>
      <c r="I128" s="94"/>
    </row>
    <row r="129" spans="4:9" ht="20.100000000000001" customHeight="1" x14ac:dyDescent="0.25">
      <c r="D129"/>
      <c r="E129"/>
      <c r="F129"/>
      <c r="G129"/>
      <c r="H129"/>
      <c r="I129" s="94"/>
    </row>
    <row r="130" spans="4:9" ht="20.100000000000001" customHeight="1" x14ac:dyDescent="0.25">
      <c r="D130"/>
      <c r="E130"/>
      <c r="F130"/>
      <c r="G130"/>
      <c r="H130"/>
      <c r="I130" s="94"/>
    </row>
    <row r="131" spans="4:9" ht="20.100000000000001" customHeight="1" x14ac:dyDescent="0.25">
      <c r="D131"/>
      <c r="E131"/>
      <c r="F131"/>
      <c r="G131"/>
      <c r="H131"/>
      <c r="I131" s="94"/>
    </row>
    <row r="132" spans="4:9" ht="20.100000000000001" customHeight="1" x14ac:dyDescent="0.25">
      <c r="D132"/>
      <c r="E132"/>
      <c r="F132"/>
      <c r="G132"/>
      <c r="H132"/>
      <c r="I132" s="94"/>
    </row>
    <row r="133" spans="4:9" ht="20.100000000000001" customHeight="1" x14ac:dyDescent="0.25">
      <c r="D133"/>
      <c r="E133"/>
      <c r="F133"/>
      <c r="G133"/>
      <c r="H133"/>
      <c r="I133" s="94"/>
    </row>
    <row r="134" spans="4:9" ht="20.100000000000001" customHeight="1" x14ac:dyDescent="0.25">
      <c r="D134"/>
      <c r="E134"/>
      <c r="F134"/>
      <c r="G134"/>
      <c r="H134"/>
      <c r="I134" s="94"/>
    </row>
    <row r="135" spans="4:9" ht="20.100000000000001" customHeight="1" x14ac:dyDescent="0.25">
      <c r="D135"/>
      <c r="E135"/>
      <c r="F135"/>
      <c r="G135"/>
      <c r="H135"/>
      <c r="I135" s="94"/>
    </row>
    <row r="136" spans="4:9" ht="20.100000000000001" customHeight="1" x14ac:dyDescent="0.25">
      <c r="D136"/>
      <c r="E136"/>
      <c r="F136"/>
      <c r="G136"/>
      <c r="H136"/>
      <c r="I136" s="94"/>
    </row>
    <row r="137" spans="4:9" ht="20.100000000000001" customHeight="1" x14ac:dyDescent="0.25">
      <c r="D137"/>
      <c r="E137"/>
      <c r="F137"/>
      <c r="G137"/>
      <c r="H137"/>
      <c r="I137" s="94"/>
    </row>
    <row r="138" spans="4:9" ht="20.100000000000001" customHeight="1" x14ac:dyDescent="0.25">
      <c r="D138"/>
      <c r="E138"/>
      <c r="F138"/>
      <c r="G138"/>
      <c r="H138"/>
      <c r="I138" s="94"/>
    </row>
    <row r="139" spans="4:9" ht="20.100000000000001" customHeight="1" x14ac:dyDescent="0.25">
      <c r="D139"/>
      <c r="E139"/>
      <c r="F139"/>
      <c r="G139"/>
      <c r="H139"/>
      <c r="I139" s="94"/>
    </row>
    <row r="140" spans="4:9" ht="20.100000000000001" customHeight="1" x14ac:dyDescent="0.25">
      <c r="D140"/>
      <c r="E140"/>
      <c r="F140"/>
      <c r="G140"/>
      <c r="H140"/>
      <c r="I140" s="94"/>
    </row>
    <row r="141" spans="4:9" ht="20.100000000000001" customHeight="1" x14ac:dyDescent="0.25">
      <c r="D141"/>
      <c r="E141"/>
      <c r="F141"/>
      <c r="G141"/>
      <c r="H141"/>
      <c r="I141" s="94"/>
    </row>
    <row r="142" spans="4:9" ht="20.100000000000001" customHeight="1" x14ac:dyDescent="0.25">
      <c r="D142"/>
      <c r="E142"/>
      <c r="F142"/>
      <c r="G142"/>
      <c r="H142"/>
      <c r="I142" s="94"/>
    </row>
    <row r="143" spans="4:9" ht="20.100000000000001" customHeight="1" x14ac:dyDescent="0.25">
      <c r="D143"/>
      <c r="E143"/>
      <c r="F143"/>
      <c r="G143"/>
      <c r="H143"/>
      <c r="I143" s="94"/>
    </row>
    <row r="144" spans="4:9" ht="20.100000000000001" customHeight="1" x14ac:dyDescent="0.25">
      <c r="D144"/>
      <c r="E144"/>
      <c r="F144"/>
      <c r="G144"/>
      <c r="H144"/>
      <c r="I144" s="94"/>
    </row>
    <row r="145" spans="4:9" ht="20.100000000000001" customHeight="1" x14ac:dyDescent="0.25">
      <c r="D145"/>
      <c r="E145"/>
      <c r="F145"/>
      <c r="G145"/>
      <c r="H145"/>
      <c r="I145" s="94"/>
    </row>
    <row r="146" spans="4:9" ht="20.100000000000001" customHeight="1" x14ac:dyDescent="0.25">
      <c r="D146"/>
      <c r="E146"/>
      <c r="F146"/>
      <c r="G146"/>
      <c r="H146"/>
      <c r="I146" s="94"/>
    </row>
    <row r="147" spans="4:9" ht="20.100000000000001" customHeight="1" x14ac:dyDescent="0.25">
      <c r="D147"/>
      <c r="E147"/>
      <c r="F147"/>
      <c r="G147"/>
      <c r="H147"/>
      <c r="I147" s="94"/>
    </row>
    <row r="148" spans="4:9" ht="20.100000000000001" customHeight="1" x14ac:dyDescent="0.25">
      <c r="D148"/>
      <c r="E148"/>
      <c r="F148"/>
      <c r="G148"/>
      <c r="H148"/>
      <c r="I148" s="94"/>
    </row>
    <row r="149" spans="4:9" ht="20.100000000000001" customHeight="1" x14ac:dyDescent="0.25">
      <c r="D149"/>
      <c r="E149"/>
      <c r="F149"/>
      <c r="G149"/>
      <c r="H149"/>
      <c r="I149" s="94"/>
    </row>
    <row r="150" spans="4:9" ht="20.100000000000001" customHeight="1" x14ac:dyDescent="0.25">
      <c r="D150"/>
      <c r="E150"/>
      <c r="F150"/>
      <c r="G150"/>
      <c r="H150"/>
      <c r="I150" s="94"/>
    </row>
    <row r="151" spans="4:9" ht="20.100000000000001" customHeight="1" x14ac:dyDescent="0.25">
      <c r="D151"/>
      <c r="E151"/>
      <c r="F151"/>
      <c r="G151"/>
      <c r="H151"/>
      <c r="I151" s="94"/>
    </row>
    <row r="152" spans="4:9" ht="20.100000000000001" customHeight="1" x14ac:dyDescent="0.25">
      <c r="D152"/>
      <c r="E152"/>
      <c r="F152"/>
      <c r="G152"/>
      <c r="H152"/>
      <c r="I152" s="94"/>
    </row>
    <row r="153" spans="4:9" ht="20.100000000000001" customHeight="1" x14ac:dyDescent="0.25">
      <c r="D153"/>
      <c r="E153"/>
      <c r="F153"/>
      <c r="G153"/>
      <c r="H153"/>
      <c r="I153" s="94"/>
    </row>
    <row r="154" spans="4:9" ht="20.100000000000001" customHeight="1" x14ac:dyDescent="0.25">
      <c r="D154"/>
      <c r="E154"/>
      <c r="F154"/>
      <c r="G154"/>
      <c r="H154"/>
      <c r="I154" s="94"/>
    </row>
    <row r="155" spans="4:9" ht="20.100000000000001" customHeight="1" x14ac:dyDescent="0.25">
      <c r="D155"/>
      <c r="E155"/>
      <c r="F155"/>
      <c r="G155"/>
      <c r="H155"/>
      <c r="I155" s="94"/>
    </row>
    <row r="156" spans="4:9" ht="20.100000000000001" customHeight="1" x14ac:dyDescent="0.25">
      <c r="D156"/>
      <c r="E156"/>
      <c r="F156"/>
      <c r="G156"/>
      <c r="H156"/>
      <c r="I156" s="94"/>
    </row>
    <row r="157" spans="4:9" ht="20.100000000000001" customHeight="1" x14ac:dyDescent="0.25">
      <c r="D157"/>
      <c r="E157"/>
      <c r="F157"/>
      <c r="G157"/>
      <c r="H157"/>
      <c r="I157" s="94"/>
    </row>
    <row r="158" spans="4:9" ht="20.100000000000001" customHeight="1" x14ac:dyDescent="0.25">
      <c r="D158"/>
      <c r="E158"/>
      <c r="F158"/>
      <c r="G158"/>
      <c r="H158"/>
      <c r="I158" s="94"/>
    </row>
    <row r="159" spans="4:9" ht="20.100000000000001" customHeight="1" x14ac:dyDescent="0.25">
      <c r="D159"/>
      <c r="E159"/>
      <c r="F159"/>
      <c r="G159"/>
      <c r="H159"/>
      <c r="I159" s="94"/>
    </row>
    <row r="160" spans="4:9" ht="20.100000000000001" customHeight="1" x14ac:dyDescent="0.25">
      <c r="D160"/>
      <c r="E160"/>
      <c r="F160"/>
      <c r="G160"/>
      <c r="H160"/>
      <c r="I160" s="94"/>
    </row>
    <row r="161" spans="4:9" ht="20.100000000000001" customHeight="1" x14ac:dyDescent="0.25">
      <c r="D161"/>
      <c r="E161"/>
      <c r="F161"/>
      <c r="G161"/>
      <c r="H161"/>
      <c r="I161" s="94"/>
    </row>
    <row r="162" spans="4:9" ht="20.100000000000001" customHeight="1" x14ac:dyDescent="0.25">
      <c r="D162"/>
      <c r="E162"/>
      <c r="F162"/>
      <c r="G162"/>
      <c r="H162"/>
      <c r="I162" s="94"/>
    </row>
    <row r="163" spans="4:9" ht="20.100000000000001" customHeight="1" x14ac:dyDescent="0.25">
      <c r="D163"/>
      <c r="E163"/>
      <c r="F163"/>
      <c r="G163"/>
      <c r="H163"/>
      <c r="I163" s="94"/>
    </row>
    <row r="164" spans="4:9" ht="20.100000000000001" customHeight="1" x14ac:dyDescent="0.25">
      <c r="D164"/>
      <c r="E164"/>
      <c r="F164"/>
      <c r="G164"/>
      <c r="H164"/>
      <c r="I164" s="94"/>
    </row>
    <row r="165" spans="4:9" ht="20.100000000000001" customHeight="1" x14ac:dyDescent="0.25">
      <c r="D165"/>
      <c r="E165"/>
      <c r="F165"/>
      <c r="G165"/>
      <c r="H165"/>
      <c r="I165" s="94"/>
    </row>
    <row r="166" spans="4:9" ht="20.100000000000001" customHeight="1" x14ac:dyDescent="0.25">
      <c r="D166"/>
      <c r="E166"/>
      <c r="F166"/>
      <c r="G166"/>
      <c r="H166"/>
      <c r="I166" s="94"/>
    </row>
    <row r="167" spans="4:9" ht="20.100000000000001" customHeight="1" x14ac:dyDescent="0.25">
      <c r="D167"/>
      <c r="E167"/>
      <c r="F167"/>
      <c r="G167"/>
      <c r="H167"/>
      <c r="I167" s="94"/>
    </row>
    <row r="168" spans="4:9" ht="20.100000000000001" customHeight="1" x14ac:dyDescent="0.25">
      <c r="D168"/>
      <c r="E168"/>
      <c r="F168"/>
      <c r="G168"/>
      <c r="H168"/>
      <c r="I168" s="94"/>
    </row>
    <row r="169" spans="4:9" ht="20.100000000000001" customHeight="1" x14ac:dyDescent="0.25">
      <c r="D169"/>
      <c r="E169"/>
      <c r="F169"/>
      <c r="G169"/>
      <c r="H169"/>
      <c r="I169" s="94"/>
    </row>
    <row r="170" spans="4:9" ht="20.100000000000001" customHeight="1" x14ac:dyDescent="0.25">
      <c r="D170"/>
      <c r="E170"/>
      <c r="F170"/>
      <c r="G170"/>
      <c r="H170"/>
      <c r="I170" s="94"/>
    </row>
    <row r="171" spans="4:9" ht="20.100000000000001" customHeight="1" x14ac:dyDescent="0.25">
      <c r="D171"/>
      <c r="E171"/>
      <c r="F171"/>
      <c r="G171"/>
      <c r="H171"/>
      <c r="I171" s="94"/>
    </row>
    <row r="172" spans="4:9" ht="20.100000000000001" customHeight="1" x14ac:dyDescent="0.25">
      <c r="D172"/>
      <c r="E172"/>
      <c r="F172"/>
      <c r="G172"/>
      <c r="H172"/>
      <c r="I172" s="94"/>
    </row>
    <row r="173" spans="4:9" ht="20.100000000000001" customHeight="1" x14ac:dyDescent="0.25">
      <c r="D173"/>
      <c r="E173"/>
      <c r="F173"/>
      <c r="G173"/>
      <c r="H173"/>
      <c r="I173" s="94"/>
    </row>
    <row r="174" spans="4:9" ht="20.100000000000001" customHeight="1" x14ac:dyDescent="0.25">
      <c r="D174"/>
      <c r="E174"/>
      <c r="F174"/>
      <c r="G174"/>
      <c r="H174"/>
      <c r="I174" s="94"/>
    </row>
    <row r="175" spans="4:9" ht="20.100000000000001" customHeight="1" x14ac:dyDescent="0.25">
      <c r="D175"/>
      <c r="E175"/>
      <c r="F175"/>
      <c r="G175"/>
      <c r="H175"/>
      <c r="I175" s="94"/>
    </row>
    <row r="176" spans="4:9" ht="20.100000000000001" customHeight="1" x14ac:dyDescent="0.25">
      <c r="D176"/>
      <c r="E176"/>
      <c r="F176"/>
      <c r="G176"/>
      <c r="H176"/>
      <c r="I176" s="94"/>
    </row>
    <row r="177" spans="4:9" ht="20.100000000000001" customHeight="1" x14ac:dyDescent="0.25">
      <c r="D177"/>
      <c r="E177"/>
      <c r="F177"/>
      <c r="G177"/>
      <c r="H177"/>
      <c r="I177" s="94"/>
    </row>
    <row r="178" spans="4:9" ht="20.100000000000001" customHeight="1" x14ac:dyDescent="0.25">
      <c r="D178"/>
      <c r="E178"/>
      <c r="F178"/>
      <c r="G178"/>
      <c r="H178"/>
      <c r="I178" s="94"/>
    </row>
    <row r="179" spans="4:9" ht="20.100000000000001" customHeight="1" x14ac:dyDescent="0.25">
      <c r="D179"/>
      <c r="E179"/>
      <c r="F179"/>
      <c r="G179"/>
      <c r="H179"/>
      <c r="I179" s="94"/>
    </row>
    <row r="180" spans="4:9" ht="20.100000000000001" customHeight="1" x14ac:dyDescent="0.25">
      <c r="D180"/>
      <c r="E180"/>
      <c r="F180"/>
      <c r="G180"/>
      <c r="H180"/>
      <c r="I180" s="94"/>
    </row>
    <row r="181" spans="4:9" ht="20.100000000000001" customHeight="1" x14ac:dyDescent="0.25">
      <c r="D181"/>
      <c r="E181"/>
      <c r="F181"/>
      <c r="G181"/>
      <c r="H181"/>
      <c r="I181" s="94"/>
    </row>
    <row r="182" spans="4:9" ht="20.100000000000001" customHeight="1" x14ac:dyDescent="0.25">
      <c r="D182"/>
      <c r="E182"/>
      <c r="F182"/>
      <c r="G182"/>
      <c r="H182"/>
      <c r="I182" s="94"/>
    </row>
    <row r="183" spans="4:9" ht="20.100000000000001" customHeight="1" x14ac:dyDescent="0.25">
      <c r="D183"/>
      <c r="E183"/>
      <c r="F183"/>
      <c r="G183"/>
      <c r="H183"/>
      <c r="I183" s="94"/>
    </row>
    <row r="184" spans="4:9" ht="20.100000000000001" customHeight="1" x14ac:dyDescent="0.25">
      <c r="D184"/>
      <c r="E184"/>
      <c r="F184"/>
      <c r="G184"/>
      <c r="H184"/>
      <c r="I184" s="94"/>
    </row>
    <row r="185" spans="4:9" ht="20.100000000000001" customHeight="1" x14ac:dyDescent="0.25">
      <c r="D185"/>
      <c r="E185"/>
      <c r="F185"/>
      <c r="G185"/>
      <c r="H185"/>
      <c r="I185" s="94"/>
    </row>
    <row r="186" spans="4:9" ht="20.100000000000001" customHeight="1" x14ac:dyDescent="0.25">
      <c r="D186"/>
      <c r="E186"/>
      <c r="F186"/>
      <c r="G186"/>
      <c r="H186"/>
      <c r="I186" s="94"/>
    </row>
    <row r="187" spans="4:9" ht="20.100000000000001" customHeight="1" x14ac:dyDescent="0.25">
      <c r="D187"/>
      <c r="E187"/>
      <c r="F187"/>
      <c r="G187"/>
      <c r="H187"/>
      <c r="I187" s="94"/>
    </row>
    <row r="188" spans="4:9" ht="20.100000000000001" customHeight="1" x14ac:dyDescent="0.25">
      <c r="D188"/>
      <c r="E188"/>
      <c r="F188"/>
      <c r="G188"/>
      <c r="H188"/>
      <c r="I188" s="94"/>
    </row>
    <row r="189" spans="4:9" ht="20.100000000000001" customHeight="1" x14ac:dyDescent="0.25">
      <c r="D189"/>
      <c r="E189"/>
      <c r="F189"/>
      <c r="G189"/>
      <c r="H189"/>
      <c r="I189" s="94"/>
    </row>
    <row r="190" spans="4:9" ht="20.100000000000001" customHeight="1" x14ac:dyDescent="0.25">
      <c r="D190"/>
      <c r="E190"/>
      <c r="F190"/>
      <c r="G190"/>
      <c r="H190"/>
      <c r="I190" s="94"/>
    </row>
    <row r="191" spans="4:9" ht="20.100000000000001" customHeight="1" x14ac:dyDescent="0.25">
      <c r="D191"/>
      <c r="E191"/>
      <c r="F191"/>
      <c r="G191"/>
      <c r="H191"/>
      <c r="I191" s="94"/>
    </row>
    <row r="192" spans="4:9" ht="20.100000000000001" customHeight="1" x14ac:dyDescent="0.25">
      <c r="D192"/>
      <c r="E192"/>
      <c r="F192"/>
      <c r="G192"/>
      <c r="H192"/>
      <c r="I192" s="94"/>
    </row>
    <row r="193" spans="4:9" ht="20.100000000000001" customHeight="1" x14ac:dyDescent="0.25">
      <c r="D193"/>
      <c r="E193"/>
      <c r="F193"/>
      <c r="G193"/>
      <c r="H193"/>
      <c r="I193" s="94"/>
    </row>
    <row r="194" spans="4:9" ht="20.100000000000001" customHeight="1" x14ac:dyDescent="0.25">
      <c r="D194"/>
      <c r="E194"/>
      <c r="F194"/>
      <c r="G194"/>
      <c r="H194"/>
      <c r="I194" s="94"/>
    </row>
    <row r="195" spans="4:9" ht="20.100000000000001" customHeight="1" x14ac:dyDescent="0.25">
      <c r="D195"/>
      <c r="E195"/>
      <c r="F195"/>
      <c r="G195"/>
      <c r="H195"/>
      <c r="I195" s="94"/>
    </row>
    <row r="196" spans="4:9" ht="20.100000000000001" customHeight="1" x14ac:dyDescent="0.25">
      <c r="D196"/>
      <c r="E196"/>
      <c r="F196"/>
      <c r="G196"/>
      <c r="H196"/>
      <c r="I196" s="94"/>
    </row>
    <row r="197" spans="4:9" ht="20.100000000000001" customHeight="1" x14ac:dyDescent="0.25">
      <c r="D197"/>
      <c r="E197"/>
      <c r="F197"/>
      <c r="G197"/>
      <c r="H197"/>
      <c r="I197" s="94"/>
    </row>
    <row r="198" spans="4:9" ht="20.100000000000001" customHeight="1" x14ac:dyDescent="0.25">
      <c r="D198"/>
      <c r="E198"/>
      <c r="F198"/>
      <c r="G198"/>
      <c r="H198"/>
      <c r="I198" s="94"/>
    </row>
    <row r="199" spans="4:9" ht="20.100000000000001" customHeight="1" x14ac:dyDescent="0.25">
      <c r="D199"/>
      <c r="E199"/>
      <c r="F199"/>
      <c r="G199"/>
      <c r="H199"/>
      <c r="I199" s="94"/>
    </row>
    <row r="200" spans="4:9" ht="20.100000000000001" customHeight="1" x14ac:dyDescent="0.25">
      <c r="D200"/>
      <c r="E200"/>
      <c r="F200"/>
      <c r="G200"/>
      <c r="H200"/>
      <c r="I200" s="94"/>
    </row>
    <row r="201" spans="4:9" ht="20.100000000000001" customHeight="1" x14ac:dyDescent="0.25">
      <c r="D201"/>
      <c r="E201"/>
      <c r="F201"/>
      <c r="G201"/>
      <c r="H201"/>
      <c r="I201" s="94"/>
    </row>
    <row r="202" spans="4:9" ht="20.100000000000001" customHeight="1" x14ac:dyDescent="0.25">
      <c r="D202"/>
      <c r="E202"/>
      <c r="F202"/>
      <c r="G202"/>
      <c r="H202"/>
      <c r="I202" s="94"/>
    </row>
  </sheetData>
  <mergeCells count="5">
    <mergeCell ref="D5:G5"/>
    <mergeCell ref="J5:N5"/>
    <mergeCell ref="P5:T5"/>
    <mergeCell ref="C2:T2"/>
    <mergeCell ref="C1:T1"/>
  </mergeCells>
  <pageMargins left="0.7" right="0.7" top="0.75" bottom="0.75" header="0.3" footer="0.3"/>
  <pageSetup paperSize="9" scale="60" fitToHeight="0" orientation="landscape" r:id="rId2"/>
  <rowBreaks count="1" manualBreakCount="1">
    <brk id="37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loadfileandCalc">
                <anchor moveWithCells="1" sizeWithCells="1">
                  <from>
                    <xdr:col>20</xdr:col>
                    <xdr:colOff>28575</xdr:colOff>
                    <xdr:row>0</xdr:row>
                    <xdr:rowOff>0</xdr:rowOff>
                  </from>
                  <to>
                    <xdr:col>21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9FE8-6E6C-41D4-BC10-B6E4EC89BB2F}">
  <sheetPr codeName="Sheet6">
    <tabColor rgb="FFFFC000"/>
    <pageSetUpPr fitToPage="1"/>
  </sheetPr>
  <dimension ref="A1:S204"/>
  <sheetViews>
    <sheetView topLeftCell="A4" workbookViewId="0">
      <selection activeCell="O16" sqref="O16"/>
    </sheetView>
  </sheetViews>
  <sheetFormatPr defaultRowHeight="15" x14ac:dyDescent="0.25"/>
  <cols>
    <col min="1" max="2" width="9.140625" customWidth="1"/>
    <col min="3" max="3" width="20.7109375" bestFit="1" customWidth="1"/>
    <col min="4" max="4" width="8.7109375" style="1" customWidth="1"/>
    <col min="5" max="5" width="14.28515625" style="1" customWidth="1"/>
    <col min="6" max="6" width="16.140625" style="1" customWidth="1"/>
    <col min="7" max="7" width="14.28515625" style="1" customWidth="1"/>
    <col min="8" max="8" width="3.7109375" style="91" customWidth="1"/>
    <col min="9" max="9" width="8.7109375" customWidth="1"/>
    <col min="10" max="12" width="14.28515625" style="1" customWidth="1"/>
    <col min="13" max="13" width="7.7109375" style="35" customWidth="1"/>
    <col min="14" max="14" width="3.7109375" style="86" customWidth="1"/>
    <col min="15" max="15" width="8.7109375" customWidth="1"/>
    <col min="16" max="16" width="14.28515625" customWidth="1"/>
    <col min="17" max="18" width="14.28515625" style="1" customWidth="1"/>
    <col min="19" max="19" width="7.7109375" style="75" customWidth="1"/>
  </cols>
  <sheetData>
    <row r="1" spans="1:19" ht="19.5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19" ht="19.5" x14ac:dyDescent="0.3">
      <c r="C2" s="118" t="s">
        <v>150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</row>
    <row r="3" spans="1:19" ht="19.5" x14ac:dyDescent="0.3">
      <c r="C3" s="117" t="s">
        <v>437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</row>
    <row r="4" spans="1:19" x14ac:dyDescent="0.25">
      <c r="C4" s="23" t="s">
        <v>379</v>
      </c>
      <c r="D4" s="15" t="s">
        <v>380</v>
      </c>
    </row>
    <row r="5" spans="1:19" hidden="1" x14ac:dyDescent="0.25">
      <c r="A5" s="3" t="s">
        <v>139</v>
      </c>
      <c r="B5" s="3" t="s">
        <v>140</v>
      </c>
      <c r="C5" s="23" t="s">
        <v>128</v>
      </c>
      <c r="D5" s="13" t="s">
        <v>135</v>
      </c>
    </row>
    <row r="6" spans="1:19" x14ac:dyDescent="0.25">
      <c r="C6" s="95"/>
      <c r="D6" s="119" t="s">
        <v>141</v>
      </c>
      <c r="E6" s="119"/>
      <c r="F6" s="119"/>
      <c r="G6" s="119"/>
      <c r="H6" s="87"/>
      <c r="I6" s="119" t="s">
        <v>142</v>
      </c>
      <c r="J6" s="119"/>
      <c r="K6" s="119"/>
      <c r="L6" s="119"/>
      <c r="M6" s="119"/>
      <c r="N6" s="87"/>
      <c r="O6" s="120" t="s">
        <v>143</v>
      </c>
      <c r="P6" s="120"/>
      <c r="Q6" s="120"/>
      <c r="R6" s="120"/>
      <c r="S6" s="120"/>
    </row>
    <row r="7" spans="1:19" x14ac:dyDescent="0.25">
      <c r="A7" s="5"/>
      <c r="B7" s="5"/>
      <c r="C7" s="23" t="s">
        <v>130</v>
      </c>
      <c r="D7" s="45" t="s">
        <v>386</v>
      </c>
      <c r="E7" s="12" t="s">
        <v>145</v>
      </c>
      <c r="F7" s="12" t="s">
        <v>147</v>
      </c>
      <c r="G7" s="12" t="s">
        <v>137</v>
      </c>
      <c r="H7" s="92"/>
      <c r="I7" s="46" t="s">
        <v>386</v>
      </c>
      <c r="J7" s="9" t="s">
        <v>144</v>
      </c>
      <c r="K7" s="9" t="s">
        <v>146</v>
      </c>
      <c r="L7" s="9" t="s">
        <v>137</v>
      </c>
      <c r="M7" s="71" t="s">
        <v>394</v>
      </c>
      <c r="N7" s="88"/>
      <c r="O7" s="46" t="s">
        <v>386</v>
      </c>
      <c r="P7" s="9" t="s">
        <v>144</v>
      </c>
      <c r="Q7" s="9" t="s">
        <v>138</v>
      </c>
      <c r="R7" s="9" t="s">
        <v>137</v>
      </c>
      <c r="S7" s="76" t="s">
        <v>394</v>
      </c>
    </row>
    <row r="8" spans="1:19" x14ac:dyDescent="0.25">
      <c r="A8" s="24">
        <f>F8/E8</f>
        <v>3894.6629556271059</v>
      </c>
      <c r="B8" s="24">
        <f>G8/E8</f>
        <v>1669.4310758283948</v>
      </c>
      <c r="C8" s="15" t="s">
        <v>395</v>
      </c>
      <c r="D8" s="45">
        <v>19</v>
      </c>
      <c r="E8" s="13">
        <v>27697.54</v>
      </c>
      <c r="F8" s="13">
        <v>107872583</v>
      </c>
      <c r="G8" s="13">
        <v>46239134</v>
      </c>
      <c r="H8" s="93"/>
      <c r="I8" s="45">
        <f t="shared" ref="I8:J23" si="0">D8-O8</f>
        <v>3</v>
      </c>
      <c r="J8" s="10">
        <f t="shared" si="0"/>
        <v>-5173.6699999999983</v>
      </c>
      <c r="K8" s="10">
        <f t="shared" ref="K8:K19" si="1">IF(J8&lt;&gt;0,ROUND(J8*A8,0),0)</f>
        <v>-20149701</v>
      </c>
      <c r="L8" s="10">
        <f>ROUND(J8*B8,0)</f>
        <v>-8637085</v>
      </c>
      <c r="M8" s="74">
        <f>K8/F8</f>
        <v>-0.18679167995819659</v>
      </c>
      <c r="N8" s="89"/>
      <c r="O8" s="45">
        <f>COUNTIFS([1]GD.List!$N$3:$N$1937,C8,[1]GD.List!$L$3:$L$1937,"&lt;&gt;0")</f>
        <v>16</v>
      </c>
      <c r="P8" s="10">
        <f>SUMIFS([1]GD.List!$L$3:$L$5000,[1]GD.List!$N$3:$N$5000,C8)</f>
        <v>32871.21</v>
      </c>
      <c r="Q8" s="10">
        <f>ROUND(P8*A8,0)</f>
        <v>128022284</v>
      </c>
      <c r="R8" s="10">
        <f>ROUND(P8*B8,0)</f>
        <v>54876219</v>
      </c>
      <c r="S8" s="74">
        <f>Q8/F8</f>
        <v>1.1867916799581966</v>
      </c>
    </row>
    <row r="9" spans="1:19" x14ac:dyDescent="0.25">
      <c r="A9" s="24">
        <f t="shared" ref="A9:A27" si="2">F9/E9</f>
        <v>698.42441947221175</v>
      </c>
      <c r="B9" s="24">
        <f t="shared" ref="B9:B27" si="3">G9/E9</f>
        <v>286.35400769790311</v>
      </c>
      <c r="C9" s="15" t="s">
        <v>396</v>
      </c>
      <c r="D9" s="45">
        <v>4</v>
      </c>
      <c r="E9" s="13">
        <v>51333.46</v>
      </c>
      <c r="F9" s="13">
        <v>35852542</v>
      </c>
      <c r="G9" s="13">
        <v>14699542</v>
      </c>
      <c r="H9" s="93"/>
      <c r="I9" s="45">
        <f t="shared" si="0"/>
        <v>-26</v>
      </c>
      <c r="J9" s="10">
        <f t="shared" si="0"/>
        <v>-410040.6731999999</v>
      </c>
      <c r="K9" s="10">
        <f t="shared" si="1"/>
        <v>-286382419</v>
      </c>
      <c r="L9" s="10">
        <f>ROUND(J9*B9,0)</f>
        <v>-117416790</v>
      </c>
      <c r="M9" s="74">
        <f>K9/F9</f>
        <v>-7.9877856080609293</v>
      </c>
      <c r="N9" s="89"/>
      <c r="O9" s="45">
        <f>COUNTIFS([1]GD.List!$N$3:$N$1937,C9,[1]GD.List!$L$3:$L$1937,"&lt;&gt;0")</f>
        <v>30</v>
      </c>
      <c r="P9" s="10">
        <f>SUMIFS([1]GD.List!$L$3:$L$5000,[1]GD.List!$N$3:$N$5000,C9)</f>
        <v>461374.13319999992</v>
      </c>
      <c r="Q9" s="10">
        <f>ROUND(P9*A9,0)</f>
        <v>322234961</v>
      </c>
      <c r="R9" s="10">
        <f>ROUND(P9*B9,0)</f>
        <v>132116332</v>
      </c>
      <c r="S9" s="74">
        <f>Q9/F9</f>
        <v>8.9877856080609284</v>
      </c>
    </row>
    <row r="10" spans="1:19" x14ac:dyDescent="0.25">
      <c r="A10" s="24">
        <f t="shared" si="2"/>
        <v>384.313661953147</v>
      </c>
      <c r="B10" s="24">
        <f t="shared" si="3"/>
        <v>180.77872005163238</v>
      </c>
      <c r="C10" s="15" t="s">
        <v>397</v>
      </c>
      <c r="D10" s="45">
        <v>85</v>
      </c>
      <c r="E10" s="13">
        <v>685349.70799999998</v>
      </c>
      <c r="F10" s="13">
        <v>263389256</v>
      </c>
      <c r="G10" s="13">
        <v>123896643</v>
      </c>
      <c r="H10" s="93"/>
      <c r="I10" s="45">
        <f t="shared" si="0"/>
        <v>17</v>
      </c>
      <c r="J10" s="10">
        <f t="shared" si="0"/>
        <v>313495.16799999995</v>
      </c>
      <c r="K10" s="10">
        <f t="shared" si="1"/>
        <v>120480476</v>
      </c>
      <c r="L10" s="10">
        <f>ROUND(J10*B10,0)</f>
        <v>56673255</v>
      </c>
      <c r="M10" s="74">
        <f>K10/F10</f>
        <v>0.45742365436500571</v>
      </c>
      <c r="N10" s="89"/>
      <c r="O10" s="45">
        <f>COUNTIFS([1]GD.List!$N$3:$N$1937,C10,[1]GD.List!$L$3:$L$1937,"&lt;&gt;0")</f>
        <v>68</v>
      </c>
      <c r="P10" s="10">
        <f>SUMIFS([1]GD.List!$L$3:$L$5000,[1]GD.List!$N$3:$N$5000,C10)</f>
        <v>371854.54000000004</v>
      </c>
      <c r="Q10" s="10">
        <f>ROUND(P10*A10,0)</f>
        <v>142908780</v>
      </c>
      <c r="R10" s="10">
        <f>ROUND(P10*B10,0)</f>
        <v>67223388</v>
      </c>
      <c r="S10" s="74">
        <f>Q10/F10</f>
        <v>0.54257634563499435</v>
      </c>
    </row>
    <row r="11" spans="1:19" x14ac:dyDescent="0.25">
      <c r="A11" s="24">
        <f t="shared" si="2"/>
        <v>2317.0555078207594</v>
      </c>
      <c r="B11" s="24">
        <f t="shared" si="3"/>
        <v>1058.4974485626328</v>
      </c>
      <c r="C11" s="15" t="s">
        <v>398</v>
      </c>
      <c r="D11" s="45">
        <v>16</v>
      </c>
      <c r="E11" s="13">
        <v>66687.899999999994</v>
      </c>
      <c r="F11" s="13">
        <v>154519566</v>
      </c>
      <c r="G11" s="13">
        <v>70588972</v>
      </c>
      <c r="H11" s="93"/>
      <c r="I11" s="45">
        <f t="shared" si="0"/>
        <v>6</v>
      </c>
      <c r="J11" s="10">
        <f t="shared" si="0"/>
        <v>19523.400000000001</v>
      </c>
      <c r="K11" s="10">
        <f t="shared" si="1"/>
        <v>45236802</v>
      </c>
      <c r="L11" s="10">
        <f>ROUND(J11*B11,0)</f>
        <v>20665469</v>
      </c>
      <c r="M11" s="73">
        <f>K11/F11</f>
        <v>0.29275775988136027</v>
      </c>
      <c r="N11" s="90"/>
      <c r="O11" s="45">
        <f>COUNTIFS([1]GD.List!$N$3:$N$1937,C11,[1]GD.List!$L$3:$L$1937,"&lt;&gt;0")</f>
        <v>10</v>
      </c>
      <c r="P11" s="10">
        <f>SUMIFS([1]GD.List!$L$3:$L$5000,[1]GD.List!$N$3:$N$5000,C11)</f>
        <v>47164.499999999993</v>
      </c>
      <c r="Q11" s="10">
        <f>ROUND(P11*A11,0)</f>
        <v>109282764</v>
      </c>
      <c r="R11" s="10">
        <f>ROUND(P11*B11,0)</f>
        <v>49923503</v>
      </c>
      <c r="S11" s="74">
        <f>Q11/F11</f>
        <v>0.70724224011863979</v>
      </c>
    </row>
    <row r="12" spans="1:19" x14ac:dyDescent="0.25">
      <c r="A12" s="24">
        <f t="shared" si="2"/>
        <v>1376.28818227341</v>
      </c>
      <c r="B12" s="24">
        <f t="shared" si="3"/>
        <v>564.27829243865801</v>
      </c>
      <c r="C12" s="15" t="s">
        <v>399</v>
      </c>
      <c r="D12" s="45">
        <v>3</v>
      </c>
      <c r="E12" s="13">
        <v>7988</v>
      </c>
      <c r="F12" s="13">
        <v>10993790</v>
      </c>
      <c r="G12" s="13">
        <v>4507455</v>
      </c>
      <c r="H12" s="93"/>
      <c r="I12" s="45">
        <f t="shared" si="0"/>
        <v>1</v>
      </c>
      <c r="J12" s="10">
        <f t="shared" si="0"/>
        <v>164</v>
      </c>
      <c r="K12" s="10">
        <f t="shared" si="1"/>
        <v>225711</v>
      </c>
      <c r="L12" s="10">
        <f t="shared" ref="L12:L27" si="4">ROUND(J12*B12,0)</f>
        <v>92542</v>
      </c>
      <c r="M12" s="73">
        <f t="shared" ref="M12:M27" si="5">K12/F12</f>
        <v>2.0530772372402965E-2</v>
      </c>
      <c r="N12" s="90"/>
      <c r="O12" s="45">
        <f>COUNTIFS([1]GD.List!$N$3:$N$1937,C12,[1]GD.List!$L$3:$L$1937,"&lt;&gt;0")</f>
        <v>2</v>
      </c>
      <c r="P12" s="10">
        <f>SUMIFS([1]GD.List!$L$3:$L$5000,[1]GD.List!$N$3:$N$5000,C12)</f>
        <v>7824</v>
      </c>
      <c r="Q12" s="10">
        <f t="shared" ref="Q12:Q27" si="6">ROUND(P12*A12,0)</f>
        <v>10768079</v>
      </c>
      <c r="R12" s="10">
        <f t="shared" ref="R12:R27" si="7">ROUND(P12*B12,0)</f>
        <v>4414913</v>
      </c>
      <c r="S12" s="74">
        <f t="shared" ref="S12:S27" si="8">Q12/F12</f>
        <v>0.97946922762759703</v>
      </c>
    </row>
    <row r="13" spans="1:19" x14ac:dyDescent="0.25">
      <c r="A13" s="24">
        <f t="shared" si="2"/>
        <v>283.49310654304895</v>
      </c>
      <c r="B13" s="24">
        <f t="shared" si="3"/>
        <v>116.23217417002945</v>
      </c>
      <c r="C13" s="15" t="s">
        <v>134</v>
      </c>
      <c r="D13" s="45">
        <v>19</v>
      </c>
      <c r="E13" s="13">
        <v>4616526.9799999995</v>
      </c>
      <c r="F13" s="13">
        <v>1308753575</v>
      </c>
      <c r="G13" s="13">
        <v>536588968</v>
      </c>
      <c r="H13" s="94"/>
      <c r="I13" s="45">
        <f t="shared" si="0"/>
        <v>9</v>
      </c>
      <c r="J13" s="10">
        <f t="shared" si="0"/>
        <v>3010284.3299999996</v>
      </c>
      <c r="K13" s="10">
        <f t="shared" si="1"/>
        <v>853394856</v>
      </c>
      <c r="L13" s="10">
        <f t="shared" si="4"/>
        <v>349891893</v>
      </c>
      <c r="M13" s="73">
        <f t="shared" si="5"/>
        <v>0.65206687668455843</v>
      </c>
      <c r="N13" s="90"/>
      <c r="O13" s="45">
        <f>COUNTIFS([1]GD.List!$N$3:$N$1937,C13,[1]GD.List!$L$3:$L$1937,"&lt;&gt;0")</f>
        <v>10</v>
      </c>
      <c r="P13" s="10">
        <f>SUMIFS([1]GD.List!$L$3:$L$5000,[1]GD.List!$N$3:$N$5000,C13)</f>
        <v>1606242.65</v>
      </c>
      <c r="Q13" s="10">
        <f t="shared" si="6"/>
        <v>455358719</v>
      </c>
      <c r="R13" s="10">
        <f t="shared" si="7"/>
        <v>186697075</v>
      </c>
      <c r="S13" s="74">
        <f t="shared" si="8"/>
        <v>0.34793312331544157</v>
      </c>
    </row>
    <row r="14" spans="1:19" x14ac:dyDescent="0.25">
      <c r="A14" s="24">
        <f t="shared" si="2"/>
        <v>410.55901469057056</v>
      </c>
      <c r="B14" s="24">
        <f t="shared" si="3"/>
        <v>168.32919744150468</v>
      </c>
      <c r="C14" s="15" t="s">
        <v>400</v>
      </c>
      <c r="D14" s="45">
        <v>60</v>
      </c>
      <c r="E14" s="13">
        <v>1466471.2999999998</v>
      </c>
      <c r="F14" s="13">
        <v>602073012</v>
      </c>
      <c r="G14" s="13">
        <v>246849937</v>
      </c>
      <c r="I14" s="45">
        <f t="shared" si="0"/>
        <v>7</v>
      </c>
      <c r="J14" s="10">
        <f t="shared" si="0"/>
        <v>277347.60569999949</v>
      </c>
      <c r="K14" s="10">
        <f t="shared" si="1"/>
        <v>113867560</v>
      </c>
      <c r="L14" s="10">
        <f t="shared" si="4"/>
        <v>46685700</v>
      </c>
      <c r="M14" s="73">
        <f t="shared" si="5"/>
        <v>0.18912583313068349</v>
      </c>
      <c r="N14" s="90"/>
      <c r="O14" s="45">
        <f>COUNTIFS([1]GD.List!$N$3:$N$1937,C14,[1]GD.List!$L$3:$L$1937,"&lt;&gt;0")</f>
        <v>53</v>
      </c>
      <c r="P14" s="10">
        <f>SUMIFS([1]GD.List!$L$3:$L$5000,[1]GD.List!$N$3:$N$5000,C14)</f>
        <v>1189123.6943000003</v>
      </c>
      <c r="Q14" s="10">
        <f t="shared" si="6"/>
        <v>488205452</v>
      </c>
      <c r="R14" s="10">
        <f t="shared" si="7"/>
        <v>200164237</v>
      </c>
      <c r="S14" s="74">
        <f t="shared" si="8"/>
        <v>0.81087416686931646</v>
      </c>
    </row>
    <row r="15" spans="1:19" x14ac:dyDescent="0.25">
      <c r="A15" s="24">
        <f t="shared" si="2"/>
        <v>577.66042846360165</v>
      </c>
      <c r="B15" s="24">
        <f t="shared" si="3"/>
        <v>173.29812875146322</v>
      </c>
      <c r="C15" s="15" t="s">
        <v>131</v>
      </c>
      <c r="D15" s="45">
        <v>39</v>
      </c>
      <c r="E15" s="13">
        <v>7062720.8200000003</v>
      </c>
      <c r="F15" s="13">
        <v>4079854335</v>
      </c>
      <c r="G15" s="13">
        <v>1223956302</v>
      </c>
      <c r="H15" s="83"/>
      <c r="I15" s="45">
        <f t="shared" si="0"/>
        <v>31</v>
      </c>
      <c r="J15" s="10">
        <f t="shared" si="0"/>
        <v>5740884.9600000009</v>
      </c>
      <c r="K15" s="10">
        <f t="shared" si="1"/>
        <v>3316282066</v>
      </c>
      <c r="L15" s="10">
        <f t="shared" si="4"/>
        <v>994884621</v>
      </c>
      <c r="M15" s="73">
        <f t="shared" si="5"/>
        <v>0.81284325215988384</v>
      </c>
      <c r="N15" s="90"/>
      <c r="O15" s="45">
        <f>COUNTIFS([1]GD.List!$N$3:$N$1937,C15,[1]GD.List!$L$3:$L$1937,"&lt;&gt;0")</f>
        <v>8</v>
      </c>
      <c r="P15" s="10">
        <f>SUMIFS([1]GD.List!$L$3:$L$5000,[1]GD.List!$N$3:$N$5000,C15)</f>
        <v>1321835.8599999999</v>
      </c>
      <c r="Q15" s="10">
        <f t="shared" si="6"/>
        <v>763572269</v>
      </c>
      <c r="R15" s="10">
        <f t="shared" si="7"/>
        <v>229071681</v>
      </c>
      <c r="S15" s="74">
        <f t="shared" si="8"/>
        <v>0.18715674784011621</v>
      </c>
    </row>
    <row r="16" spans="1:19" x14ac:dyDescent="0.25">
      <c r="A16" s="24">
        <f t="shared" si="2"/>
        <v>375.37397919770456</v>
      </c>
      <c r="B16" s="24">
        <f t="shared" si="3"/>
        <v>146.63161255232103</v>
      </c>
      <c r="C16" s="15" t="s">
        <v>132</v>
      </c>
      <c r="D16" s="45">
        <v>73</v>
      </c>
      <c r="E16" s="13">
        <v>2029776</v>
      </c>
      <c r="F16" s="13">
        <v>761925094</v>
      </c>
      <c r="G16" s="13">
        <v>297629328</v>
      </c>
      <c r="H16" s="84"/>
      <c r="I16" s="45">
        <f t="shared" si="0"/>
        <v>15</v>
      </c>
      <c r="J16" s="10">
        <f t="shared" si="0"/>
        <v>-935623.31999999983</v>
      </c>
      <c r="K16" s="10">
        <f t="shared" si="1"/>
        <v>-351208649</v>
      </c>
      <c r="L16" s="10">
        <f t="shared" si="4"/>
        <v>-137191956</v>
      </c>
      <c r="M16" s="73">
        <f t="shared" si="5"/>
        <v>-0.46094905098374406</v>
      </c>
      <c r="N16" s="90"/>
      <c r="O16" s="45">
        <f>COUNTIFS([1]GD.List!$N$3:$N$1937,C16,[1]GD.List!$L$3:$L$1937,"&lt;&gt;0")</f>
        <v>58</v>
      </c>
      <c r="P16" s="10">
        <f>SUMIFS([1]GD.List!$L$3:$L$5000,[1]GD.List!$N$3:$N$5000,C16)</f>
        <v>2965399.32</v>
      </c>
      <c r="Q16" s="10">
        <f t="shared" si="6"/>
        <v>1113133743</v>
      </c>
      <c r="R16" s="10">
        <f t="shared" si="7"/>
        <v>434821284</v>
      </c>
      <c r="S16" s="74">
        <f t="shared" si="8"/>
        <v>1.4609490509837442</v>
      </c>
    </row>
    <row r="17" spans="1:19" x14ac:dyDescent="0.25">
      <c r="A17" s="24">
        <f t="shared" si="2"/>
        <v>6181.9858491936657</v>
      </c>
      <c r="B17" s="24">
        <f t="shared" si="3"/>
        <v>2818.5679137004213</v>
      </c>
      <c r="C17" s="15" t="s">
        <v>133</v>
      </c>
      <c r="D17" s="45">
        <v>43</v>
      </c>
      <c r="E17" s="13">
        <v>137660</v>
      </c>
      <c r="F17" s="13">
        <v>851012172</v>
      </c>
      <c r="G17" s="13">
        <v>388004059</v>
      </c>
      <c r="H17" s="84"/>
      <c r="I17" s="45">
        <f t="shared" si="0"/>
        <v>39</v>
      </c>
      <c r="J17" s="10">
        <f t="shared" si="0"/>
        <v>126146.62</v>
      </c>
      <c r="K17" s="10">
        <f t="shared" si="1"/>
        <v>779836620</v>
      </c>
      <c r="L17" s="10">
        <f t="shared" si="4"/>
        <v>355552816</v>
      </c>
      <c r="M17" s="73">
        <f t="shared" si="5"/>
        <v>0.91636364984918217</v>
      </c>
      <c r="N17" s="90"/>
      <c r="O17" s="45">
        <f>COUNTIFS([1]GD.List!$N$3:$N$1937,C17,[1]GD.List!$L$3:$L$1937,"&lt;&gt;0")</f>
        <v>4</v>
      </c>
      <c r="P17" s="10">
        <f>SUMIFS([1]GD.List!$L$3:$L$5000,[1]GD.List!$N$3:$N$5000,C17)</f>
        <v>11513.380000000001</v>
      </c>
      <c r="Q17" s="10">
        <f t="shared" si="6"/>
        <v>71175552</v>
      </c>
      <c r="R17" s="10">
        <f t="shared" si="7"/>
        <v>32451243</v>
      </c>
      <c r="S17" s="74">
        <f t="shared" si="8"/>
        <v>8.3636350150817815E-2</v>
      </c>
    </row>
    <row r="18" spans="1:19" x14ac:dyDescent="0.25">
      <c r="A18" s="24">
        <f t="shared" si="2"/>
        <v>5619.05</v>
      </c>
      <c r="B18" s="24">
        <f t="shared" si="3"/>
        <v>2584.7633333333333</v>
      </c>
      <c r="C18" s="15" t="s">
        <v>401</v>
      </c>
      <c r="D18" s="45">
        <v>1</v>
      </c>
      <c r="E18" s="13">
        <v>300</v>
      </c>
      <c r="F18" s="13">
        <v>1685715</v>
      </c>
      <c r="G18" s="13">
        <v>775429</v>
      </c>
      <c r="H18" s="85"/>
      <c r="I18" s="45">
        <f t="shared" si="0"/>
        <v>0</v>
      </c>
      <c r="J18" s="10">
        <f t="shared" si="0"/>
        <v>0</v>
      </c>
      <c r="K18" s="10">
        <f t="shared" si="1"/>
        <v>0</v>
      </c>
      <c r="L18" s="10">
        <f t="shared" si="4"/>
        <v>0</v>
      </c>
      <c r="M18" s="73">
        <f t="shared" si="5"/>
        <v>0</v>
      </c>
      <c r="N18" s="90"/>
      <c r="O18" s="45">
        <f>COUNTIFS([1]GD.List!$N$3:$N$1937,C18,[1]GD.List!$L$3:$L$1937,"&lt;&gt;0")</f>
        <v>1</v>
      </c>
      <c r="P18" s="10">
        <f>SUMIFS([1]GD.List!$L$3:$L$5000,[1]GD.List!$N$3:$N$5000,C18)</f>
        <v>300</v>
      </c>
      <c r="Q18" s="10">
        <f t="shared" si="6"/>
        <v>1685715</v>
      </c>
      <c r="R18" s="10">
        <f t="shared" si="7"/>
        <v>775429</v>
      </c>
      <c r="S18" s="74">
        <f t="shared" si="8"/>
        <v>1</v>
      </c>
    </row>
    <row r="19" spans="1:19" x14ac:dyDescent="0.25">
      <c r="A19" s="24">
        <f t="shared" si="2"/>
        <v>506.29473532278212</v>
      </c>
      <c r="B19" s="24">
        <f t="shared" si="3"/>
        <v>182.86541575680002</v>
      </c>
      <c r="C19" s="15" t="s">
        <v>377</v>
      </c>
      <c r="D19" s="45">
        <v>362</v>
      </c>
      <c r="E19" s="13">
        <v>16152511.708000001</v>
      </c>
      <c r="F19" s="13">
        <v>8177931640</v>
      </c>
      <c r="G19" s="13">
        <v>2953735769</v>
      </c>
      <c r="H19" s="94"/>
      <c r="I19" s="45">
        <f t="shared" si="0"/>
        <v>362</v>
      </c>
      <c r="J19" s="10">
        <f t="shared" si="0"/>
        <v>16152511.708000001</v>
      </c>
      <c r="K19" s="10">
        <f t="shared" si="1"/>
        <v>8177931640</v>
      </c>
      <c r="L19" s="10">
        <f t="shared" si="4"/>
        <v>2953735769</v>
      </c>
      <c r="M19" s="73">
        <f t="shared" si="5"/>
        <v>1</v>
      </c>
      <c r="N19" s="90"/>
      <c r="O19" s="45">
        <f>COUNTIFS([1]GD.List!$N$3:$N$1937,C19,[1]GD.List!$L$3:$L$1937,"&lt;&gt;0")</f>
        <v>0</v>
      </c>
      <c r="P19" s="10">
        <f>SUMIFS([1]GD.List!$L$3:$L$5000,[1]GD.List!$N$3:$N$5000,C19)</f>
        <v>0</v>
      </c>
      <c r="Q19" s="10">
        <f t="shared" si="6"/>
        <v>0</v>
      </c>
      <c r="R19" s="10">
        <f t="shared" si="7"/>
        <v>0</v>
      </c>
      <c r="S19" s="74">
        <f t="shared" si="8"/>
        <v>0</v>
      </c>
    </row>
    <row r="20" spans="1:19" x14ac:dyDescent="0.25">
      <c r="A20" s="24" t="e">
        <f t="shared" si="2"/>
        <v>#DIV/0!</v>
      </c>
      <c r="B20" s="24" t="e">
        <f t="shared" si="3"/>
        <v>#DIV/0!</v>
      </c>
      <c r="D20"/>
      <c r="E20"/>
      <c r="F20"/>
      <c r="G20"/>
      <c r="H20" s="85"/>
      <c r="I20" s="45">
        <f t="shared" si="0"/>
        <v>0</v>
      </c>
      <c r="J20" s="10">
        <f t="shared" si="0"/>
        <v>0</v>
      </c>
      <c r="K20" s="10">
        <f>IF(J20&lt;&gt;0,ROUND(J20*A20,0),0)</f>
        <v>0</v>
      </c>
      <c r="L20" s="10" t="e">
        <f t="shared" si="4"/>
        <v>#DIV/0!</v>
      </c>
      <c r="M20" s="73" t="e">
        <f t="shared" si="5"/>
        <v>#DIV/0!</v>
      </c>
      <c r="N20" s="90"/>
      <c r="O20" s="45">
        <f>COUNTIFS([1]GD.List!$N$3:$N$1937,C20,[1]GD.List!$L$3:$L$1937,"&lt;&gt;0")</f>
        <v>0</v>
      </c>
      <c r="P20" s="10">
        <f>SUMIFS([1]GD.List!$L$3:$L$5000,[1]GD.List!$N$3:$N$5000,C20)</f>
        <v>0</v>
      </c>
      <c r="Q20" s="10" t="e">
        <f t="shared" si="6"/>
        <v>#DIV/0!</v>
      </c>
      <c r="R20" s="10" t="e">
        <f t="shared" si="7"/>
        <v>#DIV/0!</v>
      </c>
      <c r="S20" s="74" t="e">
        <f t="shared" si="8"/>
        <v>#DIV/0!</v>
      </c>
    </row>
    <row r="21" spans="1:19" x14ac:dyDescent="0.25">
      <c r="A21" s="24" t="e">
        <f t="shared" si="2"/>
        <v>#DIV/0!</v>
      </c>
      <c r="B21" s="24" t="e">
        <f t="shared" si="3"/>
        <v>#DIV/0!</v>
      </c>
      <c r="D21"/>
      <c r="E21"/>
      <c r="F21"/>
      <c r="G21"/>
      <c r="H21" s="94"/>
      <c r="I21" s="45">
        <f t="shared" si="0"/>
        <v>0</v>
      </c>
      <c r="J21" s="10">
        <f t="shared" si="0"/>
        <v>0</v>
      </c>
      <c r="K21" s="10">
        <f t="shared" ref="K21:K27" si="9">IF(J21&lt;&gt;0,ROUND(J21*A21,0),0)</f>
        <v>0</v>
      </c>
      <c r="L21" s="10" t="e">
        <f t="shared" si="4"/>
        <v>#DIV/0!</v>
      </c>
      <c r="M21" s="73" t="e">
        <f t="shared" si="5"/>
        <v>#DIV/0!</v>
      </c>
      <c r="N21" s="90"/>
      <c r="O21" s="45">
        <f>COUNTIFS([1]GD.List!$N$3:$N$1937,C21,[1]GD.List!$L$3:$L$1937,"&lt;&gt;0")</f>
        <v>0</v>
      </c>
      <c r="P21" s="10">
        <f>SUMIFS([1]GD.List!$L$3:$L$5000,[1]GD.List!$N$3:$N$5000,C21)</f>
        <v>0</v>
      </c>
      <c r="Q21" s="10" t="e">
        <f t="shared" si="6"/>
        <v>#DIV/0!</v>
      </c>
      <c r="R21" s="10" t="e">
        <f t="shared" si="7"/>
        <v>#DIV/0!</v>
      </c>
      <c r="S21" s="74" t="e">
        <f t="shared" si="8"/>
        <v>#DIV/0!</v>
      </c>
    </row>
    <row r="22" spans="1:19" x14ac:dyDescent="0.25">
      <c r="A22" s="24" t="e">
        <f t="shared" si="2"/>
        <v>#DIV/0!</v>
      </c>
      <c r="B22" s="24" t="e">
        <f t="shared" si="3"/>
        <v>#DIV/0!</v>
      </c>
      <c r="D22"/>
      <c r="E22"/>
      <c r="F22"/>
      <c r="G22"/>
      <c r="H22" s="94"/>
      <c r="I22" s="45">
        <f t="shared" si="0"/>
        <v>0</v>
      </c>
      <c r="J22" s="10">
        <f t="shared" si="0"/>
        <v>0</v>
      </c>
      <c r="K22" s="10">
        <f t="shared" si="9"/>
        <v>0</v>
      </c>
      <c r="L22" s="10" t="e">
        <f t="shared" si="4"/>
        <v>#DIV/0!</v>
      </c>
      <c r="M22" s="73" t="e">
        <f t="shared" si="5"/>
        <v>#DIV/0!</v>
      </c>
      <c r="N22" s="90"/>
      <c r="O22" s="45">
        <f>COUNTIFS([1]GD.List!$N$3:$N$1937,C22,[1]GD.List!$L$3:$L$1937,"&lt;&gt;0")</f>
        <v>0</v>
      </c>
      <c r="P22" s="10">
        <f>SUMIFS([1]GD.List!$L$3:$L$5000,[1]GD.List!$N$3:$N$5000,C22)</f>
        <v>0</v>
      </c>
      <c r="Q22" s="10" t="e">
        <f t="shared" si="6"/>
        <v>#DIV/0!</v>
      </c>
      <c r="R22" s="10" t="e">
        <f t="shared" si="7"/>
        <v>#DIV/0!</v>
      </c>
      <c r="S22" s="74" t="e">
        <f t="shared" si="8"/>
        <v>#DIV/0!</v>
      </c>
    </row>
    <row r="23" spans="1:19" x14ac:dyDescent="0.25">
      <c r="A23" s="24" t="e">
        <f t="shared" si="2"/>
        <v>#DIV/0!</v>
      </c>
      <c r="B23" s="24" t="e">
        <f t="shared" si="3"/>
        <v>#DIV/0!</v>
      </c>
      <c r="D23"/>
      <c r="E23"/>
      <c r="F23"/>
      <c r="G23"/>
      <c r="H23" s="94"/>
      <c r="I23" s="45">
        <f t="shared" si="0"/>
        <v>0</v>
      </c>
      <c r="J23" s="10">
        <f t="shared" si="0"/>
        <v>0</v>
      </c>
      <c r="K23" s="10">
        <f t="shared" si="9"/>
        <v>0</v>
      </c>
      <c r="L23" s="10" t="e">
        <f t="shared" si="4"/>
        <v>#DIV/0!</v>
      </c>
      <c r="M23" s="73" t="e">
        <f t="shared" si="5"/>
        <v>#DIV/0!</v>
      </c>
      <c r="N23" s="90"/>
      <c r="O23" s="45">
        <f>COUNTIFS([1]GD.List!$N$3:$N$1937,C23,[1]GD.List!$L$3:$L$1937,"&lt;&gt;0")</f>
        <v>0</v>
      </c>
      <c r="P23" s="10">
        <f>SUMIFS([1]GD.List!$L$3:$L$5000,[1]GD.List!$N$3:$N$5000,C23)</f>
        <v>0</v>
      </c>
      <c r="Q23" s="10" t="e">
        <f t="shared" si="6"/>
        <v>#DIV/0!</v>
      </c>
      <c r="R23" s="10" t="e">
        <f t="shared" si="7"/>
        <v>#DIV/0!</v>
      </c>
      <c r="S23" s="74" t="e">
        <f t="shared" si="8"/>
        <v>#DIV/0!</v>
      </c>
    </row>
    <row r="24" spans="1:19" x14ac:dyDescent="0.25">
      <c r="A24" s="24" t="e">
        <f t="shared" si="2"/>
        <v>#DIV/0!</v>
      </c>
      <c r="B24" s="24" t="e">
        <f t="shared" si="3"/>
        <v>#DIV/0!</v>
      </c>
      <c r="D24"/>
      <c r="E24"/>
      <c r="F24"/>
      <c r="G24"/>
      <c r="H24" s="94"/>
      <c r="I24" s="45">
        <f t="shared" ref="I24:J27" si="10">D24-O24</f>
        <v>0</v>
      </c>
      <c r="J24" s="10">
        <f t="shared" si="10"/>
        <v>0</v>
      </c>
      <c r="K24" s="10">
        <f t="shared" si="9"/>
        <v>0</v>
      </c>
      <c r="L24" s="10" t="e">
        <f t="shared" si="4"/>
        <v>#DIV/0!</v>
      </c>
      <c r="M24" s="73" t="e">
        <f t="shared" si="5"/>
        <v>#DIV/0!</v>
      </c>
      <c r="N24" s="90"/>
      <c r="O24" s="45">
        <f>COUNTIFS([1]GD.List!$N$3:$N$1937,C24,[1]GD.List!$L$3:$L$1937,"&lt;&gt;0")</f>
        <v>0</v>
      </c>
      <c r="P24" s="10">
        <f>SUMIFS([1]GD.List!$L$3:$L$5000,[1]GD.List!$N$3:$N$5000,C24)</f>
        <v>0</v>
      </c>
      <c r="Q24" s="10" t="e">
        <f t="shared" si="6"/>
        <v>#DIV/0!</v>
      </c>
      <c r="R24" s="10" t="e">
        <f t="shared" si="7"/>
        <v>#DIV/0!</v>
      </c>
      <c r="S24" s="74" t="e">
        <f t="shared" si="8"/>
        <v>#DIV/0!</v>
      </c>
    </row>
    <row r="25" spans="1:19" x14ac:dyDescent="0.25">
      <c r="A25" s="24" t="e">
        <f t="shared" si="2"/>
        <v>#DIV/0!</v>
      </c>
      <c r="B25" s="24" t="e">
        <f t="shared" si="3"/>
        <v>#DIV/0!</v>
      </c>
      <c r="D25"/>
      <c r="E25"/>
      <c r="F25"/>
      <c r="G25"/>
      <c r="H25" s="94"/>
      <c r="I25" s="45">
        <f t="shared" si="10"/>
        <v>0</v>
      </c>
      <c r="J25" s="10">
        <f t="shared" si="10"/>
        <v>0</v>
      </c>
      <c r="K25" s="10">
        <f t="shared" si="9"/>
        <v>0</v>
      </c>
      <c r="L25" s="10" t="e">
        <f t="shared" si="4"/>
        <v>#DIV/0!</v>
      </c>
      <c r="M25" s="73" t="e">
        <f t="shared" si="5"/>
        <v>#DIV/0!</v>
      </c>
      <c r="N25" s="90"/>
      <c r="O25" s="45">
        <f>COUNTIFS([1]GD.List!$N$3:$N$1937,C25,[1]GD.List!$L$3:$L$1937,"&lt;&gt;0")</f>
        <v>0</v>
      </c>
      <c r="P25" s="10">
        <f>SUMIFS([1]GD.List!$L$3:$L$5000,[1]GD.List!$N$3:$N$5000,C25)</f>
        <v>0</v>
      </c>
      <c r="Q25" s="10" t="e">
        <f t="shared" si="6"/>
        <v>#DIV/0!</v>
      </c>
      <c r="R25" s="10" t="e">
        <f t="shared" si="7"/>
        <v>#DIV/0!</v>
      </c>
      <c r="S25" s="74" t="e">
        <f t="shared" si="8"/>
        <v>#DIV/0!</v>
      </c>
    </row>
    <row r="26" spans="1:19" x14ac:dyDescent="0.25">
      <c r="A26" s="24" t="e">
        <f t="shared" si="2"/>
        <v>#DIV/0!</v>
      </c>
      <c r="B26" s="24" t="e">
        <f t="shared" si="3"/>
        <v>#DIV/0!</v>
      </c>
      <c r="D26"/>
      <c r="E26"/>
      <c r="F26"/>
      <c r="G26"/>
      <c r="H26" s="94"/>
      <c r="I26" s="45">
        <f t="shared" si="10"/>
        <v>0</v>
      </c>
      <c r="J26" s="10">
        <f t="shared" si="10"/>
        <v>0</v>
      </c>
      <c r="K26" s="10">
        <f t="shared" si="9"/>
        <v>0</v>
      </c>
      <c r="L26" s="10" t="e">
        <f t="shared" si="4"/>
        <v>#DIV/0!</v>
      </c>
      <c r="M26" s="73" t="e">
        <f>K26/F26</f>
        <v>#DIV/0!</v>
      </c>
      <c r="N26" s="90"/>
      <c r="O26" s="45">
        <f>COUNTIFS([1]GD.List!$N$3:$N$1937,C26,[1]GD.List!$L$3:$L$1937,"&lt;&gt;0")</f>
        <v>0</v>
      </c>
      <c r="P26" s="10">
        <f>SUMIFS([1]GD.List!$L$3:$L$5000,[1]GD.List!$N$3:$N$5000,C26)</f>
        <v>0</v>
      </c>
      <c r="Q26" s="10" t="e">
        <f t="shared" si="6"/>
        <v>#DIV/0!</v>
      </c>
      <c r="R26" s="10" t="e">
        <f t="shared" si="7"/>
        <v>#DIV/0!</v>
      </c>
      <c r="S26" s="74" t="e">
        <f t="shared" si="8"/>
        <v>#DIV/0!</v>
      </c>
    </row>
    <row r="27" spans="1:19" x14ac:dyDescent="0.25">
      <c r="A27" s="24" t="e">
        <f t="shared" si="2"/>
        <v>#DIV/0!</v>
      </c>
      <c r="B27" s="24" t="e">
        <f t="shared" si="3"/>
        <v>#DIV/0!</v>
      </c>
      <c r="D27"/>
      <c r="E27"/>
      <c r="F27"/>
      <c r="G27"/>
      <c r="H27" s="94"/>
      <c r="I27" s="45">
        <f t="shared" si="10"/>
        <v>0</v>
      </c>
      <c r="J27" s="10">
        <f t="shared" si="10"/>
        <v>0</v>
      </c>
      <c r="K27" s="10">
        <f t="shared" si="9"/>
        <v>0</v>
      </c>
      <c r="L27" s="10" t="e">
        <f t="shared" si="4"/>
        <v>#DIV/0!</v>
      </c>
      <c r="M27" s="73" t="e">
        <f t="shared" si="5"/>
        <v>#DIV/0!</v>
      </c>
      <c r="N27" s="90"/>
      <c r="O27" s="45">
        <f>COUNTIFS([1]GD.List!$N$3:$N$1937,C27,[1]GD.List!$L$3:$L$1937,"&lt;&gt;0")</f>
        <v>0</v>
      </c>
      <c r="P27" s="10">
        <f>SUMIFS([1]GD.List!$L$3:$L$5000,[1]GD.List!$N$3:$N$5000,C27)</f>
        <v>0</v>
      </c>
      <c r="Q27" s="10" t="e">
        <f t="shared" si="6"/>
        <v>#DIV/0!</v>
      </c>
      <c r="R27" s="10" t="e">
        <f t="shared" si="7"/>
        <v>#DIV/0!</v>
      </c>
      <c r="S27" s="74" t="e">
        <f t="shared" si="8"/>
        <v>#DIV/0!</v>
      </c>
    </row>
    <row r="28" spans="1:19" x14ac:dyDescent="0.25">
      <c r="D28"/>
      <c r="E28"/>
      <c r="F28"/>
      <c r="G28"/>
      <c r="H28" s="94"/>
      <c r="I28" s="46">
        <f>SUM(I7:I27)</f>
        <v>464</v>
      </c>
      <c r="J28" s="49">
        <f>SUM(J7:J27)</f>
        <v>24289520.1285</v>
      </c>
      <c r="K28" s="49">
        <f>SUM(K7:K27)</f>
        <v>12749514962</v>
      </c>
      <c r="L28" s="49" t="e">
        <f>SUM(L7:L27)</f>
        <v>#DIV/0!</v>
      </c>
      <c r="M28" s="72"/>
      <c r="N28" s="90"/>
      <c r="O28" s="46">
        <f>SUM(O8:O27)</f>
        <v>260</v>
      </c>
      <c r="P28" s="49">
        <f>SUM(P8:P27)</f>
        <v>8015503.2875000006</v>
      </c>
      <c r="Q28" s="49" t="e">
        <f>SUM(Q8:Q27)</f>
        <v>#DIV/0!</v>
      </c>
      <c r="R28" s="49" t="e">
        <f>SUM(R8:R27)</f>
        <v>#DIV/0!</v>
      </c>
      <c r="S28" s="77"/>
    </row>
    <row r="29" spans="1:19" x14ac:dyDescent="0.25">
      <c r="D29"/>
      <c r="E29"/>
      <c r="F29"/>
      <c r="G29"/>
      <c r="H29" s="94"/>
      <c r="N29" s="90"/>
    </row>
    <row r="30" spans="1:19" x14ac:dyDescent="0.25">
      <c r="D30"/>
      <c r="E30"/>
      <c r="F30"/>
      <c r="G30"/>
      <c r="H30" s="94"/>
    </row>
    <row r="31" spans="1:19" x14ac:dyDescent="0.25">
      <c r="D31"/>
      <c r="E31"/>
      <c r="F31"/>
      <c r="G31"/>
      <c r="H31" s="94"/>
    </row>
    <row r="32" spans="1:19" x14ac:dyDescent="0.25">
      <c r="D32"/>
      <c r="E32"/>
      <c r="F32"/>
      <c r="G32"/>
      <c r="H32" s="94"/>
    </row>
    <row r="33" spans="4:8" x14ac:dyDescent="0.25">
      <c r="D33"/>
      <c r="E33"/>
      <c r="F33"/>
      <c r="G33"/>
      <c r="H33" s="94"/>
    </row>
    <row r="34" spans="4:8" x14ac:dyDescent="0.25">
      <c r="D34"/>
      <c r="E34"/>
      <c r="F34"/>
      <c r="G34"/>
      <c r="H34" s="94"/>
    </row>
    <row r="35" spans="4:8" x14ac:dyDescent="0.25">
      <c r="D35"/>
      <c r="E35"/>
      <c r="F35"/>
      <c r="G35"/>
      <c r="H35" s="94"/>
    </row>
    <row r="36" spans="4:8" x14ac:dyDescent="0.25">
      <c r="D36"/>
      <c r="E36"/>
      <c r="F36"/>
      <c r="G36"/>
      <c r="H36" s="94"/>
    </row>
    <row r="37" spans="4:8" x14ac:dyDescent="0.25">
      <c r="D37"/>
      <c r="E37"/>
      <c r="F37"/>
      <c r="G37"/>
      <c r="H37" s="94"/>
    </row>
    <row r="38" spans="4:8" x14ac:dyDescent="0.25">
      <c r="D38"/>
      <c r="E38"/>
      <c r="F38"/>
      <c r="G38"/>
      <c r="H38" s="94"/>
    </row>
    <row r="39" spans="4:8" x14ac:dyDescent="0.25">
      <c r="D39"/>
      <c r="E39"/>
      <c r="F39"/>
      <c r="G39"/>
      <c r="H39" s="94"/>
    </row>
    <row r="40" spans="4:8" x14ac:dyDescent="0.25">
      <c r="D40"/>
      <c r="E40"/>
      <c r="F40"/>
      <c r="G40"/>
      <c r="H40" s="94"/>
    </row>
    <row r="41" spans="4:8" x14ac:dyDescent="0.25">
      <c r="D41"/>
      <c r="E41"/>
      <c r="F41"/>
      <c r="G41"/>
      <c r="H41" s="94"/>
    </row>
    <row r="42" spans="4:8" x14ac:dyDescent="0.25">
      <c r="D42"/>
      <c r="E42"/>
      <c r="F42"/>
      <c r="G42"/>
      <c r="H42" s="94"/>
    </row>
    <row r="43" spans="4:8" x14ac:dyDescent="0.25">
      <c r="D43"/>
      <c r="E43"/>
      <c r="F43"/>
      <c r="G43"/>
      <c r="H43" s="94"/>
    </row>
    <row r="44" spans="4:8" x14ac:dyDescent="0.25">
      <c r="D44"/>
      <c r="E44"/>
      <c r="F44"/>
      <c r="G44"/>
      <c r="H44" s="94"/>
    </row>
    <row r="45" spans="4:8" x14ac:dyDescent="0.25">
      <c r="D45"/>
      <c r="E45"/>
      <c r="F45"/>
      <c r="G45"/>
      <c r="H45" s="94"/>
    </row>
    <row r="46" spans="4:8" x14ac:dyDescent="0.25">
      <c r="D46"/>
      <c r="E46"/>
      <c r="F46"/>
      <c r="G46"/>
      <c r="H46" s="94"/>
    </row>
    <row r="47" spans="4:8" x14ac:dyDescent="0.25">
      <c r="D47"/>
      <c r="E47"/>
      <c r="F47"/>
      <c r="G47"/>
      <c r="H47" s="94"/>
    </row>
    <row r="48" spans="4:8" x14ac:dyDescent="0.25">
      <c r="D48"/>
      <c r="E48"/>
      <c r="F48"/>
      <c r="G48"/>
      <c r="H48" s="94"/>
    </row>
    <row r="49" spans="4:8" x14ac:dyDescent="0.25">
      <c r="D49"/>
      <c r="E49"/>
      <c r="F49"/>
      <c r="G49"/>
      <c r="H49" s="94"/>
    </row>
    <row r="50" spans="4:8" x14ac:dyDescent="0.25">
      <c r="D50"/>
      <c r="E50"/>
      <c r="F50"/>
      <c r="G50"/>
      <c r="H50" s="94"/>
    </row>
    <row r="51" spans="4:8" x14ac:dyDescent="0.25">
      <c r="D51"/>
      <c r="E51"/>
      <c r="F51"/>
      <c r="G51"/>
      <c r="H51" s="94"/>
    </row>
    <row r="52" spans="4:8" x14ac:dyDescent="0.25">
      <c r="D52"/>
      <c r="E52"/>
      <c r="F52"/>
      <c r="G52"/>
      <c r="H52" s="94"/>
    </row>
    <row r="53" spans="4:8" x14ac:dyDescent="0.25">
      <c r="D53"/>
      <c r="E53"/>
      <c r="F53"/>
      <c r="G53"/>
      <c r="H53" s="94"/>
    </row>
    <row r="54" spans="4:8" x14ac:dyDescent="0.25">
      <c r="D54"/>
      <c r="E54"/>
      <c r="F54"/>
      <c r="G54"/>
      <c r="H54" s="94"/>
    </row>
    <row r="55" spans="4:8" x14ac:dyDescent="0.25">
      <c r="D55"/>
      <c r="E55"/>
      <c r="F55"/>
      <c r="G55"/>
      <c r="H55" s="94"/>
    </row>
    <row r="56" spans="4:8" x14ac:dyDescent="0.25">
      <c r="D56"/>
      <c r="E56"/>
      <c r="F56"/>
      <c r="G56"/>
      <c r="H56" s="94"/>
    </row>
    <row r="57" spans="4:8" x14ac:dyDescent="0.25">
      <c r="D57"/>
      <c r="E57"/>
      <c r="F57"/>
      <c r="G57"/>
      <c r="H57" s="94"/>
    </row>
    <row r="58" spans="4:8" x14ac:dyDescent="0.25">
      <c r="D58"/>
      <c r="E58"/>
      <c r="F58"/>
      <c r="G58"/>
      <c r="H58" s="94"/>
    </row>
    <row r="59" spans="4:8" x14ac:dyDescent="0.25">
      <c r="D59"/>
      <c r="E59"/>
      <c r="F59"/>
      <c r="G59"/>
      <c r="H59" s="94"/>
    </row>
    <row r="60" spans="4:8" x14ac:dyDescent="0.25">
      <c r="D60"/>
      <c r="E60"/>
      <c r="F60"/>
      <c r="G60"/>
      <c r="H60" s="94"/>
    </row>
    <row r="61" spans="4:8" x14ac:dyDescent="0.25">
      <c r="D61"/>
      <c r="E61"/>
      <c r="F61"/>
      <c r="G61"/>
      <c r="H61" s="94"/>
    </row>
    <row r="62" spans="4:8" x14ac:dyDescent="0.25">
      <c r="D62"/>
      <c r="E62"/>
      <c r="F62"/>
      <c r="G62"/>
      <c r="H62" s="94"/>
    </row>
    <row r="63" spans="4:8" x14ac:dyDescent="0.25">
      <c r="D63"/>
      <c r="E63"/>
      <c r="F63"/>
      <c r="G63"/>
      <c r="H63" s="94"/>
    </row>
    <row r="64" spans="4:8" x14ac:dyDescent="0.25">
      <c r="D64"/>
      <c r="E64"/>
      <c r="F64"/>
      <c r="G64"/>
      <c r="H64" s="94"/>
    </row>
    <row r="65" spans="4:8" x14ac:dyDescent="0.25">
      <c r="D65"/>
      <c r="E65"/>
      <c r="F65"/>
      <c r="G65"/>
      <c r="H65" s="94"/>
    </row>
    <row r="66" spans="4:8" x14ac:dyDescent="0.25">
      <c r="D66"/>
      <c r="E66"/>
      <c r="F66"/>
      <c r="G66"/>
      <c r="H66" s="94"/>
    </row>
    <row r="67" spans="4:8" x14ac:dyDescent="0.25">
      <c r="D67"/>
      <c r="E67"/>
      <c r="F67"/>
      <c r="G67"/>
      <c r="H67" s="94"/>
    </row>
    <row r="68" spans="4:8" x14ac:dyDescent="0.25">
      <c r="D68"/>
      <c r="E68"/>
      <c r="F68"/>
      <c r="G68"/>
      <c r="H68" s="94"/>
    </row>
    <row r="69" spans="4:8" x14ac:dyDescent="0.25">
      <c r="D69"/>
      <c r="E69"/>
      <c r="F69"/>
      <c r="G69"/>
      <c r="H69" s="94"/>
    </row>
    <row r="70" spans="4:8" x14ac:dyDescent="0.25">
      <c r="D70"/>
      <c r="E70"/>
      <c r="F70"/>
      <c r="G70"/>
      <c r="H70" s="94"/>
    </row>
    <row r="71" spans="4:8" x14ac:dyDescent="0.25">
      <c r="D71"/>
      <c r="E71"/>
      <c r="F71"/>
      <c r="G71"/>
      <c r="H71" s="94"/>
    </row>
    <row r="72" spans="4:8" x14ac:dyDescent="0.25">
      <c r="D72"/>
      <c r="E72"/>
      <c r="F72"/>
      <c r="G72"/>
      <c r="H72" s="94"/>
    </row>
    <row r="73" spans="4:8" x14ac:dyDescent="0.25">
      <c r="D73"/>
      <c r="E73"/>
      <c r="F73"/>
      <c r="G73"/>
      <c r="H73" s="94"/>
    </row>
    <row r="74" spans="4:8" x14ac:dyDescent="0.25">
      <c r="D74"/>
      <c r="E74"/>
      <c r="F74"/>
      <c r="G74"/>
      <c r="H74" s="94"/>
    </row>
    <row r="75" spans="4:8" x14ac:dyDescent="0.25">
      <c r="D75"/>
      <c r="E75"/>
      <c r="F75"/>
      <c r="G75"/>
      <c r="H75" s="94"/>
    </row>
    <row r="76" spans="4:8" x14ac:dyDescent="0.25">
      <c r="D76"/>
      <c r="E76"/>
      <c r="F76"/>
      <c r="G76"/>
      <c r="H76" s="94"/>
    </row>
    <row r="77" spans="4:8" x14ac:dyDescent="0.25">
      <c r="D77"/>
      <c r="E77"/>
      <c r="F77"/>
      <c r="G77"/>
      <c r="H77" s="94"/>
    </row>
    <row r="78" spans="4:8" x14ac:dyDescent="0.25">
      <c r="D78"/>
      <c r="E78"/>
      <c r="F78"/>
      <c r="G78"/>
      <c r="H78" s="94"/>
    </row>
    <row r="79" spans="4:8" x14ac:dyDescent="0.25">
      <c r="D79"/>
      <c r="E79"/>
      <c r="F79"/>
      <c r="G79"/>
      <c r="H79" s="94"/>
    </row>
    <row r="80" spans="4:8" x14ac:dyDescent="0.25">
      <c r="D80"/>
      <c r="E80"/>
      <c r="F80"/>
      <c r="G80"/>
      <c r="H80" s="94"/>
    </row>
    <row r="81" spans="4:8" x14ac:dyDescent="0.25">
      <c r="D81"/>
      <c r="E81"/>
      <c r="F81"/>
      <c r="G81"/>
      <c r="H81" s="94"/>
    </row>
    <row r="82" spans="4:8" x14ac:dyDescent="0.25">
      <c r="D82"/>
      <c r="E82"/>
      <c r="F82"/>
      <c r="G82"/>
      <c r="H82" s="94"/>
    </row>
    <row r="83" spans="4:8" x14ac:dyDescent="0.25">
      <c r="D83"/>
      <c r="E83"/>
      <c r="F83"/>
      <c r="G83"/>
      <c r="H83" s="94"/>
    </row>
    <row r="84" spans="4:8" x14ac:dyDescent="0.25">
      <c r="D84"/>
      <c r="E84"/>
      <c r="F84"/>
      <c r="G84"/>
      <c r="H84" s="94"/>
    </row>
    <row r="85" spans="4:8" x14ac:dyDescent="0.25">
      <c r="D85"/>
      <c r="E85"/>
      <c r="F85"/>
      <c r="G85"/>
      <c r="H85" s="94"/>
    </row>
    <row r="86" spans="4:8" x14ac:dyDescent="0.25">
      <c r="D86"/>
      <c r="E86"/>
      <c r="F86"/>
      <c r="G86"/>
      <c r="H86" s="94"/>
    </row>
    <row r="87" spans="4:8" x14ac:dyDescent="0.25">
      <c r="D87"/>
      <c r="E87"/>
      <c r="F87"/>
      <c r="G87"/>
      <c r="H87" s="94"/>
    </row>
    <row r="88" spans="4:8" x14ac:dyDescent="0.25">
      <c r="D88"/>
      <c r="E88"/>
      <c r="F88"/>
      <c r="G88"/>
      <c r="H88" s="94"/>
    </row>
    <row r="89" spans="4:8" x14ac:dyDescent="0.25">
      <c r="D89"/>
      <c r="E89"/>
      <c r="F89"/>
      <c r="G89"/>
      <c r="H89" s="94"/>
    </row>
    <row r="90" spans="4:8" x14ac:dyDescent="0.25">
      <c r="D90"/>
      <c r="E90"/>
      <c r="F90"/>
      <c r="G90"/>
      <c r="H90" s="94"/>
    </row>
    <row r="91" spans="4:8" x14ac:dyDescent="0.25">
      <c r="D91"/>
      <c r="E91"/>
      <c r="F91"/>
      <c r="G91"/>
      <c r="H91" s="94"/>
    </row>
    <row r="92" spans="4:8" x14ac:dyDescent="0.25">
      <c r="D92"/>
      <c r="E92"/>
      <c r="F92"/>
      <c r="G92"/>
      <c r="H92" s="94"/>
    </row>
    <row r="93" spans="4:8" x14ac:dyDescent="0.25">
      <c r="D93"/>
      <c r="E93"/>
      <c r="F93"/>
      <c r="G93"/>
      <c r="H93" s="94"/>
    </row>
    <row r="94" spans="4:8" x14ac:dyDescent="0.25">
      <c r="D94"/>
      <c r="E94"/>
      <c r="F94"/>
      <c r="G94"/>
      <c r="H94" s="94"/>
    </row>
    <row r="95" spans="4:8" x14ac:dyDescent="0.25">
      <c r="D95"/>
      <c r="E95"/>
      <c r="F95"/>
      <c r="G95"/>
      <c r="H95" s="94"/>
    </row>
    <row r="96" spans="4:8" x14ac:dyDescent="0.25">
      <c r="D96"/>
      <c r="E96"/>
      <c r="F96"/>
      <c r="G96"/>
      <c r="H96" s="94"/>
    </row>
    <row r="97" spans="4:8" x14ac:dyDescent="0.25">
      <c r="D97"/>
      <c r="E97"/>
      <c r="F97"/>
      <c r="G97"/>
      <c r="H97" s="94"/>
    </row>
    <row r="98" spans="4:8" x14ac:dyDescent="0.25">
      <c r="D98"/>
      <c r="E98"/>
      <c r="F98"/>
      <c r="G98"/>
      <c r="H98" s="94"/>
    </row>
    <row r="99" spans="4:8" x14ac:dyDescent="0.25">
      <c r="D99"/>
      <c r="E99"/>
      <c r="F99"/>
      <c r="G99"/>
      <c r="H99" s="94"/>
    </row>
    <row r="100" spans="4:8" x14ac:dyDescent="0.25">
      <c r="D100"/>
      <c r="E100"/>
      <c r="F100"/>
      <c r="G100"/>
      <c r="H100" s="94"/>
    </row>
    <row r="101" spans="4:8" x14ac:dyDescent="0.25">
      <c r="D101"/>
      <c r="E101"/>
      <c r="F101"/>
      <c r="G101"/>
      <c r="H101" s="94"/>
    </row>
    <row r="102" spans="4:8" x14ac:dyDescent="0.25">
      <c r="D102"/>
      <c r="E102"/>
      <c r="F102"/>
      <c r="G102"/>
      <c r="H102" s="94"/>
    </row>
    <row r="103" spans="4:8" x14ac:dyDescent="0.25">
      <c r="D103"/>
      <c r="E103"/>
      <c r="F103"/>
      <c r="G103"/>
      <c r="H103" s="94"/>
    </row>
    <row r="104" spans="4:8" x14ac:dyDescent="0.25">
      <c r="D104"/>
      <c r="E104"/>
      <c r="F104"/>
      <c r="G104"/>
      <c r="H104" s="94"/>
    </row>
    <row r="105" spans="4:8" x14ac:dyDescent="0.25">
      <c r="D105"/>
      <c r="E105"/>
      <c r="F105"/>
      <c r="G105"/>
      <c r="H105" s="94"/>
    </row>
    <row r="106" spans="4:8" x14ac:dyDescent="0.25">
      <c r="D106"/>
      <c r="E106"/>
      <c r="F106"/>
      <c r="G106"/>
      <c r="H106" s="94"/>
    </row>
    <row r="107" spans="4:8" x14ac:dyDescent="0.25">
      <c r="D107"/>
      <c r="E107"/>
      <c r="F107"/>
      <c r="G107"/>
      <c r="H107" s="94"/>
    </row>
    <row r="108" spans="4:8" x14ac:dyDescent="0.25">
      <c r="D108"/>
      <c r="E108"/>
      <c r="F108"/>
      <c r="G108"/>
      <c r="H108" s="94"/>
    </row>
    <row r="109" spans="4:8" x14ac:dyDescent="0.25">
      <c r="D109"/>
      <c r="E109"/>
      <c r="F109"/>
      <c r="G109"/>
      <c r="H109" s="94"/>
    </row>
    <row r="110" spans="4:8" x14ac:dyDescent="0.25">
      <c r="D110"/>
      <c r="E110"/>
      <c r="F110"/>
      <c r="G110"/>
      <c r="H110" s="94"/>
    </row>
    <row r="111" spans="4:8" x14ac:dyDescent="0.25">
      <c r="D111"/>
      <c r="E111"/>
      <c r="F111"/>
      <c r="G111"/>
      <c r="H111" s="94"/>
    </row>
    <row r="112" spans="4:8" x14ac:dyDescent="0.25">
      <c r="D112"/>
      <c r="E112"/>
      <c r="F112"/>
      <c r="G112"/>
      <c r="H112" s="94"/>
    </row>
    <row r="113" spans="4:8" x14ac:dyDescent="0.25">
      <c r="D113"/>
      <c r="E113"/>
      <c r="F113"/>
      <c r="G113"/>
      <c r="H113" s="94"/>
    </row>
    <row r="114" spans="4:8" x14ac:dyDescent="0.25">
      <c r="D114"/>
      <c r="E114"/>
      <c r="F114"/>
      <c r="G114"/>
      <c r="H114" s="94"/>
    </row>
    <row r="115" spans="4:8" x14ac:dyDescent="0.25">
      <c r="D115"/>
      <c r="E115"/>
      <c r="F115"/>
      <c r="G115"/>
      <c r="H115" s="94"/>
    </row>
    <row r="116" spans="4:8" x14ac:dyDescent="0.25">
      <c r="D116"/>
      <c r="E116"/>
      <c r="F116"/>
      <c r="G116"/>
      <c r="H116" s="94"/>
    </row>
    <row r="117" spans="4:8" x14ac:dyDescent="0.25">
      <c r="D117"/>
      <c r="E117"/>
      <c r="F117"/>
      <c r="G117"/>
      <c r="H117" s="94"/>
    </row>
    <row r="118" spans="4:8" x14ac:dyDescent="0.25">
      <c r="D118"/>
      <c r="E118"/>
      <c r="F118"/>
      <c r="G118"/>
      <c r="H118" s="94"/>
    </row>
    <row r="119" spans="4:8" x14ac:dyDescent="0.25">
      <c r="D119"/>
      <c r="E119"/>
      <c r="F119"/>
      <c r="G119"/>
      <c r="H119" s="94"/>
    </row>
    <row r="120" spans="4:8" x14ac:dyDescent="0.25">
      <c r="D120"/>
      <c r="E120"/>
      <c r="F120"/>
      <c r="G120"/>
      <c r="H120" s="94"/>
    </row>
    <row r="121" spans="4:8" x14ac:dyDescent="0.25">
      <c r="D121"/>
      <c r="E121"/>
      <c r="F121"/>
      <c r="G121"/>
      <c r="H121" s="94"/>
    </row>
    <row r="122" spans="4:8" x14ac:dyDescent="0.25">
      <c r="D122"/>
      <c r="E122"/>
      <c r="F122"/>
      <c r="G122"/>
      <c r="H122" s="94"/>
    </row>
    <row r="123" spans="4:8" x14ac:dyDescent="0.25">
      <c r="D123"/>
      <c r="E123"/>
      <c r="F123"/>
      <c r="G123"/>
      <c r="H123" s="94"/>
    </row>
    <row r="124" spans="4:8" x14ac:dyDescent="0.25">
      <c r="D124"/>
      <c r="E124"/>
      <c r="F124"/>
      <c r="G124"/>
      <c r="H124" s="94"/>
    </row>
    <row r="125" spans="4:8" x14ac:dyDescent="0.25">
      <c r="D125"/>
      <c r="E125"/>
      <c r="F125"/>
      <c r="G125"/>
      <c r="H125" s="94"/>
    </row>
    <row r="126" spans="4:8" x14ac:dyDescent="0.25">
      <c r="D126"/>
      <c r="E126"/>
      <c r="F126"/>
      <c r="G126"/>
      <c r="H126" s="94"/>
    </row>
    <row r="127" spans="4:8" x14ac:dyDescent="0.25">
      <c r="D127"/>
      <c r="E127"/>
      <c r="F127"/>
      <c r="G127"/>
      <c r="H127" s="94"/>
    </row>
    <row r="128" spans="4:8" x14ac:dyDescent="0.25">
      <c r="D128"/>
      <c r="E128"/>
      <c r="F128"/>
      <c r="G128"/>
      <c r="H128" s="94"/>
    </row>
    <row r="129" spans="4:8" x14ac:dyDescent="0.25">
      <c r="D129"/>
      <c r="E129"/>
      <c r="F129"/>
      <c r="G129"/>
      <c r="H129" s="94"/>
    </row>
    <row r="130" spans="4:8" x14ac:dyDescent="0.25">
      <c r="D130"/>
      <c r="E130"/>
      <c r="F130"/>
      <c r="G130"/>
      <c r="H130" s="94"/>
    </row>
    <row r="131" spans="4:8" x14ac:dyDescent="0.25">
      <c r="D131"/>
      <c r="E131"/>
      <c r="F131"/>
      <c r="G131"/>
      <c r="H131" s="94"/>
    </row>
    <row r="132" spans="4:8" x14ac:dyDescent="0.25">
      <c r="D132"/>
      <c r="E132"/>
      <c r="F132"/>
      <c r="G132"/>
      <c r="H132" s="94"/>
    </row>
    <row r="133" spans="4:8" x14ac:dyDescent="0.25">
      <c r="D133"/>
      <c r="E133"/>
      <c r="F133"/>
      <c r="G133"/>
      <c r="H133" s="94"/>
    </row>
    <row r="134" spans="4:8" x14ac:dyDescent="0.25">
      <c r="D134"/>
      <c r="E134"/>
      <c r="F134"/>
      <c r="G134"/>
      <c r="H134" s="94"/>
    </row>
    <row r="135" spans="4:8" x14ac:dyDescent="0.25">
      <c r="D135"/>
      <c r="E135"/>
      <c r="F135"/>
      <c r="G135"/>
      <c r="H135" s="94"/>
    </row>
    <row r="136" spans="4:8" x14ac:dyDescent="0.25">
      <c r="D136"/>
      <c r="E136"/>
      <c r="F136"/>
      <c r="G136"/>
      <c r="H136" s="94"/>
    </row>
    <row r="137" spans="4:8" x14ac:dyDescent="0.25">
      <c r="D137"/>
      <c r="E137"/>
      <c r="F137"/>
      <c r="G137"/>
      <c r="H137" s="94"/>
    </row>
    <row r="138" spans="4:8" x14ac:dyDescent="0.25">
      <c r="D138"/>
      <c r="E138"/>
      <c r="F138"/>
      <c r="G138"/>
      <c r="H138" s="94"/>
    </row>
    <row r="139" spans="4:8" x14ac:dyDescent="0.25">
      <c r="D139"/>
      <c r="E139"/>
      <c r="F139"/>
      <c r="G139"/>
      <c r="H139" s="94"/>
    </row>
    <row r="140" spans="4:8" x14ac:dyDescent="0.25">
      <c r="D140"/>
      <c r="E140"/>
      <c r="F140"/>
      <c r="G140"/>
      <c r="H140" s="94"/>
    </row>
    <row r="141" spans="4:8" x14ac:dyDescent="0.25">
      <c r="D141"/>
      <c r="E141"/>
      <c r="F141"/>
      <c r="G141"/>
      <c r="H141" s="94"/>
    </row>
    <row r="142" spans="4:8" x14ac:dyDescent="0.25">
      <c r="D142"/>
      <c r="E142"/>
      <c r="F142"/>
      <c r="G142"/>
      <c r="H142" s="94"/>
    </row>
    <row r="143" spans="4:8" x14ac:dyDescent="0.25">
      <c r="D143"/>
      <c r="E143"/>
      <c r="F143"/>
      <c r="G143"/>
      <c r="H143" s="94"/>
    </row>
    <row r="144" spans="4:8" x14ac:dyDescent="0.25">
      <c r="D144"/>
      <c r="E144"/>
      <c r="F144"/>
      <c r="G144"/>
      <c r="H144" s="94"/>
    </row>
    <row r="145" spans="4:8" x14ac:dyDescent="0.25">
      <c r="D145"/>
      <c r="E145"/>
      <c r="F145"/>
      <c r="G145"/>
      <c r="H145" s="94"/>
    </row>
    <row r="146" spans="4:8" x14ac:dyDescent="0.25">
      <c r="D146"/>
      <c r="E146"/>
      <c r="F146"/>
      <c r="G146"/>
      <c r="H146" s="94"/>
    </row>
    <row r="147" spans="4:8" x14ac:dyDescent="0.25">
      <c r="D147"/>
      <c r="E147"/>
      <c r="F147"/>
      <c r="G147"/>
      <c r="H147" s="94"/>
    </row>
    <row r="148" spans="4:8" x14ac:dyDescent="0.25">
      <c r="D148"/>
      <c r="E148"/>
      <c r="F148"/>
      <c r="G148"/>
      <c r="H148" s="94"/>
    </row>
    <row r="149" spans="4:8" x14ac:dyDescent="0.25">
      <c r="D149"/>
      <c r="E149"/>
      <c r="F149"/>
      <c r="G149"/>
      <c r="H149" s="94"/>
    </row>
    <row r="150" spans="4:8" x14ac:dyDescent="0.25">
      <c r="D150"/>
      <c r="E150"/>
      <c r="F150"/>
      <c r="G150"/>
      <c r="H150" s="94"/>
    </row>
    <row r="151" spans="4:8" x14ac:dyDescent="0.25">
      <c r="D151"/>
      <c r="E151"/>
      <c r="F151"/>
      <c r="G151"/>
      <c r="H151" s="94"/>
    </row>
    <row r="152" spans="4:8" x14ac:dyDescent="0.25">
      <c r="D152"/>
      <c r="E152"/>
      <c r="F152"/>
      <c r="G152"/>
      <c r="H152" s="94"/>
    </row>
    <row r="153" spans="4:8" x14ac:dyDescent="0.25">
      <c r="D153"/>
      <c r="E153"/>
      <c r="F153"/>
      <c r="G153"/>
      <c r="H153" s="94"/>
    </row>
    <row r="154" spans="4:8" x14ac:dyDescent="0.25">
      <c r="D154"/>
      <c r="E154"/>
      <c r="F154"/>
      <c r="G154"/>
      <c r="H154" s="94"/>
    </row>
    <row r="155" spans="4:8" x14ac:dyDescent="0.25">
      <c r="D155"/>
      <c r="E155"/>
      <c r="F155"/>
      <c r="G155"/>
      <c r="H155" s="94"/>
    </row>
    <row r="156" spans="4:8" x14ac:dyDescent="0.25">
      <c r="D156"/>
      <c r="E156"/>
      <c r="F156"/>
      <c r="G156"/>
      <c r="H156" s="94"/>
    </row>
    <row r="157" spans="4:8" x14ac:dyDescent="0.25">
      <c r="D157"/>
      <c r="E157"/>
      <c r="F157"/>
      <c r="G157"/>
      <c r="H157" s="94"/>
    </row>
    <row r="158" spans="4:8" x14ac:dyDescent="0.25">
      <c r="D158"/>
      <c r="E158"/>
      <c r="F158"/>
      <c r="G158"/>
      <c r="H158" s="94"/>
    </row>
    <row r="159" spans="4:8" x14ac:dyDescent="0.25">
      <c r="D159"/>
      <c r="E159"/>
      <c r="F159"/>
      <c r="G159"/>
      <c r="H159" s="94"/>
    </row>
    <row r="160" spans="4:8" x14ac:dyDescent="0.25">
      <c r="D160"/>
      <c r="E160"/>
      <c r="F160"/>
      <c r="G160"/>
      <c r="H160" s="94"/>
    </row>
    <row r="161" spans="4:8" x14ac:dyDescent="0.25">
      <c r="D161"/>
      <c r="E161"/>
      <c r="F161"/>
      <c r="G161"/>
      <c r="H161" s="94"/>
    </row>
    <row r="162" spans="4:8" x14ac:dyDescent="0.25">
      <c r="D162"/>
      <c r="E162"/>
      <c r="F162"/>
      <c r="G162"/>
      <c r="H162" s="94"/>
    </row>
    <row r="163" spans="4:8" x14ac:dyDescent="0.25">
      <c r="D163"/>
      <c r="E163"/>
      <c r="F163"/>
      <c r="G163"/>
      <c r="H163" s="94"/>
    </row>
    <row r="164" spans="4:8" x14ac:dyDescent="0.25">
      <c r="D164"/>
      <c r="E164"/>
      <c r="F164"/>
      <c r="G164"/>
      <c r="H164" s="94"/>
    </row>
    <row r="165" spans="4:8" x14ac:dyDescent="0.25">
      <c r="D165"/>
      <c r="E165"/>
      <c r="F165"/>
      <c r="G165"/>
      <c r="H165" s="94"/>
    </row>
    <row r="166" spans="4:8" x14ac:dyDescent="0.25">
      <c r="D166"/>
      <c r="E166"/>
      <c r="F166"/>
      <c r="G166"/>
      <c r="H166" s="94"/>
    </row>
    <row r="167" spans="4:8" x14ac:dyDescent="0.25">
      <c r="D167"/>
      <c r="E167"/>
      <c r="F167"/>
      <c r="G167"/>
      <c r="H167" s="94"/>
    </row>
    <row r="168" spans="4:8" x14ac:dyDescent="0.25">
      <c r="D168"/>
      <c r="E168"/>
      <c r="F168"/>
      <c r="G168"/>
      <c r="H168" s="94"/>
    </row>
    <row r="169" spans="4:8" x14ac:dyDescent="0.25">
      <c r="D169"/>
      <c r="E169"/>
      <c r="F169"/>
      <c r="G169"/>
      <c r="H169" s="94"/>
    </row>
    <row r="170" spans="4:8" x14ac:dyDescent="0.25">
      <c r="D170"/>
      <c r="E170"/>
      <c r="F170"/>
      <c r="G170"/>
      <c r="H170" s="94"/>
    </row>
    <row r="171" spans="4:8" x14ac:dyDescent="0.25">
      <c r="D171"/>
      <c r="E171"/>
      <c r="F171"/>
      <c r="G171"/>
      <c r="H171" s="94"/>
    </row>
    <row r="172" spans="4:8" x14ac:dyDescent="0.25">
      <c r="D172"/>
      <c r="E172"/>
      <c r="F172"/>
      <c r="G172"/>
      <c r="H172" s="94"/>
    </row>
    <row r="173" spans="4:8" x14ac:dyDescent="0.25">
      <c r="D173"/>
      <c r="E173"/>
      <c r="F173"/>
      <c r="G173"/>
      <c r="H173" s="94"/>
    </row>
    <row r="174" spans="4:8" x14ac:dyDescent="0.25">
      <c r="D174"/>
      <c r="E174"/>
      <c r="F174"/>
      <c r="G174"/>
      <c r="H174" s="94"/>
    </row>
    <row r="175" spans="4:8" x14ac:dyDescent="0.25">
      <c r="D175"/>
      <c r="E175"/>
      <c r="F175"/>
      <c r="G175"/>
      <c r="H175" s="94"/>
    </row>
    <row r="176" spans="4:8" x14ac:dyDescent="0.25">
      <c r="D176"/>
      <c r="E176"/>
      <c r="F176"/>
      <c r="G176"/>
      <c r="H176" s="94"/>
    </row>
    <row r="177" spans="4:8" x14ac:dyDescent="0.25">
      <c r="D177"/>
      <c r="E177"/>
      <c r="F177"/>
      <c r="G177"/>
      <c r="H177" s="94"/>
    </row>
    <row r="178" spans="4:8" x14ac:dyDescent="0.25">
      <c r="D178"/>
      <c r="E178"/>
      <c r="F178"/>
      <c r="G178"/>
      <c r="H178" s="94"/>
    </row>
    <row r="179" spans="4:8" x14ac:dyDescent="0.25">
      <c r="D179"/>
      <c r="E179"/>
      <c r="F179"/>
      <c r="G179"/>
      <c r="H179" s="94"/>
    </row>
    <row r="180" spans="4:8" x14ac:dyDescent="0.25">
      <c r="D180"/>
      <c r="E180"/>
      <c r="F180"/>
      <c r="G180"/>
      <c r="H180" s="94"/>
    </row>
    <row r="181" spans="4:8" x14ac:dyDescent="0.25">
      <c r="D181"/>
      <c r="E181"/>
      <c r="F181"/>
      <c r="G181"/>
      <c r="H181" s="94"/>
    </row>
    <row r="182" spans="4:8" x14ac:dyDescent="0.25">
      <c r="D182"/>
      <c r="E182"/>
      <c r="F182"/>
      <c r="G182"/>
      <c r="H182" s="94"/>
    </row>
    <row r="183" spans="4:8" x14ac:dyDescent="0.25">
      <c r="D183"/>
      <c r="E183"/>
      <c r="F183"/>
      <c r="G183"/>
      <c r="H183" s="94"/>
    </row>
    <row r="184" spans="4:8" x14ac:dyDescent="0.25">
      <c r="D184"/>
      <c r="E184"/>
      <c r="F184"/>
      <c r="G184"/>
      <c r="H184" s="94"/>
    </row>
    <row r="185" spans="4:8" x14ac:dyDescent="0.25">
      <c r="D185"/>
      <c r="E185"/>
      <c r="F185"/>
      <c r="G185"/>
      <c r="H185" s="94"/>
    </row>
    <row r="186" spans="4:8" x14ac:dyDescent="0.25">
      <c r="D186"/>
      <c r="E186"/>
      <c r="F186"/>
      <c r="G186"/>
      <c r="H186" s="94"/>
    </row>
    <row r="187" spans="4:8" x14ac:dyDescent="0.25">
      <c r="D187"/>
      <c r="E187"/>
      <c r="F187"/>
      <c r="G187"/>
      <c r="H187" s="94"/>
    </row>
    <row r="188" spans="4:8" x14ac:dyDescent="0.25">
      <c r="D188"/>
      <c r="E188"/>
      <c r="F188"/>
      <c r="G188"/>
      <c r="H188" s="94"/>
    </row>
    <row r="189" spans="4:8" x14ac:dyDescent="0.25">
      <c r="D189"/>
      <c r="E189"/>
      <c r="F189"/>
      <c r="G189"/>
      <c r="H189" s="94"/>
    </row>
    <row r="190" spans="4:8" x14ac:dyDescent="0.25">
      <c r="D190"/>
      <c r="E190"/>
      <c r="F190"/>
      <c r="G190"/>
      <c r="H190" s="94"/>
    </row>
    <row r="191" spans="4:8" x14ac:dyDescent="0.25">
      <c r="D191"/>
      <c r="E191"/>
      <c r="F191"/>
      <c r="G191"/>
      <c r="H191" s="94"/>
    </row>
    <row r="192" spans="4:8" x14ac:dyDescent="0.25">
      <c r="D192"/>
      <c r="E192"/>
      <c r="F192"/>
      <c r="G192"/>
      <c r="H192" s="94"/>
    </row>
    <row r="193" spans="4:8" x14ac:dyDescent="0.25">
      <c r="D193"/>
      <c r="E193"/>
      <c r="F193"/>
      <c r="G193"/>
      <c r="H193" s="94"/>
    </row>
    <row r="194" spans="4:8" x14ac:dyDescent="0.25">
      <c r="D194"/>
      <c r="E194"/>
      <c r="F194"/>
      <c r="G194"/>
      <c r="H194" s="94"/>
    </row>
    <row r="195" spans="4:8" x14ac:dyDescent="0.25">
      <c r="D195"/>
      <c r="E195"/>
      <c r="F195"/>
      <c r="G195"/>
      <c r="H195" s="94"/>
    </row>
    <row r="196" spans="4:8" x14ac:dyDescent="0.25">
      <c r="D196"/>
      <c r="E196"/>
      <c r="F196"/>
      <c r="G196"/>
      <c r="H196" s="94"/>
    </row>
    <row r="197" spans="4:8" x14ac:dyDescent="0.25">
      <c r="D197"/>
      <c r="E197"/>
      <c r="F197"/>
      <c r="G197"/>
      <c r="H197" s="94"/>
    </row>
    <row r="198" spans="4:8" x14ac:dyDescent="0.25">
      <c r="D198"/>
      <c r="E198"/>
      <c r="F198"/>
      <c r="G198"/>
      <c r="H198" s="94"/>
    </row>
    <row r="199" spans="4:8" x14ac:dyDescent="0.25">
      <c r="D199"/>
      <c r="E199"/>
      <c r="F199"/>
      <c r="G199"/>
      <c r="H199" s="94"/>
    </row>
    <row r="200" spans="4:8" x14ac:dyDescent="0.25">
      <c r="D200"/>
      <c r="E200"/>
      <c r="F200"/>
      <c r="G200"/>
      <c r="H200" s="94"/>
    </row>
    <row r="201" spans="4:8" x14ac:dyDescent="0.25">
      <c r="D201"/>
      <c r="E201"/>
      <c r="F201"/>
      <c r="G201"/>
      <c r="H201" s="94"/>
    </row>
    <row r="202" spans="4:8" x14ac:dyDescent="0.25">
      <c r="D202"/>
      <c r="E202"/>
      <c r="F202"/>
      <c r="G202"/>
      <c r="H202" s="94"/>
    </row>
    <row r="203" spans="4:8" x14ac:dyDescent="0.25">
      <c r="D203"/>
      <c r="E203"/>
      <c r="F203"/>
      <c r="G203"/>
      <c r="H203" s="94"/>
    </row>
    <row r="204" spans="4:8" x14ac:dyDescent="0.25">
      <c r="D204"/>
      <c r="E204"/>
      <c r="F204"/>
      <c r="G204"/>
      <c r="H204" s="94"/>
    </row>
  </sheetData>
  <mergeCells count="6">
    <mergeCell ref="C1:R1"/>
    <mergeCell ref="C2:R2"/>
    <mergeCell ref="C3:R3"/>
    <mergeCell ref="D6:G6"/>
    <mergeCell ref="I6:M6"/>
    <mergeCell ref="O6:S6"/>
  </mergeCells>
  <pageMargins left="0.7" right="0.7" top="0.75" bottom="0.75" header="0.3" footer="0.3"/>
  <pageSetup paperSize="9" scale="60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loadfileandCalc">
                <anchor moveWithCells="1" sizeWithCells="1">
                  <from>
                    <xdr:col>19</xdr:col>
                    <xdr:colOff>28575</xdr:colOff>
                    <xdr:row>0</xdr:row>
                    <xdr:rowOff>0</xdr:rowOff>
                  </from>
                  <to>
                    <xdr:col>20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7FF3-9BD6-4B0C-9D00-500918F08362}">
  <sheetPr codeName="Sheet2">
    <tabColor theme="8" tint="0.59999389629810485"/>
    <pageSetUpPr fitToPage="1"/>
  </sheetPr>
  <dimension ref="A1:P1721"/>
  <sheetViews>
    <sheetView topLeftCell="C1" workbookViewId="0">
      <pane xSplit="2" ySplit="8" topLeftCell="E9" activePane="bottomRight" state="frozen"/>
      <selection activeCell="C1" sqref="C1"/>
      <selection pane="topRight" activeCell="E1" sqref="E1"/>
      <selection pane="bottomLeft" activeCell="C9" sqref="C9"/>
      <selection pane="bottomRight" activeCell="C14" sqref="C14"/>
    </sheetView>
  </sheetViews>
  <sheetFormatPr defaultRowHeight="12.75" x14ac:dyDescent="0.2"/>
  <cols>
    <col min="1" max="2" width="9.140625" style="5" hidden="1" customWidth="1"/>
    <col min="3" max="3" width="22.5703125" style="5" bestFit="1" customWidth="1"/>
    <col min="4" max="4" width="7.7109375" style="6" hidden="1" customWidth="1"/>
    <col min="5" max="5" width="25.7109375" style="6" bestFit="1" customWidth="1"/>
    <col min="6" max="6" width="9.5703125" style="6" bestFit="1" customWidth="1"/>
    <col min="7" max="7" width="12.5703125" style="6" bestFit="1" customWidth="1"/>
    <col min="8" max="8" width="11.7109375" style="5" customWidth="1"/>
    <col min="9" max="9" width="1.7109375" style="5" customWidth="1"/>
    <col min="10" max="12" width="11.7109375" style="6" customWidth="1"/>
    <col min="13" max="13" width="1.7109375" style="5" customWidth="1"/>
    <col min="14" max="14" width="11.7109375" style="5" customWidth="1"/>
    <col min="15" max="16" width="11.7109375" style="6" customWidth="1"/>
    <col min="17" max="16384" width="9.140625" style="5"/>
  </cols>
  <sheetData>
    <row r="1" spans="1:16" ht="19.5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</row>
    <row r="2" spans="1:16" ht="19.5" x14ac:dyDescent="0.3">
      <c r="C2" s="118" t="s">
        <v>387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16" ht="19.5" x14ac:dyDescent="0.3">
      <c r="C3" s="117" t="s">
        <v>149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</row>
    <row r="5" spans="1:16" hidden="1" x14ac:dyDescent="0.2">
      <c r="C5" s="22" t="s">
        <v>379</v>
      </c>
      <c r="D5" s="5" t="s">
        <v>380</v>
      </c>
    </row>
    <row r="6" spans="1:16" hidden="1" x14ac:dyDescent="0.2">
      <c r="C6" s="22" t="s">
        <v>128</v>
      </c>
      <c r="D6" s="7" t="s">
        <v>135</v>
      </c>
    </row>
    <row r="7" spans="1:16" x14ac:dyDescent="0.2">
      <c r="F7" s="121" t="s">
        <v>141</v>
      </c>
      <c r="G7" s="122"/>
      <c r="H7" s="123"/>
      <c r="J7" s="121" t="s">
        <v>142</v>
      </c>
      <c r="K7" s="122"/>
      <c r="L7" s="123"/>
      <c r="N7" s="124" t="s">
        <v>143</v>
      </c>
      <c r="O7" s="125"/>
      <c r="P7" s="126"/>
    </row>
    <row r="8" spans="1:16" x14ac:dyDescent="0.2">
      <c r="C8" s="23" t="s">
        <v>130</v>
      </c>
      <c r="D8" s="27" t="s">
        <v>381</v>
      </c>
      <c r="E8" s="23" t="s">
        <v>0</v>
      </c>
      <c r="F8" s="12" t="s">
        <v>145</v>
      </c>
      <c r="G8" s="12" t="s">
        <v>147</v>
      </c>
      <c r="H8" s="12" t="s">
        <v>137</v>
      </c>
      <c r="I8" s="8"/>
      <c r="J8" s="9" t="s">
        <v>145</v>
      </c>
      <c r="K8" s="9" t="s">
        <v>147</v>
      </c>
      <c r="L8" s="9" t="s">
        <v>137</v>
      </c>
      <c r="M8" s="8"/>
      <c r="N8" s="9" t="s">
        <v>145</v>
      </c>
      <c r="O8" s="9" t="s">
        <v>147</v>
      </c>
      <c r="P8" s="9" t="s">
        <v>137</v>
      </c>
    </row>
    <row r="9" spans="1:16" x14ac:dyDescent="0.2">
      <c r="A9" s="24">
        <f>G9/F9</f>
        <v>282.3126748029494</v>
      </c>
      <c r="B9" s="24">
        <f>H9/F9</f>
        <v>115.74819476226799</v>
      </c>
      <c r="C9" s="15" t="s">
        <v>134</v>
      </c>
      <c r="D9" s="28">
        <v>583</v>
      </c>
      <c r="E9" s="30" t="s">
        <v>8</v>
      </c>
      <c r="F9" s="13">
        <v>157320</v>
      </c>
      <c r="G9" s="13">
        <v>44413430</v>
      </c>
      <c r="H9" s="13">
        <v>18209506</v>
      </c>
      <c r="J9" s="10">
        <f>F9-N9</f>
        <v>157320</v>
      </c>
      <c r="K9" s="10">
        <f t="shared" ref="K9:K72" si="0">ROUND(J9*A9,0)</f>
        <v>44413430</v>
      </c>
      <c r="L9" s="10">
        <f t="shared" ref="L9:L72" si="1">ROUND(J9*B9,0)</f>
        <v>18209506</v>
      </c>
      <c r="N9" s="10">
        <f>SUMIFS([1]GD.List!$L$3:$L$1937,[1]GD.List!$C$3:$C$1937,E9,[1]GD.List!$H$3:$H$1937,$D$5)</f>
        <v>0</v>
      </c>
      <c r="O9" s="10">
        <f>ROUND(N9*A9,0)</f>
        <v>0</v>
      </c>
      <c r="P9" s="10">
        <f t="shared" ref="P9:P72" si="2">ROUND(N9*B9,0)</f>
        <v>0</v>
      </c>
    </row>
    <row r="10" spans="1:16" x14ac:dyDescent="0.2">
      <c r="A10" s="24">
        <f t="shared" ref="A10:A73" si="3">G10/F10</f>
        <v>280.99598211362343</v>
      </c>
      <c r="B10" s="24">
        <f t="shared" ref="B10:B73" si="4">H10/F10</f>
        <v>115.20835143041568</v>
      </c>
      <c r="C10" s="15"/>
      <c r="D10" s="29">
        <v>590</v>
      </c>
      <c r="E10" s="30" t="s">
        <v>12</v>
      </c>
      <c r="F10" s="13">
        <v>299311.59999999998</v>
      </c>
      <c r="G10" s="13">
        <v>84105357</v>
      </c>
      <c r="H10" s="13">
        <v>34483196</v>
      </c>
      <c r="J10" s="10">
        <f t="shared" ref="J10:J73" si="5">F10-N10</f>
        <v>299311.59999999998</v>
      </c>
      <c r="K10" s="10">
        <f t="shared" si="0"/>
        <v>84105357</v>
      </c>
      <c r="L10" s="10">
        <f t="shared" si="1"/>
        <v>34483196</v>
      </c>
      <c r="N10" s="10">
        <f>SUMIFS([1]GD.List!$L$3:$L$1937,[1]GD.List!$C$3:$C$1937,E10,[1]GD.List!$H$3:$H$1937,$D$5)</f>
        <v>0</v>
      </c>
      <c r="O10" s="10">
        <f t="shared" ref="O10:O73" si="6">ROUND(N10*A10,0)</f>
        <v>0</v>
      </c>
      <c r="P10" s="10">
        <f t="shared" si="2"/>
        <v>0</v>
      </c>
    </row>
    <row r="11" spans="1:16" x14ac:dyDescent="0.2">
      <c r="A11" s="24">
        <f t="shared" si="3"/>
        <v>282.81711483138884</v>
      </c>
      <c r="B11" s="24">
        <f t="shared" si="4"/>
        <v>115.95501704757338</v>
      </c>
      <c r="C11" s="15"/>
      <c r="D11" s="29">
        <v>594</v>
      </c>
      <c r="E11" s="30" t="s">
        <v>15</v>
      </c>
      <c r="F11" s="13">
        <v>300336</v>
      </c>
      <c r="G11" s="13">
        <v>84940161</v>
      </c>
      <c r="H11" s="13">
        <v>34825466</v>
      </c>
      <c r="J11" s="10">
        <f t="shared" si="5"/>
        <v>300336</v>
      </c>
      <c r="K11" s="10">
        <f t="shared" si="0"/>
        <v>84940161</v>
      </c>
      <c r="L11" s="10">
        <f t="shared" si="1"/>
        <v>34825466</v>
      </c>
      <c r="N11" s="10">
        <f>SUMIFS([1]GD.List!$L$3:$L$1937,[1]GD.List!$C$3:$C$1937,E11,[1]GD.List!$H$3:$H$1937,$D$5)</f>
        <v>0</v>
      </c>
      <c r="O11" s="10">
        <f t="shared" si="6"/>
        <v>0</v>
      </c>
      <c r="P11" s="10">
        <f t="shared" si="2"/>
        <v>0</v>
      </c>
    </row>
    <row r="12" spans="1:16" x14ac:dyDescent="0.2">
      <c r="A12" s="24">
        <f t="shared" si="3"/>
        <v>305.41793796084414</v>
      </c>
      <c r="B12" s="24">
        <f t="shared" si="4"/>
        <v>125.22135774218154</v>
      </c>
      <c r="C12" s="15"/>
      <c r="D12" s="29">
        <v>612</v>
      </c>
      <c r="E12" s="30" t="s">
        <v>28</v>
      </c>
      <c r="F12" s="13">
        <v>157320</v>
      </c>
      <c r="G12" s="13">
        <v>48048350</v>
      </c>
      <c r="H12" s="13">
        <v>19699824</v>
      </c>
      <c r="J12" s="10">
        <f t="shared" si="5"/>
        <v>157320</v>
      </c>
      <c r="K12" s="10">
        <f t="shared" si="0"/>
        <v>48048350</v>
      </c>
      <c r="L12" s="10">
        <f t="shared" si="1"/>
        <v>19699824</v>
      </c>
      <c r="N12" s="10">
        <f>SUMIFS([1]GD.List!$L$3:$L$1937,[1]GD.List!$C$3:$C$1937,E12,[1]GD.List!$H$3:$H$1937,$D$5)</f>
        <v>0</v>
      </c>
      <c r="O12" s="10">
        <f t="shared" si="6"/>
        <v>0</v>
      </c>
      <c r="P12" s="10">
        <f t="shared" si="2"/>
        <v>0</v>
      </c>
    </row>
    <row r="13" spans="1:16" x14ac:dyDescent="0.2">
      <c r="A13" s="24">
        <f t="shared" si="3"/>
        <v>293.20122396717761</v>
      </c>
      <c r="B13" s="24">
        <f t="shared" si="4"/>
        <v>120.21250282738821</v>
      </c>
      <c r="C13" s="15"/>
      <c r="D13" s="29">
        <v>614</v>
      </c>
      <c r="E13" s="30" t="s">
        <v>30</v>
      </c>
      <c r="F13" s="13">
        <v>299746.59999999998</v>
      </c>
      <c r="G13" s="13">
        <v>87886070</v>
      </c>
      <c r="H13" s="13">
        <v>36033289</v>
      </c>
      <c r="J13" s="10">
        <f t="shared" si="5"/>
        <v>299746.59999999998</v>
      </c>
      <c r="K13" s="10">
        <f t="shared" si="0"/>
        <v>87886070</v>
      </c>
      <c r="L13" s="10">
        <f t="shared" si="1"/>
        <v>36033289</v>
      </c>
      <c r="N13" s="10">
        <f>SUMIFS([1]GD.List!$L$3:$L$1937,[1]GD.List!$C$3:$C$1937,E13,[1]GD.List!$H$3:$H$1937,$D$5)</f>
        <v>0</v>
      </c>
      <c r="O13" s="10">
        <f t="shared" si="6"/>
        <v>0</v>
      </c>
      <c r="P13" s="10">
        <f t="shared" si="2"/>
        <v>0</v>
      </c>
    </row>
    <row r="14" spans="1:16" x14ac:dyDescent="0.2">
      <c r="A14" s="24">
        <f t="shared" si="3"/>
        <v>298.58734940364207</v>
      </c>
      <c r="B14" s="24">
        <f t="shared" si="4"/>
        <v>122.42081322200693</v>
      </c>
      <c r="C14" s="15"/>
      <c r="D14" s="29">
        <v>620</v>
      </c>
      <c r="E14" s="30" t="s">
        <v>34</v>
      </c>
      <c r="F14" s="13">
        <v>298629.40000000002</v>
      </c>
      <c r="G14" s="13">
        <v>89166961</v>
      </c>
      <c r="H14" s="13">
        <v>36558454</v>
      </c>
      <c r="J14" s="10">
        <f t="shared" si="5"/>
        <v>298629.40000000002</v>
      </c>
      <c r="K14" s="10">
        <f t="shared" si="0"/>
        <v>89166961</v>
      </c>
      <c r="L14" s="10">
        <f t="shared" si="1"/>
        <v>36558454</v>
      </c>
      <c r="N14" s="10">
        <f>SUMIFS([1]GD.List!$L$3:$L$1937,[1]GD.List!$C$3:$C$1937,E14,[1]GD.List!$H$3:$H$1937,$D$5)</f>
        <v>0</v>
      </c>
      <c r="O14" s="10">
        <f t="shared" si="6"/>
        <v>0</v>
      </c>
      <c r="P14" s="10">
        <f t="shared" si="2"/>
        <v>0</v>
      </c>
    </row>
    <row r="15" spans="1:16" x14ac:dyDescent="0.2">
      <c r="A15" s="24">
        <f t="shared" si="3"/>
        <v>282.05612115791683</v>
      </c>
      <c r="B15" s="24">
        <f t="shared" si="4"/>
        <v>115.64301044460183</v>
      </c>
      <c r="C15" s="15"/>
      <c r="D15" s="29">
        <v>651</v>
      </c>
      <c r="E15" s="30" t="s">
        <v>56</v>
      </c>
      <c r="F15" s="13">
        <v>298757.2</v>
      </c>
      <c r="G15" s="13">
        <v>84266297</v>
      </c>
      <c r="H15" s="13">
        <v>34549182</v>
      </c>
      <c r="J15" s="10">
        <f t="shared" si="5"/>
        <v>298757.2</v>
      </c>
      <c r="K15" s="10">
        <f t="shared" si="0"/>
        <v>84266297</v>
      </c>
      <c r="L15" s="10">
        <f t="shared" si="1"/>
        <v>34549182</v>
      </c>
      <c r="N15" s="10">
        <f>SUMIFS([1]GD.List!$L$3:$L$1937,[1]GD.List!$C$3:$C$1937,E15,[1]GD.List!$H$3:$H$1937,$D$5)</f>
        <v>0</v>
      </c>
      <c r="O15" s="10">
        <f t="shared" si="6"/>
        <v>0</v>
      </c>
      <c r="P15" s="10">
        <f t="shared" si="2"/>
        <v>0</v>
      </c>
    </row>
    <row r="16" spans="1:16" x14ac:dyDescent="0.2">
      <c r="A16" s="24">
        <f t="shared" si="3"/>
        <v>329.37392480912342</v>
      </c>
      <c r="B16" s="24">
        <f t="shared" si="4"/>
        <v>135.04331690345029</v>
      </c>
      <c r="C16" s="15"/>
      <c r="D16" s="29">
        <v>652</v>
      </c>
      <c r="E16" s="30" t="s">
        <v>57</v>
      </c>
      <c r="F16" s="13">
        <v>25867.5</v>
      </c>
      <c r="G16" s="13">
        <v>8520080</v>
      </c>
      <c r="H16" s="13">
        <v>3493233</v>
      </c>
      <c r="J16" s="10">
        <f t="shared" si="5"/>
        <v>25867.5</v>
      </c>
      <c r="K16" s="10">
        <f t="shared" si="0"/>
        <v>8520080</v>
      </c>
      <c r="L16" s="10">
        <f t="shared" si="1"/>
        <v>3493233</v>
      </c>
      <c r="N16" s="10">
        <f>SUMIFS([1]GD.List!$L$3:$L$1937,[1]GD.List!$C$3:$C$1937,E16,[1]GD.List!$H$3:$H$1937,$D$5)</f>
        <v>0</v>
      </c>
      <c r="O16" s="10">
        <f t="shared" si="6"/>
        <v>0</v>
      </c>
      <c r="P16" s="10">
        <f t="shared" si="2"/>
        <v>0</v>
      </c>
    </row>
    <row r="17" spans="1:16" x14ac:dyDescent="0.2">
      <c r="A17" s="24">
        <f t="shared" si="3"/>
        <v>277.80128424249222</v>
      </c>
      <c r="B17" s="24">
        <f t="shared" si="4"/>
        <v>113.89852400834349</v>
      </c>
      <c r="C17" s="15"/>
      <c r="D17" s="29">
        <v>659</v>
      </c>
      <c r="E17" s="30" t="s">
        <v>60</v>
      </c>
      <c r="F17" s="13">
        <v>300267.28000000003</v>
      </c>
      <c r="G17" s="13">
        <v>83414636</v>
      </c>
      <c r="H17" s="13">
        <v>34200000</v>
      </c>
      <c r="J17" s="10">
        <f t="shared" si="5"/>
        <v>300267.28000000003</v>
      </c>
      <c r="K17" s="10">
        <f t="shared" si="0"/>
        <v>83414636</v>
      </c>
      <c r="L17" s="10">
        <f t="shared" si="1"/>
        <v>34200000</v>
      </c>
      <c r="N17" s="10">
        <f>SUMIFS([1]GD.List!$L$3:$L$1937,[1]GD.List!$C$3:$C$1937,E17,[1]GD.List!$H$3:$H$1937,$D$5)</f>
        <v>0</v>
      </c>
      <c r="O17" s="10">
        <f t="shared" si="6"/>
        <v>0</v>
      </c>
      <c r="P17" s="10">
        <f t="shared" si="2"/>
        <v>0</v>
      </c>
    </row>
    <row r="18" spans="1:16" x14ac:dyDescent="0.2">
      <c r="A18" s="24">
        <f t="shared" si="3"/>
        <v>265.58660486279956</v>
      </c>
      <c r="B18" s="24">
        <f t="shared" si="4"/>
        <v>108.89050889128677</v>
      </c>
      <c r="C18" s="15"/>
      <c r="D18" s="29">
        <v>741</v>
      </c>
      <c r="E18" s="30" t="s">
        <v>100</v>
      </c>
      <c r="F18" s="13">
        <v>300822.59999999998</v>
      </c>
      <c r="G18" s="13">
        <v>79894453</v>
      </c>
      <c r="H18" s="13">
        <v>32756726</v>
      </c>
      <c r="J18" s="10">
        <f t="shared" si="5"/>
        <v>300822.59999999998</v>
      </c>
      <c r="K18" s="10">
        <f t="shared" si="0"/>
        <v>79894453</v>
      </c>
      <c r="L18" s="10">
        <f t="shared" si="1"/>
        <v>32756726</v>
      </c>
      <c r="N18" s="10">
        <f>SUMIFS([1]GD.List!$L$3:$L$1937,[1]GD.List!$C$3:$C$1937,E18,[1]GD.List!$H$3:$H$1937,$D$5)</f>
        <v>0</v>
      </c>
      <c r="O18" s="10">
        <f t="shared" si="6"/>
        <v>0</v>
      </c>
      <c r="P18" s="10">
        <f t="shared" si="2"/>
        <v>0</v>
      </c>
    </row>
    <row r="19" spans="1:16" x14ac:dyDescent="0.2">
      <c r="A19" s="24">
        <f t="shared" si="3"/>
        <v>265.3968660747928</v>
      </c>
      <c r="B19" s="24">
        <f t="shared" si="4"/>
        <v>108.81271608396425</v>
      </c>
      <c r="C19" s="15"/>
      <c r="D19" s="29">
        <v>747</v>
      </c>
      <c r="E19" s="30" t="s">
        <v>103</v>
      </c>
      <c r="F19" s="13">
        <v>302023.8</v>
      </c>
      <c r="G19" s="13">
        <v>80156170</v>
      </c>
      <c r="H19" s="13">
        <v>32864030</v>
      </c>
      <c r="J19" s="10">
        <f t="shared" si="5"/>
        <v>302023.8</v>
      </c>
      <c r="K19" s="10">
        <f t="shared" si="0"/>
        <v>80156170</v>
      </c>
      <c r="L19" s="10">
        <f t="shared" si="1"/>
        <v>32864030</v>
      </c>
      <c r="N19" s="10">
        <f>SUMIFS([1]GD.List!$L$3:$L$1937,[1]GD.List!$C$3:$C$1937,E19,[1]GD.List!$H$3:$H$1937,$D$5)</f>
        <v>0</v>
      </c>
      <c r="O19" s="10">
        <f t="shared" si="6"/>
        <v>0</v>
      </c>
      <c r="P19" s="10">
        <f t="shared" si="2"/>
        <v>0</v>
      </c>
    </row>
    <row r="20" spans="1:16" x14ac:dyDescent="0.2">
      <c r="A20" s="24">
        <f t="shared" si="3"/>
        <v>275.27806688130329</v>
      </c>
      <c r="B20" s="24">
        <f t="shared" si="4"/>
        <v>112.86401000094254</v>
      </c>
      <c r="C20" s="15"/>
      <c r="D20" s="29">
        <v>795</v>
      </c>
      <c r="E20" s="30" t="s">
        <v>121</v>
      </c>
      <c r="F20" s="13">
        <v>302371.5</v>
      </c>
      <c r="G20" s="13">
        <v>83236242</v>
      </c>
      <c r="H20" s="13">
        <v>34126860</v>
      </c>
      <c r="J20" s="10">
        <f t="shared" si="5"/>
        <v>272191.84999999998</v>
      </c>
      <c r="K20" s="10">
        <f t="shared" si="0"/>
        <v>74928446</v>
      </c>
      <c r="L20" s="10">
        <f t="shared" si="1"/>
        <v>30720664</v>
      </c>
      <c r="N20" s="10">
        <f>SUMIFS([1]GD.List!$L$3:$L$1937,[1]GD.List!$C$3:$C$1937,E20,[1]GD.List!$H$3:$H$1937,$D$5)</f>
        <v>30179.65</v>
      </c>
      <c r="O20" s="10">
        <f t="shared" si="6"/>
        <v>8307796</v>
      </c>
      <c r="P20" s="10">
        <f t="shared" si="2"/>
        <v>3406196</v>
      </c>
    </row>
    <row r="21" spans="1:16" x14ac:dyDescent="0.2">
      <c r="A21" s="24">
        <f t="shared" si="3"/>
        <v>271.06989789629642</v>
      </c>
      <c r="B21" s="24">
        <f t="shared" si="4"/>
        <v>111.13865963000509</v>
      </c>
      <c r="C21" s="15"/>
      <c r="D21" s="29">
        <v>800</v>
      </c>
      <c r="E21" s="30" t="s">
        <v>126</v>
      </c>
      <c r="F21" s="13">
        <v>596305.5</v>
      </c>
      <c r="G21" s="13">
        <v>161640471</v>
      </c>
      <c r="H21" s="13">
        <v>66272594</v>
      </c>
      <c r="J21" s="10">
        <f t="shared" si="5"/>
        <v>0</v>
      </c>
      <c r="K21" s="10">
        <f t="shared" si="0"/>
        <v>0</v>
      </c>
      <c r="L21" s="10">
        <f t="shared" si="1"/>
        <v>0</v>
      </c>
      <c r="N21" s="10">
        <f>SUMIFS([1]GD.List!$L$3:$L$1937,[1]GD.List!$C$3:$C$1937,E21,[1]GD.List!$H$3:$H$1937,$D$5)</f>
        <v>596305.5</v>
      </c>
      <c r="O21" s="10">
        <f t="shared" si="6"/>
        <v>161640471</v>
      </c>
      <c r="P21" s="10">
        <f t="shared" si="2"/>
        <v>66272594</v>
      </c>
    </row>
    <row r="22" spans="1:16" x14ac:dyDescent="0.2">
      <c r="A22" s="24">
        <f t="shared" si="3"/>
        <v>1534.1675172620835</v>
      </c>
      <c r="B22" s="24">
        <f t="shared" si="4"/>
        <v>629.00870609426602</v>
      </c>
      <c r="C22" s="15"/>
      <c r="D22" s="68" t="s">
        <v>438</v>
      </c>
      <c r="E22" s="5" t="s">
        <v>439</v>
      </c>
      <c r="F22" s="13">
        <v>1665.5</v>
      </c>
      <c r="G22" s="13">
        <v>2555156</v>
      </c>
      <c r="H22" s="13">
        <v>1047614</v>
      </c>
      <c r="J22" s="10">
        <f t="shared" si="5"/>
        <v>0</v>
      </c>
      <c r="K22" s="10">
        <f t="shared" si="0"/>
        <v>0</v>
      </c>
      <c r="L22" s="10">
        <f t="shared" si="1"/>
        <v>0</v>
      </c>
      <c r="N22" s="10">
        <f>SUMIFS([1]GD.List!$L$3:$L$1937,[1]GD.List!$C$3:$C$1937,E22,[1]GD.List!$H$3:$H$1937,$D$5)</f>
        <v>1665.5</v>
      </c>
      <c r="O22" s="10">
        <f t="shared" si="6"/>
        <v>2555156</v>
      </c>
      <c r="P22" s="10">
        <f t="shared" si="2"/>
        <v>1047614</v>
      </c>
    </row>
    <row r="23" spans="1:16" x14ac:dyDescent="0.2">
      <c r="A23" s="24">
        <f t="shared" si="3"/>
        <v>275.47596499491783</v>
      </c>
      <c r="B23" s="24">
        <f t="shared" si="4"/>
        <v>112.94514713538439</v>
      </c>
      <c r="C23" s="15"/>
      <c r="D23" s="68">
        <v>804</v>
      </c>
      <c r="E23" s="5" t="s">
        <v>390</v>
      </c>
      <c r="F23" s="13">
        <v>302527.5</v>
      </c>
      <c r="G23" s="13">
        <v>83339055</v>
      </c>
      <c r="H23" s="13">
        <v>34169013</v>
      </c>
      <c r="J23" s="10">
        <f t="shared" si="5"/>
        <v>0</v>
      </c>
      <c r="K23" s="10">
        <f t="shared" si="0"/>
        <v>0</v>
      </c>
      <c r="L23" s="10">
        <f t="shared" si="1"/>
        <v>0</v>
      </c>
      <c r="N23" s="10">
        <f>SUMIFS([1]GD.List!$L$3:$L$1937,[1]GD.List!$C$3:$C$1937,E23,[1]GD.List!$H$3:$H$1937,$D$5)</f>
        <v>302527.5</v>
      </c>
      <c r="O23" s="10">
        <f t="shared" si="6"/>
        <v>83339055</v>
      </c>
      <c r="P23" s="10">
        <f t="shared" si="2"/>
        <v>34169013</v>
      </c>
    </row>
    <row r="24" spans="1:16" x14ac:dyDescent="0.2">
      <c r="A24" s="24">
        <f t="shared" si="3"/>
        <v>269.69912925696593</v>
      </c>
      <c r="B24" s="24">
        <f t="shared" si="4"/>
        <v>110.5766447368421</v>
      </c>
      <c r="C24" s="15"/>
      <c r="D24" s="68">
        <v>809</v>
      </c>
      <c r="E24" s="5" t="s">
        <v>440</v>
      </c>
      <c r="F24" s="13">
        <v>51680</v>
      </c>
      <c r="G24" s="13">
        <v>13938051</v>
      </c>
      <c r="H24" s="13">
        <v>5714601</v>
      </c>
      <c r="J24" s="10">
        <f t="shared" si="5"/>
        <v>0</v>
      </c>
      <c r="K24" s="10">
        <f t="shared" si="0"/>
        <v>0</v>
      </c>
      <c r="L24" s="10">
        <f t="shared" si="1"/>
        <v>0</v>
      </c>
      <c r="N24" s="10">
        <f>SUMIFS([1]GD.List!$L$3:$L$1937,[1]GD.List!$C$3:$C$1937,E24,[1]GD.List!$H$3:$H$1937,$D$5)</f>
        <v>51680</v>
      </c>
      <c r="O24" s="10">
        <f t="shared" si="6"/>
        <v>13938051</v>
      </c>
      <c r="P24" s="10">
        <f t="shared" si="2"/>
        <v>5714601</v>
      </c>
    </row>
    <row r="25" spans="1:16" x14ac:dyDescent="0.2">
      <c r="A25" s="24">
        <f t="shared" si="3"/>
        <v>592.34391460833831</v>
      </c>
      <c r="B25" s="24">
        <f t="shared" si="4"/>
        <v>177.70317335269371</v>
      </c>
      <c r="C25" s="15" t="s">
        <v>131</v>
      </c>
      <c r="D25" s="28">
        <v>569</v>
      </c>
      <c r="E25" s="30" t="s">
        <v>1</v>
      </c>
      <c r="F25" s="13">
        <v>388422</v>
      </c>
      <c r="G25" s="13">
        <v>230079408</v>
      </c>
      <c r="H25" s="13">
        <v>69023822</v>
      </c>
      <c r="J25" s="10">
        <f t="shared" si="5"/>
        <v>388422</v>
      </c>
      <c r="K25" s="10">
        <f t="shared" si="0"/>
        <v>230079408</v>
      </c>
      <c r="L25" s="10">
        <f t="shared" si="1"/>
        <v>69023822</v>
      </c>
      <c r="N25" s="10">
        <f>SUMIFS([1]GD.List!$L$3:$L$1937,[1]GD.List!$C$3:$C$1937,E25,[1]GD.List!$H$3:$H$1937,$D$5)</f>
        <v>0</v>
      </c>
      <c r="O25" s="10">
        <f t="shared" si="6"/>
        <v>0</v>
      </c>
      <c r="P25" s="10">
        <f t="shared" si="2"/>
        <v>0</v>
      </c>
    </row>
    <row r="26" spans="1:16" x14ac:dyDescent="0.2">
      <c r="A26" s="24">
        <f t="shared" si="3"/>
        <v>579.82794735580262</v>
      </c>
      <c r="B26" s="24">
        <f t="shared" si="4"/>
        <v>173.9483778975129</v>
      </c>
      <c r="C26" s="15"/>
      <c r="D26" s="29">
        <v>572</v>
      </c>
      <c r="E26" s="30" t="s">
        <v>2</v>
      </c>
      <c r="F26" s="13">
        <v>79249</v>
      </c>
      <c r="G26" s="13">
        <v>45950785</v>
      </c>
      <c r="H26" s="13">
        <v>13785235</v>
      </c>
      <c r="J26" s="10">
        <f t="shared" si="5"/>
        <v>79249</v>
      </c>
      <c r="K26" s="10">
        <f t="shared" si="0"/>
        <v>45950785</v>
      </c>
      <c r="L26" s="10">
        <f t="shared" si="1"/>
        <v>13785235</v>
      </c>
      <c r="N26" s="10">
        <f>SUMIFS([1]GD.List!$L$3:$L$1937,[1]GD.List!$C$3:$C$1937,E26,[1]GD.List!$H$3:$H$1937,$D$5)</f>
        <v>0</v>
      </c>
      <c r="O26" s="10">
        <f t="shared" si="6"/>
        <v>0</v>
      </c>
      <c r="P26" s="10">
        <f t="shared" si="2"/>
        <v>0</v>
      </c>
    </row>
    <row r="27" spans="1:16" x14ac:dyDescent="0.2">
      <c r="A27" s="24">
        <f t="shared" si="3"/>
        <v>579.82796307692308</v>
      </c>
      <c r="B27" s="24">
        <f t="shared" si="4"/>
        <v>173.94838153846155</v>
      </c>
      <c r="C27" s="15"/>
      <c r="D27" s="29">
        <v>573</v>
      </c>
      <c r="E27" s="30" t="s">
        <v>3</v>
      </c>
      <c r="F27" s="13">
        <v>40625</v>
      </c>
      <c r="G27" s="13">
        <v>23555511</v>
      </c>
      <c r="H27" s="13">
        <v>7066653</v>
      </c>
      <c r="J27" s="10">
        <f t="shared" si="5"/>
        <v>40625</v>
      </c>
      <c r="K27" s="10">
        <f t="shared" si="0"/>
        <v>23555511</v>
      </c>
      <c r="L27" s="10">
        <f t="shared" si="1"/>
        <v>7066653</v>
      </c>
      <c r="N27" s="10">
        <f>SUMIFS([1]GD.List!$L$3:$L$1937,[1]GD.List!$C$3:$C$1937,E27,[1]GD.List!$H$3:$H$1937,$D$5)</f>
        <v>0</v>
      </c>
      <c r="O27" s="10">
        <f t="shared" si="6"/>
        <v>0</v>
      </c>
      <c r="P27" s="10">
        <f t="shared" si="2"/>
        <v>0</v>
      </c>
    </row>
    <row r="28" spans="1:16" x14ac:dyDescent="0.2">
      <c r="A28" s="24">
        <f t="shared" si="3"/>
        <v>579.82795093718471</v>
      </c>
      <c r="B28" s="24">
        <f t="shared" si="4"/>
        <v>173.94838492716684</v>
      </c>
      <c r="C28" s="15"/>
      <c r="D28" s="29">
        <v>579</v>
      </c>
      <c r="E28" s="30" t="s">
        <v>7</v>
      </c>
      <c r="F28" s="13">
        <v>282495</v>
      </c>
      <c r="G28" s="13">
        <v>163798497</v>
      </c>
      <c r="H28" s="13">
        <v>49139549</v>
      </c>
      <c r="J28" s="10">
        <f t="shared" si="5"/>
        <v>282495</v>
      </c>
      <c r="K28" s="10">
        <f t="shared" si="0"/>
        <v>163798497</v>
      </c>
      <c r="L28" s="10">
        <f t="shared" si="1"/>
        <v>49139549</v>
      </c>
      <c r="N28" s="10">
        <f>SUMIFS([1]GD.List!$L$3:$L$1937,[1]GD.List!$C$3:$C$1937,E28,[1]GD.List!$H$3:$H$1937,$D$5)</f>
        <v>0</v>
      </c>
      <c r="O28" s="10">
        <f t="shared" si="6"/>
        <v>0</v>
      </c>
      <c r="P28" s="10">
        <f t="shared" si="2"/>
        <v>0</v>
      </c>
    </row>
    <row r="29" spans="1:16" x14ac:dyDescent="0.2">
      <c r="A29" s="24">
        <f t="shared" si="3"/>
        <v>577.11413673232903</v>
      </c>
      <c r="B29" s="24">
        <f t="shared" si="4"/>
        <v>173.13422170722288</v>
      </c>
      <c r="C29" s="15"/>
      <c r="D29" s="29">
        <v>606</v>
      </c>
      <c r="E29" s="30" t="s">
        <v>23</v>
      </c>
      <c r="F29" s="13">
        <v>25890</v>
      </c>
      <c r="G29" s="13">
        <v>14941485</v>
      </c>
      <c r="H29" s="13">
        <v>4482445</v>
      </c>
      <c r="J29" s="10">
        <f t="shared" si="5"/>
        <v>25890</v>
      </c>
      <c r="K29" s="10">
        <f t="shared" si="0"/>
        <v>14941485</v>
      </c>
      <c r="L29" s="10">
        <f t="shared" si="1"/>
        <v>4482445</v>
      </c>
      <c r="N29" s="10">
        <f>SUMIFS([1]GD.List!$L$3:$L$1937,[1]GD.List!$C$3:$C$1937,E29,[1]GD.List!$H$3:$H$1937,$D$5)</f>
        <v>0</v>
      </c>
      <c r="O29" s="10">
        <f t="shared" si="6"/>
        <v>0</v>
      </c>
      <c r="P29" s="10">
        <f t="shared" si="2"/>
        <v>0</v>
      </c>
    </row>
    <row r="30" spans="1:16" x14ac:dyDescent="0.2">
      <c r="A30" s="24">
        <f t="shared" si="3"/>
        <v>577.11412978314354</v>
      </c>
      <c r="B30" s="24">
        <f t="shared" si="4"/>
        <v>173.1342401753044</v>
      </c>
      <c r="C30" s="15"/>
      <c r="D30" s="29">
        <v>607</v>
      </c>
      <c r="E30" s="30" t="s">
        <v>24</v>
      </c>
      <c r="F30" s="13">
        <v>241865</v>
      </c>
      <c r="G30" s="13">
        <v>139583709</v>
      </c>
      <c r="H30" s="13">
        <v>41875113</v>
      </c>
      <c r="J30" s="10">
        <f t="shared" si="5"/>
        <v>241865</v>
      </c>
      <c r="K30" s="10">
        <f t="shared" si="0"/>
        <v>139583709</v>
      </c>
      <c r="L30" s="10">
        <f t="shared" si="1"/>
        <v>41875113</v>
      </c>
      <c r="N30" s="10">
        <f>SUMIFS([1]GD.List!$L$3:$L$1937,[1]GD.List!$C$3:$C$1937,E30,[1]GD.List!$H$3:$H$1937,$D$5)</f>
        <v>0</v>
      </c>
      <c r="O30" s="10">
        <f t="shared" si="6"/>
        <v>0</v>
      </c>
      <c r="P30" s="10">
        <f t="shared" si="2"/>
        <v>0</v>
      </c>
    </row>
    <row r="31" spans="1:16" x14ac:dyDescent="0.2">
      <c r="A31" s="24">
        <f t="shared" si="3"/>
        <v>612.82797375525058</v>
      </c>
      <c r="B31" s="24">
        <f t="shared" si="4"/>
        <v>183.84839321949923</v>
      </c>
      <c r="C31" s="15"/>
      <c r="D31" s="29">
        <v>610</v>
      </c>
      <c r="E31" s="30" t="s">
        <v>26</v>
      </c>
      <c r="F31" s="13">
        <v>274493</v>
      </c>
      <c r="G31" s="13">
        <v>168216989</v>
      </c>
      <c r="H31" s="13">
        <v>50465097</v>
      </c>
      <c r="J31" s="10">
        <f t="shared" si="5"/>
        <v>274493</v>
      </c>
      <c r="K31" s="10">
        <f t="shared" si="0"/>
        <v>168216989</v>
      </c>
      <c r="L31" s="10">
        <f t="shared" si="1"/>
        <v>50465097</v>
      </c>
      <c r="N31" s="10">
        <f>SUMIFS([1]GD.List!$L$3:$L$1937,[1]GD.List!$C$3:$C$1937,E31,[1]GD.List!$H$3:$H$1937,$D$5)</f>
        <v>0</v>
      </c>
      <c r="O31" s="10">
        <f t="shared" si="6"/>
        <v>0</v>
      </c>
      <c r="P31" s="10">
        <f t="shared" si="2"/>
        <v>0</v>
      </c>
    </row>
    <row r="32" spans="1:16" x14ac:dyDescent="0.2">
      <c r="A32" s="24">
        <f t="shared" si="3"/>
        <v>627.81478796665454</v>
      </c>
      <c r="B32" s="24">
        <f t="shared" si="4"/>
        <v>188.34443541040133</v>
      </c>
      <c r="C32" s="15"/>
      <c r="D32" s="29">
        <v>611</v>
      </c>
      <c r="E32" s="30" t="s">
        <v>27</v>
      </c>
      <c r="F32" s="13">
        <v>102083</v>
      </c>
      <c r="G32" s="13">
        <v>64089217</v>
      </c>
      <c r="H32" s="13">
        <v>19226765</v>
      </c>
      <c r="J32" s="10">
        <f t="shared" si="5"/>
        <v>102083</v>
      </c>
      <c r="K32" s="10">
        <f t="shared" si="0"/>
        <v>64089217</v>
      </c>
      <c r="L32" s="10">
        <f t="shared" si="1"/>
        <v>19226765</v>
      </c>
      <c r="N32" s="10">
        <f>SUMIFS([1]GD.List!$L$3:$L$1937,[1]GD.List!$C$3:$C$1937,E32,[1]GD.List!$H$3:$H$1937,$D$5)</f>
        <v>0</v>
      </c>
      <c r="O32" s="10">
        <f t="shared" si="6"/>
        <v>0</v>
      </c>
      <c r="P32" s="10">
        <f t="shared" si="2"/>
        <v>0</v>
      </c>
    </row>
    <row r="33" spans="1:16" x14ac:dyDescent="0.2">
      <c r="A33" s="24">
        <f t="shared" si="3"/>
        <v>594.52656135231837</v>
      </c>
      <c r="B33" s="24">
        <f t="shared" si="4"/>
        <v>178.35796882686307</v>
      </c>
      <c r="C33" s="15"/>
      <c r="D33" s="29">
        <v>613</v>
      </c>
      <c r="E33" s="30" t="s">
        <v>29</v>
      </c>
      <c r="F33" s="13">
        <v>237435.2</v>
      </c>
      <c r="G33" s="13">
        <v>141161533</v>
      </c>
      <c r="H33" s="13">
        <v>42348460</v>
      </c>
      <c r="J33" s="10">
        <f t="shared" si="5"/>
        <v>237435.2</v>
      </c>
      <c r="K33" s="10">
        <f t="shared" si="0"/>
        <v>141161533</v>
      </c>
      <c r="L33" s="10">
        <f t="shared" si="1"/>
        <v>42348460</v>
      </c>
      <c r="N33" s="10">
        <f>SUMIFS([1]GD.List!$L$3:$L$1937,[1]GD.List!$C$3:$C$1937,E33,[1]GD.List!$H$3:$H$1937,$D$5)</f>
        <v>0</v>
      </c>
      <c r="O33" s="10">
        <f t="shared" si="6"/>
        <v>0</v>
      </c>
      <c r="P33" s="10">
        <f t="shared" si="2"/>
        <v>0</v>
      </c>
    </row>
    <row r="34" spans="1:16" x14ac:dyDescent="0.2">
      <c r="A34" s="24">
        <f t="shared" si="3"/>
        <v>621.72453031232089</v>
      </c>
      <c r="B34" s="24">
        <f t="shared" si="4"/>
        <v>186.51736009891337</v>
      </c>
      <c r="C34" s="15"/>
      <c r="D34" s="29">
        <v>615</v>
      </c>
      <c r="E34" s="30" t="s">
        <v>31</v>
      </c>
      <c r="F34" s="13">
        <v>198962</v>
      </c>
      <c r="G34" s="13">
        <v>123699556</v>
      </c>
      <c r="H34" s="13">
        <v>37109867</v>
      </c>
      <c r="J34" s="10">
        <f t="shared" si="5"/>
        <v>198962</v>
      </c>
      <c r="K34" s="10">
        <f t="shared" si="0"/>
        <v>123699556</v>
      </c>
      <c r="L34" s="10">
        <f t="shared" si="1"/>
        <v>37109867</v>
      </c>
      <c r="N34" s="10">
        <f>SUMIFS([1]GD.List!$L$3:$L$1937,[1]GD.List!$C$3:$C$1937,E34,[1]GD.List!$H$3:$H$1937,$D$5)</f>
        <v>0</v>
      </c>
      <c r="O34" s="10">
        <f t="shared" si="6"/>
        <v>0</v>
      </c>
      <c r="P34" s="10">
        <f t="shared" si="2"/>
        <v>0</v>
      </c>
    </row>
    <row r="35" spans="1:16" x14ac:dyDescent="0.2">
      <c r="A35" s="24">
        <f t="shared" si="3"/>
        <v>621.72452125933137</v>
      </c>
      <c r="B35" s="24">
        <f t="shared" si="4"/>
        <v>186.51736449204805</v>
      </c>
      <c r="C35" s="15"/>
      <c r="D35" s="29">
        <v>616</v>
      </c>
      <c r="E35" s="30" t="s">
        <v>32</v>
      </c>
      <c r="F35" s="13">
        <v>24648</v>
      </c>
      <c r="G35" s="13">
        <v>15324266</v>
      </c>
      <c r="H35" s="13">
        <v>4597280</v>
      </c>
      <c r="J35" s="10">
        <f t="shared" si="5"/>
        <v>24648</v>
      </c>
      <c r="K35" s="10">
        <f t="shared" si="0"/>
        <v>15324266</v>
      </c>
      <c r="L35" s="10">
        <f t="shared" si="1"/>
        <v>4597280</v>
      </c>
      <c r="N35" s="10">
        <f>SUMIFS([1]GD.List!$L$3:$L$1937,[1]GD.List!$C$3:$C$1937,E35,[1]GD.List!$H$3:$H$1937,$D$5)</f>
        <v>0</v>
      </c>
      <c r="O35" s="10">
        <f t="shared" si="6"/>
        <v>0</v>
      </c>
      <c r="P35" s="10">
        <f t="shared" si="2"/>
        <v>0</v>
      </c>
    </row>
    <row r="36" spans="1:16" x14ac:dyDescent="0.2">
      <c r="A36" s="24">
        <f t="shared" si="3"/>
        <v>588.65252028195243</v>
      </c>
      <c r="B36" s="24">
        <f t="shared" si="4"/>
        <v>176.59575741454981</v>
      </c>
      <c r="C36" s="15"/>
      <c r="D36" s="29">
        <v>622</v>
      </c>
      <c r="E36" s="30" t="s">
        <v>36</v>
      </c>
      <c r="F36" s="13">
        <v>225570</v>
      </c>
      <c r="G36" s="13">
        <v>132782349</v>
      </c>
      <c r="H36" s="13">
        <v>39834705</v>
      </c>
      <c r="J36" s="10">
        <f t="shared" si="5"/>
        <v>225570</v>
      </c>
      <c r="K36" s="10">
        <f t="shared" si="0"/>
        <v>132782349</v>
      </c>
      <c r="L36" s="10">
        <f t="shared" si="1"/>
        <v>39834705</v>
      </c>
      <c r="N36" s="10">
        <f>SUMIFS([1]GD.List!$L$3:$L$1937,[1]GD.List!$C$3:$C$1937,E36,[1]GD.List!$H$3:$H$1937,$D$5)</f>
        <v>0</v>
      </c>
      <c r="O36" s="10">
        <f t="shared" si="6"/>
        <v>0</v>
      </c>
      <c r="P36" s="10">
        <f t="shared" si="2"/>
        <v>0</v>
      </c>
    </row>
    <row r="37" spans="1:16" x14ac:dyDescent="0.2">
      <c r="A37" s="24">
        <f t="shared" si="3"/>
        <v>692.53603269862435</v>
      </c>
      <c r="B37" s="24">
        <f t="shared" si="4"/>
        <v>207.76081104442963</v>
      </c>
      <c r="C37" s="15"/>
      <c r="D37" s="29">
        <v>623</v>
      </c>
      <c r="E37" s="30" t="s">
        <v>37</v>
      </c>
      <c r="F37" s="13">
        <v>80982</v>
      </c>
      <c r="G37" s="13">
        <v>56082953</v>
      </c>
      <c r="H37" s="13">
        <v>16824886</v>
      </c>
      <c r="J37" s="10">
        <f t="shared" si="5"/>
        <v>80982</v>
      </c>
      <c r="K37" s="10">
        <f t="shared" si="0"/>
        <v>56082953</v>
      </c>
      <c r="L37" s="10">
        <f t="shared" si="1"/>
        <v>16824886</v>
      </c>
      <c r="N37" s="10">
        <f>SUMIFS([1]GD.List!$L$3:$L$1937,[1]GD.List!$C$3:$C$1937,E37,[1]GD.List!$H$3:$H$1937,$D$5)</f>
        <v>0</v>
      </c>
      <c r="O37" s="10">
        <f t="shared" si="6"/>
        <v>0</v>
      </c>
      <c r="P37" s="10">
        <f t="shared" si="2"/>
        <v>0</v>
      </c>
    </row>
    <row r="38" spans="1:16" x14ac:dyDescent="0.2">
      <c r="A38" s="24">
        <f t="shared" si="3"/>
        <v>612.13926178123188</v>
      </c>
      <c r="B38" s="24">
        <f t="shared" si="4"/>
        <v>183.64177896665282</v>
      </c>
      <c r="C38" s="15"/>
      <c r="D38" s="29">
        <v>625</v>
      </c>
      <c r="E38" s="30" t="s">
        <v>39</v>
      </c>
      <c r="F38" s="13">
        <v>231329.8</v>
      </c>
      <c r="G38" s="13">
        <v>141606053</v>
      </c>
      <c r="H38" s="13">
        <v>42481816</v>
      </c>
      <c r="J38" s="10">
        <f t="shared" si="5"/>
        <v>231329.8</v>
      </c>
      <c r="K38" s="10">
        <f t="shared" si="0"/>
        <v>141606053</v>
      </c>
      <c r="L38" s="10">
        <f t="shared" si="1"/>
        <v>42481816</v>
      </c>
      <c r="N38" s="10">
        <f>SUMIFS([1]GD.List!$L$3:$L$1937,[1]GD.List!$C$3:$C$1937,E38,[1]GD.List!$H$3:$H$1937,$D$5)</f>
        <v>0</v>
      </c>
      <c r="O38" s="10">
        <f t="shared" si="6"/>
        <v>0</v>
      </c>
      <c r="P38" s="10">
        <f t="shared" si="2"/>
        <v>0</v>
      </c>
    </row>
    <row r="39" spans="1:16" x14ac:dyDescent="0.2">
      <c r="A39" s="24">
        <f t="shared" si="3"/>
        <v>648.26858334574706</v>
      </c>
      <c r="B39" s="24">
        <f t="shared" si="4"/>
        <v>194.48060976215302</v>
      </c>
      <c r="C39" s="15"/>
      <c r="D39" s="29">
        <v>626</v>
      </c>
      <c r="E39" s="30" t="s">
        <v>40</v>
      </c>
      <c r="F39" s="13">
        <v>20139</v>
      </c>
      <c r="G39" s="13">
        <v>13055481</v>
      </c>
      <c r="H39" s="13">
        <v>3916645</v>
      </c>
      <c r="J39" s="10">
        <f t="shared" si="5"/>
        <v>20139</v>
      </c>
      <c r="K39" s="10">
        <f t="shared" si="0"/>
        <v>13055481</v>
      </c>
      <c r="L39" s="10">
        <f t="shared" si="1"/>
        <v>3916645</v>
      </c>
      <c r="N39" s="10">
        <f>SUMIFS([1]GD.List!$L$3:$L$1937,[1]GD.List!$C$3:$C$1937,E39,[1]GD.List!$H$3:$H$1937,$D$5)</f>
        <v>0</v>
      </c>
      <c r="O39" s="10">
        <f t="shared" si="6"/>
        <v>0</v>
      </c>
      <c r="P39" s="10">
        <f t="shared" si="2"/>
        <v>0</v>
      </c>
    </row>
    <row r="40" spans="1:16" x14ac:dyDescent="0.2">
      <c r="A40" s="24">
        <f t="shared" si="3"/>
        <v>593.57565743423538</v>
      </c>
      <c r="B40" s="24">
        <f t="shared" si="4"/>
        <v>178.07269850292923</v>
      </c>
      <c r="C40" s="15"/>
      <c r="D40" s="29">
        <v>632</v>
      </c>
      <c r="E40" s="30" t="s">
        <v>42</v>
      </c>
      <c r="F40" s="13">
        <v>235727</v>
      </c>
      <c r="G40" s="13">
        <v>139921809</v>
      </c>
      <c r="H40" s="13">
        <v>41976543</v>
      </c>
      <c r="J40" s="10">
        <f t="shared" si="5"/>
        <v>235727</v>
      </c>
      <c r="K40" s="10">
        <f t="shared" si="0"/>
        <v>139921809</v>
      </c>
      <c r="L40" s="10">
        <f t="shared" si="1"/>
        <v>41976543</v>
      </c>
      <c r="N40" s="10">
        <f>SUMIFS([1]GD.List!$L$3:$L$1937,[1]GD.List!$C$3:$C$1937,E40,[1]GD.List!$H$3:$H$1937,$D$5)</f>
        <v>0</v>
      </c>
      <c r="O40" s="10">
        <f t="shared" si="6"/>
        <v>0</v>
      </c>
      <c r="P40" s="10">
        <f t="shared" si="2"/>
        <v>0</v>
      </c>
    </row>
    <row r="41" spans="1:16" x14ac:dyDescent="0.2">
      <c r="A41" s="24">
        <f t="shared" si="3"/>
        <v>698.3279906067412</v>
      </c>
      <c r="B41" s="24">
        <f t="shared" si="4"/>
        <v>209.49839873514054</v>
      </c>
      <c r="C41" s="15"/>
      <c r="D41" s="29">
        <v>633</v>
      </c>
      <c r="E41" s="30" t="s">
        <v>43</v>
      </c>
      <c r="F41" s="13">
        <v>321933</v>
      </c>
      <c r="G41" s="13">
        <v>224814825</v>
      </c>
      <c r="H41" s="13">
        <v>67444448</v>
      </c>
      <c r="J41" s="10">
        <f t="shared" si="5"/>
        <v>321933</v>
      </c>
      <c r="K41" s="10">
        <f t="shared" si="0"/>
        <v>224814825</v>
      </c>
      <c r="L41" s="10">
        <f t="shared" si="1"/>
        <v>67444448</v>
      </c>
      <c r="N41" s="10">
        <f>SUMIFS([1]GD.List!$L$3:$L$1937,[1]GD.List!$C$3:$C$1937,E41,[1]GD.List!$H$3:$H$1937,$D$5)</f>
        <v>0</v>
      </c>
      <c r="O41" s="10">
        <f t="shared" si="6"/>
        <v>0</v>
      </c>
      <c r="P41" s="10">
        <f t="shared" si="2"/>
        <v>0</v>
      </c>
    </row>
    <row r="42" spans="1:16" x14ac:dyDescent="0.2">
      <c r="A42" s="24">
        <f t="shared" si="3"/>
        <v>698.32798600513638</v>
      </c>
      <c r="B42" s="24">
        <f t="shared" si="4"/>
        <v>209.49839332018215</v>
      </c>
      <c r="C42" s="15"/>
      <c r="D42" s="29">
        <v>635</v>
      </c>
      <c r="E42" s="30" t="s">
        <v>44</v>
      </c>
      <c r="F42" s="13">
        <v>80601</v>
      </c>
      <c r="G42" s="13">
        <v>56285934</v>
      </c>
      <c r="H42" s="13">
        <v>16885780</v>
      </c>
      <c r="J42" s="10">
        <f t="shared" si="5"/>
        <v>80601</v>
      </c>
      <c r="K42" s="10">
        <f t="shared" si="0"/>
        <v>56285934</v>
      </c>
      <c r="L42" s="10">
        <f t="shared" si="1"/>
        <v>16885780</v>
      </c>
      <c r="N42" s="10">
        <f>SUMIFS([1]GD.List!$L$3:$L$1937,[1]GD.List!$C$3:$C$1937,E42,[1]GD.List!$H$3:$H$1937,$D$5)</f>
        <v>0</v>
      </c>
      <c r="O42" s="10">
        <f t="shared" si="6"/>
        <v>0</v>
      </c>
      <c r="P42" s="10">
        <f t="shared" si="2"/>
        <v>0</v>
      </c>
    </row>
    <row r="43" spans="1:16" x14ac:dyDescent="0.2">
      <c r="A43" s="24">
        <f t="shared" si="3"/>
        <v>563.94030612244899</v>
      </c>
      <c r="B43" s="24">
        <f t="shared" si="4"/>
        <v>169.18210204081632</v>
      </c>
      <c r="C43" s="15"/>
      <c r="D43" s="29">
        <v>646</v>
      </c>
      <c r="E43" s="30" t="s">
        <v>52</v>
      </c>
      <c r="F43" s="13">
        <v>49000</v>
      </c>
      <c r="G43" s="13">
        <v>27633075</v>
      </c>
      <c r="H43" s="13">
        <v>8289923</v>
      </c>
      <c r="J43" s="10">
        <f t="shared" si="5"/>
        <v>49000</v>
      </c>
      <c r="K43" s="10">
        <f t="shared" si="0"/>
        <v>27633075</v>
      </c>
      <c r="L43" s="10">
        <f t="shared" si="1"/>
        <v>8289923</v>
      </c>
      <c r="N43" s="10">
        <f>SUMIFS([1]GD.List!$L$3:$L$1937,[1]GD.List!$C$3:$C$1937,E43,[1]GD.List!$H$3:$H$1937,$D$5)</f>
        <v>0</v>
      </c>
      <c r="O43" s="10">
        <f t="shared" si="6"/>
        <v>0</v>
      </c>
      <c r="P43" s="10">
        <f t="shared" si="2"/>
        <v>0</v>
      </c>
    </row>
    <row r="44" spans="1:16" x14ac:dyDescent="0.2">
      <c r="A44" s="24">
        <f t="shared" si="3"/>
        <v>623.13023590869932</v>
      </c>
      <c r="B44" s="24">
        <f t="shared" si="4"/>
        <v>186.9390707726098</v>
      </c>
      <c r="C44" s="15"/>
      <c r="D44" s="29">
        <v>649</v>
      </c>
      <c r="E44" s="30" t="s">
        <v>54</v>
      </c>
      <c r="F44" s="13">
        <v>198509</v>
      </c>
      <c r="G44" s="13">
        <v>123696960</v>
      </c>
      <c r="H44" s="13">
        <v>37109088</v>
      </c>
      <c r="J44" s="10">
        <f t="shared" si="5"/>
        <v>198509</v>
      </c>
      <c r="K44" s="10">
        <f t="shared" si="0"/>
        <v>123696960</v>
      </c>
      <c r="L44" s="10">
        <f t="shared" si="1"/>
        <v>37109088</v>
      </c>
      <c r="N44" s="10">
        <f>SUMIFS([1]GD.List!$L$3:$L$1937,[1]GD.List!$C$3:$C$1937,E44,[1]GD.List!$H$3:$H$1937,$D$5)</f>
        <v>0</v>
      </c>
      <c r="O44" s="10">
        <f t="shared" si="6"/>
        <v>0</v>
      </c>
      <c r="P44" s="10">
        <f t="shared" si="2"/>
        <v>0</v>
      </c>
    </row>
    <row r="45" spans="1:16" x14ac:dyDescent="0.2">
      <c r="A45" s="24">
        <f t="shared" si="3"/>
        <v>637.68280190810947</v>
      </c>
      <c r="B45" s="24">
        <f t="shared" si="4"/>
        <v>191.30484559377354</v>
      </c>
      <c r="C45" s="15"/>
      <c r="D45" s="29">
        <v>657</v>
      </c>
      <c r="E45" s="30" t="s">
        <v>59</v>
      </c>
      <c r="F45" s="13">
        <v>19915</v>
      </c>
      <c r="G45" s="13">
        <v>12699453</v>
      </c>
      <c r="H45" s="13">
        <v>3809836</v>
      </c>
      <c r="J45" s="10">
        <f t="shared" si="5"/>
        <v>19915</v>
      </c>
      <c r="K45" s="10">
        <f t="shared" si="0"/>
        <v>12699453</v>
      </c>
      <c r="L45" s="10">
        <f t="shared" si="1"/>
        <v>3809836</v>
      </c>
      <c r="N45" s="10">
        <f>SUMIFS([1]GD.List!$L$3:$L$1937,[1]GD.List!$C$3:$C$1937,E45,[1]GD.List!$H$3:$H$1937,$D$5)</f>
        <v>0</v>
      </c>
      <c r="O45" s="10">
        <f t="shared" si="6"/>
        <v>0</v>
      </c>
      <c r="P45" s="10">
        <f t="shared" si="2"/>
        <v>0</v>
      </c>
    </row>
    <row r="46" spans="1:16" x14ac:dyDescent="0.2">
      <c r="A46" s="24">
        <f t="shared" si="3"/>
        <v>610.8244494988628</v>
      </c>
      <c r="B46" s="24">
        <f t="shared" si="4"/>
        <v>183.24733434977131</v>
      </c>
      <c r="C46" s="15"/>
      <c r="D46" s="29">
        <v>662</v>
      </c>
      <c r="E46" s="30" t="s">
        <v>62</v>
      </c>
      <c r="F46" s="13">
        <v>200045</v>
      </c>
      <c r="G46" s="13">
        <v>122192377</v>
      </c>
      <c r="H46" s="13">
        <v>36657713</v>
      </c>
      <c r="J46" s="10">
        <f t="shared" si="5"/>
        <v>200045</v>
      </c>
      <c r="K46" s="10">
        <f t="shared" si="0"/>
        <v>122192377</v>
      </c>
      <c r="L46" s="10">
        <f t="shared" si="1"/>
        <v>36657713</v>
      </c>
      <c r="N46" s="10">
        <f>SUMIFS([1]GD.List!$L$3:$L$1937,[1]GD.List!$C$3:$C$1937,E46,[1]GD.List!$H$3:$H$1937,$D$5)</f>
        <v>0</v>
      </c>
      <c r="O46" s="10">
        <f t="shared" si="6"/>
        <v>0</v>
      </c>
      <c r="P46" s="10">
        <f t="shared" si="2"/>
        <v>0</v>
      </c>
    </row>
    <row r="47" spans="1:16" x14ac:dyDescent="0.2">
      <c r="A47" s="24">
        <f t="shared" si="3"/>
        <v>582.64505467214974</v>
      </c>
      <c r="B47" s="24">
        <f t="shared" si="4"/>
        <v>174.79351676685633</v>
      </c>
      <c r="C47" s="15"/>
      <c r="D47" s="29">
        <v>710</v>
      </c>
      <c r="E47" s="30" t="s">
        <v>88</v>
      </c>
      <c r="F47" s="13">
        <v>273814</v>
      </c>
      <c r="G47" s="13">
        <v>159536373</v>
      </c>
      <c r="H47" s="13">
        <v>47860912</v>
      </c>
      <c r="J47" s="10">
        <f t="shared" si="5"/>
        <v>273814</v>
      </c>
      <c r="K47" s="10">
        <f t="shared" si="0"/>
        <v>159536373</v>
      </c>
      <c r="L47" s="10">
        <f t="shared" si="1"/>
        <v>47860912</v>
      </c>
      <c r="N47" s="10">
        <f>SUMIFS([1]GD.List!$L$3:$L$1937,[1]GD.List!$C$3:$C$1937,E47,[1]GD.List!$H$3:$H$1937,$D$5)</f>
        <v>0</v>
      </c>
      <c r="O47" s="10">
        <f t="shared" si="6"/>
        <v>0</v>
      </c>
      <c r="P47" s="10">
        <f t="shared" si="2"/>
        <v>0</v>
      </c>
    </row>
    <row r="48" spans="1:16" x14ac:dyDescent="0.2">
      <c r="A48" s="24">
        <f t="shared" si="3"/>
        <v>580.46675326784123</v>
      </c>
      <c r="B48" s="24">
        <f t="shared" si="4"/>
        <v>174.14000974263215</v>
      </c>
      <c r="C48" s="15"/>
      <c r="D48" s="29">
        <v>740</v>
      </c>
      <c r="E48" s="30" t="s">
        <v>99</v>
      </c>
      <c r="F48" s="13">
        <v>24634</v>
      </c>
      <c r="G48" s="13">
        <v>14299218</v>
      </c>
      <c r="H48" s="13">
        <v>4289765</v>
      </c>
      <c r="J48" s="10">
        <f t="shared" si="5"/>
        <v>24634</v>
      </c>
      <c r="K48" s="10">
        <f t="shared" si="0"/>
        <v>14299218</v>
      </c>
      <c r="L48" s="10">
        <f t="shared" si="1"/>
        <v>4289765</v>
      </c>
      <c r="N48" s="10">
        <f>SUMIFS([1]GD.List!$L$3:$L$1937,[1]GD.List!$C$3:$C$1937,E48,[1]GD.List!$H$3:$H$1937,$D$5)</f>
        <v>0</v>
      </c>
      <c r="O48" s="10">
        <f t="shared" si="6"/>
        <v>0</v>
      </c>
      <c r="P48" s="10">
        <f t="shared" si="2"/>
        <v>0</v>
      </c>
    </row>
    <row r="49" spans="1:16" x14ac:dyDescent="0.2">
      <c r="A49" s="24">
        <f t="shared" si="3"/>
        <v>530.97059927182738</v>
      </c>
      <c r="B49" s="24">
        <f t="shared" si="4"/>
        <v>159.29118282405202</v>
      </c>
      <c r="C49" s="15"/>
      <c r="D49" s="29">
        <v>766</v>
      </c>
      <c r="E49" s="30" t="s">
        <v>112</v>
      </c>
      <c r="F49" s="13">
        <v>197206</v>
      </c>
      <c r="G49" s="13">
        <v>104710588</v>
      </c>
      <c r="H49" s="13">
        <v>31413177</v>
      </c>
      <c r="J49" s="10">
        <f t="shared" si="5"/>
        <v>197206</v>
      </c>
      <c r="K49" s="10">
        <f t="shared" si="0"/>
        <v>104710588</v>
      </c>
      <c r="L49" s="10">
        <f t="shared" si="1"/>
        <v>31413177</v>
      </c>
      <c r="N49" s="10">
        <f>SUMIFS([1]GD.List!$L$3:$L$1937,[1]GD.List!$C$3:$C$1937,E49,[1]GD.List!$H$3:$H$1937,$D$5)</f>
        <v>0</v>
      </c>
      <c r="O49" s="10">
        <f t="shared" si="6"/>
        <v>0</v>
      </c>
      <c r="P49" s="10">
        <f t="shared" si="2"/>
        <v>0</v>
      </c>
    </row>
    <row r="50" spans="1:16" x14ac:dyDescent="0.2">
      <c r="A50" s="24">
        <f t="shared" si="3"/>
        <v>530.49413779370764</v>
      </c>
      <c r="B50" s="24">
        <f t="shared" si="4"/>
        <v>159.14824372759855</v>
      </c>
      <c r="C50" s="15"/>
      <c r="D50" s="29">
        <v>770</v>
      </c>
      <c r="E50" s="30" t="s">
        <v>114</v>
      </c>
      <c r="F50" s="13">
        <v>125550</v>
      </c>
      <c r="G50" s="13">
        <v>66603539</v>
      </c>
      <c r="H50" s="13">
        <v>19981062</v>
      </c>
      <c r="J50" s="10">
        <f t="shared" si="5"/>
        <v>125550</v>
      </c>
      <c r="K50" s="10">
        <f t="shared" si="0"/>
        <v>66603539</v>
      </c>
      <c r="L50" s="10">
        <f t="shared" si="1"/>
        <v>19981062</v>
      </c>
      <c r="N50" s="10">
        <f>SUMIFS([1]GD.List!$L$3:$L$1937,[1]GD.List!$C$3:$C$1937,E50,[1]GD.List!$H$3:$H$1937,$D$5)</f>
        <v>0</v>
      </c>
      <c r="O50" s="10">
        <f t="shared" si="6"/>
        <v>0</v>
      </c>
      <c r="P50" s="10">
        <f t="shared" si="2"/>
        <v>0</v>
      </c>
    </row>
    <row r="51" spans="1:16" x14ac:dyDescent="0.2">
      <c r="A51" s="24">
        <f t="shared" si="3"/>
        <v>539.20131441012825</v>
      </c>
      <c r="B51" s="24">
        <f t="shared" si="4"/>
        <v>161.76039230707201</v>
      </c>
      <c r="C51" s="15"/>
      <c r="D51" s="29">
        <v>784</v>
      </c>
      <c r="E51" s="30" t="s">
        <v>116</v>
      </c>
      <c r="F51" s="13">
        <v>198416</v>
      </c>
      <c r="G51" s="13">
        <v>106986168</v>
      </c>
      <c r="H51" s="13">
        <v>32095850</v>
      </c>
      <c r="J51" s="10">
        <f t="shared" si="5"/>
        <v>198416</v>
      </c>
      <c r="K51" s="10">
        <f t="shared" si="0"/>
        <v>106986168</v>
      </c>
      <c r="L51" s="10">
        <f t="shared" si="1"/>
        <v>32095850</v>
      </c>
      <c r="N51" s="10">
        <f>SUMIFS([1]GD.List!$L$3:$L$1937,[1]GD.List!$C$3:$C$1937,E51,[1]GD.List!$H$3:$H$1937,$D$5)</f>
        <v>0</v>
      </c>
      <c r="O51" s="10">
        <f t="shared" si="6"/>
        <v>0</v>
      </c>
      <c r="P51" s="10">
        <f t="shared" si="2"/>
        <v>0</v>
      </c>
    </row>
    <row r="52" spans="1:16" x14ac:dyDescent="0.2">
      <c r="A52" s="24">
        <f t="shared" si="3"/>
        <v>530.39884057310769</v>
      </c>
      <c r="B52" s="24">
        <f t="shared" si="4"/>
        <v>159.11964989407986</v>
      </c>
      <c r="C52" s="15"/>
      <c r="D52" s="29">
        <v>790</v>
      </c>
      <c r="E52" s="30" t="s">
        <v>117</v>
      </c>
      <c r="F52" s="13">
        <v>175604</v>
      </c>
      <c r="G52" s="13">
        <v>93140158</v>
      </c>
      <c r="H52" s="13">
        <v>27942047</v>
      </c>
      <c r="J52" s="10">
        <f t="shared" si="5"/>
        <v>175604</v>
      </c>
      <c r="K52" s="10">
        <f t="shared" si="0"/>
        <v>93140158</v>
      </c>
      <c r="L52" s="10">
        <f t="shared" si="1"/>
        <v>27942047</v>
      </c>
      <c r="N52" s="10">
        <f>SUMIFS([1]GD.List!$L$3:$L$1937,[1]GD.List!$C$3:$C$1937,E52,[1]GD.List!$H$3:$H$1937,$D$5)</f>
        <v>0</v>
      </c>
      <c r="O52" s="10">
        <f t="shared" si="6"/>
        <v>0</v>
      </c>
      <c r="P52" s="10">
        <f t="shared" si="2"/>
        <v>0</v>
      </c>
    </row>
    <row r="53" spans="1:16" x14ac:dyDescent="0.2">
      <c r="A53" s="24">
        <f t="shared" si="3"/>
        <v>547.43442117334371</v>
      </c>
      <c r="B53" s="24">
        <f t="shared" si="4"/>
        <v>164.23032593800843</v>
      </c>
      <c r="C53" s="15"/>
      <c r="D53" s="29">
        <v>798</v>
      </c>
      <c r="E53" s="30" t="s">
        <v>124</v>
      </c>
      <c r="F53" s="13">
        <v>241549</v>
      </c>
      <c r="G53" s="13">
        <v>132232237</v>
      </c>
      <c r="H53" s="13">
        <v>39669671</v>
      </c>
      <c r="J53" s="10">
        <f t="shared" si="5"/>
        <v>241549</v>
      </c>
      <c r="K53" s="10">
        <f t="shared" si="0"/>
        <v>132232237</v>
      </c>
      <c r="L53" s="10">
        <f t="shared" si="1"/>
        <v>39669671</v>
      </c>
      <c r="N53" s="10">
        <f>SUMIFS([1]GD.List!$L$3:$L$1937,[1]GD.List!$C$3:$C$1937,E53,[1]GD.List!$H$3:$H$1937,$D$5)</f>
        <v>0</v>
      </c>
      <c r="O53" s="10">
        <f t="shared" si="6"/>
        <v>0</v>
      </c>
      <c r="P53" s="10">
        <f t="shared" si="2"/>
        <v>0</v>
      </c>
    </row>
    <row r="54" spans="1:16" x14ac:dyDescent="0.2">
      <c r="A54" s="24">
        <f t="shared" si="3"/>
        <v>547.43441989483722</v>
      </c>
      <c r="B54" s="24">
        <f t="shared" si="4"/>
        <v>164.23032675027198</v>
      </c>
      <c r="C54" s="15"/>
      <c r="D54" s="29">
        <v>799</v>
      </c>
      <c r="E54" s="30" t="s">
        <v>125</v>
      </c>
      <c r="F54" s="13">
        <v>255813.1</v>
      </c>
      <c r="G54" s="13">
        <v>140040896</v>
      </c>
      <c r="H54" s="13">
        <v>42012269</v>
      </c>
      <c r="J54" s="10">
        <f t="shared" si="5"/>
        <v>255813.1</v>
      </c>
      <c r="K54" s="10">
        <f t="shared" si="0"/>
        <v>140040896</v>
      </c>
      <c r="L54" s="10">
        <f t="shared" si="1"/>
        <v>42012269</v>
      </c>
      <c r="N54" s="10">
        <f>SUMIFS([1]GD.List!$L$3:$L$1937,[1]GD.List!$C$3:$C$1937,E54,[1]GD.List!$H$3:$H$1937,$D$5)</f>
        <v>0</v>
      </c>
      <c r="O54" s="10">
        <f t="shared" si="6"/>
        <v>0</v>
      </c>
      <c r="P54" s="10">
        <f t="shared" si="2"/>
        <v>0</v>
      </c>
    </row>
    <row r="55" spans="1:16" x14ac:dyDescent="0.2">
      <c r="A55" s="24">
        <f t="shared" si="3"/>
        <v>538.04091165717023</v>
      </c>
      <c r="B55" s="24">
        <f t="shared" si="4"/>
        <v>161.41227316371294</v>
      </c>
      <c r="C55" s="15"/>
      <c r="D55" s="29">
        <v>802</v>
      </c>
      <c r="E55" s="30" t="s">
        <v>127</v>
      </c>
      <c r="F55" s="13">
        <v>299905.71999999997</v>
      </c>
      <c r="G55" s="13">
        <v>161361547</v>
      </c>
      <c r="H55" s="13">
        <v>48408464</v>
      </c>
      <c r="J55" s="10">
        <f t="shared" si="5"/>
        <v>299905.71999999997</v>
      </c>
      <c r="K55" s="10">
        <f t="shared" si="0"/>
        <v>161361547</v>
      </c>
      <c r="L55" s="10">
        <f t="shared" si="1"/>
        <v>48408464</v>
      </c>
      <c r="N55" s="10">
        <f>SUMIFS([1]GD.List!$L$3:$L$1937,[1]GD.List!$C$3:$C$1937,E55,[1]GD.List!$H$3:$H$1937,$D$5)</f>
        <v>0</v>
      </c>
      <c r="O55" s="10">
        <f t="shared" si="6"/>
        <v>0</v>
      </c>
      <c r="P55" s="10">
        <f t="shared" si="2"/>
        <v>0</v>
      </c>
    </row>
    <row r="56" spans="1:16" x14ac:dyDescent="0.2">
      <c r="A56" s="24">
        <f t="shared" si="3"/>
        <v>567.6177137052664</v>
      </c>
      <c r="B56" s="24">
        <f t="shared" si="4"/>
        <v>170.28531801844039</v>
      </c>
      <c r="C56" s="15"/>
      <c r="D56" s="68" t="s">
        <v>438</v>
      </c>
      <c r="E56" s="5" t="s">
        <v>441</v>
      </c>
      <c r="F56" s="13">
        <v>25596</v>
      </c>
      <c r="G56" s="13">
        <v>14528743</v>
      </c>
      <c r="H56" s="13">
        <v>4358623</v>
      </c>
      <c r="J56" s="10">
        <f t="shared" si="5"/>
        <v>25596</v>
      </c>
      <c r="K56" s="10">
        <f t="shared" si="0"/>
        <v>14528743</v>
      </c>
      <c r="L56" s="10">
        <f t="shared" si="1"/>
        <v>4358623</v>
      </c>
      <c r="N56" s="10">
        <f>SUMIFS([1]GD.List!$L$3:$L$1937,[1]GD.List!$C$3:$C$1937,E56,[1]GD.List!$H$3:$H$1937,$D$5)</f>
        <v>0</v>
      </c>
      <c r="O56" s="10">
        <f t="shared" si="6"/>
        <v>0</v>
      </c>
      <c r="P56" s="10">
        <f t="shared" si="2"/>
        <v>0</v>
      </c>
    </row>
    <row r="57" spans="1:16" x14ac:dyDescent="0.2">
      <c r="A57" s="24">
        <f t="shared" si="3"/>
        <v>567.8212115193644</v>
      </c>
      <c r="B57" s="24">
        <f t="shared" si="4"/>
        <v>170.34637537239325</v>
      </c>
      <c r="C57" s="15"/>
      <c r="D57" s="68"/>
      <c r="E57" s="5" t="s">
        <v>442</v>
      </c>
      <c r="F57" s="13">
        <v>25175</v>
      </c>
      <c r="G57" s="13">
        <v>14294899</v>
      </c>
      <c r="H57" s="13">
        <v>4288470</v>
      </c>
      <c r="J57" s="10">
        <f t="shared" si="5"/>
        <v>25175</v>
      </c>
      <c r="K57" s="10">
        <f t="shared" si="0"/>
        <v>14294899</v>
      </c>
      <c r="L57" s="10">
        <f t="shared" si="1"/>
        <v>4288470</v>
      </c>
      <c r="N57" s="10">
        <f>SUMIFS([1]GD.List!$L$3:$L$1937,[1]GD.List!$C$3:$C$1937,E57,[1]GD.List!$H$3:$H$1937,$D$5)</f>
        <v>0</v>
      </c>
      <c r="O57" s="10">
        <f t="shared" si="6"/>
        <v>0</v>
      </c>
      <c r="P57" s="10">
        <f t="shared" si="2"/>
        <v>0</v>
      </c>
    </row>
    <row r="58" spans="1:16" x14ac:dyDescent="0.2">
      <c r="A58" s="24">
        <f t="shared" si="3"/>
        <v>567.82122024996102</v>
      </c>
      <c r="B58" s="24">
        <f t="shared" si="4"/>
        <v>170.34636585830921</v>
      </c>
      <c r="C58" s="15"/>
      <c r="D58" s="68"/>
      <c r="E58" s="5" t="s">
        <v>443</v>
      </c>
      <c r="F58" s="13">
        <v>461512</v>
      </c>
      <c r="G58" s="13">
        <v>262056307</v>
      </c>
      <c r="H58" s="13">
        <v>78616892</v>
      </c>
      <c r="J58" s="10">
        <f t="shared" si="5"/>
        <v>457955.14</v>
      </c>
      <c r="K58" s="10">
        <f t="shared" si="0"/>
        <v>260036646</v>
      </c>
      <c r="L58" s="10">
        <f t="shared" si="1"/>
        <v>78010994</v>
      </c>
      <c r="N58" s="10">
        <f>SUMIFS([1]GD.List!$L$3:$L$1937,[1]GD.List!$C$3:$C$1937,E58,[1]GD.List!$H$3:$H$1937,$D$5)</f>
        <v>3556.8600000000033</v>
      </c>
      <c r="O58" s="10">
        <f t="shared" si="6"/>
        <v>2019661</v>
      </c>
      <c r="P58" s="10">
        <f t="shared" si="2"/>
        <v>605898</v>
      </c>
    </row>
    <row r="59" spans="1:16" x14ac:dyDescent="0.2">
      <c r="A59" s="24">
        <f t="shared" si="3"/>
        <v>534.31693539689388</v>
      </c>
      <c r="B59" s="24">
        <f t="shared" si="4"/>
        <v>160.29508196721312</v>
      </c>
      <c r="C59" s="15"/>
      <c r="D59" s="68"/>
      <c r="E59" s="5" t="s">
        <v>444</v>
      </c>
      <c r="F59" s="13">
        <v>74176</v>
      </c>
      <c r="G59" s="13">
        <v>39633493</v>
      </c>
      <c r="H59" s="13">
        <v>11890048</v>
      </c>
      <c r="J59" s="10">
        <f t="shared" si="5"/>
        <v>0</v>
      </c>
      <c r="K59" s="10">
        <f t="shared" si="0"/>
        <v>0</v>
      </c>
      <c r="L59" s="10">
        <f t="shared" si="1"/>
        <v>0</v>
      </c>
      <c r="N59" s="10">
        <f>SUMIFS([1]GD.List!$L$3:$L$1937,[1]GD.List!$C$3:$C$1937,E59,[1]GD.List!$H$3:$H$1937,$D$5)</f>
        <v>74176</v>
      </c>
      <c r="O59" s="10">
        <f t="shared" si="6"/>
        <v>39633493</v>
      </c>
      <c r="P59" s="10">
        <f t="shared" si="2"/>
        <v>11890048</v>
      </c>
    </row>
    <row r="60" spans="1:16" x14ac:dyDescent="0.2">
      <c r="A60" s="24">
        <f t="shared" si="3"/>
        <v>481.35953846153848</v>
      </c>
      <c r="B60" s="24">
        <f t="shared" si="4"/>
        <v>240.67976923076924</v>
      </c>
      <c r="C60" s="15" t="s">
        <v>132</v>
      </c>
      <c r="D60" s="28">
        <v>574</v>
      </c>
      <c r="E60" s="30" t="s">
        <v>4</v>
      </c>
      <c r="F60" s="13">
        <v>26000</v>
      </c>
      <c r="G60" s="13">
        <v>12515348</v>
      </c>
      <c r="H60" s="13">
        <v>6257674</v>
      </c>
      <c r="J60" s="10">
        <f t="shared" si="5"/>
        <v>26000</v>
      </c>
      <c r="K60" s="10">
        <f t="shared" si="0"/>
        <v>12515348</v>
      </c>
      <c r="L60" s="10">
        <f t="shared" si="1"/>
        <v>6257674</v>
      </c>
      <c r="N60" s="10">
        <f>SUMIFS([1]GD.List!$L$3:$L$1937,[1]GD.List!$C$3:$C$1937,E60,[1]GD.List!$H$3:$H$1937,$D$5)</f>
        <v>0</v>
      </c>
      <c r="O60" s="10">
        <f t="shared" si="6"/>
        <v>0</v>
      </c>
      <c r="P60" s="10">
        <f t="shared" si="2"/>
        <v>0</v>
      </c>
    </row>
    <row r="61" spans="1:16" x14ac:dyDescent="0.2">
      <c r="A61" s="24">
        <f t="shared" si="3"/>
        <v>11070.692307692309</v>
      </c>
      <c r="B61" s="24">
        <f t="shared" si="4"/>
        <v>5092.5</v>
      </c>
      <c r="C61" s="15"/>
      <c r="D61" s="29">
        <v>576</v>
      </c>
      <c r="E61" s="30" t="s">
        <v>6</v>
      </c>
      <c r="F61" s="13">
        <v>26</v>
      </c>
      <c r="G61" s="13">
        <v>287838</v>
      </c>
      <c r="H61" s="13">
        <v>132405</v>
      </c>
      <c r="J61" s="10">
        <f t="shared" si="5"/>
        <v>26</v>
      </c>
      <c r="K61" s="10">
        <f t="shared" si="0"/>
        <v>287838</v>
      </c>
      <c r="L61" s="10">
        <f t="shared" si="1"/>
        <v>132405</v>
      </c>
      <c r="N61" s="10">
        <f>SUMIFS([1]GD.List!$L$3:$L$1937,[1]GD.List!$C$3:$C$1937,E61,[1]GD.List!$H$3:$H$1937,$D$5)</f>
        <v>0</v>
      </c>
      <c r="O61" s="10">
        <f t="shared" si="6"/>
        <v>0</v>
      </c>
      <c r="P61" s="10">
        <f t="shared" si="2"/>
        <v>0</v>
      </c>
    </row>
    <row r="62" spans="1:16" x14ac:dyDescent="0.2">
      <c r="A62" s="24">
        <f t="shared" si="3"/>
        <v>611.49384090909086</v>
      </c>
      <c r="B62" s="24">
        <f t="shared" si="4"/>
        <v>183.44813636363637</v>
      </c>
      <c r="C62" s="15"/>
      <c r="D62" s="29">
        <v>588</v>
      </c>
      <c r="E62" s="30" t="s">
        <v>10</v>
      </c>
      <c r="F62" s="13">
        <v>44000</v>
      </c>
      <c r="G62" s="13">
        <v>26905729</v>
      </c>
      <c r="H62" s="13">
        <v>8071718</v>
      </c>
      <c r="J62" s="10">
        <f t="shared" si="5"/>
        <v>44000</v>
      </c>
      <c r="K62" s="10">
        <f t="shared" si="0"/>
        <v>26905729</v>
      </c>
      <c r="L62" s="10">
        <f t="shared" si="1"/>
        <v>8071718</v>
      </c>
      <c r="N62" s="10">
        <f>SUMIFS([1]GD.List!$L$3:$L$1937,[1]GD.List!$C$3:$C$1937,E62,[1]GD.List!$H$3:$H$1937,$D$5)</f>
        <v>0</v>
      </c>
      <c r="O62" s="10">
        <f t="shared" si="6"/>
        <v>0</v>
      </c>
      <c r="P62" s="10">
        <f t="shared" si="2"/>
        <v>0</v>
      </c>
    </row>
    <row r="63" spans="1:16" x14ac:dyDescent="0.2">
      <c r="A63" s="24">
        <f t="shared" si="3"/>
        <v>684.29074218749997</v>
      </c>
      <c r="B63" s="24">
        <f t="shared" si="4"/>
        <v>205.2872265625</v>
      </c>
      <c r="C63" s="15"/>
      <c r="D63" s="29">
        <v>589</v>
      </c>
      <c r="E63" s="30" t="s">
        <v>11</v>
      </c>
      <c r="F63" s="13">
        <v>25600</v>
      </c>
      <c r="G63" s="13">
        <v>17517843</v>
      </c>
      <c r="H63" s="13">
        <v>5255353</v>
      </c>
      <c r="J63" s="10">
        <f t="shared" si="5"/>
        <v>25600</v>
      </c>
      <c r="K63" s="10">
        <f t="shared" si="0"/>
        <v>17517843</v>
      </c>
      <c r="L63" s="10">
        <f t="shared" si="1"/>
        <v>5255353</v>
      </c>
      <c r="N63" s="10">
        <f>SUMIFS([1]GD.List!$L$3:$L$1937,[1]GD.List!$C$3:$C$1937,E63,[1]GD.List!$H$3:$H$1937,$D$5)</f>
        <v>0</v>
      </c>
      <c r="O63" s="10">
        <f t="shared" si="6"/>
        <v>0</v>
      </c>
      <c r="P63" s="10">
        <f t="shared" si="2"/>
        <v>0</v>
      </c>
    </row>
    <row r="64" spans="1:16" x14ac:dyDescent="0.2">
      <c r="A64" s="24">
        <f t="shared" si="3"/>
        <v>868.98295336787567</v>
      </c>
      <c r="B64" s="24">
        <f t="shared" si="4"/>
        <v>364.54316062176167</v>
      </c>
      <c r="C64" s="15"/>
      <c r="D64" s="29">
        <v>596</v>
      </c>
      <c r="E64" s="30" t="s">
        <v>16</v>
      </c>
      <c r="F64" s="13">
        <v>19300</v>
      </c>
      <c r="G64" s="13">
        <v>16771371</v>
      </c>
      <c r="H64" s="13">
        <v>7035683</v>
      </c>
      <c r="J64" s="10">
        <f t="shared" si="5"/>
        <v>19300</v>
      </c>
      <c r="K64" s="10">
        <f t="shared" si="0"/>
        <v>16771371</v>
      </c>
      <c r="L64" s="10">
        <f t="shared" si="1"/>
        <v>7035683</v>
      </c>
      <c r="N64" s="10">
        <f>SUMIFS([1]GD.List!$L$3:$L$1937,[1]GD.List!$C$3:$C$1937,E64,[1]GD.List!$H$3:$H$1937,$D$5)</f>
        <v>0</v>
      </c>
      <c r="O64" s="10">
        <f t="shared" si="6"/>
        <v>0</v>
      </c>
      <c r="P64" s="10">
        <f t="shared" si="2"/>
        <v>0</v>
      </c>
    </row>
    <row r="65" spans="1:16" x14ac:dyDescent="0.2">
      <c r="A65" s="24">
        <f t="shared" si="3"/>
        <v>561.68745454545456</v>
      </c>
      <c r="B65" s="24">
        <f t="shared" si="4"/>
        <v>168.50624999999999</v>
      </c>
      <c r="C65" s="15"/>
      <c r="D65" s="29">
        <v>598</v>
      </c>
      <c r="E65" s="30" t="s">
        <v>17</v>
      </c>
      <c r="F65" s="13">
        <v>44000</v>
      </c>
      <c r="G65" s="13">
        <v>24714248</v>
      </c>
      <c r="H65" s="13">
        <v>7414275</v>
      </c>
      <c r="J65" s="10">
        <f t="shared" si="5"/>
        <v>44000</v>
      </c>
      <c r="K65" s="10">
        <f t="shared" si="0"/>
        <v>24714248</v>
      </c>
      <c r="L65" s="10">
        <f t="shared" si="1"/>
        <v>7414275</v>
      </c>
      <c r="N65" s="10">
        <f>SUMIFS([1]GD.List!$L$3:$L$1937,[1]GD.List!$C$3:$C$1937,E65,[1]GD.List!$H$3:$H$1937,$D$5)</f>
        <v>0</v>
      </c>
      <c r="O65" s="10">
        <f t="shared" si="6"/>
        <v>0</v>
      </c>
      <c r="P65" s="10">
        <f t="shared" si="2"/>
        <v>0</v>
      </c>
    </row>
    <row r="66" spans="1:16" x14ac:dyDescent="0.2">
      <c r="A66" s="24">
        <f t="shared" si="3"/>
        <v>709.49994929006084</v>
      </c>
      <c r="B66" s="24">
        <f t="shared" si="4"/>
        <v>234.13498985801218</v>
      </c>
      <c r="C66" s="15"/>
      <c r="D66" s="29">
        <v>599</v>
      </c>
      <c r="E66" s="30" t="s">
        <v>18</v>
      </c>
      <c r="F66" s="13">
        <v>19720</v>
      </c>
      <c r="G66" s="13">
        <v>13991339</v>
      </c>
      <c r="H66" s="13">
        <v>4617142</v>
      </c>
      <c r="J66" s="10">
        <f t="shared" si="5"/>
        <v>19720</v>
      </c>
      <c r="K66" s="10">
        <f t="shared" si="0"/>
        <v>13991339</v>
      </c>
      <c r="L66" s="10">
        <f t="shared" si="1"/>
        <v>4617142</v>
      </c>
      <c r="N66" s="10">
        <f>SUMIFS([1]GD.List!$L$3:$L$1937,[1]GD.List!$C$3:$C$1937,E66,[1]GD.List!$H$3:$H$1937,$D$5)</f>
        <v>0</v>
      </c>
      <c r="O66" s="10">
        <f t="shared" si="6"/>
        <v>0</v>
      </c>
      <c r="P66" s="10">
        <f t="shared" si="2"/>
        <v>0</v>
      </c>
    </row>
    <row r="67" spans="1:16" x14ac:dyDescent="0.2">
      <c r="A67" s="24">
        <f t="shared" si="3"/>
        <v>542.52200000000005</v>
      </c>
      <c r="B67" s="24">
        <f t="shared" si="4"/>
        <v>260.92184615384616</v>
      </c>
      <c r="C67" s="15"/>
      <c r="D67" s="29">
        <v>601</v>
      </c>
      <c r="E67" s="30" t="s">
        <v>19</v>
      </c>
      <c r="F67" s="13">
        <v>26000</v>
      </c>
      <c r="G67" s="13">
        <v>14105572</v>
      </c>
      <c r="H67" s="13">
        <v>6783968</v>
      </c>
      <c r="J67" s="10">
        <f t="shared" si="5"/>
        <v>26000</v>
      </c>
      <c r="K67" s="10">
        <f t="shared" si="0"/>
        <v>14105572</v>
      </c>
      <c r="L67" s="10">
        <f t="shared" si="1"/>
        <v>6783968</v>
      </c>
      <c r="N67" s="10">
        <f>SUMIFS([1]GD.List!$L$3:$L$1937,[1]GD.List!$C$3:$C$1937,E67,[1]GD.List!$H$3:$H$1937,$D$5)</f>
        <v>0</v>
      </c>
      <c r="O67" s="10">
        <f t="shared" si="6"/>
        <v>0</v>
      </c>
      <c r="P67" s="10">
        <f t="shared" si="2"/>
        <v>0</v>
      </c>
    </row>
    <row r="68" spans="1:16" x14ac:dyDescent="0.2">
      <c r="A68" s="24">
        <f t="shared" si="3"/>
        <v>3874.6152499999998</v>
      </c>
      <c r="B68" s="24">
        <f t="shared" si="4"/>
        <v>1588.5922499999999</v>
      </c>
      <c r="C68" s="15"/>
      <c r="D68" s="29">
        <v>618</v>
      </c>
      <c r="E68" s="30" t="s">
        <v>33</v>
      </c>
      <c r="F68" s="13">
        <v>4000</v>
      </c>
      <c r="G68" s="13">
        <v>15498461</v>
      </c>
      <c r="H68" s="13">
        <v>6354369</v>
      </c>
      <c r="J68" s="10">
        <f t="shared" si="5"/>
        <v>4000</v>
      </c>
      <c r="K68" s="10">
        <f t="shared" si="0"/>
        <v>15498461</v>
      </c>
      <c r="L68" s="10">
        <f t="shared" si="1"/>
        <v>6354369</v>
      </c>
      <c r="N68" s="10">
        <f>SUMIFS([1]GD.List!$L$3:$L$1937,[1]GD.List!$C$3:$C$1937,E68,[1]GD.List!$H$3:$H$1937,$D$5)</f>
        <v>0</v>
      </c>
      <c r="O68" s="10">
        <f t="shared" si="6"/>
        <v>0</v>
      </c>
      <c r="P68" s="10">
        <f t="shared" si="2"/>
        <v>0</v>
      </c>
    </row>
    <row r="69" spans="1:16" x14ac:dyDescent="0.2">
      <c r="A69" s="24">
        <f t="shared" si="3"/>
        <v>239.49193802521009</v>
      </c>
      <c r="B69" s="24">
        <f t="shared" si="4"/>
        <v>110.16628151260504</v>
      </c>
      <c r="C69" s="15"/>
      <c r="D69" s="29">
        <v>621</v>
      </c>
      <c r="E69" s="30" t="s">
        <v>35</v>
      </c>
      <c r="F69" s="13">
        <v>38080</v>
      </c>
      <c r="G69" s="13">
        <v>9119853</v>
      </c>
      <c r="H69" s="13">
        <v>4195132</v>
      </c>
      <c r="J69" s="10">
        <f t="shared" si="5"/>
        <v>38080</v>
      </c>
      <c r="K69" s="10">
        <f t="shared" si="0"/>
        <v>9119853</v>
      </c>
      <c r="L69" s="10">
        <f t="shared" si="1"/>
        <v>4195132</v>
      </c>
      <c r="N69" s="10">
        <f>SUMIFS([1]GD.List!$L$3:$L$1937,[1]GD.List!$C$3:$C$1937,E69,[1]GD.List!$H$3:$H$1937,$D$5)</f>
        <v>0</v>
      </c>
      <c r="O69" s="10">
        <f t="shared" si="6"/>
        <v>0</v>
      </c>
      <c r="P69" s="10">
        <f t="shared" si="2"/>
        <v>0</v>
      </c>
    </row>
    <row r="70" spans="1:16" x14ac:dyDescent="0.2">
      <c r="A70" s="24">
        <f t="shared" si="3"/>
        <v>276.81536239495796</v>
      </c>
      <c r="B70" s="24">
        <f t="shared" si="4"/>
        <v>127.33505777310924</v>
      </c>
      <c r="C70" s="15"/>
      <c r="D70" s="29">
        <v>624</v>
      </c>
      <c r="E70" s="30" t="s">
        <v>38</v>
      </c>
      <c r="F70" s="13">
        <v>38080</v>
      </c>
      <c r="G70" s="13">
        <v>10541129</v>
      </c>
      <c r="H70" s="13">
        <v>4848919</v>
      </c>
      <c r="J70" s="10">
        <f t="shared" si="5"/>
        <v>38080</v>
      </c>
      <c r="K70" s="10">
        <f t="shared" si="0"/>
        <v>10541129</v>
      </c>
      <c r="L70" s="10">
        <f t="shared" si="1"/>
        <v>4848919</v>
      </c>
      <c r="N70" s="10">
        <f>SUMIFS([1]GD.List!$L$3:$L$1937,[1]GD.List!$C$3:$C$1937,E70,[1]GD.List!$H$3:$H$1937,$D$5)</f>
        <v>0</v>
      </c>
      <c r="O70" s="10">
        <f t="shared" si="6"/>
        <v>0</v>
      </c>
      <c r="P70" s="10">
        <f t="shared" si="2"/>
        <v>0</v>
      </c>
    </row>
    <row r="71" spans="1:16" x14ac:dyDescent="0.2">
      <c r="A71" s="24">
        <f t="shared" si="3"/>
        <v>568.82526923076921</v>
      </c>
      <c r="B71" s="24">
        <f t="shared" si="4"/>
        <v>284.41261538461538</v>
      </c>
      <c r="C71" s="15"/>
      <c r="D71" s="29">
        <v>628</v>
      </c>
      <c r="E71" s="30" t="s">
        <v>41</v>
      </c>
      <c r="F71" s="13">
        <v>26000</v>
      </c>
      <c r="G71" s="13">
        <v>14789457</v>
      </c>
      <c r="H71" s="13">
        <v>7394728</v>
      </c>
      <c r="J71" s="10">
        <f t="shared" si="5"/>
        <v>26000</v>
      </c>
      <c r="K71" s="10">
        <f t="shared" si="0"/>
        <v>14789457</v>
      </c>
      <c r="L71" s="10">
        <f t="shared" si="1"/>
        <v>7394728</v>
      </c>
      <c r="N71" s="10">
        <f>SUMIFS([1]GD.List!$L$3:$L$1937,[1]GD.List!$C$3:$C$1937,E71,[1]GD.List!$H$3:$H$1937,$D$5)</f>
        <v>0</v>
      </c>
      <c r="O71" s="10">
        <f t="shared" si="6"/>
        <v>0</v>
      </c>
      <c r="P71" s="10">
        <f t="shared" si="2"/>
        <v>0</v>
      </c>
    </row>
    <row r="72" spans="1:16" x14ac:dyDescent="0.2">
      <c r="A72" s="24">
        <f t="shared" si="3"/>
        <v>234.26851365546219</v>
      </c>
      <c r="B72" s="24">
        <f t="shared" si="4"/>
        <v>107.76349789915966</v>
      </c>
      <c r="C72" s="15"/>
      <c r="D72" s="29">
        <v>643</v>
      </c>
      <c r="E72" s="30" t="s">
        <v>50</v>
      </c>
      <c r="F72" s="13">
        <v>38080</v>
      </c>
      <c r="G72" s="13">
        <v>8920945</v>
      </c>
      <c r="H72" s="13">
        <v>4103634</v>
      </c>
      <c r="J72" s="10">
        <f t="shared" si="5"/>
        <v>38080</v>
      </c>
      <c r="K72" s="10">
        <f t="shared" si="0"/>
        <v>8920945</v>
      </c>
      <c r="L72" s="10">
        <f t="shared" si="1"/>
        <v>4103634</v>
      </c>
      <c r="N72" s="10">
        <f>SUMIFS([1]GD.List!$L$3:$L$1937,[1]GD.List!$C$3:$C$1937,E72,[1]GD.List!$H$3:$H$1937,$D$5)</f>
        <v>0</v>
      </c>
      <c r="O72" s="10">
        <f t="shared" si="6"/>
        <v>0</v>
      </c>
      <c r="P72" s="10">
        <f t="shared" si="2"/>
        <v>0</v>
      </c>
    </row>
    <row r="73" spans="1:16" x14ac:dyDescent="0.2">
      <c r="A73" s="24">
        <f t="shared" si="3"/>
        <v>2703.7950000000001</v>
      </c>
      <c r="B73" s="24">
        <f t="shared" si="4"/>
        <v>811.13800000000003</v>
      </c>
      <c r="C73" s="15"/>
      <c r="D73" s="29">
        <v>648</v>
      </c>
      <c r="E73" s="30" t="s">
        <v>53</v>
      </c>
      <c r="F73" s="13">
        <v>1000</v>
      </c>
      <c r="G73" s="13">
        <v>2703795</v>
      </c>
      <c r="H73" s="13">
        <v>811138</v>
      </c>
      <c r="J73" s="10">
        <f t="shared" si="5"/>
        <v>1000</v>
      </c>
      <c r="K73" s="10">
        <f t="shared" ref="K73:K135" si="7">ROUND(J73*A73,0)</f>
        <v>2703795</v>
      </c>
      <c r="L73" s="10">
        <f t="shared" ref="L73:L135" si="8">ROUND(J73*B73,0)</f>
        <v>811138</v>
      </c>
      <c r="N73" s="10">
        <f>SUMIFS([1]GD.List!$L$3:$L$1937,[1]GD.List!$C$3:$C$1937,E73,[1]GD.List!$H$3:$H$1937,$D$5)</f>
        <v>0</v>
      </c>
      <c r="O73" s="10">
        <f t="shared" si="6"/>
        <v>0</v>
      </c>
      <c r="P73" s="10">
        <f t="shared" ref="P73:P135" si="9">ROUND(N73*B73,0)</f>
        <v>0</v>
      </c>
    </row>
    <row r="74" spans="1:16" x14ac:dyDescent="0.2">
      <c r="A74" s="24">
        <f t="shared" ref="A74:A136" si="10">G74/F74</f>
        <v>794.47553333333337</v>
      </c>
      <c r="B74" s="24">
        <f t="shared" ref="B74:B136" si="11">H74/F74</f>
        <v>365.45873333333333</v>
      </c>
      <c r="C74" s="15"/>
      <c r="D74" s="29">
        <v>660</v>
      </c>
      <c r="E74" s="30" t="s">
        <v>61</v>
      </c>
      <c r="F74" s="13">
        <v>15000</v>
      </c>
      <c r="G74" s="13">
        <v>11917133</v>
      </c>
      <c r="H74" s="13">
        <v>5481881</v>
      </c>
      <c r="J74" s="10">
        <f t="shared" ref="J74:J135" si="12">F74-N74</f>
        <v>15000</v>
      </c>
      <c r="K74" s="10">
        <f t="shared" si="7"/>
        <v>11917133</v>
      </c>
      <c r="L74" s="10">
        <f t="shared" si="8"/>
        <v>5481881</v>
      </c>
      <c r="N74" s="10">
        <f>SUMIFS([1]GD.List!$L$3:$L$1937,[1]GD.List!$C$3:$C$1937,E74,[1]GD.List!$H$3:$H$1937,$D$5)</f>
        <v>0</v>
      </c>
      <c r="O74" s="10">
        <f t="shared" ref="O74:O135" si="13">ROUND(N74*A74,0)</f>
        <v>0</v>
      </c>
      <c r="P74" s="10">
        <f t="shared" si="9"/>
        <v>0</v>
      </c>
    </row>
    <row r="75" spans="1:16" x14ac:dyDescent="0.2">
      <c r="A75" s="24">
        <f t="shared" si="10"/>
        <v>588.56965811965813</v>
      </c>
      <c r="B75" s="24">
        <f t="shared" si="11"/>
        <v>194.22799145299146</v>
      </c>
      <c r="C75" s="15"/>
      <c r="D75" s="29">
        <v>663</v>
      </c>
      <c r="E75" s="30" t="s">
        <v>63</v>
      </c>
      <c r="F75" s="13">
        <v>18720</v>
      </c>
      <c r="G75" s="13">
        <v>11018024</v>
      </c>
      <c r="H75" s="13">
        <v>3635948</v>
      </c>
      <c r="J75" s="10">
        <f t="shared" si="12"/>
        <v>18720</v>
      </c>
      <c r="K75" s="10">
        <f t="shared" si="7"/>
        <v>11018024</v>
      </c>
      <c r="L75" s="10">
        <f t="shared" si="8"/>
        <v>3635948</v>
      </c>
      <c r="N75" s="10">
        <f>SUMIFS([1]GD.List!$L$3:$L$1937,[1]GD.List!$C$3:$C$1937,E75,[1]GD.List!$H$3:$H$1937,$D$5)</f>
        <v>0</v>
      </c>
      <c r="O75" s="10">
        <f t="shared" si="13"/>
        <v>0</v>
      </c>
      <c r="P75" s="10">
        <f t="shared" si="9"/>
        <v>0</v>
      </c>
    </row>
    <row r="76" spans="1:16" x14ac:dyDescent="0.2">
      <c r="A76" s="24">
        <f t="shared" si="10"/>
        <v>464.87488461538459</v>
      </c>
      <c r="B76" s="24">
        <f t="shared" si="11"/>
        <v>232.43742307692307</v>
      </c>
      <c r="C76" s="15"/>
      <c r="D76" s="29">
        <v>668</v>
      </c>
      <c r="E76" s="30" t="s">
        <v>65</v>
      </c>
      <c r="F76" s="13">
        <v>26000</v>
      </c>
      <c r="G76" s="13">
        <v>12086747</v>
      </c>
      <c r="H76" s="13">
        <v>6043373</v>
      </c>
      <c r="J76" s="10">
        <f t="shared" si="12"/>
        <v>26000</v>
      </c>
      <c r="K76" s="10">
        <f t="shared" si="7"/>
        <v>12086747</v>
      </c>
      <c r="L76" s="10">
        <f t="shared" si="8"/>
        <v>6043373</v>
      </c>
      <c r="N76" s="10">
        <f>SUMIFS([1]GD.List!$L$3:$L$1937,[1]GD.List!$C$3:$C$1937,E76,[1]GD.List!$H$3:$H$1937,$D$5)</f>
        <v>0</v>
      </c>
      <c r="O76" s="10">
        <f t="shared" si="13"/>
        <v>0</v>
      </c>
      <c r="P76" s="10">
        <f t="shared" si="9"/>
        <v>0</v>
      </c>
    </row>
    <row r="77" spans="1:16" x14ac:dyDescent="0.2">
      <c r="A77" s="24">
        <f t="shared" si="10"/>
        <v>940.30780423280419</v>
      </c>
      <c r="B77" s="24">
        <f t="shared" si="11"/>
        <v>282.09232804232806</v>
      </c>
      <c r="C77" s="15"/>
      <c r="D77" s="29">
        <v>669</v>
      </c>
      <c r="E77" s="30" t="s">
        <v>66</v>
      </c>
      <c r="F77" s="13">
        <v>7560</v>
      </c>
      <c r="G77" s="13">
        <v>7108727</v>
      </c>
      <c r="H77" s="13">
        <v>2132618</v>
      </c>
      <c r="J77" s="10">
        <f t="shared" si="12"/>
        <v>7560</v>
      </c>
      <c r="K77" s="10">
        <f t="shared" si="7"/>
        <v>7108727</v>
      </c>
      <c r="L77" s="10">
        <f t="shared" si="8"/>
        <v>2132618</v>
      </c>
      <c r="N77" s="10">
        <f>SUMIFS([1]GD.List!$L$3:$L$1937,[1]GD.List!$C$3:$C$1937,E77,[1]GD.List!$H$3:$H$1937,$D$5)</f>
        <v>0</v>
      </c>
      <c r="O77" s="10">
        <f t="shared" si="13"/>
        <v>0</v>
      </c>
      <c r="P77" s="10">
        <f t="shared" si="9"/>
        <v>0</v>
      </c>
    </row>
    <row r="78" spans="1:16" x14ac:dyDescent="0.2">
      <c r="A78" s="24">
        <f t="shared" si="10"/>
        <v>134.88476470588236</v>
      </c>
      <c r="B78" s="24">
        <f t="shared" si="11"/>
        <v>55.302754901960782</v>
      </c>
      <c r="C78" s="15"/>
      <c r="D78" s="29">
        <v>671</v>
      </c>
      <c r="E78" s="30" t="s">
        <v>67</v>
      </c>
      <c r="F78" s="13">
        <v>102000</v>
      </c>
      <c r="G78" s="13">
        <v>13758246</v>
      </c>
      <c r="H78" s="13">
        <v>5640881</v>
      </c>
      <c r="J78" s="10">
        <f t="shared" si="12"/>
        <v>102000</v>
      </c>
      <c r="K78" s="10">
        <f t="shared" si="7"/>
        <v>13758246</v>
      </c>
      <c r="L78" s="10">
        <f t="shared" si="8"/>
        <v>5640881</v>
      </c>
      <c r="N78" s="10">
        <f>SUMIFS([1]GD.List!$L$3:$L$1937,[1]GD.List!$C$3:$C$1937,E78,[1]GD.List!$H$3:$H$1937,$D$5)</f>
        <v>0</v>
      </c>
      <c r="O78" s="10">
        <f t="shared" si="13"/>
        <v>0</v>
      </c>
      <c r="P78" s="10">
        <f t="shared" si="9"/>
        <v>0</v>
      </c>
    </row>
    <row r="79" spans="1:16" x14ac:dyDescent="0.2">
      <c r="A79" s="24">
        <f t="shared" si="10"/>
        <v>941.26666666666665</v>
      </c>
      <c r="B79" s="24">
        <f t="shared" si="11"/>
        <v>310.61799999999999</v>
      </c>
      <c r="C79" s="15"/>
      <c r="D79" s="29">
        <v>672</v>
      </c>
      <c r="E79" s="30" t="s">
        <v>68</v>
      </c>
      <c r="F79" s="13">
        <v>18000</v>
      </c>
      <c r="G79" s="13">
        <v>16942800</v>
      </c>
      <c r="H79" s="13">
        <v>5591124</v>
      </c>
      <c r="J79" s="10">
        <f t="shared" si="12"/>
        <v>18000</v>
      </c>
      <c r="K79" s="10">
        <f t="shared" si="7"/>
        <v>16942800</v>
      </c>
      <c r="L79" s="10">
        <f t="shared" si="8"/>
        <v>5591124</v>
      </c>
      <c r="N79" s="10">
        <f>SUMIFS([1]GD.List!$L$3:$L$1937,[1]GD.List!$C$3:$C$1937,E79,[1]GD.List!$H$3:$H$1937,$D$5)</f>
        <v>0</v>
      </c>
      <c r="O79" s="10">
        <f t="shared" si="13"/>
        <v>0</v>
      </c>
      <c r="P79" s="10">
        <f t="shared" si="9"/>
        <v>0</v>
      </c>
    </row>
    <row r="80" spans="1:16" x14ac:dyDescent="0.2">
      <c r="A80" s="24">
        <f t="shared" si="10"/>
        <v>498.48716666666667</v>
      </c>
      <c r="B80" s="24">
        <f t="shared" si="11"/>
        <v>149.54611111111112</v>
      </c>
      <c r="C80" s="15"/>
      <c r="D80" s="29">
        <v>674</v>
      </c>
      <c r="E80" s="30" t="s">
        <v>70</v>
      </c>
      <c r="F80" s="13">
        <v>18000</v>
      </c>
      <c r="G80" s="13">
        <v>8972769</v>
      </c>
      <c r="H80" s="13">
        <v>2691830</v>
      </c>
      <c r="J80" s="10">
        <f t="shared" si="12"/>
        <v>18000</v>
      </c>
      <c r="K80" s="10">
        <f t="shared" si="7"/>
        <v>8972769</v>
      </c>
      <c r="L80" s="10">
        <f t="shared" si="8"/>
        <v>2691830</v>
      </c>
      <c r="N80" s="10">
        <f>SUMIFS([1]GD.List!$L$3:$L$1937,[1]GD.List!$C$3:$C$1937,E80,[1]GD.List!$H$3:$H$1937,$D$5)</f>
        <v>0</v>
      </c>
      <c r="O80" s="10">
        <f t="shared" si="13"/>
        <v>0</v>
      </c>
      <c r="P80" s="10">
        <f t="shared" si="9"/>
        <v>0</v>
      </c>
    </row>
    <row r="81" spans="1:16" x14ac:dyDescent="0.2">
      <c r="A81" s="24">
        <f t="shared" si="10"/>
        <v>598.60742521367524</v>
      </c>
      <c r="B81" s="24">
        <f t="shared" si="11"/>
        <v>197.54049145299146</v>
      </c>
      <c r="C81" s="15"/>
      <c r="D81" s="29">
        <v>676</v>
      </c>
      <c r="E81" s="30" t="s">
        <v>71</v>
      </c>
      <c r="F81" s="13">
        <v>18720</v>
      </c>
      <c r="G81" s="13">
        <v>11205931</v>
      </c>
      <c r="H81" s="13">
        <v>3697958</v>
      </c>
      <c r="J81" s="10">
        <f t="shared" si="12"/>
        <v>18720</v>
      </c>
      <c r="K81" s="10">
        <f t="shared" si="7"/>
        <v>11205931</v>
      </c>
      <c r="L81" s="10">
        <f t="shared" si="8"/>
        <v>3697958</v>
      </c>
      <c r="N81" s="10">
        <f>SUMIFS([1]GD.List!$L$3:$L$1937,[1]GD.List!$C$3:$C$1937,E81,[1]GD.List!$H$3:$H$1937,$D$5)</f>
        <v>0</v>
      </c>
      <c r="O81" s="10">
        <f t="shared" si="13"/>
        <v>0</v>
      </c>
      <c r="P81" s="10">
        <f t="shared" si="9"/>
        <v>0</v>
      </c>
    </row>
    <row r="82" spans="1:16" x14ac:dyDescent="0.2">
      <c r="A82" s="24">
        <f t="shared" si="10"/>
        <v>850.87466321243528</v>
      </c>
      <c r="B82" s="24">
        <f t="shared" si="11"/>
        <v>280.78870466321246</v>
      </c>
      <c r="C82" s="15"/>
      <c r="D82" s="29">
        <v>677</v>
      </c>
      <c r="E82" s="30" t="s">
        <v>72</v>
      </c>
      <c r="F82" s="13">
        <v>19300</v>
      </c>
      <c r="G82" s="13">
        <v>16421881</v>
      </c>
      <c r="H82" s="13">
        <v>5419222</v>
      </c>
      <c r="J82" s="10">
        <f t="shared" si="12"/>
        <v>19300</v>
      </c>
      <c r="K82" s="10">
        <f t="shared" si="7"/>
        <v>16421881</v>
      </c>
      <c r="L82" s="10">
        <f t="shared" si="8"/>
        <v>5419222</v>
      </c>
      <c r="N82" s="10">
        <f>SUMIFS([1]GD.List!$L$3:$L$1937,[1]GD.List!$C$3:$C$1937,E82,[1]GD.List!$H$3:$H$1937,$D$5)</f>
        <v>0</v>
      </c>
      <c r="O82" s="10">
        <f t="shared" si="13"/>
        <v>0</v>
      </c>
      <c r="P82" s="10">
        <f t="shared" si="9"/>
        <v>0</v>
      </c>
    </row>
    <row r="83" spans="1:16" x14ac:dyDescent="0.2">
      <c r="A83" s="24">
        <f t="shared" si="10"/>
        <v>134.13397058823529</v>
      </c>
      <c r="B83" s="24">
        <f t="shared" si="11"/>
        <v>54.994931372549019</v>
      </c>
      <c r="C83" s="15"/>
      <c r="D83" s="29">
        <v>678</v>
      </c>
      <c r="E83" s="30" t="s">
        <v>73</v>
      </c>
      <c r="F83" s="13">
        <v>102000</v>
      </c>
      <c r="G83" s="13">
        <v>13681665</v>
      </c>
      <c r="H83" s="13">
        <v>5609483</v>
      </c>
      <c r="J83" s="10">
        <f t="shared" si="12"/>
        <v>102000</v>
      </c>
      <c r="K83" s="10">
        <f t="shared" si="7"/>
        <v>13681665</v>
      </c>
      <c r="L83" s="10">
        <f t="shared" si="8"/>
        <v>5609483</v>
      </c>
      <c r="N83" s="10">
        <f>SUMIFS([1]GD.List!$L$3:$L$1937,[1]GD.List!$C$3:$C$1937,E83,[1]GD.List!$H$3:$H$1937,$D$5)</f>
        <v>0</v>
      </c>
      <c r="O83" s="10">
        <f t="shared" si="13"/>
        <v>0</v>
      </c>
      <c r="P83" s="10">
        <f t="shared" si="9"/>
        <v>0</v>
      </c>
    </row>
    <row r="84" spans="1:16" x14ac:dyDescent="0.2">
      <c r="A84" s="24">
        <f t="shared" si="10"/>
        <v>607.79999999999995</v>
      </c>
      <c r="B84" s="24">
        <f t="shared" si="11"/>
        <v>279.59166666666664</v>
      </c>
      <c r="C84" s="15"/>
      <c r="D84" s="29">
        <v>681</v>
      </c>
      <c r="E84" s="30" t="s">
        <v>76</v>
      </c>
      <c r="F84" s="13">
        <v>240</v>
      </c>
      <c r="G84" s="13">
        <v>145872</v>
      </c>
      <c r="H84" s="13">
        <v>67102</v>
      </c>
      <c r="J84" s="10">
        <f t="shared" si="12"/>
        <v>240</v>
      </c>
      <c r="K84" s="10">
        <f t="shared" si="7"/>
        <v>145872</v>
      </c>
      <c r="L84" s="10">
        <f t="shared" si="8"/>
        <v>67102</v>
      </c>
      <c r="N84" s="10">
        <f>SUMIFS([1]GD.List!$L$3:$L$1937,[1]GD.List!$C$3:$C$1937,E84,[1]GD.List!$H$3:$H$1937,$D$5)</f>
        <v>0</v>
      </c>
      <c r="O84" s="10">
        <f t="shared" si="13"/>
        <v>0</v>
      </c>
      <c r="P84" s="10">
        <f t="shared" si="9"/>
        <v>0</v>
      </c>
    </row>
    <row r="85" spans="1:16" x14ac:dyDescent="0.2">
      <c r="A85" s="24">
        <f t="shared" si="10"/>
        <v>671.02166666666665</v>
      </c>
      <c r="B85" s="24">
        <f t="shared" si="11"/>
        <v>308.67</v>
      </c>
      <c r="C85" s="15"/>
      <c r="D85" s="29">
        <v>682</v>
      </c>
      <c r="E85" s="30" t="s">
        <v>77</v>
      </c>
      <c r="F85" s="13">
        <v>1200</v>
      </c>
      <c r="G85" s="13">
        <v>805226</v>
      </c>
      <c r="H85" s="13">
        <v>370404</v>
      </c>
      <c r="J85" s="10">
        <f t="shared" si="12"/>
        <v>1200</v>
      </c>
      <c r="K85" s="10">
        <f t="shared" si="7"/>
        <v>805226</v>
      </c>
      <c r="L85" s="10">
        <f t="shared" si="8"/>
        <v>370404</v>
      </c>
      <c r="N85" s="10">
        <f>SUMIFS([1]GD.List!$L$3:$L$1937,[1]GD.List!$C$3:$C$1937,E85,[1]GD.List!$H$3:$H$1937,$D$5)</f>
        <v>0</v>
      </c>
      <c r="O85" s="10">
        <f t="shared" si="13"/>
        <v>0</v>
      </c>
      <c r="P85" s="10">
        <f t="shared" si="9"/>
        <v>0</v>
      </c>
    </row>
    <row r="86" spans="1:16" x14ac:dyDescent="0.2">
      <c r="A86" s="24">
        <f t="shared" si="10"/>
        <v>4588.3119999999999</v>
      </c>
      <c r="B86" s="24">
        <f t="shared" si="11"/>
        <v>1376.4939999999999</v>
      </c>
      <c r="C86" s="15"/>
      <c r="D86" s="29">
        <v>683</v>
      </c>
      <c r="E86" s="30" t="s">
        <v>78</v>
      </c>
      <c r="F86" s="13">
        <v>500</v>
      </c>
      <c r="G86" s="13">
        <v>2294156</v>
      </c>
      <c r="H86" s="13">
        <v>688247</v>
      </c>
      <c r="J86" s="10">
        <f t="shared" si="12"/>
        <v>500</v>
      </c>
      <c r="K86" s="10">
        <f t="shared" si="7"/>
        <v>2294156</v>
      </c>
      <c r="L86" s="10">
        <f t="shared" si="8"/>
        <v>688247</v>
      </c>
      <c r="N86" s="10">
        <f>SUMIFS([1]GD.List!$L$3:$L$1937,[1]GD.List!$C$3:$C$1937,E86,[1]GD.List!$H$3:$H$1937,$D$5)</f>
        <v>0</v>
      </c>
      <c r="O86" s="10">
        <f t="shared" si="13"/>
        <v>0</v>
      </c>
      <c r="P86" s="10">
        <f t="shared" si="9"/>
        <v>0</v>
      </c>
    </row>
    <row r="87" spans="1:16" x14ac:dyDescent="0.2">
      <c r="A87" s="24">
        <f t="shared" si="10"/>
        <v>7588.45</v>
      </c>
      <c r="B87" s="24">
        <f t="shared" si="11"/>
        <v>3794.2249999999999</v>
      </c>
      <c r="C87" s="15"/>
      <c r="D87" s="29">
        <v>686</v>
      </c>
      <c r="E87" s="30" t="s">
        <v>79</v>
      </c>
      <c r="F87" s="13">
        <v>200</v>
      </c>
      <c r="G87" s="13">
        <v>1517690</v>
      </c>
      <c r="H87" s="13">
        <v>758845</v>
      </c>
      <c r="J87" s="10">
        <f t="shared" si="12"/>
        <v>0</v>
      </c>
      <c r="K87" s="10">
        <f t="shared" si="7"/>
        <v>0</v>
      </c>
      <c r="L87" s="10">
        <f t="shared" si="8"/>
        <v>0</v>
      </c>
      <c r="N87" s="10">
        <f>SUMIFS([1]GD.List!$L$3:$L$1937,[1]GD.List!$C$3:$C$1937,E87,[1]GD.List!$H$3:$H$1937,$D$5)</f>
        <v>200</v>
      </c>
      <c r="O87" s="10">
        <f t="shared" si="13"/>
        <v>1517690</v>
      </c>
      <c r="P87" s="10">
        <f t="shared" si="9"/>
        <v>758845</v>
      </c>
    </row>
    <row r="88" spans="1:16" x14ac:dyDescent="0.2">
      <c r="A88" s="24">
        <f t="shared" si="10"/>
        <v>593.27483974358972</v>
      </c>
      <c r="B88" s="24">
        <f t="shared" si="11"/>
        <v>195.78071581196582</v>
      </c>
      <c r="C88" s="15"/>
      <c r="D88" s="29">
        <v>690</v>
      </c>
      <c r="E88" s="30" t="s">
        <v>80</v>
      </c>
      <c r="F88" s="13">
        <v>18720</v>
      </c>
      <c r="G88" s="13">
        <v>11106105</v>
      </c>
      <c r="H88" s="13">
        <v>3665015</v>
      </c>
      <c r="J88" s="10">
        <f t="shared" si="12"/>
        <v>18720</v>
      </c>
      <c r="K88" s="10">
        <f t="shared" si="7"/>
        <v>11106105</v>
      </c>
      <c r="L88" s="10">
        <f t="shared" si="8"/>
        <v>3665015</v>
      </c>
      <c r="N88" s="10">
        <f>SUMIFS([1]GD.List!$L$3:$L$1937,[1]GD.List!$C$3:$C$1937,E88,[1]GD.List!$H$3:$H$1937,$D$5)</f>
        <v>0</v>
      </c>
      <c r="O88" s="10">
        <f t="shared" si="13"/>
        <v>0</v>
      </c>
      <c r="P88" s="10">
        <f t="shared" si="9"/>
        <v>0</v>
      </c>
    </row>
    <row r="89" spans="1:16" x14ac:dyDescent="0.2">
      <c r="A89" s="24">
        <f t="shared" si="10"/>
        <v>838.57616580310878</v>
      </c>
      <c r="B89" s="24">
        <f t="shared" si="11"/>
        <v>276.73015544041453</v>
      </c>
      <c r="C89" s="15"/>
      <c r="D89" s="29">
        <v>701</v>
      </c>
      <c r="E89" s="30" t="s">
        <v>83</v>
      </c>
      <c r="F89" s="13">
        <v>19300</v>
      </c>
      <c r="G89" s="13">
        <v>16184520</v>
      </c>
      <c r="H89" s="13">
        <v>5340892</v>
      </c>
      <c r="J89" s="10">
        <f t="shared" si="12"/>
        <v>0</v>
      </c>
      <c r="K89" s="10">
        <f t="shared" si="7"/>
        <v>0</v>
      </c>
      <c r="L89" s="10">
        <f t="shared" si="8"/>
        <v>0</v>
      </c>
      <c r="N89" s="10">
        <f>SUMIFS([1]GD.List!$L$3:$L$1937,[1]GD.List!$C$3:$C$1937,E89,[1]GD.List!$H$3:$H$1937,$D$5)</f>
        <v>19300</v>
      </c>
      <c r="O89" s="10">
        <f t="shared" si="13"/>
        <v>16184520</v>
      </c>
      <c r="P89" s="10">
        <f t="shared" si="9"/>
        <v>5340892</v>
      </c>
    </row>
    <row r="90" spans="1:16" x14ac:dyDescent="0.2">
      <c r="A90" s="24">
        <f t="shared" si="10"/>
        <v>379.18340909090909</v>
      </c>
      <c r="B90" s="24">
        <f t="shared" si="11"/>
        <v>174.42436363636364</v>
      </c>
      <c r="C90" s="15"/>
      <c r="D90" s="29">
        <v>702</v>
      </c>
      <c r="E90" s="30" t="s">
        <v>84</v>
      </c>
      <c r="F90" s="13">
        <v>22000</v>
      </c>
      <c r="G90" s="13">
        <v>8342035</v>
      </c>
      <c r="H90" s="13">
        <v>3837336</v>
      </c>
      <c r="J90" s="10">
        <f t="shared" si="12"/>
        <v>22000</v>
      </c>
      <c r="K90" s="10">
        <f t="shared" si="7"/>
        <v>8342035</v>
      </c>
      <c r="L90" s="10">
        <f t="shared" si="8"/>
        <v>3837336</v>
      </c>
      <c r="N90" s="10">
        <f>SUMIFS([1]GD.List!$L$3:$L$1937,[1]GD.List!$C$3:$C$1937,E90,[1]GD.List!$H$3:$H$1937,$D$5)</f>
        <v>0</v>
      </c>
      <c r="O90" s="10">
        <f t="shared" si="13"/>
        <v>0</v>
      </c>
      <c r="P90" s="10">
        <f t="shared" si="9"/>
        <v>0</v>
      </c>
    </row>
    <row r="91" spans="1:16" x14ac:dyDescent="0.2">
      <c r="A91" s="24">
        <f t="shared" si="10"/>
        <v>379.18340909090909</v>
      </c>
      <c r="B91" s="24">
        <f t="shared" si="11"/>
        <v>174.42436363636364</v>
      </c>
      <c r="C91" s="15"/>
      <c r="D91" s="29">
        <v>703</v>
      </c>
      <c r="E91" s="30" t="s">
        <v>85</v>
      </c>
      <c r="F91" s="13">
        <v>22000</v>
      </c>
      <c r="G91" s="13">
        <v>8342035</v>
      </c>
      <c r="H91" s="13">
        <v>3837336</v>
      </c>
      <c r="J91" s="10">
        <f t="shared" si="12"/>
        <v>22000</v>
      </c>
      <c r="K91" s="10">
        <f t="shared" si="7"/>
        <v>8342035</v>
      </c>
      <c r="L91" s="10">
        <f t="shared" si="8"/>
        <v>3837336</v>
      </c>
      <c r="N91" s="10">
        <f>SUMIFS([1]GD.List!$L$3:$L$1937,[1]GD.List!$C$3:$C$1937,E91,[1]GD.List!$H$3:$H$1937,$D$5)</f>
        <v>0</v>
      </c>
      <c r="O91" s="10">
        <f t="shared" si="13"/>
        <v>0</v>
      </c>
      <c r="P91" s="10">
        <f t="shared" si="9"/>
        <v>0</v>
      </c>
    </row>
    <row r="92" spans="1:16" x14ac:dyDescent="0.2">
      <c r="A92" s="24">
        <f t="shared" si="10"/>
        <v>469.05219230769228</v>
      </c>
      <c r="B92" s="24">
        <f t="shared" si="11"/>
        <v>234.52607692307691</v>
      </c>
      <c r="C92" s="15"/>
      <c r="D92" s="29">
        <v>705</v>
      </c>
      <c r="E92" s="30" t="s">
        <v>86</v>
      </c>
      <c r="F92" s="13">
        <v>26000</v>
      </c>
      <c r="G92" s="13">
        <v>12195357</v>
      </c>
      <c r="H92" s="13">
        <v>6097678</v>
      </c>
      <c r="J92" s="10">
        <f t="shared" si="12"/>
        <v>26000</v>
      </c>
      <c r="K92" s="10">
        <f t="shared" si="7"/>
        <v>12195357</v>
      </c>
      <c r="L92" s="10">
        <f t="shared" si="8"/>
        <v>6097678</v>
      </c>
      <c r="N92" s="10">
        <f>SUMIFS([1]GD.List!$L$3:$L$1937,[1]GD.List!$C$3:$C$1937,E92,[1]GD.List!$H$3:$H$1937,$D$5)</f>
        <v>0</v>
      </c>
      <c r="O92" s="10">
        <f t="shared" si="13"/>
        <v>0</v>
      </c>
      <c r="P92" s="10">
        <f t="shared" si="9"/>
        <v>0</v>
      </c>
    </row>
    <row r="93" spans="1:16" x14ac:dyDescent="0.2">
      <c r="A93" s="24">
        <f t="shared" si="10"/>
        <v>749.4041666666667</v>
      </c>
      <c r="B93" s="24">
        <f t="shared" si="11"/>
        <v>344.72500000000002</v>
      </c>
      <c r="C93" s="15"/>
      <c r="D93" s="29">
        <v>708</v>
      </c>
      <c r="E93" s="30" t="s">
        <v>87</v>
      </c>
      <c r="F93" s="13">
        <v>240</v>
      </c>
      <c r="G93" s="13">
        <v>179857</v>
      </c>
      <c r="H93" s="13">
        <v>82734</v>
      </c>
      <c r="J93" s="10">
        <f t="shared" si="12"/>
        <v>240</v>
      </c>
      <c r="K93" s="10">
        <f t="shared" si="7"/>
        <v>179857</v>
      </c>
      <c r="L93" s="10">
        <f t="shared" si="8"/>
        <v>82734</v>
      </c>
      <c r="N93" s="10">
        <f>SUMIFS([1]GD.List!$L$3:$L$1937,[1]GD.List!$C$3:$C$1937,E93,[1]GD.List!$H$3:$H$1937,$D$5)</f>
        <v>0</v>
      </c>
      <c r="O93" s="10">
        <f t="shared" si="13"/>
        <v>0</v>
      </c>
      <c r="P93" s="10">
        <f t="shared" si="9"/>
        <v>0</v>
      </c>
    </row>
    <row r="94" spans="1:16" x14ac:dyDescent="0.2">
      <c r="A94" s="24">
        <f t="shared" si="10"/>
        <v>131.7408137254902</v>
      </c>
      <c r="B94" s="24">
        <f t="shared" si="11"/>
        <v>54.013735294117645</v>
      </c>
      <c r="C94" s="15"/>
      <c r="D94" s="29">
        <v>712</v>
      </c>
      <c r="E94" s="30" t="s">
        <v>89</v>
      </c>
      <c r="F94" s="13">
        <v>102000</v>
      </c>
      <c r="G94" s="13">
        <v>13437563</v>
      </c>
      <c r="H94" s="13">
        <v>5509401</v>
      </c>
      <c r="J94" s="10">
        <f t="shared" si="12"/>
        <v>102000</v>
      </c>
      <c r="K94" s="10">
        <f t="shared" si="7"/>
        <v>13437563</v>
      </c>
      <c r="L94" s="10">
        <f t="shared" si="8"/>
        <v>5509401</v>
      </c>
      <c r="N94" s="10">
        <f>SUMIFS([1]GD.List!$L$3:$L$1937,[1]GD.List!$C$3:$C$1937,E94,[1]GD.List!$H$3:$H$1937,$D$5)</f>
        <v>0</v>
      </c>
      <c r="O94" s="10">
        <f t="shared" si="13"/>
        <v>0</v>
      </c>
      <c r="P94" s="10">
        <f t="shared" si="9"/>
        <v>0</v>
      </c>
    </row>
    <row r="95" spans="1:16" x14ac:dyDescent="0.2">
      <c r="A95" s="24">
        <f t="shared" si="10"/>
        <v>378.03886363636366</v>
      </c>
      <c r="B95" s="24">
        <f t="shared" si="11"/>
        <v>173.89790909090908</v>
      </c>
      <c r="C95" s="15"/>
      <c r="D95" s="29">
        <v>715</v>
      </c>
      <c r="E95" s="30" t="s">
        <v>90</v>
      </c>
      <c r="F95" s="13">
        <v>22000</v>
      </c>
      <c r="G95" s="13">
        <v>8316855</v>
      </c>
      <c r="H95" s="13">
        <v>3825754</v>
      </c>
      <c r="J95" s="10">
        <f t="shared" si="12"/>
        <v>22000</v>
      </c>
      <c r="K95" s="10">
        <f t="shared" si="7"/>
        <v>8316855</v>
      </c>
      <c r="L95" s="10">
        <f t="shared" si="8"/>
        <v>3825754</v>
      </c>
      <c r="N95" s="10">
        <f>SUMIFS([1]GD.List!$L$3:$L$1937,[1]GD.List!$C$3:$C$1937,E95,[1]GD.List!$H$3:$H$1937,$D$5)</f>
        <v>0</v>
      </c>
      <c r="O95" s="10">
        <f t="shared" si="13"/>
        <v>0</v>
      </c>
      <c r="P95" s="10">
        <f t="shared" si="9"/>
        <v>0</v>
      </c>
    </row>
    <row r="96" spans="1:16" x14ac:dyDescent="0.2">
      <c r="A96" s="24">
        <f t="shared" si="10"/>
        <v>378.03886363636366</v>
      </c>
      <c r="B96" s="24">
        <f t="shared" si="11"/>
        <v>173.89790909090908</v>
      </c>
      <c r="C96" s="15"/>
      <c r="D96" s="29">
        <v>716</v>
      </c>
      <c r="E96" s="30" t="s">
        <v>91</v>
      </c>
      <c r="F96" s="13">
        <v>22000</v>
      </c>
      <c r="G96" s="13">
        <v>8316855</v>
      </c>
      <c r="H96" s="13">
        <v>3825754</v>
      </c>
      <c r="J96" s="10">
        <f t="shared" si="12"/>
        <v>22000</v>
      </c>
      <c r="K96" s="10">
        <f t="shared" si="7"/>
        <v>8316855</v>
      </c>
      <c r="L96" s="10">
        <f t="shared" si="8"/>
        <v>3825754</v>
      </c>
      <c r="N96" s="10">
        <f>SUMIFS([1]GD.List!$L$3:$L$1937,[1]GD.List!$C$3:$C$1937,E96,[1]GD.List!$H$3:$H$1937,$D$5)</f>
        <v>0</v>
      </c>
      <c r="O96" s="10">
        <f t="shared" si="13"/>
        <v>0</v>
      </c>
      <c r="P96" s="10">
        <f t="shared" si="9"/>
        <v>0</v>
      </c>
    </row>
    <row r="97" spans="1:16" x14ac:dyDescent="0.2">
      <c r="A97" s="24">
        <f t="shared" si="10"/>
        <v>671.94496093750001</v>
      </c>
      <c r="B97" s="24">
        <f t="shared" si="11"/>
        <v>201.58347656250001</v>
      </c>
      <c r="C97" s="15"/>
      <c r="D97" s="29">
        <v>718</v>
      </c>
      <c r="E97" s="30" t="s">
        <v>92</v>
      </c>
      <c r="F97" s="13">
        <v>25600</v>
      </c>
      <c r="G97" s="13">
        <v>17201791</v>
      </c>
      <c r="H97" s="13">
        <v>5160537</v>
      </c>
      <c r="J97" s="10">
        <f t="shared" si="12"/>
        <v>25600</v>
      </c>
      <c r="K97" s="10">
        <f t="shared" si="7"/>
        <v>17201791</v>
      </c>
      <c r="L97" s="10">
        <f t="shared" si="8"/>
        <v>5160537</v>
      </c>
      <c r="N97" s="10">
        <f>SUMIFS([1]GD.List!$L$3:$L$1937,[1]GD.List!$C$3:$C$1937,E97,[1]GD.List!$H$3:$H$1937,$D$5)</f>
        <v>0</v>
      </c>
      <c r="O97" s="10">
        <f t="shared" si="13"/>
        <v>0</v>
      </c>
      <c r="P97" s="10">
        <f t="shared" si="9"/>
        <v>0</v>
      </c>
    </row>
    <row r="98" spans="1:16" x14ac:dyDescent="0.2">
      <c r="A98" s="24">
        <f t="shared" si="10"/>
        <v>914.82572463768111</v>
      </c>
      <c r="B98" s="24">
        <f t="shared" si="11"/>
        <v>274.44746376811594</v>
      </c>
      <c r="C98" s="15"/>
      <c r="D98" s="29">
        <v>719</v>
      </c>
      <c r="E98" s="30" t="s">
        <v>93</v>
      </c>
      <c r="F98" s="13">
        <v>2760</v>
      </c>
      <c r="G98" s="13">
        <v>2524919</v>
      </c>
      <c r="H98" s="13">
        <v>757475</v>
      </c>
      <c r="J98" s="10">
        <f t="shared" si="12"/>
        <v>2760</v>
      </c>
      <c r="K98" s="10">
        <f t="shared" si="7"/>
        <v>2524919</v>
      </c>
      <c r="L98" s="10">
        <f t="shared" si="8"/>
        <v>757475</v>
      </c>
      <c r="N98" s="10">
        <f>SUMIFS([1]GD.List!$L$3:$L$1937,[1]GD.List!$C$3:$C$1937,E98,[1]GD.List!$H$3:$H$1937,$D$5)</f>
        <v>0</v>
      </c>
      <c r="O98" s="10">
        <f t="shared" si="13"/>
        <v>0</v>
      </c>
      <c r="P98" s="10">
        <f t="shared" si="9"/>
        <v>0</v>
      </c>
    </row>
    <row r="99" spans="1:16" x14ac:dyDescent="0.2">
      <c r="A99" s="24">
        <f t="shared" si="10"/>
        <v>657.67273768613973</v>
      </c>
      <c r="B99" s="24">
        <f t="shared" si="11"/>
        <v>275.03161512027492</v>
      </c>
      <c r="C99" s="15"/>
      <c r="D99" s="29">
        <v>720</v>
      </c>
      <c r="E99" s="30" t="s">
        <v>94</v>
      </c>
      <c r="F99" s="13">
        <v>17460</v>
      </c>
      <c r="G99" s="13">
        <v>11482966</v>
      </c>
      <c r="H99" s="13">
        <v>4802052</v>
      </c>
      <c r="J99" s="10">
        <f t="shared" si="12"/>
        <v>17460</v>
      </c>
      <c r="K99" s="10">
        <f t="shared" si="7"/>
        <v>11482966</v>
      </c>
      <c r="L99" s="10">
        <f t="shared" si="8"/>
        <v>4802052</v>
      </c>
      <c r="N99" s="10">
        <f>SUMIFS([1]GD.List!$L$3:$L$1937,[1]GD.List!$C$3:$C$1937,E99,[1]GD.List!$H$3:$H$1937,$D$5)</f>
        <v>0</v>
      </c>
      <c r="O99" s="10">
        <f t="shared" si="13"/>
        <v>0</v>
      </c>
      <c r="P99" s="10">
        <f t="shared" si="9"/>
        <v>0</v>
      </c>
    </row>
    <row r="100" spans="1:16" x14ac:dyDescent="0.2">
      <c r="A100" s="24">
        <f t="shared" si="10"/>
        <v>653.22513966480449</v>
      </c>
      <c r="B100" s="24">
        <f t="shared" si="11"/>
        <v>273.66173184357541</v>
      </c>
      <c r="C100" s="15"/>
      <c r="D100" s="29">
        <v>723</v>
      </c>
      <c r="E100" s="30" t="s">
        <v>95</v>
      </c>
      <c r="F100" s="13">
        <v>17900</v>
      </c>
      <c r="G100" s="13">
        <v>11692730</v>
      </c>
      <c r="H100" s="13">
        <v>4898545</v>
      </c>
      <c r="J100" s="10">
        <f t="shared" si="12"/>
        <v>17900</v>
      </c>
      <c r="K100" s="10">
        <f t="shared" si="7"/>
        <v>11692730</v>
      </c>
      <c r="L100" s="10">
        <f t="shared" si="8"/>
        <v>4898545</v>
      </c>
      <c r="N100" s="10">
        <f>SUMIFS([1]GD.List!$L$3:$L$1937,[1]GD.List!$C$3:$C$1937,E100,[1]GD.List!$H$3:$H$1937,$D$5)</f>
        <v>0</v>
      </c>
      <c r="O100" s="10">
        <f t="shared" si="13"/>
        <v>0</v>
      </c>
      <c r="P100" s="10">
        <f t="shared" si="9"/>
        <v>0</v>
      </c>
    </row>
    <row r="101" spans="1:16" x14ac:dyDescent="0.2">
      <c r="A101" s="24">
        <f t="shared" si="10"/>
        <v>465.35226923076925</v>
      </c>
      <c r="B101" s="24">
        <f t="shared" si="11"/>
        <v>232.67615384615385</v>
      </c>
      <c r="C101" s="15"/>
      <c r="D101" s="29">
        <v>734</v>
      </c>
      <c r="E101" s="30" t="s">
        <v>97</v>
      </c>
      <c r="F101" s="13">
        <v>26000</v>
      </c>
      <c r="G101" s="13">
        <v>12099159</v>
      </c>
      <c r="H101" s="13">
        <v>6049580</v>
      </c>
      <c r="J101" s="10">
        <f t="shared" si="12"/>
        <v>26000</v>
      </c>
      <c r="K101" s="10">
        <f t="shared" si="7"/>
        <v>12099159</v>
      </c>
      <c r="L101" s="10">
        <f t="shared" si="8"/>
        <v>6049580</v>
      </c>
      <c r="N101" s="10">
        <f>SUMIFS([1]GD.List!$L$3:$L$1937,[1]GD.List!$C$3:$C$1937,E101,[1]GD.List!$H$3:$H$1937,$D$5)</f>
        <v>0</v>
      </c>
      <c r="O101" s="10">
        <f t="shared" si="13"/>
        <v>0</v>
      </c>
      <c r="P101" s="10">
        <f t="shared" si="9"/>
        <v>0</v>
      </c>
    </row>
    <row r="102" spans="1:16" x14ac:dyDescent="0.2">
      <c r="A102" s="24">
        <f t="shared" si="10"/>
        <v>713.55995238095238</v>
      </c>
      <c r="B102" s="24">
        <f t="shared" si="11"/>
        <v>292.55957142857142</v>
      </c>
      <c r="C102" s="15"/>
      <c r="D102" s="29">
        <v>742</v>
      </c>
      <c r="E102" s="30" t="s">
        <v>101</v>
      </c>
      <c r="F102" s="13">
        <v>21000</v>
      </c>
      <c r="G102" s="13">
        <v>14984759</v>
      </c>
      <c r="H102" s="13">
        <v>6143751</v>
      </c>
      <c r="J102" s="10">
        <f t="shared" si="12"/>
        <v>20996.32</v>
      </c>
      <c r="K102" s="10">
        <f t="shared" si="7"/>
        <v>14982133</v>
      </c>
      <c r="L102" s="10">
        <f t="shared" si="8"/>
        <v>6142674</v>
      </c>
      <c r="N102" s="10">
        <f>SUMIFS([1]GD.List!$L$3:$L$1937,[1]GD.List!$C$3:$C$1937,E102,[1]GD.List!$H$3:$H$1937,$D$5)</f>
        <v>3.68</v>
      </c>
      <c r="O102" s="10">
        <f t="shared" si="13"/>
        <v>2626</v>
      </c>
      <c r="P102" s="10">
        <f t="shared" si="9"/>
        <v>1077</v>
      </c>
    </row>
    <row r="103" spans="1:16" x14ac:dyDescent="0.2">
      <c r="A103" s="24">
        <f t="shared" si="10"/>
        <v>131.24810784313726</v>
      </c>
      <c r="B103" s="24">
        <f t="shared" si="11"/>
        <v>53.811725490196082</v>
      </c>
      <c r="C103" s="15"/>
      <c r="D103" s="29">
        <v>743</v>
      </c>
      <c r="E103" s="30" t="s">
        <v>102</v>
      </c>
      <c r="F103" s="13">
        <v>102000</v>
      </c>
      <c r="G103" s="13">
        <v>13387307</v>
      </c>
      <c r="H103" s="13">
        <v>5488796</v>
      </c>
      <c r="J103" s="10">
        <f t="shared" si="12"/>
        <v>102000</v>
      </c>
      <c r="K103" s="10">
        <f t="shared" si="7"/>
        <v>13387307</v>
      </c>
      <c r="L103" s="10">
        <f t="shared" si="8"/>
        <v>5488796</v>
      </c>
      <c r="N103" s="10">
        <f>SUMIFS([1]GD.List!$L$3:$L$1937,[1]GD.List!$C$3:$C$1937,E103,[1]GD.List!$H$3:$H$1937,$D$5)</f>
        <v>0</v>
      </c>
      <c r="O103" s="10">
        <f t="shared" si="13"/>
        <v>0</v>
      </c>
      <c r="P103" s="10">
        <f t="shared" si="9"/>
        <v>0</v>
      </c>
    </row>
    <row r="104" spans="1:16" x14ac:dyDescent="0.2">
      <c r="A104" s="24">
        <f t="shared" si="10"/>
        <v>564.53354700854698</v>
      </c>
      <c r="B104" s="24">
        <f t="shared" si="11"/>
        <v>186.29604700854702</v>
      </c>
      <c r="C104" s="15"/>
      <c r="D104" s="29">
        <v>750</v>
      </c>
      <c r="E104" s="30" t="s">
        <v>105</v>
      </c>
      <c r="F104" s="13">
        <v>18720</v>
      </c>
      <c r="G104" s="13">
        <v>10568068</v>
      </c>
      <c r="H104" s="13">
        <v>3487462</v>
      </c>
      <c r="J104" s="10">
        <f t="shared" si="12"/>
        <v>18638.919999999998</v>
      </c>
      <c r="K104" s="10">
        <f t="shared" si="7"/>
        <v>10522296</v>
      </c>
      <c r="L104" s="10">
        <f t="shared" si="8"/>
        <v>3472357</v>
      </c>
      <c r="N104" s="10">
        <f>SUMIFS([1]GD.List!$L$3:$L$1937,[1]GD.List!$C$3:$C$1937,E104,[1]GD.List!$H$3:$H$1937,$D$5)</f>
        <v>81.080000000000013</v>
      </c>
      <c r="O104" s="10">
        <f t="shared" si="13"/>
        <v>45772</v>
      </c>
      <c r="P104" s="10">
        <f t="shared" si="9"/>
        <v>15105</v>
      </c>
    </row>
    <row r="105" spans="1:16" x14ac:dyDescent="0.2">
      <c r="A105" s="24">
        <f t="shared" si="10"/>
        <v>465.71031249999999</v>
      </c>
      <c r="B105" s="24">
        <f t="shared" si="11"/>
        <v>232.8551875</v>
      </c>
      <c r="C105" s="15"/>
      <c r="D105" s="29">
        <v>757</v>
      </c>
      <c r="E105" s="30" t="s">
        <v>108</v>
      </c>
      <c r="F105" s="13">
        <v>16000</v>
      </c>
      <c r="G105" s="13">
        <v>7451365</v>
      </c>
      <c r="H105" s="13">
        <v>3725683</v>
      </c>
      <c r="J105" s="10">
        <f t="shared" si="12"/>
        <v>15883.17</v>
      </c>
      <c r="K105" s="10">
        <f t="shared" si="7"/>
        <v>7396956</v>
      </c>
      <c r="L105" s="10">
        <f t="shared" si="8"/>
        <v>3698479</v>
      </c>
      <c r="N105" s="10">
        <f>SUMIFS([1]GD.List!$L$3:$L$1937,[1]GD.List!$C$3:$C$1937,E105,[1]GD.List!$H$3:$H$1937,$D$5)</f>
        <v>116.82999999999916</v>
      </c>
      <c r="O105" s="10">
        <f t="shared" si="13"/>
        <v>54409</v>
      </c>
      <c r="P105" s="10">
        <f t="shared" si="9"/>
        <v>27204</v>
      </c>
    </row>
    <row r="106" spans="1:16" x14ac:dyDescent="0.2">
      <c r="A106" s="24">
        <f t="shared" si="10"/>
        <v>662.53824541284405</v>
      </c>
      <c r="B106" s="24">
        <f t="shared" si="11"/>
        <v>277.34145642201833</v>
      </c>
      <c r="C106" s="15"/>
      <c r="D106" s="29">
        <v>762</v>
      </c>
      <c r="E106" s="30" t="s">
        <v>110</v>
      </c>
      <c r="F106" s="13">
        <v>17440</v>
      </c>
      <c r="G106" s="13">
        <v>11554667</v>
      </c>
      <c r="H106" s="13">
        <v>4836835</v>
      </c>
      <c r="J106" s="10">
        <f t="shared" si="12"/>
        <v>17440</v>
      </c>
      <c r="K106" s="10">
        <f t="shared" si="7"/>
        <v>11554667</v>
      </c>
      <c r="L106" s="10">
        <f t="shared" si="8"/>
        <v>4836835</v>
      </c>
      <c r="N106" s="10">
        <f>SUMIFS([1]GD.List!$L$3:$L$1937,[1]GD.List!$C$3:$C$1937,E106,[1]GD.List!$H$3:$H$1937,$D$5)</f>
        <v>0</v>
      </c>
      <c r="O106" s="10">
        <f t="shared" si="13"/>
        <v>0</v>
      </c>
      <c r="P106" s="10">
        <f t="shared" si="9"/>
        <v>0</v>
      </c>
    </row>
    <row r="107" spans="1:16" x14ac:dyDescent="0.2">
      <c r="A107" s="24">
        <f t="shared" si="10"/>
        <v>465.06814814814817</v>
      </c>
      <c r="B107" s="24">
        <f t="shared" si="11"/>
        <v>213.9312962962963</v>
      </c>
      <c r="C107" s="15"/>
      <c r="D107" s="29">
        <v>764</v>
      </c>
      <c r="E107" s="30" t="s">
        <v>111</v>
      </c>
      <c r="F107" s="13">
        <v>5400</v>
      </c>
      <c r="G107" s="13">
        <v>2511368</v>
      </c>
      <c r="H107" s="13">
        <v>1155229</v>
      </c>
      <c r="J107" s="10">
        <f t="shared" si="12"/>
        <v>5400</v>
      </c>
      <c r="K107" s="10">
        <f t="shared" si="7"/>
        <v>2511368</v>
      </c>
      <c r="L107" s="10">
        <f t="shared" si="8"/>
        <v>1155229</v>
      </c>
      <c r="N107" s="10">
        <f>SUMIFS([1]GD.List!$L$3:$L$1937,[1]GD.List!$C$3:$C$1937,E107,[1]GD.List!$H$3:$H$1937,$D$5)</f>
        <v>0</v>
      </c>
      <c r="O107" s="10">
        <f t="shared" si="13"/>
        <v>0</v>
      </c>
      <c r="P107" s="10">
        <f t="shared" si="9"/>
        <v>0</v>
      </c>
    </row>
    <row r="108" spans="1:16" x14ac:dyDescent="0.2">
      <c r="A108" s="24">
        <f t="shared" si="10"/>
        <v>562.71570512820517</v>
      </c>
      <c r="B108" s="24">
        <f t="shared" si="11"/>
        <v>185.69620726495725</v>
      </c>
      <c r="C108" s="15"/>
      <c r="D108" s="29">
        <v>779</v>
      </c>
      <c r="E108" s="30" t="s">
        <v>115</v>
      </c>
      <c r="F108" s="13">
        <v>18720</v>
      </c>
      <c r="G108" s="13">
        <v>10534038</v>
      </c>
      <c r="H108" s="13">
        <v>3476233</v>
      </c>
      <c r="J108" s="10">
        <f t="shared" si="12"/>
        <v>0</v>
      </c>
      <c r="K108" s="10">
        <f t="shared" si="7"/>
        <v>0</v>
      </c>
      <c r="L108" s="10">
        <f t="shared" si="8"/>
        <v>0</v>
      </c>
      <c r="N108" s="10">
        <f>SUMIFS([1]GD.List!$L$3:$L$1937,[1]GD.List!$C$3:$C$1937,E108,[1]GD.List!$H$3:$H$1937,$D$5)</f>
        <v>18720</v>
      </c>
      <c r="O108" s="10">
        <f t="shared" si="13"/>
        <v>10534038</v>
      </c>
      <c r="P108" s="10">
        <f t="shared" si="9"/>
        <v>3476233</v>
      </c>
    </row>
    <row r="109" spans="1:16" x14ac:dyDescent="0.2">
      <c r="A109" s="24">
        <f t="shared" si="10"/>
        <v>865.87616666666668</v>
      </c>
      <c r="B109" s="24">
        <f t="shared" si="11"/>
        <v>259.76288888888888</v>
      </c>
      <c r="C109" s="15"/>
      <c r="D109" s="29">
        <v>792</v>
      </c>
      <c r="E109" s="30" t="s">
        <v>119</v>
      </c>
      <c r="F109" s="13">
        <v>18000</v>
      </c>
      <c r="G109" s="13">
        <v>15585771</v>
      </c>
      <c r="H109" s="13">
        <v>4675732</v>
      </c>
      <c r="J109" s="10">
        <f t="shared" si="12"/>
        <v>17998.87</v>
      </c>
      <c r="K109" s="10">
        <f t="shared" si="7"/>
        <v>15584793</v>
      </c>
      <c r="L109" s="10">
        <f t="shared" si="8"/>
        <v>4675438</v>
      </c>
      <c r="N109" s="10">
        <f>SUMIFS([1]GD.List!$L$3:$L$1937,[1]GD.List!$C$3:$C$1937,E109,[1]GD.List!$H$3:$H$1937,$D$5)</f>
        <v>1.1300000000000026</v>
      </c>
      <c r="O109" s="10">
        <f t="shared" si="13"/>
        <v>978</v>
      </c>
      <c r="P109" s="10">
        <f t="shared" si="9"/>
        <v>294</v>
      </c>
    </row>
    <row r="110" spans="1:16" x14ac:dyDescent="0.2">
      <c r="A110" s="24">
        <f t="shared" si="10"/>
        <v>2097.0041666666666</v>
      </c>
      <c r="B110" s="24">
        <f t="shared" si="11"/>
        <v>629.1</v>
      </c>
      <c r="C110" s="15"/>
      <c r="D110" s="28">
        <v>794</v>
      </c>
      <c r="E110" s="30" t="s">
        <v>120</v>
      </c>
      <c r="F110" s="13">
        <v>480</v>
      </c>
      <c r="G110" s="13">
        <v>1006562</v>
      </c>
      <c r="H110" s="13">
        <v>301968</v>
      </c>
      <c r="J110" s="10">
        <f t="shared" si="12"/>
        <v>0</v>
      </c>
      <c r="K110" s="10">
        <f t="shared" si="7"/>
        <v>0</v>
      </c>
      <c r="L110" s="10">
        <f t="shared" si="8"/>
        <v>0</v>
      </c>
      <c r="N110" s="10">
        <f>SUMIFS([1]GD.List!$L$3:$L$1937,[1]GD.List!$C$3:$C$1937,E110,[1]GD.List!$H$3:$H$1937,$D$5)</f>
        <v>480</v>
      </c>
      <c r="O110" s="10">
        <f t="shared" si="13"/>
        <v>1006562</v>
      </c>
      <c r="P110" s="10">
        <f t="shared" si="9"/>
        <v>301968</v>
      </c>
    </row>
    <row r="111" spans="1:16" x14ac:dyDescent="0.2">
      <c r="A111" s="24">
        <f t="shared" si="10"/>
        <v>561.70582264957261</v>
      </c>
      <c r="B111" s="24">
        <f t="shared" si="11"/>
        <v>185.36292735042736</v>
      </c>
      <c r="C111" s="15"/>
      <c r="D111" s="29">
        <v>796</v>
      </c>
      <c r="E111" s="30" t="s">
        <v>122</v>
      </c>
      <c r="F111" s="13">
        <v>18720</v>
      </c>
      <c r="G111" s="13">
        <v>10515133</v>
      </c>
      <c r="H111" s="13">
        <v>3469994</v>
      </c>
      <c r="J111" s="10">
        <f t="shared" si="12"/>
        <v>0</v>
      </c>
      <c r="K111" s="10">
        <f t="shared" si="7"/>
        <v>0</v>
      </c>
      <c r="L111" s="10">
        <f t="shared" si="8"/>
        <v>0</v>
      </c>
      <c r="N111" s="10">
        <f>SUMIFS([1]GD.List!$L$3:$L$1937,[1]GD.List!$C$3:$C$1937,E111,[1]GD.List!$H$3:$H$1937,$D$5)</f>
        <v>18720</v>
      </c>
      <c r="O111" s="10">
        <f t="shared" si="13"/>
        <v>10515133</v>
      </c>
      <c r="P111" s="10">
        <f t="shared" si="9"/>
        <v>3469994</v>
      </c>
    </row>
    <row r="112" spans="1:16" x14ac:dyDescent="0.2">
      <c r="A112" s="24">
        <f t="shared" si="10"/>
        <v>170.70351890756302</v>
      </c>
      <c r="B112" s="24">
        <f t="shared" si="11"/>
        <v>78.523581932773112</v>
      </c>
      <c r="C112" s="15"/>
      <c r="D112" s="68" t="s">
        <v>438</v>
      </c>
      <c r="E112" s="5" t="s">
        <v>445</v>
      </c>
      <c r="F112" s="13">
        <v>19040</v>
      </c>
      <c r="G112" s="13">
        <v>3250195</v>
      </c>
      <c r="H112" s="13">
        <v>1495089</v>
      </c>
      <c r="J112" s="10">
        <f t="shared" si="12"/>
        <v>19040</v>
      </c>
      <c r="K112" s="10">
        <f t="shared" si="7"/>
        <v>3250195</v>
      </c>
      <c r="L112" s="10">
        <f t="shared" si="8"/>
        <v>1495089</v>
      </c>
      <c r="N112" s="10">
        <f>SUMIFS([1]GD.List!$L$3:$L$1937,[1]GD.List!$C$3:$C$1937,E112,[1]GD.List!$H$3:$H$1937,$D$5)</f>
        <v>0</v>
      </c>
      <c r="O112" s="10">
        <f t="shared" si="13"/>
        <v>0</v>
      </c>
      <c r="P112" s="10">
        <f t="shared" si="9"/>
        <v>0</v>
      </c>
    </row>
    <row r="113" spans="1:16" x14ac:dyDescent="0.2">
      <c r="A113" s="24">
        <f t="shared" si="10"/>
        <v>951.32267904509285</v>
      </c>
      <c r="B113" s="24">
        <f t="shared" si="11"/>
        <v>437.60835543766581</v>
      </c>
      <c r="C113" s="15"/>
      <c r="D113" s="68"/>
      <c r="E113" s="5" t="s">
        <v>446</v>
      </c>
      <c r="F113" s="13">
        <v>15080</v>
      </c>
      <c r="G113" s="13">
        <v>14345946</v>
      </c>
      <c r="H113" s="13">
        <v>6599134</v>
      </c>
      <c r="J113" s="10">
        <f t="shared" si="12"/>
        <v>0</v>
      </c>
      <c r="K113" s="10">
        <f t="shared" si="7"/>
        <v>0</v>
      </c>
      <c r="L113" s="10">
        <f t="shared" si="8"/>
        <v>0</v>
      </c>
      <c r="N113" s="10">
        <f>SUMIFS([1]GD.List!$L$3:$L$1937,[1]GD.List!$C$3:$C$1937,E113,[1]GD.List!$H$3:$H$1937,$D$5)</f>
        <v>15080</v>
      </c>
      <c r="O113" s="10">
        <f t="shared" si="13"/>
        <v>14345946</v>
      </c>
      <c r="P113" s="10">
        <f t="shared" si="9"/>
        <v>6599134</v>
      </c>
    </row>
    <row r="114" spans="1:16" x14ac:dyDescent="0.2">
      <c r="A114" s="24">
        <f t="shared" si="10"/>
        <v>170.45871848739495</v>
      </c>
      <c r="B114" s="24">
        <f t="shared" si="11"/>
        <v>78.410976890756302</v>
      </c>
      <c r="C114" s="15"/>
      <c r="D114" s="68"/>
      <c r="E114" s="5" t="s">
        <v>447</v>
      </c>
      <c r="F114" s="13">
        <v>19040</v>
      </c>
      <c r="G114" s="13">
        <v>3245534</v>
      </c>
      <c r="H114" s="13">
        <v>1492945</v>
      </c>
      <c r="J114" s="10">
        <f t="shared" si="12"/>
        <v>19040</v>
      </c>
      <c r="K114" s="10">
        <f t="shared" si="7"/>
        <v>3245534</v>
      </c>
      <c r="L114" s="10">
        <f t="shared" si="8"/>
        <v>1492945</v>
      </c>
      <c r="N114" s="10">
        <f>SUMIFS([1]GD.List!$L$3:$L$1937,[1]GD.List!$C$3:$C$1937,E114,[1]GD.List!$H$3:$H$1937,$D$5)</f>
        <v>0</v>
      </c>
      <c r="O114" s="10">
        <f t="shared" si="13"/>
        <v>0</v>
      </c>
      <c r="P114" s="10">
        <f t="shared" si="9"/>
        <v>0</v>
      </c>
    </row>
    <row r="115" spans="1:16" x14ac:dyDescent="0.2">
      <c r="A115" s="24">
        <f t="shared" si="10"/>
        <v>551.61858333333328</v>
      </c>
      <c r="B115" s="24">
        <f t="shared" si="11"/>
        <v>253.74458333333334</v>
      </c>
      <c r="C115" s="15"/>
      <c r="D115" s="68"/>
      <c r="E115" s="5" t="s">
        <v>448</v>
      </c>
      <c r="F115" s="13">
        <v>24000</v>
      </c>
      <c r="G115" s="13">
        <v>13238846</v>
      </c>
      <c r="H115" s="13">
        <v>6089870</v>
      </c>
      <c r="J115" s="10">
        <f t="shared" si="12"/>
        <v>0</v>
      </c>
      <c r="K115" s="10">
        <f t="shared" si="7"/>
        <v>0</v>
      </c>
      <c r="L115" s="10">
        <f t="shared" si="8"/>
        <v>0</v>
      </c>
      <c r="N115" s="10">
        <f>SUMIFS([1]GD.List!$L$3:$L$1937,[1]GD.List!$C$3:$C$1937,E115,[1]GD.List!$H$3:$H$1937,$D$5)</f>
        <v>24000</v>
      </c>
      <c r="O115" s="10">
        <f t="shared" si="13"/>
        <v>13238846</v>
      </c>
      <c r="P115" s="10">
        <f t="shared" si="9"/>
        <v>6089870</v>
      </c>
    </row>
    <row r="116" spans="1:16" x14ac:dyDescent="0.2">
      <c r="A116" s="24">
        <f t="shared" si="10"/>
        <v>130.77886029411764</v>
      </c>
      <c r="B116" s="24">
        <f t="shared" si="11"/>
        <v>53.619332107843135</v>
      </c>
      <c r="C116" s="15"/>
      <c r="D116" s="68"/>
      <c r="E116" s="5" t="s">
        <v>449</v>
      </c>
      <c r="F116" s="13">
        <v>163200</v>
      </c>
      <c r="G116" s="13">
        <v>21343110</v>
      </c>
      <c r="H116" s="13">
        <v>8750675</v>
      </c>
      <c r="J116" s="10">
        <f t="shared" si="12"/>
        <v>0</v>
      </c>
      <c r="K116" s="10">
        <f t="shared" si="7"/>
        <v>0</v>
      </c>
      <c r="L116" s="10">
        <f t="shared" si="8"/>
        <v>0</v>
      </c>
      <c r="N116" s="10">
        <f>SUMIFS([1]GD.List!$L$3:$L$1937,[1]GD.List!$C$3:$C$1937,E116,[1]GD.List!$H$3:$H$1937,$D$5)</f>
        <v>163200</v>
      </c>
      <c r="O116" s="10">
        <f t="shared" si="13"/>
        <v>21343110</v>
      </c>
      <c r="P116" s="10">
        <f t="shared" si="9"/>
        <v>8750675</v>
      </c>
    </row>
    <row r="117" spans="1:16" x14ac:dyDescent="0.2">
      <c r="A117" s="24">
        <f t="shared" si="10"/>
        <v>170.33629201680671</v>
      </c>
      <c r="B117" s="24">
        <f t="shared" si="11"/>
        <v>78.354674369747897</v>
      </c>
      <c r="C117" s="15"/>
      <c r="D117" s="68">
        <v>803</v>
      </c>
      <c r="E117" s="5" t="s">
        <v>391</v>
      </c>
      <c r="F117" s="13">
        <v>19040</v>
      </c>
      <c r="G117" s="13">
        <v>3243203</v>
      </c>
      <c r="H117" s="13">
        <v>1491873</v>
      </c>
      <c r="J117" s="10">
        <f t="shared" si="12"/>
        <v>19040</v>
      </c>
      <c r="K117" s="10">
        <f t="shared" si="7"/>
        <v>3243203</v>
      </c>
      <c r="L117" s="10">
        <f t="shared" si="8"/>
        <v>1491873</v>
      </c>
      <c r="N117" s="10">
        <f>SUMIFS([1]GD.List!$L$3:$L$1937,[1]GD.List!$C$3:$C$1937,E117,[1]GD.List!$H$3:$H$1937,$D$5)</f>
        <v>0</v>
      </c>
      <c r="O117" s="10">
        <f t="shared" si="13"/>
        <v>0</v>
      </c>
      <c r="P117" s="10">
        <f t="shared" si="9"/>
        <v>0</v>
      </c>
    </row>
    <row r="118" spans="1:16" x14ac:dyDescent="0.2">
      <c r="A118" s="24">
        <f t="shared" si="10"/>
        <v>893.96775793650795</v>
      </c>
      <c r="B118" s="24">
        <f t="shared" si="11"/>
        <v>268.19027777777779</v>
      </c>
      <c r="C118" s="15"/>
      <c r="D118" s="68">
        <v>805</v>
      </c>
      <c r="E118" s="5" t="s">
        <v>392</v>
      </c>
      <c r="F118" s="13">
        <v>10080</v>
      </c>
      <c r="G118" s="13">
        <v>9011195</v>
      </c>
      <c r="H118" s="13">
        <v>2703358</v>
      </c>
      <c r="J118" s="10">
        <f t="shared" si="12"/>
        <v>0</v>
      </c>
      <c r="K118" s="10">
        <f t="shared" si="7"/>
        <v>0</v>
      </c>
      <c r="L118" s="10">
        <f t="shared" si="8"/>
        <v>0</v>
      </c>
      <c r="N118" s="10">
        <f>SUMIFS([1]GD.List!$L$3:$L$1937,[1]GD.List!$C$3:$C$1937,E118,[1]GD.List!$H$3:$H$1937,$D$5)</f>
        <v>10080</v>
      </c>
      <c r="O118" s="10">
        <f t="shared" si="13"/>
        <v>9011195</v>
      </c>
      <c r="P118" s="10">
        <f t="shared" si="9"/>
        <v>2703358</v>
      </c>
    </row>
    <row r="119" spans="1:16" x14ac:dyDescent="0.2">
      <c r="A119" s="24">
        <f t="shared" si="10"/>
        <v>876.69125896934111</v>
      </c>
      <c r="B119" s="24">
        <f t="shared" si="11"/>
        <v>403.27801696020873</v>
      </c>
      <c r="C119" s="15"/>
      <c r="D119" s="68">
        <v>806</v>
      </c>
      <c r="E119" s="5" t="s">
        <v>393</v>
      </c>
      <c r="F119" s="13">
        <v>15330</v>
      </c>
      <c r="G119" s="13">
        <v>13439677</v>
      </c>
      <c r="H119" s="13">
        <v>6182252</v>
      </c>
      <c r="J119" s="10">
        <f t="shared" si="12"/>
        <v>14954.71</v>
      </c>
      <c r="K119" s="10">
        <f t="shared" si="7"/>
        <v>13110664</v>
      </c>
      <c r="L119" s="10">
        <f t="shared" si="8"/>
        <v>6030906</v>
      </c>
      <c r="N119" s="10">
        <f>SUMIFS([1]GD.List!$L$3:$L$1937,[1]GD.List!$C$3:$C$1937,E119,[1]GD.List!$H$3:$H$1937,$D$5)</f>
        <v>375.29</v>
      </c>
      <c r="O119" s="10">
        <f t="shared" si="13"/>
        <v>329013</v>
      </c>
      <c r="P119" s="10">
        <f t="shared" si="9"/>
        <v>151346</v>
      </c>
    </row>
    <row r="120" spans="1:16" x14ac:dyDescent="0.2">
      <c r="A120" s="24">
        <f t="shared" si="10"/>
        <v>130.68501225490195</v>
      </c>
      <c r="B120" s="24">
        <f t="shared" si="11"/>
        <v>53.580857843137252</v>
      </c>
      <c r="C120" s="15"/>
      <c r="D120" s="68">
        <v>807</v>
      </c>
      <c r="E120" s="5" t="s">
        <v>450</v>
      </c>
      <c r="F120" s="13">
        <v>81600</v>
      </c>
      <c r="G120" s="13">
        <v>10663897</v>
      </c>
      <c r="H120" s="13">
        <v>4372198</v>
      </c>
      <c r="J120" s="10">
        <f t="shared" si="12"/>
        <v>81600</v>
      </c>
      <c r="K120" s="10">
        <f t="shared" si="7"/>
        <v>10663897</v>
      </c>
      <c r="L120" s="10">
        <f t="shared" si="8"/>
        <v>4372198</v>
      </c>
      <c r="N120" s="10">
        <f>SUMIFS([1]GD.List!$L$3:$L$1937,[1]GD.List!$C$3:$C$1937,E120,[1]GD.List!$H$3:$H$1937,$D$5)</f>
        <v>0</v>
      </c>
      <c r="O120" s="10">
        <f t="shared" si="13"/>
        <v>0</v>
      </c>
      <c r="P120" s="10">
        <f t="shared" si="9"/>
        <v>0</v>
      </c>
    </row>
    <row r="121" spans="1:16" x14ac:dyDescent="0.2">
      <c r="A121" s="24">
        <f t="shared" si="10"/>
        <v>554.18976470588234</v>
      </c>
      <c r="B121" s="24">
        <f t="shared" si="11"/>
        <v>254.92729411764705</v>
      </c>
      <c r="C121" s="15"/>
      <c r="D121" s="68">
        <v>814</v>
      </c>
      <c r="E121" s="5" t="s">
        <v>451</v>
      </c>
      <c r="F121" s="13">
        <v>8500</v>
      </c>
      <c r="G121" s="13">
        <v>4710613</v>
      </c>
      <c r="H121" s="13">
        <v>2166882</v>
      </c>
      <c r="J121" s="10">
        <f t="shared" si="12"/>
        <v>0</v>
      </c>
      <c r="K121" s="10">
        <f t="shared" si="7"/>
        <v>0</v>
      </c>
      <c r="L121" s="10">
        <f t="shared" si="8"/>
        <v>0</v>
      </c>
      <c r="N121" s="10">
        <f>SUMIFS([1]GD.List!$L$3:$L$1937,[1]GD.List!$C$3:$C$1937,E121,[1]GD.List!$H$3:$H$1937,$D$5)</f>
        <v>8500</v>
      </c>
      <c r="O121" s="10">
        <f t="shared" si="13"/>
        <v>4710613</v>
      </c>
      <c r="P121" s="10">
        <f t="shared" si="9"/>
        <v>2166882</v>
      </c>
    </row>
    <row r="122" spans="1:16" x14ac:dyDescent="0.2">
      <c r="A122" s="24">
        <f t="shared" si="10"/>
        <v>130.87270833333332</v>
      </c>
      <c r="B122" s="24">
        <f t="shared" si="11"/>
        <v>53.657806372549018</v>
      </c>
      <c r="C122" s="15"/>
      <c r="D122" s="68">
        <v>824</v>
      </c>
      <c r="E122" s="5" t="s">
        <v>452</v>
      </c>
      <c r="F122" s="13">
        <v>81600</v>
      </c>
      <c r="G122" s="13">
        <v>10679213</v>
      </c>
      <c r="H122" s="13">
        <v>4378477</v>
      </c>
      <c r="J122" s="10">
        <f t="shared" si="12"/>
        <v>13972.889999999985</v>
      </c>
      <c r="K122" s="10">
        <f t="shared" si="7"/>
        <v>1828670</v>
      </c>
      <c r="L122" s="10">
        <f t="shared" si="8"/>
        <v>749755</v>
      </c>
      <c r="N122" s="10">
        <f>SUMIFS([1]GD.List!$L$3:$L$1937,[1]GD.List!$C$3:$C$1937,E122,[1]GD.List!$H$3:$H$1937,$D$5)</f>
        <v>67627.110000000015</v>
      </c>
      <c r="O122" s="10">
        <f t="shared" si="13"/>
        <v>8850543</v>
      </c>
      <c r="P122" s="10">
        <f t="shared" si="9"/>
        <v>3628722</v>
      </c>
    </row>
    <row r="123" spans="1:16" x14ac:dyDescent="0.2">
      <c r="A123" s="24">
        <f t="shared" si="10"/>
        <v>170.61171218487394</v>
      </c>
      <c r="B123" s="24">
        <f t="shared" si="11"/>
        <v>78.481407563025215</v>
      </c>
      <c r="C123" s="15"/>
      <c r="D123" s="68">
        <v>828</v>
      </c>
      <c r="E123" s="5" t="s">
        <v>453</v>
      </c>
      <c r="F123" s="13">
        <v>19040</v>
      </c>
      <c r="G123" s="13">
        <v>3248447</v>
      </c>
      <c r="H123" s="13">
        <v>1494286</v>
      </c>
      <c r="J123" s="10">
        <f t="shared" si="12"/>
        <v>19040</v>
      </c>
      <c r="K123" s="10">
        <f t="shared" si="7"/>
        <v>3248447</v>
      </c>
      <c r="L123" s="10">
        <f t="shared" si="8"/>
        <v>1494286</v>
      </c>
      <c r="N123" s="10">
        <f>SUMIFS([1]GD.List!$L$3:$L$1937,[1]GD.List!$C$3:$C$1937,E123,[1]GD.List!$H$3:$H$1937,$D$5)</f>
        <v>0</v>
      </c>
      <c r="O123" s="10">
        <f t="shared" si="13"/>
        <v>0</v>
      </c>
      <c r="P123" s="10">
        <f t="shared" si="9"/>
        <v>0</v>
      </c>
    </row>
    <row r="124" spans="1:16" x14ac:dyDescent="0.2">
      <c r="A124" s="24">
        <f t="shared" si="10"/>
        <v>814.00642487046628</v>
      </c>
      <c r="B124" s="24">
        <f t="shared" si="11"/>
        <v>268.62212435233158</v>
      </c>
      <c r="C124" s="15"/>
      <c r="D124" s="68">
        <v>829</v>
      </c>
      <c r="E124" s="5" t="s">
        <v>454</v>
      </c>
      <c r="F124" s="13">
        <v>19300</v>
      </c>
      <c r="G124" s="13">
        <v>15710324</v>
      </c>
      <c r="H124" s="13">
        <v>5184407</v>
      </c>
      <c r="J124" s="10">
        <f t="shared" si="12"/>
        <v>0</v>
      </c>
      <c r="K124" s="10">
        <f t="shared" si="7"/>
        <v>0</v>
      </c>
      <c r="L124" s="10">
        <f t="shared" si="8"/>
        <v>0</v>
      </c>
      <c r="N124" s="10">
        <f>SUMIFS([1]GD.List!$L$3:$L$1937,[1]GD.List!$C$3:$C$1937,E124,[1]GD.List!$H$3:$H$1937,$D$5)</f>
        <v>19300</v>
      </c>
      <c r="O124" s="10">
        <f t="shared" si="13"/>
        <v>15710324</v>
      </c>
      <c r="P124" s="10">
        <f t="shared" si="9"/>
        <v>5184407</v>
      </c>
    </row>
    <row r="125" spans="1:16" x14ac:dyDescent="0.2">
      <c r="A125" s="24">
        <f t="shared" si="10"/>
        <v>554.58757575757579</v>
      </c>
      <c r="B125" s="24">
        <f t="shared" si="11"/>
        <v>255.11024242424241</v>
      </c>
      <c r="C125" s="15"/>
      <c r="D125" s="68">
        <v>830</v>
      </c>
      <c r="E125" s="5" t="s">
        <v>455</v>
      </c>
      <c r="F125" s="13">
        <v>16500</v>
      </c>
      <c r="G125" s="13">
        <v>9150695</v>
      </c>
      <c r="H125" s="13">
        <v>4209319</v>
      </c>
      <c r="J125" s="10">
        <f t="shared" si="12"/>
        <v>0</v>
      </c>
      <c r="K125" s="10">
        <f t="shared" si="7"/>
        <v>0</v>
      </c>
      <c r="L125" s="10">
        <f t="shared" si="8"/>
        <v>0</v>
      </c>
      <c r="N125" s="10">
        <f>SUMIFS([1]GD.List!$L$3:$L$1937,[1]GD.List!$C$3:$C$1937,E125,[1]GD.List!$H$3:$H$1937,$D$5)</f>
        <v>16500</v>
      </c>
      <c r="O125" s="10">
        <f t="shared" si="13"/>
        <v>9150695</v>
      </c>
      <c r="P125" s="10">
        <f t="shared" si="9"/>
        <v>4209319</v>
      </c>
    </row>
    <row r="126" spans="1:16" x14ac:dyDescent="0.2">
      <c r="A126" s="24">
        <f t="shared" si="10"/>
        <v>668.34910156249998</v>
      </c>
      <c r="B126" s="24">
        <f t="shared" si="11"/>
        <v>200.5047265625</v>
      </c>
      <c r="C126" s="15"/>
      <c r="D126" s="68">
        <v>832</v>
      </c>
      <c r="E126" s="5" t="s">
        <v>456</v>
      </c>
      <c r="F126" s="13">
        <v>25600</v>
      </c>
      <c r="G126" s="13">
        <v>17109737</v>
      </c>
      <c r="H126" s="13">
        <v>5132921</v>
      </c>
      <c r="J126" s="10">
        <f t="shared" si="12"/>
        <v>0</v>
      </c>
      <c r="K126" s="10">
        <f t="shared" si="7"/>
        <v>0</v>
      </c>
      <c r="L126" s="10">
        <f t="shared" si="8"/>
        <v>0</v>
      </c>
      <c r="N126" s="10">
        <f>SUMIFS([1]GD.List!$L$3:$L$1937,[1]GD.List!$C$3:$C$1937,E126,[1]GD.List!$H$3:$H$1937,$D$5)</f>
        <v>25600</v>
      </c>
      <c r="O126" s="10">
        <f t="shared" si="13"/>
        <v>17109737</v>
      </c>
      <c r="P126" s="10">
        <f t="shared" si="9"/>
        <v>5132921</v>
      </c>
    </row>
    <row r="127" spans="1:16" x14ac:dyDescent="0.2">
      <c r="A127" s="24">
        <f t="shared" si="10"/>
        <v>507.72192660550456</v>
      </c>
      <c r="B127" s="24">
        <f t="shared" si="11"/>
        <v>233.55211009174312</v>
      </c>
      <c r="C127" s="15"/>
      <c r="D127" s="68">
        <v>833</v>
      </c>
      <c r="E127" s="5" t="s">
        <v>457</v>
      </c>
      <c r="F127" s="13">
        <v>21800</v>
      </c>
      <c r="G127" s="13">
        <v>11068338</v>
      </c>
      <c r="H127" s="13">
        <v>5091436</v>
      </c>
      <c r="J127" s="10">
        <f t="shared" si="12"/>
        <v>0</v>
      </c>
      <c r="K127" s="10">
        <f t="shared" si="7"/>
        <v>0</v>
      </c>
      <c r="L127" s="10">
        <f t="shared" si="8"/>
        <v>0</v>
      </c>
      <c r="N127" s="10">
        <f>SUMIFS([1]GD.List!$L$3:$L$1937,[1]GD.List!$C$3:$C$1937,E127,[1]GD.List!$H$3:$H$1937,$D$5)</f>
        <v>21800</v>
      </c>
      <c r="O127" s="10">
        <f t="shared" si="13"/>
        <v>11068338</v>
      </c>
      <c r="P127" s="10">
        <f t="shared" si="9"/>
        <v>5091436</v>
      </c>
    </row>
    <row r="128" spans="1:16" x14ac:dyDescent="0.2">
      <c r="A128" s="24">
        <f t="shared" si="10"/>
        <v>33883.985714285714</v>
      </c>
      <c r="B128" s="24">
        <f t="shared" si="11"/>
        <v>15586.632857142857</v>
      </c>
      <c r="C128" s="15" t="s">
        <v>133</v>
      </c>
      <c r="D128" s="28">
        <v>575</v>
      </c>
      <c r="E128" s="30" t="s">
        <v>5</v>
      </c>
      <c r="F128" s="13">
        <v>700</v>
      </c>
      <c r="G128" s="13">
        <v>23718790</v>
      </c>
      <c r="H128" s="13">
        <v>10910643</v>
      </c>
      <c r="J128" s="10">
        <f t="shared" si="12"/>
        <v>700</v>
      </c>
      <c r="K128" s="10">
        <f t="shared" si="7"/>
        <v>23718790</v>
      </c>
      <c r="L128" s="10">
        <f t="shared" si="8"/>
        <v>10910643</v>
      </c>
      <c r="N128" s="10">
        <f>SUMIFS([1]GD.List!$L$3:$L$1937,[1]GD.List!$C$3:$C$1937,E128,[1]GD.List!$H$3:$H$1937,$D$5)</f>
        <v>0</v>
      </c>
      <c r="O128" s="10">
        <f t="shared" si="13"/>
        <v>0</v>
      </c>
      <c r="P128" s="10">
        <f t="shared" si="9"/>
        <v>0</v>
      </c>
    </row>
    <row r="129" spans="1:16" x14ac:dyDescent="0.2">
      <c r="A129" s="24">
        <f t="shared" si="10"/>
        <v>2654.9025000000001</v>
      </c>
      <c r="B129" s="24">
        <f t="shared" si="11"/>
        <v>1121.1594444444445</v>
      </c>
      <c r="C129" s="15"/>
      <c r="D129" s="29">
        <v>587</v>
      </c>
      <c r="E129" s="30" t="s">
        <v>9</v>
      </c>
      <c r="F129" s="13">
        <v>3600</v>
      </c>
      <c r="G129" s="13">
        <v>9557649</v>
      </c>
      <c r="H129" s="13">
        <v>4036174</v>
      </c>
      <c r="J129" s="10">
        <f t="shared" si="12"/>
        <v>3600</v>
      </c>
      <c r="K129" s="10">
        <f t="shared" si="7"/>
        <v>9557649</v>
      </c>
      <c r="L129" s="10">
        <f t="shared" si="8"/>
        <v>4036174</v>
      </c>
      <c r="N129" s="10">
        <f>SUMIFS([1]GD.List!$L$3:$L$1937,[1]GD.List!$C$3:$C$1937,E129,[1]GD.List!$H$3:$H$1937,$D$5)</f>
        <v>0</v>
      </c>
      <c r="O129" s="10">
        <f t="shared" si="13"/>
        <v>0</v>
      </c>
      <c r="P129" s="10">
        <f t="shared" si="9"/>
        <v>0</v>
      </c>
    </row>
    <row r="130" spans="1:16" x14ac:dyDescent="0.2">
      <c r="A130" s="24">
        <f t="shared" si="10"/>
        <v>3275.86</v>
      </c>
      <c r="B130" s="24">
        <f t="shared" si="11"/>
        <v>1506.896</v>
      </c>
      <c r="C130" s="15"/>
      <c r="D130" s="29">
        <v>592</v>
      </c>
      <c r="E130" s="30" t="s">
        <v>13</v>
      </c>
      <c r="F130" s="13">
        <v>1000</v>
      </c>
      <c r="G130" s="13">
        <v>3275860</v>
      </c>
      <c r="H130" s="13">
        <v>1506896</v>
      </c>
      <c r="J130" s="10">
        <f t="shared" si="12"/>
        <v>1000</v>
      </c>
      <c r="K130" s="10">
        <f t="shared" si="7"/>
        <v>3275860</v>
      </c>
      <c r="L130" s="10">
        <f t="shared" si="8"/>
        <v>1506896</v>
      </c>
      <c r="N130" s="10">
        <f>SUMIFS([1]GD.List!$L$3:$L$1937,[1]GD.List!$C$3:$C$1937,E130,[1]GD.List!$H$3:$H$1937,$D$5)</f>
        <v>0</v>
      </c>
      <c r="O130" s="10">
        <f t="shared" si="13"/>
        <v>0</v>
      </c>
      <c r="P130" s="10">
        <f t="shared" si="9"/>
        <v>0</v>
      </c>
    </row>
    <row r="131" spans="1:16" x14ac:dyDescent="0.2">
      <c r="A131" s="24">
        <f t="shared" si="10"/>
        <v>8176.5460000000003</v>
      </c>
      <c r="B131" s="24">
        <f t="shared" si="11"/>
        <v>3352.384</v>
      </c>
      <c r="C131" s="15"/>
      <c r="D131" s="29">
        <v>593</v>
      </c>
      <c r="E131" s="30" t="s">
        <v>14</v>
      </c>
      <c r="F131" s="13">
        <v>500</v>
      </c>
      <c r="G131" s="13">
        <v>4088273</v>
      </c>
      <c r="H131" s="13">
        <v>1676192</v>
      </c>
      <c r="J131" s="10">
        <f t="shared" si="12"/>
        <v>500</v>
      </c>
      <c r="K131" s="10">
        <f t="shared" si="7"/>
        <v>4088273</v>
      </c>
      <c r="L131" s="10">
        <f t="shared" si="8"/>
        <v>1676192</v>
      </c>
      <c r="N131" s="10">
        <f>SUMIFS([1]GD.List!$L$3:$L$1937,[1]GD.List!$C$3:$C$1937,E131,[1]GD.List!$H$3:$H$1937,$D$5)</f>
        <v>0</v>
      </c>
      <c r="O131" s="10">
        <f t="shared" si="13"/>
        <v>0</v>
      </c>
      <c r="P131" s="10">
        <f t="shared" si="9"/>
        <v>0</v>
      </c>
    </row>
    <row r="132" spans="1:16" x14ac:dyDescent="0.2">
      <c r="A132" s="24">
        <f t="shared" si="10"/>
        <v>9227.3673728813555</v>
      </c>
      <c r="B132" s="24">
        <f t="shared" si="11"/>
        <v>4197.4370338983053</v>
      </c>
      <c r="C132" s="15"/>
      <c r="D132" s="29">
        <v>602</v>
      </c>
      <c r="E132" s="30" t="s">
        <v>20</v>
      </c>
      <c r="F132" s="13">
        <v>11800</v>
      </c>
      <c r="G132" s="13">
        <v>108882935</v>
      </c>
      <c r="H132" s="13">
        <v>49529757</v>
      </c>
      <c r="J132" s="10">
        <f t="shared" si="12"/>
        <v>11800</v>
      </c>
      <c r="K132" s="10">
        <f t="shared" si="7"/>
        <v>108882935</v>
      </c>
      <c r="L132" s="10">
        <f t="shared" si="8"/>
        <v>49529757</v>
      </c>
      <c r="N132" s="10">
        <f>SUMIFS([1]GD.List!$L$3:$L$1937,[1]GD.List!$C$3:$C$1937,E132,[1]GD.List!$H$3:$H$1937,$D$5)</f>
        <v>0</v>
      </c>
      <c r="O132" s="10">
        <f t="shared" si="13"/>
        <v>0</v>
      </c>
      <c r="P132" s="10">
        <f t="shared" si="9"/>
        <v>0</v>
      </c>
    </row>
    <row r="133" spans="1:16" x14ac:dyDescent="0.2">
      <c r="A133" s="24">
        <f t="shared" si="10"/>
        <v>13838.620208333334</v>
      </c>
      <c r="B133" s="24">
        <f t="shared" si="11"/>
        <v>6365.7652083333332</v>
      </c>
      <c r="C133" s="15"/>
      <c r="D133" s="29">
        <v>604</v>
      </c>
      <c r="E133" s="30" t="s">
        <v>21</v>
      </c>
      <c r="F133" s="13">
        <v>4800</v>
      </c>
      <c r="G133" s="13">
        <v>66425377</v>
      </c>
      <c r="H133" s="13">
        <v>30555673</v>
      </c>
      <c r="J133" s="10">
        <f t="shared" si="12"/>
        <v>4800</v>
      </c>
      <c r="K133" s="10">
        <f t="shared" si="7"/>
        <v>66425377</v>
      </c>
      <c r="L133" s="10">
        <f t="shared" si="8"/>
        <v>30555673</v>
      </c>
      <c r="N133" s="10">
        <f>SUMIFS([1]GD.List!$L$3:$L$1937,[1]GD.List!$C$3:$C$1937,E133,[1]GD.List!$H$3:$H$1937,$D$5)</f>
        <v>0</v>
      </c>
      <c r="O133" s="10">
        <f t="shared" si="13"/>
        <v>0</v>
      </c>
      <c r="P133" s="10">
        <f t="shared" si="9"/>
        <v>0</v>
      </c>
    </row>
    <row r="134" spans="1:16" x14ac:dyDescent="0.2">
      <c r="A134" s="24">
        <f t="shared" si="10"/>
        <v>9451.2291803278695</v>
      </c>
      <c r="B134" s="24">
        <f t="shared" si="11"/>
        <v>4347.5655737704919</v>
      </c>
      <c r="C134" s="15"/>
      <c r="D134" s="29">
        <v>605</v>
      </c>
      <c r="E134" s="30" t="s">
        <v>22</v>
      </c>
      <c r="F134" s="13">
        <v>3050</v>
      </c>
      <c r="G134" s="13">
        <v>28826249</v>
      </c>
      <c r="H134" s="13">
        <v>13260075</v>
      </c>
      <c r="J134" s="10">
        <f t="shared" si="12"/>
        <v>3050</v>
      </c>
      <c r="K134" s="10">
        <f t="shared" si="7"/>
        <v>28826249</v>
      </c>
      <c r="L134" s="10">
        <f t="shared" si="8"/>
        <v>13260075</v>
      </c>
      <c r="N134" s="10">
        <f>SUMIFS([1]GD.List!$L$3:$L$1937,[1]GD.List!$C$3:$C$1937,E134,[1]GD.List!$H$3:$H$1937,$D$5)</f>
        <v>0</v>
      </c>
      <c r="O134" s="10">
        <f t="shared" si="13"/>
        <v>0</v>
      </c>
      <c r="P134" s="10">
        <f t="shared" si="9"/>
        <v>0</v>
      </c>
    </row>
    <row r="135" spans="1:16" x14ac:dyDescent="0.2">
      <c r="A135" s="24">
        <f t="shared" si="10"/>
        <v>7253.6080000000002</v>
      </c>
      <c r="B135" s="24">
        <f t="shared" si="11"/>
        <v>3336.66</v>
      </c>
      <c r="C135" s="15"/>
      <c r="D135" s="29">
        <v>609</v>
      </c>
      <c r="E135" s="30" t="s">
        <v>25</v>
      </c>
      <c r="F135" s="13">
        <v>500</v>
      </c>
      <c r="G135" s="13">
        <v>3626804</v>
      </c>
      <c r="H135" s="13">
        <v>1668330</v>
      </c>
      <c r="J135" s="10">
        <f t="shared" si="12"/>
        <v>500</v>
      </c>
      <c r="K135" s="10">
        <f t="shared" si="7"/>
        <v>3626804</v>
      </c>
      <c r="L135" s="10">
        <f t="shared" si="8"/>
        <v>1668330</v>
      </c>
      <c r="N135" s="10">
        <f>SUMIFS([1]GD.List!$L$3:$L$1937,[1]GD.List!$C$3:$C$1937,E135,[1]GD.List!$H$3:$H$1937,$D$5)</f>
        <v>0</v>
      </c>
      <c r="O135" s="10">
        <f t="shared" si="13"/>
        <v>0</v>
      </c>
      <c r="P135" s="10">
        <f t="shared" si="9"/>
        <v>0</v>
      </c>
    </row>
    <row r="136" spans="1:16" x14ac:dyDescent="0.2">
      <c r="A136" s="24">
        <f t="shared" si="10"/>
        <v>13935.277528089888</v>
      </c>
      <c r="B136" s="24">
        <f t="shared" si="11"/>
        <v>6410.2276404494378</v>
      </c>
      <c r="C136" s="15"/>
      <c r="D136" s="29">
        <v>636</v>
      </c>
      <c r="E136" s="30" t="s">
        <v>45</v>
      </c>
      <c r="F136" s="13">
        <v>4450</v>
      </c>
      <c r="G136" s="13">
        <v>62011985</v>
      </c>
      <c r="H136" s="13">
        <v>28525513</v>
      </c>
      <c r="I136" s="4"/>
      <c r="J136" s="10">
        <f t="shared" ref="J136:J139" si="14">F136-N136</f>
        <v>4450</v>
      </c>
      <c r="K136" s="10">
        <f t="shared" ref="K136:K139" si="15">ROUND(J136*A136,0)</f>
        <v>62011985</v>
      </c>
      <c r="L136" s="10">
        <f t="shared" ref="L136:L139" si="16">ROUND(J136*B136,0)</f>
        <v>28525513</v>
      </c>
      <c r="N136" s="10">
        <f>SUMIFS([1]GD.List!$L$3:$L$1937,[1]GD.List!$C$3:$C$1937,E136,[1]GD.List!$H$3:$H$1937,$D$5)</f>
        <v>0</v>
      </c>
      <c r="O136" s="10">
        <f t="shared" ref="O136:O139" si="17">ROUND(N136*A136,0)</f>
        <v>0</v>
      </c>
      <c r="P136" s="10">
        <f t="shared" ref="P136:P139" si="18">ROUND(N136*B136,0)</f>
        <v>0</v>
      </c>
    </row>
    <row r="137" spans="1:16" x14ac:dyDescent="0.2">
      <c r="C137" s="15"/>
      <c r="D137" s="29">
        <v>637</v>
      </c>
      <c r="E137" s="30" t="s">
        <v>46</v>
      </c>
      <c r="F137" s="13">
        <v>1950</v>
      </c>
      <c r="G137" s="13">
        <v>24463120</v>
      </c>
      <c r="H137" s="13">
        <v>11253035</v>
      </c>
      <c r="J137" s="10">
        <f t="shared" si="14"/>
        <v>1950</v>
      </c>
      <c r="K137" s="10">
        <f t="shared" si="15"/>
        <v>0</v>
      </c>
      <c r="L137" s="10">
        <f t="shared" si="16"/>
        <v>0</v>
      </c>
      <c r="N137" s="10">
        <f>SUMIFS([1]GD.List!$L$3:$L$1937,[1]GD.List!$C$3:$C$1937,E137,[1]GD.List!$H$3:$H$1937,$D$5)</f>
        <v>0</v>
      </c>
      <c r="O137" s="10">
        <f t="shared" si="17"/>
        <v>0</v>
      </c>
      <c r="P137" s="10">
        <f t="shared" si="18"/>
        <v>0</v>
      </c>
    </row>
    <row r="138" spans="1:16" x14ac:dyDescent="0.2">
      <c r="C138" s="15"/>
      <c r="D138" s="29">
        <v>639</v>
      </c>
      <c r="E138" s="30" t="s">
        <v>47</v>
      </c>
      <c r="F138" s="13">
        <v>3500</v>
      </c>
      <c r="G138" s="13">
        <v>5829139</v>
      </c>
      <c r="H138" s="13">
        <v>1748742</v>
      </c>
      <c r="J138" s="10">
        <f t="shared" si="14"/>
        <v>3500</v>
      </c>
      <c r="K138" s="10">
        <f t="shared" si="15"/>
        <v>0</v>
      </c>
      <c r="L138" s="10">
        <f t="shared" si="16"/>
        <v>0</v>
      </c>
      <c r="N138" s="10">
        <f>SUMIFS([1]GD.List!$L$3:$L$1937,[1]GD.List!$C$3:$C$1937,E138,[1]GD.List!$H$3:$H$1937,$D$5)</f>
        <v>0</v>
      </c>
      <c r="O138" s="10">
        <f t="shared" si="17"/>
        <v>0</v>
      </c>
      <c r="P138" s="10">
        <f t="shared" si="18"/>
        <v>0</v>
      </c>
    </row>
    <row r="139" spans="1:16" x14ac:dyDescent="0.2">
      <c r="C139" s="15"/>
      <c r="D139" s="29">
        <v>640</v>
      </c>
      <c r="E139" s="30" t="s">
        <v>48</v>
      </c>
      <c r="F139" s="13">
        <v>6500</v>
      </c>
      <c r="G139" s="13">
        <v>21961036</v>
      </c>
      <c r="H139" s="13">
        <v>10102076</v>
      </c>
      <c r="J139" s="10">
        <f t="shared" si="14"/>
        <v>6500</v>
      </c>
      <c r="K139" s="10">
        <f t="shared" si="15"/>
        <v>0</v>
      </c>
      <c r="L139" s="10">
        <f t="shared" si="16"/>
        <v>0</v>
      </c>
      <c r="N139" s="10">
        <f>SUMIFS([1]GD.List!$L$3:$L$1937,[1]GD.List!$C$3:$C$1937,E139,[1]GD.List!$H$3:$H$1937,$D$5)</f>
        <v>0</v>
      </c>
      <c r="O139" s="10">
        <f t="shared" si="17"/>
        <v>0</v>
      </c>
      <c r="P139" s="10">
        <f t="shared" si="18"/>
        <v>0</v>
      </c>
    </row>
    <row r="140" spans="1:16" x14ac:dyDescent="0.2">
      <c r="C140" s="15"/>
      <c r="D140" s="29">
        <v>641</v>
      </c>
      <c r="E140" s="30" t="s">
        <v>49</v>
      </c>
      <c r="F140" s="13">
        <v>12000</v>
      </c>
      <c r="G140" s="13">
        <v>13903989</v>
      </c>
      <c r="H140" s="13">
        <v>6395834</v>
      </c>
      <c r="J140" s="11">
        <f t="shared" ref="J140" si="19">F140-N140</f>
        <v>-1477776.1300000001</v>
      </c>
      <c r="K140" s="11">
        <f>G140-O140</f>
        <v>-462259782</v>
      </c>
      <c r="L140" s="11">
        <f t="shared" ref="L140" si="20">H140-P140</f>
        <v>-179809812</v>
      </c>
      <c r="M140" s="4"/>
      <c r="N140" s="11">
        <f>SUM(N13:N139)</f>
        <v>1489776.1300000001</v>
      </c>
      <c r="O140" s="11">
        <f t="shared" ref="O140:P140" si="21">SUM(O13:O139)</f>
        <v>476163771</v>
      </c>
      <c r="P140" s="11">
        <f t="shared" si="21"/>
        <v>186205646</v>
      </c>
    </row>
    <row r="141" spans="1:16" x14ac:dyDescent="0.2">
      <c r="C141" s="15"/>
      <c r="D141" s="29">
        <v>644</v>
      </c>
      <c r="E141" s="30" t="s">
        <v>51</v>
      </c>
      <c r="F141" s="13">
        <v>6100</v>
      </c>
      <c r="G141" s="13">
        <v>49872874</v>
      </c>
      <c r="H141" s="13">
        <v>22057321</v>
      </c>
    </row>
    <row r="142" spans="1:16" x14ac:dyDescent="0.2">
      <c r="C142" s="15"/>
      <c r="D142" s="29">
        <v>650</v>
      </c>
      <c r="E142" s="30" t="s">
        <v>55</v>
      </c>
      <c r="F142" s="13">
        <v>1150</v>
      </c>
      <c r="G142" s="13">
        <v>4859652</v>
      </c>
      <c r="H142" s="13">
        <v>1992458</v>
      </c>
    </row>
    <row r="143" spans="1:16" x14ac:dyDescent="0.2">
      <c r="C143" s="15"/>
      <c r="D143" s="29">
        <v>653</v>
      </c>
      <c r="E143" s="30" t="s">
        <v>58</v>
      </c>
      <c r="F143" s="13">
        <v>500</v>
      </c>
      <c r="G143" s="13">
        <v>5233691</v>
      </c>
      <c r="H143" s="13">
        <v>2407498</v>
      </c>
    </row>
    <row r="144" spans="1:16" x14ac:dyDescent="0.2">
      <c r="C144" s="15"/>
      <c r="D144" s="29">
        <v>667</v>
      </c>
      <c r="E144" s="30" t="s">
        <v>64</v>
      </c>
      <c r="F144" s="13">
        <v>2000</v>
      </c>
      <c r="G144" s="13">
        <v>20268877</v>
      </c>
      <c r="H144" s="13">
        <v>9323683</v>
      </c>
    </row>
    <row r="145" spans="3:8" x14ac:dyDescent="0.2">
      <c r="C145" s="15"/>
      <c r="D145" s="29">
        <v>673</v>
      </c>
      <c r="E145" s="30" t="s">
        <v>69</v>
      </c>
      <c r="F145" s="13">
        <v>7200</v>
      </c>
      <c r="G145" s="13">
        <v>23645434</v>
      </c>
      <c r="H145" s="13">
        <v>10876899</v>
      </c>
    </row>
    <row r="146" spans="3:8" x14ac:dyDescent="0.2">
      <c r="C146" s="15"/>
      <c r="D146" s="29">
        <v>679</v>
      </c>
      <c r="E146" s="30" t="s">
        <v>74</v>
      </c>
      <c r="F146" s="13">
        <v>3050</v>
      </c>
      <c r="G146" s="13">
        <v>11680841</v>
      </c>
      <c r="H146" s="13">
        <v>5373187</v>
      </c>
    </row>
    <row r="147" spans="3:8" x14ac:dyDescent="0.2">
      <c r="C147" s="15"/>
      <c r="D147" s="29">
        <v>680</v>
      </c>
      <c r="E147" s="30" t="s">
        <v>75</v>
      </c>
      <c r="F147" s="13">
        <v>2000</v>
      </c>
      <c r="G147" s="13">
        <v>6685195</v>
      </c>
      <c r="H147" s="13">
        <v>3075189</v>
      </c>
    </row>
    <row r="148" spans="3:8" x14ac:dyDescent="0.2">
      <c r="C148" s="15"/>
      <c r="D148" s="29">
        <v>697</v>
      </c>
      <c r="E148" s="30" t="s">
        <v>81</v>
      </c>
      <c r="F148" s="13">
        <v>800</v>
      </c>
      <c r="G148" s="13">
        <v>6890784</v>
      </c>
      <c r="H148" s="13">
        <v>3169760</v>
      </c>
    </row>
    <row r="149" spans="3:8" x14ac:dyDescent="0.2">
      <c r="C149" s="15"/>
      <c r="D149" s="29">
        <v>699</v>
      </c>
      <c r="E149" s="30" t="s">
        <v>82</v>
      </c>
      <c r="F149" s="13">
        <v>5000</v>
      </c>
      <c r="G149" s="13">
        <v>9967438</v>
      </c>
      <c r="H149" s="13">
        <v>4983720</v>
      </c>
    </row>
    <row r="150" spans="3:8" x14ac:dyDescent="0.2">
      <c r="C150" s="15"/>
      <c r="D150" s="29">
        <v>729</v>
      </c>
      <c r="E150" s="30" t="s">
        <v>96</v>
      </c>
      <c r="F150" s="13">
        <v>7250</v>
      </c>
      <c r="G150" s="13">
        <v>158273311</v>
      </c>
      <c r="H150" s="13">
        <v>72805723</v>
      </c>
    </row>
    <row r="151" spans="3:8" x14ac:dyDescent="0.2">
      <c r="C151" s="15"/>
      <c r="D151" s="29">
        <v>737</v>
      </c>
      <c r="E151" s="30" t="s">
        <v>98</v>
      </c>
      <c r="F151" s="13">
        <v>4000</v>
      </c>
      <c r="G151" s="13">
        <v>18769481</v>
      </c>
      <c r="H151" s="13">
        <v>8633962</v>
      </c>
    </row>
    <row r="152" spans="3:8" x14ac:dyDescent="0.2">
      <c r="C152" s="15"/>
      <c r="D152" s="29">
        <v>749</v>
      </c>
      <c r="E152" s="30" t="s">
        <v>104</v>
      </c>
      <c r="F152" s="13">
        <v>700</v>
      </c>
      <c r="G152" s="13">
        <v>2928515</v>
      </c>
      <c r="H152" s="13">
        <v>1347117</v>
      </c>
    </row>
    <row r="153" spans="3:8" x14ac:dyDescent="0.2">
      <c r="C153" s="15"/>
      <c r="D153" s="29">
        <v>751</v>
      </c>
      <c r="E153" s="30" t="s">
        <v>106</v>
      </c>
      <c r="F153" s="13">
        <v>3500</v>
      </c>
      <c r="G153" s="13">
        <v>42967276</v>
      </c>
      <c r="H153" s="13">
        <v>19764945</v>
      </c>
    </row>
    <row r="154" spans="3:8" x14ac:dyDescent="0.2">
      <c r="C154" s="15"/>
      <c r="D154" s="29">
        <v>752</v>
      </c>
      <c r="E154" s="30" t="s">
        <v>107</v>
      </c>
      <c r="F154" s="13">
        <v>2520</v>
      </c>
      <c r="G154" s="13">
        <v>12573131</v>
      </c>
      <c r="H154" s="13">
        <v>5783641</v>
      </c>
    </row>
    <row r="155" spans="3:8" x14ac:dyDescent="0.2">
      <c r="C155" s="15"/>
      <c r="D155" s="29">
        <v>761</v>
      </c>
      <c r="E155" s="30" t="s">
        <v>109</v>
      </c>
      <c r="F155" s="13">
        <v>4100</v>
      </c>
      <c r="G155" s="13">
        <v>11993145</v>
      </c>
      <c r="H155" s="13">
        <v>5516847</v>
      </c>
    </row>
    <row r="156" spans="3:8" x14ac:dyDescent="0.2">
      <c r="C156" s="15"/>
      <c r="D156" s="29">
        <v>769</v>
      </c>
      <c r="E156" s="30" t="s">
        <v>113</v>
      </c>
      <c r="F156" s="13">
        <v>1150</v>
      </c>
      <c r="G156" s="13">
        <v>3416279</v>
      </c>
      <c r="H156" s="13">
        <v>1571488</v>
      </c>
    </row>
    <row r="157" spans="3:8" x14ac:dyDescent="0.2">
      <c r="C157" s="15"/>
      <c r="D157" s="29">
        <v>791</v>
      </c>
      <c r="E157" s="30" t="s">
        <v>118</v>
      </c>
      <c r="F157" s="13">
        <v>6000</v>
      </c>
      <c r="G157" s="13">
        <v>15027788</v>
      </c>
      <c r="H157" s="13">
        <v>6912785</v>
      </c>
    </row>
    <row r="158" spans="3:8" x14ac:dyDescent="0.2">
      <c r="C158" s="15"/>
      <c r="D158" s="29">
        <v>797</v>
      </c>
      <c r="E158" s="30" t="s">
        <v>123</v>
      </c>
      <c r="F158" s="13">
        <v>5100</v>
      </c>
      <c r="G158" s="13">
        <v>12759408</v>
      </c>
      <c r="H158" s="13">
        <v>5869326</v>
      </c>
    </row>
    <row r="159" spans="3:8" x14ac:dyDescent="0.2">
      <c r="C159" s="15"/>
      <c r="D159" s="68" t="s">
        <v>438</v>
      </c>
      <c r="E159" s="5" t="s">
        <v>458</v>
      </c>
      <c r="F159" s="13">
        <v>800</v>
      </c>
      <c r="G159" s="13">
        <v>7410523</v>
      </c>
      <c r="H159" s="13">
        <v>3408841</v>
      </c>
    </row>
    <row r="160" spans="3:8" x14ac:dyDescent="0.2">
      <c r="C160" s="15"/>
      <c r="D160" s="68"/>
      <c r="E160" s="5" t="s">
        <v>459</v>
      </c>
      <c r="F160" s="13">
        <v>540</v>
      </c>
      <c r="G160" s="13">
        <v>1042072</v>
      </c>
      <c r="H160" s="13">
        <v>479354</v>
      </c>
    </row>
    <row r="161" spans="3:8" x14ac:dyDescent="0.2">
      <c r="C161" s="15"/>
      <c r="D161" s="68"/>
      <c r="E161" s="5" t="s">
        <v>460</v>
      </c>
      <c r="F161" s="13">
        <v>1000</v>
      </c>
      <c r="G161" s="13">
        <v>5011196</v>
      </c>
      <c r="H161" s="13">
        <v>2305150</v>
      </c>
    </row>
    <row r="162" spans="3:8" x14ac:dyDescent="0.2">
      <c r="C162" s="15"/>
      <c r="D162" s="68"/>
      <c r="E162" s="5" t="s">
        <v>461</v>
      </c>
      <c r="F162" s="13">
        <v>500</v>
      </c>
      <c r="G162" s="13">
        <v>1066897</v>
      </c>
      <c r="H162" s="13">
        <v>490773</v>
      </c>
    </row>
    <row r="163" spans="3:8" x14ac:dyDescent="0.2">
      <c r="C163" s="15"/>
      <c r="D163" s="68">
        <v>815</v>
      </c>
      <c r="E163" s="5" t="s">
        <v>462</v>
      </c>
      <c r="F163" s="13">
        <v>500</v>
      </c>
      <c r="G163" s="13">
        <v>1548889</v>
      </c>
      <c r="H163" s="13">
        <v>712489</v>
      </c>
    </row>
    <row r="164" spans="3:8" x14ac:dyDescent="0.2">
      <c r="C164" s="15"/>
      <c r="D164" s="68">
        <v>820</v>
      </c>
      <c r="E164" s="5" t="s">
        <v>463</v>
      </c>
      <c r="F164" s="13">
        <v>4000</v>
      </c>
      <c r="G164" s="13">
        <v>13343327</v>
      </c>
      <c r="H164" s="13">
        <v>6137930</v>
      </c>
    </row>
    <row r="165" spans="3:8" x14ac:dyDescent="0.2">
      <c r="C165" s="15"/>
      <c r="D165" s="68">
        <v>822</v>
      </c>
      <c r="E165" s="5" t="s">
        <v>464</v>
      </c>
      <c r="F165" s="13">
        <v>300</v>
      </c>
      <c r="G165" s="13">
        <v>610484</v>
      </c>
      <c r="H165" s="13">
        <v>280822</v>
      </c>
    </row>
    <row r="166" spans="3:8" x14ac:dyDescent="0.2">
      <c r="C166" s="15" t="s">
        <v>136</v>
      </c>
      <c r="D166" s="15"/>
      <c r="E166" s="15"/>
      <c r="F166" s="14">
        <v>11894466.800000001</v>
      </c>
      <c r="G166" s="14">
        <v>6153775595</v>
      </c>
      <c r="H166" s="14">
        <v>2165024303</v>
      </c>
    </row>
    <row r="167" spans="3:8" ht="15" x14ac:dyDescent="0.25">
      <c r="C167"/>
      <c r="D167"/>
      <c r="E167"/>
      <c r="F167"/>
      <c r="G167"/>
      <c r="H167"/>
    </row>
    <row r="168" spans="3:8" ht="15" x14ac:dyDescent="0.25">
      <c r="C168"/>
      <c r="D168"/>
      <c r="E168"/>
      <c r="F168"/>
      <c r="G168"/>
      <c r="H168"/>
    </row>
    <row r="169" spans="3:8" ht="15" x14ac:dyDescent="0.25">
      <c r="C169"/>
      <c r="D169"/>
      <c r="E169"/>
      <c r="F169"/>
      <c r="G169"/>
      <c r="H169"/>
    </row>
    <row r="170" spans="3:8" ht="15" x14ac:dyDescent="0.25">
      <c r="C170"/>
      <c r="D170"/>
      <c r="E170"/>
      <c r="F170"/>
      <c r="G170"/>
      <c r="H170"/>
    </row>
    <row r="171" spans="3:8" ht="15" x14ac:dyDescent="0.25">
      <c r="C171"/>
      <c r="D171"/>
      <c r="E171"/>
      <c r="F171"/>
      <c r="G171"/>
      <c r="H171"/>
    </row>
    <row r="172" spans="3:8" ht="15" x14ac:dyDescent="0.25">
      <c r="C172"/>
      <c r="D172"/>
      <c r="E172"/>
      <c r="F172"/>
      <c r="G172"/>
      <c r="H172"/>
    </row>
    <row r="173" spans="3:8" ht="15" x14ac:dyDescent="0.25">
      <c r="C173"/>
      <c r="D173"/>
      <c r="E173"/>
      <c r="F173"/>
      <c r="G173"/>
      <c r="H173"/>
    </row>
    <row r="174" spans="3:8" ht="15" x14ac:dyDescent="0.25">
      <c r="C174"/>
      <c r="D174"/>
      <c r="E174"/>
      <c r="F174"/>
      <c r="G174"/>
      <c r="H174"/>
    </row>
    <row r="175" spans="3:8" ht="15" x14ac:dyDescent="0.25">
      <c r="C175"/>
      <c r="D175"/>
      <c r="E175"/>
      <c r="F175"/>
      <c r="G175"/>
      <c r="H175"/>
    </row>
    <row r="176" spans="3:8" ht="15" x14ac:dyDescent="0.25">
      <c r="C176"/>
      <c r="D176"/>
      <c r="E176"/>
      <c r="F176"/>
      <c r="G176"/>
      <c r="H176"/>
    </row>
    <row r="177" spans="3:8" ht="15" x14ac:dyDescent="0.25">
      <c r="C177"/>
      <c r="D177"/>
      <c r="E177"/>
      <c r="F177"/>
      <c r="G177"/>
      <c r="H177"/>
    </row>
    <row r="178" spans="3:8" ht="15" x14ac:dyDescent="0.25">
      <c r="C178"/>
      <c r="D178"/>
      <c r="E178"/>
      <c r="F178"/>
      <c r="G178"/>
      <c r="H178"/>
    </row>
    <row r="179" spans="3:8" ht="15" x14ac:dyDescent="0.25">
      <c r="C179"/>
      <c r="D179"/>
      <c r="E179"/>
      <c r="F179"/>
      <c r="G179"/>
      <c r="H179"/>
    </row>
    <row r="180" spans="3:8" ht="15" x14ac:dyDescent="0.25">
      <c r="C180"/>
      <c r="D180"/>
      <c r="E180"/>
      <c r="F180"/>
      <c r="G180"/>
      <c r="H180"/>
    </row>
    <row r="181" spans="3:8" ht="15" x14ac:dyDescent="0.25">
      <c r="C181"/>
      <c r="D181"/>
      <c r="E181"/>
      <c r="F181"/>
      <c r="G181"/>
      <c r="H181"/>
    </row>
    <row r="182" spans="3:8" ht="15" x14ac:dyDescent="0.25">
      <c r="C182"/>
      <c r="D182"/>
      <c r="E182"/>
      <c r="F182"/>
      <c r="G182"/>
      <c r="H182"/>
    </row>
    <row r="183" spans="3:8" ht="15" x14ac:dyDescent="0.25">
      <c r="C183"/>
      <c r="D183"/>
      <c r="E183"/>
      <c r="F183"/>
      <c r="G183"/>
      <c r="H183"/>
    </row>
    <row r="184" spans="3:8" ht="15" x14ac:dyDescent="0.25">
      <c r="C184"/>
      <c r="D184"/>
      <c r="E184"/>
      <c r="F184"/>
      <c r="G184"/>
      <c r="H184"/>
    </row>
    <row r="185" spans="3:8" ht="15" x14ac:dyDescent="0.25">
      <c r="C185"/>
      <c r="D185"/>
      <c r="E185"/>
      <c r="F185"/>
      <c r="G185"/>
      <c r="H185"/>
    </row>
    <row r="186" spans="3:8" ht="15" x14ac:dyDescent="0.25">
      <c r="C186"/>
      <c r="D186"/>
      <c r="E186"/>
      <c r="F186"/>
      <c r="G186"/>
      <c r="H186"/>
    </row>
    <row r="187" spans="3:8" ht="15" x14ac:dyDescent="0.25">
      <c r="C187"/>
      <c r="D187"/>
      <c r="E187"/>
      <c r="F187"/>
      <c r="G187"/>
      <c r="H187"/>
    </row>
    <row r="188" spans="3:8" ht="15" x14ac:dyDescent="0.25">
      <c r="C188"/>
      <c r="D188"/>
      <c r="E188"/>
      <c r="F188"/>
      <c r="G188"/>
      <c r="H188"/>
    </row>
    <row r="189" spans="3:8" ht="15" x14ac:dyDescent="0.25">
      <c r="C189"/>
      <c r="D189"/>
      <c r="E189"/>
      <c r="F189"/>
      <c r="G189"/>
      <c r="H189"/>
    </row>
    <row r="190" spans="3:8" ht="15" x14ac:dyDescent="0.25">
      <c r="C190"/>
      <c r="D190"/>
      <c r="E190"/>
      <c r="F190"/>
      <c r="G190"/>
      <c r="H190"/>
    </row>
    <row r="191" spans="3:8" ht="15" x14ac:dyDescent="0.25">
      <c r="C191"/>
      <c r="D191"/>
      <c r="E191"/>
      <c r="F191"/>
      <c r="G191"/>
      <c r="H191"/>
    </row>
    <row r="192" spans="3:8" ht="15" x14ac:dyDescent="0.25">
      <c r="C192"/>
      <c r="D192"/>
      <c r="E192"/>
      <c r="F192"/>
      <c r="G192"/>
      <c r="H192"/>
    </row>
    <row r="193" spans="3:8" ht="15" x14ac:dyDescent="0.25">
      <c r="C193"/>
      <c r="D193"/>
      <c r="E193"/>
      <c r="F193"/>
      <c r="G193"/>
      <c r="H193"/>
    </row>
    <row r="194" spans="3:8" ht="15" x14ac:dyDescent="0.25">
      <c r="C194"/>
      <c r="D194"/>
      <c r="E194"/>
      <c r="F194"/>
      <c r="G194"/>
      <c r="H194"/>
    </row>
    <row r="195" spans="3:8" ht="15" x14ac:dyDescent="0.25">
      <c r="C195"/>
      <c r="D195"/>
      <c r="E195"/>
      <c r="F195"/>
      <c r="G195"/>
      <c r="H195"/>
    </row>
    <row r="196" spans="3:8" ht="15" x14ac:dyDescent="0.25">
      <c r="C196"/>
      <c r="D196"/>
      <c r="E196"/>
      <c r="F196"/>
      <c r="G196"/>
      <c r="H196"/>
    </row>
    <row r="197" spans="3:8" ht="15" x14ac:dyDescent="0.25">
      <c r="C197"/>
      <c r="D197"/>
      <c r="E197"/>
      <c r="F197"/>
      <c r="G197"/>
      <c r="H197"/>
    </row>
    <row r="198" spans="3:8" ht="15" x14ac:dyDescent="0.25">
      <c r="C198"/>
      <c r="D198"/>
      <c r="E198"/>
      <c r="F198"/>
      <c r="G198"/>
      <c r="H198"/>
    </row>
    <row r="199" spans="3:8" ht="15" x14ac:dyDescent="0.25">
      <c r="C199"/>
      <c r="D199"/>
      <c r="E199"/>
      <c r="F199"/>
      <c r="G199"/>
      <c r="H199"/>
    </row>
    <row r="200" spans="3:8" ht="15" x14ac:dyDescent="0.25">
      <c r="C200"/>
      <c r="D200"/>
      <c r="E200"/>
      <c r="F200"/>
      <c r="G200"/>
      <c r="H200"/>
    </row>
    <row r="201" spans="3:8" ht="15" x14ac:dyDescent="0.25">
      <c r="C201"/>
      <c r="D201"/>
      <c r="E201"/>
      <c r="F201"/>
      <c r="G201"/>
      <c r="H201"/>
    </row>
    <row r="202" spans="3:8" ht="15" x14ac:dyDescent="0.25">
      <c r="C202"/>
      <c r="D202"/>
      <c r="E202"/>
      <c r="F202"/>
      <c r="G202"/>
      <c r="H202"/>
    </row>
    <row r="203" spans="3:8" ht="15" x14ac:dyDescent="0.25">
      <c r="C203"/>
      <c r="D203"/>
      <c r="E203"/>
      <c r="F203"/>
      <c r="G203"/>
      <c r="H203"/>
    </row>
    <row r="204" spans="3:8" ht="15" x14ac:dyDescent="0.25">
      <c r="C204"/>
      <c r="D204"/>
      <c r="E204"/>
      <c r="F204"/>
      <c r="G204"/>
      <c r="H204"/>
    </row>
    <row r="205" spans="3:8" ht="15" x14ac:dyDescent="0.25">
      <c r="C205"/>
      <c r="D205"/>
      <c r="E205"/>
      <c r="F205"/>
      <c r="G205"/>
      <c r="H205"/>
    </row>
    <row r="206" spans="3:8" ht="15" x14ac:dyDescent="0.25">
      <c r="C206"/>
      <c r="D206"/>
      <c r="E206"/>
      <c r="F206"/>
      <c r="G206"/>
      <c r="H206"/>
    </row>
    <row r="207" spans="3:8" ht="15" x14ac:dyDescent="0.25">
      <c r="C207"/>
      <c r="D207"/>
      <c r="E207"/>
      <c r="F207"/>
      <c r="G207"/>
      <c r="H207"/>
    </row>
    <row r="208" spans="3:8" ht="15" x14ac:dyDescent="0.25">
      <c r="C208"/>
      <c r="D208"/>
      <c r="E208"/>
      <c r="F208"/>
      <c r="G208"/>
      <c r="H208"/>
    </row>
    <row r="209" spans="3:8" ht="15" x14ac:dyDescent="0.25">
      <c r="C209"/>
      <c r="D209"/>
      <c r="E209"/>
      <c r="F209"/>
      <c r="G209"/>
      <c r="H209"/>
    </row>
    <row r="210" spans="3:8" ht="15" x14ac:dyDescent="0.25">
      <c r="C210"/>
      <c r="D210"/>
      <c r="E210"/>
      <c r="F210"/>
      <c r="G210"/>
      <c r="H210"/>
    </row>
    <row r="211" spans="3:8" ht="15" x14ac:dyDescent="0.25">
      <c r="C211"/>
      <c r="D211"/>
      <c r="E211"/>
      <c r="F211"/>
      <c r="G211"/>
      <c r="H211"/>
    </row>
    <row r="212" spans="3:8" ht="15" x14ac:dyDescent="0.25">
      <c r="C212"/>
      <c r="D212"/>
      <c r="E212"/>
      <c r="F212"/>
      <c r="G212"/>
      <c r="H212"/>
    </row>
    <row r="213" spans="3:8" ht="15" x14ac:dyDescent="0.25">
      <c r="C213"/>
      <c r="D213"/>
      <c r="E213"/>
      <c r="F213"/>
      <c r="G213"/>
      <c r="H213"/>
    </row>
    <row r="214" spans="3:8" ht="15" x14ac:dyDescent="0.25">
      <c r="C214"/>
      <c r="D214"/>
      <c r="E214"/>
      <c r="F214"/>
      <c r="G214"/>
      <c r="H214"/>
    </row>
    <row r="215" spans="3:8" ht="15" x14ac:dyDescent="0.25">
      <c r="C215"/>
      <c r="D215"/>
      <c r="E215"/>
      <c r="F215"/>
      <c r="G215"/>
      <c r="H215"/>
    </row>
    <row r="216" spans="3:8" ht="15" x14ac:dyDescent="0.25">
      <c r="C216"/>
      <c r="D216"/>
      <c r="E216"/>
      <c r="F216"/>
      <c r="G216"/>
      <c r="H216"/>
    </row>
    <row r="217" spans="3:8" ht="15" x14ac:dyDescent="0.25">
      <c r="C217"/>
      <c r="D217"/>
      <c r="E217"/>
      <c r="F217"/>
      <c r="G217"/>
      <c r="H217"/>
    </row>
    <row r="218" spans="3:8" ht="15" x14ac:dyDescent="0.25">
      <c r="C218"/>
      <c r="D218"/>
      <c r="E218"/>
      <c r="F218"/>
      <c r="G218"/>
      <c r="H218"/>
    </row>
    <row r="219" spans="3:8" ht="15" x14ac:dyDescent="0.25">
      <c r="C219"/>
      <c r="D219"/>
      <c r="E219"/>
      <c r="F219"/>
      <c r="G219"/>
      <c r="H219"/>
    </row>
    <row r="220" spans="3:8" ht="15" x14ac:dyDescent="0.25">
      <c r="C220"/>
      <c r="D220"/>
      <c r="E220"/>
      <c r="F220"/>
      <c r="G220"/>
      <c r="H220"/>
    </row>
    <row r="221" spans="3:8" ht="15" x14ac:dyDescent="0.25">
      <c r="C221"/>
      <c r="D221"/>
      <c r="E221"/>
      <c r="F221"/>
      <c r="G221"/>
      <c r="H221"/>
    </row>
    <row r="222" spans="3:8" ht="15" x14ac:dyDescent="0.25">
      <c r="C222"/>
      <c r="D222"/>
      <c r="E222"/>
      <c r="F222"/>
      <c r="G222"/>
      <c r="H222"/>
    </row>
    <row r="223" spans="3:8" ht="15" x14ac:dyDescent="0.25">
      <c r="C223"/>
      <c r="D223"/>
      <c r="E223"/>
      <c r="F223"/>
      <c r="G223"/>
      <c r="H223"/>
    </row>
    <row r="224" spans="3:8" ht="15" x14ac:dyDescent="0.25">
      <c r="C224"/>
      <c r="D224"/>
      <c r="E224"/>
      <c r="F224"/>
      <c r="G224"/>
      <c r="H224"/>
    </row>
    <row r="225" spans="3:8" ht="15" x14ac:dyDescent="0.25">
      <c r="C225"/>
      <c r="D225"/>
      <c r="E225"/>
      <c r="F225"/>
      <c r="G225"/>
      <c r="H225"/>
    </row>
    <row r="226" spans="3:8" ht="15" x14ac:dyDescent="0.25">
      <c r="C226"/>
      <c r="D226"/>
      <c r="E226"/>
      <c r="F226"/>
      <c r="G226"/>
      <c r="H226"/>
    </row>
    <row r="227" spans="3:8" ht="15" x14ac:dyDescent="0.25">
      <c r="C227"/>
      <c r="D227"/>
      <c r="E227"/>
      <c r="F227"/>
      <c r="G227"/>
      <c r="H227"/>
    </row>
    <row r="228" spans="3:8" ht="15" x14ac:dyDescent="0.25">
      <c r="C228"/>
      <c r="D228"/>
      <c r="E228"/>
      <c r="F228"/>
      <c r="G228"/>
      <c r="H228"/>
    </row>
    <row r="229" spans="3:8" ht="15" x14ac:dyDescent="0.25">
      <c r="C229"/>
      <c r="D229"/>
      <c r="E229"/>
      <c r="F229"/>
      <c r="G229"/>
      <c r="H229"/>
    </row>
    <row r="230" spans="3:8" ht="15" x14ac:dyDescent="0.25">
      <c r="C230"/>
      <c r="D230"/>
      <c r="E230"/>
      <c r="F230"/>
      <c r="G230"/>
      <c r="H230"/>
    </row>
    <row r="231" spans="3:8" ht="15" x14ac:dyDescent="0.25">
      <c r="C231"/>
      <c r="D231"/>
      <c r="E231"/>
      <c r="F231"/>
      <c r="G231"/>
      <c r="H231"/>
    </row>
    <row r="232" spans="3:8" ht="15" x14ac:dyDescent="0.25">
      <c r="C232"/>
      <c r="D232"/>
      <c r="E232"/>
      <c r="F232"/>
      <c r="G232"/>
      <c r="H232"/>
    </row>
    <row r="233" spans="3:8" ht="15" x14ac:dyDescent="0.25">
      <c r="C233"/>
      <c r="D233"/>
      <c r="E233"/>
      <c r="F233"/>
      <c r="G233"/>
      <c r="H233"/>
    </row>
    <row r="234" spans="3:8" ht="15" x14ac:dyDescent="0.25">
      <c r="C234"/>
      <c r="D234"/>
      <c r="E234"/>
      <c r="F234"/>
      <c r="G234"/>
      <c r="H234"/>
    </row>
    <row r="235" spans="3:8" ht="15" x14ac:dyDescent="0.25">
      <c r="C235"/>
      <c r="D235"/>
      <c r="E235"/>
      <c r="F235"/>
      <c r="G235"/>
      <c r="H235"/>
    </row>
    <row r="236" spans="3:8" ht="15" x14ac:dyDescent="0.25">
      <c r="C236"/>
      <c r="D236"/>
      <c r="E236"/>
      <c r="F236"/>
      <c r="G236"/>
      <c r="H236"/>
    </row>
    <row r="237" spans="3:8" ht="15" x14ac:dyDescent="0.25">
      <c r="C237"/>
      <c r="D237"/>
      <c r="E237"/>
      <c r="F237"/>
      <c r="G237"/>
      <c r="H237"/>
    </row>
    <row r="238" spans="3:8" ht="15" x14ac:dyDescent="0.25">
      <c r="C238"/>
      <c r="D238"/>
      <c r="E238"/>
      <c r="F238"/>
      <c r="G238"/>
      <c r="H238"/>
    </row>
    <row r="239" spans="3:8" ht="15" x14ac:dyDescent="0.25">
      <c r="C239"/>
      <c r="D239"/>
      <c r="E239"/>
      <c r="F239"/>
      <c r="G239"/>
      <c r="H239"/>
    </row>
    <row r="240" spans="3:8" ht="15" x14ac:dyDescent="0.25">
      <c r="C240"/>
      <c r="D240"/>
      <c r="E240"/>
      <c r="F240"/>
      <c r="G240"/>
      <c r="H240"/>
    </row>
    <row r="241" spans="3:8" ht="15" x14ac:dyDescent="0.25">
      <c r="C241"/>
      <c r="D241"/>
      <c r="E241"/>
      <c r="F241"/>
      <c r="G241"/>
      <c r="H241"/>
    </row>
    <row r="242" spans="3:8" ht="15" x14ac:dyDescent="0.25">
      <c r="C242"/>
      <c r="D242"/>
      <c r="E242"/>
      <c r="F242"/>
      <c r="G242"/>
      <c r="H242"/>
    </row>
    <row r="243" spans="3:8" ht="15" x14ac:dyDescent="0.25">
      <c r="C243"/>
      <c r="D243"/>
      <c r="E243"/>
      <c r="F243"/>
      <c r="G243"/>
      <c r="H243"/>
    </row>
    <row r="244" spans="3:8" ht="15" x14ac:dyDescent="0.25">
      <c r="C244"/>
      <c r="D244"/>
      <c r="E244"/>
      <c r="F244"/>
      <c r="G244"/>
      <c r="H244"/>
    </row>
    <row r="245" spans="3:8" ht="15" x14ac:dyDescent="0.25">
      <c r="C245"/>
      <c r="D245"/>
      <c r="E245"/>
      <c r="F245"/>
      <c r="G245"/>
      <c r="H245"/>
    </row>
    <row r="246" spans="3:8" ht="15" x14ac:dyDescent="0.25">
      <c r="C246"/>
      <c r="D246"/>
      <c r="E246"/>
      <c r="F246"/>
      <c r="G246"/>
      <c r="H246"/>
    </row>
    <row r="247" spans="3:8" ht="15" x14ac:dyDescent="0.25">
      <c r="C247"/>
      <c r="D247"/>
      <c r="E247"/>
      <c r="F247"/>
      <c r="G247"/>
      <c r="H247"/>
    </row>
    <row r="248" spans="3:8" ht="15" x14ac:dyDescent="0.25">
      <c r="C248"/>
      <c r="D248"/>
      <c r="E248"/>
      <c r="F248"/>
      <c r="G248"/>
      <c r="H248"/>
    </row>
    <row r="249" spans="3:8" ht="15" x14ac:dyDescent="0.25">
      <c r="C249"/>
      <c r="D249"/>
      <c r="E249"/>
      <c r="F249"/>
      <c r="G249"/>
      <c r="H249"/>
    </row>
    <row r="250" spans="3:8" ht="15" x14ac:dyDescent="0.25">
      <c r="C250"/>
      <c r="D250"/>
      <c r="E250"/>
      <c r="F250"/>
      <c r="G250"/>
      <c r="H250"/>
    </row>
    <row r="251" spans="3:8" ht="15" x14ac:dyDescent="0.25">
      <c r="C251"/>
      <c r="D251"/>
      <c r="E251"/>
      <c r="F251"/>
      <c r="G251"/>
      <c r="H251"/>
    </row>
    <row r="252" spans="3:8" ht="15" x14ac:dyDescent="0.25">
      <c r="C252"/>
      <c r="D252"/>
      <c r="E252"/>
      <c r="F252"/>
      <c r="G252"/>
      <c r="H252"/>
    </row>
    <row r="253" spans="3:8" ht="15" x14ac:dyDescent="0.25">
      <c r="C253"/>
      <c r="D253"/>
      <c r="E253"/>
      <c r="F253"/>
      <c r="G253"/>
      <c r="H253"/>
    </row>
    <row r="254" spans="3:8" ht="15" x14ac:dyDescent="0.25">
      <c r="C254"/>
      <c r="D254"/>
      <c r="E254"/>
      <c r="F254"/>
      <c r="G254"/>
      <c r="H254"/>
    </row>
    <row r="255" spans="3:8" ht="15" x14ac:dyDescent="0.25">
      <c r="C255"/>
      <c r="D255"/>
      <c r="E255"/>
      <c r="F255"/>
      <c r="G255"/>
      <c r="H255"/>
    </row>
    <row r="256" spans="3:8" ht="15" x14ac:dyDescent="0.25">
      <c r="C256"/>
      <c r="D256"/>
      <c r="E256"/>
      <c r="F256"/>
      <c r="G256"/>
      <c r="H256"/>
    </row>
    <row r="257" spans="3:8" ht="15" x14ac:dyDescent="0.25">
      <c r="C257"/>
      <c r="D257"/>
      <c r="E257"/>
      <c r="F257"/>
      <c r="G257"/>
      <c r="H257"/>
    </row>
    <row r="258" spans="3:8" ht="15" x14ac:dyDescent="0.25">
      <c r="C258"/>
      <c r="D258"/>
      <c r="E258"/>
      <c r="F258"/>
      <c r="G258"/>
      <c r="H258"/>
    </row>
    <row r="259" spans="3:8" ht="15" x14ac:dyDescent="0.25">
      <c r="C259"/>
      <c r="D259"/>
      <c r="E259"/>
      <c r="F259"/>
      <c r="G259"/>
      <c r="H259"/>
    </row>
    <row r="260" spans="3:8" ht="15" x14ac:dyDescent="0.25">
      <c r="C260"/>
      <c r="D260"/>
      <c r="E260"/>
      <c r="F260"/>
      <c r="G260"/>
      <c r="H260"/>
    </row>
    <row r="261" spans="3:8" ht="15" x14ac:dyDescent="0.25">
      <c r="C261"/>
      <c r="D261"/>
      <c r="E261"/>
      <c r="F261"/>
      <c r="G261"/>
      <c r="H261"/>
    </row>
    <row r="262" spans="3:8" ht="15" x14ac:dyDescent="0.25">
      <c r="C262"/>
      <c r="D262"/>
      <c r="E262"/>
      <c r="F262"/>
      <c r="G262"/>
      <c r="H262"/>
    </row>
    <row r="263" spans="3:8" ht="15" x14ac:dyDescent="0.25">
      <c r="C263"/>
      <c r="D263"/>
      <c r="E263"/>
      <c r="F263"/>
      <c r="G263"/>
      <c r="H263"/>
    </row>
    <row r="264" spans="3:8" ht="15" x14ac:dyDescent="0.25">
      <c r="C264"/>
      <c r="D264"/>
      <c r="E264"/>
      <c r="F264"/>
      <c r="G264"/>
      <c r="H264"/>
    </row>
    <row r="265" spans="3:8" ht="15" x14ac:dyDescent="0.25">
      <c r="C265"/>
      <c r="D265"/>
      <c r="E265"/>
      <c r="F265"/>
      <c r="G265"/>
      <c r="H265"/>
    </row>
    <row r="266" spans="3:8" ht="15" x14ac:dyDescent="0.25">
      <c r="C266"/>
      <c r="D266"/>
      <c r="E266"/>
      <c r="F266"/>
      <c r="G266"/>
      <c r="H266"/>
    </row>
    <row r="267" spans="3:8" ht="15" x14ac:dyDescent="0.25">
      <c r="C267"/>
      <c r="D267"/>
      <c r="E267"/>
      <c r="F267"/>
      <c r="G267"/>
      <c r="H267"/>
    </row>
    <row r="268" spans="3:8" ht="15" x14ac:dyDescent="0.25">
      <c r="C268"/>
      <c r="D268"/>
      <c r="E268"/>
      <c r="F268"/>
      <c r="G268"/>
      <c r="H268"/>
    </row>
    <row r="269" spans="3:8" ht="15" x14ac:dyDescent="0.25">
      <c r="C269"/>
      <c r="D269"/>
      <c r="E269"/>
      <c r="F269"/>
      <c r="G269"/>
      <c r="H269"/>
    </row>
    <row r="270" spans="3:8" ht="15" x14ac:dyDescent="0.25">
      <c r="C270"/>
      <c r="D270"/>
      <c r="E270"/>
      <c r="F270"/>
      <c r="G270"/>
      <c r="H270"/>
    </row>
    <row r="271" spans="3:8" ht="15" x14ac:dyDescent="0.25">
      <c r="C271"/>
      <c r="D271"/>
      <c r="E271"/>
      <c r="F271"/>
      <c r="G271"/>
      <c r="H271"/>
    </row>
    <row r="272" spans="3:8" ht="15" x14ac:dyDescent="0.25">
      <c r="C272"/>
      <c r="D272"/>
      <c r="E272"/>
      <c r="F272"/>
      <c r="G272"/>
      <c r="H272"/>
    </row>
    <row r="273" spans="3:8" ht="15" x14ac:dyDescent="0.25">
      <c r="C273"/>
      <c r="D273"/>
      <c r="E273"/>
      <c r="F273"/>
      <c r="G273"/>
      <c r="H273"/>
    </row>
    <row r="274" spans="3:8" ht="15" x14ac:dyDescent="0.25">
      <c r="C274"/>
      <c r="D274"/>
      <c r="E274"/>
      <c r="F274"/>
      <c r="G274"/>
      <c r="H274"/>
    </row>
    <row r="275" spans="3:8" ht="15" x14ac:dyDescent="0.25">
      <c r="C275"/>
      <c r="D275"/>
      <c r="E275"/>
      <c r="F275"/>
      <c r="G275"/>
      <c r="H275"/>
    </row>
    <row r="276" spans="3:8" ht="15" x14ac:dyDescent="0.25">
      <c r="C276"/>
      <c r="D276"/>
      <c r="E276"/>
      <c r="F276"/>
      <c r="G276"/>
      <c r="H276"/>
    </row>
    <row r="277" spans="3:8" ht="15" x14ac:dyDescent="0.25">
      <c r="C277"/>
      <c r="D277"/>
      <c r="E277"/>
      <c r="F277"/>
      <c r="G277"/>
      <c r="H277"/>
    </row>
    <row r="278" spans="3:8" ht="15" x14ac:dyDescent="0.25">
      <c r="C278"/>
      <c r="D278"/>
      <c r="E278"/>
      <c r="F278"/>
      <c r="G278"/>
      <c r="H278"/>
    </row>
    <row r="279" spans="3:8" ht="15" x14ac:dyDescent="0.25">
      <c r="C279"/>
      <c r="D279"/>
      <c r="E279"/>
      <c r="F279"/>
      <c r="G279"/>
      <c r="H279"/>
    </row>
    <row r="280" spans="3:8" ht="15" x14ac:dyDescent="0.25">
      <c r="C280"/>
      <c r="D280"/>
      <c r="E280"/>
      <c r="F280"/>
      <c r="G280"/>
      <c r="H280"/>
    </row>
    <row r="281" spans="3:8" ht="15" x14ac:dyDescent="0.25">
      <c r="C281"/>
      <c r="D281"/>
      <c r="E281"/>
      <c r="F281"/>
      <c r="G281"/>
      <c r="H281"/>
    </row>
    <row r="282" spans="3:8" ht="15" x14ac:dyDescent="0.25">
      <c r="C282"/>
      <c r="D282"/>
      <c r="E282"/>
      <c r="F282"/>
      <c r="G282"/>
      <c r="H282"/>
    </row>
    <row r="283" spans="3:8" ht="15" x14ac:dyDescent="0.25">
      <c r="C283"/>
      <c r="D283"/>
      <c r="E283"/>
      <c r="F283"/>
      <c r="G283"/>
      <c r="H283"/>
    </row>
    <row r="284" spans="3:8" ht="15" x14ac:dyDescent="0.25">
      <c r="C284"/>
      <c r="D284"/>
      <c r="E284"/>
      <c r="F284"/>
      <c r="G284"/>
      <c r="H284"/>
    </row>
    <row r="285" spans="3:8" ht="15" x14ac:dyDescent="0.25">
      <c r="C285"/>
      <c r="D285"/>
      <c r="E285"/>
      <c r="F285"/>
      <c r="G285"/>
      <c r="H285"/>
    </row>
    <row r="286" spans="3:8" ht="15" x14ac:dyDescent="0.25">
      <c r="C286"/>
      <c r="D286"/>
      <c r="E286"/>
      <c r="F286"/>
      <c r="G286"/>
      <c r="H286"/>
    </row>
    <row r="287" spans="3:8" ht="15" x14ac:dyDescent="0.25">
      <c r="C287"/>
      <c r="D287"/>
      <c r="E287"/>
      <c r="F287"/>
      <c r="G287"/>
      <c r="H287"/>
    </row>
    <row r="288" spans="3:8" ht="15" x14ac:dyDescent="0.25">
      <c r="C288"/>
      <c r="D288"/>
      <c r="E288"/>
      <c r="F288"/>
      <c r="G288"/>
      <c r="H288"/>
    </row>
    <row r="289" spans="3:8" ht="15" x14ac:dyDescent="0.25">
      <c r="C289"/>
      <c r="D289"/>
      <c r="E289"/>
      <c r="F289"/>
      <c r="G289"/>
      <c r="H289"/>
    </row>
    <row r="290" spans="3:8" ht="15" x14ac:dyDescent="0.25">
      <c r="C290"/>
      <c r="D290"/>
      <c r="E290"/>
      <c r="F290"/>
      <c r="G290"/>
      <c r="H290"/>
    </row>
    <row r="291" spans="3:8" ht="15" x14ac:dyDescent="0.25">
      <c r="C291"/>
      <c r="D291"/>
      <c r="E291"/>
      <c r="F291"/>
      <c r="G291"/>
      <c r="H291"/>
    </row>
    <row r="292" spans="3:8" ht="15" x14ac:dyDescent="0.25">
      <c r="C292"/>
      <c r="D292"/>
      <c r="E292"/>
      <c r="F292"/>
      <c r="G292"/>
      <c r="H292"/>
    </row>
    <row r="293" spans="3:8" ht="15" x14ac:dyDescent="0.25">
      <c r="C293"/>
      <c r="D293"/>
      <c r="E293"/>
      <c r="F293"/>
      <c r="G293"/>
      <c r="H293"/>
    </row>
    <row r="294" spans="3:8" ht="15" x14ac:dyDescent="0.25">
      <c r="C294"/>
      <c r="D294"/>
      <c r="E294"/>
      <c r="F294"/>
      <c r="G294"/>
      <c r="H294"/>
    </row>
    <row r="295" spans="3:8" ht="15" x14ac:dyDescent="0.25">
      <c r="C295"/>
      <c r="D295"/>
      <c r="E295"/>
      <c r="F295"/>
      <c r="G295"/>
      <c r="H295"/>
    </row>
    <row r="296" spans="3:8" ht="15" x14ac:dyDescent="0.25">
      <c r="C296"/>
      <c r="D296"/>
      <c r="E296"/>
      <c r="F296"/>
      <c r="G296"/>
      <c r="H296"/>
    </row>
    <row r="297" spans="3:8" ht="15" x14ac:dyDescent="0.25">
      <c r="C297"/>
      <c r="D297"/>
      <c r="E297"/>
      <c r="F297"/>
      <c r="G297"/>
      <c r="H297"/>
    </row>
    <row r="298" spans="3:8" ht="15" x14ac:dyDescent="0.25">
      <c r="C298"/>
      <c r="D298"/>
      <c r="E298"/>
      <c r="F298"/>
      <c r="G298"/>
      <c r="H298"/>
    </row>
    <row r="299" spans="3:8" ht="15" x14ac:dyDescent="0.25">
      <c r="C299"/>
      <c r="D299"/>
      <c r="E299"/>
      <c r="F299"/>
      <c r="G299"/>
      <c r="H299"/>
    </row>
    <row r="300" spans="3:8" ht="15" x14ac:dyDescent="0.25">
      <c r="C300"/>
      <c r="D300"/>
      <c r="E300"/>
      <c r="F300"/>
      <c r="G300"/>
      <c r="H300"/>
    </row>
    <row r="301" spans="3:8" ht="15" x14ac:dyDescent="0.25">
      <c r="C301"/>
      <c r="D301"/>
      <c r="E301"/>
      <c r="F301"/>
      <c r="G301"/>
      <c r="H301"/>
    </row>
    <row r="302" spans="3:8" ht="15" x14ac:dyDescent="0.25">
      <c r="C302"/>
      <c r="D302"/>
      <c r="E302"/>
      <c r="F302"/>
      <c r="G302"/>
      <c r="H302"/>
    </row>
    <row r="303" spans="3:8" ht="15" x14ac:dyDescent="0.25">
      <c r="C303"/>
      <c r="D303"/>
      <c r="E303"/>
      <c r="F303"/>
      <c r="G303"/>
      <c r="H303"/>
    </row>
    <row r="304" spans="3:8" ht="15" x14ac:dyDescent="0.25">
      <c r="C304"/>
      <c r="D304"/>
      <c r="E304"/>
      <c r="F304"/>
      <c r="G304"/>
      <c r="H304"/>
    </row>
    <row r="305" spans="3:8" ht="15" x14ac:dyDescent="0.25">
      <c r="C305"/>
      <c r="D305"/>
      <c r="E305"/>
      <c r="F305"/>
      <c r="G305"/>
      <c r="H305"/>
    </row>
    <row r="306" spans="3:8" ht="15" x14ac:dyDescent="0.25">
      <c r="C306"/>
      <c r="D306"/>
      <c r="E306"/>
      <c r="F306"/>
      <c r="G306"/>
      <c r="H306"/>
    </row>
    <row r="307" spans="3:8" ht="15" x14ac:dyDescent="0.25">
      <c r="C307"/>
      <c r="D307"/>
      <c r="E307"/>
      <c r="F307"/>
      <c r="G307"/>
      <c r="H307"/>
    </row>
    <row r="308" spans="3:8" ht="15" x14ac:dyDescent="0.25">
      <c r="C308"/>
      <c r="D308"/>
      <c r="E308"/>
      <c r="F308"/>
      <c r="G308"/>
      <c r="H308"/>
    </row>
    <row r="309" spans="3:8" ht="15" x14ac:dyDescent="0.25">
      <c r="C309"/>
      <c r="D309"/>
      <c r="E309"/>
      <c r="F309"/>
      <c r="G309"/>
      <c r="H309"/>
    </row>
    <row r="310" spans="3:8" ht="15" x14ac:dyDescent="0.25">
      <c r="C310"/>
      <c r="D310"/>
      <c r="E310"/>
      <c r="F310"/>
      <c r="G310"/>
      <c r="H310"/>
    </row>
    <row r="311" spans="3:8" ht="15" x14ac:dyDescent="0.25">
      <c r="C311"/>
      <c r="D311"/>
      <c r="E311"/>
      <c r="F311"/>
      <c r="G311"/>
      <c r="H311"/>
    </row>
    <row r="312" spans="3:8" ht="15" x14ac:dyDescent="0.25">
      <c r="C312"/>
      <c r="D312"/>
      <c r="E312"/>
      <c r="F312"/>
      <c r="G312"/>
      <c r="H312"/>
    </row>
    <row r="313" spans="3:8" ht="15" x14ac:dyDescent="0.25">
      <c r="C313"/>
      <c r="D313"/>
      <c r="E313"/>
      <c r="F313"/>
      <c r="G313"/>
      <c r="H313"/>
    </row>
    <row r="314" spans="3:8" ht="15" x14ac:dyDescent="0.25">
      <c r="C314"/>
      <c r="D314"/>
      <c r="E314"/>
      <c r="F314"/>
      <c r="G314"/>
      <c r="H314"/>
    </row>
    <row r="315" spans="3:8" ht="15" x14ac:dyDescent="0.25">
      <c r="C315"/>
      <c r="D315"/>
      <c r="E315"/>
      <c r="F315"/>
      <c r="G315"/>
      <c r="H315"/>
    </row>
    <row r="316" spans="3:8" ht="15" x14ac:dyDescent="0.25">
      <c r="C316"/>
      <c r="D316"/>
      <c r="E316"/>
      <c r="F316"/>
      <c r="G316"/>
      <c r="H316"/>
    </row>
    <row r="317" spans="3:8" ht="15" x14ac:dyDescent="0.25">
      <c r="C317"/>
      <c r="D317"/>
      <c r="E317"/>
      <c r="F317"/>
      <c r="G317"/>
      <c r="H317"/>
    </row>
    <row r="318" spans="3:8" ht="15" x14ac:dyDescent="0.25">
      <c r="C318"/>
      <c r="D318"/>
      <c r="E318"/>
      <c r="F318"/>
      <c r="G318"/>
      <c r="H318"/>
    </row>
    <row r="319" spans="3:8" ht="15" x14ac:dyDescent="0.25">
      <c r="C319"/>
      <c r="D319"/>
      <c r="E319"/>
      <c r="F319"/>
      <c r="G319"/>
      <c r="H319"/>
    </row>
    <row r="320" spans="3:8" ht="15" x14ac:dyDescent="0.25">
      <c r="C320"/>
      <c r="D320"/>
      <c r="E320"/>
      <c r="F320"/>
      <c r="G320"/>
      <c r="H320"/>
    </row>
    <row r="321" spans="3:8" ht="15" x14ac:dyDescent="0.25">
      <c r="C321"/>
      <c r="D321"/>
      <c r="E321"/>
      <c r="F321"/>
      <c r="G321"/>
      <c r="H321"/>
    </row>
    <row r="322" spans="3:8" ht="15" x14ac:dyDescent="0.25">
      <c r="C322"/>
      <c r="D322"/>
      <c r="E322"/>
      <c r="F322"/>
      <c r="G322"/>
      <c r="H322"/>
    </row>
    <row r="323" spans="3:8" ht="15" x14ac:dyDescent="0.25">
      <c r="C323"/>
      <c r="D323"/>
      <c r="E323"/>
      <c r="F323"/>
      <c r="G323"/>
      <c r="H323"/>
    </row>
    <row r="324" spans="3:8" ht="15" x14ac:dyDescent="0.25">
      <c r="C324"/>
      <c r="D324"/>
      <c r="E324"/>
      <c r="F324"/>
      <c r="G324"/>
      <c r="H324"/>
    </row>
    <row r="325" spans="3:8" ht="15" x14ac:dyDescent="0.25">
      <c r="C325"/>
      <c r="D325"/>
      <c r="E325"/>
      <c r="F325"/>
      <c r="G325"/>
      <c r="H325"/>
    </row>
    <row r="326" spans="3:8" ht="15" x14ac:dyDescent="0.25">
      <c r="C326"/>
      <c r="D326"/>
      <c r="E326"/>
      <c r="F326"/>
      <c r="G326"/>
      <c r="H326"/>
    </row>
    <row r="327" spans="3:8" ht="15" x14ac:dyDescent="0.25">
      <c r="C327"/>
      <c r="D327"/>
      <c r="E327"/>
      <c r="F327"/>
      <c r="G327"/>
      <c r="H327"/>
    </row>
    <row r="328" spans="3:8" ht="15" x14ac:dyDescent="0.25">
      <c r="C328"/>
      <c r="D328"/>
      <c r="E328"/>
      <c r="F328"/>
      <c r="G328"/>
      <c r="H328"/>
    </row>
    <row r="329" spans="3:8" ht="15" x14ac:dyDescent="0.25">
      <c r="C329"/>
      <c r="D329"/>
      <c r="E329"/>
      <c r="F329"/>
      <c r="G329"/>
      <c r="H329"/>
    </row>
    <row r="330" spans="3:8" ht="15" x14ac:dyDescent="0.25">
      <c r="C330"/>
      <c r="D330"/>
      <c r="E330"/>
      <c r="F330"/>
      <c r="G330"/>
      <c r="H330"/>
    </row>
    <row r="331" spans="3:8" ht="15" x14ac:dyDescent="0.25">
      <c r="C331"/>
      <c r="D331"/>
      <c r="E331"/>
      <c r="F331"/>
      <c r="G331"/>
      <c r="H331"/>
    </row>
    <row r="332" spans="3:8" ht="15" x14ac:dyDescent="0.25">
      <c r="C332"/>
      <c r="D332"/>
      <c r="E332"/>
      <c r="F332"/>
      <c r="G332"/>
      <c r="H332"/>
    </row>
    <row r="333" spans="3:8" ht="15" x14ac:dyDescent="0.25">
      <c r="C333"/>
      <c r="D333"/>
      <c r="E333"/>
      <c r="F333"/>
      <c r="G333"/>
      <c r="H333"/>
    </row>
    <row r="334" spans="3:8" ht="15" x14ac:dyDescent="0.25">
      <c r="C334"/>
      <c r="D334"/>
      <c r="E334"/>
      <c r="F334"/>
      <c r="G334"/>
      <c r="H334"/>
    </row>
    <row r="335" spans="3:8" ht="15" x14ac:dyDescent="0.25">
      <c r="C335"/>
      <c r="D335"/>
      <c r="E335"/>
      <c r="F335"/>
      <c r="G335"/>
      <c r="H335"/>
    </row>
    <row r="336" spans="3:8" ht="15" x14ac:dyDescent="0.25">
      <c r="C336"/>
      <c r="D336"/>
      <c r="E336"/>
      <c r="F336"/>
      <c r="G336"/>
      <c r="H336"/>
    </row>
    <row r="337" spans="3:8" ht="15" x14ac:dyDescent="0.25">
      <c r="C337"/>
      <c r="D337"/>
      <c r="E337"/>
      <c r="F337"/>
      <c r="G337"/>
      <c r="H337"/>
    </row>
    <row r="338" spans="3:8" ht="15" x14ac:dyDescent="0.25">
      <c r="C338"/>
      <c r="D338"/>
      <c r="E338"/>
      <c r="F338"/>
      <c r="G338"/>
      <c r="H338"/>
    </row>
    <row r="339" spans="3:8" ht="15" x14ac:dyDescent="0.25">
      <c r="C339"/>
      <c r="D339"/>
      <c r="E339"/>
      <c r="F339"/>
      <c r="G339"/>
      <c r="H339"/>
    </row>
    <row r="340" spans="3:8" ht="15" x14ac:dyDescent="0.25">
      <c r="C340"/>
      <c r="D340"/>
      <c r="E340"/>
      <c r="F340"/>
      <c r="G340"/>
      <c r="H340"/>
    </row>
    <row r="341" spans="3:8" ht="15" x14ac:dyDescent="0.25">
      <c r="C341"/>
      <c r="D341"/>
      <c r="E341"/>
      <c r="F341"/>
      <c r="G341"/>
      <c r="H341"/>
    </row>
    <row r="342" spans="3:8" ht="15" x14ac:dyDescent="0.25">
      <c r="C342"/>
      <c r="D342"/>
      <c r="E342"/>
      <c r="F342"/>
      <c r="G342"/>
      <c r="H342"/>
    </row>
    <row r="343" spans="3:8" ht="15" x14ac:dyDescent="0.25">
      <c r="C343"/>
      <c r="D343"/>
      <c r="E343"/>
      <c r="F343"/>
      <c r="G343"/>
      <c r="H343"/>
    </row>
    <row r="344" spans="3:8" ht="15" x14ac:dyDescent="0.25">
      <c r="C344"/>
      <c r="D344"/>
      <c r="E344"/>
      <c r="F344"/>
      <c r="G344"/>
      <c r="H344"/>
    </row>
    <row r="345" spans="3:8" ht="15" x14ac:dyDescent="0.25">
      <c r="C345"/>
      <c r="D345"/>
      <c r="E345"/>
      <c r="F345"/>
      <c r="G345"/>
      <c r="H345"/>
    </row>
    <row r="346" spans="3:8" ht="15" x14ac:dyDescent="0.25">
      <c r="C346"/>
      <c r="D346"/>
      <c r="E346"/>
      <c r="F346"/>
      <c r="G346"/>
      <c r="H346"/>
    </row>
    <row r="347" spans="3:8" ht="15" x14ac:dyDescent="0.25">
      <c r="C347"/>
      <c r="D347"/>
      <c r="E347"/>
      <c r="F347"/>
      <c r="G347"/>
      <c r="H347"/>
    </row>
    <row r="348" spans="3:8" ht="15" x14ac:dyDescent="0.25">
      <c r="C348"/>
      <c r="D348"/>
      <c r="E348"/>
      <c r="F348"/>
      <c r="G348"/>
      <c r="H348"/>
    </row>
    <row r="349" spans="3:8" ht="15" x14ac:dyDescent="0.25">
      <c r="C349"/>
      <c r="D349"/>
      <c r="E349"/>
      <c r="F349"/>
      <c r="G349"/>
      <c r="H349"/>
    </row>
    <row r="350" spans="3:8" ht="15" x14ac:dyDescent="0.25">
      <c r="C350"/>
      <c r="D350"/>
      <c r="E350"/>
      <c r="F350"/>
      <c r="G350"/>
      <c r="H350"/>
    </row>
    <row r="351" spans="3:8" ht="15" x14ac:dyDescent="0.25">
      <c r="C351"/>
      <c r="D351"/>
      <c r="E351"/>
      <c r="F351"/>
      <c r="G351"/>
      <c r="H351"/>
    </row>
    <row r="352" spans="3:8" ht="15" x14ac:dyDescent="0.25">
      <c r="C352"/>
      <c r="D352"/>
      <c r="E352"/>
      <c r="F352"/>
      <c r="G352"/>
      <c r="H352"/>
    </row>
    <row r="353" spans="3:8" ht="15" x14ac:dyDescent="0.25">
      <c r="C353"/>
      <c r="D353"/>
      <c r="E353"/>
      <c r="F353"/>
      <c r="G353"/>
      <c r="H353"/>
    </row>
    <row r="354" spans="3:8" ht="15" x14ac:dyDescent="0.25">
      <c r="C354"/>
      <c r="D354"/>
      <c r="E354"/>
      <c r="F354"/>
      <c r="G354"/>
      <c r="H354"/>
    </row>
    <row r="355" spans="3:8" ht="15" x14ac:dyDescent="0.25">
      <c r="C355"/>
      <c r="D355"/>
      <c r="E355"/>
      <c r="F355"/>
      <c r="G355"/>
      <c r="H355"/>
    </row>
    <row r="356" spans="3:8" ht="15" x14ac:dyDescent="0.25">
      <c r="C356"/>
      <c r="D356"/>
      <c r="E356"/>
      <c r="F356"/>
      <c r="G356"/>
      <c r="H356"/>
    </row>
    <row r="357" spans="3:8" ht="15" x14ac:dyDescent="0.25">
      <c r="C357"/>
      <c r="D357"/>
      <c r="E357"/>
      <c r="F357"/>
      <c r="G357"/>
      <c r="H357"/>
    </row>
    <row r="358" spans="3:8" ht="15" x14ac:dyDescent="0.25">
      <c r="C358"/>
      <c r="D358"/>
      <c r="E358"/>
      <c r="F358"/>
      <c r="G358"/>
      <c r="H358"/>
    </row>
    <row r="359" spans="3:8" ht="15" x14ac:dyDescent="0.25">
      <c r="C359"/>
      <c r="D359"/>
      <c r="E359"/>
      <c r="F359"/>
      <c r="G359"/>
      <c r="H359"/>
    </row>
    <row r="360" spans="3:8" ht="15" x14ac:dyDescent="0.25">
      <c r="C360"/>
      <c r="D360"/>
      <c r="E360"/>
      <c r="F360"/>
      <c r="G360"/>
      <c r="H360"/>
    </row>
    <row r="361" spans="3:8" ht="15" x14ac:dyDescent="0.25">
      <c r="C361"/>
      <c r="D361"/>
      <c r="E361"/>
      <c r="F361"/>
      <c r="G361"/>
      <c r="H361"/>
    </row>
    <row r="362" spans="3:8" ht="15" x14ac:dyDescent="0.25">
      <c r="C362"/>
      <c r="D362"/>
      <c r="E362"/>
      <c r="F362"/>
      <c r="G362"/>
      <c r="H362"/>
    </row>
    <row r="363" spans="3:8" ht="15" x14ac:dyDescent="0.25">
      <c r="C363"/>
      <c r="D363"/>
      <c r="E363"/>
      <c r="F363"/>
      <c r="G363"/>
      <c r="H363"/>
    </row>
    <row r="364" spans="3:8" ht="15" x14ac:dyDescent="0.25">
      <c r="C364"/>
      <c r="D364"/>
      <c r="E364"/>
      <c r="F364"/>
      <c r="G364"/>
      <c r="H364"/>
    </row>
    <row r="365" spans="3:8" ht="15" x14ac:dyDescent="0.25">
      <c r="C365"/>
      <c r="D365"/>
      <c r="E365"/>
      <c r="F365"/>
      <c r="G365"/>
      <c r="H365"/>
    </row>
    <row r="366" spans="3:8" ht="15" x14ac:dyDescent="0.25">
      <c r="C366"/>
      <c r="D366"/>
      <c r="E366"/>
      <c r="F366"/>
      <c r="G366"/>
      <c r="H366"/>
    </row>
    <row r="367" spans="3:8" ht="15" x14ac:dyDescent="0.25">
      <c r="C367"/>
      <c r="D367"/>
      <c r="E367"/>
      <c r="F367"/>
      <c r="G367"/>
      <c r="H367"/>
    </row>
    <row r="368" spans="3:8" ht="15" x14ac:dyDescent="0.25">
      <c r="C368"/>
      <c r="D368"/>
      <c r="E368"/>
      <c r="F368"/>
      <c r="G368"/>
      <c r="H368"/>
    </row>
    <row r="369" spans="3:8" ht="15" x14ac:dyDescent="0.25">
      <c r="C369"/>
      <c r="D369"/>
      <c r="E369"/>
      <c r="F369"/>
      <c r="G369"/>
      <c r="H369"/>
    </row>
    <row r="370" spans="3:8" ht="15" x14ac:dyDescent="0.25">
      <c r="C370"/>
      <c r="D370"/>
      <c r="E370"/>
      <c r="F370"/>
      <c r="G370"/>
      <c r="H370"/>
    </row>
    <row r="371" spans="3:8" ht="15" x14ac:dyDescent="0.25">
      <c r="C371"/>
      <c r="D371"/>
      <c r="E371"/>
      <c r="F371"/>
      <c r="G371"/>
      <c r="H371"/>
    </row>
    <row r="372" spans="3:8" ht="15" x14ac:dyDescent="0.25">
      <c r="C372"/>
      <c r="D372"/>
      <c r="E372"/>
      <c r="F372"/>
      <c r="G372"/>
      <c r="H372"/>
    </row>
    <row r="373" spans="3:8" ht="15" x14ac:dyDescent="0.25">
      <c r="C373"/>
      <c r="D373"/>
      <c r="E373"/>
      <c r="F373"/>
      <c r="G373"/>
      <c r="H373"/>
    </row>
    <row r="374" spans="3:8" ht="15" x14ac:dyDescent="0.25">
      <c r="C374"/>
      <c r="D374"/>
      <c r="E374"/>
      <c r="F374"/>
      <c r="G374"/>
      <c r="H374"/>
    </row>
    <row r="375" spans="3:8" ht="15" x14ac:dyDescent="0.25">
      <c r="C375"/>
      <c r="D375"/>
      <c r="E375"/>
      <c r="F375"/>
      <c r="G375"/>
      <c r="H375"/>
    </row>
    <row r="376" spans="3:8" ht="15" x14ac:dyDescent="0.25">
      <c r="C376"/>
      <c r="D376"/>
      <c r="E376"/>
      <c r="F376"/>
      <c r="G376"/>
      <c r="H376"/>
    </row>
    <row r="377" spans="3:8" ht="15" x14ac:dyDescent="0.25">
      <c r="C377"/>
      <c r="D377"/>
      <c r="E377"/>
      <c r="F377"/>
      <c r="G377"/>
      <c r="H377"/>
    </row>
    <row r="378" spans="3:8" ht="15" x14ac:dyDescent="0.25">
      <c r="C378"/>
      <c r="D378"/>
      <c r="E378"/>
      <c r="F378"/>
      <c r="G378"/>
      <c r="H378"/>
    </row>
    <row r="379" spans="3:8" ht="15" x14ac:dyDescent="0.25">
      <c r="C379"/>
      <c r="D379"/>
      <c r="E379"/>
      <c r="F379"/>
      <c r="G379"/>
      <c r="H379"/>
    </row>
    <row r="380" spans="3:8" ht="15" x14ac:dyDescent="0.25">
      <c r="C380"/>
      <c r="D380"/>
      <c r="E380"/>
      <c r="F380"/>
      <c r="G380"/>
      <c r="H380"/>
    </row>
    <row r="381" spans="3:8" ht="15" x14ac:dyDescent="0.25">
      <c r="C381"/>
      <c r="D381"/>
      <c r="E381"/>
      <c r="F381"/>
      <c r="G381"/>
      <c r="H381"/>
    </row>
    <row r="382" spans="3:8" ht="15" x14ac:dyDescent="0.25">
      <c r="C382"/>
      <c r="D382"/>
      <c r="E382"/>
      <c r="F382"/>
      <c r="G382"/>
      <c r="H382"/>
    </row>
    <row r="383" spans="3:8" ht="15" x14ac:dyDescent="0.25">
      <c r="C383"/>
      <c r="D383"/>
      <c r="E383"/>
      <c r="F383"/>
      <c r="G383"/>
      <c r="H383"/>
    </row>
    <row r="384" spans="3:8" ht="15" x14ac:dyDescent="0.25">
      <c r="C384"/>
      <c r="D384"/>
      <c r="E384"/>
      <c r="F384"/>
      <c r="G384"/>
      <c r="H384"/>
    </row>
    <row r="385" spans="3:8" ht="15" x14ac:dyDescent="0.25">
      <c r="C385"/>
      <c r="D385"/>
      <c r="E385"/>
      <c r="F385"/>
      <c r="G385"/>
      <c r="H385"/>
    </row>
    <row r="386" spans="3:8" ht="15" x14ac:dyDescent="0.25">
      <c r="C386"/>
      <c r="D386"/>
      <c r="E386"/>
      <c r="F386"/>
      <c r="G386"/>
      <c r="H386"/>
    </row>
    <row r="387" spans="3:8" ht="15" x14ac:dyDescent="0.25">
      <c r="C387"/>
      <c r="D387"/>
      <c r="E387"/>
      <c r="F387"/>
      <c r="G387"/>
      <c r="H387"/>
    </row>
    <row r="388" spans="3:8" ht="15" x14ac:dyDescent="0.25">
      <c r="C388"/>
      <c r="D388"/>
      <c r="E388"/>
      <c r="F388"/>
      <c r="G388"/>
      <c r="H388"/>
    </row>
    <row r="389" spans="3:8" ht="15" x14ac:dyDescent="0.25">
      <c r="C389"/>
      <c r="D389"/>
      <c r="E389"/>
      <c r="F389"/>
      <c r="G389"/>
      <c r="H389"/>
    </row>
    <row r="390" spans="3:8" ht="15" x14ac:dyDescent="0.25">
      <c r="C390"/>
      <c r="D390"/>
      <c r="E390"/>
      <c r="F390"/>
      <c r="G390"/>
      <c r="H390"/>
    </row>
    <row r="391" spans="3:8" ht="15" x14ac:dyDescent="0.25">
      <c r="C391"/>
      <c r="D391"/>
      <c r="E391"/>
      <c r="F391"/>
      <c r="G391"/>
      <c r="H391"/>
    </row>
    <row r="392" spans="3:8" ht="15" x14ac:dyDescent="0.25">
      <c r="C392"/>
      <c r="D392"/>
      <c r="E392"/>
      <c r="F392"/>
      <c r="G392"/>
      <c r="H392"/>
    </row>
    <row r="393" spans="3:8" ht="15" x14ac:dyDescent="0.25">
      <c r="C393"/>
      <c r="D393"/>
      <c r="E393"/>
      <c r="F393"/>
      <c r="G393"/>
      <c r="H393"/>
    </row>
    <row r="394" spans="3:8" ht="15" x14ac:dyDescent="0.25">
      <c r="C394"/>
      <c r="D394"/>
      <c r="E394"/>
      <c r="F394"/>
      <c r="G394"/>
      <c r="H394"/>
    </row>
    <row r="395" spans="3:8" ht="15" x14ac:dyDescent="0.25">
      <c r="C395"/>
      <c r="D395"/>
      <c r="E395"/>
      <c r="F395"/>
      <c r="G395"/>
      <c r="H395"/>
    </row>
    <row r="396" spans="3:8" ht="15" x14ac:dyDescent="0.25">
      <c r="C396"/>
      <c r="D396"/>
      <c r="E396"/>
      <c r="F396"/>
      <c r="G396"/>
      <c r="H396"/>
    </row>
    <row r="397" spans="3:8" ht="15" x14ac:dyDescent="0.25">
      <c r="C397"/>
      <c r="D397"/>
      <c r="E397"/>
      <c r="F397"/>
      <c r="G397"/>
      <c r="H397"/>
    </row>
    <row r="398" spans="3:8" ht="15" x14ac:dyDescent="0.25">
      <c r="C398"/>
      <c r="D398"/>
      <c r="E398"/>
      <c r="F398"/>
      <c r="G398"/>
      <c r="H398"/>
    </row>
    <row r="399" spans="3:8" ht="15" x14ac:dyDescent="0.25">
      <c r="C399"/>
      <c r="D399"/>
      <c r="E399"/>
      <c r="F399"/>
      <c r="G399"/>
      <c r="H399"/>
    </row>
    <row r="400" spans="3:8" ht="15" x14ac:dyDescent="0.25">
      <c r="C400"/>
      <c r="D400"/>
      <c r="E400"/>
      <c r="F400"/>
      <c r="G400"/>
      <c r="H400"/>
    </row>
    <row r="401" spans="3:8" ht="15" x14ac:dyDescent="0.25">
      <c r="C401"/>
      <c r="D401"/>
      <c r="E401"/>
      <c r="F401"/>
      <c r="G401"/>
      <c r="H401"/>
    </row>
    <row r="402" spans="3:8" ht="15" x14ac:dyDescent="0.25">
      <c r="C402"/>
      <c r="D402"/>
      <c r="E402"/>
      <c r="F402"/>
      <c r="G402"/>
      <c r="H402"/>
    </row>
    <row r="403" spans="3:8" ht="15" x14ac:dyDescent="0.25">
      <c r="C403"/>
      <c r="D403"/>
      <c r="E403"/>
      <c r="F403"/>
      <c r="G403"/>
      <c r="H403"/>
    </row>
    <row r="404" spans="3:8" ht="15" x14ac:dyDescent="0.25">
      <c r="C404"/>
      <c r="D404"/>
      <c r="E404"/>
      <c r="F404"/>
      <c r="G404"/>
      <c r="H404"/>
    </row>
    <row r="405" spans="3:8" ht="15" x14ac:dyDescent="0.25">
      <c r="C405"/>
      <c r="D405"/>
      <c r="E405"/>
      <c r="F405"/>
      <c r="G405"/>
      <c r="H405"/>
    </row>
    <row r="406" spans="3:8" ht="15" x14ac:dyDescent="0.25">
      <c r="C406"/>
      <c r="D406"/>
      <c r="E406"/>
      <c r="F406"/>
      <c r="G406"/>
      <c r="H406"/>
    </row>
    <row r="407" spans="3:8" ht="15" x14ac:dyDescent="0.25">
      <c r="C407"/>
      <c r="D407"/>
      <c r="E407"/>
      <c r="F407"/>
      <c r="G407"/>
      <c r="H407"/>
    </row>
    <row r="408" spans="3:8" ht="15" x14ac:dyDescent="0.25">
      <c r="C408"/>
      <c r="D408"/>
      <c r="E408"/>
      <c r="F408"/>
      <c r="G408"/>
      <c r="H408"/>
    </row>
    <row r="409" spans="3:8" ht="15" x14ac:dyDescent="0.25">
      <c r="C409"/>
      <c r="D409"/>
      <c r="E409"/>
      <c r="F409"/>
      <c r="G409"/>
      <c r="H409"/>
    </row>
    <row r="410" spans="3:8" ht="15" x14ac:dyDescent="0.25">
      <c r="C410"/>
      <c r="D410"/>
      <c r="E410"/>
      <c r="F410"/>
      <c r="G410"/>
      <c r="H410"/>
    </row>
    <row r="411" spans="3:8" ht="15" x14ac:dyDescent="0.25">
      <c r="C411"/>
      <c r="D411"/>
      <c r="E411"/>
      <c r="F411"/>
      <c r="G411"/>
      <c r="H411"/>
    </row>
    <row r="412" spans="3:8" ht="15" x14ac:dyDescent="0.25">
      <c r="C412"/>
      <c r="D412"/>
      <c r="E412"/>
      <c r="F412"/>
      <c r="G412"/>
      <c r="H412"/>
    </row>
    <row r="413" spans="3:8" ht="15" x14ac:dyDescent="0.25">
      <c r="C413"/>
      <c r="D413"/>
      <c r="E413"/>
      <c r="F413"/>
      <c r="G413"/>
      <c r="H413"/>
    </row>
    <row r="414" spans="3:8" ht="15" x14ac:dyDescent="0.25">
      <c r="C414"/>
      <c r="D414"/>
      <c r="E414"/>
      <c r="F414"/>
      <c r="G414"/>
      <c r="H414"/>
    </row>
    <row r="415" spans="3:8" ht="15" x14ac:dyDescent="0.25">
      <c r="C415"/>
      <c r="D415"/>
      <c r="E415"/>
      <c r="F415"/>
      <c r="G415"/>
      <c r="H415"/>
    </row>
    <row r="416" spans="3:8" ht="15" x14ac:dyDescent="0.25">
      <c r="C416"/>
      <c r="D416"/>
      <c r="E416"/>
      <c r="F416"/>
      <c r="G416"/>
      <c r="H416"/>
    </row>
    <row r="417" spans="3:8" ht="15" x14ac:dyDescent="0.25">
      <c r="C417"/>
      <c r="D417"/>
      <c r="E417"/>
      <c r="F417"/>
      <c r="G417"/>
      <c r="H417"/>
    </row>
    <row r="418" spans="3:8" ht="15" x14ac:dyDescent="0.25">
      <c r="C418"/>
      <c r="D418"/>
      <c r="E418"/>
      <c r="F418"/>
      <c r="G418"/>
      <c r="H418"/>
    </row>
    <row r="419" spans="3:8" ht="15" x14ac:dyDescent="0.25">
      <c r="C419"/>
      <c r="D419"/>
      <c r="E419"/>
      <c r="F419"/>
      <c r="G419"/>
      <c r="H419"/>
    </row>
    <row r="420" spans="3:8" ht="15" x14ac:dyDescent="0.25">
      <c r="C420"/>
      <c r="D420"/>
      <c r="E420"/>
      <c r="F420"/>
      <c r="G420"/>
      <c r="H420"/>
    </row>
    <row r="421" spans="3:8" ht="15" x14ac:dyDescent="0.25">
      <c r="C421"/>
      <c r="D421"/>
      <c r="E421"/>
      <c r="F421"/>
      <c r="G421"/>
      <c r="H421"/>
    </row>
    <row r="422" spans="3:8" ht="15" x14ac:dyDescent="0.25">
      <c r="C422"/>
      <c r="D422"/>
      <c r="E422"/>
      <c r="F422"/>
      <c r="G422"/>
      <c r="H422"/>
    </row>
    <row r="423" spans="3:8" ht="15" x14ac:dyDescent="0.25">
      <c r="C423"/>
      <c r="D423"/>
      <c r="E423"/>
      <c r="F423"/>
      <c r="G423"/>
      <c r="H423"/>
    </row>
    <row r="424" spans="3:8" ht="15" x14ac:dyDescent="0.25">
      <c r="C424"/>
      <c r="D424"/>
      <c r="E424"/>
      <c r="F424"/>
      <c r="G424"/>
      <c r="H424"/>
    </row>
    <row r="425" spans="3:8" ht="15" x14ac:dyDescent="0.25">
      <c r="C425"/>
      <c r="D425"/>
      <c r="E425"/>
      <c r="F425"/>
      <c r="G425"/>
      <c r="H425"/>
    </row>
    <row r="426" spans="3:8" ht="15" x14ac:dyDescent="0.25">
      <c r="C426"/>
      <c r="D426"/>
      <c r="E426"/>
      <c r="F426"/>
      <c r="G426"/>
      <c r="H426"/>
    </row>
    <row r="427" spans="3:8" ht="15" x14ac:dyDescent="0.25">
      <c r="C427"/>
      <c r="D427"/>
      <c r="E427"/>
      <c r="F427"/>
      <c r="G427"/>
      <c r="H427"/>
    </row>
    <row r="428" spans="3:8" ht="15" x14ac:dyDescent="0.25">
      <c r="C428"/>
      <c r="D428"/>
      <c r="E428"/>
      <c r="F428"/>
      <c r="G428"/>
      <c r="H428"/>
    </row>
    <row r="429" spans="3:8" ht="15" x14ac:dyDescent="0.25">
      <c r="C429"/>
      <c r="D429"/>
      <c r="E429"/>
      <c r="F429"/>
      <c r="G429"/>
      <c r="H429"/>
    </row>
    <row r="430" spans="3:8" ht="15" x14ac:dyDescent="0.25">
      <c r="C430"/>
      <c r="D430"/>
      <c r="E430"/>
      <c r="F430"/>
      <c r="G430"/>
      <c r="H430"/>
    </row>
    <row r="431" spans="3:8" ht="15" x14ac:dyDescent="0.25">
      <c r="C431"/>
      <c r="D431"/>
      <c r="E431"/>
      <c r="F431"/>
      <c r="G431"/>
      <c r="H431"/>
    </row>
    <row r="432" spans="3:8" ht="15" x14ac:dyDescent="0.25">
      <c r="C432"/>
      <c r="D432"/>
      <c r="E432"/>
      <c r="F432"/>
      <c r="G432"/>
      <c r="H432"/>
    </row>
    <row r="433" spans="3:8" ht="15" x14ac:dyDescent="0.25">
      <c r="C433"/>
      <c r="D433"/>
      <c r="E433"/>
      <c r="F433"/>
      <c r="G433"/>
      <c r="H433"/>
    </row>
    <row r="434" spans="3:8" ht="15" x14ac:dyDescent="0.25">
      <c r="C434"/>
      <c r="D434"/>
      <c r="E434"/>
      <c r="F434"/>
      <c r="G434"/>
      <c r="H434"/>
    </row>
    <row r="435" spans="3:8" ht="15" x14ac:dyDescent="0.25">
      <c r="C435"/>
      <c r="D435"/>
      <c r="E435"/>
      <c r="F435"/>
      <c r="G435"/>
      <c r="H435"/>
    </row>
    <row r="436" spans="3:8" ht="15" x14ac:dyDescent="0.25">
      <c r="C436"/>
      <c r="D436"/>
      <c r="E436"/>
      <c r="F436"/>
      <c r="G436"/>
      <c r="H436"/>
    </row>
    <row r="437" spans="3:8" ht="15" x14ac:dyDescent="0.25">
      <c r="C437"/>
      <c r="D437"/>
      <c r="E437"/>
      <c r="F437"/>
      <c r="G437"/>
      <c r="H437"/>
    </row>
    <row r="438" spans="3:8" ht="15" x14ac:dyDescent="0.25">
      <c r="C438"/>
      <c r="D438"/>
      <c r="E438"/>
      <c r="F438"/>
      <c r="G438"/>
      <c r="H438"/>
    </row>
    <row r="439" spans="3:8" ht="15" x14ac:dyDescent="0.25">
      <c r="C439"/>
      <c r="D439"/>
      <c r="E439"/>
      <c r="F439"/>
      <c r="G439"/>
      <c r="H439"/>
    </row>
    <row r="440" spans="3:8" ht="15" x14ac:dyDescent="0.25">
      <c r="C440"/>
      <c r="D440"/>
      <c r="E440"/>
      <c r="F440"/>
      <c r="G440"/>
      <c r="H440"/>
    </row>
    <row r="441" spans="3:8" ht="15" x14ac:dyDescent="0.25">
      <c r="C441"/>
      <c r="D441"/>
      <c r="E441"/>
      <c r="F441"/>
      <c r="G441"/>
      <c r="H441"/>
    </row>
    <row r="442" spans="3:8" ht="15" x14ac:dyDescent="0.25">
      <c r="C442"/>
      <c r="D442"/>
      <c r="E442"/>
      <c r="F442"/>
      <c r="G442"/>
      <c r="H442"/>
    </row>
    <row r="443" spans="3:8" ht="15" x14ac:dyDescent="0.25">
      <c r="C443"/>
      <c r="D443"/>
      <c r="E443"/>
      <c r="F443"/>
      <c r="G443"/>
      <c r="H443"/>
    </row>
    <row r="444" spans="3:8" ht="15" x14ac:dyDescent="0.25">
      <c r="C444"/>
      <c r="D444"/>
      <c r="E444"/>
      <c r="F444"/>
      <c r="G444"/>
      <c r="H444"/>
    </row>
    <row r="445" spans="3:8" ht="15" x14ac:dyDescent="0.25">
      <c r="C445"/>
      <c r="D445"/>
      <c r="E445"/>
      <c r="F445"/>
      <c r="G445"/>
      <c r="H445"/>
    </row>
    <row r="446" spans="3:8" ht="15" x14ac:dyDescent="0.25">
      <c r="C446"/>
      <c r="D446"/>
      <c r="E446"/>
      <c r="F446"/>
      <c r="G446"/>
      <c r="H446"/>
    </row>
    <row r="447" spans="3:8" ht="15" x14ac:dyDescent="0.25">
      <c r="C447"/>
      <c r="D447"/>
      <c r="E447"/>
      <c r="F447"/>
      <c r="G447"/>
      <c r="H447"/>
    </row>
    <row r="448" spans="3:8" ht="15" x14ac:dyDescent="0.25">
      <c r="C448"/>
      <c r="D448"/>
      <c r="E448"/>
      <c r="F448"/>
      <c r="G448"/>
      <c r="H448"/>
    </row>
    <row r="449" spans="3:8" ht="15" x14ac:dyDescent="0.25">
      <c r="C449"/>
      <c r="D449"/>
      <c r="E449"/>
      <c r="F449"/>
      <c r="G449"/>
      <c r="H449"/>
    </row>
    <row r="450" spans="3:8" ht="15" x14ac:dyDescent="0.25">
      <c r="C450"/>
      <c r="D450"/>
      <c r="E450"/>
      <c r="F450"/>
      <c r="G450"/>
      <c r="H450"/>
    </row>
    <row r="451" spans="3:8" ht="15" x14ac:dyDescent="0.25">
      <c r="C451"/>
      <c r="D451"/>
      <c r="E451"/>
      <c r="F451"/>
      <c r="G451"/>
      <c r="H451"/>
    </row>
    <row r="452" spans="3:8" ht="15" x14ac:dyDescent="0.25">
      <c r="C452"/>
      <c r="D452"/>
      <c r="E452"/>
      <c r="F452"/>
      <c r="G452"/>
      <c r="H452"/>
    </row>
    <row r="453" spans="3:8" ht="15" x14ac:dyDescent="0.25">
      <c r="C453"/>
      <c r="D453"/>
      <c r="E453"/>
      <c r="F453"/>
      <c r="G453"/>
      <c r="H453"/>
    </row>
    <row r="454" spans="3:8" ht="15" x14ac:dyDescent="0.25">
      <c r="C454"/>
      <c r="D454"/>
      <c r="E454"/>
      <c r="F454"/>
      <c r="G454"/>
      <c r="H454"/>
    </row>
    <row r="455" spans="3:8" ht="15" x14ac:dyDescent="0.25">
      <c r="C455"/>
      <c r="D455"/>
      <c r="E455"/>
      <c r="F455"/>
      <c r="G455"/>
      <c r="H455"/>
    </row>
    <row r="456" spans="3:8" ht="15" x14ac:dyDescent="0.25">
      <c r="C456"/>
      <c r="D456"/>
      <c r="E456"/>
      <c r="F456"/>
      <c r="G456"/>
      <c r="H456"/>
    </row>
    <row r="457" spans="3:8" ht="15" x14ac:dyDescent="0.25">
      <c r="C457"/>
      <c r="D457"/>
      <c r="E457"/>
      <c r="F457"/>
      <c r="G457"/>
      <c r="H457"/>
    </row>
    <row r="458" spans="3:8" ht="15" x14ac:dyDescent="0.25">
      <c r="C458"/>
      <c r="D458"/>
      <c r="E458"/>
      <c r="F458"/>
      <c r="G458"/>
      <c r="H458"/>
    </row>
    <row r="459" spans="3:8" ht="15" x14ac:dyDescent="0.25">
      <c r="C459"/>
      <c r="D459"/>
      <c r="E459"/>
      <c r="F459"/>
      <c r="G459"/>
      <c r="H459"/>
    </row>
    <row r="460" spans="3:8" ht="15" x14ac:dyDescent="0.25">
      <c r="C460"/>
      <c r="D460"/>
      <c r="E460"/>
      <c r="F460"/>
      <c r="G460"/>
      <c r="H460"/>
    </row>
    <row r="461" spans="3:8" ht="15" x14ac:dyDescent="0.25">
      <c r="C461"/>
      <c r="D461"/>
      <c r="E461"/>
      <c r="F461"/>
      <c r="G461"/>
      <c r="H461"/>
    </row>
    <row r="462" spans="3:8" ht="15" x14ac:dyDescent="0.25">
      <c r="C462"/>
      <c r="D462"/>
      <c r="E462"/>
      <c r="F462"/>
      <c r="G462"/>
      <c r="H462"/>
    </row>
    <row r="463" spans="3:8" ht="15" x14ac:dyDescent="0.25">
      <c r="C463"/>
      <c r="D463"/>
      <c r="E463"/>
      <c r="F463"/>
      <c r="G463"/>
      <c r="H463"/>
    </row>
    <row r="464" spans="3:8" ht="15" x14ac:dyDescent="0.25">
      <c r="C464"/>
      <c r="D464"/>
      <c r="E464"/>
      <c r="F464"/>
      <c r="G464"/>
      <c r="H464"/>
    </row>
    <row r="465" spans="3:8" ht="15" x14ac:dyDescent="0.25">
      <c r="C465"/>
      <c r="D465"/>
      <c r="E465"/>
      <c r="F465"/>
      <c r="G465"/>
      <c r="H465"/>
    </row>
    <row r="466" spans="3:8" ht="15" x14ac:dyDescent="0.25">
      <c r="C466"/>
      <c r="D466"/>
      <c r="E466"/>
      <c r="F466"/>
      <c r="G466"/>
      <c r="H466"/>
    </row>
    <row r="467" spans="3:8" ht="15" x14ac:dyDescent="0.25">
      <c r="C467"/>
      <c r="D467"/>
      <c r="E467"/>
      <c r="F467"/>
      <c r="G467"/>
      <c r="H467"/>
    </row>
    <row r="468" spans="3:8" ht="15" x14ac:dyDescent="0.25">
      <c r="C468"/>
      <c r="D468"/>
      <c r="E468"/>
      <c r="F468"/>
      <c r="G468"/>
      <c r="H468"/>
    </row>
    <row r="469" spans="3:8" ht="15" x14ac:dyDescent="0.25">
      <c r="C469"/>
      <c r="D469"/>
      <c r="E469"/>
      <c r="F469"/>
      <c r="G469"/>
      <c r="H469"/>
    </row>
    <row r="470" spans="3:8" ht="15" x14ac:dyDescent="0.25">
      <c r="C470"/>
      <c r="D470"/>
      <c r="E470"/>
      <c r="F470"/>
      <c r="G470"/>
      <c r="H470"/>
    </row>
    <row r="471" spans="3:8" ht="15" x14ac:dyDescent="0.25">
      <c r="C471"/>
      <c r="D471"/>
      <c r="E471"/>
      <c r="F471"/>
      <c r="G471"/>
      <c r="H471"/>
    </row>
    <row r="472" spans="3:8" ht="15" x14ac:dyDescent="0.25">
      <c r="C472"/>
      <c r="D472"/>
      <c r="E472"/>
      <c r="F472"/>
      <c r="G472"/>
      <c r="H472"/>
    </row>
    <row r="473" spans="3:8" ht="15" x14ac:dyDescent="0.25">
      <c r="C473"/>
      <c r="D473"/>
      <c r="E473"/>
      <c r="F473"/>
      <c r="G473"/>
      <c r="H473"/>
    </row>
    <row r="474" spans="3:8" ht="15" x14ac:dyDescent="0.25">
      <c r="C474"/>
      <c r="D474"/>
      <c r="E474"/>
      <c r="F474"/>
      <c r="G474"/>
      <c r="H474"/>
    </row>
    <row r="475" spans="3:8" ht="15" x14ac:dyDescent="0.25">
      <c r="C475"/>
      <c r="D475"/>
      <c r="E475"/>
      <c r="F475"/>
      <c r="G475"/>
      <c r="H475"/>
    </row>
    <row r="476" spans="3:8" ht="15" x14ac:dyDescent="0.25">
      <c r="C476"/>
      <c r="D476"/>
      <c r="E476"/>
      <c r="F476"/>
      <c r="G476"/>
      <c r="H476"/>
    </row>
    <row r="477" spans="3:8" ht="15" x14ac:dyDescent="0.25">
      <c r="C477"/>
      <c r="D477"/>
      <c r="E477"/>
      <c r="F477"/>
      <c r="G477"/>
      <c r="H477"/>
    </row>
    <row r="478" spans="3:8" ht="15" x14ac:dyDescent="0.25">
      <c r="C478"/>
      <c r="D478"/>
      <c r="E478"/>
      <c r="F478"/>
      <c r="G478"/>
      <c r="H478"/>
    </row>
    <row r="479" spans="3:8" ht="15" x14ac:dyDescent="0.25">
      <c r="C479"/>
      <c r="D479"/>
      <c r="E479"/>
      <c r="F479"/>
      <c r="G479"/>
      <c r="H479"/>
    </row>
    <row r="480" spans="3:8" ht="15" x14ac:dyDescent="0.25">
      <c r="C480"/>
      <c r="D480"/>
      <c r="E480"/>
      <c r="F480"/>
      <c r="G480"/>
      <c r="H480"/>
    </row>
    <row r="481" spans="3:8" ht="15" x14ac:dyDescent="0.25">
      <c r="C481"/>
      <c r="D481"/>
      <c r="E481"/>
      <c r="F481"/>
      <c r="G481"/>
      <c r="H481"/>
    </row>
    <row r="482" spans="3:8" ht="15" x14ac:dyDescent="0.25">
      <c r="C482"/>
      <c r="D482"/>
      <c r="E482"/>
      <c r="F482"/>
      <c r="G482"/>
      <c r="H482"/>
    </row>
    <row r="483" spans="3:8" ht="15" x14ac:dyDescent="0.25">
      <c r="C483"/>
      <c r="D483"/>
      <c r="E483"/>
      <c r="F483"/>
      <c r="G483"/>
      <c r="H483"/>
    </row>
    <row r="484" spans="3:8" ht="15" x14ac:dyDescent="0.25">
      <c r="C484"/>
      <c r="D484"/>
      <c r="E484"/>
      <c r="F484"/>
      <c r="G484"/>
      <c r="H484"/>
    </row>
    <row r="485" spans="3:8" ht="15" x14ac:dyDescent="0.25">
      <c r="C485"/>
      <c r="D485"/>
      <c r="E485"/>
      <c r="F485"/>
      <c r="G485"/>
      <c r="H485"/>
    </row>
    <row r="486" spans="3:8" ht="15" x14ac:dyDescent="0.25">
      <c r="C486"/>
      <c r="D486"/>
      <c r="E486"/>
      <c r="F486"/>
      <c r="G486"/>
      <c r="H486"/>
    </row>
    <row r="487" spans="3:8" ht="15" x14ac:dyDescent="0.25">
      <c r="C487"/>
      <c r="D487"/>
      <c r="E487"/>
      <c r="F487"/>
      <c r="G487"/>
      <c r="H487"/>
    </row>
    <row r="488" spans="3:8" ht="15" x14ac:dyDescent="0.25">
      <c r="C488"/>
      <c r="D488"/>
      <c r="E488"/>
      <c r="F488"/>
      <c r="G488"/>
      <c r="H488"/>
    </row>
    <row r="489" spans="3:8" ht="15" x14ac:dyDescent="0.25">
      <c r="C489"/>
      <c r="D489"/>
      <c r="E489"/>
      <c r="F489"/>
      <c r="G489"/>
      <c r="H489"/>
    </row>
    <row r="490" spans="3:8" ht="15" x14ac:dyDescent="0.25">
      <c r="C490"/>
      <c r="D490"/>
      <c r="E490"/>
      <c r="F490"/>
      <c r="G490"/>
      <c r="H490"/>
    </row>
    <row r="491" spans="3:8" ht="15" x14ac:dyDescent="0.25">
      <c r="C491"/>
      <c r="D491"/>
      <c r="E491"/>
      <c r="F491"/>
      <c r="G491"/>
      <c r="H491"/>
    </row>
    <row r="492" spans="3:8" ht="15" x14ac:dyDescent="0.25">
      <c r="C492"/>
      <c r="D492"/>
      <c r="E492"/>
      <c r="F492"/>
      <c r="G492"/>
      <c r="H492"/>
    </row>
    <row r="493" spans="3:8" ht="15" x14ac:dyDescent="0.25">
      <c r="C493"/>
      <c r="D493"/>
      <c r="E493"/>
      <c r="F493"/>
      <c r="G493"/>
      <c r="H493"/>
    </row>
    <row r="494" spans="3:8" ht="15" x14ac:dyDescent="0.25">
      <c r="C494"/>
      <c r="D494"/>
      <c r="E494"/>
      <c r="F494"/>
      <c r="G494"/>
      <c r="H494"/>
    </row>
    <row r="495" spans="3:8" ht="15" x14ac:dyDescent="0.25">
      <c r="C495"/>
      <c r="D495"/>
      <c r="E495"/>
      <c r="F495"/>
      <c r="G495"/>
      <c r="H495"/>
    </row>
    <row r="496" spans="3:8" ht="15" x14ac:dyDescent="0.25">
      <c r="C496"/>
      <c r="D496"/>
      <c r="E496"/>
      <c r="F496"/>
      <c r="G496"/>
      <c r="H496"/>
    </row>
    <row r="497" spans="3:8" ht="15" x14ac:dyDescent="0.25">
      <c r="C497"/>
      <c r="D497"/>
      <c r="E497"/>
      <c r="F497"/>
      <c r="G497"/>
      <c r="H497"/>
    </row>
    <row r="498" spans="3:8" ht="15" x14ac:dyDescent="0.25">
      <c r="C498"/>
      <c r="D498"/>
      <c r="E498"/>
      <c r="F498"/>
      <c r="G498"/>
      <c r="H498"/>
    </row>
    <row r="499" spans="3:8" ht="15" x14ac:dyDescent="0.25">
      <c r="C499"/>
      <c r="D499"/>
      <c r="E499"/>
      <c r="F499"/>
      <c r="G499"/>
      <c r="H499"/>
    </row>
    <row r="500" spans="3:8" ht="15" x14ac:dyDescent="0.25">
      <c r="C500"/>
      <c r="D500"/>
      <c r="E500"/>
      <c r="F500"/>
      <c r="G500"/>
      <c r="H500"/>
    </row>
    <row r="501" spans="3:8" ht="15" x14ac:dyDescent="0.25">
      <c r="C501"/>
      <c r="D501"/>
      <c r="E501"/>
      <c r="F501"/>
      <c r="G501"/>
      <c r="H501"/>
    </row>
    <row r="502" spans="3:8" ht="15" x14ac:dyDescent="0.25">
      <c r="C502"/>
      <c r="D502"/>
      <c r="E502"/>
      <c r="F502"/>
      <c r="G502"/>
      <c r="H502"/>
    </row>
    <row r="503" spans="3:8" ht="15" x14ac:dyDescent="0.25">
      <c r="C503"/>
      <c r="D503"/>
      <c r="E503"/>
      <c r="F503"/>
      <c r="G503"/>
      <c r="H503"/>
    </row>
    <row r="504" spans="3:8" ht="15" x14ac:dyDescent="0.25">
      <c r="C504"/>
      <c r="D504"/>
      <c r="E504"/>
      <c r="F504"/>
      <c r="G504"/>
      <c r="H504"/>
    </row>
    <row r="505" spans="3:8" ht="15" x14ac:dyDescent="0.25">
      <c r="C505"/>
      <c r="D505"/>
      <c r="E505"/>
      <c r="F505"/>
      <c r="G505"/>
      <c r="H505"/>
    </row>
    <row r="506" spans="3:8" ht="15" x14ac:dyDescent="0.25">
      <c r="C506"/>
      <c r="D506"/>
      <c r="E506"/>
      <c r="F506"/>
      <c r="G506"/>
      <c r="H506"/>
    </row>
    <row r="507" spans="3:8" ht="15" x14ac:dyDescent="0.25">
      <c r="C507"/>
      <c r="D507"/>
      <c r="E507"/>
      <c r="F507"/>
      <c r="G507"/>
      <c r="H507"/>
    </row>
    <row r="508" spans="3:8" ht="15" x14ac:dyDescent="0.25">
      <c r="C508"/>
      <c r="D508"/>
      <c r="E508"/>
      <c r="F508"/>
      <c r="G508"/>
      <c r="H508"/>
    </row>
    <row r="509" spans="3:8" ht="15" x14ac:dyDescent="0.25">
      <c r="C509"/>
      <c r="D509"/>
      <c r="E509"/>
      <c r="F509"/>
      <c r="G509"/>
      <c r="H509"/>
    </row>
    <row r="510" spans="3:8" ht="15" x14ac:dyDescent="0.25">
      <c r="C510"/>
      <c r="D510"/>
      <c r="E510"/>
      <c r="F510"/>
      <c r="G510"/>
      <c r="H510"/>
    </row>
    <row r="511" spans="3:8" ht="15" x14ac:dyDescent="0.25">
      <c r="C511"/>
      <c r="D511"/>
      <c r="E511"/>
      <c r="F511"/>
      <c r="G511"/>
      <c r="H511"/>
    </row>
    <row r="512" spans="3:8" ht="15" x14ac:dyDescent="0.25">
      <c r="C512"/>
      <c r="D512"/>
      <c r="E512"/>
      <c r="F512"/>
      <c r="G512"/>
      <c r="H512"/>
    </row>
    <row r="513" spans="3:8" ht="15" x14ac:dyDescent="0.25">
      <c r="C513"/>
      <c r="D513"/>
      <c r="E513"/>
      <c r="F513"/>
      <c r="G513"/>
      <c r="H513"/>
    </row>
    <row r="514" spans="3:8" ht="15" x14ac:dyDescent="0.25">
      <c r="C514"/>
      <c r="D514"/>
      <c r="E514"/>
      <c r="F514"/>
      <c r="G514"/>
      <c r="H514"/>
    </row>
    <row r="515" spans="3:8" ht="15" x14ac:dyDescent="0.25">
      <c r="C515"/>
      <c r="D515"/>
      <c r="E515"/>
      <c r="F515"/>
      <c r="G515"/>
      <c r="H515"/>
    </row>
    <row r="516" spans="3:8" ht="15" x14ac:dyDescent="0.25">
      <c r="C516"/>
      <c r="D516"/>
      <c r="E516"/>
      <c r="F516"/>
      <c r="G516"/>
      <c r="H516"/>
    </row>
    <row r="517" spans="3:8" ht="15" x14ac:dyDescent="0.25">
      <c r="C517"/>
      <c r="D517"/>
      <c r="E517"/>
      <c r="F517"/>
      <c r="G517"/>
      <c r="H517"/>
    </row>
    <row r="518" spans="3:8" ht="15" x14ac:dyDescent="0.25">
      <c r="C518"/>
      <c r="D518"/>
      <c r="E518"/>
      <c r="F518"/>
      <c r="G518"/>
      <c r="H518"/>
    </row>
    <row r="519" spans="3:8" ht="15" x14ac:dyDescent="0.25">
      <c r="C519"/>
      <c r="D519"/>
      <c r="E519"/>
      <c r="F519"/>
      <c r="G519"/>
      <c r="H519"/>
    </row>
    <row r="520" spans="3:8" ht="15" x14ac:dyDescent="0.25">
      <c r="C520"/>
      <c r="D520"/>
      <c r="E520"/>
      <c r="F520"/>
      <c r="G520"/>
      <c r="H520"/>
    </row>
    <row r="521" spans="3:8" ht="15" x14ac:dyDescent="0.25">
      <c r="C521"/>
      <c r="D521"/>
      <c r="E521"/>
      <c r="F521"/>
      <c r="G521"/>
      <c r="H521"/>
    </row>
    <row r="522" spans="3:8" ht="15" x14ac:dyDescent="0.25">
      <c r="C522"/>
      <c r="D522"/>
      <c r="E522"/>
      <c r="F522"/>
      <c r="G522"/>
      <c r="H522"/>
    </row>
    <row r="523" spans="3:8" ht="15" x14ac:dyDescent="0.25">
      <c r="C523"/>
      <c r="D523"/>
      <c r="E523"/>
      <c r="F523"/>
      <c r="G523"/>
      <c r="H523"/>
    </row>
    <row r="524" spans="3:8" ht="15" x14ac:dyDescent="0.25">
      <c r="C524"/>
      <c r="D524"/>
      <c r="E524"/>
      <c r="F524"/>
      <c r="G524"/>
      <c r="H524"/>
    </row>
    <row r="525" spans="3:8" ht="15" x14ac:dyDescent="0.25">
      <c r="C525"/>
      <c r="D525"/>
      <c r="E525"/>
      <c r="F525"/>
      <c r="G525"/>
      <c r="H525"/>
    </row>
    <row r="526" spans="3:8" ht="15" x14ac:dyDescent="0.25">
      <c r="C526"/>
      <c r="D526"/>
      <c r="E526"/>
      <c r="F526"/>
      <c r="G526"/>
      <c r="H526"/>
    </row>
    <row r="527" spans="3:8" ht="15" x14ac:dyDescent="0.25">
      <c r="C527"/>
      <c r="D527"/>
      <c r="E527"/>
      <c r="F527"/>
      <c r="G527"/>
      <c r="H527"/>
    </row>
    <row r="528" spans="3:8" ht="15" x14ac:dyDescent="0.25">
      <c r="C528"/>
      <c r="D528"/>
      <c r="E528"/>
      <c r="F528"/>
      <c r="G528"/>
      <c r="H528"/>
    </row>
    <row r="529" spans="3:8" ht="15" x14ac:dyDescent="0.25">
      <c r="C529"/>
      <c r="D529"/>
      <c r="E529"/>
      <c r="F529"/>
      <c r="G529"/>
      <c r="H529"/>
    </row>
    <row r="530" spans="3:8" ht="15" x14ac:dyDescent="0.25">
      <c r="C530"/>
      <c r="D530"/>
      <c r="E530"/>
      <c r="F530"/>
      <c r="G530"/>
      <c r="H530"/>
    </row>
    <row r="531" spans="3:8" ht="15" x14ac:dyDescent="0.25">
      <c r="C531"/>
      <c r="D531"/>
      <c r="E531"/>
      <c r="F531"/>
      <c r="G531"/>
      <c r="H531"/>
    </row>
    <row r="532" spans="3:8" ht="15" x14ac:dyDescent="0.25">
      <c r="C532"/>
      <c r="D532"/>
      <c r="E532"/>
      <c r="F532"/>
      <c r="G532"/>
      <c r="H532"/>
    </row>
    <row r="533" spans="3:8" ht="15" x14ac:dyDescent="0.25">
      <c r="C533"/>
      <c r="D533"/>
      <c r="E533"/>
      <c r="F533"/>
      <c r="G533"/>
      <c r="H533"/>
    </row>
    <row r="534" spans="3:8" ht="15" x14ac:dyDescent="0.25">
      <c r="C534"/>
      <c r="D534"/>
      <c r="E534"/>
      <c r="F534"/>
      <c r="G534"/>
      <c r="H534"/>
    </row>
    <row r="535" spans="3:8" ht="15" x14ac:dyDescent="0.25">
      <c r="C535"/>
      <c r="D535"/>
      <c r="E535"/>
      <c r="F535"/>
      <c r="G535"/>
      <c r="H535"/>
    </row>
    <row r="536" spans="3:8" ht="15" x14ac:dyDescent="0.25">
      <c r="C536"/>
      <c r="D536"/>
      <c r="E536"/>
      <c r="F536"/>
      <c r="G536"/>
      <c r="H536"/>
    </row>
    <row r="537" spans="3:8" ht="15" x14ac:dyDescent="0.25">
      <c r="C537"/>
      <c r="D537"/>
      <c r="E537"/>
      <c r="F537"/>
      <c r="G537"/>
      <c r="H537"/>
    </row>
    <row r="538" spans="3:8" ht="15" x14ac:dyDescent="0.25">
      <c r="C538"/>
      <c r="D538"/>
      <c r="E538"/>
      <c r="F538"/>
      <c r="G538"/>
      <c r="H538"/>
    </row>
    <row r="539" spans="3:8" ht="15" x14ac:dyDescent="0.25">
      <c r="C539"/>
      <c r="D539"/>
      <c r="E539"/>
      <c r="F539"/>
      <c r="G539"/>
      <c r="H539"/>
    </row>
    <row r="540" spans="3:8" ht="15" x14ac:dyDescent="0.25">
      <c r="C540"/>
      <c r="D540"/>
      <c r="E540"/>
      <c r="F540"/>
      <c r="G540"/>
      <c r="H540"/>
    </row>
    <row r="541" spans="3:8" ht="15" x14ac:dyDescent="0.25">
      <c r="C541"/>
      <c r="D541"/>
      <c r="E541"/>
      <c r="F541"/>
      <c r="G541"/>
      <c r="H541"/>
    </row>
    <row r="542" spans="3:8" ht="15" x14ac:dyDescent="0.25">
      <c r="C542"/>
      <c r="D542"/>
      <c r="E542"/>
      <c r="F542"/>
      <c r="G542"/>
      <c r="H542"/>
    </row>
    <row r="543" spans="3:8" ht="15" x14ac:dyDescent="0.25">
      <c r="C543"/>
      <c r="D543"/>
      <c r="E543"/>
      <c r="F543"/>
      <c r="G543"/>
      <c r="H543"/>
    </row>
    <row r="544" spans="3:8" ht="15" x14ac:dyDescent="0.25">
      <c r="C544"/>
      <c r="D544"/>
      <c r="E544"/>
      <c r="F544"/>
      <c r="G544"/>
      <c r="H544"/>
    </row>
    <row r="545" spans="3:8" ht="15" x14ac:dyDescent="0.25">
      <c r="C545"/>
      <c r="D545"/>
      <c r="E545"/>
      <c r="F545"/>
      <c r="G545"/>
      <c r="H545"/>
    </row>
    <row r="546" spans="3:8" ht="15" x14ac:dyDescent="0.25">
      <c r="C546"/>
      <c r="D546"/>
      <c r="E546"/>
      <c r="F546"/>
      <c r="G546"/>
      <c r="H546"/>
    </row>
    <row r="547" spans="3:8" ht="15" x14ac:dyDescent="0.25">
      <c r="C547"/>
      <c r="D547"/>
      <c r="E547"/>
      <c r="F547"/>
      <c r="G547"/>
      <c r="H547"/>
    </row>
    <row r="548" spans="3:8" ht="15" x14ac:dyDescent="0.25">
      <c r="C548"/>
      <c r="D548"/>
      <c r="E548"/>
      <c r="F548"/>
      <c r="G548"/>
      <c r="H548"/>
    </row>
    <row r="549" spans="3:8" ht="15" x14ac:dyDescent="0.25">
      <c r="C549"/>
      <c r="D549"/>
      <c r="E549"/>
      <c r="F549"/>
      <c r="G549"/>
      <c r="H549"/>
    </row>
    <row r="550" spans="3:8" ht="15" x14ac:dyDescent="0.25">
      <c r="C550"/>
      <c r="D550"/>
      <c r="E550"/>
      <c r="F550"/>
      <c r="G550"/>
      <c r="H550"/>
    </row>
    <row r="551" spans="3:8" ht="15" x14ac:dyDescent="0.25">
      <c r="C551"/>
      <c r="D551"/>
      <c r="E551"/>
      <c r="F551"/>
      <c r="G551"/>
      <c r="H551"/>
    </row>
    <row r="552" spans="3:8" ht="15" x14ac:dyDescent="0.25">
      <c r="C552"/>
      <c r="D552"/>
      <c r="E552"/>
      <c r="F552"/>
      <c r="G552"/>
      <c r="H552"/>
    </row>
    <row r="553" spans="3:8" ht="15" x14ac:dyDescent="0.25">
      <c r="C553"/>
      <c r="D553"/>
      <c r="E553"/>
      <c r="F553"/>
      <c r="G553"/>
      <c r="H553"/>
    </row>
    <row r="554" spans="3:8" ht="15" x14ac:dyDescent="0.25">
      <c r="C554"/>
      <c r="D554"/>
      <c r="E554"/>
      <c r="F554"/>
      <c r="G554"/>
      <c r="H554"/>
    </row>
    <row r="555" spans="3:8" ht="15" x14ac:dyDescent="0.25">
      <c r="C555"/>
      <c r="D555"/>
      <c r="E555"/>
      <c r="F555"/>
      <c r="G555"/>
      <c r="H555"/>
    </row>
    <row r="556" spans="3:8" ht="15" x14ac:dyDescent="0.25">
      <c r="C556"/>
      <c r="D556"/>
      <c r="E556"/>
      <c r="F556"/>
      <c r="G556"/>
      <c r="H556"/>
    </row>
    <row r="557" spans="3:8" ht="15" x14ac:dyDescent="0.25">
      <c r="C557"/>
      <c r="D557"/>
      <c r="E557"/>
      <c r="F557"/>
      <c r="G557"/>
      <c r="H557"/>
    </row>
    <row r="558" spans="3:8" ht="15" x14ac:dyDescent="0.25">
      <c r="C558"/>
      <c r="D558"/>
      <c r="E558"/>
      <c r="F558"/>
      <c r="G558"/>
      <c r="H558"/>
    </row>
    <row r="559" spans="3:8" ht="15" x14ac:dyDescent="0.25">
      <c r="C559"/>
      <c r="D559"/>
      <c r="E559"/>
      <c r="F559"/>
      <c r="G559"/>
      <c r="H559"/>
    </row>
    <row r="560" spans="3:8" ht="15" x14ac:dyDescent="0.25">
      <c r="C560"/>
      <c r="D560"/>
      <c r="E560"/>
      <c r="F560"/>
      <c r="G560"/>
      <c r="H560"/>
    </row>
    <row r="561" spans="3:8" ht="15" x14ac:dyDescent="0.25">
      <c r="C561"/>
      <c r="D561"/>
      <c r="E561"/>
      <c r="F561"/>
      <c r="G561"/>
      <c r="H561"/>
    </row>
    <row r="562" spans="3:8" ht="15" x14ac:dyDescent="0.25">
      <c r="C562"/>
      <c r="D562"/>
      <c r="E562"/>
      <c r="F562"/>
      <c r="G562"/>
      <c r="H562"/>
    </row>
    <row r="563" spans="3:8" ht="15" x14ac:dyDescent="0.25">
      <c r="C563"/>
      <c r="D563"/>
      <c r="E563"/>
      <c r="F563"/>
      <c r="G563"/>
      <c r="H563"/>
    </row>
    <row r="564" spans="3:8" ht="15" x14ac:dyDescent="0.25">
      <c r="C564"/>
      <c r="D564"/>
      <c r="E564"/>
      <c r="F564"/>
      <c r="G564"/>
      <c r="H564"/>
    </row>
    <row r="565" spans="3:8" ht="15" x14ac:dyDescent="0.25">
      <c r="C565"/>
      <c r="D565"/>
      <c r="E565"/>
      <c r="F565"/>
      <c r="G565"/>
      <c r="H565"/>
    </row>
    <row r="566" spans="3:8" ht="15" x14ac:dyDescent="0.25">
      <c r="C566"/>
      <c r="D566"/>
      <c r="E566"/>
      <c r="F566"/>
      <c r="G566"/>
      <c r="H566"/>
    </row>
    <row r="567" spans="3:8" ht="15" x14ac:dyDescent="0.25">
      <c r="C567"/>
      <c r="D567"/>
      <c r="E567"/>
      <c r="F567"/>
      <c r="G567"/>
      <c r="H567"/>
    </row>
    <row r="568" spans="3:8" ht="15" x14ac:dyDescent="0.25">
      <c r="C568"/>
      <c r="D568"/>
      <c r="E568"/>
      <c r="F568"/>
      <c r="G568"/>
      <c r="H568"/>
    </row>
    <row r="569" spans="3:8" ht="15" x14ac:dyDescent="0.25">
      <c r="C569"/>
      <c r="D569"/>
      <c r="E569"/>
      <c r="F569"/>
      <c r="G569"/>
      <c r="H569"/>
    </row>
    <row r="570" spans="3:8" ht="15" x14ac:dyDescent="0.25">
      <c r="C570"/>
      <c r="D570"/>
      <c r="E570"/>
      <c r="F570"/>
      <c r="G570"/>
      <c r="H570"/>
    </row>
    <row r="571" spans="3:8" ht="15" x14ac:dyDescent="0.25">
      <c r="C571"/>
      <c r="D571"/>
      <c r="E571"/>
      <c r="F571"/>
      <c r="G571"/>
      <c r="H571"/>
    </row>
    <row r="572" spans="3:8" ht="15" x14ac:dyDescent="0.25">
      <c r="C572"/>
      <c r="D572"/>
      <c r="E572"/>
      <c r="F572"/>
      <c r="G572"/>
      <c r="H572"/>
    </row>
    <row r="573" spans="3:8" ht="15" x14ac:dyDescent="0.25">
      <c r="C573"/>
      <c r="D573"/>
      <c r="E573"/>
      <c r="F573"/>
      <c r="G573"/>
      <c r="H573"/>
    </row>
    <row r="574" spans="3:8" ht="15" x14ac:dyDescent="0.25">
      <c r="C574"/>
      <c r="D574"/>
      <c r="E574"/>
      <c r="F574"/>
      <c r="G574"/>
      <c r="H574"/>
    </row>
    <row r="575" spans="3:8" ht="15" x14ac:dyDescent="0.25">
      <c r="C575"/>
      <c r="D575"/>
      <c r="E575"/>
      <c r="F575"/>
      <c r="G575"/>
      <c r="H575"/>
    </row>
    <row r="576" spans="3:8" ht="15" x14ac:dyDescent="0.25">
      <c r="C576"/>
      <c r="D576"/>
      <c r="E576"/>
      <c r="F576"/>
      <c r="G576"/>
      <c r="H576"/>
    </row>
    <row r="577" spans="3:8" ht="15" x14ac:dyDescent="0.25">
      <c r="C577"/>
      <c r="D577"/>
      <c r="E577"/>
      <c r="F577"/>
      <c r="G577"/>
      <c r="H577"/>
    </row>
    <row r="578" spans="3:8" ht="15" x14ac:dyDescent="0.25">
      <c r="C578"/>
      <c r="D578"/>
      <c r="E578"/>
      <c r="F578"/>
      <c r="G578"/>
      <c r="H578"/>
    </row>
    <row r="579" spans="3:8" ht="15" x14ac:dyDescent="0.25">
      <c r="C579"/>
      <c r="D579"/>
      <c r="E579"/>
      <c r="F579"/>
      <c r="G579"/>
      <c r="H579"/>
    </row>
    <row r="580" spans="3:8" ht="15" x14ac:dyDescent="0.25">
      <c r="C580"/>
      <c r="D580"/>
      <c r="E580"/>
      <c r="F580"/>
      <c r="G580"/>
      <c r="H580"/>
    </row>
    <row r="581" spans="3:8" ht="15" x14ac:dyDescent="0.25">
      <c r="C581"/>
      <c r="D581"/>
      <c r="E581"/>
      <c r="F581"/>
      <c r="G581"/>
      <c r="H581"/>
    </row>
    <row r="582" spans="3:8" ht="15" x14ac:dyDescent="0.25">
      <c r="C582"/>
      <c r="D582"/>
      <c r="E582"/>
      <c r="F582"/>
      <c r="G582"/>
      <c r="H582"/>
    </row>
    <row r="583" spans="3:8" ht="15" x14ac:dyDescent="0.25">
      <c r="C583"/>
      <c r="D583"/>
      <c r="E583"/>
      <c r="F583"/>
      <c r="G583"/>
      <c r="H583"/>
    </row>
    <row r="584" spans="3:8" ht="15" x14ac:dyDescent="0.25">
      <c r="C584"/>
      <c r="D584"/>
      <c r="E584"/>
      <c r="F584"/>
      <c r="G584"/>
      <c r="H584"/>
    </row>
    <row r="585" spans="3:8" ht="15" x14ac:dyDescent="0.25">
      <c r="C585"/>
      <c r="D585"/>
      <c r="E585"/>
      <c r="F585"/>
      <c r="G585"/>
      <c r="H585"/>
    </row>
    <row r="586" spans="3:8" ht="15" x14ac:dyDescent="0.25">
      <c r="C586"/>
      <c r="D586"/>
      <c r="E586"/>
      <c r="F586"/>
      <c r="G586"/>
      <c r="H586"/>
    </row>
    <row r="587" spans="3:8" ht="15" x14ac:dyDescent="0.25">
      <c r="C587"/>
      <c r="D587"/>
      <c r="E587"/>
      <c r="F587"/>
      <c r="G587"/>
      <c r="H587"/>
    </row>
    <row r="588" spans="3:8" ht="15" x14ac:dyDescent="0.25">
      <c r="C588"/>
      <c r="D588"/>
      <c r="E588"/>
      <c r="F588"/>
      <c r="G588"/>
      <c r="H588"/>
    </row>
    <row r="589" spans="3:8" ht="15" x14ac:dyDescent="0.25">
      <c r="C589"/>
      <c r="D589"/>
      <c r="E589"/>
      <c r="F589"/>
      <c r="G589"/>
      <c r="H589"/>
    </row>
    <row r="590" spans="3:8" ht="15" x14ac:dyDescent="0.25">
      <c r="C590"/>
      <c r="D590"/>
      <c r="E590"/>
      <c r="F590"/>
      <c r="G590"/>
      <c r="H590"/>
    </row>
    <row r="591" spans="3:8" ht="15" x14ac:dyDescent="0.25">
      <c r="C591"/>
      <c r="D591"/>
      <c r="E591"/>
      <c r="F591"/>
      <c r="G591"/>
      <c r="H591"/>
    </row>
    <row r="592" spans="3:8" ht="15" x14ac:dyDescent="0.25">
      <c r="C592"/>
      <c r="D592"/>
      <c r="E592"/>
      <c r="F592"/>
      <c r="G592"/>
      <c r="H592"/>
    </row>
    <row r="593" spans="3:8" ht="15" x14ac:dyDescent="0.25">
      <c r="C593"/>
      <c r="D593"/>
      <c r="E593"/>
      <c r="F593"/>
      <c r="G593"/>
      <c r="H593"/>
    </row>
    <row r="594" spans="3:8" ht="15" x14ac:dyDescent="0.25">
      <c r="C594"/>
      <c r="D594"/>
      <c r="E594"/>
      <c r="F594"/>
      <c r="G594"/>
      <c r="H594"/>
    </row>
    <row r="595" spans="3:8" ht="15" x14ac:dyDescent="0.25">
      <c r="C595"/>
      <c r="D595"/>
      <c r="E595"/>
      <c r="F595"/>
      <c r="G595"/>
      <c r="H595"/>
    </row>
    <row r="596" spans="3:8" ht="15" x14ac:dyDescent="0.25">
      <c r="C596"/>
      <c r="D596"/>
      <c r="E596"/>
      <c r="F596"/>
      <c r="G596"/>
      <c r="H596"/>
    </row>
    <row r="597" spans="3:8" ht="15" x14ac:dyDescent="0.25">
      <c r="C597"/>
      <c r="D597"/>
      <c r="E597"/>
      <c r="F597"/>
      <c r="G597"/>
      <c r="H597"/>
    </row>
    <row r="598" spans="3:8" ht="15" x14ac:dyDescent="0.25">
      <c r="C598"/>
      <c r="D598"/>
      <c r="E598"/>
      <c r="F598"/>
      <c r="G598"/>
      <c r="H598"/>
    </row>
    <row r="599" spans="3:8" ht="15" x14ac:dyDescent="0.25">
      <c r="C599"/>
      <c r="D599"/>
      <c r="E599"/>
      <c r="F599"/>
      <c r="G599"/>
      <c r="H599"/>
    </row>
    <row r="600" spans="3:8" ht="15" x14ac:dyDescent="0.25">
      <c r="C600"/>
      <c r="D600"/>
      <c r="E600"/>
      <c r="F600"/>
      <c r="G600"/>
      <c r="H600"/>
    </row>
    <row r="601" spans="3:8" ht="15" x14ac:dyDescent="0.25">
      <c r="C601"/>
      <c r="D601"/>
      <c r="E601"/>
      <c r="F601"/>
      <c r="G601"/>
      <c r="H601"/>
    </row>
    <row r="602" spans="3:8" ht="15" x14ac:dyDescent="0.25">
      <c r="C602"/>
      <c r="D602"/>
      <c r="E602"/>
      <c r="F602"/>
      <c r="G602"/>
      <c r="H602"/>
    </row>
    <row r="603" spans="3:8" ht="15" x14ac:dyDescent="0.25">
      <c r="C603"/>
      <c r="D603"/>
      <c r="E603"/>
      <c r="F603"/>
      <c r="G603"/>
      <c r="H603"/>
    </row>
    <row r="604" spans="3:8" ht="15" x14ac:dyDescent="0.25">
      <c r="C604"/>
      <c r="D604"/>
      <c r="E604"/>
      <c r="F604"/>
      <c r="G604"/>
      <c r="H604"/>
    </row>
    <row r="605" spans="3:8" ht="15" x14ac:dyDescent="0.25">
      <c r="C605"/>
      <c r="D605"/>
      <c r="E605"/>
      <c r="F605"/>
      <c r="G605"/>
      <c r="H605"/>
    </row>
    <row r="606" spans="3:8" ht="15" x14ac:dyDescent="0.25">
      <c r="C606"/>
      <c r="D606"/>
      <c r="E606"/>
      <c r="F606"/>
      <c r="G606"/>
      <c r="H606"/>
    </row>
    <row r="607" spans="3:8" ht="15" x14ac:dyDescent="0.25">
      <c r="C607"/>
      <c r="D607"/>
      <c r="E607"/>
      <c r="F607"/>
      <c r="G607"/>
      <c r="H607"/>
    </row>
    <row r="608" spans="3:8" ht="15" x14ac:dyDescent="0.25">
      <c r="C608"/>
      <c r="D608"/>
      <c r="E608"/>
      <c r="F608"/>
      <c r="G608"/>
      <c r="H608"/>
    </row>
    <row r="609" spans="3:8" ht="15" x14ac:dyDescent="0.25">
      <c r="C609"/>
      <c r="D609"/>
      <c r="E609"/>
      <c r="F609"/>
      <c r="G609"/>
      <c r="H609"/>
    </row>
    <row r="610" spans="3:8" ht="15" x14ac:dyDescent="0.25">
      <c r="C610"/>
      <c r="D610"/>
      <c r="E610"/>
      <c r="F610"/>
      <c r="G610"/>
      <c r="H610"/>
    </row>
    <row r="611" spans="3:8" ht="15" x14ac:dyDescent="0.25">
      <c r="C611"/>
      <c r="D611"/>
      <c r="E611"/>
      <c r="F611"/>
      <c r="G611"/>
      <c r="H611"/>
    </row>
    <row r="612" spans="3:8" ht="15" x14ac:dyDescent="0.25">
      <c r="C612"/>
      <c r="D612"/>
      <c r="E612"/>
      <c r="F612"/>
      <c r="G612"/>
      <c r="H612"/>
    </row>
    <row r="613" spans="3:8" ht="15" x14ac:dyDescent="0.25">
      <c r="C613"/>
      <c r="D613"/>
      <c r="E613"/>
      <c r="F613"/>
      <c r="G613"/>
      <c r="H613"/>
    </row>
    <row r="614" spans="3:8" ht="15" x14ac:dyDescent="0.25">
      <c r="C614"/>
      <c r="D614"/>
      <c r="E614"/>
      <c r="F614"/>
      <c r="G614"/>
      <c r="H614"/>
    </row>
    <row r="615" spans="3:8" ht="15" x14ac:dyDescent="0.25">
      <c r="C615"/>
      <c r="D615"/>
      <c r="E615"/>
      <c r="F615"/>
      <c r="G615"/>
      <c r="H615"/>
    </row>
    <row r="616" spans="3:8" ht="15" x14ac:dyDescent="0.25">
      <c r="C616"/>
      <c r="D616"/>
      <c r="E616"/>
      <c r="F616"/>
      <c r="G616"/>
      <c r="H616"/>
    </row>
    <row r="617" spans="3:8" ht="15" x14ac:dyDescent="0.25">
      <c r="C617"/>
      <c r="D617"/>
      <c r="E617"/>
      <c r="F617"/>
      <c r="G617"/>
      <c r="H617"/>
    </row>
    <row r="618" spans="3:8" ht="15" x14ac:dyDescent="0.25">
      <c r="C618"/>
      <c r="D618"/>
      <c r="E618"/>
      <c r="F618"/>
      <c r="G618"/>
      <c r="H618"/>
    </row>
    <row r="619" spans="3:8" ht="15" x14ac:dyDescent="0.25">
      <c r="C619"/>
      <c r="D619"/>
      <c r="E619"/>
      <c r="F619"/>
      <c r="G619"/>
      <c r="H619"/>
    </row>
    <row r="620" spans="3:8" ht="15" x14ac:dyDescent="0.25">
      <c r="C620"/>
      <c r="D620"/>
      <c r="E620"/>
      <c r="F620"/>
      <c r="G620"/>
      <c r="H620"/>
    </row>
    <row r="621" spans="3:8" ht="15" x14ac:dyDescent="0.25">
      <c r="C621"/>
      <c r="D621"/>
      <c r="E621"/>
      <c r="F621"/>
      <c r="G621"/>
      <c r="H621"/>
    </row>
    <row r="622" spans="3:8" ht="15" x14ac:dyDescent="0.25">
      <c r="C622"/>
      <c r="D622"/>
      <c r="E622"/>
      <c r="F622"/>
      <c r="G622"/>
      <c r="H622"/>
    </row>
    <row r="623" spans="3:8" ht="15" x14ac:dyDescent="0.25">
      <c r="C623"/>
      <c r="D623"/>
      <c r="E623"/>
      <c r="F623"/>
      <c r="G623"/>
      <c r="H623"/>
    </row>
    <row r="624" spans="3:8" ht="15" x14ac:dyDescent="0.25">
      <c r="C624"/>
      <c r="D624"/>
      <c r="E624"/>
      <c r="F624"/>
      <c r="G624"/>
      <c r="H624"/>
    </row>
    <row r="625" spans="3:8" ht="15" x14ac:dyDescent="0.25">
      <c r="C625"/>
      <c r="D625"/>
      <c r="E625"/>
      <c r="F625"/>
      <c r="G625"/>
      <c r="H625"/>
    </row>
    <row r="626" spans="3:8" ht="15" x14ac:dyDescent="0.25">
      <c r="C626"/>
      <c r="D626"/>
      <c r="E626"/>
      <c r="F626"/>
      <c r="G626"/>
      <c r="H626"/>
    </row>
    <row r="627" spans="3:8" ht="15" x14ac:dyDescent="0.25">
      <c r="C627"/>
      <c r="D627"/>
      <c r="E627"/>
      <c r="F627"/>
      <c r="G627"/>
      <c r="H627"/>
    </row>
    <row r="628" spans="3:8" ht="15" x14ac:dyDescent="0.25">
      <c r="C628"/>
      <c r="D628"/>
      <c r="E628"/>
      <c r="F628"/>
      <c r="G628"/>
      <c r="H628"/>
    </row>
    <row r="629" spans="3:8" ht="15" x14ac:dyDescent="0.25">
      <c r="C629"/>
      <c r="D629"/>
      <c r="E629"/>
      <c r="F629"/>
      <c r="G629"/>
      <c r="H629"/>
    </row>
    <row r="630" spans="3:8" ht="15" x14ac:dyDescent="0.25">
      <c r="C630"/>
      <c r="D630"/>
      <c r="E630"/>
      <c r="F630"/>
      <c r="G630"/>
      <c r="H630"/>
    </row>
    <row r="631" spans="3:8" ht="15" x14ac:dyDescent="0.25">
      <c r="C631"/>
      <c r="D631"/>
      <c r="E631"/>
      <c r="F631"/>
      <c r="G631"/>
      <c r="H631"/>
    </row>
    <row r="632" spans="3:8" ht="15" x14ac:dyDescent="0.25">
      <c r="C632"/>
      <c r="D632"/>
      <c r="E632"/>
      <c r="F632"/>
      <c r="G632"/>
      <c r="H632"/>
    </row>
    <row r="633" spans="3:8" ht="15" x14ac:dyDescent="0.25">
      <c r="C633"/>
      <c r="D633"/>
      <c r="E633"/>
      <c r="F633"/>
      <c r="G633"/>
      <c r="H633"/>
    </row>
    <row r="634" spans="3:8" ht="15" x14ac:dyDescent="0.25">
      <c r="C634"/>
      <c r="D634"/>
      <c r="E634"/>
      <c r="F634"/>
      <c r="G634"/>
      <c r="H634"/>
    </row>
    <row r="635" spans="3:8" ht="15" x14ac:dyDescent="0.25">
      <c r="C635"/>
      <c r="D635"/>
      <c r="E635"/>
      <c r="F635"/>
      <c r="G635"/>
      <c r="H635"/>
    </row>
    <row r="636" spans="3:8" ht="15" x14ac:dyDescent="0.25">
      <c r="C636"/>
      <c r="D636"/>
      <c r="E636"/>
      <c r="F636"/>
      <c r="G636"/>
      <c r="H636"/>
    </row>
    <row r="637" spans="3:8" ht="15" x14ac:dyDescent="0.25">
      <c r="C637"/>
      <c r="D637"/>
      <c r="E637"/>
      <c r="F637"/>
      <c r="G637"/>
      <c r="H637"/>
    </row>
    <row r="638" spans="3:8" ht="15" x14ac:dyDescent="0.25">
      <c r="C638"/>
      <c r="D638"/>
      <c r="E638"/>
      <c r="F638"/>
      <c r="G638"/>
      <c r="H638"/>
    </row>
    <row r="639" spans="3:8" ht="15" x14ac:dyDescent="0.25">
      <c r="C639"/>
      <c r="D639"/>
      <c r="E639"/>
      <c r="F639"/>
      <c r="G639"/>
      <c r="H639"/>
    </row>
    <row r="640" spans="3:8" ht="15" x14ac:dyDescent="0.25">
      <c r="C640"/>
      <c r="D640"/>
      <c r="E640"/>
      <c r="F640"/>
      <c r="G640"/>
      <c r="H640"/>
    </row>
    <row r="641" spans="3:8" ht="15" x14ac:dyDescent="0.25">
      <c r="C641"/>
      <c r="D641"/>
      <c r="E641"/>
      <c r="F641"/>
      <c r="G641"/>
      <c r="H641"/>
    </row>
    <row r="642" spans="3:8" ht="15" x14ac:dyDescent="0.25">
      <c r="C642"/>
      <c r="D642"/>
      <c r="E642"/>
      <c r="F642"/>
      <c r="G642"/>
      <c r="H642"/>
    </row>
    <row r="643" spans="3:8" ht="15" x14ac:dyDescent="0.25">
      <c r="C643"/>
      <c r="D643"/>
      <c r="E643"/>
      <c r="F643"/>
      <c r="G643"/>
      <c r="H643"/>
    </row>
    <row r="644" spans="3:8" ht="15" x14ac:dyDescent="0.25">
      <c r="C644"/>
      <c r="D644"/>
      <c r="E644"/>
      <c r="F644"/>
      <c r="G644"/>
      <c r="H644"/>
    </row>
    <row r="645" spans="3:8" ht="15" x14ac:dyDescent="0.25">
      <c r="C645"/>
      <c r="D645"/>
      <c r="E645"/>
      <c r="F645"/>
      <c r="G645"/>
      <c r="H645"/>
    </row>
    <row r="646" spans="3:8" ht="15" x14ac:dyDescent="0.25">
      <c r="C646"/>
      <c r="D646"/>
      <c r="E646"/>
      <c r="F646"/>
      <c r="G646"/>
      <c r="H646"/>
    </row>
    <row r="647" spans="3:8" ht="15" x14ac:dyDescent="0.25">
      <c r="C647"/>
      <c r="D647"/>
      <c r="E647"/>
      <c r="F647"/>
      <c r="G647"/>
      <c r="H647"/>
    </row>
    <row r="648" spans="3:8" ht="15" x14ac:dyDescent="0.25">
      <c r="C648"/>
      <c r="D648"/>
      <c r="E648"/>
      <c r="F648"/>
      <c r="G648"/>
      <c r="H648"/>
    </row>
    <row r="649" spans="3:8" ht="15" x14ac:dyDescent="0.25">
      <c r="C649"/>
      <c r="D649"/>
      <c r="E649"/>
      <c r="F649"/>
      <c r="G649"/>
      <c r="H649"/>
    </row>
    <row r="650" spans="3:8" ht="15" x14ac:dyDescent="0.25">
      <c r="C650"/>
      <c r="D650"/>
      <c r="E650"/>
      <c r="F650"/>
      <c r="G650"/>
      <c r="H650"/>
    </row>
    <row r="651" spans="3:8" ht="15" x14ac:dyDescent="0.25">
      <c r="C651"/>
      <c r="D651"/>
      <c r="E651"/>
      <c r="F651"/>
      <c r="G651"/>
      <c r="H651"/>
    </row>
    <row r="652" spans="3:8" ht="15" x14ac:dyDescent="0.25">
      <c r="C652"/>
      <c r="D652"/>
      <c r="E652"/>
      <c r="F652"/>
      <c r="G652"/>
      <c r="H652"/>
    </row>
    <row r="653" spans="3:8" ht="15" x14ac:dyDescent="0.25">
      <c r="C653"/>
      <c r="D653"/>
      <c r="E653"/>
      <c r="F653"/>
      <c r="G653"/>
      <c r="H653"/>
    </row>
    <row r="654" spans="3:8" ht="15" x14ac:dyDescent="0.25">
      <c r="C654"/>
      <c r="D654"/>
      <c r="E654"/>
      <c r="F654"/>
      <c r="G654"/>
      <c r="H654"/>
    </row>
    <row r="655" spans="3:8" ht="15" x14ac:dyDescent="0.25">
      <c r="C655"/>
      <c r="D655"/>
      <c r="E655"/>
      <c r="F655"/>
      <c r="G655"/>
      <c r="H655"/>
    </row>
    <row r="656" spans="3:8" ht="15" x14ac:dyDescent="0.25">
      <c r="C656"/>
      <c r="D656"/>
      <c r="E656"/>
      <c r="F656"/>
      <c r="G656"/>
      <c r="H656"/>
    </row>
    <row r="657" spans="3:8" ht="15" x14ac:dyDescent="0.25">
      <c r="C657"/>
      <c r="D657"/>
      <c r="E657"/>
      <c r="F657"/>
      <c r="G657"/>
      <c r="H657"/>
    </row>
    <row r="658" spans="3:8" ht="15" x14ac:dyDescent="0.25">
      <c r="C658"/>
      <c r="D658"/>
      <c r="E658"/>
      <c r="F658"/>
      <c r="G658"/>
      <c r="H658"/>
    </row>
    <row r="659" spans="3:8" ht="15" x14ac:dyDescent="0.25">
      <c r="C659"/>
      <c r="D659"/>
      <c r="E659"/>
      <c r="F659"/>
      <c r="G659"/>
      <c r="H659"/>
    </row>
    <row r="660" spans="3:8" ht="15" x14ac:dyDescent="0.25">
      <c r="C660"/>
      <c r="D660"/>
      <c r="E660"/>
      <c r="F660"/>
      <c r="G660"/>
      <c r="H660"/>
    </row>
    <row r="661" spans="3:8" ht="15" x14ac:dyDescent="0.25">
      <c r="C661"/>
      <c r="D661"/>
      <c r="E661"/>
      <c r="F661"/>
      <c r="G661"/>
      <c r="H661"/>
    </row>
    <row r="662" spans="3:8" ht="15" x14ac:dyDescent="0.25">
      <c r="C662"/>
      <c r="D662"/>
      <c r="E662"/>
      <c r="F662"/>
      <c r="G662"/>
      <c r="H662"/>
    </row>
    <row r="663" spans="3:8" ht="15" x14ac:dyDescent="0.25">
      <c r="C663"/>
      <c r="D663"/>
      <c r="E663"/>
      <c r="F663"/>
      <c r="G663"/>
      <c r="H663"/>
    </row>
    <row r="664" spans="3:8" ht="15" x14ac:dyDescent="0.25">
      <c r="C664"/>
      <c r="D664"/>
      <c r="E664"/>
      <c r="F664"/>
      <c r="G664"/>
      <c r="H664"/>
    </row>
    <row r="665" spans="3:8" ht="15" x14ac:dyDescent="0.25">
      <c r="C665"/>
      <c r="D665"/>
      <c r="E665"/>
      <c r="F665"/>
      <c r="G665"/>
      <c r="H665"/>
    </row>
    <row r="666" spans="3:8" ht="15" x14ac:dyDescent="0.25">
      <c r="C666"/>
      <c r="D666"/>
      <c r="E666"/>
      <c r="F666"/>
      <c r="G666"/>
      <c r="H666"/>
    </row>
    <row r="667" spans="3:8" ht="15" x14ac:dyDescent="0.25">
      <c r="C667"/>
      <c r="D667"/>
      <c r="E667"/>
      <c r="F667"/>
      <c r="G667"/>
      <c r="H667"/>
    </row>
    <row r="668" spans="3:8" ht="15" x14ac:dyDescent="0.25">
      <c r="C668"/>
      <c r="D668"/>
      <c r="E668"/>
      <c r="F668"/>
      <c r="G668"/>
      <c r="H668"/>
    </row>
    <row r="669" spans="3:8" ht="15" x14ac:dyDescent="0.25">
      <c r="C669"/>
      <c r="D669"/>
      <c r="E669"/>
      <c r="F669"/>
      <c r="G669"/>
      <c r="H669"/>
    </row>
    <row r="670" spans="3:8" ht="15" x14ac:dyDescent="0.25">
      <c r="C670"/>
      <c r="D670"/>
      <c r="E670"/>
      <c r="F670"/>
      <c r="G670"/>
      <c r="H670"/>
    </row>
    <row r="671" spans="3:8" ht="15" x14ac:dyDescent="0.25">
      <c r="C671"/>
      <c r="D671"/>
      <c r="E671"/>
      <c r="F671"/>
      <c r="G671"/>
      <c r="H671"/>
    </row>
    <row r="672" spans="3:8" ht="15" x14ac:dyDescent="0.25">
      <c r="C672"/>
      <c r="D672"/>
      <c r="E672"/>
      <c r="F672"/>
      <c r="G672"/>
      <c r="H672"/>
    </row>
    <row r="673" spans="3:8" ht="15" x14ac:dyDescent="0.25">
      <c r="C673"/>
      <c r="D673"/>
      <c r="E673"/>
      <c r="F673"/>
      <c r="G673"/>
      <c r="H673"/>
    </row>
    <row r="674" spans="3:8" ht="15" x14ac:dyDescent="0.25">
      <c r="C674"/>
      <c r="D674"/>
      <c r="E674"/>
      <c r="F674"/>
      <c r="G674"/>
      <c r="H674"/>
    </row>
    <row r="675" spans="3:8" ht="15" x14ac:dyDescent="0.25">
      <c r="C675"/>
      <c r="D675"/>
      <c r="E675"/>
      <c r="F675"/>
      <c r="G675"/>
      <c r="H675"/>
    </row>
    <row r="676" spans="3:8" ht="15" x14ac:dyDescent="0.25">
      <c r="C676"/>
      <c r="D676"/>
      <c r="E676"/>
      <c r="F676"/>
      <c r="G676"/>
      <c r="H676"/>
    </row>
    <row r="677" spans="3:8" ht="15" x14ac:dyDescent="0.25">
      <c r="C677"/>
      <c r="D677"/>
      <c r="E677"/>
      <c r="F677"/>
      <c r="G677"/>
      <c r="H677"/>
    </row>
    <row r="678" spans="3:8" ht="15" x14ac:dyDescent="0.25">
      <c r="C678"/>
      <c r="D678"/>
      <c r="E678"/>
      <c r="F678"/>
      <c r="G678"/>
      <c r="H678"/>
    </row>
    <row r="679" spans="3:8" ht="15" x14ac:dyDescent="0.25">
      <c r="C679"/>
      <c r="D679"/>
      <c r="E679"/>
      <c r="F679"/>
      <c r="G679"/>
      <c r="H679"/>
    </row>
    <row r="680" spans="3:8" ht="15" x14ac:dyDescent="0.25">
      <c r="C680"/>
      <c r="D680"/>
      <c r="E680"/>
      <c r="F680"/>
      <c r="G680"/>
      <c r="H680"/>
    </row>
    <row r="681" spans="3:8" ht="15" x14ac:dyDescent="0.25">
      <c r="C681"/>
      <c r="D681"/>
      <c r="E681"/>
      <c r="F681"/>
      <c r="G681"/>
      <c r="H681"/>
    </row>
    <row r="682" spans="3:8" ht="15" x14ac:dyDescent="0.25">
      <c r="C682"/>
      <c r="D682"/>
      <c r="E682"/>
      <c r="F682"/>
      <c r="G682"/>
      <c r="H682"/>
    </row>
    <row r="683" spans="3:8" ht="15" x14ac:dyDescent="0.25">
      <c r="C683"/>
      <c r="D683"/>
      <c r="E683"/>
      <c r="F683"/>
      <c r="G683"/>
      <c r="H683"/>
    </row>
    <row r="684" spans="3:8" ht="15" x14ac:dyDescent="0.25">
      <c r="C684"/>
      <c r="D684"/>
      <c r="E684"/>
      <c r="F684"/>
      <c r="G684"/>
      <c r="H684"/>
    </row>
    <row r="685" spans="3:8" ht="15" x14ac:dyDescent="0.25">
      <c r="C685"/>
      <c r="D685"/>
      <c r="E685"/>
      <c r="F685"/>
      <c r="G685"/>
      <c r="H685"/>
    </row>
    <row r="686" spans="3:8" ht="15" x14ac:dyDescent="0.25">
      <c r="C686"/>
      <c r="D686"/>
      <c r="E686"/>
      <c r="F686"/>
      <c r="G686"/>
      <c r="H686"/>
    </row>
    <row r="687" spans="3:8" ht="15" x14ac:dyDescent="0.25">
      <c r="C687"/>
      <c r="D687"/>
      <c r="E687"/>
      <c r="F687"/>
      <c r="G687"/>
      <c r="H687"/>
    </row>
    <row r="688" spans="3:8" ht="15" x14ac:dyDescent="0.25">
      <c r="C688"/>
      <c r="D688"/>
      <c r="E688"/>
      <c r="F688"/>
      <c r="G688"/>
      <c r="H688"/>
    </row>
    <row r="689" spans="3:8" ht="15" x14ac:dyDescent="0.25">
      <c r="C689"/>
      <c r="D689"/>
      <c r="E689"/>
      <c r="F689"/>
      <c r="G689"/>
      <c r="H689"/>
    </row>
    <row r="690" spans="3:8" ht="15" x14ac:dyDescent="0.25">
      <c r="C690"/>
      <c r="D690"/>
      <c r="E690"/>
      <c r="F690"/>
      <c r="G690"/>
      <c r="H690"/>
    </row>
    <row r="691" spans="3:8" ht="15" x14ac:dyDescent="0.25">
      <c r="C691"/>
      <c r="D691"/>
      <c r="E691"/>
      <c r="F691"/>
      <c r="G691"/>
      <c r="H691"/>
    </row>
    <row r="692" spans="3:8" ht="15" x14ac:dyDescent="0.25">
      <c r="C692"/>
      <c r="D692"/>
      <c r="E692"/>
      <c r="F692"/>
      <c r="G692"/>
      <c r="H692"/>
    </row>
    <row r="693" spans="3:8" ht="15" x14ac:dyDescent="0.25">
      <c r="C693"/>
      <c r="D693"/>
      <c r="E693"/>
      <c r="F693"/>
      <c r="G693"/>
      <c r="H693"/>
    </row>
    <row r="694" spans="3:8" ht="15" x14ac:dyDescent="0.25">
      <c r="C694"/>
      <c r="D694"/>
      <c r="E694"/>
      <c r="F694"/>
      <c r="G694"/>
      <c r="H694"/>
    </row>
    <row r="695" spans="3:8" ht="15" x14ac:dyDescent="0.25">
      <c r="C695"/>
      <c r="D695"/>
      <c r="E695"/>
      <c r="F695"/>
      <c r="G695"/>
      <c r="H695"/>
    </row>
    <row r="696" spans="3:8" ht="15" x14ac:dyDescent="0.25">
      <c r="C696"/>
      <c r="D696"/>
      <c r="E696"/>
      <c r="F696"/>
      <c r="G696"/>
      <c r="H696"/>
    </row>
    <row r="697" spans="3:8" ht="15" x14ac:dyDescent="0.25">
      <c r="C697"/>
      <c r="D697"/>
      <c r="E697"/>
      <c r="F697"/>
      <c r="G697"/>
      <c r="H697"/>
    </row>
    <row r="698" spans="3:8" ht="15" x14ac:dyDescent="0.25">
      <c r="C698"/>
      <c r="D698"/>
      <c r="E698"/>
      <c r="F698"/>
      <c r="G698"/>
      <c r="H698"/>
    </row>
    <row r="699" spans="3:8" ht="15" x14ac:dyDescent="0.25">
      <c r="C699"/>
      <c r="D699"/>
      <c r="E699"/>
      <c r="F699"/>
      <c r="G699"/>
      <c r="H699"/>
    </row>
    <row r="700" spans="3:8" ht="15" x14ac:dyDescent="0.25">
      <c r="C700"/>
      <c r="D700"/>
      <c r="E700"/>
      <c r="F700"/>
      <c r="G700"/>
      <c r="H700"/>
    </row>
    <row r="701" spans="3:8" ht="15" x14ac:dyDescent="0.25">
      <c r="C701"/>
      <c r="D701"/>
      <c r="E701"/>
      <c r="F701"/>
      <c r="G701"/>
      <c r="H701"/>
    </row>
    <row r="702" spans="3:8" ht="15" x14ac:dyDescent="0.25">
      <c r="C702"/>
      <c r="D702"/>
      <c r="E702"/>
      <c r="F702"/>
      <c r="G702"/>
      <c r="H702"/>
    </row>
    <row r="703" spans="3:8" ht="15" x14ac:dyDescent="0.25">
      <c r="C703"/>
      <c r="D703"/>
      <c r="E703"/>
      <c r="F703"/>
      <c r="G703"/>
      <c r="H703"/>
    </row>
    <row r="704" spans="3:8" ht="15" x14ac:dyDescent="0.25">
      <c r="C704"/>
      <c r="D704"/>
      <c r="E704"/>
      <c r="F704"/>
      <c r="G704"/>
      <c r="H704"/>
    </row>
    <row r="705" spans="3:8" ht="15" x14ac:dyDescent="0.25">
      <c r="C705"/>
      <c r="D705"/>
      <c r="E705"/>
      <c r="F705"/>
      <c r="G705"/>
      <c r="H705"/>
    </row>
    <row r="706" spans="3:8" ht="15" x14ac:dyDescent="0.25">
      <c r="C706"/>
      <c r="D706"/>
      <c r="E706"/>
      <c r="F706"/>
      <c r="G706"/>
      <c r="H706"/>
    </row>
    <row r="707" spans="3:8" ht="15" x14ac:dyDescent="0.25">
      <c r="C707"/>
      <c r="D707"/>
      <c r="E707"/>
      <c r="F707"/>
      <c r="G707"/>
      <c r="H707"/>
    </row>
    <row r="708" spans="3:8" ht="15" x14ac:dyDescent="0.25">
      <c r="C708"/>
      <c r="D708"/>
      <c r="E708"/>
      <c r="F708"/>
      <c r="G708"/>
      <c r="H708"/>
    </row>
    <row r="709" spans="3:8" ht="15" x14ac:dyDescent="0.25">
      <c r="C709"/>
      <c r="D709"/>
      <c r="E709"/>
      <c r="F709"/>
      <c r="G709"/>
      <c r="H709"/>
    </row>
    <row r="710" spans="3:8" ht="15" x14ac:dyDescent="0.25">
      <c r="C710"/>
      <c r="D710"/>
      <c r="E710"/>
      <c r="F710"/>
      <c r="G710"/>
      <c r="H710"/>
    </row>
    <row r="711" spans="3:8" ht="15" x14ac:dyDescent="0.25">
      <c r="C711"/>
      <c r="D711"/>
      <c r="E711"/>
      <c r="F711"/>
      <c r="G711"/>
      <c r="H711"/>
    </row>
    <row r="712" spans="3:8" ht="15" x14ac:dyDescent="0.25">
      <c r="C712"/>
      <c r="D712"/>
      <c r="E712"/>
      <c r="F712"/>
      <c r="G712"/>
      <c r="H712"/>
    </row>
    <row r="713" spans="3:8" ht="15" x14ac:dyDescent="0.25">
      <c r="C713"/>
      <c r="D713"/>
      <c r="E713"/>
      <c r="F713"/>
      <c r="G713"/>
      <c r="H713"/>
    </row>
    <row r="714" spans="3:8" ht="15" x14ac:dyDescent="0.25">
      <c r="C714"/>
      <c r="D714"/>
      <c r="E714"/>
      <c r="F714"/>
      <c r="G714"/>
      <c r="H714"/>
    </row>
    <row r="715" spans="3:8" ht="15" x14ac:dyDescent="0.25">
      <c r="C715"/>
      <c r="D715"/>
      <c r="E715"/>
      <c r="F715"/>
      <c r="G715"/>
      <c r="H715"/>
    </row>
    <row r="716" spans="3:8" ht="15" x14ac:dyDescent="0.25">
      <c r="C716"/>
      <c r="D716"/>
      <c r="E716"/>
      <c r="F716"/>
      <c r="G716"/>
      <c r="H716"/>
    </row>
    <row r="717" spans="3:8" ht="15" x14ac:dyDescent="0.25">
      <c r="C717"/>
      <c r="D717"/>
      <c r="E717"/>
      <c r="F717"/>
      <c r="G717"/>
      <c r="H717"/>
    </row>
    <row r="718" spans="3:8" ht="15" x14ac:dyDescent="0.25">
      <c r="C718"/>
      <c r="D718"/>
      <c r="E718"/>
      <c r="F718"/>
      <c r="G718"/>
      <c r="H718"/>
    </row>
    <row r="719" spans="3:8" ht="15" x14ac:dyDescent="0.25">
      <c r="C719"/>
      <c r="D719"/>
      <c r="E719"/>
      <c r="F719"/>
      <c r="G719"/>
      <c r="H719"/>
    </row>
    <row r="720" spans="3:8" ht="15" x14ac:dyDescent="0.25">
      <c r="C720"/>
      <c r="D720"/>
      <c r="E720"/>
      <c r="F720"/>
      <c r="G720"/>
      <c r="H720"/>
    </row>
    <row r="721" spans="3:8" ht="15" x14ac:dyDescent="0.25">
      <c r="C721"/>
      <c r="D721"/>
      <c r="E721"/>
      <c r="F721"/>
      <c r="G721"/>
      <c r="H721"/>
    </row>
    <row r="722" spans="3:8" ht="15" x14ac:dyDescent="0.25">
      <c r="C722"/>
      <c r="D722"/>
      <c r="E722"/>
      <c r="F722"/>
      <c r="G722"/>
      <c r="H722"/>
    </row>
    <row r="723" spans="3:8" ht="15" x14ac:dyDescent="0.25">
      <c r="C723"/>
      <c r="D723"/>
      <c r="E723"/>
      <c r="F723"/>
      <c r="G723"/>
      <c r="H723"/>
    </row>
    <row r="724" spans="3:8" ht="15" x14ac:dyDescent="0.25">
      <c r="C724"/>
      <c r="D724"/>
      <c r="E724"/>
      <c r="F724"/>
      <c r="G724"/>
      <c r="H724"/>
    </row>
    <row r="725" spans="3:8" ht="15" x14ac:dyDescent="0.25">
      <c r="C725"/>
      <c r="D725"/>
      <c r="E725"/>
      <c r="F725"/>
      <c r="G725"/>
      <c r="H725"/>
    </row>
    <row r="726" spans="3:8" ht="15" x14ac:dyDescent="0.25">
      <c r="C726"/>
      <c r="D726"/>
      <c r="E726"/>
      <c r="F726"/>
      <c r="G726"/>
      <c r="H726"/>
    </row>
    <row r="727" spans="3:8" ht="15" x14ac:dyDescent="0.25">
      <c r="C727"/>
      <c r="D727"/>
      <c r="E727"/>
      <c r="F727"/>
      <c r="G727"/>
      <c r="H727"/>
    </row>
    <row r="728" spans="3:8" ht="15" x14ac:dyDescent="0.25">
      <c r="C728"/>
      <c r="D728"/>
      <c r="E728"/>
      <c r="F728"/>
      <c r="G728"/>
      <c r="H728"/>
    </row>
    <row r="729" spans="3:8" ht="15" x14ac:dyDescent="0.25">
      <c r="C729"/>
      <c r="D729"/>
      <c r="E729"/>
      <c r="F729"/>
      <c r="G729"/>
      <c r="H729"/>
    </row>
    <row r="730" spans="3:8" ht="15" x14ac:dyDescent="0.25">
      <c r="C730"/>
      <c r="D730"/>
      <c r="E730"/>
      <c r="F730"/>
      <c r="G730"/>
      <c r="H730"/>
    </row>
    <row r="731" spans="3:8" ht="15" x14ac:dyDescent="0.25">
      <c r="C731"/>
      <c r="D731"/>
      <c r="E731"/>
      <c r="F731"/>
      <c r="G731"/>
      <c r="H731"/>
    </row>
    <row r="732" spans="3:8" ht="15" x14ac:dyDescent="0.25">
      <c r="C732"/>
      <c r="D732"/>
      <c r="E732"/>
      <c r="F732"/>
      <c r="G732"/>
      <c r="H732"/>
    </row>
    <row r="733" spans="3:8" ht="15" x14ac:dyDescent="0.25">
      <c r="C733"/>
      <c r="D733"/>
      <c r="E733"/>
      <c r="F733"/>
      <c r="G733"/>
      <c r="H733"/>
    </row>
    <row r="734" spans="3:8" ht="15" x14ac:dyDescent="0.25">
      <c r="C734"/>
      <c r="D734"/>
      <c r="E734"/>
      <c r="F734"/>
      <c r="G734"/>
      <c r="H734"/>
    </row>
    <row r="735" spans="3:8" ht="15" x14ac:dyDescent="0.25">
      <c r="C735"/>
      <c r="D735"/>
      <c r="E735"/>
      <c r="F735"/>
      <c r="G735"/>
      <c r="H735"/>
    </row>
    <row r="736" spans="3:8" ht="15" x14ac:dyDescent="0.25">
      <c r="C736"/>
      <c r="D736"/>
      <c r="E736"/>
      <c r="F736"/>
      <c r="G736"/>
      <c r="H736"/>
    </row>
    <row r="737" spans="3:8" ht="15" x14ac:dyDescent="0.25">
      <c r="C737"/>
      <c r="D737"/>
      <c r="E737"/>
      <c r="F737"/>
      <c r="G737"/>
      <c r="H737"/>
    </row>
    <row r="738" spans="3:8" ht="15" x14ac:dyDescent="0.25">
      <c r="C738"/>
      <c r="D738"/>
      <c r="E738"/>
      <c r="F738"/>
      <c r="G738"/>
      <c r="H738"/>
    </row>
    <row r="739" spans="3:8" ht="15" x14ac:dyDescent="0.25">
      <c r="C739"/>
      <c r="D739"/>
      <c r="E739"/>
      <c r="F739"/>
      <c r="G739"/>
      <c r="H739"/>
    </row>
    <row r="740" spans="3:8" ht="15" x14ac:dyDescent="0.25">
      <c r="C740"/>
      <c r="D740"/>
      <c r="E740"/>
      <c r="F740"/>
      <c r="G740"/>
      <c r="H740"/>
    </row>
    <row r="741" spans="3:8" ht="15" x14ac:dyDescent="0.25">
      <c r="C741"/>
      <c r="D741"/>
      <c r="E741"/>
      <c r="F741"/>
      <c r="G741"/>
      <c r="H741"/>
    </row>
    <row r="742" spans="3:8" ht="15" x14ac:dyDescent="0.25">
      <c r="C742"/>
      <c r="D742"/>
      <c r="E742"/>
      <c r="F742"/>
      <c r="G742"/>
      <c r="H742"/>
    </row>
    <row r="743" spans="3:8" ht="15" x14ac:dyDescent="0.25">
      <c r="C743"/>
      <c r="D743"/>
      <c r="E743"/>
      <c r="F743"/>
      <c r="G743"/>
      <c r="H743"/>
    </row>
    <row r="744" spans="3:8" ht="15" x14ac:dyDescent="0.25">
      <c r="C744"/>
      <c r="D744"/>
      <c r="E744"/>
      <c r="F744"/>
      <c r="G744"/>
      <c r="H744"/>
    </row>
    <row r="745" spans="3:8" ht="15" x14ac:dyDescent="0.25">
      <c r="C745"/>
      <c r="D745"/>
      <c r="E745"/>
      <c r="F745"/>
      <c r="G745"/>
      <c r="H745"/>
    </row>
    <row r="746" spans="3:8" ht="15" x14ac:dyDescent="0.25">
      <c r="C746"/>
      <c r="D746"/>
      <c r="E746"/>
      <c r="F746"/>
      <c r="G746"/>
      <c r="H746"/>
    </row>
    <row r="747" spans="3:8" ht="15" x14ac:dyDescent="0.25">
      <c r="C747"/>
      <c r="D747"/>
      <c r="E747"/>
      <c r="F747"/>
      <c r="G747"/>
      <c r="H747"/>
    </row>
    <row r="748" spans="3:8" ht="15" x14ac:dyDescent="0.25">
      <c r="C748"/>
      <c r="D748"/>
      <c r="E748"/>
      <c r="F748"/>
      <c r="G748"/>
      <c r="H748"/>
    </row>
    <row r="749" spans="3:8" ht="15" x14ac:dyDescent="0.25">
      <c r="C749"/>
      <c r="D749"/>
      <c r="E749"/>
      <c r="F749"/>
      <c r="G749"/>
      <c r="H749"/>
    </row>
    <row r="750" spans="3:8" ht="15" x14ac:dyDescent="0.25">
      <c r="C750"/>
      <c r="D750"/>
      <c r="E750"/>
      <c r="F750"/>
      <c r="G750"/>
      <c r="H750"/>
    </row>
    <row r="751" spans="3:8" ht="15" x14ac:dyDescent="0.25">
      <c r="C751"/>
      <c r="D751"/>
      <c r="E751"/>
      <c r="F751"/>
      <c r="G751"/>
      <c r="H751"/>
    </row>
    <row r="752" spans="3:8" ht="15" x14ac:dyDescent="0.25">
      <c r="C752"/>
      <c r="D752"/>
      <c r="E752"/>
      <c r="F752"/>
      <c r="G752"/>
      <c r="H752"/>
    </row>
    <row r="753" spans="3:8" ht="15" x14ac:dyDescent="0.25">
      <c r="C753"/>
      <c r="D753"/>
      <c r="E753"/>
      <c r="F753"/>
      <c r="G753"/>
      <c r="H753"/>
    </row>
    <row r="754" spans="3:8" ht="15" x14ac:dyDescent="0.25">
      <c r="C754"/>
      <c r="D754"/>
      <c r="E754"/>
      <c r="F754"/>
      <c r="G754"/>
      <c r="H754"/>
    </row>
    <row r="755" spans="3:8" ht="15" x14ac:dyDescent="0.25">
      <c r="C755"/>
      <c r="D755"/>
      <c r="E755"/>
      <c r="F755"/>
      <c r="G755"/>
      <c r="H755"/>
    </row>
    <row r="756" spans="3:8" ht="15" x14ac:dyDescent="0.25">
      <c r="C756"/>
      <c r="D756"/>
      <c r="E756"/>
      <c r="F756"/>
      <c r="G756"/>
      <c r="H756"/>
    </row>
    <row r="757" spans="3:8" ht="15" x14ac:dyDescent="0.25">
      <c r="C757"/>
      <c r="D757"/>
      <c r="E757"/>
      <c r="F757"/>
      <c r="G757"/>
      <c r="H757"/>
    </row>
    <row r="758" spans="3:8" ht="15" x14ac:dyDescent="0.25">
      <c r="C758"/>
      <c r="D758"/>
      <c r="E758"/>
      <c r="F758"/>
      <c r="G758"/>
      <c r="H758"/>
    </row>
    <row r="759" spans="3:8" ht="15" x14ac:dyDescent="0.25">
      <c r="C759"/>
      <c r="D759"/>
      <c r="E759"/>
      <c r="F759"/>
      <c r="G759"/>
      <c r="H759"/>
    </row>
    <row r="760" spans="3:8" ht="15" x14ac:dyDescent="0.25">
      <c r="C760"/>
      <c r="D760"/>
      <c r="E760"/>
      <c r="F760"/>
      <c r="G760"/>
      <c r="H760"/>
    </row>
    <row r="761" spans="3:8" ht="15" x14ac:dyDescent="0.25">
      <c r="C761"/>
      <c r="D761"/>
      <c r="E761"/>
      <c r="F761"/>
      <c r="G761"/>
      <c r="H761"/>
    </row>
    <row r="762" spans="3:8" ht="15" x14ac:dyDescent="0.25">
      <c r="C762"/>
      <c r="D762"/>
      <c r="E762"/>
      <c r="F762"/>
      <c r="G762"/>
      <c r="H762"/>
    </row>
    <row r="763" spans="3:8" ht="15" x14ac:dyDescent="0.25">
      <c r="C763"/>
      <c r="D763"/>
      <c r="E763"/>
      <c r="F763"/>
      <c r="G763"/>
      <c r="H763"/>
    </row>
    <row r="764" spans="3:8" ht="15" x14ac:dyDescent="0.25">
      <c r="C764"/>
      <c r="D764"/>
      <c r="E764"/>
      <c r="F764"/>
      <c r="G764"/>
      <c r="H764"/>
    </row>
    <row r="765" spans="3:8" ht="15" x14ac:dyDescent="0.25">
      <c r="C765"/>
      <c r="D765"/>
      <c r="E765"/>
      <c r="F765"/>
      <c r="G765"/>
      <c r="H765"/>
    </row>
    <row r="766" spans="3:8" ht="15" x14ac:dyDescent="0.25">
      <c r="C766"/>
      <c r="D766"/>
      <c r="E766"/>
      <c r="F766"/>
      <c r="G766"/>
      <c r="H766"/>
    </row>
    <row r="767" spans="3:8" ht="15" x14ac:dyDescent="0.25">
      <c r="C767"/>
      <c r="D767"/>
      <c r="E767"/>
      <c r="F767"/>
      <c r="G767"/>
      <c r="H767"/>
    </row>
    <row r="768" spans="3:8" ht="15" x14ac:dyDescent="0.25">
      <c r="C768"/>
      <c r="D768"/>
      <c r="E768"/>
      <c r="F768"/>
      <c r="G768"/>
      <c r="H768"/>
    </row>
    <row r="769" spans="3:8" ht="15" x14ac:dyDescent="0.25">
      <c r="C769"/>
      <c r="D769"/>
      <c r="E769"/>
      <c r="F769"/>
      <c r="G769"/>
      <c r="H769"/>
    </row>
    <row r="770" spans="3:8" ht="15" x14ac:dyDescent="0.25">
      <c r="C770"/>
      <c r="D770"/>
      <c r="E770"/>
      <c r="F770"/>
      <c r="G770"/>
      <c r="H770"/>
    </row>
    <row r="771" spans="3:8" ht="15" x14ac:dyDescent="0.25">
      <c r="C771"/>
      <c r="D771"/>
      <c r="E771"/>
      <c r="F771"/>
      <c r="G771"/>
      <c r="H771"/>
    </row>
    <row r="772" spans="3:8" ht="15" x14ac:dyDescent="0.25">
      <c r="C772"/>
      <c r="D772"/>
      <c r="E772"/>
      <c r="F772"/>
      <c r="G772"/>
      <c r="H772"/>
    </row>
    <row r="773" spans="3:8" ht="15" x14ac:dyDescent="0.25">
      <c r="C773"/>
      <c r="D773"/>
      <c r="E773"/>
      <c r="F773"/>
      <c r="G773"/>
      <c r="H773"/>
    </row>
    <row r="774" spans="3:8" ht="15" x14ac:dyDescent="0.25">
      <c r="C774"/>
      <c r="D774"/>
      <c r="E774"/>
      <c r="F774"/>
      <c r="G774"/>
      <c r="H774"/>
    </row>
    <row r="775" spans="3:8" ht="15" x14ac:dyDescent="0.25">
      <c r="C775"/>
      <c r="D775"/>
      <c r="E775"/>
      <c r="F775"/>
      <c r="G775"/>
      <c r="H775"/>
    </row>
    <row r="776" spans="3:8" ht="15" x14ac:dyDescent="0.25">
      <c r="C776"/>
      <c r="D776"/>
      <c r="E776"/>
      <c r="F776"/>
      <c r="G776"/>
      <c r="H776"/>
    </row>
    <row r="777" spans="3:8" ht="15" x14ac:dyDescent="0.25">
      <c r="C777"/>
      <c r="D777"/>
      <c r="E777"/>
      <c r="F777"/>
      <c r="G777"/>
      <c r="H777"/>
    </row>
    <row r="778" spans="3:8" ht="15" x14ac:dyDescent="0.25">
      <c r="C778"/>
      <c r="D778"/>
      <c r="E778"/>
      <c r="F778"/>
      <c r="G778"/>
      <c r="H778"/>
    </row>
    <row r="779" spans="3:8" ht="15" x14ac:dyDescent="0.25">
      <c r="C779"/>
      <c r="D779"/>
      <c r="E779"/>
      <c r="F779"/>
      <c r="G779"/>
      <c r="H779"/>
    </row>
    <row r="780" spans="3:8" ht="15" x14ac:dyDescent="0.25">
      <c r="C780"/>
      <c r="D780"/>
      <c r="E780"/>
      <c r="F780"/>
      <c r="G780"/>
      <c r="H780"/>
    </row>
    <row r="781" spans="3:8" ht="15" x14ac:dyDescent="0.25">
      <c r="C781"/>
      <c r="D781"/>
      <c r="E781"/>
      <c r="F781"/>
      <c r="G781"/>
      <c r="H781"/>
    </row>
    <row r="782" spans="3:8" ht="15" x14ac:dyDescent="0.25">
      <c r="C782"/>
      <c r="D782"/>
      <c r="E782"/>
      <c r="F782"/>
      <c r="G782"/>
      <c r="H782"/>
    </row>
    <row r="783" spans="3:8" ht="15" x14ac:dyDescent="0.25">
      <c r="C783"/>
      <c r="D783"/>
      <c r="E783"/>
      <c r="F783"/>
      <c r="G783"/>
      <c r="H783"/>
    </row>
    <row r="784" spans="3:8" ht="15" x14ac:dyDescent="0.25">
      <c r="C784"/>
      <c r="D784"/>
      <c r="E784"/>
      <c r="F784"/>
      <c r="G784"/>
      <c r="H784"/>
    </row>
    <row r="785" spans="3:8" ht="15" x14ac:dyDescent="0.25">
      <c r="C785"/>
      <c r="D785"/>
      <c r="E785"/>
      <c r="F785"/>
      <c r="G785"/>
      <c r="H785"/>
    </row>
    <row r="786" spans="3:8" ht="15" x14ac:dyDescent="0.25">
      <c r="C786"/>
      <c r="D786"/>
      <c r="E786"/>
      <c r="F786"/>
      <c r="G786"/>
      <c r="H786"/>
    </row>
    <row r="787" spans="3:8" ht="15" x14ac:dyDescent="0.25">
      <c r="C787"/>
      <c r="D787"/>
      <c r="E787"/>
      <c r="F787"/>
      <c r="G787"/>
      <c r="H787"/>
    </row>
    <row r="788" spans="3:8" ht="15" x14ac:dyDescent="0.25">
      <c r="C788"/>
      <c r="D788"/>
      <c r="E788"/>
      <c r="F788"/>
      <c r="G788"/>
      <c r="H788"/>
    </row>
    <row r="789" spans="3:8" ht="15" x14ac:dyDescent="0.25">
      <c r="C789"/>
      <c r="D789"/>
      <c r="E789"/>
      <c r="F789"/>
      <c r="G789"/>
      <c r="H789"/>
    </row>
    <row r="790" spans="3:8" ht="15" x14ac:dyDescent="0.25">
      <c r="C790"/>
      <c r="D790"/>
      <c r="E790"/>
      <c r="F790"/>
      <c r="G790"/>
      <c r="H790"/>
    </row>
    <row r="791" spans="3:8" ht="15" x14ac:dyDescent="0.25">
      <c r="C791"/>
      <c r="D791"/>
      <c r="E791"/>
      <c r="F791"/>
      <c r="G791"/>
      <c r="H791"/>
    </row>
    <row r="792" spans="3:8" ht="15" x14ac:dyDescent="0.25">
      <c r="C792"/>
      <c r="D792"/>
      <c r="E792"/>
      <c r="F792"/>
      <c r="G792"/>
      <c r="H792"/>
    </row>
    <row r="793" spans="3:8" ht="15" x14ac:dyDescent="0.25">
      <c r="C793"/>
      <c r="D793"/>
      <c r="E793"/>
      <c r="F793"/>
      <c r="G793"/>
      <c r="H793"/>
    </row>
    <row r="794" spans="3:8" ht="15" x14ac:dyDescent="0.25">
      <c r="C794"/>
      <c r="D794"/>
      <c r="E794"/>
      <c r="F794"/>
      <c r="G794"/>
      <c r="H794"/>
    </row>
    <row r="795" spans="3:8" ht="15" x14ac:dyDescent="0.25">
      <c r="C795"/>
      <c r="D795"/>
      <c r="E795"/>
      <c r="F795"/>
      <c r="G795"/>
      <c r="H795"/>
    </row>
    <row r="796" spans="3:8" ht="15" x14ac:dyDescent="0.25">
      <c r="C796"/>
      <c r="D796"/>
      <c r="E796"/>
      <c r="F796"/>
      <c r="G796"/>
      <c r="H796"/>
    </row>
    <row r="797" spans="3:8" ht="15" x14ac:dyDescent="0.25">
      <c r="C797"/>
      <c r="D797"/>
      <c r="E797"/>
      <c r="F797"/>
      <c r="G797"/>
      <c r="H797"/>
    </row>
    <row r="798" spans="3:8" ht="15" x14ac:dyDescent="0.25">
      <c r="C798"/>
      <c r="D798"/>
      <c r="E798"/>
      <c r="F798"/>
      <c r="G798"/>
      <c r="H798"/>
    </row>
    <row r="799" spans="3:8" ht="15" x14ac:dyDescent="0.25">
      <c r="C799"/>
      <c r="D799"/>
      <c r="E799"/>
      <c r="F799"/>
      <c r="G799"/>
      <c r="H799"/>
    </row>
    <row r="800" spans="3:8" ht="15" x14ac:dyDescent="0.25">
      <c r="C800"/>
      <c r="D800"/>
      <c r="E800"/>
      <c r="F800"/>
      <c r="G800"/>
      <c r="H800"/>
    </row>
    <row r="801" spans="3:8" ht="15" x14ac:dyDescent="0.25">
      <c r="C801"/>
      <c r="D801"/>
      <c r="E801"/>
      <c r="F801"/>
      <c r="G801"/>
      <c r="H801"/>
    </row>
    <row r="802" spans="3:8" ht="15" x14ac:dyDescent="0.25">
      <c r="C802"/>
      <c r="D802"/>
      <c r="E802"/>
      <c r="F802"/>
      <c r="G802"/>
      <c r="H802"/>
    </row>
    <row r="803" spans="3:8" ht="15" x14ac:dyDescent="0.25">
      <c r="C803"/>
      <c r="D803"/>
      <c r="E803"/>
      <c r="F803"/>
      <c r="G803"/>
      <c r="H803"/>
    </row>
    <row r="804" spans="3:8" ht="15" x14ac:dyDescent="0.25">
      <c r="C804"/>
      <c r="D804"/>
      <c r="E804"/>
      <c r="F804"/>
      <c r="G804"/>
      <c r="H804"/>
    </row>
    <row r="805" spans="3:8" ht="15" x14ac:dyDescent="0.25">
      <c r="C805"/>
      <c r="D805"/>
      <c r="E805"/>
      <c r="F805"/>
      <c r="G805"/>
      <c r="H805"/>
    </row>
    <row r="806" spans="3:8" ht="15" x14ac:dyDescent="0.25">
      <c r="C806"/>
      <c r="D806"/>
      <c r="E806"/>
      <c r="F806"/>
      <c r="G806"/>
      <c r="H806"/>
    </row>
    <row r="807" spans="3:8" ht="15" x14ac:dyDescent="0.25">
      <c r="C807"/>
      <c r="D807"/>
      <c r="E807"/>
      <c r="F807"/>
      <c r="G807"/>
      <c r="H807"/>
    </row>
    <row r="808" spans="3:8" ht="15" x14ac:dyDescent="0.25">
      <c r="C808"/>
      <c r="D808"/>
      <c r="E808"/>
      <c r="F808"/>
      <c r="G808"/>
      <c r="H808"/>
    </row>
    <row r="809" spans="3:8" ht="15" x14ac:dyDescent="0.25">
      <c r="C809"/>
      <c r="D809"/>
      <c r="E809"/>
      <c r="F809"/>
      <c r="G809"/>
      <c r="H809"/>
    </row>
    <row r="810" spans="3:8" ht="15" x14ac:dyDescent="0.25">
      <c r="C810"/>
      <c r="D810"/>
      <c r="E810"/>
      <c r="F810"/>
      <c r="G810"/>
      <c r="H810"/>
    </row>
    <row r="811" spans="3:8" ht="15" x14ac:dyDescent="0.25">
      <c r="C811"/>
      <c r="D811"/>
      <c r="E811"/>
      <c r="F811"/>
      <c r="G811"/>
      <c r="H811"/>
    </row>
    <row r="812" spans="3:8" ht="15" x14ac:dyDescent="0.25">
      <c r="C812"/>
      <c r="D812"/>
      <c r="E812"/>
      <c r="F812"/>
      <c r="G812"/>
      <c r="H812"/>
    </row>
    <row r="813" spans="3:8" ht="15" x14ac:dyDescent="0.25">
      <c r="C813"/>
      <c r="D813"/>
      <c r="E813"/>
      <c r="F813"/>
      <c r="G813"/>
      <c r="H813"/>
    </row>
    <row r="814" spans="3:8" ht="15" x14ac:dyDescent="0.25">
      <c r="C814"/>
      <c r="D814"/>
      <c r="E814"/>
      <c r="F814"/>
      <c r="G814"/>
      <c r="H814"/>
    </row>
    <row r="815" spans="3:8" ht="15" x14ac:dyDescent="0.25">
      <c r="C815"/>
      <c r="D815"/>
      <c r="E815"/>
      <c r="F815"/>
      <c r="G815"/>
      <c r="H815"/>
    </row>
    <row r="816" spans="3:8" ht="15" x14ac:dyDescent="0.25">
      <c r="C816"/>
      <c r="D816"/>
      <c r="E816"/>
      <c r="F816"/>
      <c r="G816"/>
      <c r="H816"/>
    </row>
    <row r="817" spans="3:8" ht="15" x14ac:dyDescent="0.25">
      <c r="C817"/>
      <c r="D817"/>
      <c r="E817"/>
      <c r="F817"/>
      <c r="G817"/>
      <c r="H817"/>
    </row>
    <row r="818" spans="3:8" ht="15" x14ac:dyDescent="0.25">
      <c r="C818"/>
      <c r="D818"/>
      <c r="E818"/>
      <c r="F818"/>
      <c r="G818"/>
      <c r="H818"/>
    </row>
    <row r="819" spans="3:8" ht="15" x14ac:dyDescent="0.25">
      <c r="C819"/>
      <c r="D819"/>
      <c r="E819"/>
      <c r="F819"/>
      <c r="G819"/>
      <c r="H819"/>
    </row>
    <row r="820" spans="3:8" ht="15" x14ac:dyDescent="0.25">
      <c r="C820"/>
      <c r="D820"/>
      <c r="E820"/>
      <c r="F820"/>
      <c r="G820"/>
      <c r="H820"/>
    </row>
    <row r="821" spans="3:8" ht="15" x14ac:dyDescent="0.25">
      <c r="C821"/>
      <c r="D821"/>
      <c r="E821"/>
      <c r="F821"/>
      <c r="G821"/>
      <c r="H821"/>
    </row>
    <row r="822" spans="3:8" ht="15" x14ac:dyDescent="0.25">
      <c r="C822"/>
      <c r="D822"/>
      <c r="E822"/>
      <c r="F822"/>
      <c r="G822"/>
      <c r="H822"/>
    </row>
    <row r="823" spans="3:8" ht="15" x14ac:dyDescent="0.25">
      <c r="C823"/>
      <c r="D823"/>
      <c r="E823"/>
      <c r="F823"/>
      <c r="G823"/>
      <c r="H823"/>
    </row>
    <row r="824" spans="3:8" ht="15" x14ac:dyDescent="0.25">
      <c r="C824"/>
      <c r="D824"/>
      <c r="E824"/>
      <c r="F824"/>
      <c r="G824"/>
      <c r="H824"/>
    </row>
    <row r="825" spans="3:8" ht="15" x14ac:dyDescent="0.25">
      <c r="C825"/>
      <c r="D825"/>
      <c r="E825"/>
      <c r="F825"/>
      <c r="G825"/>
      <c r="H825"/>
    </row>
    <row r="826" spans="3:8" ht="15" x14ac:dyDescent="0.25">
      <c r="C826"/>
      <c r="D826"/>
      <c r="E826"/>
      <c r="F826"/>
      <c r="G826"/>
      <c r="H826"/>
    </row>
    <row r="827" spans="3:8" ht="15" x14ac:dyDescent="0.25">
      <c r="C827"/>
      <c r="D827"/>
      <c r="E827"/>
      <c r="F827"/>
      <c r="G827"/>
      <c r="H827"/>
    </row>
    <row r="828" spans="3:8" ht="15" x14ac:dyDescent="0.25">
      <c r="C828"/>
      <c r="D828"/>
      <c r="E828"/>
      <c r="F828"/>
      <c r="G828"/>
      <c r="H828"/>
    </row>
    <row r="829" spans="3:8" ht="15" x14ac:dyDescent="0.25">
      <c r="C829"/>
      <c r="D829"/>
      <c r="E829"/>
      <c r="F829"/>
      <c r="G829"/>
      <c r="H829"/>
    </row>
    <row r="830" spans="3:8" ht="15" x14ac:dyDescent="0.25">
      <c r="C830"/>
      <c r="D830"/>
      <c r="E830"/>
      <c r="F830"/>
      <c r="G830"/>
      <c r="H830"/>
    </row>
    <row r="831" spans="3:8" ht="15" x14ac:dyDescent="0.25">
      <c r="C831"/>
      <c r="D831"/>
      <c r="E831"/>
      <c r="F831"/>
      <c r="G831"/>
      <c r="H831"/>
    </row>
    <row r="832" spans="3:8" ht="15" x14ac:dyDescent="0.25">
      <c r="C832"/>
      <c r="D832"/>
      <c r="E832"/>
      <c r="F832"/>
      <c r="G832"/>
      <c r="H832"/>
    </row>
    <row r="833" spans="3:8" ht="15" x14ac:dyDescent="0.25">
      <c r="C833"/>
      <c r="D833"/>
      <c r="E833"/>
      <c r="F833"/>
      <c r="G833"/>
      <c r="H833"/>
    </row>
    <row r="834" spans="3:8" ht="15" x14ac:dyDescent="0.25">
      <c r="C834"/>
      <c r="D834"/>
      <c r="E834"/>
      <c r="F834"/>
      <c r="G834"/>
      <c r="H834"/>
    </row>
    <row r="835" spans="3:8" ht="15" x14ac:dyDescent="0.25">
      <c r="C835"/>
      <c r="D835"/>
      <c r="E835"/>
      <c r="F835"/>
      <c r="G835"/>
      <c r="H835"/>
    </row>
    <row r="836" spans="3:8" ht="15" x14ac:dyDescent="0.25">
      <c r="C836"/>
      <c r="D836"/>
      <c r="E836"/>
      <c r="F836"/>
      <c r="G836"/>
      <c r="H836"/>
    </row>
    <row r="837" spans="3:8" ht="15" x14ac:dyDescent="0.25">
      <c r="C837"/>
      <c r="D837"/>
      <c r="E837"/>
      <c r="F837"/>
      <c r="G837"/>
      <c r="H837"/>
    </row>
    <row r="838" spans="3:8" ht="15" x14ac:dyDescent="0.25">
      <c r="C838"/>
      <c r="D838"/>
      <c r="E838"/>
      <c r="F838"/>
      <c r="G838"/>
      <c r="H838"/>
    </row>
    <row r="839" spans="3:8" ht="15" x14ac:dyDescent="0.25">
      <c r="C839"/>
      <c r="D839"/>
      <c r="E839"/>
      <c r="F839"/>
      <c r="G839"/>
      <c r="H839"/>
    </row>
    <row r="840" spans="3:8" ht="15" x14ac:dyDescent="0.25">
      <c r="C840"/>
      <c r="D840"/>
      <c r="E840"/>
      <c r="F840"/>
      <c r="G840"/>
      <c r="H840"/>
    </row>
    <row r="841" spans="3:8" ht="15" x14ac:dyDescent="0.25">
      <c r="C841"/>
      <c r="D841"/>
      <c r="E841"/>
      <c r="F841"/>
      <c r="G841"/>
      <c r="H841"/>
    </row>
    <row r="842" spans="3:8" ht="15" x14ac:dyDescent="0.25">
      <c r="C842"/>
      <c r="D842"/>
      <c r="E842"/>
      <c r="F842"/>
      <c r="G842"/>
      <c r="H842"/>
    </row>
    <row r="843" spans="3:8" ht="15" x14ac:dyDescent="0.25">
      <c r="C843"/>
      <c r="D843"/>
      <c r="E843"/>
      <c r="F843"/>
      <c r="G843"/>
      <c r="H843"/>
    </row>
    <row r="844" spans="3:8" ht="15" x14ac:dyDescent="0.25">
      <c r="C844"/>
      <c r="D844"/>
      <c r="E844"/>
      <c r="F844"/>
      <c r="G844"/>
      <c r="H844"/>
    </row>
    <row r="845" spans="3:8" ht="15" x14ac:dyDescent="0.25">
      <c r="C845"/>
      <c r="D845"/>
      <c r="E845"/>
      <c r="F845"/>
      <c r="G845"/>
      <c r="H845"/>
    </row>
    <row r="846" spans="3:8" ht="15" x14ac:dyDescent="0.25">
      <c r="C846"/>
      <c r="D846"/>
      <c r="E846"/>
      <c r="F846"/>
      <c r="G846"/>
      <c r="H846"/>
    </row>
    <row r="847" spans="3:8" ht="15" x14ac:dyDescent="0.25">
      <c r="C847"/>
      <c r="D847"/>
      <c r="E847"/>
      <c r="F847"/>
      <c r="G847"/>
      <c r="H847"/>
    </row>
    <row r="848" spans="3:8" ht="15" x14ac:dyDescent="0.25">
      <c r="C848"/>
      <c r="D848"/>
      <c r="E848"/>
      <c r="F848"/>
      <c r="G848"/>
      <c r="H848"/>
    </row>
    <row r="849" spans="3:8" ht="15" x14ac:dyDescent="0.25">
      <c r="C849"/>
      <c r="D849"/>
      <c r="E849"/>
      <c r="F849"/>
      <c r="G849"/>
      <c r="H849"/>
    </row>
    <row r="850" spans="3:8" ht="15" x14ac:dyDescent="0.25">
      <c r="C850"/>
      <c r="D850"/>
      <c r="E850"/>
      <c r="F850"/>
      <c r="G850"/>
      <c r="H850"/>
    </row>
    <row r="851" spans="3:8" ht="15" x14ac:dyDescent="0.25">
      <c r="C851"/>
      <c r="D851"/>
      <c r="E851"/>
      <c r="F851"/>
      <c r="G851"/>
      <c r="H851"/>
    </row>
    <row r="852" spans="3:8" ht="15" x14ac:dyDescent="0.25">
      <c r="C852"/>
      <c r="D852"/>
      <c r="E852"/>
      <c r="F852"/>
      <c r="G852"/>
      <c r="H852"/>
    </row>
    <row r="853" spans="3:8" ht="15" x14ac:dyDescent="0.25">
      <c r="C853"/>
      <c r="D853"/>
      <c r="E853"/>
      <c r="F853"/>
      <c r="G853"/>
      <c r="H853"/>
    </row>
    <row r="854" spans="3:8" ht="15" x14ac:dyDescent="0.25">
      <c r="C854"/>
      <c r="D854"/>
      <c r="E854"/>
      <c r="F854"/>
      <c r="G854"/>
      <c r="H854"/>
    </row>
    <row r="855" spans="3:8" ht="15" x14ac:dyDescent="0.25">
      <c r="C855"/>
      <c r="D855"/>
      <c r="E855"/>
      <c r="F855"/>
      <c r="G855"/>
      <c r="H855"/>
    </row>
    <row r="856" spans="3:8" ht="15" x14ac:dyDescent="0.25">
      <c r="C856"/>
      <c r="D856"/>
      <c r="E856"/>
      <c r="F856"/>
      <c r="G856"/>
      <c r="H856"/>
    </row>
    <row r="857" spans="3:8" ht="15" x14ac:dyDescent="0.25">
      <c r="C857"/>
      <c r="D857"/>
      <c r="E857"/>
      <c r="F857"/>
      <c r="G857"/>
      <c r="H857"/>
    </row>
    <row r="858" spans="3:8" ht="15" x14ac:dyDescent="0.25">
      <c r="C858"/>
      <c r="D858"/>
      <c r="E858"/>
      <c r="F858"/>
      <c r="G858"/>
      <c r="H858"/>
    </row>
    <row r="859" spans="3:8" ht="15" x14ac:dyDescent="0.25">
      <c r="C859"/>
      <c r="D859"/>
      <c r="E859"/>
      <c r="F859"/>
      <c r="G859"/>
      <c r="H859"/>
    </row>
    <row r="860" spans="3:8" ht="15" x14ac:dyDescent="0.25">
      <c r="C860"/>
      <c r="D860"/>
      <c r="E860"/>
      <c r="F860"/>
      <c r="G860"/>
      <c r="H860"/>
    </row>
    <row r="861" spans="3:8" ht="15" x14ac:dyDescent="0.25">
      <c r="C861"/>
      <c r="D861"/>
      <c r="E861"/>
      <c r="F861"/>
      <c r="G861"/>
      <c r="H861"/>
    </row>
    <row r="862" spans="3:8" ht="15" x14ac:dyDescent="0.25">
      <c r="C862"/>
      <c r="D862"/>
      <c r="E862"/>
      <c r="F862"/>
      <c r="G862"/>
      <c r="H862"/>
    </row>
    <row r="863" spans="3:8" ht="15" x14ac:dyDescent="0.25">
      <c r="C863"/>
      <c r="D863"/>
      <c r="E863"/>
      <c r="F863"/>
      <c r="G863"/>
      <c r="H863"/>
    </row>
    <row r="864" spans="3:8" ht="15" x14ac:dyDescent="0.25">
      <c r="C864"/>
      <c r="D864"/>
      <c r="E864"/>
      <c r="F864"/>
      <c r="G864"/>
      <c r="H864"/>
    </row>
    <row r="865" spans="3:8" ht="15" x14ac:dyDescent="0.25">
      <c r="C865"/>
      <c r="D865"/>
      <c r="E865"/>
      <c r="F865"/>
      <c r="G865"/>
      <c r="H865"/>
    </row>
    <row r="866" spans="3:8" ht="15" x14ac:dyDescent="0.25">
      <c r="C866"/>
      <c r="D866"/>
      <c r="E866"/>
      <c r="F866"/>
      <c r="G866"/>
      <c r="H866"/>
    </row>
    <row r="867" spans="3:8" ht="15" x14ac:dyDescent="0.25">
      <c r="C867"/>
      <c r="D867"/>
      <c r="E867"/>
      <c r="F867"/>
      <c r="G867"/>
      <c r="H867"/>
    </row>
    <row r="868" spans="3:8" ht="15" x14ac:dyDescent="0.25">
      <c r="C868"/>
      <c r="D868"/>
      <c r="E868"/>
      <c r="F868"/>
      <c r="G868"/>
      <c r="H868"/>
    </row>
    <row r="869" spans="3:8" ht="15" x14ac:dyDescent="0.25">
      <c r="C869"/>
      <c r="D869"/>
      <c r="E869"/>
      <c r="F869"/>
      <c r="G869"/>
      <c r="H869"/>
    </row>
    <row r="870" spans="3:8" ht="15" x14ac:dyDescent="0.25">
      <c r="C870"/>
      <c r="D870"/>
      <c r="E870"/>
      <c r="F870"/>
      <c r="G870"/>
      <c r="H870"/>
    </row>
    <row r="871" spans="3:8" ht="15" x14ac:dyDescent="0.25">
      <c r="C871"/>
      <c r="D871"/>
      <c r="E871"/>
      <c r="F871"/>
      <c r="G871"/>
      <c r="H871"/>
    </row>
    <row r="872" spans="3:8" ht="15" x14ac:dyDescent="0.25">
      <c r="C872"/>
      <c r="D872"/>
      <c r="E872"/>
      <c r="F872"/>
      <c r="G872"/>
      <c r="H872"/>
    </row>
    <row r="873" spans="3:8" ht="15" x14ac:dyDescent="0.25">
      <c r="C873"/>
      <c r="D873"/>
      <c r="E873"/>
      <c r="F873"/>
      <c r="G873"/>
      <c r="H873"/>
    </row>
    <row r="874" spans="3:8" ht="15" x14ac:dyDescent="0.25">
      <c r="C874"/>
      <c r="D874"/>
      <c r="E874"/>
      <c r="F874"/>
      <c r="G874"/>
      <c r="H874"/>
    </row>
    <row r="875" spans="3:8" ht="15" x14ac:dyDescent="0.25">
      <c r="C875"/>
      <c r="D875"/>
      <c r="E875"/>
      <c r="F875"/>
      <c r="G875"/>
      <c r="H875"/>
    </row>
    <row r="876" spans="3:8" ht="15" x14ac:dyDescent="0.25">
      <c r="C876"/>
      <c r="D876"/>
      <c r="E876"/>
      <c r="F876"/>
      <c r="G876"/>
      <c r="H876"/>
    </row>
    <row r="877" spans="3:8" ht="15" x14ac:dyDescent="0.25">
      <c r="C877"/>
      <c r="D877"/>
      <c r="E877"/>
      <c r="F877"/>
      <c r="G877"/>
      <c r="H877"/>
    </row>
    <row r="878" spans="3:8" ht="15" x14ac:dyDescent="0.25">
      <c r="C878"/>
      <c r="D878"/>
      <c r="E878"/>
      <c r="F878"/>
      <c r="G878"/>
      <c r="H878"/>
    </row>
    <row r="879" spans="3:8" ht="15" x14ac:dyDescent="0.25">
      <c r="C879"/>
      <c r="D879"/>
      <c r="E879"/>
      <c r="F879"/>
      <c r="G879"/>
      <c r="H879"/>
    </row>
    <row r="880" spans="3:8" ht="15" x14ac:dyDescent="0.25">
      <c r="C880"/>
      <c r="D880"/>
      <c r="E880"/>
      <c r="F880"/>
      <c r="G880"/>
      <c r="H880"/>
    </row>
    <row r="881" spans="3:8" ht="15" x14ac:dyDescent="0.25">
      <c r="C881"/>
      <c r="D881"/>
      <c r="E881"/>
      <c r="F881"/>
      <c r="G881"/>
      <c r="H881"/>
    </row>
    <row r="882" spans="3:8" ht="15" x14ac:dyDescent="0.25">
      <c r="C882"/>
      <c r="D882"/>
      <c r="E882"/>
      <c r="F882"/>
      <c r="G882"/>
      <c r="H882"/>
    </row>
    <row r="883" spans="3:8" ht="15" x14ac:dyDescent="0.25">
      <c r="C883"/>
      <c r="D883"/>
      <c r="E883"/>
      <c r="F883"/>
      <c r="G883"/>
      <c r="H883"/>
    </row>
    <row r="884" spans="3:8" ht="15" x14ac:dyDescent="0.25">
      <c r="C884"/>
      <c r="D884"/>
      <c r="E884"/>
      <c r="F884"/>
      <c r="G884"/>
      <c r="H884"/>
    </row>
    <row r="885" spans="3:8" ht="15" x14ac:dyDescent="0.25">
      <c r="C885"/>
      <c r="D885"/>
      <c r="E885"/>
      <c r="F885"/>
      <c r="G885"/>
      <c r="H885"/>
    </row>
    <row r="886" spans="3:8" ht="15" x14ac:dyDescent="0.25">
      <c r="C886"/>
      <c r="D886"/>
      <c r="E886"/>
      <c r="F886"/>
      <c r="G886"/>
      <c r="H886"/>
    </row>
    <row r="887" spans="3:8" ht="15" x14ac:dyDescent="0.25">
      <c r="C887"/>
      <c r="D887"/>
      <c r="E887"/>
      <c r="F887"/>
      <c r="G887"/>
      <c r="H887"/>
    </row>
    <row r="888" spans="3:8" ht="15" x14ac:dyDescent="0.25">
      <c r="C888"/>
      <c r="D888"/>
      <c r="E888"/>
      <c r="F888"/>
      <c r="G888"/>
      <c r="H888"/>
    </row>
    <row r="889" spans="3:8" ht="15" x14ac:dyDescent="0.25">
      <c r="C889"/>
      <c r="D889"/>
      <c r="E889"/>
      <c r="F889"/>
      <c r="G889"/>
      <c r="H889"/>
    </row>
    <row r="890" spans="3:8" ht="15" x14ac:dyDescent="0.25">
      <c r="C890"/>
      <c r="D890"/>
      <c r="E890"/>
      <c r="F890"/>
      <c r="G890"/>
      <c r="H890"/>
    </row>
    <row r="891" spans="3:8" ht="15" x14ac:dyDescent="0.25">
      <c r="C891"/>
      <c r="D891"/>
      <c r="E891"/>
      <c r="F891"/>
      <c r="G891"/>
      <c r="H891"/>
    </row>
    <row r="892" spans="3:8" ht="15" x14ac:dyDescent="0.25">
      <c r="C892"/>
      <c r="D892"/>
      <c r="E892"/>
      <c r="F892"/>
      <c r="G892"/>
      <c r="H892"/>
    </row>
    <row r="893" spans="3:8" ht="15" x14ac:dyDescent="0.25">
      <c r="C893"/>
      <c r="D893"/>
      <c r="E893"/>
      <c r="F893"/>
      <c r="G893"/>
      <c r="H893"/>
    </row>
    <row r="894" spans="3:8" ht="15" x14ac:dyDescent="0.25">
      <c r="C894"/>
      <c r="D894"/>
      <c r="E894"/>
      <c r="F894"/>
      <c r="G894"/>
      <c r="H894"/>
    </row>
    <row r="895" spans="3:8" ht="15" x14ac:dyDescent="0.25">
      <c r="C895"/>
      <c r="D895"/>
      <c r="E895"/>
      <c r="F895"/>
      <c r="G895"/>
      <c r="H895"/>
    </row>
    <row r="896" spans="3:8" ht="15" x14ac:dyDescent="0.25">
      <c r="C896"/>
      <c r="D896"/>
      <c r="E896"/>
      <c r="F896"/>
      <c r="G896"/>
      <c r="H896"/>
    </row>
    <row r="897" spans="3:8" ht="15" x14ac:dyDescent="0.25">
      <c r="C897"/>
      <c r="D897"/>
      <c r="E897"/>
      <c r="F897"/>
      <c r="G897"/>
      <c r="H897"/>
    </row>
    <row r="898" spans="3:8" ht="15" x14ac:dyDescent="0.25">
      <c r="C898"/>
      <c r="D898"/>
      <c r="E898"/>
      <c r="F898"/>
      <c r="G898"/>
      <c r="H898"/>
    </row>
    <row r="899" spans="3:8" ht="15" x14ac:dyDescent="0.25">
      <c r="C899"/>
      <c r="D899"/>
      <c r="E899"/>
      <c r="F899"/>
      <c r="G899"/>
      <c r="H899"/>
    </row>
    <row r="900" spans="3:8" ht="15" x14ac:dyDescent="0.25">
      <c r="C900"/>
      <c r="D900"/>
      <c r="E900"/>
      <c r="F900"/>
      <c r="G900"/>
      <c r="H900"/>
    </row>
    <row r="901" spans="3:8" ht="15" x14ac:dyDescent="0.25">
      <c r="C901"/>
      <c r="D901"/>
      <c r="E901"/>
      <c r="F901"/>
      <c r="G901"/>
      <c r="H901"/>
    </row>
    <row r="902" spans="3:8" ht="15" x14ac:dyDescent="0.25">
      <c r="C902"/>
      <c r="D902"/>
      <c r="E902"/>
      <c r="F902"/>
      <c r="G902"/>
      <c r="H902"/>
    </row>
    <row r="903" spans="3:8" ht="15" x14ac:dyDescent="0.25">
      <c r="C903"/>
      <c r="D903"/>
      <c r="E903"/>
      <c r="F903"/>
      <c r="G903"/>
      <c r="H903"/>
    </row>
    <row r="904" spans="3:8" ht="15" x14ac:dyDescent="0.25">
      <c r="C904"/>
      <c r="D904"/>
      <c r="E904"/>
      <c r="F904"/>
      <c r="G904"/>
      <c r="H904"/>
    </row>
    <row r="905" spans="3:8" ht="15" x14ac:dyDescent="0.25">
      <c r="C905"/>
      <c r="D905"/>
      <c r="E905"/>
      <c r="F905"/>
      <c r="G905"/>
      <c r="H905"/>
    </row>
    <row r="906" spans="3:8" ht="15" x14ac:dyDescent="0.25">
      <c r="C906"/>
      <c r="D906"/>
      <c r="E906"/>
      <c r="F906"/>
      <c r="G906"/>
      <c r="H906"/>
    </row>
    <row r="907" spans="3:8" ht="15" x14ac:dyDescent="0.25">
      <c r="C907"/>
      <c r="D907"/>
      <c r="E907"/>
      <c r="F907"/>
      <c r="G907"/>
      <c r="H907"/>
    </row>
    <row r="908" spans="3:8" ht="15" x14ac:dyDescent="0.25">
      <c r="C908"/>
      <c r="D908"/>
      <c r="E908"/>
      <c r="F908"/>
      <c r="G908"/>
      <c r="H908"/>
    </row>
    <row r="909" spans="3:8" ht="15" x14ac:dyDescent="0.25">
      <c r="C909"/>
      <c r="D909"/>
      <c r="E909"/>
      <c r="F909"/>
      <c r="G909"/>
      <c r="H909"/>
    </row>
    <row r="910" spans="3:8" ht="15" x14ac:dyDescent="0.25">
      <c r="C910"/>
      <c r="D910"/>
      <c r="E910"/>
      <c r="F910"/>
      <c r="G910"/>
      <c r="H910"/>
    </row>
    <row r="911" spans="3:8" ht="15" x14ac:dyDescent="0.25">
      <c r="C911"/>
      <c r="D911"/>
      <c r="E911"/>
      <c r="F911"/>
      <c r="G911"/>
      <c r="H911"/>
    </row>
    <row r="912" spans="3:8" ht="15" x14ac:dyDescent="0.25">
      <c r="C912"/>
      <c r="D912"/>
      <c r="E912"/>
      <c r="F912"/>
      <c r="G912"/>
      <c r="H912"/>
    </row>
    <row r="913" spans="3:8" ht="15" x14ac:dyDescent="0.25">
      <c r="C913"/>
      <c r="D913"/>
      <c r="E913"/>
      <c r="F913"/>
      <c r="G913"/>
      <c r="H913"/>
    </row>
    <row r="914" spans="3:8" ht="15" x14ac:dyDescent="0.25">
      <c r="C914"/>
      <c r="D914"/>
      <c r="E914"/>
      <c r="F914"/>
      <c r="G914"/>
      <c r="H914"/>
    </row>
    <row r="915" spans="3:8" ht="15" x14ac:dyDescent="0.25">
      <c r="C915"/>
      <c r="D915"/>
      <c r="E915"/>
      <c r="F915"/>
      <c r="G915"/>
      <c r="H915"/>
    </row>
    <row r="916" spans="3:8" ht="15" x14ac:dyDescent="0.25">
      <c r="C916"/>
      <c r="D916"/>
      <c r="E916"/>
      <c r="F916"/>
      <c r="G916"/>
      <c r="H916"/>
    </row>
    <row r="917" spans="3:8" ht="15" x14ac:dyDescent="0.25">
      <c r="C917"/>
      <c r="D917"/>
      <c r="E917"/>
      <c r="F917"/>
      <c r="G917"/>
      <c r="H917"/>
    </row>
    <row r="918" spans="3:8" ht="15" x14ac:dyDescent="0.25">
      <c r="C918"/>
      <c r="D918"/>
      <c r="E918"/>
      <c r="F918"/>
      <c r="G918"/>
      <c r="H918"/>
    </row>
    <row r="919" spans="3:8" ht="15" x14ac:dyDescent="0.25">
      <c r="C919"/>
      <c r="D919"/>
      <c r="E919"/>
      <c r="F919"/>
      <c r="G919"/>
      <c r="H919"/>
    </row>
    <row r="920" spans="3:8" ht="15" x14ac:dyDescent="0.25">
      <c r="C920"/>
      <c r="D920"/>
      <c r="E920"/>
      <c r="F920"/>
      <c r="G920"/>
      <c r="H920"/>
    </row>
    <row r="921" spans="3:8" ht="15" x14ac:dyDescent="0.25">
      <c r="C921"/>
      <c r="D921"/>
      <c r="E921"/>
      <c r="F921"/>
      <c r="G921"/>
      <c r="H921"/>
    </row>
    <row r="922" spans="3:8" ht="15" x14ac:dyDescent="0.25">
      <c r="C922"/>
      <c r="D922"/>
      <c r="E922"/>
      <c r="F922"/>
      <c r="G922"/>
      <c r="H922"/>
    </row>
    <row r="923" spans="3:8" ht="15" x14ac:dyDescent="0.25">
      <c r="C923"/>
      <c r="D923"/>
      <c r="E923"/>
      <c r="F923"/>
      <c r="G923"/>
      <c r="H923"/>
    </row>
    <row r="924" spans="3:8" ht="15" x14ac:dyDescent="0.25">
      <c r="C924"/>
      <c r="D924"/>
      <c r="E924"/>
      <c r="F924"/>
      <c r="G924"/>
      <c r="H924"/>
    </row>
    <row r="925" spans="3:8" ht="15" x14ac:dyDescent="0.25">
      <c r="C925"/>
      <c r="D925"/>
      <c r="E925"/>
      <c r="F925"/>
      <c r="G925"/>
      <c r="H925"/>
    </row>
    <row r="926" spans="3:8" ht="15" x14ac:dyDescent="0.25">
      <c r="C926"/>
      <c r="D926"/>
      <c r="E926"/>
      <c r="F926"/>
      <c r="G926"/>
      <c r="H926"/>
    </row>
    <row r="927" spans="3:8" ht="15" x14ac:dyDescent="0.25">
      <c r="C927"/>
      <c r="D927"/>
      <c r="E927"/>
      <c r="F927"/>
      <c r="G927"/>
      <c r="H927"/>
    </row>
    <row r="928" spans="3:8" ht="15" x14ac:dyDescent="0.25">
      <c r="C928"/>
      <c r="D928"/>
      <c r="E928"/>
      <c r="F928"/>
      <c r="G928"/>
      <c r="H928"/>
    </row>
    <row r="929" spans="3:8" ht="15" x14ac:dyDescent="0.25">
      <c r="C929"/>
      <c r="D929"/>
      <c r="E929"/>
      <c r="F929"/>
      <c r="G929"/>
      <c r="H929"/>
    </row>
    <row r="930" spans="3:8" ht="15" x14ac:dyDescent="0.25">
      <c r="C930"/>
      <c r="D930"/>
      <c r="E930"/>
      <c r="F930"/>
      <c r="G930"/>
      <c r="H930"/>
    </row>
    <row r="931" spans="3:8" ht="15" x14ac:dyDescent="0.25">
      <c r="C931"/>
      <c r="D931"/>
      <c r="E931"/>
      <c r="F931"/>
      <c r="G931"/>
      <c r="H931"/>
    </row>
    <row r="932" spans="3:8" ht="15" x14ac:dyDescent="0.25">
      <c r="C932"/>
      <c r="D932"/>
      <c r="E932"/>
      <c r="F932"/>
      <c r="G932"/>
      <c r="H932"/>
    </row>
    <row r="933" spans="3:8" ht="15" x14ac:dyDescent="0.25">
      <c r="C933"/>
      <c r="D933"/>
      <c r="E933"/>
      <c r="F933"/>
      <c r="G933"/>
      <c r="H933"/>
    </row>
    <row r="934" spans="3:8" ht="15" x14ac:dyDescent="0.25">
      <c r="C934"/>
      <c r="D934"/>
      <c r="E934"/>
      <c r="F934"/>
      <c r="G934"/>
      <c r="H934"/>
    </row>
    <row r="935" spans="3:8" ht="15" x14ac:dyDescent="0.25">
      <c r="C935"/>
      <c r="D935"/>
      <c r="E935"/>
      <c r="F935"/>
      <c r="G935"/>
      <c r="H935"/>
    </row>
    <row r="936" spans="3:8" ht="15" x14ac:dyDescent="0.25">
      <c r="C936"/>
      <c r="D936"/>
      <c r="E936"/>
      <c r="F936"/>
      <c r="G936"/>
      <c r="H936"/>
    </row>
    <row r="937" spans="3:8" ht="15" x14ac:dyDescent="0.25">
      <c r="C937"/>
      <c r="D937"/>
      <c r="E937"/>
      <c r="F937"/>
      <c r="G937"/>
      <c r="H937"/>
    </row>
    <row r="938" spans="3:8" ht="15" x14ac:dyDescent="0.25">
      <c r="C938"/>
      <c r="D938"/>
      <c r="E938"/>
      <c r="F938"/>
      <c r="G938"/>
      <c r="H938"/>
    </row>
    <row r="939" spans="3:8" ht="15" x14ac:dyDescent="0.25">
      <c r="C939"/>
      <c r="D939"/>
      <c r="E939"/>
      <c r="F939"/>
      <c r="G939"/>
      <c r="H939"/>
    </row>
    <row r="940" spans="3:8" ht="15" x14ac:dyDescent="0.25">
      <c r="C940"/>
      <c r="D940"/>
      <c r="E940"/>
      <c r="F940"/>
      <c r="G940"/>
      <c r="H940"/>
    </row>
    <row r="941" spans="3:8" ht="15" x14ac:dyDescent="0.25">
      <c r="C941"/>
      <c r="D941"/>
      <c r="E941"/>
      <c r="F941"/>
      <c r="G941"/>
      <c r="H941"/>
    </row>
    <row r="942" spans="3:8" ht="15" x14ac:dyDescent="0.25">
      <c r="C942"/>
      <c r="D942"/>
      <c r="E942"/>
      <c r="F942"/>
      <c r="G942"/>
      <c r="H942"/>
    </row>
    <row r="943" spans="3:8" ht="15" x14ac:dyDescent="0.25">
      <c r="C943"/>
      <c r="D943"/>
      <c r="E943"/>
      <c r="F943"/>
      <c r="G943"/>
      <c r="H943"/>
    </row>
    <row r="944" spans="3:8" ht="15" x14ac:dyDescent="0.25">
      <c r="C944"/>
      <c r="D944"/>
      <c r="E944"/>
      <c r="F944"/>
      <c r="G944"/>
      <c r="H944"/>
    </row>
    <row r="945" spans="3:8" ht="15" x14ac:dyDescent="0.25">
      <c r="C945"/>
      <c r="D945"/>
      <c r="E945"/>
      <c r="F945"/>
      <c r="G945"/>
      <c r="H945"/>
    </row>
    <row r="946" spans="3:8" ht="15" x14ac:dyDescent="0.25">
      <c r="C946"/>
      <c r="D946"/>
      <c r="E946"/>
      <c r="F946"/>
      <c r="G946"/>
      <c r="H946"/>
    </row>
    <row r="947" spans="3:8" ht="15" x14ac:dyDescent="0.25">
      <c r="C947"/>
      <c r="D947"/>
      <c r="E947"/>
      <c r="F947"/>
      <c r="G947"/>
      <c r="H947"/>
    </row>
    <row r="948" spans="3:8" ht="15" x14ac:dyDescent="0.25">
      <c r="C948"/>
      <c r="D948"/>
      <c r="E948"/>
      <c r="F948"/>
      <c r="G948"/>
      <c r="H948"/>
    </row>
    <row r="949" spans="3:8" ht="15" x14ac:dyDescent="0.25">
      <c r="C949"/>
      <c r="D949"/>
      <c r="E949"/>
      <c r="F949"/>
      <c r="G949"/>
      <c r="H949"/>
    </row>
    <row r="950" spans="3:8" ht="15" x14ac:dyDescent="0.25">
      <c r="C950"/>
      <c r="D950"/>
      <c r="E950"/>
      <c r="F950"/>
      <c r="G950"/>
      <c r="H950"/>
    </row>
    <row r="951" spans="3:8" ht="15" x14ac:dyDescent="0.25">
      <c r="C951"/>
      <c r="D951"/>
      <c r="E951"/>
      <c r="F951"/>
      <c r="G951"/>
      <c r="H951"/>
    </row>
    <row r="952" spans="3:8" ht="15" x14ac:dyDescent="0.25">
      <c r="C952"/>
      <c r="D952"/>
      <c r="E952"/>
      <c r="F952"/>
      <c r="G952"/>
      <c r="H952"/>
    </row>
    <row r="953" spans="3:8" ht="15" x14ac:dyDescent="0.25">
      <c r="C953"/>
      <c r="D953"/>
      <c r="E953"/>
      <c r="F953"/>
      <c r="G953"/>
      <c r="H953"/>
    </row>
    <row r="954" spans="3:8" ht="15" x14ac:dyDescent="0.25">
      <c r="C954"/>
      <c r="D954"/>
      <c r="E954"/>
      <c r="F954"/>
      <c r="G954"/>
      <c r="H954"/>
    </row>
    <row r="955" spans="3:8" ht="15" x14ac:dyDescent="0.25">
      <c r="C955"/>
      <c r="D955"/>
      <c r="E955"/>
      <c r="F955"/>
      <c r="G955"/>
      <c r="H955"/>
    </row>
    <row r="956" spans="3:8" ht="15" x14ac:dyDescent="0.25">
      <c r="C956"/>
      <c r="D956"/>
      <c r="E956"/>
      <c r="F956"/>
      <c r="G956"/>
      <c r="H956"/>
    </row>
    <row r="957" spans="3:8" ht="15" x14ac:dyDescent="0.25">
      <c r="C957"/>
      <c r="D957"/>
      <c r="E957"/>
      <c r="F957"/>
      <c r="G957"/>
      <c r="H957"/>
    </row>
    <row r="958" spans="3:8" ht="15" x14ac:dyDescent="0.25">
      <c r="C958"/>
      <c r="D958"/>
      <c r="E958"/>
      <c r="F958"/>
      <c r="G958"/>
      <c r="H958"/>
    </row>
    <row r="959" spans="3:8" ht="15" x14ac:dyDescent="0.25">
      <c r="C959"/>
      <c r="D959"/>
      <c r="E959"/>
      <c r="F959"/>
      <c r="G959"/>
      <c r="H959"/>
    </row>
    <row r="960" spans="3:8" ht="15" x14ac:dyDescent="0.25">
      <c r="C960"/>
      <c r="D960"/>
      <c r="E960"/>
      <c r="F960"/>
      <c r="G960"/>
      <c r="H960"/>
    </row>
    <row r="961" spans="3:8" ht="15" x14ac:dyDescent="0.25">
      <c r="C961"/>
      <c r="D961"/>
      <c r="E961"/>
      <c r="F961"/>
      <c r="G961"/>
      <c r="H961"/>
    </row>
    <row r="962" spans="3:8" ht="15" x14ac:dyDescent="0.25">
      <c r="C962"/>
      <c r="D962"/>
      <c r="E962"/>
      <c r="F962"/>
      <c r="G962"/>
      <c r="H962"/>
    </row>
    <row r="963" spans="3:8" ht="15" x14ac:dyDescent="0.25">
      <c r="C963"/>
      <c r="D963"/>
      <c r="E963"/>
      <c r="F963"/>
      <c r="G963"/>
      <c r="H963"/>
    </row>
    <row r="964" spans="3:8" ht="15" x14ac:dyDescent="0.25">
      <c r="C964"/>
      <c r="D964"/>
      <c r="E964"/>
      <c r="F964"/>
      <c r="G964"/>
      <c r="H964"/>
    </row>
    <row r="965" spans="3:8" ht="15" x14ac:dyDescent="0.25">
      <c r="C965"/>
      <c r="D965"/>
      <c r="E965"/>
      <c r="F965"/>
      <c r="G965"/>
      <c r="H965"/>
    </row>
    <row r="966" spans="3:8" ht="15" x14ac:dyDescent="0.25">
      <c r="C966"/>
      <c r="D966"/>
      <c r="E966"/>
      <c r="F966"/>
      <c r="G966"/>
      <c r="H966"/>
    </row>
    <row r="967" spans="3:8" ht="15" x14ac:dyDescent="0.25">
      <c r="C967"/>
      <c r="D967"/>
      <c r="E967"/>
      <c r="F967"/>
      <c r="G967"/>
      <c r="H967"/>
    </row>
    <row r="968" spans="3:8" ht="15" x14ac:dyDescent="0.25">
      <c r="C968"/>
      <c r="D968"/>
      <c r="E968"/>
      <c r="F968"/>
      <c r="G968"/>
      <c r="H968"/>
    </row>
    <row r="969" spans="3:8" ht="15" x14ac:dyDescent="0.25">
      <c r="C969"/>
      <c r="D969"/>
      <c r="E969"/>
      <c r="F969"/>
      <c r="G969"/>
      <c r="H969"/>
    </row>
    <row r="970" spans="3:8" ht="15" x14ac:dyDescent="0.25">
      <c r="C970"/>
      <c r="D970"/>
      <c r="E970"/>
      <c r="F970"/>
      <c r="G970"/>
      <c r="H970"/>
    </row>
    <row r="971" spans="3:8" ht="15" x14ac:dyDescent="0.25">
      <c r="C971"/>
      <c r="D971"/>
      <c r="E971"/>
      <c r="F971"/>
      <c r="G971"/>
      <c r="H971"/>
    </row>
    <row r="972" spans="3:8" ht="15" x14ac:dyDescent="0.25">
      <c r="C972"/>
      <c r="D972"/>
      <c r="E972"/>
      <c r="F972"/>
      <c r="G972"/>
      <c r="H972"/>
    </row>
    <row r="973" spans="3:8" ht="15" x14ac:dyDescent="0.25">
      <c r="C973"/>
      <c r="D973"/>
      <c r="E973"/>
      <c r="F973"/>
      <c r="G973"/>
      <c r="H973"/>
    </row>
    <row r="974" spans="3:8" ht="15" x14ac:dyDescent="0.25">
      <c r="C974"/>
      <c r="D974"/>
      <c r="E974"/>
      <c r="F974"/>
      <c r="G974"/>
      <c r="H974"/>
    </row>
    <row r="975" spans="3:8" ht="15" x14ac:dyDescent="0.25">
      <c r="C975"/>
      <c r="D975"/>
      <c r="E975"/>
      <c r="F975"/>
      <c r="G975"/>
      <c r="H975"/>
    </row>
    <row r="976" spans="3:8" ht="15" x14ac:dyDescent="0.25">
      <c r="C976"/>
      <c r="D976"/>
      <c r="E976"/>
      <c r="F976"/>
      <c r="G976"/>
      <c r="H976"/>
    </row>
    <row r="977" spans="3:8" ht="15" x14ac:dyDescent="0.25">
      <c r="C977"/>
      <c r="D977"/>
      <c r="E977"/>
      <c r="F977"/>
      <c r="G977"/>
      <c r="H977"/>
    </row>
    <row r="978" spans="3:8" ht="15" x14ac:dyDescent="0.25">
      <c r="C978"/>
      <c r="D978"/>
      <c r="E978"/>
      <c r="F978"/>
      <c r="G978"/>
      <c r="H978"/>
    </row>
    <row r="979" spans="3:8" ht="15" x14ac:dyDescent="0.25">
      <c r="C979"/>
      <c r="D979"/>
      <c r="E979"/>
      <c r="F979"/>
      <c r="G979"/>
      <c r="H979"/>
    </row>
    <row r="980" spans="3:8" ht="15" x14ac:dyDescent="0.25">
      <c r="C980"/>
      <c r="D980"/>
      <c r="E980"/>
      <c r="F980"/>
      <c r="G980"/>
      <c r="H980"/>
    </row>
    <row r="981" spans="3:8" ht="15" x14ac:dyDescent="0.25">
      <c r="C981"/>
      <c r="D981"/>
      <c r="E981"/>
      <c r="F981"/>
      <c r="G981"/>
      <c r="H981"/>
    </row>
    <row r="982" spans="3:8" ht="15" x14ac:dyDescent="0.25">
      <c r="C982"/>
      <c r="D982"/>
      <c r="E982"/>
      <c r="F982"/>
      <c r="G982"/>
      <c r="H982"/>
    </row>
    <row r="983" spans="3:8" ht="15" x14ac:dyDescent="0.25">
      <c r="C983"/>
      <c r="D983"/>
      <c r="E983"/>
      <c r="F983"/>
      <c r="G983"/>
      <c r="H983"/>
    </row>
    <row r="984" spans="3:8" ht="15" x14ac:dyDescent="0.25">
      <c r="C984"/>
      <c r="D984"/>
      <c r="E984"/>
      <c r="F984"/>
      <c r="G984"/>
      <c r="H984"/>
    </row>
    <row r="985" spans="3:8" ht="15" x14ac:dyDescent="0.25">
      <c r="C985"/>
      <c r="D985"/>
      <c r="E985"/>
      <c r="F985"/>
      <c r="G985"/>
      <c r="H985"/>
    </row>
    <row r="986" spans="3:8" ht="15" x14ac:dyDescent="0.25">
      <c r="C986"/>
      <c r="D986"/>
      <c r="E986"/>
      <c r="F986"/>
      <c r="G986"/>
      <c r="H986"/>
    </row>
    <row r="987" spans="3:8" ht="15" x14ac:dyDescent="0.25">
      <c r="C987"/>
      <c r="D987"/>
      <c r="E987"/>
      <c r="F987"/>
      <c r="G987"/>
      <c r="H987"/>
    </row>
    <row r="988" spans="3:8" ht="15" x14ac:dyDescent="0.25">
      <c r="C988"/>
      <c r="D988"/>
      <c r="E988"/>
      <c r="F988"/>
      <c r="G988"/>
      <c r="H988"/>
    </row>
    <row r="989" spans="3:8" ht="15" x14ac:dyDescent="0.25">
      <c r="C989"/>
      <c r="D989"/>
      <c r="E989"/>
      <c r="F989"/>
      <c r="G989"/>
      <c r="H989"/>
    </row>
    <row r="990" spans="3:8" ht="15" x14ac:dyDescent="0.25">
      <c r="C990"/>
      <c r="D990"/>
      <c r="E990"/>
      <c r="F990"/>
      <c r="G990"/>
      <c r="H990"/>
    </row>
    <row r="991" spans="3:8" ht="15" x14ac:dyDescent="0.25">
      <c r="C991"/>
      <c r="D991"/>
      <c r="E991"/>
      <c r="F991"/>
      <c r="G991"/>
      <c r="H991"/>
    </row>
    <row r="992" spans="3:8" ht="15" x14ac:dyDescent="0.25">
      <c r="C992"/>
      <c r="D992"/>
      <c r="E992"/>
      <c r="F992"/>
      <c r="G992"/>
      <c r="H992"/>
    </row>
    <row r="993" spans="3:8" ht="15" x14ac:dyDescent="0.25">
      <c r="C993"/>
      <c r="D993"/>
      <c r="E993"/>
      <c r="F993"/>
      <c r="G993"/>
      <c r="H993"/>
    </row>
    <row r="994" spans="3:8" ht="15" x14ac:dyDescent="0.25">
      <c r="C994"/>
      <c r="D994"/>
      <c r="E994"/>
      <c r="F994"/>
      <c r="G994"/>
      <c r="H994"/>
    </row>
    <row r="995" spans="3:8" ht="15" x14ac:dyDescent="0.25">
      <c r="C995"/>
      <c r="D995"/>
      <c r="E995"/>
      <c r="F995"/>
      <c r="G995"/>
      <c r="H995"/>
    </row>
    <row r="996" spans="3:8" ht="15" x14ac:dyDescent="0.25">
      <c r="C996"/>
      <c r="D996"/>
      <c r="E996"/>
      <c r="F996"/>
      <c r="G996"/>
      <c r="H996"/>
    </row>
    <row r="997" spans="3:8" ht="15" x14ac:dyDescent="0.25">
      <c r="C997"/>
      <c r="D997"/>
      <c r="E997"/>
      <c r="F997"/>
      <c r="G997"/>
      <c r="H997"/>
    </row>
    <row r="998" spans="3:8" ht="15" x14ac:dyDescent="0.25">
      <c r="C998"/>
      <c r="D998"/>
      <c r="E998"/>
      <c r="F998"/>
      <c r="G998"/>
      <c r="H998"/>
    </row>
    <row r="999" spans="3:8" ht="15" x14ac:dyDescent="0.25">
      <c r="C999"/>
      <c r="D999"/>
      <c r="E999"/>
      <c r="F999"/>
      <c r="G999"/>
      <c r="H999"/>
    </row>
    <row r="1000" spans="3:8" ht="15" x14ac:dyDescent="0.25">
      <c r="C1000"/>
      <c r="D1000"/>
      <c r="E1000"/>
      <c r="F1000"/>
      <c r="G1000"/>
      <c r="H1000"/>
    </row>
    <row r="1001" spans="3:8" ht="15" x14ac:dyDescent="0.25">
      <c r="C1001"/>
      <c r="D1001"/>
      <c r="E1001"/>
      <c r="F1001"/>
      <c r="G1001"/>
      <c r="H1001"/>
    </row>
    <row r="1002" spans="3:8" ht="15" x14ac:dyDescent="0.25">
      <c r="C1002"/>
      <c r="D1002"/>
      <c r="E1002"/>
      <c r="F1002"/>
      <c r="G1002"/>
      <c r="H1002"/>
    </row>
    <row r="1003" spans="3:8" ht="15" x14ac:dyDescent="0.25">
      <c r="C1003"/>
      <c r="D1003"/>
      <c r="E1003"/>
      <c r="F1003"/>
      <c r="G1003"/>
      <c r="H1003"/>
    </row>
    <row r="1004" spans="3:8" ht="15" x14ac:dyDescent="0.25">
      <c r="C1004"/>
      <c r="D1004"/>
      <c r="E1004"/>
      <c r="F1004"/>
      <c r="G1004"/>
      <c r="H1004"/>
    </row>
    <row r="1005" spans="3:8" ht="15" x14ac:dyDescent="0.25">
      <c r="C1005"/>
      <c r="D1005"/>
      <c r="E1005"/>
      <c r="F1005"/>
      <c r="G1005"/>
      <c r="H1005"/>
    </row>
    <row r="1006" spans="3:8" ht="15" x14ac:dyDescent="0.25">
      <c r="C1006"/>
      <c r="D1006"/>
      <c r="E1006"/>
      <c r="F1006"/>
      <c r="G1006"/>
      <c r="H1006"/>
    </row>
    <row r="1007" spans="3:8" ht="15" x14ac:dyDescent="0.25">
      <c r="C1007"/>
      <c r="D1007"/>
      <c r="E1007"/>
      <c r="F1007"/>
      <c r="G1007"/>
      <c r="H1007"/>
    </row>
    <row r="1008" spans="3:8" ht="15" x14ac:dyDescent="0.25">
      <c r="C1008"/>
      <c r="D1008"/>
      <c r="E1008"/>
      <c r="F1008"/>
      <c r="G1008"/>
      <c r="H1008"/>
    </row>
    <row r="1009" spans="3:8" ht="15" x14ac:dyDescent="0.25">
      <c r="C1009"/>
      <c r="D1009"/>
      <c r="E1009"/>
      <c r="F1009"/>
      <c r="G1009"/>
      <c r="H1009"/>
    </row>
    <row r="1010" spans="3:8" ht="15" x14ac:dyDescent="0.25">
      <c r="C1010"/>
      <c r="D1010"/>
      <c r="E1010"/>
      <c r="F1010"/>
      <c r="G1010"/>
      <c r="H1010"/>
    </row>
    <row r="1011" spans="3:8" ht="15" x14ac:dyDescent="0.25">
      <c r="C1011"/>
      <c r="D1011"/>
      <c r="E1011"/>
      <c r="F1011"/>
      <c r="G1011"/>
      <c r="H1011"/>
    </row>
    <row r="1012" spans="3:8" ht="15" x14ac:dyDescent="0.25">
      <c r="C1012"/>
      <c r="D1012"/>
      <c r="E1012"/>
      <c r="F1012"/>
      <c r="G1012"/>
      <c r="H1012"/>
    </row>
    <row r="1013" spans="3:8" ht="15" x14ac:dyDescent="0.25">
      <c r="C1013"/>
      <c r="D1013"/>
      <c r="E1013"/>
      <c r="F1013"/>
      <c r="G1013"/>
      <c r="H1013"/>
    </row>
    <row r="1014" spans="3:8" ht="15" x14ac:dyDescent="0.25">
      <c r="C1014"/>
      <c r="D1014"/>
      <c r="E1014"/>
      <c r="F1014"/>
      <c r="G1014"/>
      <c r="H1014"/>
    </row>
    <row r="1015" spans="3:8" ht="15" x14ac:dyDescent="0.25">
      <c r="C1015"/>
      <c r="D1015"/>
      <c r="E1015"/>
      <c r="F1015"/>
      <c r="G1015"/>
      <c r="H1015"/>
    </row>
    <row r="1016" spans="3:8" ht="15" x14ac:dyDescent="0.25">
      <c r="C1016"/>
      <c r="D1016"/>
      <c r="E1016"/>
      <c r="F1016"/>
      <c r="G1016"/>
      <c r="H1016"/>
    </row>
    <row r="1017" spans="3:8" ht="15" x14ac:dyDescent="0.25">
      <c r="C1017"/>
      <c r="D1017"/>
      <c r="E1017"/>
      <c r="F1017"/>
      <c r="G1017"/>
      <c r="H1017"/>
    </row>
    <row r="1018" spans="3:8" ht="15" x14ac:dyDescent="0.25">
      <c r="C1018"/>
      <c r="D1018"/>
      <c r="E1018"/>
      <c r="F1018"/>
      <c r="G1018"/>
      <c r="H1018"/>
    </row>
    <row r="1019" spans="3:8" ht="15" x14ac:dyDescent="0.25">
      <c r="C1019"/>
      <c r="D1019"/>
      <c r="E1019"/>
      <c r="F1019"/>
      <c r="G1019"/>
      <c r="H1019"/>
    </row>
    <row r="1020" spans="3:8" ht="15" x14ac:dyDescent="0.25">
      <c r="C1020"/>
      <c r="D1020"/>
      <c r="E1020"/>
      <c r="F1020"/>
      <c r="G1020"/>
      <c r="H1020"/>
    </row>
    <row r="1021" spans="3:8" ht="15" x14ac:dyDescent="0.25">
      <c r="C1021"/>
      <c r="D1021"/>
      <c r="E1021"/>
      <c r="F1021"/>
      <c r="G1021"/>
      <c r="H1021"/>
    </row>
    <row r="1022" spans="3:8" ht="15" x14ac:dyDescent="0.25">
      <c r="C1022"/>
      <c r="D1022"/>
      <c r="E1022"/>
      <c r="F1022"/>
      <c r="G1022"/>
      <c r="H1022"/>
    </row>
    <row r="1023" spans="3:8" ht="15" x14ac:dyDescent="0.25">
      <c r="C1023"/>
      <c r="D1023"/>
      <c r="E1023"/>
      <c r="F1023"/>
      <c r="G1023"/>
      <c r="H1023"/>
    </row>
    <row r="1024" spans="3:8" ht="15" x14ac:dyDescent="0.25">
      <c r="C1024"/>
      <c r="D1024"/>
      <c r="E1024"/>
      <c r="F1024"/>
      <c r="G1024"/>
      <c r="H1024"/>
    </row>
    <row r="1025" spans="3:8" ht="15" x14ac:dyDescent="0.25">
      <c r="C1025"/>
      <c r="D1025"/>
      <c r="E1025"/>
      <c r="F1025"/>
      <c r="G1025"/>
      <c r="H1025"/>
    </row>
    <row r="1026" spans="3:8" ht="15" x14ac:dyDescent="0.25">
      <c r="C1026"/>
      <c r="D1026"/>
      <c r="E1026"/>
      <c r="F1026"/>
      <c r="G1026"/>
      <c r="H1026"/>
    </row>
    <row r="1027" spans="3:8" ht="15" x14ac:dyDescent="0.25">
      <c r="C1027"/>
      <c r="D1027"/>
      <c r="E1027"/>
      <c r="F1027"/>
      <c r="G1027"/>
      <c r="H1027"/>
    </row>
    <row r="1028" spans="3:8" ht="15" x14ac:dyDescent="0.25">
      <c r="C1028"/>
      <c r="D1028"/>
      <c r="E1028"/>
      <c r="F1028"/>
      <c r="G1028"/>
      <c r="H1028"/>
    </row>
    <row r="1029" spans="3:8" ht="15" x14ac:dyDescent="0.25">
      <c r="C1029"/>
      <c r="D1029"/>
      <c r="E1029"/>
      <c r="F1029"/>
      <c r="G1029"/>
      <c r="H1029"/>
    </row>
    <row r="1030" spans="3:8" ht="15" x14ac:dyDescent="0.25">
      <c r="C1030"/>
      <c r="D1030"/>
      <c r="E1030"/>
      <c r="F1030"/>
      <c r="G1030"/>
      <c r="H1030"/>
    </row>
    <row r="1031" spans="3:8" ht="15" x14ac:dyDescent="0.25">
      <c r="C1031"/>
      <c r="D1031"/>
      <c r="E1031"/>
      <c r="F1031"/>
      <c r="G1031"/>
      <c r="H1031"/>
    </row>
    <row r="1032" spans="3:8" ht="15" x14ac:dyDescent="0.25">
      <c r="C1032"/>
      <c r="D1032"/>
      <c r="E1032"/>
      <c r="F1032"/>
      <c r="G1032"/>
      <c r="H1032"/>
    </row>
    <row r="1033" spans="3:8" ht="15" x14ac:dyDescent="0.25">
      <c r="C1033"/>
      <c r="D1033"/>
      <c r="E1033"/>
      <c r="F1033"/>
      <c r="G1033"/>
      <c r="H1033"/>
    </row>
    <row r="1034" spans="3:8" ht="15" x14ac:dyDescent="0.25">
      <c r="C1034"/>
      <c r="D1034"/>
      <c r="E1034"/>
      <c r="F1034"/>
      <c r="G1034"/>
      <c r="H1034"/>
    </row>
    <row r="1035" spans="3:8" ht="15" x14ac:dyDescent="0.25">
      <c r="C1035"/>
      <c r="D1035"/>
      <c r="E1035"/>
      <c r="F1035"/>
      <c r="G1035"/>
      <c r="H1035"/>
    </row>
    <row r="1036" spans="3:8" ht="15" x14ac:dyDescent="0.25">
      <c r="C1036"/>
      <c r="D1036"/>
      <c r="E1036"/>
      <c r="F1036"/>
      <c r="G1036"/>
      <c r="H1036"/>
    </row>
    <row r="1037" spans="3:8" ht="15" x14ac:dyDescent="0.25">
      <c r="C1037"/>
      <c r="D1037"/>
      <c r="E1037"/>
      <c r="F1037"/>
      <c r="G1037"/>
      <c r="H1037"/>
    </row>
    <row r="1038" spans="3:8" ht="15" x14ac:dyDescent="0.25">
      <c r="C1038"/>
      <c r="D1038"/>
      <c r="E1038"/>
      <c r="F1038"/>
      <c r="G1038"/>
      <c r="H1038"/>
    </row>
    <row r="1039" spans="3:8" ht="15" x14ac:dyDescent="0.25">
      <c r="C1039"/>
      <c r="D1039"/>
      <c r="E1039"/>
      <c r="F1039"/>
      <c r="G1039"/>
      <c r="H1039"/>
    </row>
    <row r="1040" spans="3:8" ht="15" x14ac:dyDescent="0.25">
      <c r="C1040"/>
      <c r="D1040"/>
      <c r="E1040"/>
      <c r="F1040"/>
      <c r="G1040"/>
      <c r="H1040"/>
    </row>
    <row r="1041" spans="3:8" ht="15" x14ac:dyDescent="0.25">
      <c r="C1041"/>
      <c r="D1041"/>
      <c r="E1041"/>
      <c r="F1041"/>
      <c r="G1041"/>
      <c r="H1041"/>
    </row>
    <row r="1042" spans="3:8" ht="15" x14ac:dyDescent="0.25">
      <c r="C1042"/>
      <c r="D1042"/>
      <c r="E1042"/>
      <c r="F1042"/>
      <c r="G1042"/>
      <c r="H1042"/>
    </row>
    <row r="1043" spans="3:8" ht="15" x14ac:dyDescent="0.25">
      <c r="C1043"/>
      <c r="D1043"/>
      <c r="E1043"/>
      <c r="F1043"/>
      <c r="G1043"/>
      <c r="H1043"/>
    </row>
    <row r="1044" spans="3:8" ht="15" x14ac:dyDescent="0.25">
      <c r="C1044"/>
      <c r="D1044"/>
      <c r="E1044"/>
      <c r="F1044"/>
      <c r="G1044"/>
      <c r="H1044"/>
    </row>
    <row r="1045" spans="3:8" ht="15" x14ac:dyDescent="0.25">
      <c r="C1045"/>
      <c r="D1045"/>
      <c r="E1045"/>
      <c r="F1045"/>
      <c r="G1045"/>
      <c r="H1045"/>
    </row>
    <row r="1046" spans="3:8" ht="15" x14ac:dyDescent="0.25">
      <c r="C1046"/>
      <c r="D1046"/>
      <c r="E1046"/>
      <c r="F1046"/>
      <c r="G1046"/>
      <c r="H1046"/>
    </row>
    <row r="1047" spans="3:8" ht="15" x14ac:dyDescent="0.25">
      <c r="C1047"/>
      <c r="D1047"/>
      <c r="E1047"/>
      <c r="F1047"/>
      <c r="G1047"/>
      <c r="H1047"/>
    </row>
    <row r="1048" spans="3:8" ht="15" x14ac:dyDescent="0.25">
      <c r="C1048"/>
      <c r="D1048"/>
      <c r="E1048"/>
      <c r="F1048"/>
      <c r="G1048"/>
      <c r="H1048"/>
    </row>
    <row r="1049" spans="3:8" ht="15" x14ac:dyDescent="0.25">
      <c r="C1049"/>
      <c r="D1049"/>
      <c r="E1049"/>
      <c r="F1049"/>
      <c r="G1049"/>
      <c r="H1049"/>
    </row>
    <row r="1050" spans="3:8" ht="15" x14ac:dyDescent="0.25">
      <c r="C1050"/>
      <c r="D1050"/>
      <c r="E1050"/>
      <c r="F1050"/>
      <c r="G1050"/>
      <c r="H1050"/>
    </row>
    <row r="1051" spans="3:8" ht="15" x14ac:dyDescent="0.25">
      <c r="C1051"/>
      <c r="D1051"/>
      <c r="E1051"/>
      <c r="F1051"/>
      <c r="G1051"/>
      <c r="H1051"/>
    </row>
    <row r="1052" spans="3:8" ht="15" x14ac:dyDescent="0.25">
      <c r="C1052"/>
      <c r="D1052"/>
      <c r="E1052"/>
      <c r="F1052"/>
      <c r="G1052"/>
      <c r="H1052"/>
    </row>
    <row r="1053" spans="3:8" ht="15" x14ac:dyDescent="0.25">
      <c r="C1053"/>
      <c r="D1053"/>
      <c r="E1053"/>
      <c r="F1053"/>
      <c r="G1053"/>
      <c r="H1053"/>
    </row>
    <row r="1054" spans="3:8" ht="15" x14ac:dyDescent="0.25">
      <c r="C1054"/>
      <c r="D1054"/>
      <c r="E1054"/>
      <c r="F1054"/>
      <c r="G1054"/>
      <c r="H1054"/>
    </row>
    <row r="1055" spans="3:8" ht="15" x14ac:dyDescent="0.25">
      <c r="C1055"/>
      <c r="D1055"/>
      <c r="E1055"/>
      <c r="F1055"/>
      <c r="G1055"/>
      <c r="H1055"/>
    </row>
    <row r="1056" spans="3:8" ht="15" x14ac:dyDescent="0.25">
      <c r="C1056"/>
      <c r="D1056"/>
      <c r="E1056"/>
      <c r="F1056"/>
      <c r="G1056"/>
      <c r="H1056"/>
    </row>
    <row r="1057" spans="3:8" ht="15" x14ac:dyDescent="0.25">
      <c r="C1057"/>
      <c r="D1057"/>
      <c r="E1057"/>
      <c r="F1057"/>
      <c r="G1057"/>
      <c r="H1057"/>
    </row>
    <row r="1058" spans="3:8" ht="15" x14ac:dyDescent="0.25">
      <c r="C1058"/>
      <c r="D1058"/>
      <c r="E1058"/>
      <c r="F1058"/>
      <c r="G1058"/>
      <c r="H1058"/>
    </row>
    <row r="1059" spans="3:8" ht="15" x14ac:dyDescent="0.25">
      <c r="C1059"/>
      <c r="D1059"/>
      <c r="E1059"/>
      <c r="F1059"/>
      <c r="G1059"/>
      <c r="H1059"/>
    </row>
    <row r="1060" spans="3:8" ht="15" x14ac:dyDescent="0.25">
      <c r="C1060"/>
      <c r="D1060"/>
      <c r="E1060"/>
      <c r="F1060"/>
      <c r="G1060"/>
      <c r="H1060"/>
    </row>
    <row r="1061" spans="3:8" ht="15" x14ac:dyDescent="0.25">
      <c r="C1061"/>
      <c r="D1061"/>
      <c r="E1061"/>
      <c r="F1061"/>
      <c r="G1061"/>
      <c r="H1061"/>
    </row>
    <row r="1062" spans="3:8" ht="15" x14ac:dyDescent="0.25">
      <c r="C1062"/>
      <c r="D1062"/>
      <c r="E1062"/>
      <c r="F1062"/>
      <c r="G1062"/>
      <c r="H1062"/>
    </row>
    <row r="1063" spans="3:8" ht="15" x14ac:dyDescent="0.25">
      <c r="C1063"/>
      <c r="D1063"/>
      <c r="E1063"/>
      <c r="F1063"/>
      <c r="G1063"/>
      <c r="H1063"/>
    </row>
    <row r="1064" spans="3:8" ht="15" x14ac:dyDescent="0.25">
      <c r="C1064"/>
      <c r="D1064"/>
      <c r="E1064"/>
      <c r="F1064"/>
      <c r="G1064"/>
      <c r="H1064"/>
    </row>
    <row r="1065" spans="3:8" ht="15" x14ac:dyDescent="0.25">
      <c r="C1065"/>
      <c r="D1065"/>
      <c r="E1065"/>
      <c r="F1065"/>
      <c r="G1065"/>
      <c r="H1065"/>
    </row>
    <row r="1066" spans="3:8" ht="15" x14ac:dyDescent="0.25">
      <c r="C1066"/>
      <c r="D1066"/>
      <c r="E1066"/>
      <c r="F1066"/>
      <c r="G1066"/>
      <c r="H1066"/>
    </row>
    <row r="1067" spans="3:8" ht="15" x14ac:dyDescent="0.25">
      <c r="C1067"/>
      <c r="D1067"/>
      <c r="E1067"/>
      <c r="F1067"/>
      <c r="G1067"/>
      <c r="H1067"/>
    </row>
    <row r="1068" spans="3:8" ht="15" x14ac:dyDescent="0.25">
      <c r="C1068"/>
      <c r="D1068"/>
      <c r="E1068"/>
      <c r="F1068"/>
      <c r="G1068"/>
      <c r="H1068"/>
    </row>
    <row r="1069" spans="3:8" ht="15" x14ac:dyDescent="0.25">
      <c r="C1069"/>
      <c r="D1069"/>
      <c r="E1069"/>
      <c r="F1069"/>
      <c r="G1069"/>
      <c r="H1069"/>
    </row>
    <row r="1070" spans="3:8" ht="15" x14ac:dyDescent="0.25">
      <c r="C1070"/>
      <c r="D1070"/>
      <c r="E1070"/>
      <c r="F1070"/>
      <c r="G1070"/>
      <c r="H1070"/>
    </row>
    <row r="1071" spans="3:8" ht="15" x14ac:dyDescent="0.25">
      <c r="C1071"/>
      <c r="D1071"/>
      <c r="E1071"/>
      <c r="F1071"/>
      <c r="G1071"/>
      <c r="H1071"/>
    </row>
    <row r="1072" spans="3:8" ht="15" x14ac:dyDescent="0.25">
      <c r="C1072"/>
      <c r="D1072"/>
      <c r="E1072"/>
      <c r="F1072"/>
      <c r="G1072"/>
      <c r="H1072"/>
    </row>
    <row r="1073" spans="3:8" ht="15" x14ac:dyDescent="0.25">
      <c r="C1073"/>
      <c r="D1073"/>
      <c r="E1073"/>
      <c r="F1073"/>
      <c r="G1073"/>
      <c r="H1073"/>
    </row>
    <row r="1074" spans="3:8" ht="15" x14ac:dyDescent="0.25">
      <c r="C1074"/>
      <c r="D1074"/>
      <c r="E1074"/>
      <c r="F1074"/>
      <c r="G1074"/>
      <c r="H1074"/>
    </row>
    <row r="1075" spans="3:8" ht="15" x14ac:dyDescent="0.25">
      <c r="C1075"/>
      <c r="D1075"/>
      <c r="E1075"/>
      <c r="F1075"/>
      <c r="G1075"/>
      <c r="H1075"/>
    </row>
    <row r="1076" spans="3:8" ht="15" x14ac:dyDescent="0.25">
      <c r="C1076"/>
      <c r="D1076"/>
      <c r="E1076"/>
      <c r="F1076"/>
      <c r="G1076"/>
      <c r="H1076"/>
    </row>
    <row r="1077" spans="3:8" ht="15" x14ac:dyDescent="0.25">
      <c r="C1077"/>
      <c r="D1077"/>
      <c r="E1077"/>
      <c r="F1077"/>
      <c r="G1077"/>
      <c r="H1077"/>
    </row>
    <row r="1078" spans="3:8" ht="15" x14ac:dyDescent="0.25">
      <c r="C1078"/>
      <c r="D1078"/>
      <c r="E1078"/>
      <c r="F1078"/>
      <c r="G1078"/>
      <c r="H1078"/>
    </row>
    <row r="1079" spans="3:8" ht="15" x14ac:dyDescent="0.25">
      <c r="C1079"/>
      <c r="D1079"/>
      <c r="E1079"/>
      <c r="F1079"/>
      <c r="G1079"/>
      <c r="H1079"/>
    </row>
    <row r="1080" spans="3:8" ht="15" x14ac:dyDescent="0.25">
      <c r="C1080"/>
      <c r="D1080"/>
      <c r="E1080"/>
      <c r="F1080"/>
      <c r="G1080"/>
      <c r="H1080"/>
    </row>
    <row r="1081" spans="3:8" ht="15" x14ac:dyDescent="0.25">
      <c r="C1081"/>
      <c r="D1081"/>
      <c r="E1081"/>
      <c r="F1081"/>
      <c r="G1081"/>
      <c r="H1081"/>
    </row>
    <row r="1082" spans="3:8" ht="15" x14ac:dyDescent="0.25">
      <c r="C1082"/>
      <c r="D1082"/>
      <c r="E1082"/>
      <c r="F1082"/>
      <c r="G1082"/>
      <c r="H1082"/>
    </row>
    <row r="1083" spans="3:8" ht="15" x14ac:dyDescent="0.25">
      <c r="C1083"/>
      <c r="D1083"/>
      <c r="E1083"/>
      <c r="F1083"/>
      <c r="G1083"/>
      <c r="H1083"/>
    </row>
    <row r="1084" spans="3:8" ht="15" x14ac:dyDescent="0.25">
      <c r="C1084"/>
      <c r="D1084"/>
      <c r="E1084"/>
      <c r="F1084"/>
      <c r="G1084"/>
      <c r="H1084"/>
    </row>
    <row r="1085" spans="3:8" ht="15" x14ac:dyDescent="0.25">
      <c r="C1085"/>
      <c r="D1085"/>
      <c r="E1085"/>
      <c r="F1085"/>
      <c r="G1085"/>
      <c r="H1085"/>
    </row>
    <row r="1086" spans="3:8" ht="15" x14ac:dyDescent="0.25">
      <c r="C1086"/>
      <c r="D1086"/>
      <c r="E1086"/>
      <c r="F1086"/>
      <c r="G1086"/>
      <c r="H1086"/>
    </row>
    <row r="1087" spans="3:8" ht="15" x14ac:dyDescent="0.25">
      <c r="C1087"/>
      <c r="D1087"/>
      <c r="E1087"/>
      <c r="F1087"/>
      <c r="G1087"/>
      <c r="H1087"/>
    </row>
    <row r="1088" spans="3:8" ht="15" x14ac:dyDescent="0.25">
      <c r="C1088"/>
      <c r="D1088"/>
      <c r="E1088"/>
      <c r="F1088"/>
      <c r="G1088"/>
      <c r="H1088"/>
    </row>
    <row r="1089" spans="3:8" ht="15" x14ac:dyDescent="0.25">
      <c r="C1089"/>
      <c r="D1089"/>
      <c r="E1089"/>
      <c r="F1089"/>
      <c r="G1089"/>
      <c r="H1089"/>
    </row>
    <row r="1090" spans="3:8" ht="15" x14ac:dyDescent="0.25">
      <c r="C1090"/>
      <c r="D1090"/>
      <c r="E1090"/>
      <c r="F1090"/>
      <c r="G1090"/>
      <c r="H1090"/>
    </row>
    <row r="1091" spans="3:8" ht="15" x14ac:dyDescent="0.25">
      <c r="C1091"/>
      <c r="D1091"/>
      <c r="E1091"/>
      <c r="F1091"/>
      <c r="G1091"/>
      <c r="H1091"/>
    </row>
    <row r="1092" spans="3:8" ht="15" x14ac:dyDescent="0.25">
      <c r="C1092"/>
      <c r="D1092"/>
      <c r="E1092"/>
      <c r="F1092"/>
      <c r="G1092"/>
      <c r="H1092"/>
    </row>
    <row r="1093" spans="3:8" ht="15" x14ac:dyDescent="0.25">
      <c r="C1093"/>
      <c r="D1093"/>
      <c r="E1093"/>
      <c r="F1093"/>
      <c r="G1093"/>
      <c r="H1093"/>
    </row>
    <row r="1094" spans="3:8" ht="15" x14ac:dyDescent="0.25">
      <c r="C1094"/>
      <c r="D1094"/>
      <c r="E1094"/>
      <c r="F1094"/>
      <c r="G1094"/>
      <c r="H1094"/>
    </row>
    <row r="1095" spans="3:8" ht="15" x14ac:dyDescent="0.25">
      <c r="C1095"/>
      <c r="D1095"/>
      <c r="E1095"/>
      <c r="F1095"/>
      <c r="G1095"/>
      <c r="H1095"/>
    </row>
    <row r="1096" spans="3:8" ht="15" x14ac:dyDescent="0.25">
      <c r="C1096"/>
      <c r="D1096"/>
      <c r="E1096"/>
      <c r="F1096"/>
      <c r="G1096"/>
      <c r="H1096"/>
    </row>
    <row r="1097" spans="3:8" ht="15" x14ac:dyDescent="0.25">
      <c r="C1097"/>
      <c r="D1097"/>
      <c r="E1097"/>
      <c r="F1097"/>
      <c r="G1097"/>
      <c r="H1097"/>
    </row>
    <row r="1098" spans="3:8" ht="15" x14ac:dyDescent="0.25">
      <c r="C1098"/>
      <c r="D1098"/>
      <c r="E1098"/>
      <c r="F1098"/>
      <c r="G1098"/>
      <c r="H1098"/>
    </row>
    <row r="1099" spans="3:8" ht="15" x14ac:dyDescent="0.25">
      <c r="C1099"/>
      <c r="D1099"/>
      <c r="E1099"/>
      <c r="F1099"/>
      <c r="G1099"/>
      <c r="H1099"/>
    </row>
    <row r="1100" spans="3:8" ht="15" x14ac:dyDescent="0.25">
      <c r="C1100"/>
      <c r="D1100"/>
      <c r="E1100"/>
      <c r="F1100"/>
      <c r="G1100"/>
      <c r="H1100"/>
    </row>
    <row r="1101" spans="3:8" ht="15" x14ac:dyDescent="0.25">
      <c r="C1101"/>
      <c r="D1101"/>
      <c r="E1101"/>
      <c r="F1101"/>
      <c r="G1101"/>
      <c r="H1101"/>
    </row>
    <row r="1102" spans="3:8" ht="15" x14ac:dyDescent="0.25">
      <c r="C1102"/>
      <c r="D1102"/>
      <c r="E1102"/>
      <c r="F1102"/>
      <c r="G1102"/>
      <c r="H1102"/>
    </row>
    <row r="1103" spans="3:8" ht="15" x14ac:dyDescent="0.25">
      <c r="C1103"/>
      <c r="D1103"/>
      <c r="E1103"/>
      <c r="F1103"/>
      <c r="G1103"/>
      <c r="H1103"/>
    </row>
    <row r="1104" spans="3:8" ht="15" x14ac:dyDescent="0.25">
      <c r="C1104"/>
      <c r="D1104"/>
      <c r="E1104"/>
      <c r="F1104"/>
      <c r="G1104"/>
      <c r="H1104"/>
    </row>
    <row r="1105" spans="3:8" ht="15" x14ac:dyDescent="0.25">
      <c r="C1105"/>
      <c r="D1105"/>
      <c r="E1105"/>
      <c r="F1105"/>
      <c r="G1105"/>
      <c r="H1105"/>
    </row>
    <row r="1106" spans="3:8" ht="15" x14ac:dyDescent="0.25">
      <c r="C1106"/>
      <c r="D1106"/>
      <c r="E1106"/>
      <c r="F1106"/>
      <c r="G1106"/>
      <c r="H1106"/>
    </row>
    <row r="1107" spans="3:8" ht="15" x14ac:dyDescent="0.25">
      <c r="C1107"/>
      <c r="D1107"/>
      <c r="E1107"/>
      <c r="F1107"/>
      <c r="G1107"/>
      <c r="H1107"/>
    </row>
    <row r="1108" spans="3:8" ht="15" x14ac:dyDescent="0.25">
      <c r="C1108"/>
      <c r="D1108"/>
      <c r="E1108"/>
      <c r="F1108"/>
      <c r="G1108"/>
      <c r="H1108"/>
    </row>
    <row r="1109" spans="3:8" ht="15" x14ac:dyDescent="0.25">
      <c r="C1109"/>
      <c r="D1109"/>
      <c r="E1109"/>
      <c r="F1109"/>
      <c r="G1109"/>
      <c r="H1109"/>
    </row>
    <row r="1110" spans="3:8" ht="15" x14ac:dyDescent="0.25">
      <c r="C1110"/>
      <c r="D1110"/>
      <c r="E1110"/>
      <c r="F1110"/>
      <c r="G1110"/>
      <c r="H1110"/>
    </row>
    <row r="1111" spans="3:8" ht="15" x14ac:dyDescent="0.25">
      <c r="C1111"/>
      <c r="D1111"/>
      <c r="E1111"/>
      <c r="F1111"/>
      <c r="G1111"/>
      <c r="H1111"/>
    </row>
    <row r="1112" spans="3:8" ht="15" x14ac:dyDescent="0.25">
      <c r="C1112"/>
      <c r="D1112"/>
      <c r="E1112"/>
      <c r="F1112"/>
      <c r="G1112"/>
      <c r="H1112"/>
    </row>
    <row r="1113" spans="3:8" ht="15" x14ac:dyDescent="0.25">
      <c r="C1113"/>
      <c r="D1113"/>
      <c r="E1113"/>
      <c r="F1113"/>
      <c r="G1113"/>
      <c r="H1113"/>
    </row>
    <row r="1114" spans="3:8" ht="15" x14ac:dyDescent="0.25">
      <c r="C1114"/>
      <c r="D1114"/>
      <c r="E1114"/>
      <c r="F1114"/>
      <c r="G1114"/>
      <c r="H1114"/>
    </row>
    <row r="1115" spans="3:8" ht="15" x14ac:dyDescent="0.25">
      <c r="C1115"/>
      <c r="D1115"/>
      <c r="E1115"/>
      <c r="F1115"/>
      <c r="G1115"/>
      <c r="H1115"/>
    </row>
    <row r="1116" spans="3:8" ht="15" x14ac:dyDescent="0.25">
      <c r="C1116"/>
      <c r="D1116"/>
      <c r="E1116"/>
      <c r="F1116"/>
      <c r="G1116"/>
      <c r="H1116"/>
    </row>
    <row r="1117" spans="3:8" ht="15" x14ac:dyDescent="0.25">
      <c r="C1117"/>
      <c r="D1117"/>
      <c r="E1117"/>
      <c r="F1117"/>
      <c r="G1117"/>
      <c r="H1117"/>
    </row>
    <row r="1118" spans="3:8" ht="15" x14ac:dyDescent="0.25">
      <c r="C1118"/>
      <c r="D1118"/>
      <c r="E1118"/>
      <c r="F1118"/>
      <c r="G1118"/>
      <c r="H1118"/>
    </row>
    <row r="1119" spans="3:8" ht="15" x14ac:dyDescent="0.25">
      <c r="C1119"/>
      <c r="D1119"/>
      <c r="E1119"/>
      <c r="F1119"/>
      <c r="G1119"/>
      <c r="H1119"/>
    </row>
    <row r="1120" spans="3:8" ht="15" x14ac:dyDescent="0.25">
      <c r="C1120"/>
      <c r="D1120"/>
      <c r="E1120"/>
      <c r="F1120"/>
      <c r="G1120"/>
      <c r="H1120"/>
    </row>
    <row r="1121" spans="3:8" ht="15" x14ac:dyDescent="0.25">
      <c r="C1121"/>
      <c r="D1121"/>
      <c r="E1121"/>
      <c r="F1121"/>
      <c r="G1121"/>
      <c r="H1121"/>
    </row>
    <row r="1122" spans="3:8" ht="15" x14ac:dyDescent="0.25">
      <c r="C1122"/>
      <c r="D1122"/>
      <c r="E1122"/>
      <c r="F1122"/>
      <c r="G1122"/>
      <c r="H1122"/>
    </row>
    <row r="1123" spans="3:8" ht="15" x14ac:dyDescent="0.25">
      <c r="C1123"/>
      <c r="D1123"/>
      <c r="E1123"/>
      <c r="F1123"/>
      <c r="G1123"/>
      <c r="H1123"/>
    </row>
    <row r="1124" spans="3:8" ht="15" x14ac:dyDescent="0.25">
      <c r="C1124"/>
      <c r="D1124"/>
      <c r="E1124"/>
      <c r="F1124"/>
      <c r="G1124"/>
      <c r="H1124"/>
    </row>
    <row r="1125" spans="3:8" ht="15" x14ac:dyDescent="0.25">
      <c r="C1125"/>
      <c r="D1125"/>
      <c r="E1125"/>
      <c r="F1125"/>
      <c r="G1125"/>
      <c r="H1125"/>
    </row>
    <row r="1126" spans="3:8" ht="15" x14ac:dyDescent="0.25">
      <c r="C1126"/>
      <c r="D1126"/>
      <c r="E1126"/>
      <c r="F1126"/>
      <c r="G1126"/>
      <c r="H1126"/>
    </row>
    <row r="1127" spans="3:8" ht="15" x14ac:dyDescent="0.25">
      <c r="C1127"/>
      <c r="D1127"/>
      <c r="E1127"/>
      <c r="F1127"/>
      <c r="G1127"/>
      <c r="H1127"/>
    </row>
    <row r="1128" spans="3:8" ht="15" x14ac:dyDescent="0.25">
      <c r="C1128"/>
      <c r="D1128"/>
      <c r="E1128"/>
      <c r="F1128"/>
      <c r="G1128"/>
      <c r="H1128"/>
    </row>
    <row r="1129" spans="3:8" ht="15" x14ac:dyDescent="0.25">
      <c r="C1129"/>
      <c r="D1129"/>
      <c r="E1129"/>
      <c r="F1129"/>
      <c r="G1129"/>
      <c r="H1129"/>
    </row>
    <row r="1130" spans="3:8" ht="15" x14ac:dyDescent="0.25">
      <c r="C1130"/>
      <c r="D1130"/>
      <c r="E1130"/>
      <c r="F1130"/>
      <c r="G1130"/>
      <c r="H1130"/>
    </row>
    <row r="1131" spans="3:8" ht="15" x14ac:dyDescent="0.25">
      <c r="C1131"/>
      <c r="D1131"/>
      <c r="E1131"/>
      <c r="F1131"/>
      <c r="G1131"/>
      <c r="H1131"/>
    </row>
    <row r="1132" spans="3:8" ht="15" x14ac:dyDescent="0.25">
      <c r="C1132"/>
      <c r="D1132"/>
      <c r="E1132"/>
      <c r="F1132"/>
      <c r="G1132"/>
      <c r="H1132"/>
    </row>
    <row r="1133" spans="3:8" ht="15" x14ac:dyDescent="0.25">
      <c r="C1133"/>
      <c r="D1133"/>
      <c r="E1133"/>
      <c r="F1133"/>
      <c r="G1133"/>
      <c r="H1133"/>
    </row>
    <row r="1134" spans="3:8" ht="15" x14ac:dyDescent="0.25">
      <c r="C1134"/>
      <c r="D1134"/>
      <c r="E1134"/>
      <c r="F1134"/>
      <c r="G1134"/>
      <c r="H1134"/>
    </row>
    <row r="1135" spans="3:8" ht="15" x14ac:dyDescent="0.25">
      <c r="C1135"/>
      <c r="D1135"/>
      <c r="E1135"/>
      <c r="F1135"/>
      <c r="G1135"/>
      <c r="H1135"/>
    </row>
    <row r="1136" spans="3:8" ht="15" x14ac:dyDescent="0.25">
      <c r="C1136"/>
      <c r="D1136"/>
      <c r="E1136"/>
      <c r="F1136"/>
      <c r="G1136"/>
      <c r="H1136"/>
    </row>
    <row r="1137" spans="3:8" ht="15" x14ac:dyDescent="0.25">
      <c r="C1137"/>
      <c r="D1137"/>
      <c r="E1137"/>
      <c r="F1137"/>
      <c r="G1137"/>
      <c r="H1137"/>
    </row>
    <row r="1138" spans="3:8" ht="15" x14ac:dyDescent="0.25">
      <c r="C1138"/>
      <c r="D1138"/>
      <c r="E1138"/>
      <c r="F1138"/>
      <c r="G1138"/>
      <c r="H1138"/>
    </row>
    <row r="1139" spans="3:8" ht="15" x14ac:dyDescent="0.25">
      <c r="C1139"/>
      <c r="D1139"/>
      <c r="E1139"/>
      <c r="F1139"/>
      <c r="G1139"/>
      <c r="H1139"/>
    </row>
    <row r="1140" spans="3:8" ht="15" x14ac:dyDescent="0.25">
      <c r="C1140"/>
      <c r="D1140"/>
      <c r="E1140"/>
      <c r="F1140"/>
      <c r="G1140"/>
      <c r="H1140"/>
    </row>
    <row r="1141" spans="3:8" ht="15" x14ac:dyDescent="0.25">
      <c r="C1141"/>
      <c r="D1141"/>
      <c r="E1141"/>
      <c r="F1141"/>
      <c r="G1141"/>
      <c r="H1141"/>
    </row>
    <row r="1142" spans="3:8" ht="15" x14ac:dyDescent="0.25">
      <c r="C1142"/>
      <c r="D1142"/>
      <c r="E1142"/>
      <c r="F1142"/>
      <c r="G1142"/>
      <c r="H1142"/>
    </row>
    <row r="1143" spans="3:8" ht="15" x14ac:dyDescent="0.25">
      <c r="C1143"/>
      <c r="D1143"/>
      <c r="E1143"/>
      <c r="F1143"/>
      <c r="G1143"/>
      <c r="H1143"/>
    </row>
    <row r="1144" spans="3:8" ht="15" x14ac:dyDescent="0.25">
      <c r="C1144"/>
      <c r="D1144"/>
      <c r="E1144"/>
      <c r="F1144"/>
      <c r="G1144"/>
      <c r="H1144"/>
    </row>
    <row r="1145" spans="3:8" ht="15" x14ac:dyDescent="0.25">
      <c r="C1145"/>
      <c r="D1145"/>
      <c r="E1145"/>
      <c r="F1145"/>
      <c r="G1145"/>
      <c r="H1145"/>
    </row>
    <row r="1146" spans="3:8" ht="15" x14ac:dyDescent="0.25">
      <c r="C1146"/>
      <c r="D1146"/>
      <c r="E1146"/>
      <c r="F1146"/>
      <c r="G1146"/>
      <c r="H1146"/>
    </row>
    <row r="1147" spans="3:8" ht="15" x14ac:dyDescent="0.25">
      <c r="C1147"/>
      <c r="D1147"/>
      <c r="E1147"/>
      <c r="F1147"/>
      <c r="G1147"/>
      <c r="H1147"/>
    </row>
    <row r="1148" spans="3:8" ht="15" x14ac:dyDescent="0.25">
      <c r="C1148"/>
      <c r="D1148"/>
      <c r="E1148"/>
      <c r="F1148"/>
      <c r="G1148"/>
      <c r="H1148"/>
    </row>
    <row r="1149" spans="3:8" ht="15" x14ac:dyDescent="0.25">
      <c r="C1149"/>
      <c r="D1149"/>
      <c r="E1149"/>
      <c r="F1149"/>
      <c r="G1149"/>
      <c r="H1149"/>
    </row>
    <row r="1150" spans="3:8" ht="15" x14ac:dyDescent="0.25">
      <c r="C1150"/>
      <c r="D1150"/>
      <c r="E1150"/>
      <c r="F1150"/>
      <c r="G1150"/>
      <c r="H1150"/>
    </row>
    <row r="1151" spans="3:8" ht="15" x14ac:dyDescent="0.25">
      <c r="C1151"/>
      <c r="D1151"/>
      <c r="E1151"/>
      <c r="F1151"/>
      <c r="G1151"/>
      <c r="H1151"/>
    </row>
    <row r="1152" spans="3:8" ht="15" x14ac:dyDescent="0.25">
      <c r="C1152"/>
      <c r="D1152"/>
      <c r="E1152"/>
      <c r="F1152"/>
      <c r="G1152"/>
      <c r="H1152"/>
    </row>
    <row r="1153" spans="3:8" ht="15" x14ac:dyDescent="0.25">
      <c r="C1153"/>
      <c r="D1153"/>
      <c r="E1153"/>
      <c r="F1153"/>
      <c r="G1153"/>
      <c r="H1153"/>
    </row>
    <row r="1154" spans="3:8" ht="15" x14ac:dyDescent="0.25">
      <c r="C1154"/>
      <c r="D1154"/>
      <c r="E1154"/>
      <c r="F1154"/>
      <c r="G1154"/>
      <c r="H1154"/>
    </row>
    <row r="1155" spans="3:8" ht="15" x14ac:dyDescent="0.25">
      <c r="C1155"/>
      <c r="D1155"/>
      <c r="E1155"/>
      <c r="F1155"/>
      <c r="G1155"/>
      <c r="H1155"/>
    </row>
    <row r="1156" spans="3:8" ht="15" x14ac:dyDescent="0.25">
      <c r="C1156"/>
      <c r="D1156"/>
      <c r="E1156"/>
      <c r="F1156"/>
      <c r="G1156"/>
      <c r="H1156"/>
    </row>
    <row r="1157" spans="3:8" ht="15" x14ac:dyDescent="0.25">
      <c r="C1157"/>
      <c r="D1157"/>
      <c r="E1157"/>
      <c r="F1157"/>
      <c r="G1157"/>
      <c r="H1157"/>
    </row>
    <row r="1158" spans="3:8" ht="15" x14ac:dyDescent="0.25">
      <c r="C1158"/>
      <c r="D1158"/>
      <c r="E1158"/>
      <c r="F1158"/>
      <c r="G1158"/>
      <c r="H1158"/>
    </row>
    <row r="1159" spans="3:8" ht="15" x14ac:dyDescent="0.25">
      <c r="C1159"/>
      <c r="D1159"/>
      <c r="E1159"/>
      <c r="F1159"/>
      <c r="G1159"/>
      <c r="H1159"/>
    </row>
    <row r="1160" spans="3:8" ht="15" x14ac:dyDescent="0.25">
      <c r="C1160"/>
      <c r="D1160"/>
      <c r="E1160"/>
      <c r="F1160"/>
      <c r="G1160"/>
      <c r="H1160"/>
    </row>
    <row r="1161" spans="3:8" ht="15" x14ac:dyDescent="0.25">
      <c r="C1161"/>
      <c r="D1161"/>
      <c r="E1161"/>
      <c r="F1161"/>
      <c r="G1161"/>
      <c r="H1161"/>
    </row>
    <row r="1162" spans="3:8" ht="15" x14ac:dyDescent="0.25">
      <c r="C1162"/>
      <c r="D1162"/>
      <c r="E1162"/>
      <c r="F1162"/>
      <c r="G1162"/>
      <c r="H1162"/>
    </row>
    <row r="1163" spans="3:8" ht="15" x14ac:dyDescent="0.25">
      <c r="C1163"/>
      <c r="D1163"/>
      <c r="E1163"/>
      <c r="F1163"/>
      <c r="G1163"/>
      <c r="H1163"/>
    </row>
    <row r="1164" spans="3:8" ht="15" x14ac:dyDescent="0.25">
      <c r="C1164"/>
      <c r="D1164"/>
      <c r="E1164"/>
      <c r="F1164"/>
      <c r="G1164"/>
      <c r="H1164"/>
    </row>
    <row r="1165" spans="3:8" ht="15" x14ac:dyDescent="0.25">
      <c r="C1165"/>
      <c r="D1165"/>
      <c r="E1165"/>
      <c r="F1165"/>
      <c r="G1165"/>
      <c r="H1165"/>
    </row>
    <row r="1166" spans="3:8" ht="15" x14ac:dyDescent="0.25">
      <c r="C1166"/>
      <c r="D1166"/>
      <c r="E1166"/>
      <c r="F1166"/>
      <c r="G1166"/>
      <c r="H1166"/>
    </row>
    <row r="1167" spans="3:8" ht="15" x14ac:dyDescent="0.25">
      <c r="C1167"/>
      <c r="D1167"/>
      <c r="E1167"/>
      <c r="F1167"/>
      <c r="G1167"/>
      <c r="H1167"/>
    </row>
    <row r="1168" spans="3:8" ht="15" x14ac:dyDescent="0.25">
      <c r="C1168"/>
      <c r="D1168"/>
      <c r="E1168"/>
      <c r="F1168"/>
      <c r="G1168"/>
      <c r="H1168"/>
    </row>
    <row r="1169" spans="3:8" ht="15" x14ac:dyDescent="0.25">
      <c r="C1169"/>
      <c r="D1169"/>
      <c r="E1169"/>
      <c r="F1169"/>
      <c r="G1169"/>
      <c r="H1169"/>
    </row>
    <row r="1170" spans="3:8" ht="15" x14ac:dyDescent="0.25">
      <c r="C1170"/>
      <c r="D1170"/>
      <c r="E1170"/>
      <c r="F1170"/>
      <c r="G1170"/>
      <c r="H1170"/>
    </row>
    <row r="1171" spans="3:8" ht="15" x14ac:dyDescent="0.25">
      <c r="C1171"/>
      <c r="D1171"/>
      <c r="E1171"/>
      <c r="F1171"/>
      <c r="G1171"/>
      <c r="H1171"/>
    </row>
    <row r="1172" spans="3:8" ht="15" x14ac:dyDescent="0.25">
      <c r="C1172"/>
      <c r="D1172"/>
      <c r="E1172"/>
      <c r="F1172"/>
      <c r="G1172"/>
      <c r="H1172"/>
    </row>
    <row r="1173" spans="3:8" ht="15" x14ac:dyDescent="0.25">
      <c r="C1173"/>
      <c r="D1173"/>
      <c r="E1173"/>
      <c r="F1173"/>
      <c r="G1173"/>
      <c r="H1173"/>
    </row>
    <row r="1174" spans="3:8" ht="15" x14ac:dyDescent="0.25">
      <c r="C1174"/>
      <c r="D1174"/>
      <c r="E1174"/>
      <c r="F1174"/>
      <c r="G1174"/>
      <c r="H1174"/>
    </row>
    <row r="1175" spans="3:8" ht="15" x14ac:dyDescent="0.25">
      <c r="C1175"/>
      <c r="D1175"/>
      <c r="E1175"/>
      <c r="F1175"/>
      <c r="G1175"/>
      <c r="H1175"/>
    </row>
    <row r="1176" spans="3:8" ht="15" x14ac:dyDescent="0.25">
      <c r="C1176"/>
      <c r="D1176"/>
      <c r="E1176"/>
      <c r="F1176"/>
      <c r="G1176"/>
      <c r="H1176"/>
    </row>
    <row r="1177" spans="3:8" ht="15" x14ac:dyDescent="0.25">
      <c r="C1177"/>
      <c r="D1177"/>
      <c r="E1177"/>
      <c r="F1177"/>
      <c r="G1177"/>
      <c r="H1177"/>
    </row>
    <row r="1178" spans="3:8" ht="15" x14ac:dyDescent="0.25">
      <c r="C1178"/>
      <c r="D1178"/>
      <c r="E1178"/>
      <c r="F1178"/>
      <c r="G1178"/>
      <c r="H1178"/>
    </row>
    <row r="1179" spans="3:8" ht="15" x14ac:dyDescent="0.25">
      <c r="C1179"/>
      <c r="D1179"/>
      <c r="E1179"/>
      <c r="F1179"/>
      <c r="G1179"/>
      <c r="H1179"/>
    </row>
    <row r="1180" spans="3:8" ht="15" x14ac:dyDescent="0.25">
      <c r="C1180"/>
      <c r="D1180"/>
      <c r="E1180"/>
      <c r="F1180"/>
      <c r="G1180"/>
      <c r="H1180"/>
    </row>
    <row r="1181" spans="3:8" ht="15" x14ac:dyDescent="0.25">
      <c r="C1181"/>
      <c r="D1181"/>
      <c r="E1181"/>
      <c r="F1181"/>
      <c r="G1181"/>
      <c r="H1181"/>
    </row>
    <row r="1182" spans="3:8" ht="15" x14ac:dyDescent="0.25">
      <c r="C1182"/>
      <c r="D1182"/>
      <c r="E1182"/>
      <c r="F1182"/>
      <c r="G1182"/>
      <c r="H1182"/>
    </row>
    <row r="1183" spans="3:8" ht="15" x14ac:dyDescent="0.25">
      <c r="C1183"/>
      <c r="D1183"/>
      <c r="E1183"/>
      <c r="F1183"/>
      <c r="G1183"/>
      <c r="H1183"/>
    </row>
    <row r="1184" spans="3:8" ht="15" x14ac:dyDescent="0.25">
      <c r="C1184"/>
      <c r="D1184"/>
      <c r="E1184"/>
      <c r="F1184"/>
      <c r="G1184"/>
      <c r="H1184"/>
    </row>
    <row r="1185" spans="3:8" ht="15" x14ac:dyDescent="0.25">
      <c r="C1185"/>
      <c r="D1185"/>
      <c r="E1185"/>
      <c r="F1185"/>
      <c r="G1185"/>
      <c r="H1185"/>
    </row>
    <row r="1186" spans="3:8" ht="15" x14ac:dyDescent="0.25">
      <c r="C1186"/>
      <c r="D1186"/>
      <c r="E1186"/>
      <c r="F1186"/>
      <c r="G1186"/>
      <c r="H1186"/>
    </row>
    <row r="1187" spans="3:8" ht="15" x14ac:dyDescent="0.25">
      <c r="C1187"/>
      <c r="D1187"/>
      <c r="E1187"/>
      <c r="F1187"/>
      <c r="G1187"/>
      <c r="H1187"/>
    </row>
    <row r="1188" spans="3:8" ht="15" x14ac:dyDescent="0.25">
      <c r="C1188"/>
      <c r="D1188"/>
      <c r="E1188"/>
      <c r="F1188"/>
      <c r="G1188"/>
      <c r="H1188"/>
    </row>
    <row r="1189" spans="3:8" ht="15" x14ac:dyDescent="0.25">
      <c r="C1189"/>
      <c r="D1189"/>
      <c r="E1189"/>
      <c r="F1189"/>
      <c r="G1189"/>
      <c r="H1189"/>
    </row>
    <row r="1190" spans="3:8" ht="15" x14ac:dyDescent="0.25">
      <c r="C1190"/>
      <c r="D1190"/>
      <c r="E1190"/>
      <c r="F1190"/>
      <c r="G1190"/>
      <c r="H1190"/>
    </row>
    <row r="1191" spans="3:8" ht="15" x14ac:dyDescent="0.25">
      <c r="C1191"/>
      <c r="D1191"/>
      <c r="E1191"/>
      <c r="F1191"/>
      <c r="G1191"/>
      <c r="H1191"/>
    </row>
    <row r="1192" spans="3:8" ht="15" x14ac:dyDescent="0.25">
      <c r="C1192"/>
      <c r="D1192"/>
      <c r="E1192"/>
      <c r="F1192"/>
      <c r="G1192"/>
      <c r="H1192"/>
    </row>
    <row r="1193" spans="3:8" ht="15" x14ac:dyDescent="0.25">
      <c r="C1193"/>
      <c r="D1193"/>
      <c r="E1193"/>
      <c r="F1193"/>
      <c r="G1193"/>
      <c r="H1193"/>
    </row>
    <row r="1194" spans="3:8" ht="15" x14ac:dyDescent="0.25">
      <c r="C1194"/>
      <c r="D1194"/>
      <c r="E1194"/>
      <c r="F1194"/>
      <c r="G1194"/>
      <c r="H1194"/>
    </row>
    <row r="1195" spans="3:8" ht="15" x14ac:dyDescent="0.25">
      <c r="C1195"/>
      <c r="D1195"/>
      <c r="E1195"/>
      <c r="F1195"/>
      <c r="G1195"/>
      <c r="H1195"/>
    </row>
    <row r="1196" spans="3:8" ht="15" x14ac:dyDescent="0.25">
      <c r="C1196"/>
      <c r="D1196"/>
      <c r="E1196"/>
      <c r="F1196"/>
      <c r="G1196"/>
      <c r="H1196"/>
    </row>
    <row r="1197" spans="3:8" ht="15" x14ac:dyDescent="0.25">
      <c r="C1197"/>
      <c r="D1197"/>
      <c r="E1197"/>
      <c r="F1197"/>
      <c r="G1197"/>
      <c r="H1197"/>
    </row>
    <row r="1198" spans="3:8" ht="15" x14ac:dyDescent="0.25">
      <c r="C1198"/>
      <c r="D1198"/>
      <c r="E1198"/>
      <c r="F1198"/>
      <c r="G1198"/>
      <c r="H1198"/>
    </row>
    <row r="1199" spans="3:8" ht="15" x14ac:dyDescent="0.25">
      <c r="C1199"/>
      <c r="D1199"/>
      <c r="E1199"/>
      <c r="F1199"/>
      <c r="G1199"/>
      <c r="H1199"/>
    </row>
    <row r="1200" spans="3:8" ht="15" x14ac:dyDescent="0.25">
      <c r="C1200"/>
      <c r="D1200"/>
      <c r="E1200"/>
      <c r="F1200"/>
      <c r="G1200"/>
      <c r="H1200"/>
    </row>
    <row r="1201" spans="3:8" ht="15" x14ac:dyDescent="0.25">
      <c r="C1201"/>
      <c r="D1201"/>
      <c r="E1201"/>
      <c r="F1201"/>
      <c r="G1201"/>
      <c r="H1201"/>
    </row>
    <row r="1202" spans="3:8" ht="15" x14ac:dyDescent="0.25">
      <c r="C1202"/>
      <c r="D1202"/>
      <c r="E1202"/>
      <c r="F1202"/>
      <c r="G1202"/>
      <c r="H1202"/>
    </row>
    <row r="1203" spans="3:8" ht="15" x14ac:dyDescent="0.25">
      <c r="C1203"/>
      <c r="D1203"/>
      <c r="E1203"/>
      <c r="F1203"/>
      <c r="G1203"/>
      <c r="H1203"/>
    </row>
    <row r="1204" spans="3:8" ht="15" x14ac:dyDescent="0.25">
      <c r="C1204"/>
      <c r="D1204"/>
      <c r="E1204"/>
      <c r="F1204"/>
      <c r="G1204"/>
      <c r="H1204"/>
    </row>
    <row r="1205" spans="3:8" ht="15" x14ac:dyDescent="0.25">
      <c r="C1205"/>
      <c r="D1205"/>
      <c r="E1205"/>
      <c r="F1205"/>
      <c r="G1205"/>
      <c r="H1205"/>
    </row>
    <row r="1206" spans="3:8" ht="15" x14ac:dyDescent="0.25">
      <c r="C1206"/>
      <c r="D1206"/>
      <c r="E1206"/>
      <c r="F1206"/>
      <c r="G1206"/>
      <c r="H1206"/>
    </row>
    <row r="1207" spans="3:8" ht="15" x14ac:dyDescent="0.25">
      <c r="C1207"/>
      <c r="D1207"/>
      <c r="E1207"/>
      <c r="F1207"/>
      <c r="G1207"/>
      <c r="H1207"/>
    </row>
    <row r="1208" spans="3:8" ht="15" x14ac:dyDescent="0.25">
      <c r="C1208"/>
      <c r="D1208"/>
      <c r="E1208"/>
      <c r="F1208"/>
      <c r="G1208"/>
      <c r="H1208"/>
    </row>
    <row r="1209" spans="3:8" ht="15" x14ac:dyDescent="0.25">
      <c r="C1209"/>
      <c r="D1209"/>
      <c r="E1209"/>
      <c r="F1209"/>
      <c r="G1209"/>
      <c r="H1209"/>
    </row>
    <row r="1210" spans="3:8" ht="15" x14ac:dyDescent="0.25">
      <c r="C1210"/>
      <c r="D1210"/>
      <c r="E1210"/>
      <c r="F1210"/>
      <c r="G1210"/>
      <c r="H1210"/>
    </row>
    <row r="1211" spans="3:8" ht="15" x14ac:dyDescent="0.25">
      <c r="C1211"/>
      <c r="D1211"/>
      <c r="E1211"/>
      <c r="F1211"/>
      <c r="G1211"/>
      <c r="H1211"/>
    </row>
    <row r="1212" spans="3:8" ht="15" x14ac:dyDescent="0.25">
      <c r="C1212"/>
      <c r="D1212"/>
      <c r="E1212"/>
      <c r="F1212"/>
      <c r="G1212"/>
      <c r="H1212"/>
    </row>
    <row r="1213" spans="3:8" ht="15" x14ac:dyDescent="0.25">
      <c r="C1213"/>
      <c r="D1213"/>
      <c r="E1213"/>
      <c r="F1213"/>
      <c r="G1213"/>
      <c r="H1213"/>
    </row>
    <row r="1214" spans="3:8" ht="15" x14ac:dyDescent="0.25">
      <c r="C1214"/>
      <c r="D1214"/>
      <c r="E1214"/>
      <c r="F1214"/>
      <c r="G1214"/>
      <c r="H1214"/>
    </row>
    <row r="1215" spans="3:8" ht="15" x14ac:dyDescent="0.25">
      <c r="C1215"/>
      <c r="D1215"/>
      <c r="E1215"/>
      <c r="F1215"/>
      <c r="G1215"/>
      <c r="H1215"/>
    </row>
    <row r="1216" spans="3:8" ht="15" x14ac:dyDescent="0.25">
      <c r="C1216"/>
      <c r="D1216"/>
      <c r="E1216"/>
      <c r="F1216"/>
      <c r="G1216"/>
      <c r="H1216"/>
    </row>
    <row r="1217" spans="3:8" ht="15" x14ac:dyDescent="0.25">
      <c r="C1217"/>
      <c r="D1217"/>
      <c r="E1217"/>
      <c r="F1217"/>
      <c r="G1217"/>
      <c r="H1217"/>
    </row>
    <row r="1218" spans="3:8" ht="15" x14ac:dyDescent="0.25">
      <c r="C1218"/>
      <c r="D1218"/>
      <c r="E1218"/>
      <c r="F1218"/>
      <c r="G1218"/>
      <c r="H1218"/>
    </row>
    <row r="1219" spans="3:8" ht="15" x14ac:dyDescent="0.25">
      <c r="C1219"/>
      <c r="D1219"/>
      <c r="E1219"/>
      <c r="F1219"/>
      <c r="G1219"/>
      <c r="H1219"/>
    </row>
    <row r="1220" spans="3:8" ht="15" x14ac:dyDescent="0.25">
      <c r="C1220"/>
      <c r="D1220"/>
      <c r="E1220"/>
      <c r="F1220"/>
      <c r="G1220"/>
      <c r="H1220"/>
    </row>
    <row r="1221" spans="3:8" ht="15" x14ac:dyDescent="0.25">
      <c r="C1221"/>
      <c r="D1221"/>
      <c r="E1221"/>
      <c r="F1221"/>
      <c r="G1221"/>
      <c r="H1221"/>
    </row>
    <row r="1222" spans="3:8" ht="15" x14ac:dyDescent="0.25">
      <c r="C1222"/>
      <c r="D1222"/>
      <c r="E1222"/>
      <c r="F1222"/>
      <c r="G1222"/>
      <c r="H1222"/>
    </row>
    <row r="1223" spans="3:8" ht="15" x14ac:dyDescent="0.25">
      <c r="C1223"/>
      <c r="D1223"/>
      <c r="E1223"/>
      <c r="F1223"/>
      <c r="G1223"/>
      <c r="H1223"/>
    </row>
    <row r="1224" spans="3:8" ht="15" x14ac:dyDescent="0.25">
      <c r="C1224"/>
      <c r="D1224"/>
      <c r="E1224"/>
      <c r="F1224"/>
      <c r="G1224"/>
      <c r="H1224"/>
    </row>
    <row r="1225" spans="3:8" ht="15" x14ac:dyDescent="0.25">
      <c r="C1225"/>
      <c r="D1225"/>
      <c r="E1225"/>
      <c r="F1225"/>
      <c r="G1225"/>
      <c r="H1225"/>
    </row>
    <row r="1226" spans="3:8" ht="15" x14ac:dyDescent="0.25">
      <c r="C1226"/>
      <c r="D1226"/>
      <c r="E1226"/>
      <c r="F1226"/>
      <c r="G1226"/>
      <c r="H1226"/>
    </row>
    <row r="1227" spans="3:8" ht="15" x14ac:dyDescent="0.25">
      <c r="C1227"/>
      <c r="D1227"/>
      <c r="E1227"/>
      <c r="F1227"/>
      <c r="G1227"/>
      <c r="H1227"/>
    </row>
    <row r="1228" spans="3:8" ht="15" x14ac:dyDescent="0.25">
      <c r="C1228"/>
      <c r="D1228"/>
      <c r="E1228"/>
      <c r="F1228"/>
      <c r="G1228"/>
      <c r="H1228"/>
    </row>
    <row r="1229" spans="3:8" ht="15" x14ac:dyDescent="0.25">
      <c r="C1229"/>
      <c r="D1229"/>
      <c r="E1229"/>
      <c r="F1229"/>
      <c r="G1229"/>
      <c r="H1229"/>
    </row>
    <row r="1230" spans="3:8" ht="15" x14ac:dyDescent="0.25">
      <c r="C1230"/>
      <c r="D1230"/>
      <c r="E1230"/>
      <c r="F1230"/>
      <c r="G1230"/>
      <c r="H1230"/>
    </row>
    <row r="1231" spans="3:8" ht="15" x14ac:dyDescent="0.25">
      <c r="C1231"/>
      <c r="D1231"/>
      <c r="E1231"/>
      <c r="F1231"/>
      <c r="G1231"/>
      <c r="H1231"/>
    </row>
    <row r="1232" spans="3:8" ht="15" x14ac:dyDescent="0.25">
      <c r="C1232"/>
      <c r="D1232"/>
      <c r="E1232"/>
      <c r="F1232"/>
      <c r="G1232"/>
      <c r="H1232"/>
    </row>
    <row r="1233" spans="3:8" ht="15" x14ac:dyDescent="0.25">
      <c r="C1233"/>
      <c r="D1233"/>
      <c r="E1233"/>
      <c r="F1233"/>
      <c r="G1233"/>
      <c r="H1233"/>
    </row>
    <row r="1234" spans="3:8" ht="15" x14ac:dyDescent="0.25">
      <c r="C1234"/>
      <c r="D1234"/>
      <c r="E1234"/>
      <c r="F1234"/>
      <c r="G1234"/>
      <c r="H1234"/>
    </row>
    <row r="1235" spans="3:8" ht="15" x14ac:dyDescent="0.25">
      <c r="C1235"/>
      <c r="D1235"/>
      <c r="E1235"/>
      <c r="F1235"/>
      <c r="G1235"/>
      <c r="H1235"/>
    </row>
    <row r="1236" spans="3:8" ht="15" x14ac:dyDescent="0.25">
      <c r="C1236"/>
      <c r="D1236"/>
      <c r="E1236"/>
      <c r="F1236"/>
      <c r="G1236"/>
      <c r="H1236"/>
    </row>
    <row r="1237" spans="3:8" ht="15" x14ac:dyDescent="0.25">
      <c r="C1237"/>
      <c r="D1237"/>
      <c r="E1237"/>
      <c r="F1237"/>
      <c r="G1237"/>
      <c r="H1237"/>
    </row>
    <row r="1238" spans="3:8" ht="15" x14ac:dyDescent="0.25">
      <c r="C1238"/>
      <c r="D1238"/>
      <c r="E1238"/>
      <c r="F1238"/>
      <c r="G1238"/>
      <c r="H1238"/>
    </row>
    <row r="1239" spans="3:8" ht="15" x14ac:dyDescent="0.25">
      <c r="C1239"/>
      <c r="D1239"/>
      <c r="E1239"/>
      <c r="F1239"/>
      <c r="G1239"/>
      <c r="H1239"/>
    </row>
    <row r="1240" spans="3:8" ht="15" x14ac:dyDescent="0.25">
      <c r="C1240"/>
      <c r="D1240"/>
      <c r="E1240"/>
      <c r="F1240"/>
      <c r="G1240"/>
      <c r="H1240"/>
    </row>
    <row r="1241" spans="3:8" ht="15" x14ac:dyDescent="0.25">
      <c r="C1241"/>
      <c r="D1241"/>
      <c r="E1241"/>
      <c r="F1241"/>
      <c r="G1241"/>
      <c r="H1241"/>
    </row>
    <row r="1242" spans="3:8" ht="15" x14ac:dyDescent="0.25">
      <c r="C1242"/>
      <c r="D1242"/>
      <c r="E1242"/>
      <c r="F1242"/>
      <c r="G1242"/>
      <c r="H1242"/>
    </row>
    <row r="1243" spans="3:8" ht="15" x14ac:dyDescent="0.25">
      <c r="C1243"/>
      <c r="D1243"/>
      <c r="E1243"/>
      <c r="F1243"/>
      <c r="G1243"/>
      <c r="H1243"/>
    </row>
    <row r="1244" spans="3:8" ht="15" x14ac:dyDescent="0.25">
      <c r="C1244"/>
      <c r="D1244"/>
      <c r="E1244"/>
      <c r="F1244"/>
      <c r="G1244"/>
      <c r="H1244"/>
    </row>
    <row r="1245" spans="3:8" ht="15" x14ac:dyDescent="0.25">
      <c r="C1245"/>
      <c r="D1245"/>
      <c r="E1245"/>
      <c r="F1245"/>
      <c r="G1245"/>
      <c r="H1245"/>
    </row>
    <row r="1246" spans="3:8" ht="15" x14ac:dyDescent="0.25">
      <c r="C1246"/>
      <c r="D1246"/>
      <c r="E1246"/>
      <c r="F1246"/>
      <c r="G1246"/>
      <c r="H1246"/>
    </row>
    <row r="1247" spans="3:8" ht="15" x14ac:dyDescent="0.25">
      <c r="C1247"/>
      <c r="D1247"/>
      <c r="E1247"/>
      <c r="F1247"/>
      <c r="G1247"/>
      <c r="H1247"/>
    </row>
    <row r="1248" spans="3:8" ht="15" x14ac:dyDescent="0.25">
      <c r="C1248"/>
      <c r="D1248"/>
      <c r="E1248"/>
      <c r="F1248"/>
      <c r="G1248"/>
      <c r="H1248"/>
    </row>
    <row r="1249" spans="3:8" ht="15" x14ac:dyDescent="0.25">
      <c r="C1249"/>
      <c r="D1249"/>
      <c r="E1249"/>
      <c r="F1249"/>
      <c r="G1249"/>
      <c r="H1249"/>
    </row>
    <row r="1250" spans="3:8" ht="15" x14ac:dyDescent="0.25">
      <c r="C1250"/>
      <c r="D1250"/>
      <c r="E1250"/>
      <c r="F1250"/>
      <c r="G1250"/>
      <c r="H1250"/>
    </row>
    <row r="1251" spans="3:8" ht="15" x14ac:dyDescent="0.25">
      <c r="C1251"/>
      <c r="D1251"/>
      <c r="E1251"/>
      <c r="F1251"/>
      <c r="G1251"/>
      <c r="H1251"/>
    </row>
    <row r="1252" spans="3:8" ht="15" x14ac:dyDescent="0.25">
      <c r="C1252"/>
      <c r="D1252"/>
      <c r="E1252"/>
      <c r="F1252"/>
      <c r="G1252"/>
      <c r="H1252"/>
    </row>
    <row r="1253" spans="3:8" ht="15" x14ac:dyDescent="0.25">
      <c r="C1253"/>
      <c r="D1253"/>
      <c r="E1253"/>
      <c r="F1253"/>
      <c r="G1253"/>
      <c r="H1253"/>
    </row>
    <row r="1254" spans="3:8" ht="15" x14ac:dyDescent="0.25">
      <c r="C1254"/>
      <c r="D1254"/>
      <c r="E1254"/>
      <c r="F1254"/>
      <c r="G1254"/>
      <c r="H1254"/>
    </row>
    <row r="1255" spans="3:8" ht="15" x14ac:dyDescent="0.25">
      <c r="C1255"/>
      <c r="D1255"/>
      <c r="E1255"/>
      <c r="F1255"/>
      <c r="G1255"/>
      <c r="H1255"/>
    </row>
    <row r="1256" spans="3:8" ht="15" x14ac:dyDescent="0.25">
      <c r="C1256"/>
      <c r="D1256"/>
      <c r="E1256"/>
      <c r="F1256"/>
      <c r="G1256"/>
      <c r="H1256"/>
    </row>
    <row r="1257" spans="3:8" ht="15" x14ac:dyDescent="0.25">
      <c r="C1257"/>
      <c r="D1257"/>
      <c r="E1257"/>
      <c r="F1257"/>
      <c r="G1257"/>
      <c r="H1257"/>
    </row>
    <row r="1258" spans="3:8" ht="15" x14ac:dyDescent="0.25">
      <c r="C1258"/>
      <c r="D1258"/>
      <c r="E1258"/>
      <c r="F1258"/>
      <c r="G1258"/>
      <c r="H1258"/>
    </row>
    <row r="1259" spans="3:8" ht="15" x14ac:dyDescent="0.25">
      <c r="C1259"/>
      <c r="D1259"/>
      <c r="E1259"/>
      <c r="F1259"/>
      <c r="G1259"/>
      <c r="H1259"/>
    </row>
    <row r="1260" spans="3:8" ht="15" x14ac:dyDescent="0.25">
      <c r="C1260"/>
      <c r="D1260"/>
      <c r="E1260"/>
      <c r="F1260"/>
      <c r="G1260"/>
      <c r="H1260"/>
    </row>
    <row r="1261" spans="3:8" ht="15" x14ac:dyDescent="0.25">
      <c r="C1261"/>
      <c r="D1261"/>
      <c r="E1261"/>
      <c r="F1261"/>
      <c r="G1261"/>
      <c r="H1261"/>
    </row>
    <row r="1262" spans="3:8" ht="15" x14ac:dyDescent="0.25">
      <c r="C1262"/>
      <c r="D1262"/>
      <c r="E1262"/>
      <c r="F1262"/>
      <c r="G1262"/>
      <c r="H1262"/>
    </row>
    <row r="1263" spans="3:8" ht="15" x14ac:dyDescent="0.25">
      <c r="C1263"/>
      <c r="D1263"/>
      <c r="E1263"/>
      <c r="F1263"/>
      <c r="G1263"/>
      <c r="H1263"/>
    </row>
    <row r="1264" spans="3:8" ht="15" x14ac:dyDescent="0.25">
      <c r="C1264"/>
      <c r="D1264"/>
      <c r="E1264"/>
      <c r="F1264"/>
      <c r="G1264"/>
      <c r="H1264"/>
    </row>
    <row r="1265" spans="3:8" ht="15" x14ac:dyDescent="0.25">
      <c r="C1265"/>
      <c r="D1265"/>
      <c r="E1265"/>
      <c r="F1265"/>
      <c r="G1265"/>
      <c r="H1265"/>
    </row>
    <row r="1266" spans="3:8" ht="15" x14ac:dyDescent="0.25">
      <c r="C1266"/>
      <c r="D1266"/>
      <c r="E1266"/>
      <c r="F1266"/>
      <c r="G1266"/>
      <c r="H1266"/>
    </row>
    <row r="1267" spans="3:8" ht="15" x14ac:dyDescent="0.25">
      <c r="C1267"/>
      <c r="D1267"/>
      <c r="E1267"/>
      <c r="F1267"/>
      <c r="G1267"/>
      <c r="H1267"/>
    </row>
    <row r="1268" spans="3:8" ht="15" x14ac:dyDescent="0.25">
      <c r="C1268"/>
      <c r="D1268"/>
      <c r="E1268"/>
      <c r="F1268"/>
      <c r="G1268"/>
      <c r="H1268"/>
    </row>
    <row r="1269" spans="3:8" ht="15" x14ac:dyDescent="0.25">
      <c r="C1269"/>
      <c r="D1269"/>
      <c r="E1269"/>
      <c r="F1269"/>
      <c r="G1269"/>
      <c r="H1269"/>
    </row>
    <row r="1270" spans="3:8" ht="15" x14ac:dyDescent="0.25">
      <c r="C1270"/>
      <c r="D1270"/>
      <c r="E1270"/>
      <c r="F1270"/>
      <c r="G1270"/>
      <c r="H1270"/>
    </row>
    <row r="1271" spans="3:8" ht="15" x14ac:dyDescent="0.25">
      <c r="C1271"/>
      <c r="D1271"/>
      <c r="E1271"/>
      <c r="F1271"/>
      <c r="G1271"/>
      <c r="H1271"/>
    </row>
    <row r="1272" spans="3:8" ht="15" x14ac:dyDescent="0.25">
      <c r="C1272"/>
      <c r="D1272"/>
      <c r="E1272"/>
      <c r="F1272"/>
      <c r="G1272"/>
      <c r="H1272"/>
    </row>
    <row r="1273" spans="3:8" ht="15" x14ac:dyDescent="0.25">
      <c r="C1273"/>
      <c r="D1273"/>
      <c r="E1273"/>
      <c r="F1273"/>
      <c r="G1273"/>
      <c r="H1273"/>
    </row>
    <row r="1274" spans="3:8" ht="15" x14ac:dyDescent="0.25">
      <c r="C1274"/>
      <c r="D1274"/>
      <c r="E1274"/>
      <c r="F1274"/>
      <c r="G1274"/>
      <c r="H1274"/>
    </row>
    <row r="1275" spans="3:8" ht="15" x14ac:dyDescent="0.25">
      <c r="C1275"/>
      <c r="D1275"/>
      <c r="E1275"/>
      <c r="F1275"/>
      <c r="G1275"/>
      <c r="H1275"/>
    </row>
    <row r="1276" spans="3:8" ht="15" x14ac:dyDescent="0.25">
      <c r="C1276"/>
      <c r="D1276"/>
      <c r="E1276"/>
      <c r="F1276"/>
      <c r="G1276"/>
      <c r="H1276"/>
    </row>
    <row r="1277" spans="3:8" ht="15" x14ac:dyDescent="0.25">
      <c r="C1277"/>
      <c r="D1277"/>
      <c r="E1277"/>
      <c r="F1277"/>
      <c r="G1277"/>
      <c r="H1277"/>
    </row>
    <row r="1278" spans="3:8" ht="15" x14ac:dyDescent="0.25">
      <c r="C1278"/>
      <c r="D1278"/>
      <c r="E1278"/>
      <c r="F1278"/>
      <c r="G1278"/>
      <c r="H1278"/>
    </row>
    <row r="1279" spans="3:8" ht="15" x14ac:dyDescent="0.25">
      <c r="C1279"/>
      <c r="D1279"/>
      <c r="E1279"/>
      <c r="F1279"/>
      <c r="G1279"/>
      <c r="H1279"/>
    </row>
    <row r="1280" spans="3:8" ht="15" x14ac:dyDescent="0.25">
      <c r="C1280"/>
      <c r="D1280"/>
      <c r="E1280"/>
      <c r="F1280"/>
      <c r="G1280"/>
      <c r="H1280"/>
    </row>
    <row r="1281" spans="3:8" ht="15" x14ac:dyDescent="0.25">
      <c r="C1281"/>
      <c r="D1281"/>
      <c r="E1281"/>
      <c r="F1281"/>
      <c r="G1281"/>
      <c r="H1281"/>
    </row>
    <row r="1282" spans="3:8" ht="15" x14ac:dyDescent="0.25">
      <c r="C1282"/>
      <c r="D1282"/>
      <c r="E1282"/>
      <c r="F1282"/>
      <c r="G1282"/>
      <c r="H1282"/>
    </row>
    <row r="1283" spans="3:8" ht="15" x14ac:dyDescent="0.25">
      <c r="C1283"/>
      <c r="D1283"/>
      <c r="E1283"/>
      <c r="F1283"/>
      <c r="G1283"/>
      <c r="H1283"/>
    </row>
    <row r="1284" spans="3:8" ht="15" x14ac:dyDescent="0.25">
      <c r="C1284"/>
      <c r="D1284"/>
      <c r="E1284"/>
      <c r="F1284"/>
      <c r="G1284"/>
      <c r="H1284"/>
    </row>
    <row r="1285" spans="3:8" ht="15" x14ac:dyDescent="0.25">
      <c r="C1285"/>
      <c r="D1285"/>
      <c r="E1285"/>
      <c r="F1285"/>
      <c r="G1285"/>
      <c r="H1285"/>
    </row>
    <row r="1286" spans="3:8" ht="15" x14ac:dyDescent="0.25">
      <c r="C1286"/>
      <c r="D1286"/>
      <c r="E1286"/>
      <c r="F1286"/>
      <c r="G1286"/>
      <c r="H1286"/>
    </row>
    <row r="1287" spans="3:8" ht="15" x14ac:dyDescent="0.25">
      <c r="C1287"/>
      <c r="D1287"/>
      <c r="E1287"/>
      <c r="F1287"/>
      <c r="G1287"/>
      <c r="H1287"/>
    </row>
    <row r="1288" spans="3:8" ht="15" x14ac:dyDescent="0.25">
      <c r="C1288"/>
      <c r="D1288"/>
      <c r="E1288"/>
      <c r="F1288"/>
      <c r="G1288"/>
      <c r="H1288"/>
    </row>
    <row r="1289" spans="3:8" ht="15" x14ac:dyDescent="0.25">
      <c r="C1289"/>
      <c r="D1289"/>
      <c r="E1289"/>
      <c r="F1289"/>
      <c r="G1289"/>
      <c r="H1289"/>
    </row>
    <row r="1290" spans="3:8" ht="15" x14ac:dyDescent="0.25">
      <c r="C1290"/>
      <c r="D1290"/>
      <c r="E1290"/>
      <c r="F1290"/>
      <c r="G1290"/>
      <c r="H1290"/>
    </row>
    <row r="1291" spans="3:8" ht="15" x14ac:dyDescent="0.25">
      <c r="C1291"/>
      <c r="D1291"/>
      <c r="E1291"/>
      <c r="F1291"/>
      <c r="G1291"/>
      <c r="H1291"/>
    </row>
    <row r="1292" spans="3:8" ht="15" x14ac:dyDescent="0.25">
      <c r="C1292"/>
      <c r="D1292"/>
      <c r="E1292"/>
      <c r="F1292"/>
      <c r="G1292"/>
      <c r="H1292"/>
    </row>
    <row r="1293" spans="3:8" ht="15" x14ac:dyDescent="0.25">
      <c r="C1293"/>
      <c r="D1293"/>
      <c r="E1293"/>
      <c r="F1293"/>
      <c r="G1293"/>
      <c r="H1293"/>
    </row>
    <row r="1294" spans="3:8" ht="15" x14ac:dyDescent="0.25">
      <c r="C1294"/>
      <c r="D1294"/>
      <c r="E1294"/>
      <c r="F1294"/>
      <c r="G1294"/>
      <c r="H1294"/>
    </row>
    <row r="1295" spans="3:8" ht="15" x14ac:dyDescent="0.25">
      <c r="C1295"/>
      <c r="D1295"/>
      <c r="E1295"/>
      <c r="F1295"/>
      <c r="G1295"/>
      <c r="H1295"/>
    </row>
    <row r="1296" spans="3:8" ht="15" x14ac:dyDescent="0.25">
      <c r="C1296"/>
      <c r="D1296"/>
      <c r="E1296"/>
      <c r="F1296"/>
      <c r="G1296"/>
      <c r="H1296"/>
    </row>
    <row r="1297" spans="3:8" ht="15" x14ac:dyDescent="0.25">
      <c r="C1297"/>
      <c r="D1297"/>
      <c r="E1297"/>
      <c r="F1297"/>
      <c r="G1297"/>
      <c r="H1297"/>
    </row>
    <row r="1298" spans="3:8" ht="15" x14ac:dyDescent="0.25">
      <c r="C1298"/>
      <c r="D1298"/>
      <c r="E1298"/>
      <c r="F1298"/>
      <c r="G1298"/>
      <c r="H1298"/>
    </row>
    <row r="1299" spans="3:8" ht="15" x14ac:dyDescent="0.25">
      <c r="C1299"/>
      <c r="D1299"/>
      <c r="E1299"/>
      <c r="F1299"/>
      <c r="G1299"/>
      <c r="H1299"/>
    </row>
    <row r="1300" spans="3:8" ht="15" x14ac:dyDescent="0.25">
      <c r="C1300"/>
      <c r="D1300"/>
      <c r="E1300"/>
      <c r="F1300"/>
      <c r="G1300"/>
      <c r="H1300"/>
    </row>
    <row r="1301" spans="3:8" ht="15" x14ac:dyDescent="0.25">
      <c r="C1301"/>
      <c r="D1301"/>
      <c r="E1301"/>
      <c r="F1301"/>
      <c r="G1301"/>
      <c r="H1301"/>
    </row>
    <row r="1302" spans="3:8" ht="15" x14ac:dyDescent="0.25">
      <c r="C1302"/>
      <c r="D1302"/>
      <c r="E1302"/>
      <c r="F1302"/>
      <c r="G1302"/>
      <c r="H1302"/>
    </row>
    <row r="1303" spans="3:8" ht="15" x14ac:dyDescent="0.25">
      <c r="C1303"/>
      <c r="D1303"/>
      <c r="E1303"/>
      <c r="F1303"/>
      <c r="G1303"/>
      <c r="H1303"/>
    </row>
    <row r="1304" spans="3:8" ht="15" x14ac:dyDescent="0.25">
      <c r="C1304"/>
      <c r="D1304"/>
      <c r="E1304"/>
      <c r="F1304"/>
      <c r="G1304"/>
      <c r="H1304"/>
    </row>
    <row r="1305" spans="3:8" ht="15" x14ac:dyDescent="0.25">
      <c r="C1305"/>
      <c r="D1305"/>
      <c r="E1305"/>
      <c r="F1305"/>
      <c r="G1305"/>
      <c r="H1305"/>
    </row>
    <row r="1306" spans="3:8" ht="15" x14ac:dyDescent="0.25">
      <c r="C1306"/>
      <c r="D1306"/>
      <c r="E1306"/>
      <c r="F1306"/>
      <c r="G1306"/>
      <c r="H1306"/>
    </row>
    <row r="1307" spans="3:8" ht="15" x14ac:dyDescent="0.25">
      <c r="C1307"/>
      <c r="D1307"/>
      <c r="E1307"/>
      <c r="F1307"/>
      <c r="G1307"/>
      <c r="H1307"/>
    </row>
    <row r="1308" spans="3:8" ht="15" x14ac:dyDescent="0.25">
      <c r="C1308"/>
      <c r="D1308"/>
      <c r="E1308"/>
      <c r="F1308"/>
      <c r="G1308"/>
      <c r="H1308"/>
    </row>
    <row r="1309" spans="3:8" ht="15" x14ac:dyDescent="0.25">
      <c r="C1309"/>
      <c r="D1309"/>
      <c r="E1309"/>
      <c r="F1309"/>
      <c r="G1309"/>
      <c r="H1309"/>
    </row>
    <row r="1310" spans="3:8" ht="15" x14ac:dyDescent="0.25">
      <c r="C1310"/>
      <c r="D1310"/>
      <c r="E1310"/>
      <c r="F1310"/>
      <c r="G1310"/>
      <c r="H1310"/>
    </row>
    <row r="1311" spans="3:8" ht="15" x14ac:dyDescent="0.25">
      <c r="C1311"/>
      <c r="D1311"/>
      <c r="E1311"/>
      <c r="F1311"/>
      <c r="G1311"/>
      <c r="H1311"/>
    </row>
    <row r="1312" spans="3:8" ht="15" x14ac:dyDescent="0.25">
      <c r="C1312"/>
      <c r="D1312"/>
      <c r="E1312"/>
      <c r="F1312"/>
      <c r="G1312"/>
      <c r="H1312"/>
    </row>
    <row r="1313" spans="3:8" ht="15" x14ac:dyDescent="0.25">
      <c r="C1313"/>
      <c r="D1313"/>
      <c r="E1313"/>
      <c r="F1313"/>
      <c r="G1313"/>
      <c r="H1313"/>
    </row>
    <row r="1314" spans="3:8" ht="15" x14ac:dyDescent="0.25">
      <c r="C1314"/>
      <c r="D1314"/>
      <c r="E1314"/>
      <c r="F1314"/>
      <c r="G1314"/>
      <c r="H1314"/>
    </row>
    <row r="1315" spans="3:8" ht="15" x14ac:dyDescent="0.25">
      <c r="C1315"/>
      <c r="D1315"/>
      <c r="E1315"/>
      <c r="F1315"/>
      <c r="G1315"/>
      <c r="H1315"/>
    </row>
    <row r="1316" spans="3:8" ht="15" x14ac:dyDescent="0.25">
      <c r="C1316"/>
      <c r="D1316"/>
      <c r="E1316"/>
      <c r="F1316"/>
      <c r="G1316"/>
      <c r="H1316"/>
    </row>
    <row r="1317" spans="3:8" ht="15" x14ac:dyDescent="0.25">
      <c r="C1317"/>
      <c r="D1317"/>
      <c r="E1317"/>
      <c r="F1317"/>
      <c r="G1317"/>
      <c r="H1317"/>
    </row>
    <row r="1318" spans="3:8" ht="15" x14ac:dyDescent="0.25">
      <c r="C1318"/>
      <c r="D1318"/>
      <c r="E1318"/>
      <c r="F1318"/>
      <c r="G1318"/>
      <c r="H1318"/>
    </row>
    <row r="1319" spans="3:8" ht="15" x14ac:dyDescent="0.25">
      <c r="C1319"/>
      <c r="D1319"/>
      <c r="E1319"/>
      <c r="F1319"/>
      <c r="G1319"/>
      <c r="H1319"/>
    </row>
    <row r="1320" spans="3:8" ht="15" x14ac:dyDescent="0.25">
      <c r="C1320"/>
      <c r="D1320"/>
      <c r="E1320"/>
      <c r="F1320"/>
      <c r="G1320"/>
      <c r="H1320"/>
    </row>
    <row r="1321" spans="3:8" ht="15" x14ac:dyDescent="0.25">
      <c r="C1321"/>
      <c r="D1321"/>
      <c r="E1321"/>
      <c r="F1321"/>
      <c r="G1321"/>
      <c r="H1321"/>
    </row>
    <row r="1322" spans="3:8" ht="15" x14ac:dyDescent="0.25">
      <c r="C1322"/>
      <c r="D1322"/>
      <c r="E1322"/>
      <c r="F1322"/>
      <c r="G1322"/>
      <c r="H1322"/>
    </row>
    <row r="1323" spans="3:8" ht="15" x14ac:dyDescent="0.25">
      <c r="C1323"/>
      <c r="D1323"/>
      <c r="E1323"/>
      <c r="F1323"/>
      <c r="G1323"/>
      <c r="H1323"/>
    </row>
    <row r="1324" spans="3:8" ht="15" x14ac:dyDescent="0.25">
      <c r="C1324"/>
      <c r="D1324"/>
      <c r="E1324"/>
      <c r="F1324"/>
      <c r="G1324"/>
      <c r="H1324"/>
    </row>
    <row r="1325" spans="3:8" ht="15" x14ac:dyDescent="0.25">
      <c r="C1325"/>
      <c r="D1325"/>
      <c r="E1325"/>
      <c r="F1325"/>
      <c r="G1325"/>
      <c r="H1325"/>
    </row>
    <row r="1326" spans="3:8" ht="15" x14ac:dyDescent="0.25">
      <c r="C1326"/>
      <c r="D1326"/>
      <c r="E1326"/>
      <c r="F1326"/>
      <c r="G1326"/>
      <c r="H1326"/>
    </row>
    <row r="1327" spans="3:8" ht="15" x14ac:dyDescent="0.25">
      <c r="C1327"/>
      <c r="D1327"/>
      <c r="E1327"/>
      <c r="F1327"/>
      <c r="G1327"/>
      <c r="H1327"/>
    </row>
    <row r="1328" spans="3:8" ht="15" x14ac:dyDescent="0.25">
      <c r="C1328"/>
      <c r="D1328"/>
      <c r="E1328"/>
      <c r="F1328"/>
      <c r="G1328"/>
      <c r="H1328"/>
    </row>
    <row r="1329" spans="3:8" ht="15" x14ac:dyDescent="0.25">
      <c r="C1329"/>
      <c r="D1329"/>
      <c r="E1329"/>
      <c r="F1329"/>
      <c r="G1329"/>
      <c r="H1329"/>
    </row>
    <row r="1330" spans="3:8" ht="15" x14ac:dyDescent="0.25">
      <c r="C1330"/>
      <c r="D1330"/>
      <c r="E1330"/>
      <c r="F1330"/>
      <c r="G1330"/>
      <c r="H1330"/>
    </row>
    <row r="1331" spans="3:8" ht="15" x14ac:dyDescent="0.25">
      <c r="C1331"/>
      <c r="D1331"/>
      <c r="E1331"/>
      <c r="F1331"/>
      <c r="G1331"/>
      <c r="H1331"/>
    </row>
    <row r="1332" spans="3:8" ht="15" x14ac:dyDescent="0.25">
      <c r="C1332"/>
      <c r="D1332"/>
      <c r="E1332"/>
      <c r="F1332"/>
      <c r="G1332"/>
      <c r="H1332"/>
    </row>
    <row r="1333" spans="3:8" ht="15" x14ac:dyDescent="0.25">
      <c r="C1333"/>
      <c r="D1333"/>
      <c r="E1333"/>
      <c r="F1333"/>
      <c r="G1333"/>
      <c r="H1333"/>
    </row>
    <row r="1334" spans="3:8" ht="15" x14ac:dyDescent="0.25">
      <c r="C1334"/>
      <c r="D1334"/>
      <c r="E1334"/>
      <c r="F1334"/>
      <c r="G1334"/>
      <c r="H1334"/>
    </row>
    <row r="1335" spans="3:8" ht="15" x14ac:dyDescent="0.25">
      <c r="C1335"/>
      <c r="D1335"/>
      <c r="E1335"/>
      <c r="F1335"/>
      <c r="G1335"/>
      <c r="H1335"/>
    </row>
    <row r="1336" spans="3:8" ht="15" x14ac:dyDescent="0.25">
      <c r="C1336"/>
      <c r="D1336"/>
      <c r="E1336"/>
      <c r="F1336"/>
      <c r="G1336"/>
      <c r="H1336"/>
    </row>
    <row r="1337" spans="3:8" ht="15" x14ac:dyDescent="0.25">
      <c r="C1337"/>
      <c r="D1337"/>
      <c r="E1337"/>
      <c r="F1337"/>
      <c r="G1337"/>
      <c r="H1337"/>
    </row>
    <row r="1338" spans="3:8" ht="15" x14ac:dyDescent="0.25">
      <c r="C1338"/>
      <c r="D1338"/>
      <c r="E1338"/>
      <c r="F1338"/>
      <c r="G1338"/>
      <c r="H1338"/>
    </row>
    <row r="1339" spans="3:8" ht="15" x14ac:dyDescent="0.25">
      <c r="C1339"/>
      <c r="D1339"/>
      <c r="E1339"/>
      <c r="F1339"/>
      <c r="G1339"/>
      <c r="H1339"/>
    </row>
    <row r="1340" spans="3:8" ht="15" x14ac:dyDescent="0.25">
      <c r="C1340"/>
      <c r="D1340"/>
      <c r="E1340"/>
      <c r="F1340"/>
      <c r="G1340"/>
      <c r="H1340"/>
    </row>
    <row r="1341" spans="3:8" ht="15" x14ac:dyDescent="0.25">
      <c r="C1341"/>
      <c r="D1341"/>
      <c r="E1341"/>
      <c r="F1341"/>
      <c r="G1341"/>
      <c r="H1341"/>
    </row>
    <row r="1342" spans="3:8" ht="15" x14ac:dyDescent="0.25">
      <c r="C1342"/>
      <c r="D1342"/>
      <c r="E1342"/>
      <c r="F1342"/>
      <c r="G1342"/>
      <c r="H1342"/>
    </row>
    <row r="1343" spans="3:8" ht="15" x14ac:dyDescent="0.25">
      <c r="C1343"/>
      <c r="D1343"/>
      <c r="E1343"/>
      <c r="F1343"/>
      <c r="G1343"/>
      <c r="H1343"/>
    </row>
    <row r="1344" spans="3:8" ht="15" x14ac:dyDescent="0.25">
      <c r="C1344"/>
      <c r="D1344"/>
      <c r="E1344"/>
      <c r="F1344"/>
      <c r="G1344"/>
      <c r="H1344"/>
    </row>
    <row r="1345" spans="3:8" ht="15" x14ac:dyDescent="0.25">
      <c r="C1345"/>
      <c r="D1345"/>
      <c r="E1345"/>
      <c r="F1345"/>
      <c r="G1345"/>
      <c r="H1345"/>
    </row>
    <row r="1346" spans="3:8" ht="15" x14ac:dyDescent="0.25">
      <c r="C1346"/>
      <c r="D1346"/>
      <c r="E1346"/>
      <c r="F1346"/>
      <c r="G1346"/>
      <c r="H1346"/>
    </row>
    <row r="1347" spans="3:8" ht="15" x14ac:dyDescent="0.25">
      <c r="C1347"/>
      <c r="D1347"/>
      <c r="E1347"/>
      <c r="F1347"/>
      <c r="G1347"/>
      <c r="H1347"/>
    </row>
    <row r="1348" spans="3:8" ht="15" x14ac:dyDescent="0.25">
      <c r="C1348"/>
      <c r="D1348"/>
      <c r="E1348"/>
      <c r="F1348"/>
      <c r="G1348"/>
      <c r="H1348"/>
    </row>
    <row r="1349" spans="3:8" ht="15" x14ac:dyDescent="0.25">
      <c r="C1349"/>
      <c r="D1349"/>
      <c r="E1349"/>
      <c r="F1349"/>
      <c r="G1349"/>
      <c r="H1349"/>
    </row>
    <row r="1350" spans="3:8" ht="15" x14ac:dyDescent="0.25">
      <c r="C1350"/>
      <c r="D1350"/>
      <c r="E1350"/>
      <c r="F1350"/>
      <c r="G1350"/>
      <c r="H1350"/>
    </row>
    <row r="1351" spans="3:8" ht="15" x14ac:dyDescent="0.25">
      <c r="C1351"/>
      <c r="D1351"/>
      <c r="E1351"/>
      <c r="F1351"/>
      <c r="G1351"/>
      <c r="H1351"/>
    </row>
    <row r="1352" spans="3:8" ht="15" x14ac:dyDescent="0.25">
      <c r="C1352"/>
      <c r="D1352"/>
      <c r="E1352"/>
      <c r="F1352"/>
      <c r="G1352"/>
      <c r="H1352"/>
    </row>
    <row r="1353" spans="3:8" ht="15" x14ac:dyDescent="0.25">
      <c r="C1353"/>
      <c r="D1353"/>
      <c r="E1353"/>
      <c r="F1353"/>
      <c r="G1353"/>
      <c r="H1353"/>
    </row>
    <row r="1354" spans="3:8" ht="15" x14ac:dyDescent="0.25">
      <c r="C1354"/>
      <c r="D1354"/>
      <c r="E1354"/>
      <c r="F1354"/>
      <c r="G1354"/>
      <c r="H1354"/>
    </row>
    <row r="1355" spans="3:8" ht="15" x14ac:dyDescent="0.25">
      <c r="C1355"/>
      <c r="D1355"/>
      <c r="E1355"/>
      <c r="F1355"/>
      <c r="G1355"/>
      <c r="H1355"/>
    </row>
    <row r="1356" spans="3:8" ht="15" x14ac:dyDescent="0.25">
      <c r="C1356"/>
      <c r="D1356"/>
      <c r="E1356"/>
      <c r="F1356"/>
      <c r="G1356"/>
      <c r="H1356"/>
    </row>
    <row r="1357" spans="3:8" ht="15" x14ac:dyDescent="0.25">
      <c r="C1357"/>
      <c r="D1357"/>
      <c r="E1357"/>
      <c r="F1357"/>
      <c r="G1357"/>
      <c r="H1357"/>
    </row>
    <row r="1358" spans="3:8" ht="15" x14ac:dyDescent="0.25">
      <c r="C1358"/>
      <c r="D1358"/>
      <c r="E1358"/>
      <c r="F1358"/>
      <c r="G1358"/>
      <c r="H1358"/>
    </row>
    <row r="1359" spans="3:8" ht="15" x14ac:dyDescent="0.25">
      <c r="C1359"/>
      <c r="D1359"/>
      <c r="E1359"/>
      <c r="F1359"/>
      <c r="G1359"/>
      <c r="H1359"/>
    </row>
    <row r="1360" spans="3:8" ht="15" x14ac:dyDescent="0.25">
      <c r="C1360"/>
      <c r="D1360"/>
      <c r="E1360"/>
      <c r="F1360"/>
      <c r="G1360"/>
      <c r="H1360"/>
    </row>
    <row r="1361" spans="3:8" ht="15" x14ac:dyDescent="0.25">
      <c r="C1361"/>
      <c r="D1361"/>
      <c r="E1361"/>
      <c r="F1361"/>
      <c r="G1361"/>
      <c r="H1361"/>
    </row>
    <row r="1362" spans="3:8" ht="15" x14ac:dyDescent="0.25">
      <c r="C1362"/>
      <c r="D1362"/>
      <c r="E1362"/>
      <c r="F1362"/>
      <c r="G1362"/>
      <c r="H1362"/>
    </row>
    <row r="1363" spans="3:8" ht="15" x14ac:dyDescent="0.25">
      <c r="C1363"/>
      <c r="D1363"/>
      <c r="E1363"/>
      <c r="F1363"/>
      <c r="G1363"/>
      <c r="H1363"/>
    </row>
    <row r="1364" spans="3:8" ht="15" x14ac:dyDescent="0.25">
      <c r="C1364"/>
      <c r="D1364"/>
      <c r="E1364"/>
      <c r="F1364"/>
      <c r="G1364"/>
      <c r="H1364"/>
    </row>
    <row r="1365" spans="3:8" ht="15" x14ac:dyDescent="0.25">
      <c r="C1365"/>
      <c r="D1365"/>
      <c r="E1365"/>
      <c r="F1365"/>
      <c r="G1365"/>
      <c r="H1365"/>
    </row>
    <row r="1366" spans="3:8" ht="15" x14ac:dyDescent="0.25">
      <c r="C1366"/>
      <c r="D1366"/>
      <c r="E1366"/>
      <c r="F1366"/>
      <c r="G1366"/>
      <c r="H1366"/>
    </row>
    <row r="1367" spans="3:8" ht="15" x14ac:dyDescent="0.25">
      <c r="C1367"/>
      <c r="D1367"/>
      <c r="E1367"/>
      <c r="F1367"/>
      <c r="G1367"/>
      <c r="H1367"/>
    </row>
    <row r="1368" spans="3:8" ht="15" x14ac:dyDescent="0.25">
      <c r="C1368"/>
      <c r="D1368"/>
      <c r="E1368"/>
      <c r="F1368"/>
      <c r="G1368"/>
      <c r="H1368"/>
    </row>
    <row r="1369" spans="3:8" ht="15" x14ac:dyDescent="0.25">
      <c r="C1369"/>
      <c r="D1369"/>
      <c r="E1369"/>
      <c r="F1369"/>
      <c r="G1369"/>
      <c r="H1369"/>
    </row>
    <row r="1370" spans="3:8" ht="15" x14ac:dyDescent="0.25">
      <c r="C1370"/>
      <c r="D1370"/>
      <c r="E1370"/>
      <c r="F1370"/>
      <c r="G1370"/>
      <c r="H1370"/>
    </row>
    <row r="1371" spans="3:8" ht="15" x14ac:dyDescent="0.25">
      <c r="C1371"/>
      <c r="D1371"/>
      <c r="E1371"/>
      <c r="F1371"/>
      <c r="G1371"/>
      <c r="H1371"/>
    </row>
    <row r="1372" spans="3:8" ht="15" x14ac:dyDescent="0.25">
      <c r="C1372"/>
      <c r="D1372"/>
      <c r="E1372"/>
      <c r="F1372"/>
      <c r="G1372"/>
      <c r="H1372"/>
    </row>
    <row r="1373" spans="3:8" ht="15" x14ac:dyDescent="0.25">
      <c r="C1373"/>
      <c r="D1373"/>
      <c r="E1373"/>
      <c r="F1373"/>
      <c r="G1373"/>
      <c r="H1373"/>
    </row>
    <row r="1374" spans="3:8" ht="15" x14ac:dyDescent="0.25">
      <c r="C1374"/>
      <c r="D1374"/>
      <c r="E1374"/>
      <c r="F1374"/>
      <c r="G1374"/>
      <c r="H1374"/>
    </row>
    <row r="1375" spans="3:8" ht="15" x14ac:dyDescent="0.25">
      <c r="C1375"/>
      <c r="D1375"/>
      <c r="E1375"/>
      <c r="F1375"/>
      <c r="G1375"/>
      <c r="H1375"/>
    </row>
    <row r="1376" spans="3:8" ht="15" x14ac:dyDescent="0.25">
      <c r="C1376"/>
      <c r="D1376"/>
      <c r="E1376"/>
      <c r="F1376"/>
      <c r="G1376"/>
      <c r="H1376"/>
    </row>
    <row r="1377" spans="3:8" ht="15" x14ac:dyDescent="0.25">
      <c r="C1377"/>
      <c r="D1377"/>
      <c r="E1377"/>
      <c r="F1377"/>
      <c r="G1377"/>
      <c r="H1377"/>
    </row>
    <row r="1378" spans="3:8" ht="15" x14ac:dyDescent="0.25">
      <c r="C1378"/>
      <c r="D1378"/>
      <c r="E1378"/>
      <c r="F1378"/>
      <c r="G1378"/>
      <c r="H1378"/>
    </row>
    <row r="1379" spans="3:8" ht="15" x14ac:dyDescent="0.25">
      <c r="C1379"/>
      <c r="D1379"/>
      <c r="E1379"/>
      <c r="F1379"/>
      <c r="G1379"/>
      <c r="H1379"/>
    </row>
    <row r="1380" spans="3:8" ht="15" x14ac:dyDescent="0.25">
      <c r="C1380"/>
      <c r="D1380"/>
      <c r="E1380"/>
      <c r="F1380"/>
      <c r="G1380"/>
      <c r="H1380"/>
    </row>
    <row r="1381" spans="3:8" ht="15" x14ac:dyDescent="0.25">
      <c r="C1381"/>
      <c r="D1381"/>
      <c r="E1381"/>
      <c r="F1381"/>
      <c r="G1381"/>
      <c r="H1381"/>
    </row>
    <row r="1382" spans="3:8" ht="15" x14ac:dyDescent="0.25">
      <c r="C1382"/>
      <c r="D1382"/>
      <c r="E1382"/>
      <c r="F1382"/>
      <c r="G1382"/>
      <c r="H1382"/>
    </row>
    <row r="1383" spans="3:8" ht="15" x14ac:dyDescent="0.25">
      <c r="C1383"/>
      <c r="D1383"/>
      <c r="E1383"/>
      <c r="F1383"/>
      <c r="G1383"/>
      <c r="H1383"/>
    </row>
    <row r="1384" spans="3:8" ht="15" x14ac:dyDescent="0.25">
      <c r="C1384"/>
      <c r="D1384"/>
      <c r="E1384"/>
      <c r="F1384"/>
      <c r="G1384"/>
      <c r="H1384"/>
    </row>
    <row r="1385" spans="3:8" ht="15" x14ac:dyDescent="0.25">
      <c r="C1385"/>
      <c r="D1385"/>
      <c r="E1385"/>
      <c r="F1385"/>
      <c r="G1385"/>
      <c r="H1385"/>
    </row>
    <row r="1386" spans="3:8" ht="15" x14ac:dyDescent="0.25">
      <c r="C1386"/>
      <c r="D1386"/>
      <c r="E1386"/>
      <c r="F1386"/>
      <c r="G1386"/>
      <c r="H1386"/>
    </row>
    <row r="1387" spans="3:8" ht="15" x14ac:dyDescent="0.25">
      <c r="C1387"/>
      <c r="D1387"/>
      <c r="E1387"/>
      <c r="F1387"/>
      <c r="G1387"/>
      <c r="H1387"/>
    </row>
    <row r="1388" spans="3:8" ht="15" x14ac:dyDescent="0.25">
      <c r="C1388"/>
      <c r="D1388"/>
      <c r="E1388"/>
      <c r="F1388"/>
      <c r="G1388"/>
      <c r="H1388"/>
    </row>
    <row r="1389" spans="3:8" ht="15" x14ac:dyDescent="0.25">
      <c r="C1389"/>
      <c r="D1389"/>
      <c r="E1389"/>
      <c r="F1389"/>
      <c r="G1389"/>
      <c r="H1389"/>
    </row>
    <row r="1390" spans="3:8" ht="15" x14ac:dyDescent="0.25">
      <c r="C1390"/>
      <c r="D1390"/>
      <c r="E1390"/>
      <c r="F1390"/>
      <c r="G1390"/>
      <c r="H1390"/>
    </row>
    <row r="1391" spans="3:8" ht="15" x14ac:dyDescent="0.25">
      <c r="C1391"/>
      <c r="D1391"/>
      <c r="E1391"/>
      <c r="F1391"/>
      <c r="G1391"/>
      <c r="H1391"/>
    </row>
    <row r="1392" spans="3:8" ht="15" x14ac:dyDescent="0.25">
      <c r="C1392"/>
      <c r="D1392"/>
      <c r="E1392"/>
      <c r="F1392"/>
      <c r="G1392"/>
      <c r="H1392"/>
    </row>
    <row r="1393" spans="3:8" ht="15" x14ac:dyDescent="0.25">
      <c r="C1393"/>
      <c r="D1393"/>
      <c r="E1393"/>
      <c r="F1393"/>
      <c r="G1393"/>
      <c r="H1393"/>
    </row>
    <row r="1394" spans="3:8" ht="15" x14ac:dyDescent="0.25">
      <c r="C1394"/>
      <c r="D1394"/>
      <c r="E1394"/>
      <c r="F1394"/>
      <c r="G1394"/>
      <c r="H1394"/>
    </row>
    <row r="1395" spans="3:8" ht="15" x14ac:dyDescent="0.25">
      <c r="C1395"/>
      <c r="D1395"/>
      <c r="E1395"/>
      <c r="F1395"/>
      <c r="G1395"/>
      <c r="H1395"/>
    </row>
    <row r="1396" spans="3:8" ht="15" x14ac:dyDescent="0.25">
      <c r="C1396"/>
      <c r="D1396"/>
      <c r="E1396"/>
      <c r="F1396"/>
      <c r="G1396"/>
      <c r="H1396"/>
    </row>
    <row r="1397" spans="3:8" ht="15" x14ac:dyDescent="0.25">
      <c r="C1397"/>
      <c r="D1397"/>
      <c r="E1397"/>
      <c r="F1397"/>
      <c r="G1397"/>
      <c r="H1397"/>
    </row>
    <row r="1398" spans="3:8" ht="15" x14ac:dyDescent="0.25">
      <c r="C1398"/>
      <c r="D1398"/>
      <c r="E1398"/>
      <c r="F1398"/>
      <c r="G1398"/>
      <c r="H1398"/>
    </row>
    <row r="1399" spans="3:8" ht="15" x14ac:dyDescent="0.25">
      <c r="C1399"/>
      <c r="D1399"/>
      <c r="E1399"/>
      <c r="F1399"/>
      <c r="G1399"/>
      <c r="H1399"/>
    </row>
    <row r="1400" spans="3:8" ht="15" x14ac:dyDescent="0.25">
      <c r="C1400"/>
      <c r="D1400"/>
      <c r="E1400"/>
      <c r="F1400"/>
      <c r="G1400"/>
      <c r="H1400"/>
    </row>
    <row r="1401" spans="3:8" ht="15" x14ac:dyDescent="0.25">
      <c r="C1401"/>
      <c r="D1401"/>
      <c r="E1401"/>
      <c r="F1401"/>
      <c r="G1401"/>
      <c r="H1401"/>
    </row>
    <row r="1402" spans="3:8" ht="15" x14ac:dyDescent="0.25">
      <c r="C1402"/>
      <c r="D1402"/>
      <c r="E1402"/>
      <c r="F1402"/>
      <c r="G1402"/>
      <c r="H1402"/>
    </row>
    <row r="1403" spans="3:8" ht="15" x14ac:dyDescent="0.25">
      <c r="C1403"/>
      <c r="D1403"/>
      <c r="E1403"/>
      <c r="F1403"/>
      <c r="G1403"/>
      <c r="H1403"/>
    </row>
    <row r="1404" spans="3:8" ht="15" x14ac:dyDescent="0.25">
      <c r="C1404"/>
      <c r="D1404"/>
      <c r="E1404"/>
      <c r="F1404"/>
      <c r="G1404"/>
      <c r="H1404"/>
    </row>
    <row r="1405" spans="3:8" ht="15" x14ac:dyDescent="0.25">
      <c r="C1405"/>
      <c r="D1405"/>
      <c r="E1405"/>
      <c r="F1405"/>
      <c r="G1405"/>
      <c r="H1405"/>
    </row>
    <row r="1406" spans="3:8" ht="15" x14ac:dyDescent="0.25">
      <c r="C1406"/>
      <c r="D1406"/>
      <c r="E1406"/>
      <c r="F1406"/>
      <c r="G1406"/>
      <c r="H1406"/>
    </row>
    <row r="1407" spans="3:8" ht="15" x14ac:dyDescent="0.25">
      <c r="C1407"/>
      <c r="D1407"/>
      <c r="E1407"/>
      <c r="F1407"/>
      <c r="G1407"/>
      <c r="H1407"/>
    </row>
    <row r="1408" spans="3:8" ht="15" x14ac:dyDescent="0.25">
      <c r="C1408"/>
      <c r="D1408"/>
      <c r="E1408"/>
      <c r="F1408"/>
      <c r="G1408"/>
      <c r="H1408"/>
    </row>
    <row r="1409" spans="3:8" ht="15" x14ac:dyDescent="0.25">
      <c r="C1409"/>
      <c r="D1409"/>
      <c r="E1409"/>
      <c r="F1409"/>
      <c r="G1409"/>
      <c r="H1409"/>
    </row>
    <row r="1410" spans="3:8" ht="15" x14ac:dyDescent="0.25">
      <c r="C1410"/>
      <c r="D1410"/>
      <c r="E1410"/>
      <c r="F1410"/>
      <c r="G1410"/>
      <c r="H1410"/>
    </row>
    <row r="1411" spans="3:8" ht="15" x14ac:dyDescent="0.25">
      <c r="C1411"/>
      <c r="D1411"/>
      <c r="E1411"/>
      <c r="F1411"/>
      <c r="G1411"/>
      <c r="H1411"/>
    </row>
    <row r="1412" spans="3:8" ht="15" x14ac:dyDescent="0.25">
      <c r="C1412"/>
      <c r="D1412"/>
      <c r="E1412"/>
      <c r="F1412"/>
      <c r="G1412"/>
      <c r="H1412"/>
    </row>
    <row r="1413" spans="3:8" ht="15" x14ac:dyDescent="0.25">
      <c r="C1413"/>
      <c r="D1413"/>
      <c r="E1413"/>
      <c r="F1413"/>
      <c r="G1413"/>
      <c r="H1413"/>
    </row>
    <row r="1414" spans="3:8" ht="15" x14ac:dyDescent="0.25">
      <c r="C1414"/>
      <c r="D1414"/>
      <c r="E1414"/>
      <c r="F1414"/>
      <c r="G1414"/>
      <c r="H1414"/>
    </row>
    <row r="1415" spans="3:8" ht="15" x14ac:dyDescent="0.25">
      <c r="C1415"/>
      <c r="D1415"/>
      <c r="E1415"/>
      <c r="F1415"/>
      <c r="G1415"/>
      <c r="H1415"/>
    </row>
    <row r="1416" spans="3:8" ht="15" x14ac:dyDescent="0.25">
      <c r="C1416"/>
      <c r="D1416"/>
      <c r="E1416"/>
      <c r="F1416"/>
      <c r="G1416"/>
      <c r="H1416"/>
    </row>
    <row r="1417" spans="3:8" ht="15" x14ac:dyDescent="0.25">
      <c r="C1417"/>
      <c r="D1417"/>
      <c r="E1417"/>
      <c r="F1417"/>
      <c r="G1417"/>
      <c r="H1417"/>
    </row>
    <row r="1418" spans="3:8" ht="15" x14ac:dyDescent="0.25">
      <c r="C1418"/>
      <c r="D1418"/>
      <c r="E1418"/>
      <c r="F1418"/>
      <c r="G1418"/>
      <c r="H1418"/>
    </row>
    <row r="1419" spans="3:8" ht="15" x14ac:dyDescent="0.25">
      <c r="C1419"/>
      <c r="D1419"/>
      <c r="E1419"/>
      <c r="F1419"/>
      <c r="G1419"/>
      <c r="H1419"/>
    </row>
    <row r="1420" spans="3:8" ht="15" x14ac:dyDescent="0.25">
      <c r="C1420"/>
      <c r="D1420"/>
      <c r="E1420"/>
      <c r="F1420"/>
      <c r="G1420"/>
      <c r="H1420"/>
    </row>
    <row r="1421" spans="3:8" ht="15" x14ac:dyDescent="0.25">
      <c r="C1421"/>
      <c r="D1421"/>
      <c r="E1421"/>
      <c r="F1421"/>
      <c r="G1421"/>
      <c r="H1421"/>
    </row>
    <row r="1422" spans="3:8" ht="15" x14ac:dyDescent="0.25">
      <c r="C1422"/>
      <c r="D1422"/>
      <c r="E1422"/>
      <c r="F1422"/>
      <c r="G1422"/>
      <c r="H1422"/>
    </row>
    <row r="1423" spans="3:8" ht="15" x14ac:dyDescent="0.25">
      <c r="C1423"/>
      <c r="D1423"/>
      <c r="E1423"/>
      <c r="F1423"/>
      <c r="G1423"/>
      <c r="H1423"/>
    </row>
    <row r="1424" spans="3:8" ht="15" x14ac:dyDescent="0.25">
      <c r="C1424"/>
      <c r="D1424"/>
      <c r="E1424"/>
      <c r="F1424"/>
      <c r="G1424"/>
      <c r="H1424"/>
    </row>
    <row r="1425" spans="3:8" ht="15" x14ac:dyDescent="0.25">
      <c r="C1425"/>
      <c r="D1425"/>
      <c r="E1425"/>
      <c r="F1425"/>
      <c r="G1425"/>
      <c r="H1425"/>
    </row>
    <row r="1426" spans="3:8" ht="15" x14ac:dyDescent="0.25">
      <c r="C1426"/>
      <c r="D1426"/>
      <c r="E1426"/>
      <c r="F1426"/>
      <c r="G1426"/>
      <c r="H1426"/>
    </row>
    <row r="1427" spans="3:8" ht="15" x14ac:dyDescent="0.25">
      <c r="C1427"/>
      <c r="D1427"/>
      <c r="E1427"/>
      <c r="F1427"/>
      <c r="G1427"/>
      <c r="H1427"/>
    </row>
    <row r="1428" spans="3:8" ht="15" x14ac:dyDescent="0.25">
      <c r="C1428"/>
      <c r="D1428"/>
      <c r="E1428"/>
      <c r="F1428"/>
      <c r="G1428"/>
      <c r="H1428"/>
    </row>
    <row r="1429" spans="3:8" ht="15" x14ac:dyDescent="0.25">
      <c r="C1429"/>
      <c r="D1429"/>
      <c r="E1429"/>
      <c r="F1429"/>
      <c r="G1429"/>
      <c r="H1429"/>
    </row>
    <row r="1430" spans="3:8" ht="15" x14ac:dyDescent="0.25">
      <c r="C1430"/>
      <c r="D1430"/>
      <c r="E1430"/>
      <c r="F1430"/>
      <c r="G1430"/>
      <c r="H1430"/>
    </row>
    <row r="1431" spans="3:8" ht="15" x14ac:dyDescent="0.25">
      <c r="C1431"/>
      <c r="D1431"/>
      <c r="E1431"/>
      <c r="F1431"/>
      <c r="G1431"/>
      <c r="H1431"/>
    </row>
    <row r="1432" spans="3:8" ht="15" x14ac:dyDescent="0.25">
      <c r="C1432"/>
      <c r="D1432"/>
      <c r="E1432"/>
      <c r="F1432"/>
      <c r="G1432"/>
      <c r="H1432"/>
    </row>
    <row r="1433" spans="3:8" ht="15" x14ac:dyDescent="0.25">
      <c r="C1433"/>
      <c r="D1433"/>
      <c r="E1433"/>
      <c r="F1433"/>
      <c r="G1433"/>
      <c r="H1433"/>
    </row>
    <row r="1434" spans="3:8" ht="15" x14ac:dyDescent="0.25">
      <c r="C1434"/>
      <c r="D1434"/>
      <c r="E1434"/>
      <c r="F1434"/>
      <c r="G1434"/>
      <c r="H1434"/>
    </row>
    <row r="1435" spans="3:8" ht="15" x14ac:dyDescent="0.25">
      <c r="C1435"/>
      <c r="D1435"/>
      <c r="E1435"/>
      <c r="F1435"/>
      <c r="G1435"/>
      <c r="H1435"/>
    </row>
    <row r="1436" spans="3:8" ht="15" x14ac:dyDescent="0.25">
      <c r="C1436"/>
      <c r="D1436"/>
      <c r="E1436"/>
      <c r="F1436"/>
      <c r="G1436"/>
      <c r="H1436"/>
    </row>
    <row r="1437" spans="3:8" ht="15" x14ac:dyDescent="0.25">
      <c r="C1437"/>
      <c r="D1437"/>
      <c r="E1437"/>
      <c r="F1437"/>
      <c r="G1437"/>
      <c r="H1437"/>
    </row>
    <row r="1438" spans="3:8" ht="15" x14ac:dyDescent="0.25">
      <c r="C1438"/>
      <c r="D1438"/>
      <c r="E1438"/>
      <c r="F1438"/>
      <c r="G1438"/>
      <c r="H1438"/>
    </row>
    <row r="1439" spans="3:8" ht="15" x14ac:dyDescent="0.25">
      <c r="C1439"/>
      <c r="D1439"/>
      <c r="E1439"/>
      <c r="F1439"/>
      <c r="G1439"/>
      <c r="H1439"/>
    </row>
    <row r="1440" spans="3:8" ht="15" x14ac:dyDescent="0.25">
      <c r="C1440"/>
      <c r="D1440"/>
      <c r="E1440"/>
      <c r="F1440"/>
      <c r="G1440"/>
      <c r="H1440"/>
    </row>
    <row r="1441" spans="3:8" ht="15" x14ac:dyDescent="0.25">
      <c r="C1441"/>
      <c r="D1441"/>
      <c r="E1441"/>
      <c r="F1441"/>
      <c r="G1441"/>
      <c r="H1441"/>
    </row>
    <row r="1442" spans="3:8" ht="15" x14ac:dyDescent="0.25">
      <c r="C1442"/>
      <c r="D1442"/>
      <c r="E1442"/>
      <c r="F1442"/>
      <c r="G1442"/>
      <c r="H1442"/>
    </row>
    <row r="1443" spans="3:8" ht="15" x14ac:dyDescent="0.25">
      <c r="C1443"/>
      <c r="D1443"/>
      <c r="E1443"/>
      <c r="F1443"/>
      <c r="G1443"/>
      <c r="H1443"/>
    </row>
    <row r="1444" spans="3:8" ht="15" x14ac:dyDescent="0.25">
      <c r="C1444"/>
      <c r="D1444"/>
      <c r="E1444"/>
      <c r="F1444"/>
      <c r="G1444"/>
      <c r="H1444"/>
    </row>
    <row r="1445" spans="3:8" ht="15" x14ac:dyDescent="0.25">
      <c r="C1445"/>
      <c r="D1445"/>
      <c r="E1445"/>
      <c r="F1445"/>
      <c r="G1445"/>
      <c r="H1445"/>
    </row>
    <row r="1446" spans="3:8" ht="15" x14ac:dyDescent="0.25">
      <c r="C1446"/>
      <c r="D1446"/>
      <c r="E1446"/>
      <c r="F1446"/>
      <c r="G1446"/>
      <c r="H1446"/>
    </row>
    <row r="1447" spans="3:8" ht="15" x14ac:dyDescent="0.25">
      <c r="C1447"/>
      <c r="D1447"/>
      <c r="E1447"/>
      <c r="F1447"/>
      <c r="G1447"/>
      <c r="H1447"/>
    </row>
    <row r="1448" spans="3:8" ht="15" x14ac:dyDescent="0.25">
      <c r="C1448"/>
      <c r="D1448"/>
      <c r="E1448"/>
      <c r="F1448"/>
      <c r="G1448"/>
      <c r="H1448"/>
    </row>
    <row r="1449" spans="3:8" ht="15" x14ac:dyDescent="0.25">
      <c r="C1449"/>
      <c r="D1449"/>
      <c r="E1449"/>
      <c r="F1449"/>
      <c r="G1449"/>
      <c r="H1449"/>
    </row>
    <row r="1450" spans="3:8" ht="15" x14ac:dyDescent="0.25">
      <c r="C1450"/>
      <c r="D1450"/>
      <c r="E1450"/>
      <c r="F1450"/>
      <c r="G1450"/>
      <c r="H1450"/>
    </row>
    <row r="1451" spans="3:8" ht="15" x14ac:dyDescent="0.25">
      <c r="C1451"/>
      <c r="D1451"/>
      <c r="E1451"/>
      <c r="F1451"/>
      <c r="G1451"/>
      <c r="H1451"/>
    </row>
    <row r="1452" spans="3:8" ht="15" x14ac:dyDescent="0.25">
      <c r="C1452"/>
      <c r="D1452"/>
      <c r="E1452"/>
      <c r="F1452"/>
      <c r="G1452"/>
      <c r="H1452"/>
    </row>
    <row r="1453" spans="3:8" ht="15" x14ac:dyDescent="0.25">
      <c r="C1453"/>
      <c r="D1453"/>
      <c r="E1453"/>
      <c r="F1453"/>
      <c r="G1453"/>
      <c r="H1453"/>
    </row>
    <row r="1454" spans="3:8" ht="15" x14ac:dyDescent="0.25">
      <c r="C1454"/>
      <c r="D1454"/>
      <c r="E1454"/>
      <c r="F1454"/>
      <c r="G1454"/>
      <c r="H1454"/>
    </row>
    <row r="1455" spans="3:8" ht="15" x14ac:dyDescent="0.25">
      <c r="C1455"/>
      <c r="D1455"/>
      <c r="E1455"/>
      <c r="F1455"/>
      <c r="G1455"/>
      <c r="H1455"/>
    </row>
    <row r="1456" spans="3:8" ht="15" x14ac:dyDescent="0.25">
      <c r="C1456"/>
      <c r="D1456"/>
      <c r="E1456"/>
      <c r="F1456"/>
      <c r="G1456"/>
      <c r="H1456"/>
    </row>
    <row r="1457" spans="3:8" ht="15" x14ac:dyDescent="0.25">
      <c r="C1457"/>
      <c r="D1457"/>
      <c r="E1457"/>
      <c r="F1457"/>
      <c r="G1457"/>
      <c r="H1457"/>
    </row>
    <row r="1458" spans="3:8" ht="15" x14ac:dyDescent="0.25">
      <c r="C1458"/>
      <c r="D1458"/>
      <c r="E1458"/>
      <c r="F1458"/>
      <c r="G1458"/>
      <c r="H1458"/>
    </row>
    <row r="1459" spans="3:8" ht="15" x14ac:dyDescent="0.25">
      <c r="C1459"/>
      <c r="D1459"/>
      <c r="E1459"/>
      <c r="F1459"/>
      <c r="G1459"/>
      <c r="H1459"/>
    </row>
    <row r="1460" spans="3:8" ht="15" x14ac:dyDescent="0.25">
      <c r="C1460"/>
      <c r="D1460"/>
      <c r="E1460"/>
      <c r="F1460"/>
      <c r="G1460"/>
      <c r="H1460"/>
    </row>
    <row r="1461" spans="3:8" ht="15" x14ac:dyDescent="0.25">
      <c r="C1461"/>
      <c r="D1461"/>
      <c r="E1461"/>
      <c r="F1461"/>
      <c r="G1461"/>
      <c r="H1461"/>
    </row>
    <row r="1462" spans="3:8" ht="15" x14ac:dyDescent="0.25">
      <c r="C1462"/>
      <c r="D1462"/>
      <c r="E1462"/>
      <c r="F1462"/>
      <c r="G1462"/>
      <c r="H1462"/>
    </row>
    <row r="1463" spans="3:8" ht="15" x14ac:dyDescent="0.25">
      <c r="C1463"/>
      <c r="D1463"/>
      <c r="E1463"/>
      <c r="F1463"/>
      <c r="G1463"/>
      <c r="H1463"/>
    </row>
    <row r="1464" spans="3:8" ht="15" x14ac:dyDescent="0.25">
      <c r="C1464"/>
      <c r="D1464"/>
      <c r="E1464"/>
      <c r="F1464"/>
      <c r="G1464"/>
      <c r="H1464"/>
    </row>
    <row r="1465" spans="3:8" ht="15" x14ac:dyDescent="0.25">
      <c r="C1465"/>
      <c r="D1465"/>
      <c r="E1465"/>
      <c r="F1465"/>
      <c r="G1465"/>
      <c r="H1465"/>
    </row>
    <row r="1466" spans="3:8" ht="15" x14ac:dyDescent="0.25">
      <c r="C1466"/>
      <c r="D1466"/>
      <c r="E1466"/>
      <c r="F1466"/>
      <c r="G1466"/>
      <c r="H1466"/>
    </row>
    <row r="1467" spans="3:8" ht="15" x14ac:dyDescent="0.25">
      <c r="C1467"/>
      <c r="D1467"/>
      <c r="E1467"/>
      <c r="F1467"/>
      <c r="G1467"/>
      <c r="H1467"/>
    </row>
    <row r="1468" spans="3:8" ht="15" x14ac:dyDescent="0.25">
      <c r="C1468"/>
      <c r="D1468"/>
      <c r="E1468"/>
      <c r="F1468"/>
      <c r="G1468"/>
      <c r="H1468"/>
    </row>
    <row r="1469" spans="3:8" ht="15" x14ac:dyDescent="0.25">
      <c r="C1469"/>
      <c r="D1469"/>
      <c r="E1469"/>
      <c r="F1469"/>
      <c r="G1469"/>
      <c r="H1469"/>
    </row>
    <row r="1470" spans="3:8" ht="15" x14ac:dyDescent="0.25">
      <c r="C1470"/>
      <c r="D1470"/>
      <c r="E1470"/>
      <c r="F1470"/>
      <c r="G1470"/>
      <c r="H1470"/>
    </row>
    <row r="1471" spans="3:8" ht="15" x14ac:dyDescent="0.25">
      <c r="C1471"/>
      <c r="D1471"/>
      <c r="E1471"/>
      <c r="F1471"/>
      <c r="G1471"/>
      <c r="H1471"/>
    </row>
    <row r="1472" spans="3:8" ht="15" x14ac:dyDescent="0.25">
      <c r="C1472"/>
      <c r="D1472"/>
      <c r="E1472"/>
      <c r="F1472"/>
      <c r="G1472"/>
      <c r="H1472"/>
    </row>
    <row r="1473" spans="3:8" ht="15" x14ac:dyDescent="0.25">
      <c r="C1473"/>
      <c r="D1473"/>
      <c r="E1473"/>
      <c r="F1473"/>
      <c r="G1473"/>
      <c r="H1473"/>
    </row>
    <row r="1474" spans="3:8" ht="15" x14ac:dyDescent="0.25">
      <c r="C1474"/>
      <c r="D1474"/>
      <c r="E1474"/>
      <c r="F1474"/>
      <c r="G1474"/>
      <c r="H1474"/>
    </row>
    <row r="1475" spans="3:8" ht="15" x14ac:dyDescent="0.25">
      <c r="C1475"/>
      <c r="D1475"/>
      <c r="E1475"/>
      <c r="F1475"/>
      <c r="G1475"/>
      <c r="H1475"/>
    </row>
    <row r="1476" spans="3:8" ht="15" x14ac:dyDescent="0.25">
      <c r="C1476"/>
      <c r="D1476"/>
      <c r="E1476"/>
      <c r="F1476"/>
      <c r="G1476"/>
      <c r="H1476"/>
    </row>
    <row r="1477" spans="3:8" ht="15" x14ac:dyDescent="0.25">
      <c r="C1477"/>
      <c r="D1477"/>
      <c r="E1477"/>
      <c r="F1477"/>
      <c r="G1477"/>
      <c r="H1477"/>
    </row>
    <row r="1478" spans="3:8" ht="15" x14ac:dyDescent="0.25">
      <c r="C1478"/>
      <c r="D1478"/>
      <c r="E1478"/>
      <c r="F1478"/>
      <c r="G1478"/>
      <c r="H1478"/>
    </row>
    <row r="1479" spans="3:8" ht="15" x14ac:dyDescent="0.25">
      <c r="C1479"/>
      <c r="D1479"/>
      <c r="E1479"/>
      <c r="F1479"/>
      <c r="G1479"/>
      <c r="H1479"/>
    </row>
    <row r="1480" spans="3:8" ht="15" x14ac:dyDescent="0.25">
      <c r="C1480"/>
      <c r="D1480"/>
      <c r="E1480"/>
      <c r="F1480"/>
      <c r="G1480"/>
      <c r="H1480"/>
    </row>
    <row r="1481" spans="3:8" ht="15" x14ac:dyDescent="0.25">
      <c r="C1481"/>
      <c r="D1481"/>
      <c r="E1481"/>
      <c r="F1481"/>
      <c r="G1481"/>
      <c r="H1481"/>
    </row>
    <row r="1482" spans="3:8" ht="15" x14ac:dyDescent="0.25">
      <c r="C1482"/>
      <c r="D1482"/>
      <c r="E1482"/>
      <c r="F1482"/>
      <c r="G1482"/>
      <c r="H1482"/>
    </row>
    <row r="1483" spans="3:8" ht="15" x14ac:dyDescent="0.25">
      <c r="C1483"/>
      <c r="D1483"/>
      <c r="E1483"/>
      <c r="F1483"/>
      <c r="G1483"/>
      <c r="H1483"/>
    </row>
    <row r="1484" spans="3:8" ht="15" x14ac:dyDescent="0.25">
      <c r="C1484"/>
      <c r="D1484"/>
      <c r="E1484"/>
      <c r="F1484"/>
      <c r="G1484"/>
      <c r="H1484"/>
    </row>
    <row r="1485" spans="3:8" ht="15" x14ac:dyDescent="0.25">
      <c r="C1485"/>
      <c r="D1485"/>
      <c r="E1485"/>
      <c r="F1485"/>
      <c r="G1485"/>
      <c r="H1485"/>
    </row>
    <row r="1486" spans="3:8" ht="15" x14ac:dyDescent="0.25">
      <c r="C1486"/>
      <c r="D1486"/>
      <c r="E1486"/>
      <c r="F1486"/>
      <c r="G1486"/>
      <c r="H1486"/>
    </row>
    <row r="1487" spans="3:8" ht="15" x14ac:dyDescent="0.25">
      <c r="C1487"/>
      <c r="D1487"/>
      <c r="E1487"/>
      <c r="F1487"/>
      <c r="G1487"/>
      <c r="H1487"/>
    </row>
    <row r="1488" spans="3:8" ht="15" x14ac:dyDescent="0.25">
      <c r="C1488"/>
      <c r="D1488"/>
      <c r="E1488"/>
      <c r="F1488"/>
      <c r="G1488"/>
      <c r="H1488"/>
    </row>
    <row r="1489" spans="3:8" ht="15" x14ac:dyDescent="0.25">
      <c r="C1489"/>
      <c r="D1489"/>
      <c r="E1489"/>
      <c r="F1489"/>
      <c r="G1489"/>
      <c r="H1489"/>
    </row>
    <row r="1490" spans="3:8" ht="15" x14ac:dyDescent="0.25">
      <c r="C1490"/>
      <c r="D1490"/>
      <c r="E1490"/>
      <c r="F1490"/>
      <c r="G1490"/>
      <c r="H1490"/>
    </row>
    <row r="1491" spans="3:8" ht="15" x14ac:dyDescent="0.25">
      <c r="C1491"/>
      <c r="D1491"/>
      <c r="E1491"/>
      <c r="F1491"/>
      <c r="G1491"/>
      <c r="H1491"/>
    </row>
    <row r="1492" spans="3:8" ht="15" x14ac:dyDescent="0.25">
      <c r="C1492"/>
      <c r="D1492"/>
      <c r="E1492"/>
      <c r="F1492"/>
      <c r="G1492"/>
      <c r="H1492"/>
    </row>
    <row r="1493" spans="3:8" ht="15" x14ac:dyDescent="0.25">
      <c r="C1493"/>
      <c r="D1493"/>
      <c r="E1493"/>
      <c r="F1493"/>
      <c r="G1493"/>
      <c r="H1493"/>
    </row>
    <row r="1494" spans="3:8" ht="15" x14ac:dyDescent="0.25">
      <c r="C1494"/>
      <c r="D1494"/>
      <c r="E1494"/>
      <c r="F1494"/>
      <c r="G1494"/>
      <c r="H1494"/>
    </row>
    <row r="1495" spans="3:8" ht="15" x14ac:dyDescent="0.25">
      <c r="C1495"/>
      <c r="D1495"/>
      <c r="E1495"/>
      <c r="F1495"/>
      <c r="G1495"/>
      <c r="H1495"/>
    </row>
    <row r="1496" spans="3:8" ht="15" x14ac:dyDescent="0.25">
      <c r="C1496"/>
      <c r="D1496"/>
      <c r="E1496"/>
      <c r="F1496"/>
      <c r="G1496"/>
      <c r="H1496"/>
    </row>
    <row r="1497" spans="3:8" ht="15" x14ac:dyDescent="0.25">
      <c r="C1497"/>
      <c r="D1497"/>
      <c r="E1497"/>
      <c r="F1497"/>
      <c r="G1497"/>
      <c r="H1497"/>
    </row>
    <row r="1498" spans="3:8" ht="15" x14ac:dyDescent="0.25">
      <c r="C1498"/>
      <c r="D1498"/>
      <c r="E1498"/>
      <c r="F1498"/>
      <c r="G1498"/>
      <c r="H1498"/>
    </row>
    <row r="1499" spans="3:8" ht="15" x14ac:dyDescent="0.25">
      <c r="C1499"/>
      <c r="D1499"/>
      <c r="E1499"/>
      <c r="F1499"/>
      <c r="G1499"/>
      <c r="H1499"/>
    </row>
    <row r="1500" spans="3:8" ht="15" x14ac:dyDescent="0.25">
      <c r="C1500"/>
      <c r="D1500"/>
      <c r="E1500"/>
      <c r="F1500"/>
      <c r="G1500"/>
      <c r="H1500"/>
    </row>
    <row r="1501" spans="3:8" ht="15" x14ac:dyDescent="0.25">
      <c r="C1501"/>
      <c r="D1501"/>
      <c r="E1501"/>
      <c r="F1501"/>
      <c r="G1501"/>
      <c r="H1501"/>
    </row>
    <row r="1502" spans="3:8" ht="15" x14ac:dyDescent="0.25">
      <c r="C1502"/>
      <c r="D1502"/>
      <c r="E1502"/>
      <c r="F1502"/>
      <c r="G1502"/>
      <c r="H1502"/>
    </row>
    <row r="1503" spans="3:8" ht="15" x14ac:dyDescent="0.25">
      <c r="C1503"/>
      <c r="D1503"/>
      <c r="E1503"/>
      <c r="F1503"/>
      <c r="G1503"/>
      <c r="H1503"/>
    </row>
    <row r="1504" spans="3:8" ht="15" x14ac:dyDescent="0.25">
      <c r="C1504"/>
      <c r="D1504"/>
      <c r="E1504"/>
      <c r="F1504"/>
      <c r="G1504"/>
      <c r="H1504"/>
    </row>
    <row r="1505" spans="3:8" ht="15" x14ac:dyDescent="0.25">
      <c r="C1505"/>
      <c r="D1505"/>
      <c r="E1505"/>
      <c r="F1505"/>
      <c r="G1505"/>
      <c r="H1505"/>
    </row>
    <row r="1506" spans="3:8" ht="15" x14ac:dyDescent="0.25">
      <c r="C1506"/>
      <c r="D1506"/>
      <c r="E1506"/>
      <c r="F1506"/>
      <c r="G1506"/>
      <c r="H1506"/>
    </row>
    <row r="1507" spans="3:8" ht="15" x14ac:dyDescent="0.25">
      <c r="C1507"/>
      <c r="D1507"/>
      <c r="E1507"/>
      <c r="F1507"/>
      <c r="G1507"/>
      <c r="H1507"/>
    </row>
    <row r="1508" spans="3:8" ht="15" x14ac:dyDescent="0.25">
      <c r="C1508"/>
      <c r="D1508"/>
      <c r="E1508"/>
      <c r="F1508"/>
      <c r="G1508"/>
      <c r="H1508"/>
    </row>
    <row r="1509" spans="3:8" ht="15" x14ac:dyDescent="0.25">
      <c r="C1509"/>
      <c r="D1509"/>
      <c r="E1509"/>
      <c r="F1509"/>
      <c r="G1509"/>
      <c r="H1509"/>
    </row>
    <row r="1510" spans="3:8" ht="15" x14ac:dyDescent="0.25">
      <c r="C1510"/>
      <c r="D1510"/>
      <c r="E1510"/>
      <c r="F1510"/>
      <c r="G1510"/>
      <c r="H1510"/>
    </row>
    <row r="1511" spans="3:8" ht="15" x14ac:dyDescent="0.25">
      <c r="C1511"/>
      <c r="D1511"/>
      <c r="E1511"/>
      <c r="F1511"/>
      <c r="G1511"/>
      <c r="H1511"/>
    </row>
    <row r="1512" spans="3:8" ht="15" x14ac:dyDescent="0.25">
      <c r="C1512"/>
      <c r="D1512"/>
      <c r="E1512"/>
      <c r="F1512"/>
      <c r="G1512"/>
      <c r="H1512"/>
    </row>
    <row r="1513" spans="3:8" ht="15" x14ac:dyDescent="0.25">
      <c r="C1513"/>
      <c r="D1513"/>
      <c r="E1513"/>
      <c r="F1513"/>
      <c r="G1513"/>
      <c r="H1513"/>
    </row>
    <row r="1514" spans="3:8" ht="15" x14ac:dyDescent="0.25">
      <c r="C1514"/>
      <c r="D1514"/>
      <c r="E1514"/>
      <c r="F1514"/>
      <c r="G1514"/>
      <c r="H1514"/>
    </row>
    <row r="1515" spans="3:8" ht="15" x14ac:dyDescent="0.25">
      <c r="C1515"/>
      <c r="D1515"/>
      <c r="E1515"/>
      <c r="F1515"/>
      <c r="G1515"/>
      <c r="H1515"/>
    </row>
    <row r="1516" spans="3:8" ht="15" x14ac:dyDescent="0.25">
      <c r="C1516"/>
      <c r="D1516"/>
      <c r="E1516"/>
      <c r="F1516"/>
      <c r="G1516"/>
      <c r="H1516"/>
    </row>
    <row r="1517" spans="3:8" ht="15" x14ac:dyDescent="0.25">
      <c r="C1517"/>
      <c r="D1517"/>
      <c r="E1517"/>
      <c r="F1517"/>
      <c r="G1517"/>
      <c r="H1517"/>
    </row>
    <row r="1518" spans="3:8" ht="15" x14ac:dyDescent="0.25">
      <c r="C1518"/>
      <c r="D1518"/>
      <c r="E1518"/>
      <c r="F1518"/>
      <c r="G1518"/>
      <c r="H1518"/>
    </row>
    <row r="1519" spans="3:8" ht="15" x14ac:dyDescent="0.25">
      <c r="C1519"/>
      <c r="D1519"/>
      <c r="E1519"/>
      <c r="F1519"/>
      <c r="G1519"/>
      <c r="H1519"/>
    </row>
    <row r="1520" spans="3:8" ht="15" x14ac:dyDescent="0.25">
      <c r="C1520"/>
      <c r="D1520"/>
      <c r="E1520"/>
      <c r="F1520"/>
      <c r="G1520"/>
      <c r="H1520"/>
    </row>
    <row r="1521" spans="3:8" ht="15" x14ac:dyDescent="0.25">
      <c r="C1521"/>
      <c r="D1521"/>
      <c r="E1521"/>
      <c r="F1521"/>
      <c r="G1521"/>
      <c r="H1521"/>
    </row>
    <row r="1522" spans="3:8" ht="15" x14ac:dyDescent="0.25">
      <c r="C1522"/>
      <c r="D1522"/>
      <c r="E1522"/>
      <c r="F1522"/>
      <c r="G1522"/>
      <c r="H1522"/>
    </row>
    <row r="1523" spans="3:8" ht="15" x14ac:dyDescent="0.25">
      <c r="C1523"/>
      <c r="D1523"/>
      <c r="E1523"/>
      <c r="F1523"/>
      <c r="G1523"/>
      <c r="H1523"/>
    </row>
    <row r="1524" spans="3:8" ht="15" x14ac:dyDescent="0.25">
      <c r="C1524"/>
      <c r="D1524"/>
      <c r="E1524"/>
      <c r="F1524"/>
      <c r="G1524"/>
      <c r="H1524"/>
    </row>
    <row r="1525" spans="3:8" ht="15" x14ac:dyDescent="0.25">
      <c r="C1525"/>
      <c r="D1525"/>
      <c r="E1525"/>
      <c r="F1525"/>
      <c r="G1525"/>
      <c r="H1525"/>
    </row>
    <row r="1526" spans="3:8" ht="15" x14ac:dyDescent="0.25">
      <c r="C1526"/>
      <c r="D1526"/>
      <c r="E1526"/>
      <c r="F1526"/>
      <c r="G1526"/>
      <c r="H1526"/>
    </row>
    <row r="1527" spans="3:8" ht="15" x14ac:dyDescent="0.25">
      <c r="C1527"/>
      <c r="D1527"/>
      <c r="E1527"/>
      <c r="F1527"/>
      <c r="G1527"/>
      <c r="H1527"/>
    </row>
    <row r="1528" spans="3:8" ht="15" x14ac:dyDescent="0.25">
      <c r="C1528"/>
      <c r="D1528"/>
      <c r="E1528"/>
      <c r="F1528"/>
      <c r="G1528"/>
      <c r="H1528"/>
    </row>
    <row r="1529" spans="3:8" ht="15" x14ac:dyDescent="0.25">
      <c r="C1529"/>
      <c r="D1529"/>
      <c r="E1529"/>
      <c r="F1529"/>
      <c r="G1529"/>
      <c r="H1529"/>
    </row>
    <row r="1530" spans="3:8" ht="15" x14ac:dyDescent="0.25">
      <c r="C1530"/>
      <c r="D1530"/>
      <c r="E1530"/>
      <c r="F1530"/>
      <c r="G1530"/>
      <c r="H1530"/>
    </row>
    <row r="1531" spans="3:8" ht="15" x14ac:dyDescent="0.25">
      <c r="C1531"/>
      <c r="D1531"/>
      <c r="E1531"/>
      <c r="F1531"/>
      <c r="G1531"/>
      <c r="H1531"/>
    </row>
    <row r="1532" spans="3:8" ht="15" x14ac:dyDescent="0.25">
      <c r="C1532"/>
      <c r="D1532"/>
      <c r="E1532"/>
      <c r="F1532"/>
      <c r="G1532"/>
      <c r="H1532"/>
    </row>
    <row r="1533" spans="3:8" ht="15" x14ac:dyDescent="0.25">
      <c r="C1533"/>
      <c r="D1533"/>
      <c r="E1533"/>
      <c r="F1533"/>
      <c r="G1533"/>
      <c r="H1533"/>
    </row>
    <row r="1534" spans="3:8" ht="15" x14ac:dyDescent="0.25">
      <c r="C1534"/>
      <c r="D1534"/>
      <c r="E1534"/>
      <c r="F1534"/>
      <c r="G1534"/>
      <c r="H1534"/>
    </row>
    <row r="1535" spans="3:8" ht="15" x14ac:dyDescent="0.25">
      <c r="C1535"/>
      <c r="D1535"/>
      <c r="E1535"/>
      <c r="F1535"/>
      <c r="G1535"/>
      <c r="H1535"/>
    </row>
    <row r="1536" spans="3:8" ht="15" x14ac:dyDescent="0.25">
      <c r="C1536"/>
      <c r="D1536"/>
      <c r="E1536"/>
      <c r="F1536"/>
      <c r="G1536"/>
      <c r="H1536"/>
    </row>
    <row r="1537" spans="3:8" ht="15" x14ac:dyDescent="0.25">
      <c r="C1537"/>
      <c r="D1537"/>
      <c r="E1537"/>
      <c r="F1537"/>
      <c r="G1537"/>
      <c r="H1537"/>
    </row>
    <row r="1538" spans="3:8" ht="15" x14ac:dyDescent="0.25">
      <c r="C1538"/>
      <c r="D1538"/>
      <c r="E1538"/>
      <c r="F1538"/>
      <c r="G1538"/>
      <c r="H1538"/>
    </row>
    <row r="1539" spans="3:8" ht="15" x14ac:dyDescent="0.25">
      <c r="C1539"/>
      <c r="D1539"/>
      <c r="E1539"/>
      <c r="F1539"/>
      <c r="G1539"/>
      <c r="H1539"/>
    </row>
    <row r="1540" spans="3:8" ht="15" x14ac:dyDescent="0.25">
      <c r="C1540"/>
      <c r="D1540"/>
      <c r="E1540"/>
      <c r="F1540"/>
      <c r="G1540"/>
      <c r="H1540"/>
    </row>
    <row r="1541" spans="3:8" ht="15" x14ac:dyDescent="0.25">
      <c r="C1541"/>
      <c r="D1541"/>
      <c r="E1541"/>
      <c r="F1541"/>
      <c r="G1541"/>
      <c r="H1541"/>
    </row>
    <row r="1542" spans="3:8" ht="15" x14ac:dyDescent="0.25">
      <c r="C1542"/>
      <c r="D1542"/>
      <c r="E1542"/>
      <c r="F1542"/>
      <c r="G1542"/>
      <c r="H1542"/>
    </row>
    <row r="1543" spans="3:8" ht="15" x14ac:dyDescent="0.25">
      <c r="C1543"/>
      <c r="D1543"/>
      <c r="E1543"/>
      <c r="F1543"/>
      <c r="G1543"/>
      <c r="H1543"/>
    </row>
    <row r="1544" spans="3:8" ht="15" x14ac:dyDescent="0.25">
      <c r="C1544"/>
      <c r="D1544"/>
      <c r="E1544"/>
      <c r="F1544"/>
      <c r="G1544"/>
      <c r="H1544"/>
    </row>
    <row r="1545" spans="3:8" ht="15" x14ac:dyDescent="0.25">
      <c r="C1545"/>
      <c r="D1545"/>
      <c r="E1545"/>
      <c r="F1545"/>
      <c r="G1545"/>
      <c r="H1545"/>
    </row>
    <row r="1546" spans="3:8" ht="15" x14ac:dyDescent="0.25">
      <c r="C1546"/>
      <c r="D1546"/>
      <c r="E1546"/>
      <c r="F1546"/>
      <c r="G1546"/>
      <c r="H1546"/>
    </row>
    <row r="1547" spans="3:8" ht="15" x14ac:dyDescent="0.25">
      <c r="C1547"/>
      <c r="D1547"/>
      <c r="E1547"/>
      <c r="F1547"/>
      <c r="G1547"/>
      <c r="H1547"/>
    </row>
    <row r="1548" spans="3:8" ht="15" x14ac:dyDescent="0.25">
      <c r="C1548"/>
      <c r="D1548"/>
      <c r="E1548"/>
      <c r="F1548"/>
      <c r="G1548"/>
      <c r="H1548"/>
    </row>
    <row r="1549" spans="3:8" ht="15" x14ac:dyDescent="0.25">
      <c r="C1549"/>
      <c r="D1549"/>
      <c r="E1549"/>
      <c r="F1549"/>
      <c r="G1549"/>
      <c r="H1549"/>
    </row>
    <row r="1550" spans="3:8" ht="15" x14ac:dyDescent="0.25">
      <c r="C1550"/>
      <c r="D1550"/>
      <c r="E1550"/>
      <c r="F1550"/>
      <c r="G1550"/>
      <c r="H1550"/>
    </row>
    <row r="1551" spans="3:8" ht="15" x14ac:dyDescent="0.25">
      <c r="C1551"/>
      <c r="D1551"/>
      <c r="E1551"/>
      <c r="F1551"/>
      <c r="G1551"/>
      <c r="H1551"/>
    </row>
    <row r="1552" spans="3:8" ht="15" x14ac:dyDescent="0.25">
      <c r="C1552"/>
      <c r="D1552"/>
      <c r="E1552"/>
      <c r="F1552"/>
      <c r="G1552"/>
      <c r="H1552"/>
    </row>
    <row r="1553" spans="3:8" ht="15" x14ac:dyDescent="0.25">
      <c r="C1553"/>
      <c r="D1553"/>
      <c r="E1553"/>
      <c r="F1553"/>
      <c r="G1553"/>
      <c r="H1553"/>
    </row>
    <row r="1554" spans="3:8" ht="15" x14ac:dyDescent="0.25">
      <c r="C1554"/>
      <c r="D1554"/>
      <c r="E1554"/>
      <c r="F1554"/>
      <c r="G1554"/>
      <c r="H1554"/>
    </row>
    <row r="1555" spans="3:8" ht="15" x14ac:dyDescent="0.25">
      <c r="C1555"/>
      <c r="D1555"/>
      <c r="E1555"/>
      <c r="F1555"/>
      <c r="G1555"/>
      <c r="H1555"/>
    </row>
    <row r="1556" spans="3:8" ht="15" x14ac:dyDescent="0.25">
      <c r="C1556"/>
      <c r="D1556"/>
      <c r="E1556"/>
      <c r="F1556"/>
      <c r="G1556"/>
      <c r="H1556"/>
    </row>
    <row r="1557" spans="3:8" ht="15" x14ac:dyDescent="0.25">
      <c r="C1557"/>
      <c r="D1557"/>
      <c r="E1557"/>
      <c r="F1557"/>
      <c r="G1557"/>
      <c r="H1557"/>
    </row>
    <row r="1558" spans="3:8" ht="15" x14ac:dyDescent="0.25">
      <c r="C1558"/>
      <c r="D1558"/>
      <c r="E1558"/>
      <c r="F1558"/>
      <c r="G1558"/>
      <c r="H1558"/>
    </row>
    <row r="1559" spans="3:8" ht="15" x14ac:dyDescent="0.25">
      <c r="C1559"/>
      <c r="D1559"/>
      <c r="E1559"/>
      <c r="F1559"/>
      <c r="G1559"/>
      <c r="H1559"/>
    </row>
    <row r="1560" spans="3:8" ht="15" x14ac:dyDescent="0.25">
      <c r="C1560"/>
      <c r="D1560"/>
      <c r="E1560"/>
      <c r="F1560"/>
      <c r="G1560"/>
      <c r="H1560"/>
    </row>
    <row r="1561" spans="3:8" ht="15" x14ac:dyDescent="0.25">
      <c r="C1561"/>
      <c r="D1561"/>
      <c r="E1561"/>
      <c r="F1561"/>
      <c r="G1561"/>
      <c r="H1561"/>
    </row>
    <row r="1562" spans="3:8" ht="15" x14ac:dyDescent="0.25">
      <c r="C1562"/>
      <c r="D1562"/>
      <c r="E1562"/>
      <c r="F1562"/>
      <c r="G1562"/>
      <c r="H1562"/>
    </row>
    <row r="1563" spans="3:8" ht="15" x14ac:dyDescent="0.25">
      <c r="C1563"/>
      <c r="D1563"/>
      <c r="E1563"/>
      <c r="F1563"/>
      <c r="G1563"/>
      <c r="H1563"/>
    </row>
    <row r="1564" spans="3:8" ht="15" x14ac:dyDescent="0.25">
      <c r="C1564"/>
      <c r="D1564"/>
      <c r="E1564"/>
      <c r="F1564"/>
      <c r="G1564"/>
      <c r="H1564"/>
    </row>
    <row r="1565" spans="3:8" ht="15" x14ac:dyDescent="0.25">
      <c r="C1565"/>
      <c r="D1565"/>
      <c r="E1565"/>
      <c r="F1565"/>
      <c r="G1565"/>
      <c r="H1565"/>
    </row>
    <row r="1566" spans="3:8" ht="15" x14ac:dyDescent="0.25">
      <c r="C1566"/>
      <c r="D1566"/>
      <c r="E1566"/>
      <c r="F1566"/>
      <c r="G1566"/>
      <c r="H1566"/>
    </row>
    <row r="1567" spans="3:8" ht="15" x14ac:dyDescent="0.25">
      <c r="C1567"/>
      <c r="D1567"/>
      <c r="E1567"/>
      <c r="F1567"/>
      <c r="G1567"/>
      <c r="H1567"/>
    </row>
    <row r="1568" spans="3:8" ht="15" x14ac:dyDescent="0.25">
      <c r="C1568"/>
      <c r="D1568"/>
      <c r="E1568"/>
      <c r="F1568"/>
      <c r="G1568"/>
      <c r="H1568"/>
    </row>
    <row r="1569" spans="3:8" ht="15" x14ac:dyDescent="0.25">
      <c r="C1569"/>
      <c r="D1569"/>
      <c r="E1569"/>
      <c r="F1569"/>
      <c r="G1569"/>
      <c r="H1569"/>
    </row>
    <row r="1570" spans="3:8" ht="15" x14ac:dyDescent="0.25">
      <c r="C1570"/>
      <c r="D1570"/>
      <c r="E1570"/>
      <c r="F1570"/>
      <c r="G1570"/>
      <c r="H1570"/>
    </row>
    <row r="1571" spans="3:8" ht="15" x14ac:dyDescent="0.25">
      <c r="C1571"/>
      <c r="D1571"/>
      <c r="E1571"/>
      <c r="F1571"/>
      <c r="G1571"/>
      <c r="H1571"/>
    </row>
    <row r="1572" spans="3:8" ht="15" x14ac:dyDescent="0.25">
      <c r="C1572"/>
      <c r="D1572"/>
      <c r="E1572"/>
      <c r="F1572"/>
      <c r="G1572"/>
      <c r="H1572"/>
    </row>
    <row r="1573" spans="3:8" ht="15" x14ac:dyDescent="0.25">
      <c r="C1573"/>
      <c r="D1573"/>
      <c r="E1573"/>
      <c r="F1573"/>
      <c r="G1573"/>
      <c r="H1573"/>
    </row>
    <row r="1574" spans="3:8" ht="15" x14ac:dyDescent="0.25">
      <c r="C1574"/>
      <c r="D1574"/>
      <c r="E1574"/>
      <c r="F1574"/>
      <c r="G1574"/>
      <c r="H1574"/>
    </row>
    <row r="1575" spans="3:8" ht="15" x14ac:dyDescent="0.25">
      <c r="C1575"/>
      <c r="D1575"/>
      <c r="E1575"/>
      <c r="F1575"/>
      <c r="G1575"/>
      <c r="H1575"/>
    </row>
    <row r="1576" spans="3:8" ht="15" x14ac:dyDescent="0.25">
      <c r="C1576"/>
      <c r="D1576"/>
      <c r="E1576"/>
      <c r="F1576"/>
      <c r="G1576"/>
      <c r="H1576"/>
    </row>
    <row r="1577" spans="3:8" ht="15" x14ac:dyDescent="0.25">
      <c r="C1577"/>
      <c r="D1577"/>
      <c r="E1577"/>
      <c r="F1577"/>
      <c r="G1577"/>
      <c r="H1577"/>
    </row>
    <row r="1578" spans="3:8" ht="15" x14ac:dyDescent="0.25">
      <c r="C1578"/>
      <c r="D1578"/>
      <c r="E1578"/>
      <c r="F1578"/>
      <c r="G1578"/>
      <c r="H1578"/>
    </row>
    <row r="1579" spans="3:8" ht="15" x14ac:dyDescent="0.25">
      <c r="C1579"/>
      <c r="D1579"/>
      <c r="E1579"/>
      <c r="F1579"/>
      <c r="G1579"/>
      <c r="H1579"/>
    </row>
    <row r="1580" spans="3:8" ht="15" x14ac:dyDescent="0.25">
      <c r="C1580"/>
      <c r="D1580"/>
      <c r="E1580"/>
      <c r="F1580"/>
      <c r="G1580"/>
      <c r="H1580"/>
    </row>
    <row r="1581" spans="3:8" ht="15" x14ac:dyDescent="0.25">
      <c r="C1581"/>
      <c r="D1581"/>
      <c r="E1581"/>
      <c r="F1581"/>
      <c r="G1581"/>
      <c r="H1581"/>
    </row>
    <row r="1582" spans="3:8" ht="15" x14ac:dyDescent="0.25">
      <c r="C1582"/>
      <c r="D1582"/>
      <c r="E1582"/>
      <c r="F1582"/>
      <c r="G1582"/>
      <c r="H1582"/>
    </row>
    <row r="1583" spans="3:8" ht="15" x14ac:dyDescent="0.25">
      <c r="C1583"/>
      <c r="D1583"/>
      <c r="E1583"/>
      <c r="F1583"/>
      <c r="G1583"/>
      <c r="H1583"/>
    </row>
    <row r="1584" spans="3:8" ht="15" x14ac:dyDescent="0.25">
      <c r="C1584"/>
      <c r="D1584"/>
      <c r="E1584"/>
      <c r="F1584"/>
      <c r="G1584"/>
      <c r="H1584"/>
    </row>
    <row r="1585" spans="3:8" ht="15" x14ac:dyDescent="0.25">
      <c r="C1585"/>
      <c r="D1585"/>
      <c r="E1585"/>
      <c r="F1585"/>
      <c r="G1585"/>
      <c r="H1585"/>
    </row>
    <row r="1586" spans="3:8" ht="15" x14ac:dyDescent="0.25">
      <c r="C1586"/>
      <c r="D1586"/>
      <c r="E1586"/>
      <c r="F1586"/>
      <c r="G1586"/>
      <c r="H1586"/>
    </row>
    <row r="1587" spans="3:8" ht="15" x14ac:dyDescent="0.25">
      <c r="C1587"/>
      <c r="D1587"/>
      <c r="E1587"/>
      <c r="F1587"/>
      <c r="G1587"/>
      <c r="H1587"/>
    </row>
    <row r="1588" spans="3:8" ht="15" x14ac:dyDescent="0.25">
      <c r="C1588"/>
      <c r="D1588"/>
      <c r="E1588"/>
      <c r="F1588"/>
      <c r="G1588"/>
      <c r="H1588"/>
    </row>
    <row r="1589" spans="3:8" ht="15" x14ac:dyDescent="0.25">
      <c r="C1589"/>
      <c r="D1589"/>
      <c r="E1589"/>
      <c r="F1589"/>
      <c r="G1589"/>
      <c r="H1589"/>
    </row>
    <row r="1590" spans="3:8" ht="15" x14ac:dyDescent="0.25">
      <c r="C1590"/>
      <c r="D1590"/>
      <c r="E1590"/>
      <c r="F1590"/>
      <c r="G1590"/>
      <c r="H1590"/>
    </row>
    <row r="1591" spans="3:8" ht="15" x14ac:dyDescent="0.25">
      <c r="C1591"/>
      <c r="D1591"/>
      <c r="E1591"/>
      <c r="F1591"/>
      <c r="G1591"/>
      <c r="H1591"/>
    </row>
    <row r="1592" spans="3:8" ht="15" x14ac:dyDescent="0.25">
      <c r="C1592"/>
      <c r="D1592"/>
      <c r="E1592"/>
      <c r="F1592"/>
      <c r="G1592"/>
      <c r="H1592"/>
    </row>
    <row r="1593" spans="3:8" ht="15" x14ac:dyDescent="0.25">
      <c r="C1593"/>
      <c r="D1593"/>
      <c r="E1593"/>
      <c r="F1593"/>
      <c r="G1593"/>
      <c r="H1593"/>
    </row>
    <row r="1594" spans="3:8" ht="15" x14ac:dyDescent="0.25">
      <c r="C1594"/>
      <c r="D1594"/>
      <c r="E1594"/>
      <c r="F1594"/>
      <c r="G1594"/>
      <c r="H1594"/>
    </row>
    <row r="1595" spans="3:8" ht="15" x14ac:dyDescent="0.25">
      <c r="C1595"/>
      <c r="D1595"/>
      <c r="E1595"/>
      <c r="F1595"/>
      <c r="G1595"/>
      <c r="H1595"/>
    </row>
    <row r="1596" spans="3:8" ht="15" x14ac:dyDescent="0.25">
      <c r="C1596"/>
      <c r="D1596"/>
      <c r="E1596"/>
      <c r="F1596"/>
      <c r="G1596"/>
      <c r="H1596"/>
    </row>
    <row r="1597" spans="3:8" ht="15" x14ac:dyDescent="0.25">
      <c r="C1597"/>
      <c r="D1597"/>
      <c r="E1597"/>
      <c r="F1597"/>
      <c r="G1597"/>
      <c r="H1597"/>
    </row>
    <row r="1598" spans="3:8" ht="15" x14ac:dyDescent="0.25">
      <c r="C1598"/>
      <c r="D1598"/>
      <c r="E1598"/>
      <c r="F1598"/>
      <c r="G1598"/>
      <c r="H1598"/>
    </row>
    <row r="1599" spans="3:8" ht="15" x14ac:dyDescent="0.25">
      <c r="C1599"/>
      <c r="D1599"/>
      <c r="E1599"/>
      <c r="F1599"/>
      <c r="G1599"/>
      <c r="H1599"/>
    </row>
    <row r="1600" spans="3:8" ht="15" x14ac:dyDescent="0.25">
      <c r="C1600"/>
      <c r="D1600"/>
      <c r="E1600"/>
      <c r="F1600"/>
      <c r="G1600"/>
      <c r="H1600"/>
    </row>
    <row r="1601" spans="3:8" ht="15" x14ac:dyDescent="0.25">
      <c r="C1601"/>
      <c r="D1601"/>
      <c r="E1601"/>
      <c r="F1601"/>
      <c r="G1601"/>
      <c r="H1601"/>
    </row>
    <row r="1602" spans="3:8" ht="15" x14ac:dyDescent="0.25">
      <c r="C1602"/>
      <c r="D1602"/>
      <c r="E1602"/>
      <c r="F1602"/>
      <c r="G1602"/>
      <c r="H1602"/>
    </row>
    <row r="1603" spans="3:8" ht="15" x14ac:dyDescent="0.25">
      <c r="C1603"/>
      <c r="D1603"/>
      <c r="E1603"/>
      <c r="F1603"/>
      <c r="G1603"/>
      <c r="H1603"/>
    </row>
    <row r="1604" spans="3:8" ht="15" x14ac:dyDescent="0.25">
      <c r="C1604"/>
      <c r="D1604"/>
      <c r="E1604"/>
      <c r="F1604"/>
      <c r="G1604"/>
      <c r="H1604"/>
    </row>
    <row r="1605" spans="3:8" ht="15" x14ac:dyDescent="0.25">
      <c r="C1605"/>
      <c r="D1605"/>
      <c r="E1605"/>
      <c r="F1605"/>
      <c r="G1605"/>
      <c r="H1605"/>
    </row>
    <row r="1606" spans="3:8" ht="15" x14ac:dyDescent="0.25">
      <c r="C1606"/>
      <c r="D1606"/>
      <c r="E1606"/>
      <c r="F1606"/>
      <c r="G1606"/>
      <c r="H1606"/>
    </row>
    <row r="1607" spans="3:8" ht="15" x14ac:dyDescent="0.25">
      <c r="C1607"/>
      <c r="D1607"/>
      <c r="E1607"/>
      <c r="F1607"/>
      <c r="G1607"/>
      <c r="H1607"/>
    </row>
    <row r="1608" spans="3:8" ht="15" x14ac:dyDescent="0.25">
      <c r="C1608"/>
      <c r="D1608"/>
      <c r="E1608"/>
      <c r="F1608"/>
      <c r="G1608"/>
      <c r="H1608"/>
    </row>
    <row r="1609" spans="3:8" ht="15" x14ac:dyDescent="0.25">
      <c r="C1609"/>
      <c r="D1609"/>
      <c r="E1609"/>
      <c r="F1609"/>
      <c r="G1609"/>
      <c r="H1609"/>
    </row>
    <row r="1610" spans="3:8" ht="15" x14ac:dyDescent="0.25">
      <c r="C1610"/>
      <c r="D1610"/>
      <c r="E1610"/>
      <c r="F1610"/>
      <c r="G1610"/>
      <c r="H1610"/>
    </row>
    <row r="1611" spans="3:8" ht="15" x14ac:dyDescent="0.25">
      <c r="C1611"/>
      <c r="D1611"/>
      <c r="E1611"/>
      <c r="F1611"/>
      <c r="G1611"/>
      <c r="H1611"/>
    </row>
    <row r="1612" spans="3:8" ht="15" x14ac:dyDescent="0.25">
      <c r="C1612"/>
      <c r="D1612"/>
      <c r="E1612"/>
      <c r="F1612"/>
      <c r="G1612"/>
      <c r="H1612"/>
    </row>
    <row r="1613" spans="3:8" ht="15" x14ac:dyDescent="0.25">
      <c r="C1613"/>
      <c r="D1613"/>
      <c r="E1613"/>
      <c r="F1613"/>
      <c r="G1613"/>
      <c r="H1613"/>
    </row>
    <row r="1614" spans="3:8" ht="15" x14ac:dyDescent="0.25">
      <c r="C1614"/>
      <c r="D1614"/>
      <c r="E1614"/>
      <c r="F1614"/>
      <c r="G1614"/>
      <c r="H1614"/>
    </row>
    <row r="1615" spans="3:8" ht="15" x14ac:dyDescent="0.25">
      <c r="C1615"/>
      <c r="D1615"/>
      <c r="E1615"/>
      <c r="F1615"/>
      <c r="G1615"/>
      <c r="H1615"/>
    </row>
    <row r="1616" spans="3:8" ht="15" x14ac:dyDescent="0.25">
      <c r="C1616"/>
      <c r="D1616"/>
      <c r="E1616"/>
      <c r="F1616"/>
      <c r="G1616"/>
      <c r="H1616"/>
    </row>
    <row r="1617" spans="3:8" ht="15" x14ac:dyDescent="0.25">
      <c r="C1617"/>
      <c r="D1617"/>
      <c r="E1617"/>
      <c r="F1617"/>
      <c r="G1617"/>
      <c r="H1617"/>
    </row>
    <row r="1618" spans="3:8" ht="15" x14ac:dyDescent="0.25">
      <c r="C1618"/>
      <c r="D1618"/>
      <c r="E1618"/>
      <c r="F1618"/>
      <c r="G1618"/>
      <c r="H1618"/>
    </row>
    <row r="1619" spans="3:8" ht="15" x14ac:dyDescent="0.25">
      <c r="C1619"/>
      <c r="D1619"/>
      <c r="E1619"/>
      <c r="F1619"/>
      <c r="G1619"/>
      <c r="H1619"/>
    </row>
    <row r="1620" spans="3:8" ht="15" x14ac:dyDescent="0.25">
      <c r="C1620"/>
      <c r="D1620"/>
      <c r="E1620"/>
      <c r="F1620"/>
      <c r="G1620"/>
      <c r="H1620"/>
    </row>
    <row r="1621" spans="3:8" ht="15" x14ac:dyDescent="0.25">
      <c r="C1621"/>
      <c r="D1621"/>
      <c r="E1621"/>
      <c r="F1621"/>
      <c r="G1621"/>
      <c r="H1621"/>
    </row>
    <row r="1622" spans="3:8" ht="15" x14ac:dyDescent="0.25">
      <c r="C1622"/>
      <c r="D1622"/>
      <c r="E1622"/>
      <c r="F1622"/>
      <c r="G1622"/>
      <c r="H1622"/>
    </row>
    <row r="1623" spans="3:8" ht="15" x14ac:dyDescent="0.25">
      <c r="C1623"/>
      <c r="D1623"/>
      <c r="E1623"/>
      <c r="F1623"/>
      <c r="G1623"/>
      <c r="H1623"/>
    </row>
    <row r="1624" spans="3:8" ht="15" x14ac:dyDescent="0.25">
      <c r="C1624"/>
      <c r="D1624"/>
      <c r="E1624"/>
      <c r="F1624"/>
      <c r="G1624"/>
      <c r="H1624"/>
    </row>
    <row r="1625" spans="3:8" ht="15" x14ac:dyDescent="0.25">
      <c r="C1625"/>
      <c r="D1625"/>
      <c r="E1625"/>
      <c r="F1625"/>
      <c r="G1625"/>
      <c r="H1625"/>
    </row>
    <row r="1626" spans="3:8" ht="15" x14ac:dyDescent="0.25">
      <c r="C1626"/>
      <c r="D1626"/>
      <c r="E1626"/>
      <c r="F1626"/>
      <c r="G1626"/>
      <c r="H1626"/>
    </row>
    <row r="1627" spans="3:8" ht="15" x14ac:dyDescent="0.25">
      <c r="C1627"/>
      <c r="D1627"/>
      <c r="E1627"/>
      <c r="F1627"/>
      <c r="G1627"/>
      <c r="H1627"/>
    </row>
    <row r="1628" spans="3:8" ht="15" x14ac:dyDescent="0.25">
      <c r="C1628"/>
      <c r="D1628"/>
      <c r="E1628"/>
      <c r="F1628"/>
      <c r="G1628"/>
      <c r="H1628"/>
    </row>
    <row r="1629" spans="3:8" ht="15" x14ac:dyDescent="0.25">
      <c r="C1629"/>
      <c r="D1629"/>
      <c r="E1629"/>
      <c r="F1629"/>
      <c r="G1629"/>
      <c r="H1629"/>
    </row>
    <row r="1630" spans="3:8" ht="15" x14ac:dyDescent="0.25">
      <c r="C1630"/>
      <c r="D1630"/>
      <c r="E1630"/>
      <c r="F1630"/>
      <c r="G1630"/>
      <c r="H1630"/>
    </row>
    <row r="1631" spans="3:8" ht="15" x14ac:dyDescent="0.25">
      <c r="C1631"/>
      <c r="D1631"/>
      <c r="E1631"/>
      <c r="F1631"/>
      <c r="G1631"/>
      <c r="H1631"/>
    </row>
    <row r="1632" spans="3:8" ht="15" x14ac:dyDescent="0.25">
      <c r="C1632"/>
      <c r="D1632"/>
      <c r="E1632"/>
      <c r="F1632"/>
      <c r="G1632"/>
      <c r="H1632"/>
    </row>
    <row r="1633" spans="3:8" ht="15" x14ac:dyDescent="0.25">
      <c r="C1633"/>
      <c r="D1633"/>
      <c r="E1633"/>
      <c r="F1633"/>
      <c r="G1633"/>
      <c r="H1633"/>
    </row>
    <row r="1634" spans="3:8" ht="15" x14ac:dyDescent="0.25">
      <c r="C1634"/>
      <c r="D1634"/>
      <c r="E1634"/>
      <c r="F1634"/>
      <c r="G1634"/>
      <c r="H1634"/>
    </row>
    <row r="1635" spans="3:8" ht="15" x14ac:dyDescent="0.25">
      <c r="C1635"/>
      <c r="D1635"/>
      <c r="E1635"/>
      <c r="F1635"/>
      <c r="G1635"/>
      <c r="H1635"/>
    </row>
    <row r="1636" spans="3:8" ht="15" x14ac:dyDescent="0.25">
      <c r="C1636"/>
      <c r="D1636"/>
      <c r="E1636"/>
      <c r="F1636"/>
      <c r="G1636"/>
      <c r="H1636"/>
    </row>
    <row r="1637" spans="3:8" ht="15" x14ac:dyDescent="0.25">
      <c r="C1637"/>
      <c r="D1637"/>
      <c r="E1637"/>
      <c r="F1637"/>
      <c r="G1637"/>
      <c r="H1637"/>
    </row>
    <row r="1638" spans="3:8" ht="15" x14ac:dyDescent="0.25">
      <c r="C1638"/>
      <c r="D1638"/>
      <c r="E1638"/>
      <c r="F1638"/>
      <c r="G1638"/>
      <c r="H1638"/>
    </row>
    <row r="1639" spans="3:8" ht="15" x14ac:dyDescent="0.25">
      <c r="C1639"/>
      <c r="D1639"/>
      <c r="E1639"/>
      <c r="F1639"/>
      <c r="G1639"/>
      <c r="H1639"/>
    </row>
    <row r="1640" spans="3:8" ht="15" x14ac:dyDescent="0.25">
      <c r="C1640"/>
      <c r="D1640"/>
      <c r="E1640"/>
      <c r="F1640"/>
      <c r="G1640"/>
      <c r="H1640"/>
    </row>
    <row r="1641" spans="3:8" ht="15" x14ac:dyDescent="0.25">
      <c r="C1641"/>
      <c r="D1641"/>
      <c r="E1641"/>
      <c r="F1641"/>
      <c r="G1641"/>
      <c r="H1641"/>
    </row>
    <row r="1642" spans="3:8" ht="15" x14ac:dyDescent="0.25">
      <c r="C1642"/>
      <c r="D1642"/>
      <c r="E1642"/>
      <c r="F1642"/>
      <c r="G1642"/>
      <c r="H1642"/>
    </row>
    <row r="1643" spans="3:8" ht="15" x14ac:dyDescent="0.25">
      <c r="C1643"/>
      <c r="D1643"/>
      <c r="E1643"/>
      <c r="F1643"/>
      <c r="G1643"/>
      <c r="H1643"/>
    </row>
    <row r="1644" spans="3:8" ht="15" x14ac:dyDescent="0.25">
      <c r="C1644"/>
      <c r="D1644"/>
      <c r="E1644"/>
      <c r="F1644"/>
      <c r="G1644"/>
      <c r="H1644"/>
    </row>
    <row r="1645" spans="3:8" ht="15" x14ac:dyDescent="0.25">
      <c r="C1645"/>
      <c r="D1645"/>
      <c r="E1645"/>
      <c r="F1645"/>
      <c r="G1645"/>
      <c r="H1645"/>
    </row>
    <row r="1646" spans="3:8" ht="15" x14ac:dyDescent="0.25">
      <c r="C1646"/>
      <c r="D1646"/>
      <c r="E1646"/>
      <c r="F1646"/>
      <c r="G1646"/>
      <c r="H1646"/>
    </row>
    <row r="1647" spans="3:8" ht="15" x14ac:dyDescent="0.25">
      <c r="C1647"/>
      <c r="D1647"/>
      <c r="E1647"/>
      <c r="F1647"/>
      <c r="G1647"/>
      <c r="H1647"/>
    </row>
    <row r="1648" spans="3:8" ht="15" x14ac:dyDescent="0.25">
      <c r="C1648"/>
      <c r="D1648"/>
      <c r="E1648"/>
      <c r="F1648"/>
      <c r="G1648"/>
      <c r="H1648"/>
    </row>
    <row r="1649" spans="3:8" ht="15" x14ac:dyDescent="0.25">
      <c r="C1649"/>
      <c r="D1649"/>
      <c r="E1649"/>
      <c r="F1649"/>
      <c r="G1649"/>
      <c r="H1649"/>
    </row>
    <row r="1650" spans="3:8" ht="15" x14ac:dyDescent="0.25">
      <c r="C1650"/>
      <c r="D1650"/>
      <c r="E1650"/>
      <c r="F1650"/>
      <c r="G1650"/>
      <c r="H1650"/>
    </row>
    <row r="1651" spans="3:8" ht="15" x14ac:dyDescent="0.25">
      <c r="C1651"/>
      <c r="D1651"/>
      <c r="E1651"/>
      <c r="F1651"/>
      <c r="G1651"/>
      <c r="H1651"/>
    </row>
    <row r="1652" spans="3:8" ht="15" x14ac:dyDescent="0.25">
      <c r="C1652"/>
      <c r="D1652"/>
      <c r="E1652"/>
      <c r="F1652"/>
      <c r="G1652"/>
      <c r="H1652"/>
    </row>
    <row r="1653" spans="3:8" ht="15" x14ac:dyDescent="0.25">
      <c r="C1653"/>
      <c r="D1653"/>
      <c r="E1653"/>
      <c r="F1653"/>
      <c r="G1653"/>
      <c r="H1653"/>
    </row>
    <row r="1654" spans="3:8" ht="15" x14ac:dyDescent="0.25">
      <c r="C1654"/>
      <c r="D1654"/>
      <c r="E1654"/>
      <c r="F1654"/>
      <c r="G1654"/>
      <c r="H1654"/>
    </row>
    <row r="1655" spans="3:8" ht="15" x14ac:dyDescent="0.25">
      <c r="C1655"/>
      <c r="D1655"/>
      <c r="E1655"/>
      <c r="F1655"/>
      <c r="G1655"/>
      <c r="H1655"/>
    </row>
    <row r="1656" spans="3:8" ht="15" x14ac:dyDescent="0.25">
      <c r="C1656"/>
      <c r="D1656"/>
      <c r="E1656"/>
      <c r="F1656"/>
      <c r="G1656"/>
      <c r="H1656"/>
    </row>
    <row r="1657" spans="3:8" ht="15" x14ac:dyDescent="0.25">
      <c r="C1657"/>
      <c r="D1657"/>
      <c r="E1657"/>
      <c r="F1657"/>
      <c r="G1657"/>
      <c r="H1657"/>
    </row>
    <row r="1658" spans="3:8" ht="15" x14ac:dyDescent="0.25">
      <c r="C1658"/>
      <c r="D1658"/>
      <c r="E1658"/>
      <c r="F1658"/>
      <c r="G1658"/>
      <c r="H1658"/>
    </row>
    <row r="1659" spans="3:8" ht="15" x14ac:dyDescent="0.25">
      <c r="C1659"/>
      <c r="D1659"/>
      <c r="E1659"/>
      <c r="F1659"/>
      <c r="G1659"/>
      <c r="H1659"/>
    </row>
    <row r="1660" spans="3:8" ht="15" x14ac:dyDescent="0.25">
      <c r="C1660"/>
      <c r="D1660"/>
      <c r="E1660"/>
      <c r="F1660"/>
      <c r="G1660"/>
      <c r="H1660"/>
    </row>
    <row r="1661" spans="3:8" ht="15" x14ac:dyDescent="0.25">
      <c r="C1661"/>
      <c r="D1661"/>
      <c r="E1661"/>
      <c r="F1661"/>
      <c r="G1661"/>
      <c r="H1661"/>
    </row>
    <row r="1662" spans="3:8" ht="15" x14ac:dyDescent="0.25">
      <c r="C1662"/>
      <c r="D1662"/>
      <c r="E1662"/>
      <c r="F1662"/>
      <c r="G1662"/>
      <c r="H1662"/>
    </row>
    <row r="1663" spans="3:8" ht="15" x14ac:dyDescent="0.25">
      <c r="C1663"/>
      <c r="D1663"/>
      <c r="E1663"/>
      <c r="F1663"/>
      <c r="G1663"/>
      <c r="H1663"/>
    </row>
    <row r="1664" spans="3:8" ht="15" x14ac:dyDescent="0.25">
      <c r="C1664"/>
      <c r="D1664"/>
      <c r="E1664"/>
      <c r="F1664"/>
      <c r="G1664"/>
      <c r="H1664"/>
    </row>
    <row r="1665" spans="3:8" ht="15" x14ac:dyDescent="0.25">
      <c r="C1665"/>
      <c r="D1665"/>
      <c r="E1665"/>
      <c r="F1665"/>
      <c r="G1665"/>
      <c r="H1665"/>
    </row>
    <row r="1666" spans="3:8" ht="15" x14ac:dyDescent="0.25">
      <c r="C1666"/>
      <c r="D1666"/>
      <c r="E1666"/>
      <c r="F1666"/>
      <c r="G1666"/>
      <c r="H1666"/>
    </row>
    <row r="1667" spans="3:8" ht="15" x14ac:dyDescent="0.25">
      <c r="C1667"/>
      <c r="D1667"/>
      <c r="E1667"/>
      <c r="F1667"/>
      <c r="G1667"/>
      <c r="H1667"/>
    </row>
    <row r="1668" spans="3:8" ht="15" x14ac:dyDescent="0.25">
      <c r="C1668"/>
      <c r="D1668"/>
      <c r="E1668"/>
      <c r="F1668"/>
      <c r="G1668"/>
      <c r="H1668"/>
    </row>
    <row r="1669" spans="3:8" ht="15" x14ac:dyDescent="0.25">
      <c r="C1669"/>
      <c r="D1669"/>
      <c r="E1669"/>
      <c r="F1669"/>
      <c r="G1669"/>
      <c r="H1669"/>
    </row>
    <row r="1670" spans="3:8" ht="15" x14ac:dyDescent="0.25">
      <c r="C1670"/>
      <c r="D1670"/>
      <c r="E1670"/>
      <c r="F1670"/>
      <c r="G1670"/>
      <c r="H1670"/>
    </row>
    <row r="1671" spans="3:8" ht="15" x14ac:dyDescent="0.25">
      <c r="C1671"/>
      <c r="D1671"/>
      <c r="E1671"/>
      <c r="F1671"/>
      <c r="G1671"/>
      <c r="H1671"/>
    </row>
    <row r="1672" spans="3:8" ht="15" x14ac:dyDescent="0.25">
      <c r="C1672"/>
      <c r="D1672"/>
      <c r="E1672"/>
      <c r="F1672"/>
      <c r="G1672"/>
      <c r="H1672"/>
    </row>
    <row r="1673" spans="3:8" ht="15" x14ac:dyDescent="0.25">
      <c r="C1673"/>
      <c r="D1673"/>
      <c r="E1673"/>
      <c r="F1673"/>
      <c r="G1673"/>
      <c r="H1673"/>
    </row>
    <row r="1674" spans="3:8" ht="15" x14ac:dyDescent="0.25">
      <c r="C1674"/>
      <c r="D1674"/>
      <c r="E1674"/>
      <c r="F1674"/>
      <c r="G1674"/>
      <c r="H1674"/>
    </row>
    <row r="1675" spans="3:8" ht="15" x14ac:dyDescent="0.25">
      <c r="C1675"/>
      <c r="D1675"/>
      <c r="E1675"/>
      <c r="F1675"/>
      <c r="G1675"/>
      <c r="H1675"/>
    </row>
    <row r="1676" spans="3:8" ht="15" x14ac:dyDescent="0.25">
      <c r="C1676"/>
      <c r="D1676"/>
      <c r="E1676"/>
      <c r="F1676"/>
      <c r="G1676"/>
      <c r="H1676"/>
    </row>
    <row r="1677" spans="3:8" ht="15" x14ac:dyDescent="0.25">
      <c r="C1677"/>
      <c r="D1677"/>
      <c r="E1677"/>
      <c r="F1677"/>
      <c r="G1677"/>
      <c r="H1677"/>
    </row>
    <row r="1678" spans="3:8" ht="15" x14ac:dyDescent="0.25">
      <c r="C1678"/>
      <c r="D1678"/>
      <c r="E1678"/>
      <c r="F1678"/>
      <c r="G1678"/>
      <c r="H1678"/>
    </row>
    <row r="1679" spans="3:8" ht="15" x14ac:dyDescent="0.25">
      <c r="C1679"/>
      <c r="D1679"/>
      <c r="E1679"/>
      <c r="F1679"/>
      <c r="G1679"/>
      <c r="H1679"/>
    </row>
    <row r="1680" spans="3:8" ht="15" x14ac:dyDescent="0.25">
      <c r="C1680"/>
      <c r="D1680"/>
      <c r="E1680"/>
      <c r="F1680"/>
      <c r="G1680"/>
      <c r="H1680"/>
    </row>
    <row r="1681" spans="3:8" ht="15" x14ac:dyDescent="0.25">
      <c r="C1681"/>
      <c r="D1681"/>
      <c r="E1681"/>
      <c r="F1681"/>
      <c r="G1681"/>
      <c r="H1681"/>
    </row>
    <row r="1682" spans="3:8" ht="15" x14ac:dyDescent="0.25">
      <c r="C1682"/>
      <c r="D1682"/>
      <c r="E1682"/>
      <c r="F1682"/>
      <c r="G1682"/>
      <c r="H1682"/>
    </row>
    <row r="1683" spans="3:8" ht="15" x14ac:dyDescent="0.25">
      <c r="C1683"/>
      <c r="D1683"/>
      <c r="E1683"/>
      <c r="F1683"/>
      <c r="G1683"/>
      <c r="H1683"/>
    </row>
    <row r="1684" spans="3:8" ht="15" x14ac:dyDescent="0.25">
      <c r="C1684"/>
      <c r="D1684"/>
      <c r="E1684"/>
      <c r="F1684"/>
      <c r="G1684"/>
      <c r="H1684"/>
    </row>
    <row r="1685" spans="3:8" ht="15" x14ac:dyDescent="0.25">
      <c r="C1685"/>
      <c r="D1685"/>
      <c r="E1685"/>
      <c r="F1685"/>
      <c r="G1685"/>
      <c r="H1685"/>
    </row>
    <row r="1686" spans="3:8" ht="15" x14ac:dyDescent="0.25">
      <c r="C1686"/>
      <c r="D1686"/>
      <c r="E1686"/>
      <c r="F1686"/>
      <c r="G1686"/>
      <c r="H1686"/>
    </row>
    <row r="1687" spans="3:8" ht="15" x14ac:dyDescent="0.25">
      <c r="C1687"/>
      <c r="D1687"/>
      <c r="E1687"/>
      <c r="F1687"/>
      <c r="G1687"/>
      <c r="H1687"/>
    </row>
    <row r="1688" spans="3:8" ht="15" x14ac:dyDescent="0.25">
      <c r="C1688"/>
      <c r="D1688"/>
      <c r="E1688"/>
      <c r="F1688"/>
      <c r="G1688"/>
      <c r="H1688"/>
    </row>
    <row r="1689" spans="3:8" ht="15" x14ac:dyDescent="0.25">
      <c r="C1689"/>
      <c r="D1689"/>
      <c r="E1689"/>
      <c r="F1689"/>
      <c r="G1689"/>
      <c r="H1689"/>
    </row>
    <row r="1690" spans="3:8" ht="15" x14ac:dyDescent="0.25">
      <c r="C1690"/>
      <c r="D1690"/>
      <c r="E1690"/>
      <c r="F1690"/>
      <c r="G1690"/>
      <c r="H1690"/>
    </row>
    <row r="1691" spans="3:8" ht="15" x14ac:dyDescent="0.25">
      <c r="C1691"/>
      <c r="D1691"/>
      <c r="E1691"/>
      <c r="F1691"/>
      <c r="G1691"/>
      <c r="H1691"/>
    </row>
    <row r="1692" spans="3:8" ht="15" x14ac:dyDescent="0.25">
      <c r="C1692"/>
      <c r="D1692"/>
      <c r="E1692"/>
      <c r="F1692"/>
      <c r="G1692"/>
      <c r="H1692"/>
    </row>
    <row r="1693" spans="3:8" ht="15" x14ac:dyDescent="0.25">
      <c r="C1693"/>
      <c r="D1693"/>
      <c r="E1693"/>
      <c r="F1693"/>
      <c r="G1693"/>
      <c r="H1693"/>
    </row>
    <row r="1694" spans="3:8" ht="15" x14ac:dyDescent="0.25">
      <c r="C1694"/>
      <c r="D1694"/>
      <c r="E1694"/>
      <c r="F1694"/>
      <c r="G1694"/>
      <c r="H1694"/>
    </row>
    <row r="1695" spans="3:8" ht="15" x14ac:dyDescent="0.25">
      <c r="C1695"/>
      <c r="D1695"/>
      <c r="E1695"/>
      <c r="F1695"/>
      <c r="G1695"/>
      <c r="H1695"/>
    </row>
    <row r="1696" spans="3:8" ht="15" x14ac:dyDescent="0.25">
      <c r="C1696"/>
      <c r="D1696"/>
      <c r="E1696"/>
      <c r="F1696"/>
      <c r="G1696"/>
      <c r="H1696"/>
    </row>
    <row r="1697" spans="3:8" ht="15" x14ac:dyDescent="0.25">
      <c r="C1697"/>
      <c r="D1697"/>
      <c r="E1697"/>
      <c r="F1697"/>
      <c r="G1697"/>
      <c r="H1697"/>
    </row>
    <row r="1698" spans="3:8" ht="15" x14ac:dyDescent="0.25">
      <c r="C1698"/>
      <c r="D1698"/>
      <c r="E1698"/>
      <c r="F1698"/>
      <c r="G1698"/>
      <c r="H1698"/>
    </row>
    <row r="1699" spans="3:8" ht="15" x14ac:dyDescent="0.25">
      <c r="C1699"/>
      <c r="D1699"/>
      <c r="E1699"/>
      <c r="F1699"/>
      <c r="G1699"/>
      <c r="H1699"/>
    </row>
    <row r="1700" spans="3:8" ht="15" x14ac:dyDescent="0.25">
      <c r="C1700"/>
      <c r="D1700"/>
      <c r="E1700"/>
      <c r="F1700"/>
      <c r="G1700"/>
      <c r="H1700"/>
    </row>
    <row r="1701" spans="3:8" ht="15" x14ac:dyDescent="0.25">
      <c r="C1701"/>
      <c r="D1701"/>
      <c r="E1701"/>
      <c r="F1701"/>
      <c r="G1701"/>
      <c r="H1701"/>
    </row>
    <row r="1702" spans="3:8" ht="15" x14ac:dyDescent="0.25">
      <c r="C1702"/>
      <c r="D1702"/>
      <c r="E1702"/>
      <c r="F1702"/>
      <c r="G1702"/>
      <c r="H1702"/>
    </row>
    <row r="1703" spans="3:8" ht="15" x14ac:dyDescent="0.25">
      <c r="C1703"/>
      <c r="D1703"/>
      <c r="E1703"/>
      <c r="F1703"/>
      <c r="G1703"/>
      <c r="H1703"/>
    </row>
    <row r="1704" spans="3:8" ht="15" x14ac:dyDescent="0.25">
      <c r="C1704"/>
      <c r="D1704"/>
      <c r="E1704"/>
      <c r="F1704"/>
      <c r="G1704"/>
      <c r="H1704"/>
    </row>
    <row r="1705" spans="3:8" ht="15" x14ac:dyDescent="0.25">
      <c r="C1705"/>
      <c r="D1705"/>
      <c r="E1705"/>
      <c r="F1705"/>
      <c r="G1705"/>
      <c r="H1705"/>
    </row>
    <row r="1706" spans="3:8" ht="15" x14ac:dyDescent="0.25">
      <c r="C1706"/>
      <c r="D1706"/>
      <c r="E1706"/>
      <c r="F1706"/>
      <c r="G1706"/>
      <c r="H1706"/>
    </row>
    <row r="1707" spans="3:8" ht="15" x14ac:dyDescent="0.25">
      <c r="C1707"/>
      <c r="D1707"/>
      <c r="E1707"/>
      <c r="F1707"/>
      <c r="G1707"/>
      <c r="H1707"/>
    </row>
    <row r="1708" spans="3:8" ht="15" x14ac:dyDescent="0.25">
      <c r="C1708"/>
      <c r="D1708"/>
      <c r="E1708"/>
      <c r="F1708"/>
      <c r="G1708"/>
      <c r="H1708"/>
    </row>
    <row r="1709" spans="3:8" ht="15" x14ac:dyDescent="0.25">
      <c r="C1709"/>
      <c r="D1709"/>
      <c r="E1709"/>
      <c r="F1709"/>
      <c r="G1709"/>
      <c r="H1709"/>
    </row>
    <row r="1710" spans="3:8" ht="15" x14ac:dyDescent="0.25">
      <c r="C1710"/>
      <c r="D1710"/>
      <c r="E1710"/>
      <c r="F1710"/>
      <c r="G1710"/>
      <c r="H1710"/>
    </row>
    <row r="1711" spans="3:8" ht="15" x14ac:dyDescent="0.25">
      <c r="C1711"/>
      <c r="D1711"/>
      <c r="E1711"/>
      <c r="F1711"/>
      <c r="G1711"/>
      <c r="H1711"/>
    </row>
    <row r="1712" spans="3:8" ht="15" x14ac:dyDescent="0.25">
      <c r="C1712"/>
      <c r="D1712"/>
      <c r="E1712"/>
      <c r="F1712"/>
      <c r="G1712"/>
      <c r="H1712"/>
    </row>
    <row r="1713" spans="3:8" ht="15" x14ac:dyDescent="0.25">
      <c r="C1713"/>
      <c r="D1713"/>
      <c r="E1713"/>
      <c r="F1713"/>
      <c r="G1713"/>
      <c r="H1713"/>
    </row>
    <row r="1714" spans="3:8" ht="15" x14ac:dyDescent="0.25">
      <c r="C1714"/>
      <c r="D1714"/>
      <c r="E1714"/>
      <c r="F1714"/>
      <c r="G1714"/>
      <c r="H1714"/>
    </row>
    <row r="1715" spans="3:8" ht="15" x14ac:dyDescent="0.25">
      <c r="C1715"/>
      <c r="D1715"/>
      <c r="E1715"/>
      <c r="F1715"/>
      <c r="G1715"/>
      <c r="H1715"/>
    </row>
    <row r="1716" spans="3:8" ht="15" x14ac:dyDescent="0.25">
      <c r="C1716"/>
      <c r="D1716"/>
      <c r="E1716"/>
      <c r="F1716"/>
      <c r="G1716"/>
      <c r="H1716"/>
    </row>
    <row r="1717" spans="3:8" ht="15" x14ac:dyDescent="0.25">
      <c r="C1717"/>
      <c r="D1717"/>
      <c r="E1717"/>
      <c r="F1717"/>
      <c r="G1717"/>
      <c r="H1717"/>
    </row>
    <row r="1718" spans="3:8" ht="15" x14ac:dyDescent="0.25">
      <c r="C1718"/>
      <c r="D1718"/>
      <c r="E1718"/>
      <c r="F1718"/>
      <c r="G1718"/>
      <c r="H1718"/>
    </row>
    <row r="1719" spans="3:8" ht="15" x14ac:dyDescent="0.25">
      <c r="C1719"/>
      <c r="D1719"/>
      <c r="E1719"/>
      <c r="F1719"/>
      <c r="G1719"/>
      <c r="H1719"/>
    </row>
    <row r="1720" spans="3:8" ht="15" x14ac:dyDescent="0.25">
      <c r="C1720"/>
      <c r="D1720"/>
      <c r="E1720"/>
      <c r="F1720"/>
      <c r="G1720"/>
      <c r="H1720"/>
    </row>
    <row r="1721" spans="3:8" ht="15" x14ac:dyDescent="0.25">
      <c r="C1721"/>
      <c r="D1721"/>
      <c r="E1721"/>
      <c r="F1721"/>
      <c r="G1721"/>
      <c r="H1721"/>
    </row>
  </sheetData>
  <autoFilter ref="J8:P8" xr:uid="{C3157FF3-9BD6-4B0C-9D00-500918F08362}"/>
  <mergeCells count="6">
    <mergeCell ref="F7:H7"/>
    <mergeCell ref="J7:L7"/>
    <mergeCell ref="N7:P7"/>
    <mergeCell ref="C1:P1"/>
    <mergeCell ref="C2:P2"/>
    <mergeCell ref="C3:P3"/>
  </mergeCells>
  <conditionalFormatting sqref="E8">
    <cfRule type="duplicateValues" dxfId="3" priority="1"/>
  </conditionalFormatting>
  <printOptions horizontalCentered="1"/>
  <pageMargins left="0.7" right="0.7" top="0.75" bottom="0.75" header="0.3" footer="0.3"/>
  <pageSetup paperSize="9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loadfileandCalc">
                <anchor moveWithCells="1" sizeWithCells="1">
                  <from>
                    <xdr:col>16</xdr:col>
                    <xdr:colOff>19050</xdr:colOff>
                    <xdr:row>0</xdr:row>
                    <xdr:rowOff>0</xdr:rowOff>
                  </from>
                  <to>
                    <xdr:col>17</xdr:col>
                    <xdr:colOff>28575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1C6DA-8D09-441C-8723-AF27A34DC4A0}">
  <sheetPr codeName="Sheet3"/>
  <dimension ref="A1:J171"/>
  <sheetViews>
    <sheetView workbookViewId="0">
      <pane xSplit="1" ySplit="2" topLeftCell="B152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5" x14ac:dyDescent="0.25"/>
  <cols>
    <col min="1" max="1" width="9.140625" style="35"/>
    <col min="2" max="2" width="14.140625" customWidth="1"/>
    <col min="3" max="3" width="26.5703125" bestFit="1" customWidth="1"/>
    <col min="4" max="4" width="9.140625" style="35"/>
    <col min="5" max="6" width="15.28515625" style="1" bestFit="1" customWidth="1"/>
    <col min="7" max="8" width="27.42578125" customWidth="1"/>
  </cols>
  <sheetData>
    <row r="1" spans="1:8" x14ac:dyDescent="0.25">
      <c r="A1" s="127" t="s">
        <v>436</v>
      </c>
      <c r="B1" s="127"/>
      <c r="C1" s="127"/>
      <c r="D1" s="127"/>
      <c r="E1" s="127"/>
      <c r="F1" s="127"/>
      <c r="G1" s="127"/>
      <c r="H1" s="127"/>
    </row>
    <row r="2" spans="1:8" x14ac:dyDescent="0.25">
      <c r="A2" s="33" t="s">
        <v>378</v>
      </c>
      <c r="B2" s="20" t="s">
        <v>283</v>
      </c>
      <c r="C2" s="20" t="s">
        <v>371</v>
      </c>
      <c r="D2" s="33" t="s">
        <v>144</v>
      </c>
      <c r="E2" s="21" t="s">
        <v>146</v>
      </c>
      <c r="F2" s="21" t="s">
        <v>140</v>
      </c>
      <c r="G2" s="20" t="s">
        <v>382</v>
      </c>
      <c r="H2" s="20" t="s">
        <v>128</v>
      </c>
    </row>
    <row r="3" spans="1:8" x14ac:dyDescent="0.25">
      <c r="A3" s="34">
        <v>1</v>
      </c>
      <c r="B3" s="18" t="s">
        <v>285</v>
      </c>
      <c r="C3" s="18" t="s">
        <v>168</v>
      </c>
      <c r="D3" s="34">
        <v>2</v>
      </c>
      <c r="E3" s="17">
        <v>4403977</v>
      </c>
      <c r="F3" s="17">
        <v>1321193</v>
      </c>
      <c r="G3" s="18" t="s">
        <v>303</v>
      </c>
      <c r="H3" s="99" t="s">
        <v>129</v>
      </c>
    </row>
    <row r="4" spans="1:8" x14ac:dyDescent="0.25">
      <c r="A4" s="34">
        <v>2</v>
      </c>
      <c r="B4" s="18" t="s">
        <v>285</v>
      </c>
      <c r="C4" s="18" t="s">
        <v>184</v>
      </c>
      <c r="D4" s="34">
        <v>24</v>
      </c>
      <c r="E4" s="17">
        <v>84048736</v>
      </c>
      <c r="F4" s="17">
        <v>25214622</v>
      </c>
      <c r="G4" s="18" t="s">
        <v>317</v>
      </c>
      <c r="H4" s="99" t="s">
        <v>129</v>
      </c>
    </row>
    <row r="5" spans="1:8" x14ac:dyDescent="0.25">
      <c r="A5" s="34">
        <v>3</v>
      </c>
      <c r="B5" s="18" t="s">
        <v>285</v>
      </c>
      <c r="C5" s="18" t="s">
        <v>185</v>
      </c>
      <c r="D5" s="34">
        <v>8</v>
      </c>
      <c r="E5" s="17">
        <v>43374690</v>
      </c>
      <c r="F5" s="17">
        <v>13012408</v>
      </c>
      <c r="G5" s="18" t="s">
        <v>317</v>
      </c>
      <c r="H5" s="99" t="s">
        <v>129</v>
      </c>
    </row>
    <row r="6" spans="1:8" x14ac:dyDescent="0.25">
      <c r="A6" s="34">
        <v>4</v>
      </c>
      <c r="B6" s="18" t="s">
        <v>285</v>
      </c>
      <c r="C6" s="18" t="s">
        <v>197</v>
      </c>
      <c r="D6" s="34">
        <v>2</v>
      </c>
      <c r="E6" s="17">
        <v>18886947</v>
      </c>
      <c r="F6" s="17">
        <v>5666084</v>
      </c>
      <c r="G6" s="18" t="s">
        <v>326</v>
      </c>
      <c r="H6" s="99" t="s">
        <v>129</v>
      </c>
    </row>
    <row r="7" spans="1:8" x14ac:dyDescent="0.25">
      <c r="A7" s="34">
        <v>5</v>
      </c>
      <c r="B7" s="18" t="s">
        <v>285</v>
      </c>
      <c r="C7" s="18" t="s">
        <v>200</v>
      </c>
      <c r="D7" s="34">
        <v>118</v>
      </c>
      <c r="E7" s="17">
        <v>21143246</v>
      </c>
      <c r="F7" s="17">
        <v>6342974</v>
      </c>
      <c r="G7" s="18" t="s">
        <v>326</v>
      </c>
      <c r="H7" s="99" t="s">
        <v>129</v>
      </c>
    </row>
    <row r="8" spans="1:8" x14ac:dyDescent="0.25">
      <c r="A8" s="34">
        <v>6</v>
      </c>
      <c r="B8" s="18" t="s">
        <v>285</v>
      </c>
      <c r="C8" s="18" t="s">
        <v>201</v>
      </c>
      <c r="D8" s="34">
        <v>2</v>
      </c>
      <c r="E8" s="17">
        <v>2692068</v>
      </c>
      <c r="F8" s="17">
        <v>807620</v>
      </c>
      <c r="G8" s="18" t="s">
        <v>292</v>
      </c>
      <c r="H8" s="99" t="s">
        <v>129</v>
      </c>
    </row>
    <row r="9" spans="1:8" x14ac:dyDescent="0.25">
      <c r="A9" s="34">
        <v>7</v>
      </c>
      <c r="B9" s="18" t="s">
        <v>285</v>
      </c>
      <c r="C9" s="18" t="s">
        <v>204</v>
      </c>
      <c r="D9" s="34">
        <v>12</v>
      </c>
      <c r="E9" s="17">
        <v>4000692</v>
      </c>
      <c r="F9" s="17">
        <v>1200207</v>
      </c>
      <c r="G9" s="18" t="s">
        <v>326</v>
      </c>
      <c r="H9" s="99" t="s">
        <v>129</v>
      </c>
    </row>
    <row r="10" spans="1:8" x14ac:dyDescent="0.25">
      <c r="A10" s="34">
        <v>8</v>
      </c>
      <c r="B10" s="18" t="s">
        <v>285</v>
      </c>
      <c r="C10" s="18" t="s">
        <v>205</v>
      </c>
      <c r="D10" s="34">
        <v>20</v>
      </c>
      <c r="E10" s="17">
        <v>26173620</v>
      </c>
      <c r="F10" s="17">
        <v>7852085</v>
      </c>
      <c r="G10" s="18" t="s">
        <v>326</v>
      </c>
      <c r="H10" s="99" t="s">
        <v>129</v>
      </c>
    </row>
    <row r="11" spans="1:8" x14ac:dyDescent="0.25">
      <c r="A11" s="34">
        <v>9</v>
      </c>
      <c r="B11" s="18" t="s">
        <v>285</v>
      </c>
      <c r="C11" s="18" t="s">
        <v>210</v>
      </c>
      <c r="D11" s="34">
        <v>1</v>
      </c>
      <c r="E11" s="17">
        <v>1181811</v>
      </c>
      <c r="F11" s="17">
        <v>354543</v>
      </c>
      <c r="G11" s="18" t="s">
        <v>326</v>
      </c>
      <c r="H11" s="99" t="s">
        <v>129</v>
      </c>
    </row>
    <row r="12" spans="1:8" x14ac:dyDescent="0.25">
      <c r="A12" s="34">
        <v>10</v>
      </c>
      <c r="B12" s="18" t="s">
        <v>285</v>
      </c>
      <c r="C12" s="18" t="s">
        <v>213</v>
      </c>
      <c r="D12" s="34">
        <v>2</v>
      </c>
      <c r="E12" s="17">
        <v>998702</v>
      </c>
      <c r="F12" s="17">
        <v>299610</v>
      </c>
      <c r="G12" s="18" t="s">
        <v>326</v>
      </c>
      <c r="H12" s="99" t="s">
        <v>129</v>
      </c>
    </row>
    <row r="13" spans="1:8" x14ac:dyDescent="0.25">
      <c r="A13" s="34">
        <v>11</v>
      </c>
      <c r="B13" s="18" t="s">
        <v>285</v>
      </c>
      <c r="C13" s="18" t="s">
        <v>220</v>
      </c>
      <c r="D13" s="34">
        <v>1</v>
      </c>
      <c r="E13" s="17">
        <v>91370561</v>
      </c>
      <c r="F13" s="17">
        <v>27411168</v>
      </c>
      <c r="G13" s="18" t="s">
        <v>337</v>
      </c>
      <c r="H13" s="99" t="s">
        <v>129</v>
      </c>
    </row>
    <row r="14" spans="1:8" x14ac:dyDescent="0.25">
      <c r="A14" s="34">
        <v>12</v>
      </c>
      <c r="B14" s="18" t="s">
        <v>285</v>
      </c>
      <c r="C14" s="18" t="s">
        <v>221</v>
      </c>
      <c r="D14" s="34">
        <v>6</v>
      </c>
      <c r="E14" s="17">
        <v>2235109</v>
      </c>
      <c r="F14" s="17">
        <v>670533</v>
      </c>
      <c r="G14" s="18" t="s">
        <v>326</v>
      </c>
      <c r="H14" s="99" t="s">
        <v>129</v>
      </c>
    </row>
    <row r="15" spans="1:8" x14ac:dyDescent="0.25">
      <c r="A15" s="34">
        <v>13</v>
      </c>
      <c r="B15" s="18" t="s">
        <v>285</v>
      </c>
      <c r="C15" s="18" t="s">
        <v>224</v>
      </c>
      <c r="D15" s="34">
        <v>1</v>
      </c>
      <c r="E15" s="17">
        <v>8741074</v>
      </c>
      <c r="F15" s="17">
        <v>2622322</v>
      </c>
      <c r="G15" s="18" t="s">
        <v>326</v>
      </c>
      <c r="H15" s="99" t="s">
        <v>129</v>
      </c>
    </row>
    <row r="16" spans="1:8" x14ac:dyDescent="0.25">
      <c r="A16" s="34">
        <v>14</v>
      </c>
      <c r="B16" s="18" t="s">
        <v>285</v>
      </c>
      <c r="C16" s="18" t="s">
        <v>225</v>
      </c>
      <c r="D16" s="34">
        <v>2</v>
      </c>
      <c r="E16" s="17">
        <v>416749</v>
      </c>
      <c r="F16" s="17">
        <v>125025</v>
      </c>
      <c r="G16" s="18" t="s">
        <v>320</v>
      </c>
      <c r="H16" s="99" t="s">
        <v>129</v>
      </c>
    </row>
    <row r="17" spans="1:8" x14ac:dyDescent="0.25">
      <c r="A17" s="34">
        <v>15</v>
      </c>
      <c r="B17" s="18" t="s">
        <v>285</v>
      </c>
      <c r="C17" s="18" t="s">
        <v>226</v>
      </c>
      <c r="D17" s="34">
        <v>1</v>
      </c>
      <c r="E17" s="17">
        <v>1149653</v>
      </c>
      <c r="F17" s="17">
        <v>344896</v>
      </c>
      <c r="G17" s="18" t="s">
        <v>315</v>
      </c>
      <c r="H17" s="99" t="s">
        <v>129</v>
      </c>
    </row>
    <row r="18" spans="1:8" x14ac:dyDescent="0.25">
      <c r="A18" s="34">
        <v>16</v>
      </c>
      <c r="B18" s="18" t="s">
        <v>285</v>
      </c>
      <c r="C18" s="18" t="s">
        <v>227</v>
      </c>
      <c r="D18" s="34">
        <v>6</v>
      </c>
      <c r="E18" s="17">
        <v>589092449</v>
      </c>
      <c r="F18" s="17">
        <v>176727735</v>
      </c>
      <c r="G18" s="18" t="s">
        <v>340</v>
      </c>
      <c r="H18" s="99" t="s">
        <v>129</v>
      </c>
    </row>
    <row r="19" spans="1:8" x14ac:dyDescent="0.25">
      <c r="A19" s="34">
        <v>17</v>
      </c>
      <c r="B19" s="18" t="s">
        <v>285</v>
      </c>
      <c r="C19" s="18" t="s">
        <v>234</v>
      </c>
      <c r="D19" s="34">
        <v>8</v>
      </c>
      <c r="E19" s="17">
        <v>3034994</v>
      </c>
      <c r="F19" s="17">
        <v>910498</v>
      </c>
      <c r="G19" s="18" t="s">
        <v>326</v>
      </c>
      <c r="H19" s="99" t="s">
        <v>129</v>
      </c>
    </row>
    <row r="20" spans="1:8" x14ac:dyDescent="0.25">
      <c r="A20" s="34">
        <v>18</v>
      </c>
      <c r="B20" s="18" t="s">
        <v>285</v>
      </c>
      <c r="C20" s="18" t="s">
        <v>238</v>
      </c>
      <c r="D20" s="34">
        <v>1</v>
      </c>
      <c r="E20" s="17">
        <v>35618058</v>
      </c>
      <c r="F20" s="17">
        <v>10685417</v>
      </c>
      <c r="G20" s="18" t="s">
        <v>348</v>
      </c>
      <c r="H20" s="99" t="s">
        <v>129</v>
      </c>
    </row>
    <row r="21" spans="1:8" x14ac:dyDescent="0.25">
      <c r="A21" s="34">
        <v>19</v>
      </c>
      <c r="B21" s="18" t="s">
        <v>285</v>
      </c>
      <c r="C21" s="18" t="s">
        <v>248</v>
      </c>
      <c r="D21" s="34">
        <v>6</v>
      </c>
      <c r="E21" s="17">
        <v>20321922</v>
      </c>
      <c r="F21" s="17">
        <v>6096575</v>
      </c>
      <c r="G21" s="18" t="s">
        <v>326</v>
      </c>
      <c r="H21" s="99" t="s">
        <v>129</v>
      </c>
    </row>
    <row r="22" spans="1:8" x14ac:dyDescent="0.25">
      <c r="A22" s="34">
        <v>20</v>
      </c>
      <c r="B22" s="18" t="s">
        <v>285</v>
      </c>
      <c r="C22" s="18" t="s">
        <v>259</v>
      </c>
      <c r="D22" s="34">
        <v>1</v>
      </c>
      <c r="E22" s="17">
        <v>17788789</v>
      </c>
      <c r="F22" s="17">
        <v>5336637</v>
      </c>
      <c r="G22" s="18" t="s">
        <v>359</v>
      </c>
      <c r="H22" s="99" t="s">
        <v>129</v>
      </c>
    </row>
    <row r="23" spans="1:8" x14ac:dyDescent="0.25">
      <c r="A23" s="34">
        <v>21</v>
      </c>
      <c r="B23" s="18" t="s">
        <v>285</v>
      </c>
      <c r="C23" s="18" t="s">
        <v>262</v>
      </c>
      <c r="D23" s="34">
        <v>2</v>
      </c>
      <c r="E23" s="17">
        <v>6155349</v>
      </c>
      <c r="F23" s="17">
        <v>1846605</v>
      </c>
      <c r="G23" s="18" t="s">
        <v>326</v>
      </c>
      <c r="H23" s="99" t="s">
        <v>129</v>
      </c>
    </row>
    <row r="24" spans="1:8" x14ac:dyDescent="0.25">
      <c r="A24" s="34">
        <v>22</v>
      </c>
      <c r="B24" s="18" t="s">
        <v>285</v>
      </c>
      <c r="C24" s="18" t="s">
        <v>264</v>
      </c>
      <c r="D24" s="34">
        <v>23</v>
      </c>
      <c r="E24" s="17">
        <v>472627185</v>
      </c>
      <c r="F24" s="17">
        <v>141788158</v>
      </c>
      <c r="G24" s="18" t="s">
        <v>362</v>
      </c>
      <c r="H24" s="99" t="s">
        <v>129</v>
      </c>
    </row>
    <row r="25" spans="1:8" x14ac:dyDescent="0.25">
      <c r="A25" s="34">
        <v>23</v>
      </c>
      <c r="B25" s="18" t="s">
        <v>285</v>
      </c>
      <c r="C25" s="18" t="s">
        <v>272</v>
      </c>
      <c r="D25" s="34">
        <v>1</v>
      </c>
      <c r="E25" s="17">
        <v>25163317</v>
      </c>
      <c r="F25" s="17">
        <v>7548995</v>
      </c>
      <c r="G25" s="18" t="s">
        <v>369</v>
      </c>
      <c r="H25" s="99" t="s">
        <v>129</v>
      </c>
    </row>
    <row r="26" spans="1:8" x14ac:dyDescent="0.25">
      <c r="A26" s="34">
        <v>24</v>
      </c>
      <c r="B26" s="18" t="s">
        <v>285</v>
      </c>
      <c r="C26" s="18" t="s">
        <v>274</v>
      </c>
      <c r="D26" s="34">
        <v>4</v>
      </c>
      <c r="E26" s="17">
        <v>6389906</v>
      </c>
      <c r="F26" s="17">
        <v>1916972</v>
      </c>
      <c r="G26" s="18" t="s">
        <v>326</v>
      </c>
      <c r="H26" s="99" t="s">
        <v>129</v>
      </c>
    </row>
    <row r="27" spans="1:8" x14ac:dyDescent="0.25">
      <c r="A27" s="34">
        <v>25</v>
      </c>
      <c r="B27" s="18" t="s">
        <v>285</v>
      </c>
      <c r="C27" s="18" t="s">
        <v>277</v>
      </c>
      <c r="D27" s="34">
        <v>2</v>
      </c>
      <c r="E27" s="17">
        <v>6092477</v>
      </c>
      <c r="F27" s="17">
        <v>1827743</v>
      </c>
      <c r="G27" s="18" t="s">
        <v>308</v>
      </c>
      <c r="H27" s="99" t="s">
        <v>129</v>
      </c>
    </row>
    <row r="28" spans="1:8" x14ac:dyDescent="0.25">
      <c r="A28" s="34">
        <v>26</v>
      </c>
      <c r="B28" s="18" t="s">
        <v>285</v>
      </c>
      <c r="C28" s="18" t="s">
        <v>281</v>
      </c>
      <c r="D28" s="36">
        <v>1</v>
      </c>
      <c r="E28" s="38">
        <v>8115120</v>
      </c>
      <c r="F28" s="38">
        <v>2434541.8417320736</v>
      </c>
      <c r="G28" s="31" t="s">
        <v>375</v>
      </c>
      <c r="H28" s="99" t="s">
        <v>129</v>
      </c>
    </row>
    <row r="29" spans="1:8" x14ac:dyDescent="0.25">
      <c r="A29" s="34">
        <v>27</v>
      </c>
      <c r="B29" s="18" t="s">
        <v>285</v>
      </c>
      <c r="C29" s="18" t="s">
        <v>412</v>
      </c>
      <c r="D29" s="34">
        <v>6</v>
      </c>
      <c r="E29" s="17">
        <v>9105336</v>
      </c>
      <c r="F29" s="17">
        <v>2731600</v>
      </c>
      <c r="G29" s="18" t="s">
        <v>292</v>
      </c>
      <c r="H29" s="99" t="s">
        <v>129</v>
      </c>
    </row>
    <row r="30" spans="1:8" x14ac:dyDescent="0.25">
      <c r="A30" s="34">
        <v>28</v>
      </c>
      <c r="B30" s="18" t="s">
        <v>285</v>
      </c>
      <c r="C30" s="18" t="s">
        <v>413</v>
      </c>
      <c r="D30" s="34">
        <v>1</v>
      </c>
      <c r="E30" s="17">
        <v>42614678</v>
      </c>
      <c r="F30" s="17">
        <v>24290367</v>
      </c>
      <c r="G30" s="18" t="s">
        <v>427</v>
      </c>
      <c r="H30" s="99" t="s">
        <v>129</v>
      </c>
    </row>
    <row r="31" spans="1:8" x14ac:dyDescent="0.25">
      <c r="A31" s="34">
        <v>29</v>
      </c>
      <c r="B31" s="18" t="s">
        <v>285</v>
      </c>
      <c r="C31" s="18" t="s">
        <v>419</v>
      </c>
      <c r="D31" s="34">
        <v>1</v>
      </c>
      <c r="E31" s="17">
        <v>6830590</v>
      </c>
      <c r="F31" s="17">
        <v>2049177</v>
      </c>
      <c r="G31" s="18" t="s">
        <v>340</v>
      </c>
      <c r="H31" s="99" t="s">
        <v>129</v>
      </c>
    </row>
    <row r="32" spans="1:8" x14ac:dyDescent="0.25">
      <c r="A32" s="34">
        <v>30</v>
      </c>
      <c r="B32" s="18" t="s">
        <v>285</v>
      </c>
      <c r="C32" s="18" t="s">
        <v>423</v>
      </c>
      <c r="D32" s="34">
        <v>39</v>
      </c>
      <c r="E32" s="17">
        <v>20221116</v>
      </c>
      <c r="F32" s="17">
        <v>6066333</v>
      </c>
      <c r="G32" s="18" t="s">
        <v>432</v>
      </c>
      <c r="H32" s="99" t="s">
        <v>129</v>
      </c>
    </row>
    <row r="33" spans="1:8" x14ac:dyDescent="0.25">
      <c r="A33" s="34">
        <v>31</v>
      </c>
      <c r="B33" s="18" t="s">
        <v>285</v>
      </c>
      <c r="C33" s="18" t="s">
        <v>425</v>
      </c>
      <c r="D33" s="34">
        <v>4</v>
      </c>
      <c r="E33" s="17">
        <v>50851414</v>
      </c>
      <c r="F33" s="17">
        <v>15255425</v>
      </c>
      <c r="G33" s="18" t="s">
        <v>434</v>
      </c>
      <c r="H33" s="99" t="s">
        <v>129</v>
      </c>
    </row>
    <row r="34" spans="1:8" x14ac:dyDescent="0.25">
      <c r="A34" s="34">
        <v>32</v>
      </c>
      <c r="B34" s="18" t="s">
        <v>285</v>
      </c>
      <c r="C34" s="18" t="s">
        <v>468</v>
      </c>
      <c r="D34" s="34">
        <v>2</v>
      </c>
      <c r="E34" s="17">
        <v>3293397</v>
      </c>
      <c r="F34" s="17">
        <v>988018</v>
      </c>
      <c r="G34" s="18" t="s">
        <v>489</v>
      </c>
      <c r="H34" s="99" t="s">
        <v>129</v>
      </c>
    </row>
    <row r="35" spans="1:8" x14ac:dyDescent="0.25">
      <c r="A35" s="34">
        <v>33</v>
      </c>
      <c r="B35" s="18" t="s">
        <v>285</v>
      </c>
      <c r="C35" s="18" t="s">
        <v>469</v>
      </c>
      <c r="D35" s="34">
        <v>2</v>
      </c>
      <c r="E35" s="17">
        <v>67739955</v>
      </c>
      <c r="F35" s="17">
        <v>20321987</v>
      </c>
      <c r="G35" s="18" t="s">
        <v>490</v>
      </c>
      <c r="H35" s="99" t="s">
        <v>129</v>
      </c>
    </row>
    <row r="36" spans="1:8" x14ac:dyDescent="0.25">
      <c r="A36" s="34">
        <v>34</v>
      </c>
      <c r="B36" s="18" t="s">
        <v>285</v>
      </c>
      <c r="C36" s="18" t="s">
        <v>477</v>
      </c>
      <c r="D36" s="34">
        <v>5</v>
      </c>
      <c r="E36" s="17">
        <v>974993</v>
      </c>
      <c r="F36" s="17">
        <v>321748</v>
      </c>
      <c r="G36" s="18" t="s">
        <v>497</v>
      </c>
      <c r="H36" s="99" t="s">
        <v>129</v>
      </c>
    </row>
    <row r="37" spans="1:8" x14ac:dyDescent="0.25">
      <c r="A37" s="34">
        <v>35</v>
      </c>
      <c r="B37" s="18" t="s">
        <v>285</v>
      </c>
      <c r="C37" s="18" t="s">
        <v>478</v>
      </c>
      <c r="D37" s="34">
        <v>1</v>
      </c>
      <c r="E37" s="17">
        <v>206340728</v>
      </c>
      <c r="F37" s="17">
        <v>84599698</v>
      </c>
      <c r="G37" s="18" t="s">
        <v>498</v>
      </c>
      <c r="H37" s="99" t="s">
        <v>129</v>
      </c>
    </row>
    <row r="38" spans="1:8" x14ac:dyDescent="0.25">
      <c r="A38" s="34">
        <v>36</v>
      </c>
      <c r="B38" s="18" t="s">
        <v>285</v>
      </c>
      <c r="C38" s="18" t="s">
        <v>479</v>
      </c>
      <c r="D38" s="34">
        <v>1</v>
      </c>
      <c r="E38" s="17">
        <v>16576115</v>
      </c>
      <c r="F38" s="17">
        <v>4972835</v>
      </c>
      <c r="G38" s="18" t="s">
        <v>344</v>
      </c>
      <c r="H38" s="99" t="s">
        <v>129</v>
      </c>
    </row>
    <row r="39" spans="1:8" x14ac:dyDescent="0.25">
      <c r="A39" s="34">
        <v>37</v>
      </c>
      <c r="B39" s="18" t="s">
        <v>285</v>
      </c>
      <c r="C39" s="18" t="s">
        <v>480</v>
      </c>
      <c r="D39" s="34">
        <v>1</v>
      </c>
      <c r="E39" s="17">
        <v>35092154</v>
      </c>
      <c r="F39" s="17">
        <v>10527646</v>
      </c>
      <c r="G39" s="18" t="s">
        <v>348</v>
      </c>
      <c r="H39" s="99" t="s">
        <v>129</v>
      </c>
    </row>
    <row r="40" spans="1:8" x14ac:dyDescent="0.25">
      <c r="A40" s="34">
        <v>38</v>
      </c>
      <c r="B40" s="18" t="s">
        <v>285</v>
      </c>
      <c r="C40" s="18" t="s">
        <v>483</v>
      </c>
      <c r="D40" s="34">
        <v>1</v>
      </c>
      <c r="E40" s="17">
        <v>23561311</v>
      </c>
      <c r="F40" s="17">
        <v>11780655</v>
      </c>
      <c r="G40" s="18" t="s">
        <v>499</v>
      </c>
      <c r="H40" s="99" t="s">
        <v>129</v>
      </c>
    </row>
    <row r="41" spans="1:8" x14ac:dyDescent="0.25">
      <c r="A41" s="34">
        <v>39</v>
      </c>
      <c r="B41" s="18" t="s">
        <v>285</v>
      </c>
      <c r="C41" s="18" t="s">
        <v>484</v>
      </c>
      <c r="D41" s="34">
        <v>2</v>
      </c>
      <c r="E41" s="17">
        <v>10562738</v>
      </c>
      <c r="F41" s="17">
        <v>3168821</v>
      </c>
      <c r="G41" s="18" t="s">
        <v>500</v>
      </c>
      <c r="H41" s="99" t="s">
        <v>129</v>
      </c>
    </row>
    <row r="42" spans="1:8" x14ac:dyDescent="0.25">
      <c r="A42" s="34">
        <v>40</v>
      </c>
      <c r="B42" s="18" t="s">
        <v>285</v>
      </c>
      <c r="C42" s="18" t="s">
        <v>487</v>
      </c>
      <c r="D42" s="34">
        <v>3</v>
      </c>
      <c r="E42" s="17">
        <v>11735244</v>
      </c>
      <c r="F42" s="17">
        <v>3520573</v>
      </c>
      <c r="G42" s="18" t="s">
        <v>503</v>
      </c>
      <c r="H42" s="99" t="s">
        <v>129</v>
      </c>
    </row>
    <row r="43" spans="1:8" x14ac:dyDescent="0.25">
      <c r="A43" s="34">
        <v>41</v>
      </c>
      <c r="B43" s="18" t="s">
        <v>284</v>
      </c>
      <c r="C43" s="18" t="s">
        <v>151</v>
      </c>
      <c r="D43" s="34">
        <v>91340</v>
      </c>
      <c r="E43" s="17">
        <v>187977016</v>
      </c>
      <c r="F43" s="17">
        <v>93988500</v>
      </c>
      <c r="G43" s="18" t="s">
        <v>286</v>
      </c>
      <c r="H43" s="99" t="s">
        <v>129</v>
      </c>
    </row>
    <row r="44" spans="1:8" x14ac:dyDescent="0.25">
      <c r="A44" s="34">
        <v>42</v>
      </c>
      <c r="B44" s="18" t="s">
        <v>284</v>
      </c>
      <c r="C44" s="18" t="s">
        <v>152</v>
      </c>
      <c r="D44" s="34">
        <v>36</v>
      </c>
      <c r="E44" s="17">
        <v>479353</v>
      </c>
      <c r="F44" s="17">
        <v>209486</v>
      </c>
      <c r="G44" s="18" t="s">
        <v>287</v>
      </c>
      <c r="H44" s="99" t="s">
        <v>129</v>
      </c>
    </row>
    <row r="45" spans="1:8" x14ac:dyDescent="0.25">
      <c r="A45" s="34">
        <v>43</v>
      </c>
      <c r="B45" s="18" t="s">
        <v>284</v>
      </c>
      <c r="C45" s="18" t="s">
        <v>153</v>
      </c>
      <c r="D45" s="34">
        <v>4</v>
      </c>
      <c r="E45" s="17">
        <v>700981</v>
      </c>
      <c r="F45" s="17">
        <v>252991</v>
      </c>
      <c r="G45" s="18" t="s">
        <v>288</v>
      </c>
      <c r="H45" s="99" t="s">
        <v>129</v>
      </c>
    </row>
    <row r="46" spans="1:8" x14ac:dyDescent="0.25">
      <c r="A46" s="34">
        <v>44</v>
      </c>
      <c r="B46" s="18" t="s">
        <v>284</v>
      </c>
      <c r="C46" s="18" t="s">
        <v>154</v>
      </c>
      <c r="D46" s="34">
        <v>11</v>
      </c>
      <c r="E46" s="17">
        <v>1466447</v>
      </c>
      <c r="F46" s="17">
        <v>676260</v>
      </c>
      <c r="G46" s="18" t="s">
        <v>289</v>
      </c>
      <c r="H46" s="99" t="s">
        <v>129</v>
      </c>
    </row>
    <row r="47" spans="1:8" x14ac:dyDescent="0.25">
      <c r="A47" s="34">
        <v>45</v>
      </c>
      <c r="B47" s="18" t="s">
        <v>284</v>
      </c>
      <c r="C47" s="18" t="s">
        <v>155</v>
      </c>
      <c r="D47" s="34">
        <v>252</v>
      </c>
      <c r="E47" s="17">
        <v>268358440</v>
      </c>
      <c r="F47" s="17">
        <v>122997620</v>
      </c>
      <c r="G47" s="18" t="s">
        <v>290</v>
      </c>
      <c r="H47" s="99" t="s">
        <v>129</v>
      </c>
    </row>
    <row r="48" spans="1:8" x14ac:dyDescent="0.25">
      <c r="A48" s="34">
        <v>46</v>
      </c>
      <c r="B48" s="18" t="s">
        <v>284</v>
      </c>
      <c r="C48" s="18" t="s">
        <v>156</v>
      </c>
      <c r="D48" s="34">
        <v>1</v>
      </c>
      <c r="E48" s="17">
        <v>1543294</v>
      </c>
      <c r="F48" s="17">
        <v>509287</v>
      </c>
      <c r="G48" s="18" t="s">
        <v>291</v>
      </c>
      <c r="H48" s="99" t="s">
        <v>129</v>
      </c>
    </row>
    <row r="49" spans="1:8" x14ac:dyDescent="0.25">
      <c r="A49" s="34">
        <v>47</v>
      </c>
      <c r="B49" s="18" t="s">
        <v>284</v>
      </c>
      <c r="C49" s="18" t="s">
        <v>157</v>
      </c>
      <c r="D49" s="34">
        <v>1</v>
      </c>
      <c r="E49" s="17">
        <v>1350134</v>
      </c>
      <c r="F49" s="17">
        <v>405040</v>
      </c>
      <c r="G49" s="18" t="s">
        <v>292</v>
      </c>
      <c r="H49" s="99" t="s">
        <v>129</v>
      </c>
    </row>
    <row r="50" spans="1:8" x14ac:dyDescent="0.25">
      <c r="A50" s="34">
        <v>48</v>
      </c>
      <c r="B50" s="18" t="s">
        <v>284</v>
      </c>
      <c r="C50" s="18" t="s">
        <v>158</v>
      </c>
      <c r="D50" s="34">
        <v>144</v>
      </c>
      <c r="E50" s="17">
        <v>4675297</v>
      </c>
      <c r="F50" s="17">
        <v>1631159</v>
      </c>
      <c r="G50" s="18" t="s">
        <v>293</v>
      </c>
      <c r="H50" s="99" t="s">
        <v>129</v>
      </c>
    </row>
    <row r="51" spans="1:8" x14ac:dyDescent="0.25">
      <c r="A51" s="34">
        <v>49</v>
      </c>
      <c r="B51" s="18" t="s">
        <v>284</v>
      </c>
      <c r="C51" s="18" t="s">
        <v>159</v>
      </c>
      <c r="D51" s="34">
        <v>1</v>
      </c>
      <c r="E51" s="17">
        <v>177148</v>
      </c>
      <c r="F51" s="17">
        <v>72631</v>
      </c>
      <c r="G51" s="18" t="s">
        <v>294</v>
      </c>
      <c r="H51" s="99" t="s">
        <v>129</v>
      </c>
    </row>
    <row r="52" spans="1:8" x14ac:dyDescent="0.25">
      <c r="A52" s="34">
        <v>50</v>
      </c>
      <c r="B52" s="18" t="s">
        <v>284</v>
      </c>
      <c r="C52" s="18" t="s">
        <v>160</v>
      </c>
      <c r="D52" s="34">
        <v>39</v>
      </c>
      <c r="E52" s="17">
        <v>5999010</v>
      </c>
      <c r="F52" s="17">
        <v>2586195</v>
      </c>
      <c r="G52" s="18" t="s">
        <v>295</v>
      </c>
      <c r="H52" s="99" t="s">
        <v>129</v>
      </c>
    </row>
    <row r="53" spans="1:8" x14ac:dyDescent="0.25">
      <c r="A53" s="34">
        <v>51</v>
      </c>
      <c r="B53" s="18" t="s">
        <v>284</v>
      </c>
      <c r="C53" s="18" t="s">
        <v>161</v>
      </c>
      <c r="D53" s="34">
        <v>100</v>
      </c>
      <c r="E53" s="17">
        <v>1574633</v>
      </c>
      <c r="F53" s="17">
        <v>472390</v>
      </c>
      <c r="G53" s="18" t="s">
        <v>296</v>
      </c>
      <c r="H53" s="99" t="s">
        <v>129</v>
      </c>
    </row>
    <row r="54" spans="1:8" x14ac:dyDescent="0.25">
      <c r="A54" s="34">
        <v>52</v>
      </c>
      <c r="B54" s="18" t="s">
        <v>284</v>
      </c>
      <c r="C54" s="18" t="s">
        <v>162</v>
      </c>
      <c r="D54" s="34">
        <v>2</v>
      </c>
      <c r="E54" s="17">
        <v>198708</v>
      </c>
      <c r="F54" s="17">
        <v>89556</v>
      </c>
      <c r="G54" s="18" t="s">
        <v>297</v>
      </c>
      <c r="H54" s="99" t="s">
        <v>129</v>
      </c>
    </row>
    <row r="55" spans="1:8" x14ac:dyDescent="0.25">
      <c r="A55" s="34">
        <v>53</v>
      </c>
      <c r="B55" s="18" t="s">
        <v>284</v>
      </c>
      <c r="C55" s="18" t="s">
        <v>163</v>
      </c>
      <c r="D55" s="34">
        <v>31</v>
      </c>
      <c r="E55" s="17">
        <v>3172127</v>
      </c>
      <c r="F55" s="17">
        <v>1066596</v>
      </c>
      <c r="G55" s="18" t="s">
        <v>298</v>
      </c>
      <c r="H55" s="99" t="s">
        <v>129</v>
      </c>
    </row>
    <row r="56" spans="1:8" x14ac:dyDescent="0.25">
      <c r="A56" s="34">
        <v>54</v>
      </c>
      <c r="B56" s="18" t="s">
        <v>284</v>
      </c>
      <c r="C56" s="18" t="s">
        <v>164</v>
      </c>
      <c r="D56" s="34">
        <v>17</v>
      </c>
      <c r="E56" s="17">
        <v>1245724</v>
      </c>
      <c r="F56" s="17">
        <v>573964</v>
      </c>
      <c r="G56" s="18" t="s">
        <v>299</v>
      </c>
      <c r="H56" s="99" t="s">
        <v>129</v>
      </c>
    </row>
    <row r="57" spans="1:8" x14ac:dyDescent="0.25">
      <c r="A57" s="34">
        <v>55</v>
      </c>
      <c r="B57" s="18" t="s">
        <v>284</v>
      </c>
      <c r="C57" s="18" t="s">
        <v>165</v>
      </c>
      <c r="D57" s="34">
        <v>2</v>
      </c>
      <c r="E57" s="17">
        <v>1302258</v>
      </c>
      <c r="F57" s="17">
        <v>651129</v>
      </c>
      <c r="G57" s="18" t="s">
        <v>300</v>
      </c>
      <c r="H57" s="99" t="s">
        <v>129</v>
      </c>
    </row>
    <row r="58" spans="1:8" x14ac:dyDescent="0.25">
      <c r="A58" s="34">
        <v>56</v>
      </c>
      <c r="B58" s="18" t="s">
        <v>284</v>
      </c>
      <c r="C58" s="18" t="s">
        <v>166</v>
      </c>
      <c r="D58" s="34">
        <v>68</v>
      </c>
      <c r="E58" s="17">
        <v>356255</v>
      </c>
      <c r="F58" s="17">
        <v>177159</v>
      </c>
      <c r="G58" s="18" t="s">
        <v>301</v>
      </c>
      <c r="H58" s="99" t="s">
        <v>129</v>
      </c>
    </row>
    <row r="59" spans="1:8" x14ac:dyDescent="0.25">
      <c r="A59" s="34">
        <v>57</v>
      </c>
      <c r="B59" s="18" t="s">
        <v>284</v>
      </c>
      <c r="C59" s="18" t="s">
        <v>167</v>
      </c>
      <c r="D59" s="34">
        <v>21</v>
      </c>
      <c r="E59" s="17">
        <v>2591468</v>
      </c>
      <c r="F59" s="17">
        <v>1257037</v>
      </c>
      <c r="G59" s="18" t="s">
        <v>302</v>
      </c>
      <c r="H59" s="99" t="s">
        <v>129</v>
      </c>
    </row>
    <row r="60" spans="1:8" x14ac:dyDescent="0.25">
      <c r="A60" s="34">
        <v>58</v>
      </c>
      <c r="B60" s="18" t="s">
        <v>284</v>
      </c>
      <c r="C60" s="18" t="s">
        <v>169</v>
      </c>
      <c r="D60" s="34">
        <v>4393</v>
      </c>
      <c r="E60" s="17">
        <v>2689011</v>
      </c>
      <c r="F60" s="17">
        <v>806703</v>
      </c>
      <c r="G60" s="18" t="s">
        <v>304</v>
      </c>
      <c r="H60" s="99" t="s">
        <v>129</v>
      </c>
    </row>
    <row r="61" spans="1:8" x14ac:dyDescent="0.25">
      <c r="A61" s="34">
        <v>59</v>
      </c>
      <c r="B61" s="18" t="s">
        <v>284</v>
      </c>
      <c r="C61" s="18" t="s">
        <v>170</v>
      </c>
      <c r="D61" s="34">
        <v>609858</v>
      </c>
      <c r="E61" s="17">
        <v>345369008</v>
      </c>
      <c r="F61" s="17">
        <v>158659861</v>
      </c>
      <c r="G61" s="18" t="s">
        <v>305</v>
      </c>
      <c r="H61" s="99" t="s">
        <v>129</v>
      </c>
    </row>
    <row r="62" spans="1:8" x14ac:dyDescent="0.25">
      <c r="A62" s="34">
        <v>60</v>
      </c>
      <c r="B62" s="18" t="s">
        <v>284</v>
      </c>
      <c r="C62" s="18" t="s">
        <v>171</v>
      </c>
      <c r="D62" s="34">
        <v>1</v>
      </c>
      <c r="E62" s="17">
        <v>758359</v>
      </c>
      <c r="F62" s="17">
        <v>379180</v>
      </c>
      <c r="G62" s="18" t="s">
        <v>306</v>
      </c>
      <c r="H62" s="99" t="s">
        <v>129</v>
      </c>
    </row>
    <row r="63" spans="1:8" x14ac:dyDescent="0.25">
      <c r="A63" s="34">
        <v>61</v>
      </c>
      <c r="B63" s="18" t="s">
        <v>284</v>
      </c>
      <c r="C63" s="18" t="s">
        <v>172</v>
      </c>
      <c r="D63" s="34">
        <v>120</v>
      </c>
      <c r="E63" s="17">
        <v>758034</v>
      </c>
      <c r="F63" s="17">
        <v>331136</v>
      </c>
      <c r="G63" s="18" t="s">
        <v>307</v>
      </c>
      <c r="H63" s="99" t="s">
        <v>129</v>
      </c>
    </row>
    <row r="64" spans="1:8" x14ac:dyDescent="0.25">
      <c r="A64" s="34">
        <v>62</v>
      </c>
      <c r="B64" s="18" t="s">
        <v>284</v>
      </c>
      <c r="C64" s="18" t="s">
        <v>173</v>
      </c>
      <c r="D64" s="34">
        <v>6</v>
      </c>
      <c r="E64" s="17">
        <v>1005916</v>
      </c>
      <c r="F64" s="17">
        <v>301775</v>
      </c>
      <c r="G64" s="18" t="s">
        <v>308</v>
      </c>
      <c r="H64" s="99" t="s">
        <v>129</v>
      </c>
    </row>
    <row r="65" spans="1:8" x14ac:dyDescent="0.25">
      <c r="A65" s="34">
        <v>63</v>
      </c>
      <c r="B65" s="18" t="s">
        <v>284</v>
      </c>
      <c r="C65" s="18" t="s">
        <v>174</v>
      </c>
      <c r="D65" s="34">
        <v>1188</v>
      </c>
      <c r="E65" s="17">
        <v>6012453</v>
      </c>
      <c r="F65" s="17">
        <v>3006227</v>
      </c>
      <c r="G65" s="18" t="s">
        <v>309</v>
      </c>
      <c r="H65" s="99" t="s">
        <v>129</v>
      </c>
    </row>
    <row r="66" spans="1:8" x14ac:dyDescent="0.25">
      <c r="A66" s="34">
        <v>64</v>
      </c>
      <c r="B66" s="18" t="s">
        <v>284</v>
      </c>
      <c r="C66" s="18" t="s">
        <v>175</v>
      </c>
      <c r="D66" s="34">
        <v>1188</v>
      </c>
      <c r="E66" s="17">
        <v>6012489</v>
      </c>
      <c r="F66" s="17">
        <v>3006245</v>
      </c>
      <c r="G66" s="18" t="s">
        <v>309</v>
      </c>
      <c r="H66" s="99" t="s">
        <v>129</v>
      </c>
    </row>
    <row r="67" spans="1:8" x14ac:dyDescent="0.25">
      <c r="A67" s="34">
        <v>65</v>
      </c>
      <c r="B67" s="18" t="s">
        <v>284</v>
      </c>
      <c r="C67" s="18" t="s">
        <v>176</v>
      </c>
      <c r="D67" s="34">
        <v>27</v>
      </c>
      <c r="E67" s="17">
        <v>2266088</v>
      </c>
      <c r="F67" s="17">
        <v>1030027</v>
      </c>
      <c r="G67" s="18" t="s">
        <v>310</v>
      </c>
      <c r="H67" s="99" t="s">
        <v>129</v>
      </c>
    </row>
    <row r="68" spans="1:8" x14ac:dyDescent="0.25">
      <c r="A68" s="34">
        <v>66</v>
      </c>
      <c r="B68" s="18" t="s">
        <v>284</v>
      </c>
      <c r="C68" s="18" t="s">
        <v>177</v>
      </c>
      <c r="D68" s="34">
        <v>2</v>
      </c>
      <c r="E68" s="17">
        <v>1692940</v>
      </c>
      <c r="F68" s="17">
        <v>507881</v>
      </c>
      <c r="G68" s="18" t="s">
        <v>311</v>
      </c>
      <c r="H68" s="99" t="s">
        <v>129</v>
      </c>
    </row>
    <row r="69" spans="1:8" x14ac:dyDescent="0.25">
      <c r="A69" s="34">
        <v>67</v>
      </c>
      <c r="B69" s="18" t="s">
        <v>284</v>
      </c>
      <c r="C69" s="18" t="s">
        <v>178</v>
      </c>
      <c r="D69" s="34">
        <v>2</v>
      </c>
      <c r="E69" s="17">
        <v>2616783</v>
      </c>
      <c r="F69" s="17">
        <v>1218945</v>
      </c>
      <c r="G69" s="18" t="s">
        <v>312</v>
      </c>
      <c r="H69" s="99" t="s">
        <v>129</v>
      </c>
    </row>
    <row r="70" spans="1:8" x14ac:dyDescent="0.25">
      <c r="A70" s="34">
        <v>68</v>
      </c>
      <c r="B70" s="18" t="s">
        <v>284</v>
      </c>
      <c r="C70" s="18" t="s">
        <v>179</v>
      </c>
      <c r="D70" s="34">
        <v>97920</v>
      </c>
      <c r="E70" s="17">
        <v>408255068</v>
      </c>
      <c r="F70" s="17">
        <v>166544461</v>
      </c>
      <c r="G70" s="18" t="s">
        <v>313</v>
      </c>
      <c r="H70" s="99" t="s">
        <v>129</v>
      </c>
    </row>
    <row r="71" spans="1:8" x14ac:dyDescent="0.25">
      <c r="A71" s="34">
        <v>69</v>
      </c>
      <c r="B71" s="18" t="s">
        <v>284</v>
      </c>
      <c r="C71" s="18" t="s">
        <v>180</v>
      </c>
      <c r="D71" s="34">
        <v>1</v>
      </c>
      <c r="E71" s="17">
        <v>130851</v>
      </c>
      <c r="F71" s="17">
        <v>60191</v>
      </c>
      <c r="G71" s="18" t="s">
        <v>314</v>
      </c>
      <c r="H71" s="99" t="s">
        <v>129</v>
      </c>
    </row>
    <row r="72" spans="1:8" x14ac:dyDescent="0.25">
      <c r="A72" s="34">
        <v>70</v>
      </c>
      <c r="B72" s="18" t="s">
        <v>284</v>
      </c>
      <c r="C72" s="18" t="s">
        <v>181</v>
      </c>
      <c r="D72" s="34">
        <v>6</v>
      </c>
      <c r="E72" s="17">
        <v>1689139</v>
      </c>
      <c r="F72" s="17">
        <v>506742</v>
      </c>
      <c r="G72" s="18" t="s">
        <v>315</v>
      </c>
      <c r="H72" s="99" t="s">
        <v>129</v>
      </c>
    </row>
    <row r="73" spans="1:8" x14ac:dyDescent="0.25">
      <c r="A73" s="34">
        <v>71</v>
      </c>
      <c r="B73" s="18" t="s">
        <v>284</v>
      </c>
      <c r="C73" s="18" t="s">
        <v>182</v>
      </c>
      <c r="D73" s="34">
        <v>2</v>
      </c>
      <c r="E73" s="17">
        <v>1083052</v>
      </c>
      <c r="F73" s="17">
        <v>477760</v>
      </c>
      <c r="G73" s="18" t="s">
        <v>316</v>
      </c>
      <c r="H73" s="99" t="s">
        <v>129</v>
      </c>
    </row>
    <row r="74" spans="1:8" x14ac:dyDescent="0.25">
      <c r="A74" s="34">
        <v>72</v>
      </c>
      <c r="B74" s="18" t="s">
        <v>284</v>
      </c>
      <c r="C74" s="18" t="s">
        <v>183</v>
      </c>
      <c r="D74" s="34">
        <v>2</v>
      </c>
      <c r="E74" s="17">
        <v>557581</v>
      </c>
      <c r="F74" s="17">
        <v>228608</v>
      </c>
      <c r="G74" s="18" t="s">
        <v>294</v>
      </c>
      <c r="H74" s="99" t="s">
        <v>129</v>
      </c>
    </row>
    <row r="75" spans="1:8" x14ac:dyDescent="0.25">
      <c r="A75" s="34">
        <v>73</v>
      </c>
      <c r="B75" s="18" t="s">
        <v>284</v>
      </c>
      <c r="C75" s="18" t="s">
        <v>186</v>
      </c>
      <c r="D75" s="34">
        <v>1</v>
      </c>
      <c r="E75" s="17">
        <v>416868</v>
      </c>
      <c r="F75" s="17">
        <v>137566</v>
      </c>
      <c r="G75" s="18" t="s">
        <v>318</v>
      </c>
      <c r="H75" s="99" t="s">
        <v>129</v>
      </c>
    </row>
    <row r="76" spans="1:8" x14ac:dyDescent="0.25">
      <c r="A76" s="34">
        <v>74</v>
      </c>
      <c r="B76" s="18" t="s">
        <v>284</v>
      </c>
      <c r="C76" s="18" t="s">
        <v>187</v>
      </c>
      <c r="D76" s="34">
        <v>216</v>
      </c>
      <c r="E76" s="17">
        <v>511804</v>
      </c>
      <c r="F76" s="17">
        <v>235429</v>
      </c>
      <c r="G76" s="18" t="s">
        <v>319</v>
      </c>
      <c r="H76" s="99" t="s">
        <v>129</v>
      </c>
    </row>
    <row r="77" spans="1:8" x14ac:dyDescent="0.25">
      <c r="A77" s="34">
        <v>75</v>
      </c>
      <c r="B77" s="18" t="s">
        <v>284</v>
      </c>
      <c r="C77" s="18" t="s">
        <v>188</v>
      </c>
      <c r="D77" s="34">
        <v>2</v>
      </c>
      <c r="E77" s="17">
        <v>130450</v>
      </c>
      <c r="F77" s="17">
        <v>39135</v>
      </c>
      <c r="G77" s="18" t="s">
        <v>304</v>
      </c>
      <c r="H77" s="99" t="s">
        <v>129</v>
      </c>
    </row>
    <row r="78" spans="1:8" x14ac:dyDescent="0.25">
      <c r="A78" s="34">
        <v>76</v>
      </c>
      <c r="B78" s="18" t="s">
        <v>284</v>
      </c>
      <c r="C78" s="18" t="s">
        <v>189</v>
      </c>
      <c r="D78" s="34">
        <v>1</v>
      </c>
      <c r="E78" s="17">
        <v>205601</v>
      </c>
      <c r="F78" s="17">
        <v>61680</v>
      </c>
      <c r="G78" s="18" t="s">
        <v>320</v>
      </c>
      <c r="H78" s="99" t="s">
        <v>129</v>
      </c>
    </row>
    <row r="79" spans="1:8" x14ac:dyDescent="0.25">
      <c r="A79" s="34">
        <v>77</v>
      </c>
      <c r="B79" s="18" t="s">
        <v>284</v>
      </c>
      <c r="C79" s="18" t="s">
        <v>190</v>
      </c>
      <c r="D79" s="34">
        <v>1010</v>
      </c>
      <c r="E79" s="17">
        <v>44859406</v>
      </c>
      <c r="F79" s="17">
        <v>14122371</v>
      </c>
      <c r="G79" s="18" t="s">
        <v>321</v>
      </c>
      <c r="H79" s="99" t="s">
        <v>129</v>
      </c>
    </row>
    <row r="80" spans="1:8" x14ac:dyDescent="0.25">
      <c r="A80" s="34">
        <v>78</v>
      </c>
      <c r="B80" s="18" t="s">
        <v>284</v>
      </c>
      <c r="C80" s="18" t="s">
        <v>191</v>
      </c>
      <c r="D80" s="34">
        <v>31</v>
      </c>
      <c r="E80" s="17">
        <v>9672379</v>
      </c>
      <c r="F80" s="17">
        <v>4333989</v>
      </c>
      <c r="G80" s="18" t="s">
        <v>322</v>
      </c>
      <c r="H80" s="99" t="s">
        <v>129</v>
      </c>
    </row>
    <row r="81" spans="1:8" x14ac:dyDescent="0.25">
      <c r="A81" s="34">
        <v>79</v>
      </c>
      <c r="B81" s="18" t="s">
        <v>284</v>
      </c>
      <c r="C81" s="18" t="s">
        <v>192</v>
      </c>
      <c r="D81" s="34">
        <v>15</v>
      </c>
      <c r="E81" s="17">
        <v>11028022</v>
      </c>
      <c r="F81" s="17">
        <v>5370597</v>
      </c>
      <c r="G81" s="18" t="s">
        <v>323</v>
      </c>
      <c r="H81" s="99" t="s">
        <v>129</v>
      </c>
    </row>
    <row r="82" spans="1:8" x14ac:dyDescent="0.25">
      <c r="A82" s="34">
        <v>80</v>
      </c>
      <c r="B82" s="18" t="s">
        <v>284</v>
      </c>
      <c r="C82" s="18" t="s">
        <v>193</v>
      </c>
      <c r="D82" s="34">
        <v>1</v>
      </c>
      <c r="E82" s="17">
        <v>13406873</v>
      </c>
      <c r="F82" s="17">
        <v>5496818</v>
      </c>
      <c r="G82" s="18" t="s">
        <v>294</v>
      </c>
      <c r="H82" s="99" t="s">
        <v>129</v>
      </c>
    </row>
    <row r="83" spans="1:8" x14ac:dyDescent="0.25">
      <c r="A83" s="34">
        <v>81</v>
      </c>
      <c r="B83" s="18" t="s">
        <v>284</v>
      </c>
      <c r="C83" s="18" t="s">
        <v>194</v>
      </c>
      <c r="D83" s="34">
        <v>8100</v>
      </c>
      <c r="E83" s="17">
        <v>2014665</v>
      </c>
      <c r="F83" s="17">
        <v>783200</v>
      </c>
      <c r="G83" s="18" t="s">
        <v>324</v>
      </c>
      <c r="H83" s="99" t="s">
        <v>129</v>
      </c>
    </row>
    <row r="84" spans="1:8" x14ac:dyDescent="0.25">
      <c r="A84" s="34">
        <v>82</v>
      </c>
      <c r="B84" s="18" t="s">
        <v>284</v>
      </c>
      <c r="C84" s="18" t="s">
        <v>195</v>
      </c>
      <c r="D84" s="34">
        <v>24480</v>
      </c>
      <c r="E84" s="17">
        <v>161418978</v>
      </c>
      <c r="F84" s="17">
        <v>48425690</v>
      </c>
      <c r="G84" s="18" t="s">
        <v>311</v>
      </c>
      <c r="H84" s="99" t="s">
        <v>129</v>
      </c>
    </row>
    <row r="85" spans="1:8" x14ac:dyDescent="0.25">
      <c r="A85" s="34">
        <v>83</v>
      </c>
      <c r="B85" s="18" t="s">
        <v>284</v>
      </c>
      <c r="C85" s="18" t="s">
        <v>196</v>
      </c>
      <c r="D85" s="34">
        <v>14</v>
      </c>
      <c r="E85" s="17">
        <v>734242</v>
      </c>
      <c r="F85" s="17">
        <v>353864</v>
      </c>
      <c r="G85" s="18" t="s">
        <v>325</v>
      </c>
      <c r="H85" s="99" t="s">
        <v>129</v>
      </c>
    </row>
    <row r="86" spans="1:8" x14ac:dyDescent="0.25">
      <c r="A86" s="34">
        <v>84</v>
      </c>
      <c r="B86" s="18" t="s">
        <v>284</v>
      </c>
      <c r="C86" s="18" t="s">
        <v>198</v>
      </c>
      <c r="D86" s="34">
        <v>95</v>
      </c>
      <c r="E86" s="17">
        <v>4825190</v>
      </c>
      <c r="F86" s="17">
        <v>1978328</v>
      </c>
      <c r="G86" s="18" t="s">
        <v>327</v>
      </c>
      <c r="H86" s="99" t="s">
        <v>129</v>
      </c>
    </row>
    <row r="87" spans="1:8" x14ac:dyDescent="0.25">
      <c r="A87" s="34">
        <v>85</v>
      </c>
      <c r="B87" s="18" t="s">
        <v>284</v>
      </c>
      <c r="C87" s="18" t="s">
        <v>199</v>
      </c>
      <c r="D87" s="34">
        <v>48</v>
      </c>
      <c r="E87" s="17">
        <v>121902</v>
      </c>
      <c r="F87" s="17">
        <v>60950</v>
      </c>
      <c r="G87" s="18" t="s">
        <v>328</v>
      </c>
      <c r="H87" s="99" t="s">
        <v>129</v>
      </c>
    </row>
    <row r="88" spans="1:8" x14ac:dyDescent="0.25">
      <c r="A88" s="34">
        <v>86</v>
      </c>
      <c r="B88" s="18" t="s">
        <v>284</v>
      </c>
      <c r="C88" s="18" t="s">
        <v>202</v>
      </c>
      <c r="D88" s="34">
        <v>2</v>
      </c>
      <c r="E88" s="17">
        <v>3133717</v>
      </c>
      <c r="F88" s="17">
        <v>940115</v>
      </c>
      <c r="G88" s="18" t="s">
        <v>304</v>
      </c>
      <c r="H88" s="99" t="s">
        <v>129</v>
      </c>
    </row>
    <row r="89" spans="1:8" x14ac:dyDescent="0.25">
      <c r="A89" s="34">
        <v>87</v>
      </c>
      <c r="B89" s="18" t="s">
        <v>284</v>
      </c>
      <c r="C89" s="18" t="s">
        <v>203</v>
      </c>
      <c r="D89" s="34">
        <v>122</v>
      </c>
      <c r="E89" s="17">
        <v>3462229</v>
      </c>
      <c r="F89" s="17">
        <v>1459170</v>
      </c>
      <c r="G89" s="18" t="s">
        <v>329</v>
      </c>
      <c r="H89" s="99" t="s">
        <v>129</v>
      </c>
    </row>
    <row r="90" spans="1:8" x14ac:dyDescent="0.25">
      <c r="A90" s="34">
        <v>88</v>
      </c>
      <c r="B90" s="18" t="s">
        <v>284</v>
      </c>
      <c r="C90" s="18" t="s">
        <v>206</v>
      </c>
      <c r="D90" s="34">
        <v>17</v>
      </c>
      <c r="E90" s="17">
        <v>87666</v>
      </c>
      <c r="F90" s="17">
        <v>35943</v>
      </c>
      <c r="G90" s="18" t="s">
        <v>327</v>
      </c>
      <c r="H90" s="99" t="s">
        <v>129</v>
      </c>
    </row>
    <row r="91" spans="1:8" x14ac:dyDescent="0.25">
      <c r="A91" s="34">
        <v>89</v>
      </c>
      <c r="B91" s="18" t="s">
        <v>284</v>
      </c>
      <c r="C91" s="18" t="s">
        <v>207</v>
      </c>
      <c r="D91" s="34">
        <v>1003</v>
      </c>
      <c r="E91" s="17">
        <v>166151</v>
      </c>
      <c r="F91" s="17">
        <v>59131</v>
      </c>
      <c r="G91" s="18" t="s">
        <v>330</v>
      </c>
      <c r="H91" s="99" t="s">
        <v>129</v>
      </c>
    </row>
    <row r="92" spans="1:8" x14ac:dyDescent="0.25">
      <c r="A92" s="34">
        <v>90</v>
      </c>
      <c r="B92" s="18" t="s">
        <v>284</v>
      </c>
      <c r="C92" s="18" t="s">
        <v>208</v>
      </c>
      <c r="D92" s="34">
        <v>1</v>
      </c>
      <c r="E92" s="17">
        <v>1185886</v>
      </c>
      <c r="F92" s="17">
        <v>545507</v>
      </c>
      <c r="G92" s="18" t="s">
        <v>331</v>
      </c>
      <c r="H92" s="99" t="s">
        <v>129</v>
      </c>
    </row>
    <row r="93" spans="1:8" x14ac:dyDescent="0.25">
      <c r="A93" s="34">
        <v>91</v>
      </c>
      <c r="B93" s="18" t="s">
        <v>284</v>
      </c>
      <c r="C93" s="18" t="s">
        <v>209</v>
      </c>
      <c r="D93" s="34">
        <v>42000</v>
      </c>
      <c r="E93" s="17">
        <v>942836</v>
      </c>
      <c r="F93" s="17">
        <v>282850</v>
      </c>
      <c r="G93" s="18" t="s">
        <v>332</v>
      </c>
      <c r="H93" s="99" t="s">
        <v>129</v>
      </c>
    </row>
    <row r="94" spans="1:8" x14ac:dyDescent="0.25">
      <c r="A94" s="34">
        <v>92</v>
      </c>
      <c r="B94" s="18" t="s">
        <v>284</v>
      </c>
      <c r="C94" s="18" t="s">
        <v>211</v>
      </c>
      <c r="D94" s="34">
        <v>2</v>
      </c>
      <c r="E94" s="17">
        <v>1264503</v>
      </c>
      <c r="F94" s="17">
        <v>581671</v>
      </c>
      <c r="G94" s="18" t="s">
        <v>314</v>
      </c>
      <c r="H94" s="99" t="s">
        <v>129</v>
      </c>
    </row>
    <row r="95" spans="1:8" x14ac:dyDescent="0.25">
      <c r="A95" s="34">
        <v>93</v>
      </c>
      <c r="B95" s="18" t="s">
        <v>284</v>
      </c>
      <c r="C95" s="18" t="s">
        <v>212</v>
      </c>
      <c r="D95" s="34">
        <v>22</v>
      </c>
      <c r="E95" s="17">
        <v>1478035</v>
      </c>
      <c r="F95" s="17">
        <v>718750</v>
      </c>
      <c r="G95" s="18" t="s">
        <v>333</v>
      </c>
      <c r="H95" s="99" t="s">
        <v>129</v>
      </c>
    </row>
    <row r="96" spans="1:8" x14ac:dyDescent="0.25">
      <c r="A96" s="34">
        <v>94</v>
      </c>
      <c r="B96" s="18" t="s">
        <v>284</v>
      </c>
      <c r="C96" s="18" t="s">
        <v>214</v>
      </c>
      <c r="D96" s="34">
        <v>1</v>
      </c>
      <c r="E96" s="17">
        <v>534005</v>
      </c>
      <c r="F96" s="17">
        <v>160202</v>
      </c>
      <c r="G96" s="18" t="s">
        <v>334</v>
      </c>
      <c r="H96" s="99" t="s">
        <v>129</v>
      </c>
    </row>
    <row r="97" spans="1:8" x14ac:dyDescent="0.25">
      <c r="A97" s="34">
        <v>95</v>
      </c>
      <c r="B97" s="18" t="s">
        <v>284</v>
      </c>
      <c r="C97" s="18" t="s">
        <v>215</v>
      </c>
      <c r="D97" s="34">
        <v>258</v>
      </c>
      <c r="E97" s="17">
        <v>6413724</v>
      </c>
      <c r="F97" s="17">
        <v>3190701</v>
      </c>
      <c r="G97" s="18" t="s">
        <v>335</v>
      </c>
      <c r="H97" s="99" t="s">
        <v>129</v>
      </c>
    </row>
    <row r="98" spans="1:8" x14ac:dyDescent="0.25">
      <c r="A98" s="34">
        <v>96</v>
      </c>
      <c r="B98" s="18" t="s">
        <v>284</v>
      </c>
      <c r="C98" s="18" t="s">
        <v>216</v>
      </c>
      <c r="D98" s="34">
        <v>12240</v>
      </c>
      <c r="E98" s="17">
        <v>65014630</v>
      </c>
      <c r="F98" s="17">
        <v>19504389</v>
      </c>
      <c r="G98" s="18" t="s">
        <v>311</v>
      </c>
      <c r="H98" s="99" t="s">
        <v>129</v>
      </c>
    </row>
    <row r="99" spans="1:8" x14ac:dyDescent="0.25">
      <c r="A99" s="34">
        <v>97</v>
      </c>
      <c r="B99" s="18" t="s">
        <v>284</v>
      </c>
      <c r="C99" s="18" t="s">
        <v>217</v>
      </c>
      <c r="D99" s="34">
        <v>300</v>
      </c>
      <c r="E99" s="17">
        <v>5257282</v>
      </c>
      <c r="F99" s="17">
        <v>2155486</v>
      </c>
      <c r="G99" s="18" t="s">
        <v>336</v>
      </c>
      <c r="H99" s="99" t="s">
        <v>129</v>
      </c>
    </row>
    <row r="100" spans="1:8" x14ac:dyDescent="0.25">
      <c r="A100" s="34">
        <v>98</v>
      </c>
      <c r="B100" s="18" t="s">
        <v>284</v>
      </c>
      <c r="C100" s="18" t="s">
        <v>218</v>
      </c>
      <c r="D100" s="34">
        <v>2</v>
      </c>
      <c r="E100" s="17">
        <v>1381068</v>
      </c>
      <c r="F100" s="17">
        <v>575230</v>
      </c>
      <c r="G100" s="18" t="s">
        <v>297</v>
      </c>
      <c r="H100" s="99" t="s">
        <v>129</v>
      </c>
    </row>
    <row r="101" spans="1:8" x14ac:dyDescent="0.25">
      <c r="A101" s="34">
        <v>99</v>
      </c>
      <c r="B101" s="18" t="s">
        <v>284</v>
      </c>
      <c r="C101" s="18" t="s">
        <v>219</v>
      </c>
      <c r="D101" s="34">
        <v>1</v>
      </c>
      <c r="E101" s="17">
        <v>764946</v>
      </c>
      <c r="F101" s="17">
        <v>313628</v>
      </c>
      <c r="G101" s="18" t="s">
        <v>294</v>
      </c>
      <c r="H101" s="99" t="s">
        <v>129</v>
      </c>
    </row>
    <row r="102" spans="1:8" x14ac:dyDescent="0.25">
      <c r="A102" s="34">
        <v>100</v>
      </c>
      <c r="B102" s="18" t="s">
        <v>284</v>
      </c>
      <c r="C102" s="18" t="s">
        <v>222</v>
      </c>
      <c r="D102" s="34">
        <v>2</v>
      </c>
      <c r="E102" s="17">
        <v>369238</v>
      </c>
      <c r="F102" s="17">
        <v>121849</v>
      </c>
      <c r="G102" s="18" t="s">
        <v>338</v>
      </c>
      <c r="H102" s="99" t="s">
        <v>129</v>
      </c>
    </row>
    <row r="103" spans="1:8" x14ac:dyDescent="0.25">
      <c r="A103" s="34">
        <v>101</v>
      </c>
      <c r="B103" s="18" t="s">
        <v>284</v>
      </c>
      <c r="C103" s="18" t="s">
        <v>223</v>
      </c>
      <c r="D103" s="34">
        <v>20</v>
      </c>
      <c r="E103" s="17">
        <v>1454686</v>
      </c>
      <c r="F103" s="17">
        <v>596420</v>
      </c>
      <c r="G103" s="18" t="s">
        <v>339</v>
      </c>
      <c r="H103" s="99" t="s">
        <v>129</v>
      </c>
    </row>
    <row r="104" spans="1:8" x14ac:dyDescent="0.25">
      <c r="A104" s="34">
        <v>102</v>
      </c>
      <c r="B104" s="18" t="s">
        <v>284</v>
      </c>
      <c r="C104" s="18" t="s">
        <v>228</v>
      </c>
      <c r="D104" s="34">
        <v>2</v>
      </c>
      <c r="E104" s="17">
        <v>118177</v>
      </c>
      <c r="F104" s="17">
        <v>59088</v>
      </c>
      <c r="G104" s="18" t="s">
        <v>300</v>
      </c>
      <c r="H104" s="99" t="s">
        <v>129</v>
      </c>
    </row>
    <row r="105" spans="1:8" x14ac:dyDescent="0.25">
      <c r="A105" s="34">
        <v>103</v>
      </c>
      <c r="B105" s="18" t="s">
        <v>284</v>
      </c>
      <c r="C105" s="18" t="s">
        <v>229</v>
      </c>
      <c r="D105" s="34">
        <v>1</v>
      </c>
      <c r="E105" s="17">
        <v>659211</v>
      </c>
      <c r="F105" s="17">
        <v>197763</v>
      </c>
      <c r="G105" s="18" t="s">
        <v>341</v>
      </c>
      <c r="H105" s="99" t="s">
        <v>129</v>
      </c>
    </row>
    <row r="106" spans="1:8" x14ac:dyDescent="0.25">
      <c r="A106" s="34">
        <v>104</v>
      </c>
      <c r="B106" s="18" t="s">
        <v>284</v>
      </c>
      <c r="C106" s="18" t="s">
        <v>230</v>
      </c>
      <c r="D106" s="34">
        <v>24</v>
      </c>
      <c r="E106" s="17">
        <v>458437</v>
      </c>
      <c r="F106" s="17">
        <v>137531</v>
      </c>
      <c r="G106" s="18" t="s">
        <v>342</v>
      </c>
      <c r="H106" s="99" t="s">
        <v>129</v>
      </c>
    </row>
    <row r="107" spans="1:8" x14ac:dyDescent="0.25">
      <c r="A107" s="34">
        <v>105</v>
      </c>
      <c r="B107" s="18" t="s">
        <v>284</v>
      </c>
      <c r="C107" s="18" t="s">
        <v>231</v>
      </c>
      <c r="D107" s="34">
        <v>1194</v>
      </c>
      <c r="E107" s="17">
        <v>4038127</v>
      </c>
      <c r="F107" s="17">
        <v>1332582</v>
      </c>
      <c r="G107" s="18" t="s">
        <v>343</v>
      </c>
      <c r="H107" s="99" t="s">
        <v>129</v>
      </c>
    </row>
    <row r="108" spans="1:8" x14ac:dyDescent="0.25">
      <c r="A108" s="34">
        <v>106</v>
      </c>
      <c r="B108" s="18" t="s">
        <v>284</v>
      </c>
      <c r="C108" s="18" t="s">
        <v>232</v>
      </c>
      <c r="D108" s="34">
        <v>1</v>
      </c>
      <c r="E108" s="17">
        <v>1538108</v>
      </c>
      <c r="F108" s="17">
        <v>461432</v>
      </c>
      <c r="G108" s="18" t="s">
        <v>344</v>
      </c>
      <c r="H108" s="99" t="s">
        <v>129</v>
      </c>
    </row>
    <row r="109" spans="1:8" x14ac:dyDescent="0.25">
      <c r="A109" s="34">
        <v>107</v>
      </c>
      <c r="B109" s="18" t="s">
        <v>284</v>
      </c>
      <c r="C109" s="18" t="s">
        <v>233</v>
      </c>
      <c r="D109" s="34">
        <v>5</v>
      </c>
      <c r="E109" s="17">
        <v>574498</v>
      </c>
      <c r="F109" s="17">
        <v>172349</v>
      </c>
      <c r="G109" s="18" t="s">
        <v>296</v>
      </c>
      <c r="H109" s="99" t="s">
        <v>129</v>
      </c>
    </row>
    <row r="110" spans="1:8" x14ac:dyDescent="0.25">
      <c r="A110" s="34">
        <v>108</v>
      </c>
      <c r="B110" s="18" t="s">
        <v>284</v>
      </c>
      <c r="C110" s="18" t="s">
        <v>235</v>
      </c>
      <c r="D110" s="34">
        <v>50</v>
      </c>
      <c r="E110" s="17">
        <v>287879</v>
      </c>
      <c r="F110" s="17">
        <v>143939</v>
      </c>
      <c r="G110" s="18" t="s">
        <v>345</v>
      </c>
      <c r="H110" s="99" t="s">
        <v>129</v>
      </c>
    </row>
    <row r="111" spans="1:8" x14ac:dyDescent="0.25">
      <c r="A111" s="34">
        <v>109</v>
      </c>
      <c r="B111" s="18" t="s">
        <v>284</v>
      </c>
      <c r="C111" s="18" t="s">
        <v>236</v>
      </c>
      <c r="D111" s="34">
        <v>123.8</v>
      </c>
      <c r="E111" s="17">
        <v>1983325</v>
      </c>
      <c r="F111" s="17">
        <v>594998</v>
      </c>
      <c r="G111" s="18" t="s">
        <v>346</v>
      </c>
      <c r="H111" s="99" t="s">
        <v>129</v>
      </c>
    </row>
    <row r="112" spans="1:8" x14ac:dyDescent="0.25">
      <c r="A112" s="34">
        <v>110</v>
      </c>
      <c r="B112" s="18" t="s">
        <v>284</v>
      </c>
      <c r="C112" s="18" t="s">
        <v>237</v>
      </c>
      <c r="D112" s="34">
        <v>1</v>
      </c>
      <c r="E112" s="17">
        <v>190253</v>
      </c>
      <c r="F112" s="17">
        <v>95127</v>
      </c>
      <c r="G112" s="18" t="s">
        <v>347</v>
      </c>
      <c r="H112" s="99" t="s">
        <v>129</v>
      </c>
    </row>
    <row r="113" spans="1:8" x14ac:dyDescent="0.25">
      <c r="A113" s="34">
        <v>111</v>
      </c>
      <c r="B113" s="18" t="s">
        <v>284</v>
      </c>
      <c r="C113" s="18" t="s">
        <v>239</v>
      </c>
      <c r="D113" s="34">
        <v>96</v>
      </c>
      <c r="E113" s="17">
        <v>6179520</v>
      </c>
      <c r="F113" s="17">
        <v>2866179</v>
      </c>
      <c r="G113" s="18" t="s">
        <v>349</v>
      </c>
      <c r="H113" s="99" t="s">
        <v>129</v>
      </c>
    </row>
    <row r="114" spans="1:8" x14ac:dyDescent="0.25">
      <c r="A114" s="34">
        <v>112</v>
      </c>
      <c r="B114" s="18" t="s">
        <v>284</v>
      </c>
      <c r="C114" s="18" t="s">
        <v>240</v>
      </c>
      <c r="D114" s="34">
        <v>1133</v>
      </c>
      <c r="E114" s="17">
        <v>26338387</v>
      </c>
      <c r="F114" s="17">
        <v>11725202</v>
      </c>
      <c r="G114" s="18" t="s">
        <v>350</v>
      </c>
      <c r="H114" s="99" t="s">
        <v>129</v>
      </c>
    </row>
    <row r="115" spans="1:8" x14ac:dyDescent="0.25">
      <c r="A115" s="34">
        <v>113</v>
      </c>
      <c r="B115" s="18" t="s">
        <v>284</v>
      </c>
      <c r="C115" s="18" t="s">
        <v>241</v>
      </c>
      <c r="D115" s="34">
        <v>199000</v>
      </c>
      <c r="E115" s="17">
        <v>19435137</v>
      </c>
      <c r="F115" s="17">
        <v>5962694</v>
      </c>
      <c r="G115" s="18" t="s">
        <v>351</v>
      </c>
      <c r="H115" s="99" t="s">
        <v>129</v>
      </c>
    </row>
    <row r="116" spans="1:8" x14ac:dyDescent="0.25">
      <c r="A116" s="34">
        <v>114</v>
      </c>
      <c r="B116" s="18" t="s">
        <v>284</v>
      </c>
      <c r="C116" s="18" t="s">
        <v>242</v>
      </c>
      <c r="D116" s="34">
        <v>42</v>
      </c>
      <c r="E116" s="17">
        <v>4170260</v>
      </c>
      <c r="F116" s="17">
        <v>1709806</v>
      </c>
      <c r="G116" s="18" t="s">
        <v>327</v>
      </c>
      <c r="H116" s="99" t="s">
        <v>129</v>
      </c>
    </row>
    <row r="117" spans="1:8" x14ac:dyDescent="0.25">
      <c r="A117" s="34">
        <v>115</v>
      </c>
      <c r="B117" s="18" t="s">
        <v>284</v>
      </c>
      <c r="C117" s="18" t="s">
        <v>243</v>
      </c>
      <c r="D117" s="34">
        <v>3</v>
      </c>
      <c r="E117" s="17">
        <v>6228324</v>
      </c>
      <c r="F117" s="17">
        <v>2865027</v>
      </c>
      <c r="G117" s="18" t="s">
        <v>314</v>
      </c>
      <c r="H117" s="99" t="s">
        <v>129</v>
      </c>
    </row>
    <row r="118" spans="1:8" x14ac:dyDescent="0.25">
      <c r="A118" s="34">
        <v>116</v>
      </c>
      <c r="B118" s="18" t="s">
        <v>284</v>
      </c>
      <c r="C118" s="18" t="s">
        <v>244</v>
      </c>
      <c r="D118" s="34">
        <v>1</v>
      </c>
      <c r="E118" s="17">
        <v>1525467</v>
      </c>
      <c r="F118" s="17">
        <v>625441</v>
      </c>
      <c r="G118" s="18" t="s">
        <v>294</v>
      </c>
      <c r="H118" s="99" t="s">
        <v>129</v>
      </c>
    </row>
    <row r="119" spans="1:8" x14ac:dyDescent="0.25">
      <c r="A119" s="34">
        <v>117</v>
      </c>
      <c r="B119" s="18" t="s">
        <v>284</v>
      </c>
      <c r="C119" s="18" t="s">
        <v>245</v>
      </c>
      <c r="D119" s="34">
        <v>34</v>
      </c>
      <c r="E119" s="17">
        <v>53965820</v>
      </c>
      <c r="F119" s="17">
        <v>24824267</v>
      </c>
      <c r="G119" s="18" t="s">
        <v>314</v>
      </c>
      <c r="H119" s="99" t="s">
        <v>129</v>
      </c>
    </row>
    <row r="120" spans="1:8" x14ac:dyDescent="0.25">
      <c r="A120" s="34">
        <v>118</v>
      </c>
      <c r="B120" s="18" t="s">
        <v>284</v>
      </c>
      <c r="C120" s="18" t="s">
        <v>246</v>
      </c>
      <c r="D120" s="34">
        <v>20</v>
      </c>
      <c r="E120" s="17">
        <v>2491569</v>
      </c>
      <c r="F120" s="17">
        <v>1245784</v>
      </c>
      <c r="G120" s="18" t="s">
        <v>306</v>
      </c>
      <c r="H120" s="99" t="s">
        <v>129</v>
      </c>
    </row>
    <row r="121" spans="1:8" x14ac:dyDescent="0.25">
      <c r="A121" s="34">
        <v>119</v>
      </c>
      <c r="B121" s="18" t="s">
        <v>284</v>
      </c>
      <c r="C121" s="18" t="s">
        <v>247</v>
      </c>
      <c r="D121" s="34">
        <v>1400</v>
      </c>
      <c r="E121" s="17">
        <v>32056290</v>
      </c>
      <c r="F121" s="17">
        <v>16028145</v>
      </c>
      <c r="G121" s="18" t="s">
        <v>352</v>
      </c>
      <c r="H121" s="99" t="s">
        <v>129</v>
      </c>
    </row>
    <row r="122" spans="1:8" x14ac:dyDescent="0.25">
      <c r="A122" s="34">
        <v>120</v>
      </c>
      <c r="B122" s="18" t="s">
        <v>284</v>
      </c>
      <c r="C122" s="18" t="s">
        <v>249</v>
      </c>
      <c r="D122" s="34">
        <v>68</v>
      </c>
      <c r="E122" s="17">
        <v>60010280</v>
      </c>
      <c r="F122" s="17">
        <v>27495204</v>
      </c>
      <c r="G122" s="18" t="s">
        <v>290</v>
      </c>
      <c r="H122" s="99" t="s">
        <v>129</v>
      </c>
    </row>
    <row r="123" spans="1:8" x14ac:dyDescent="0.25">
      <c r="A123" s="34">
        <v>121</v>
      </c>
      <c r="B123" s="18" t="s">
        <v>284</v>
      </c>
      <c r="C123" s="18" t="s">
        <v>250</v>
      </c>
      <c r="D123" s="34">
        <v>135</v>
      </c>
      <c r="E123" s="17">
        <v>880217</v>
      </c>
      <c r="F123" s="17">
        <v>373426</v>
      </c>
      <c r="G123" s="18" t="s">
        <v>353</v>
      </c>
      <c r="H123" s="99" t="s">
        <v>129</v>
      </c>
    </row>
    <row r="124" spans="1:8" x14ac:dyDescent="0.25">
      <c r="A124" s="34">
        <v>122</v>
      </c>
      <c r="B124" s="18" t="s">
        <v>284</v>
      </c>
      <c r="C124" s="18" t="s">
        <v>251</v>
      </c>
      <c r="D124" s="34">
        <v>4</v>
      </c>
      <c r="E124" s="17">
        <v>7527114</v>
      </c>
      <c r="F124" s="17">
        <v>2423154</v>
      </c>
      <c r="G124" s="18" t="s">
        <v>354</v>
      </c>
      <c r="H124" s="99" t="s">
        <v>129</v>
      </c>
    </row>
    <row r="125" spans="1:8" x14ac:dyDescent="0.25">
      <c r="A125" s="34">
        <v>123</v>
      </c>
      <c r="B125" s="18" t="s">
        <v>284</v>
      </c>
      <c r="C125" s="18" t="s">
        <v>252</v>
      </c>
      <c r="D125" s="34">
        <v>1</v>
      </c>
      <c r="E125" s="17">
        <v>2955229</v>
      </c>
      <c r="F125" s="17">
        <v>886568</v>
      </c>
      <c r="G125" s="18" t="s">
        <v>296</v>
      </c>
      <c r="H125" s="99" t="s">
        <v>129</v>
      </c>
    </row>
    <row r="126" spans="1:8" x14ac:dyDescent="0.25">
      <c r="A126" s="34">
        <v>124</v>
      </c>
      <c r="B126" s="18" t="s">
        <v>284</v>
      </c>
      <c r="C126" s="18" t="s">
        <v>253</v>
      </c>
      <c r="D126" s="34">
        <v>4</v>
      </c>
      <c r="E126" s="17">
        <v>58450</v>
      </c>
      <c r="F126" s="17">
        <v>29225</v>
      </c>
      <c r="G126" s="18" t="s">
        <v>355</v>
      </c>
      <c r="H126" s="99" t="s">
        <v>129</v>
      </c>
    </row>
    <row r="127" spans="1:8" x14ac:dyDescent="0.25">
      <c r="A127" s="34">
        <v>125</v>
      </c>
      <c r="B127" s="18" t="s">
        <v>284</v>
      </c>
      <c r="C127" s="18" t="s">
        <v>254</v>
      </c>
      <c r="D127" s="34">
        <v>600</v>
      </c>
      <c r="E127" s="17">
        <v>111196</v>
      </c>
      <c r="F127" s="17">
        <v>45591</v>
      </c>
      <c r="G127" s="18" t="s">
        <v>356</v>
      </c>
      <c r="H127" s="99" t="s">
        <v>129</v>
      </c>
    </row>
    <row r="128" spans="1:8" x14ac:dyDescent="0.25">
      <c r="A128" s="34">
        <v>126</v>
      </c>
      <c r="B128" s="18" t="s">
        <v>284</v>
      </c>
      <c r="C128" s="18" t="s">
        <v>255</v>
      </c>
      <c r="D128" s="34">
        <v>3</v>
      </c>
      <c r="E128" s="17">
        <v>1448399</v>
      </c>
      <c r="F128" s="17">
        <v>434520</v>
      </c>
      <c r="G128" s="18" t="s">
        <v>296</v>
      </c>
      <c r="H128" s="99" t="s">
        <v>129</v>
      </c>
    </row>
    <row r="129" spans="1:10" x14ac:dyDescent="0.25">
      <c r="A129" s="34">
        <v>127</v>
      </c>
      <c r="B129" s="18" t="s">
        <v>284</v>
      </c>
      <c r="C129" s="18" t="s">
        <v>256</v>
      </c>
      <c r="D129" s="34">
        <v>8</v>
      </c>
      <c r="E129" s="17">
        <v>714436</v>
      </c>
      <c r="F129" s="17">
        <v>334384</v>
      </c>
      <c r="G129" s="18" t="s">
        <v>357</v>
      </c>
      <c r="H129" s="99" t="s">
        <v>129</v>
      </c>
    </row>
    <row r="130" spans="1:10" x14ac:dyDescent="0.25">
      <c r="A130" s="34">
        <v>128</v>
      </c>
      <c r="B130" s="18" t="s">
        <v>284</v>
      </c>
      <c r="C130" s="18" t="s">
        <v>257</v>
      </c>
      <c r="D130" s="34">
        <v>16578</v>
      </c>
      <c r="E130" s="17">
        <v>1912446</v>
      </c>
      <c r="F130" s="17">
        <v>838959</v>
      </c>
      <c r="G130" s="18" t="s">
        <v>358</v>
      </c>
      <c r="H130" s="99" t="s">
        <v>129</v>
      </c>
    </row>
    <row r="131" spans="1:10" x14ac:dyDescent="0.25">
      <c r="A131" s="34">
        <v>129</v>
      </c>
      <c r="B131" s="18" t="s">
        <v>284</v>
      </c>
      <c r="C131" s="18" t="s">
        <v>258</v>
      </c>
      <c r="D131" s="34">
        <v>1</v>
      </c>
      <c r="E131" s="17">
        <v>727699</v>
      </c>
      <c r="F131" s="17">
        <v>298357</v>
      </c>
      <c r="G131" s="18" t="s">
        <v>327</v>
      </c>
      <c r="H131" s="99" t="s">
        <v>129</v>
      </c>
    </row>
    <row r="132" spans="1:10" x14ac:dyDescent="0.25">
      <c r="A132" s="34">
        <v>130</v>
      </c>
      <c r="B132" s="18" t="s">
        <v>284</v>
      </c>
      <c r="C132" s="18" t="s">
        <v>260</v>
      </c>
      <c r="D132" s="34">
        <v>2</v>
      </c>
      <c r="E132" s="17">
        <v>631251</v>
      </c>
      <c r="F132" s="17">
        <v>315625</v>
      </c>
      <c r="G132" s="18" t="s">
        <v>347</v>
      </c>
      <c r="H132" s="99" t="s">
        <v>129</v>
      </c>
    </row>
    <row r="133" spans="1:10" x14ac:dyDescent="0.25">
      <c r="A133" s="34">
        <v>131</v>
      </c>
      <c r="B133" s="18" t="s">
        <v>284</v>
      </c>
      <c r="C133" s="18" t="s">
        <v>261</v>
      </c>
      <c r="D133" s="34">
        <v>3000</v>
      </c>
      <c r="E133" s="17">
        <v>4452630</v>
      </c>
      <c r="F133" s="17">
        <v>1335789</v>
      </c>
      <c r="G133" s="18" t="s">
        <v>360</v>
      </c>
      <c r="H133" s="99" t="s">
        <v>129</v>
      </c>
    </row>
    <row r="134" spans="1:10" x14ac:dyDescent="0.25">
      <c r="A134" s="34">
        <v>132</v>
      </c>
      <c r="B134" s="18" t="s">
        <v>284</v>
      </c>
      <c r="C134" s="18" t="s">
        <v>263</v>
      </c>
      <c r="D134" s="34">
        <v>354</v>
      </c>
      <c r="E134" s="17">
        <v>30696678</v>
      </c>
      <c r="F134" s="17">
        <v>9821534</v>
      </c>
      <c r="G134" s="18" t="s">
        <v>361</v>
      </c>
      <c r="H134" s="99" t="s">
        <v>129</v>
      </c>
    </row>
    <row r="135" spans="1:10" x14ac:dyDescent="0.25">
      <c r="A135" s="34">
        <v>133</v>
      </c>
      <c r="B135" s="18" t="s">
        <v>284</v>
      </c>
      <c r="C135" s="18" t="s">
        <v>265</v>
      </c>
      <c r="D135" s="34">
        <v>156</v>
      </c>
      <c r="E135" s="17">
        <v>3351952</v>
      </c>
      <c r="F135" s="17">
        <v>1415720</v>
      </c>
      <c r="G135" s="18" t="s">
        <v>363</v>
      </c>
      <c r="H135" s="99" t="s">
        <v>129</v>
      </c>
    </row>
    <row r="136" spans="1:10" x14ac:dyDescent="0.25">
      <c r="A136" s="34">
        <v>134</v>
      </c>
      <c r="B136" s="18" t="s">
        <v>284</v>
      </c>
      <c r="C136" s="18" t="s">
        <v>266</v>
      </c>
      <c r="D136" s="34">
        <v>156600</v>
      </c>
      <c r="E136" s="17">
        <v>5930885</v>
      </c>
      <c r="F136" s="17">
        <v>2700565</v>
      </c>
      <c r="G136" s="18" t="s">
        <v>364</v>
      </c>
      <c r="H136" s="99" t="s">
        <v>129</v>
      </c>
    </row>
    <row r="137" spans="1:10" x14ac:dyDescent="0.25">
      <c r="A137" s="34">
        <v>135</v>
      </c>
      <c r="B137" s="18" t="s">
        <v>284</v>
      </c>
      <c r="C137" s="18" t="s">
        <v>267</v>
      </c>
      <c r="D137" s="34">
        <v>12</v>
      </c>
      <c r="E137" s="17">
        <v>7297032</v>
      </c>
      <c r="F137" s="17">
        <v>2189110</v>
      </c>
      <c r="G137" s="18" t="s">
        <v>342</v>
      </c>
      <c r="H137" s="99" t="s">
        <v>129</v>
      </c>
    </row>
    <row r="138" spans="1:10" x14ac:dyDescent="0.25">
      <c r="A138" s="34">
        <v>136</v>
      </c>
      <c r="B138" s="18" t="s">
        <v>284</v>
      </c>
      <c r="C138" s="18" t="s">
        <v>268</v>
      </c>
      <c r="D138" s="34">
        <v>12</v>
      </c>
      <c r="E138" s="17">
        <v>170612</v>
      </c>
      <c r="F138" s="17">
        <v>56301</v>
      </c>
      <c r="G138" s="18" t="s">
        <v>365</v>
      </c>
      <c r="H138" s="99" t="s">
        <v>129</v>
      </c>
    </row>
    <row r="139" spans="1:10" x14ac:dyDescent="0.25">
      <c r="A139" s="34">
        <v>137</v>
      </c>
      <c r="B139" s="18" t="s">
        <v>284</v>
      </c>
      <c r="C139" s="18" t="s">
        <v>269</v>
      </c>
      <c r="D139" s="34">
        <v>2160</v>
      </c>
      <c r="E139" s="17">
        <v>1708513</v>
      </c>
      <c r="F139" s="17">
        <v>854257</v>
      </c>
      <c r="G139" s="18" t="s">
        <v>366</v>
      </c>
      <c r="H139" s="99" t="s">
        <v>129</v>
      </c>
    </row>
    <row r="140" spans="1:10" x14ac:dyDescent="0.25">
      <c r="A140" s="34">
        <v>138</v>
      </c>
      <c r="B140" s="18" t="s">
        <v>284</v>
      </c>
      <c r="C140" s="18" t="s">
        <v>270</v>
      </c>
      <c r="D140" s="34">
        <v>4320</v>
      </c>
      <c r="E140" s="17">
        <v>37734202</v>
      </c>
      <c r="F140" s="17">
        <v>15037837</v>
      </c>
      <c r="G140" s="18" t="s">
        <v>367</v>
      </c>
      <c r="H140" s="99" t="s">
        <v>129</v>
      </c>
      <c r="I140" s="3"/>
      <c r="J140" s="3"/>
    </row>
    <row r="141" spans="1:10" x14ac:dyDescent="0.25">
      <c r="A141" s="34">
        <v>139</v>
      </c>
      <c r="B141" s="18" t="s">
        <v>284</v>
      </c>
      <c r="C141" s="18" t="s">
        <v>271</v>
      </c>
      <c r="D141" s="34">
        <v>9720</v>
      </c>
      <c r="E141" s="17">
        <v>21813229</v>
      </c>
      <c r="F141" s="17">
        <v>8293730</v>
      </c>
      <c r="G141" s="18" t="s">
        <v>368</v>
      </c>
      <c r="H141" s="99" t="s">
        <v>129</v>
      </c>
    </row>
    <row r="142" spans="1:10" x14ac:dyDescent="0.25">
      <c r="A142" s="34">
        <v>140</v>
      </c>
      <c r="B142" s="18" t="s">
        <v>284</v>
      </c>
      <c r="C142" s="18" t="s">
        <v>273</v>
      </c>
      <c r="D142" s="34">
        <v>1</v>
      </c>
      <c r="E142" s="17">
        <v>1250459</v>
      </c>
      <c r="F142" s="17">
        <v>375138</v>
      </c>
      <c r="G142" s="18" t="s">
        <v>292</v>
      </c>
      <c r="H142" s="99" t="s">
        <v>129</v>
      </c>
    </row>
    <row r="143" spans="1:10" x14ac:dyDescent="0.25">
      <c r="A143" s="34">
        <v>141</v>
      </c>
      <c r="B143" s="18" t="s">
        <v>284</v>
      </c>
      <c r="C143" s="18" t="s">
        <v>275</v>
      </c>
      <c r="D143" s="34">
        <v>540</v>
      </c>
      <c r="E143" s="17">
        <v>27523409</v>
      </c>
      <c r="F143" s="17">
        <v>8257023</v>
      </c>
      <c r="G143" s="18" t="s">
        <v>304</v>
      </c>
      <c r="H143" s="99" t="s">
        <v>129</v>
      </c>
    </row>
    <row r="144" spans="1:10" x14ac:dyDescent="0.25">
      <c r="A144" s="34">
        <v>142</v>
      </c>
      <c r="B144" s="18" t="s">
        <v>284</v>
      </c>
      <c r="C144" s="18" t="s">
        <v>276</v>
      </c>
      <c r="D144" s="34">
        <v>844</v>
      </c>
      <c r="E144" s="17">
        <v>7578320</v>
      </c>
      <c r="F144" s="39">
        <v>3380008</v>
      </c>
      <c r="G144" s="18" t="s">
        <v>370</v>
      </c>
      <c r="H144" s="99" t="s">
        <v>129</v>
      </c>
    </row>
    <row r="145" spans="1:8" x14ac:dyDescent="0.25">
      <c r="A145" s="34">
        <v>143</v>
      </c>
      <c r="B145" s="18" t="s">
        <v>284</v>
      </c>
      <c r="C145" s="18" t="s">
        <v>278</v>
      </c>
      <c r="D145" s="37">
        <v>377</v>
      </c>
      <c r="E145" s="39">
        <v>11417378</v>
      </c>
      <c r="F145" s="39">
        <v>5291114</v>
      </c>
      <c r="G145" s="32" t="s">
        <v>372</v>
      </c>
      <c r="H145" s="99" t="s">
        <v>129</v>
      </c>
    </row>
    <row r="146" spans="1:8" x14ac:dyDescent="0.25">
      <c r="A146" s="34">
        <v>144</v>
      </c>
      <c r="B146" s="18" t="s">
        <v>284</v>
      </c>
      <c r="C146" s="18" t="s">
        <v>279</v>
      </c>
      <c r="D146" s="37">
        <v>144</v>
      </c>
      <c r="E146" s="39">
        <v>10103477</v>
      </c>
      <c r="F146" s="39">
        <v>3031043</v>
      </c>
      <c r="G146" s="32" t="s">
        <v>373</v>
      </c>
      <c r="H146" s="99" t="s">
        <v>129</v>
      </c>
    </row>
    <row r="147" spans="1:8" x14ac:dyDescent="0.25">
      <c r="A147" s="34">
        <v>145</v>
      </c>
      <c r="B147" s="18" t="s">
        <v>284</v>
      </c>
      <c r="C147" s="18" t="s">
        <v>280</v>
      </c>
      <c r="D147" s="37">
        <v>16</v>
      </c>
      <c r="E147" s="39">
        <v>1316302</v>
      </c>
      <c r="F147" s="39">
        <v>1924880</v>
      </c>
      <c r="G147" s="32" t="s">
        <v>374</v>
      </c>
      <c r="H147" s="99" t="s">
        <v>129</v>
      </c>
    </row>
    <row r="148" spans="1:8" x14ac:dyDescent="0.25">
      <c r="A148" s="34">
        <v>146</v>
      </c>
      <c r="B148" s="18" t="s">
        <v>284</v>
      </c>
      <c r="C148" s="18" t="s">
        <v>282</v>
      </c>
      <c r="D148" s="37">
        <v>238.87</v>
      </c>
      <c r="E148" s="39">
        <v>7453002</v>
      </c>
      <c r="F148" s="39">
        <v>2235900</v>
      </c>
      <c r="G148" s="32" t="s">
        <v>376</v>
      </c>
      <c r="H148" s="99" t="s">
        <v>129</v>
      </c>
    </row>
    <row r="149" spans="1:8" x14ac:dyDescent="0.25">
      <c r="A149" s="34">
        <v>147</v>
      </c>
      <c r="B149" s="18" t="s">
        <v>284</v>
      </c>
      <c r="C149" s="18" t="s">
        <v>411</v>
      </c>
      <c r="D149" s="34">
        <v>840</v>
      </c>
      <c r="E149" s="17">
        <v>12924752</v>
      </c>
      <c r="F149" s="17">
        <v>5299149</v>
      </c>
      <c r="G149" s="18" t="s">
        <v>336</v>
      </c>
      <c r="H149" s="99" t="s">
        <v>129</v>
      </c>
    </row>
    <row r="150" spans="1:8" x14ac:dyDescent="0.25">
      <c r="A150" s="34">
        <v>148</v>
      </c>
      <c r="B150" s="18" t="s">
        <v>284</v>
      </c>
      <c r="C150" s="18" t="s">
        <v>414</v>
      </c>
      <c r="D150" s="34">
        <v>6</v>
      </c>
      <c r="E150" s="17">
        <v>1233385</v>
      </c>
      <c r="F150" s="17">
        <v>505687</v>
      </c>
      <c r="G150" s="18" t="s">
        <v>294</v>
      </c>
      <c r="H150" s="99" t="s">
        <v>129</v>
      </c>
    </row>
    <row r="151" spans="1:8" x14ac:dyDescent="0.25">
      <c r="A151" s="34">
        <v>149</v>
      </c>
      <c r="B151" s="18" t="s">
        <v>284</v>
      </c>
      <c r="C151" s="18" t="s">
        <v>415</v>
      </c>
      <c r="D151" s="34">
        <v>79</v>
      </c>
      <c r="E151" s="17">
        <v>822473</v>
      </c>
      <c r="F151" s="17">
        <v>249462</v>
      </c>
      <c r="G151" s="18" t="s">
        <v>428</v>
      </c>
      <c r="H151" s="99" t="s">
        <v>129</v>
      </c>
    </row>
    <row r="152" spans="1:8" x14ac:dyDescent="0.25">
      <c r="A152" s="34">
        <v>150</v>
      </c>
      <c r="B152" s="18" t="s">
        <v>284</v>
      </c>
      <c r="C152" s="96" t="s">
        <v>416</v>
      </c>
      <c r="D152" s="97">
        <v>1</v>
      </c>
      <c r="E152" s="98">
        <v>9306250</v>
      </c>
      <c r="F152" s="98">
        <v>2791875</v>
      </c>
      <c r="G152" s="96" t="s">
        <v>369</v>
      </c>
      <c r="H152" s="99" t="s">
        <v>129</v>
      </c>
    </row>
    <row r="153" spans="1:8" x14ac:dyDescent="0.25">
      <c r="A153" s="34">
        <v>151</v>
      </c>
      <c r="B153" s="18" t="s">
        <v>284</v>
      </c>
      <c r="C153" s="18" t="s">
        <v>417</v>
      </c>
      <c r="D153" s="34">
        <v>3</v>
      </c>
      <c r="E153" s="17">
        <v>95043737</v>
      </c>
      <c r="F153" s="17">
        <v>28513121</v>
      </c>
      <c r="G153" s="18" t="s">
        <v>429</v>
      </c>
      <c r="H153" s="99" t="s">
        <v>129</v>
      </c>
    </row>
    <row r="154" spans="1:8" x14ac:dyDescent="0.25">
      <c r="A154" s="34">
        <v>152</v>
      </c>
      <c r="B154" s="18" t="s">
        <v>284</v>
      </c>
      <c r="C154" s="18" t="s">
        <v>418</v>
      </c>
      <c r="D154" s="34">
        <v>546</v>
      </c>
      <c r="E154" s="17">
        <v>270233964</v>
      </c>
      <c r="F154" s="17">
        <v>131301696</v>
      </c>
      <c r="G154" s="18" t="s">
        <v>430</v>
      </c>
      <c r="H154" s="99" t="s">
        <v>129</v>
      </c>
    </row>
    <row r="155" spans="1:8" x14ac:dyDescent="0.25">
      <c r="A155" s="34">
        <v>153</v>
      </c>
      <c r="B155" s="18" t="s">
        <v>284</v>
      </c>
      <c r="C155" s="18" t="s">
        <v>420</v>
      </c>
      <c r="D155" s="34">
        <v>10</v>
      </c>
      <c r="E155" s="17">
        <v>534200</v>
      </c>
      <c r="F155" s="17">
        <v>160260</v>
      </c>
      <c r="G155" s="18" t="s">
        <v>342</v>
      </c>
      <c r="H155" s="99" t="s">
        <v>129</v>
      </c>
    </row>
    <row r="156" spans="1:8" x14ac:dyDescent="0.25">
      <c r="A156" s="34">
        <v>154</v>
      </c>
      <c r="B156" s="18" t="s">
        <v>284</v>
      </c>
      <c r="C156" s="18" t="s">
        <v>421</v>
      </c>
      <c r="D156" s="34">
        <v>1</v>
      </c>
      <c r="E156" s="17">
        <v>878597</v>
      </c>
      <c r="F156" s="17">
        <v>439298</v>
      </c>
      <c r="G156" s="18" t="s">
        <v>431</v>
      </c>
      <c r="H156" s="99" t="s">
        <v>129</v>
      </c>
    </row>
    <row r="157" spans="1:8" x14ac:dyDescent="0.25">
      <c r="A157" s="34">
        <v>155</v>
      </c>
      <c r="B157" s="18" t="s">
        <v>284</v>
      </c>
      <c r="C157" s="18" t="s">
        <v>422</v>
      </c>
      <c r="D157" s="34">
        <v>1</v>
      </c>
      <c r="E157" s="17">
        <v>188523</v>
      </c>
      <c r="F157" s="17">
        <v>56557</v>
      </c>
      <c r="G157" s="18" t="s">
        <v>296</v>
      </c>
      <c r="H157" s="99" t="s">
        <v>129</v>
      </c>
    </row>
    <row r="158" spans="1:8" x14ac:dyDescent="0.25">
      <c r="A158" s="34">
        <v>156</v>
      </c>
      <c r="B158" s="18" t="s">
        <v>284</v>
      </c>
      <c r="C158" s="18" t="s">
        <v>424</v>
      </c>
      <c r="D158" s="34">
        <v>24</v>
      </c>
      <c r="E158" s="17">
        <v>371687</v>
      </c>
      <c r="F158" s="17">
        <v>182922</v>
      </c>
      <c r="G158" s="18" t="s">
        <v>433</v>
      </c>
      <c r="H158" s="99" t="s">
        <v>129</v>
      </c>
    </row>
    <row r="159" spans="1:8" x14ac:dyDescent="0.25">
      <c r="A159" s="34">
        <v>157</v>
      </c>
      <c r="B159" s="18" t="s">
        <v>284</v>
      </c>
      <c r="C159" s="18" t="s">
        <v>426</v>
      </c>
      <c r="D159" s="34">
        <v>36</v>
      </c>
      <c r="E159" s="17">
        <v>7324286</v>
      </c>
      <c r="F159" s="17">
        <v>3628664</v>
      </c>
      <c r="G159" s="18" t="s">
        <v>435</v>
      </c>
      <c r="H159" s="99" t="s">
        <v>129</v>
      </c>
    </row>
    <row r="160" spans="1:8" x14ac:dyDescent="0.25">
      <c r="A160" s="34">
        <v>158</v>
      </c>
      <c r="B160" s="18" t="s">
        <v>284</v>
      </c>
      <c r="C160" s="18" t="s">
        <v>467</v>
      </c>
      <c r="D160" s="34">
        <v>174</v>
      </c>
      <c r="E160" s="17">
        <v>3818228</v>
      </c>
      <c r="F160" s="17">
        <v>1260015</v>
      </c>
      <c r="G160" s="18" t="s">
        <v>488</v>
      </c>
      <c r="H160" s="99" t="s">
        <v>129</v>
      </c>
    </row>
    <row r="161" spans="1:8" x14ac:dyDescent="0.25">
      <c r="A161" s="34">
        <v>159</v>
      </c>
      <c r="B161" s="18" t="s">
        <v>284</v>
      </c>
      <c r="C161" s="18" t="s">
        <v>470</v>
      </c>
      <c r="D161" s="34">
        <v>1</v>
      </c>
      <c r="E161" s="17">
        <v>1365628</v>
      </c>
      <c r="F161" s="17">
        <v>409688</v>
      </c>
      <c r="G161" s="18" t="s">
        <v>491</v>
      </c>
      <c r="H161" s="99" t="s">
        <v>129</v>
      </c>
    </row>
    <row r="162" spans="1:8" x14ac:dyDescent="0.25">
      <c r="A162" s="34">
        <v>160</v>
      </c>
      <c r="B162" s="18" t="s">
        <v>284</v>
      </c>
      <c r="C162" s="18" t="s">
        <v>471</v>
      </c>
      <c r="D162" s="34">
        <v>20</v>
      </c>
      <c r="E162" s="17">
        <v>25543076</v>
      </c>
      <c r="F162" s="17">
        <v>11769533</v>
      </c>
      <c r="G162" s="18" t="s">
        <v>492</v>
      </c>
      <c r="H162" s="99" t="s">
        <v>129</v>
      </c>
    </row>
    <row r="163" spans="1:8" x14ac:dyDescent="0.25">
      <c r="A163" s="34">
        <v>161</v>
      </c>
      <c r="B163" s="18" t="s">
        <v>284</v>
      </c>
      <c r="C163" s="18" t="s">
        <v>472</v>
      </c>
      <c r="D163" s="34">
        <v>1</v>
      </c>
      <c r="E163" s="17">
        <v>208812</v>
      </c>
      <c r="F163" s="17">
        <v>62643</v>
      </c>
      <c r="G163" s="18" t="s">
        <v>493</v>
      </c>
      <c r="H163" s="99" t="s">
        <v>129</v>
      </c>
    </row>
    <row r="164" spans="1:8" x14ac:dyDescent="0.25">
      <c r="A164" s="34">
        <v>162</v>
      </c>
      <c r="B164" s="18" t="s">
        <v>284</v>
      </c>
      <c r="C164" s="18" t="s">
        <v>473</v>
      </c>
      <c r="D164" s="34">
        <v>1</v>
      </c>
      <c r="E164" s="17">
        <v>2868710</v>
      </c>
      <c r="F164" s="17">
        <v>860613</v>
      </c>
      <c r="G164" s="18" t="s">
        <v>494</v>
      </c>
      <c r="H164" s="99" t="s">
        <v>129</v>
      </c>
    </row>
    <row r="165" spans="1:8" x14ac:dyDescent="0.25">
      <c r="A165" s="34">
        <v>163</v>
      </c>
      <c r="B165" s="18" t="s">
        <v>284</v>
      </c>
      <c r="C165" s="18" t="s">
        <v>474</v>
      </c>
      <c r="D165" s="34">
        <v>2</v>
      </c>
      <c r="E165" s="17">
        <v>2188907</v>
      </c>
      <c r="F165" s="17">
        <v>1094455</v>
      </c>
      <c r="G165" s="18" t="s">
        <v>300</v>
      </c>
      <c r="H165" s="99" t="s">
        <v>129</v>
      </c>
    </row>
    <row r="166" spans="1:8" x14ac:dyDescent="0.25">
      <c r="A166" s="34">
        <v>164</v>
      </c>
      <c r="B166" s="18" t="s">
        <v>284</v>
      </c>
      <c r="C166" s="18" t="s">
        <v>475</v>
      </c>
      <c r="D166" s="34">
        <v>51</v>
      </c>
      <c r="E166" s="17">
        <v>299785</v>
      </c>
      <c r="F166" s="17">
        <v>142220</v>
      </c>
      <c r="G166" s="18" t="s">
        <v>495</v>
      </c>
      <c r="H166" s="99" t="s">
        <v>129</v>
      </c>
    </row>
    <row r="167" spans="1:8" x14ac:dyDescent="0.25">
      <c r="A167" s="34">
        <v>165</v>
      </c>
      <c r="B167" s="18" t="s">
        <v>284</v>
      </c>
      <c r="C167" s="18" t="s">
        <v>476</v>
      </c>
      <c r="D167" s="34">
        <v>6</v>
      </c>
      <c r="E167" s="17">
        <v>13368743</v>
      </c>
      <c r="F167" s="17">
        <v>4449478</v>
      </c>
      <c r="G167" s="18" t="s">
        <v>496</v>
      </c>
      <c r="H167" s="99" t="s">
        <v>129</v>
      </c>
    </row>
    <row r="168" spans="1:8" x14ac:dyDescent="0.25">
      <c r="A168" s="34">
        <v>166</v>
      </c>
      <c r="B168" s="18" t="s">
        <v>284</v>
      </c>
      <c r="C168" s="18" t="s">
        <v>481</v>
      </c>
      <c r="D168" s="34">
        <v>4</v>
      </c>
      <c r="E168" s="17">
        <v>3827962</v>
      </c>
      <c r="F168" s="17">
        <v>1913982</v>
      </c>
      <c r="G168" s="18" t="s">
        <v>431</v>
      </c>
      <c r="H168" s="99" t="s">
        <v>129</v>
      </c>
    </row>
    <row r="169" spans="1:8" x14ac:dyDescent="0.25">
      <c r="A169" s="34">
        <v>167</v>
      </c>
      <c r="B169" s="18" t="s">
        <v>284</v>
      </c>
      <c r="C169" s="18" t="s">
        <v>482</v>
      </c>
      <c r="D169" s="34">
        <v>20</v>
      </c>
      <c r="E169" s="17">
        <v>23782258</v>
      </c>
      <c r="F169" s="17">
        <v>7848144</v>
      </c>
      <c r="G169" s="18" t="s">
        <v>338</v>
      </c>
      <c r="H169" s="99" t="s">
        <v>129</v>
      </c>
    </row>
    <row r="170" spans="1:8" x14ac:dyDescent="0.25">
      <c r="A170" s="34">
        <v>168</v>
      </c>
      <c r="B170" s="18" t="s">
        <v>284</v>
      </c>
      <c r="C170" s="18" t="s">
        <v>485</v>
      </c>
      <c r="D170" s="34">
        <v>14</v>
      </c>
      <c r="E170" s="17">
        <v>2099046</v>
      </c>
      <c r="F170" s="17">
        <v>1048514</v>
      </c>
      <c r="G170" s="18" t="s">
        <v>501</v>
      </c>
      <c r="H170" s="99" t="s">
        <v>129</v>
      </c>
    </row>
    <row r="171" spans="1:8" x14ac:dyDescent="0.25">
      <c r="A171" s="34">
        <v>169</v>
      </c>
      <c r="B171" s="18" t="s">
        <v>284</v>
      </c>
      <c r="C171" s="18" t="s">
        <v>486</v>
      </c>
      <c r="D171" s="34">
        <v>167</v>
      </c>
      <c r="E171" s="17">
        <v>3700601</v>
      </c>
      <c r="F171" s="17">
        <v>1234201</v>
      </c>
      <c r="G171" s="18" t="s">
        <v>502</v>
      </c>
      <c r="H171" s="99" t="s">
        <v>129</v>
      </c>
    </row>
  </sheetData>
  <autoFilter ref="A2:H150" xr:uid="{83A1C6DA-8D09-441C-8723-AF27A34DC4A0}"/>
  <sortState xmlns:xlrd2="http://schemas.microsoft.com/office/spreadsheetml/2017/richdata2" ref="B3:H171">
    <sortCondition ref="B3:B171"/>
    <sortCondition ref="H3:H171"/>
  </sortState>
  <mergeCells count="1">
    <mergeCell ref="A1:H1"/>
  </mergeCells>
  <conditionalFormatting sqref="E141:E161">
    <cfRule type="duplicateValues" dxfId="2" priority="2"/>
  </conditionalFormatting>
  <conditionalFormatting sqref="C1:C1048576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8DBFC-1B9D-4129-A86D-A2662EEA7609}">
  <sheetPr codeName="Sheet4">
    <tabColor theme="9" tint="0.59999389629810485"/>
    <pageSetUpPr fitToPage="1"/>
  </sheetPr>
  <dimension ref="A1:Q260"/>
  <sheetViews>
    <sheetView topLeftCell="C1" workbookViewId="0">
      <pane xSplit="1" ySplit="7" topLeftCell="D8" activePane="bottomRight" state="frozen"/>
      <selection activeCell="C1" sqref="C1"/>
      <selection pane="topRight" activeCell="D1" sqref="D1"/>
      <selection pane="bottomLeft" activeCell="C8" sqref="C8"/>
      <selection pane="bottomRight" activeCell="F9" sqref="F9"/>
    </sheetView>
  </sheetViews>
  <sheetFormatPr defaultRowHeight="15" x14ac:dyDescent="0.25"/>
  <cols>
    <col min="1" max="1" width="9.140625" hidden="1" customWidth="1"/>
    <col min="2" max="2" width="12" hidden="1" customWidth="1"/>
    <col min="3" max="3" width="17.140625" customWidth="1"/>
    <col min="4" max="4" width="8.7109375" style="41" customWidth="1"/>
    <col min="5" max="6" width="14.28515625" style="1" customWidth="1"/>
    <col min="7" max="7" width="14.28515625" customWidth="1"/>
    <col min="8" max="8" width="1.7109375" customWidth="1"/>
    <col min="9" max="9" width="8.7109375" style="42" customWidth="1"/>
    <col min="10" max="12" width="14.28515625" style="1" customWidth="1"/>
    <col min="13" max="13" width="1.7109375" customWidth="1"/>
    <col min="14" max="14" width="8.7109375" style="42" customWidth="1"/>
    <col min="15" max="15" width="14.28515625" customWidth="1"/>
    <col min="16" max="17" width="14.28515625" style="1" customWidth="1"/>
  </cols>
  <sheetData>
    <row r="1" spans="1:17" ht="19.5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</row>
    <row r="2" spans="1:17" ht="19.5" x14ac:dyDescent="0.3">
      <c r="C2" s="118" t="s">
        <v>388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</row>
    <row r="3" spans="1:17" ht="19.5" x14ac:dyDescent="0.3">
      <c r="C3" s="117" t="s">
        <v>149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</row>
    <row r="4" spans="1:17" x14ac:dyDescent="0.25">
      <c r="D4" s="35"/>
    </row>
    <row r="5" spans="1:17" x14ac:dyDescent="0.25">
      <c r="A5" s="3" t="s">
        <v>139</v>
      </c>
      <c r="B5" s="3" t="s">
        <v>140</v>
      </c>
      <c r="C5" s="23" t="s">
        <v>128</v>
      </c>
      <c r="D5" s="15" t="s">
        <v>129</v>
      </c>
    </row>
    <row r="6" spans="1:17" x14ac:dyDescent="0.25">
      <c r="C6" s="40"/>
      <c r="D6" s="119" t="s">
        <v>141</v>
      </c>
      <c r="E6" s="119"/>
      <c r="F6" s="119"/>
      <c r="G6" s="119"/>
      <c r="I6" s="128" t="s">
        <v>383</v>
      </c>
      <c r="J6" s="129"/>
      <c r="K6" s="129"/>
      <c r="L6" s="130"/>
      <c r="N6" s="131" t="s">
        <v>143</v>
      </c>
      <c r="O6" s="132"/>
      <c r="P6" s="132"/>
      <c r="Q6" s="133"/>
    </row>
    <row r="7" spans="1:17" x14ac:dyDescent="0.25">
      <c r="C7" s="23" t="s">
        <v>283</v>
      </c>
      <c r="D7" s="45" t="s">
        <v>386</v>
      </c>
      <c r="E7" s="26" t="s">
        <v>385</v>
      </c>
      <c r="F7" s="26" t="s">
        <v>384</v>
      </c>
      <c r="G7" s="26" t="s">
        <v>137</v>
      </c>
      <c r="H7" s="5"/>
      <c r="I7" s="46" t="s">
        <v>386</v>
      </c>
      <c r="J7" s="9" t="s">
        <v>385</v>
      </c>
      <c r="K7" s="9" t="s">
        <v>146</v>
      </c>
      <c r="L7" s="9" t="s">
        <v>137</v>
      </c>
      <c r="M7" s="8"/>
      <c r="N7" s="46" t="s">
        <v>386</v>
      </c>
      <c r="O7" s="9" t="s">
        <v>385</v>
      </c>
      <c r="P7" s="9" t="s">
        <v>138</v>
      </c>
      <c r="Q7" s="9" t="s">
        <v>137</v>
      </c>
    </row>
    <row r="8" spans="1:17" x14ac:dyDescent="0.25">
      <c r="A8" s="25">
        <f>F8/E8</f>
        <v>6155573.5276073618</v>
      </c>
      <c r="B8" s="44">
        <f>G8/E8</f>
        <v>1966135.122213902</v>
      </c>
      <c r="C8" s="15" t="s">
        <v>285</v>
      </c>
      <c r="D8" s="45">
        <v>40</v>
      </c>
      <c r="E8" s="13">
        <v>326</v>
      </c>
      <c r="F8" s="13">
        <v>2006716970</v>
      </c>
      <c r="G8" s="13">
        <v>640960049.84173203</v>
      </c>
      <c r="H8" s="47"/>
      <c r="I8" s="48">
        <f>D8-N8</f>
        <v>0</v>
      </c>
      <c r="J8" s="10">
        <f>E8-O8</f>
        <v>0</v>
      </c>
      <c r="K8" s="10">
        <f>ROUND(J8*A8,0)</f>
        <v>0</v>
      </c>
      <c r="L8" s="10">
        <f>ROUND(J8*B8,0)</f>
        <v>0</v>
      </c>
      <c r="M8" s="5"/>
      <c r="N8" s="48">
        <f>COUNTIFS('MC+SP Data'!$B$2:$B$5000,C8,'MC+SP Data'!$H$2:$H$5000,$D$5)</f>
        <v>40</v>
      </c>
      <c r="O8" s="10">
        <f>SUMIFS('MC+SP Data'!$D$2:$D$5000,'MC+SP Data'!$B$2:$B$5000,C8,'MC+SP Data'!$H$2:$H$5000,$D$5)</f>
        <v>326</v>
      </c>
      <c r="P8" s="10">
        <f>ROUND(O8*A8,0)</f>
        <v>2006716970</v>
      </c>
      <c r="Q8" s="10">
        <f>ROUND(O8*B8,0)</f>
        <v>640960050</v>
      </c>
    </row>
    <row r="9" spans="1:17" x14ac:dyDescent="0.25">
      <c r="A9" s="25">
        <f>F9/E9</f>
        <v>1931.8924270760219</v>
      </c>
      <c r="B9" s="44">
        <f>G9/E9</f>
        <v>811.56033552512656</v>
      </c>
      <c r="C9" s="15" t="s">
        <v>284</v>
      </c>
      <c r="D9" s="45">
        <v>129</v>
      </c>
      <c r="E9" s="13">
        <v>1297830.6700000002</v>
      </c>
      <c r="F9" s="13">
        <v>2507269243</v>
      </c>
      <c r="G9" s="13">
        <v>1053267894</v>
      </c>
      <c r="H9" s="47"/>
      <c r="I9" s="48">
        <f>D9-N9</f>
        <v>0</v>
      </c>
      <c r="J9" s="10">
        <f>E9-O9</f>
        <v>0</v>
      </c>
      <c r="K9" s="10">
        <f>ROUND(J9*A9,0)</f>
        <v>0</v>
      </c>
      <c r="L9" s="10">
        <f>ROUND(J9*B9,0)</f>
        <v>0</v>
      </c>
      <c r="M9" s="5"/>
      <c r="N9" s="48">
        <f>COUNTIFS('MC+SP Data'!$B$2:$B$5000,C9,'MC+SP Data'!$H$2:$H$5000,$D$5)</f>
        <v>129</v>
      </c>
      <c r="O9" s="10">
        <f>SUMIFS('MC+SP Data'!$D$2:$D$5000,'MC+SP Data'!$B$2:$B$5000,C9,'MC+SP Data'!$H$2:$H$5000,$D$5)</f>
        <v>1297830.6700000002</v>
      </c>
      <c r="P9" s="10">
        <f>ROUND(O9*A9,0)</f>
        <v>2507269243</v>
      </c>
      <c r="Q9" s="10">
        <f>ROUND(O9*B9,0)</f>
        <v>1053267894</v>
      </c>
    </row>
    <row r="10" spans="1:17" x14ac:dyDescent="0.25">
      <c r="C10" s="15" t="s">
        <v>377</v>
      </c>
      <c r="D10" s="45">
        <v>169</v>
      </c>
      <c r="E10" s="13">
        <v>1298156.6700000002</v>
      </c>
      <c r="F10" s="13">
        <v>4513986213</v>
      </c>
      <c r="G10" s="13">
        <v>1694227943.841732</v>
      </c>
      <c r="H10" s="47"/>
      <c r="I10" s="46">
        <f>SUM(I7:I9)</f>
        <v>0</v>
      </c>
      <c r="J10" s="49">
        <f>SUM(J7:J9)</f>
        <v>0</v>
      </c>
      <c r="K10" s="49">
        <f>SUM(K7:K9)</f>
        <v>0</v>
      </c>
      <c r="L10" s="49">
        <f>SUM(L7:L9)</f>
        <v>0</v>
      </c>
      <c r="M10" s="50"/>
      <c r="N10" s="46">
        <f>SUM(N7:N9)</f>
        <v>169</v>
      </c>
      <c r="O10" s="49">
        <f>SUM(O7:O9)</f>
        <v>1298156.6700000002</v>
      </c>
      <c r="P10" s="49">
        <f>SUM(P7:P9)</f>
        <v>4513986213</v>
      </c>
      <c r="Q10" s="49">
        <f>SUM(Q7:Q9)</f>
        <v>1694227944</v>
      </c>
    </row>
    <row r="11" spans="1:17" x14ac:dyDescent="0.25">
      <c r="D11" s="35"/>
      <c r="E11"/>
      <c r="F11"/>
      <c r="G11" s="3"/>
      <c r="H11" s="3"/>
      <c r="I11" s="43"/>
      <c r="J11" s="2"/>
      <c r="K11" s="2"/>
      <c r="L11" s="2"/>
      <c r="M11" s="3"/>
      <c r="N11" s="43"/>
      <c r="O11" s="2"/>
      <c r="P11" s="2"/>
      <c r="Q11" s="2"/>
    </row>
    <row r="12" spans="1:17" x14ac:dyDescent="0.25">
      <c r="D12" s="35"/>
      <c r="E12"/>
      <c r="F12"/>
      <c r="G12" s="3"/>
      <c r="H12" s="3"/>
      <c r="I12" s="43"/>
      <c r="J12" s="2"/>
      <c r="K12" s="2"/>
      <c r="L12" s="2"/>
      <c r="M12" s="3"/>
      <c r="N12" s="43"/>
      <c r="O12" s="2"/>
      <c r="P12" s="2"/>
      <c r="Q12" s="2"/>
    </row>
    <row r="13" spans="1:17" x14ac:dyDescent="0.25">
      <c r="D13" s="35"/>
      <c r="E13"/>
    </row>
    <row r="14" spans="1:17" s="1" customFormat="1" x14ac:dyDescent="0.25">
      <c r="A14"/>
      <c r="B14"/>
      <c r="C14"/>
      <c r="D14" s="35"/>
      <c r="E14"/>
      <c r="G14" s="3"/>
      <c r="H14" s="3"/>
      <c r="I14" s="43"/>
      <c r="M14"/>
      <c r="N14" s="42"/>
      <c r="O14"/>
    </row>
    <row r="15" spans="1:17" s="1" customFormat="1" x14ac:dyDescent="0.25">
      <c r="A15"/>
      <c r="B15"/>
      <c r="C15"/>
      <c r="D15" s="35"/>
      <c r="E15"/>
      <c r="G15"/>
      <c r="H15"/>
      <c r="I15" s="42"/>
      <c r="M15"/>
      <c r="N15" s="42"/>
      <c r="O15"/>
    </row>
    <row r="16" spans="1:17" s="1" customFormat="1" x14ac:dyDescent="0.25">
      <c r="A16"/>
      <c r="B16"/>
      <c r="C16"/>
      <c r="D16" s="35"/>
      <c r="E16"/>
      <c r="G16"/>
      <c r="H16"/>
      <c r="I16" s="42"/>
      <c r="M16"/>
      <c r="N16" s="42"/>
      <c r="O16"/>
    </row>
    <row r="17" spans="1:15" s="1" customFormat="1" x14ac:dyDescent="0.25">
      <c r="A17"/>
      <c r="B17"/>
      <c r="C17"/>
      <c r="D17" s="35"/>
      <c r="E17"/>
      <c r="G17"/>
      <c r="H17"/>
      <c r="I17" s="42"/>
      <c r="M17"/>
      <c r="N17" s="42"/>
      <c r="O17"/>
    </row>
    <row r="18" spans="1:15" s="1" customFormat="1" x14ac:dyDescent="0.25">
      <c r="A18"/>
      <c r="B18"/>
      <c r="C18"/>
      <c r="D18" s="35"/>
      <c r="E18"/>
      <c r="F18"/>
      <c r="G18"/>
      <c r="H18"/>
      <c r="I18" s="42"/>
      <c r="M18"/>
      <c r="N18" s="42"/>
      <c r="O18"/>
    </row>
    <row r="19" spans="1:15" s="1" customFormat="1" x14ac:dyDescent="0.25">
      <c r="A19"/>
      <c r="B19"/>
      <c r="C19"/>
      <c r="D19" s="35"/>
      <c r="E19"/>
      <c r="F19"/>
      <c r="G19"/>
      <c r="H19"/>
      <c r="I19" s="42"/>
      <c r="M19"/>
      <c r="N19" s="42"/>
      <c r="O19"/>
    </row>
    <row r="20" spans="1:15" s="1" customFormat="1" x14ac:dyDescent="0.25">
      <c r="A20"/>
      <c r="B20"/>
      <c r="C20"/>
      <c r="D20" s="35"/>
      <c r="E20"/>
      <c r="F20"/>
      <c r="G20"/>
      <c r="H20"/>
      <c r="I20" s="42"/>
      <c r="M20"/>
      <c r="N20" s="42"/>
      <c r="O20"/>
    </row>
    <row r="21" spans="1:15" s="1" customFormat="1" x14ac:dyDescent="0.25">
      <c r="A21"/>
      <c r="B21"/>
      <c r="C21"/>
      <c r="D21" s="35"/>
      <c r="E21"/>
      <c r="F21"/>
      <c r="G21"/>
      <c r="H21"/>
      <c r="I21" s="42"/>
      <c r="M21"/>
      <c r="N21" s="42"/>
      <c r="O21"/>
    </row>
    <row r="22" spans="1:15" s="1" customFormat="1" x14ac:dyDescent="0.25">
      <c r="A22"/>
      <c r="B22"/>
      <c r="C22"/>
      <c r="D22" s="35"/>
      <c r="E22"/>
      <c r="F22"/>
      <c r="G22"/>
      <c r="H22"/>
      <c r="I22" s="42"/>
      <c r="M22"/>
      <c r="N22" s="42"/>
      <c r="O22"/>
    </row>
    <row r="23" spans="1:15" s="1" customFormat="1" x14ac:dyDescent="0.25">
      <c r="A23"/>
      <c r="B23"/>
      <c r="C23"/>
      <c r="D23" s="35"/>
      <c r="E23"/>
      <c r="F23"/>
      <c r="G23"/>
      <c r="H23"/>
      <c r="I23" s="42"/>
      <c r="M23"/>
      <c r="N23" s="42"/>
      <c r="O23"/>
    </row>
    <row r="24" spans="1:15" s="1" customFormat="1" x14ac:dyDescent="0.25">
      <c r="A24"/>
      <c r="B24"/>
      <c r="C24"/>
      <c r="D24" s="35"/>
      <c r="E24"/>
      <c r="F24"/>
      <c r="G24"/>
      <c r="H24"/>
      <c r="I24" s="42"/>
      <c r="M24"/>
      <c r="N24" s="42"/>
      <c r="O24"/>
    </row>
    <row r="25" spans="1:15" s="1" customFormat="1" x14ac:dyDescent="0.25">
      <c r="A25"/>
      <c r="B25"/>
      <c r="C25"/>
      <c r="D25" s="35"/>
      <c r="E25"/>
      <c r="F25"/>
      <c r="G25"/>
      <c r="H25"/>
      <c r="I25" s="42"/>
      <c r="M25"/>
      <c r="N25" s="42"/>
      <c r="O25"/>
    </row>
    <row r="26" spans="1:15" s="1" customFormat="1" x14ac:dyDescent="0.25">
      <c r="A26"/>
      <c r="B26"/>
      <c r="C26"/>
      <c r="D26" s="35"/>
      <c r="E26"/>
      <c r="F26"/>
      <c r="G26"/>
      <c r="H26"/>
      <c r="I26" s="42"/>
      <c r="M26"/>
      <c r="N26" s="42"/>
      <c r="O26"/>
    </row>
    <row r="27" spans="1:15" s="1" customFormat="1" x14ac:dyDescent="0.25">
      <c r="A27"/>
      <c r="B27"/>
      <c r="C27"/>
      <c r="D27" s="35"/>
      <c r="E27"/>
      <c r="F27"/>
      <c r="G27"/>
      <c r="H27"/>
      <c r="I27" s="42"/>
      <c r="M27"/>
      <c r="N27" s="42"/>
      <c r="O27"/>
    </row>
    <row r="28" spans="1:15" s="1" customFormat="1" x14ac:dyDescent="0.25">
      <c r="A28"/>
      <c r="B28"/>
      <c r="C28"/>
      <c r="D28" s="35"/>
      <c r="E28"/>
      <c r="F28"/>
      <c r="G28"/>
      <c r="H28"/>
      <c r="I28" s="42"/>
      <c r="M28"/>
      <c r="N28" s="42"/>
      <c r="O28"/>
    </row>
    <row r="29" spans="1:15" x14ac:dyDescent="0.25">
      <c r="D29" s="35"/>
      <c r="E29"/>
      <c r="F29"/>
    </row>
    <row r="30" spans="1:15" x14ac:dyDescent="0.25">
      <c r="D30" s="35"/>
      <c r="E30"/>
      <c r="F30"/>
    </row>
    <row r="31" spans="1:15" x14ac:dyDescent="0.25">
      <c r="D31" s="35"/>
      <c r="E31"/>
      <c r="F31"/>
    </row>
    <row r="32" spans="1:15" x14ac:dyDescent="0.25">
      <c r="D32" s="35"/>
      <c r="E32"/>
      <c r="F32"/>
    </row>
    <row r="33" spans="4:6" x14ac:dyDescent="0.25">
      <c r="D33" s="35"/>
      <c r="E33"/>
      <c r="F33"/>
    </row>
    <row r="34" spans="4:6" x14ac:dyDescent="0.25">
      <c r="D34" s="35"/>
      <c r="E34"/>
      <c r="F34"/>
    </row>
    <row r="35" spans="4:6" x14ac:dyDescent="0.25">
      <c r="D35" s="35"/>
      <c r="E35"/>
      <c r="F35"/>
    </row>
    <row r="36" spans="4:6" x14ac:dyDescent="0.25">
      <c r="D36" s="35"/>
      <c r="E36"/>
      <c r="F36"/>
    </row>
    <row r="37" spans="4:6" x14ac:dyDescent="0.25">
      <c r="D37" s="35"/>
      <c r="E37"/>
      <c r="F37"/>
    </row>
    <row r="38" spans="4:6" x14ac:dyDescent="0.25">
      <c r="D38" s="35"/>
      <c r="E38"/>
      <c r="F38"/>
    </row>
    <row r="39" spans="4:6" x14ac:dyDescent="0.25">
      <c r="D39" s="35"/>
      <c r="E39"/>
      <c r="F39"/>
    </row>
    <row r="40" spans="4:6" x14ac:dyDescent="0.25">
      <c r="D40" s="35"/>
      <c r="E40"/>
      <c r="F40"/>
    </row>
    <row r="41" spans="4:6" x14ac:dyDescent="0.25">
      <c r="D41" s="35"/>
      <c r="E41"/>
      <c r="F41"/>
    </row>
    <row r="42" spans="4:6" x14ac:dyDescent="0.25">
      <c r="D42" s="35"/>
      <c r="E42"/>
      <c r="F42"/>
    </row>
    <row r="43" spans="4:6" x14ac:dyDescent="0.25">
      <c r="D43" s="35"/>
      <c r="E43"/>
      <c r="F43"/>
    </row>
    <row r="44" spans="4:6" x14ac:dyDescent="0.25">
      <c r="D44" s="35"/>
      <c r="E44"/>
      <c r="F44"/>
    </row>
    <row r="45" spans="4:6" x14ac:dyDescent="0.25">
      <c r="D45" s="35"/>
      <c r="E45"/>
      <c r="F45"/>
    </row>
    <row r="46" spans="4:6" x14ac:dyDescent="0.25">
      <c r="D46" s="35"/>
      <c r="E46"/>
      <c r="F46"/>
    </row>
    <row r="47" spans="4:6" x14ac:dyDescent="0.25">
      <c r="D47" s="35"/>
      <c r="E47"/>
      <c r="F47"/>
    </row>
    <row r="48" spans="4:6" x14ac:dyDescent="0.25">
      <c r="D48" s="35"/>
      <c r="E48"/>
      <c r="F48"/>
    </row>
    <row r="49" spans="4:6" x14ac:dyDescent="0.25">
      <c r="D49" s="35"/>
      <c r="E49"/>
      <c r="F49"/>
    </row>
    <row r="50" spans="4:6" x14ac:dyDescent="0.25">
      <c r="D50" s="35"/>
      <c r="E50"/>
      <c r="F50"/>
    </row>
    <row r="51" spans="4:6" x14ac:dyDescent="0.25">
      <c r="D51" s="35"/>
      <c r="E51"/>
      <c r="F51"/>
    </row>
    <row r="52" spans="4:6" x14ac:dyDescent="0.25">
      <c r="D52" s="35"/>
      <c r="E52"/>
      <c r="F52"/>
    </row>
    <row r="53" spans="4:6" x14ac:dyDescent="0.25">
      <c r="D53" s="35"/>
      <c r="E53"/>
      <c r="F53"/>
    </row>
    <row r="54" spans="4:6" x14ac:dyDescent="0.25">
      <c r="D54" s="35"/>
      <c r="E54"/>
      <c r="F54"/>
    </row>
    <row r="55" spans="4:6" x14ac:dyDescent="0.25">
      <c r="D55" s="35"/>
      <c r="E55"/>
      <c r="F55"/>
    </row>
    <row r="56" spans="4:6" x14ac:dyDescent="0.25">
      <c r="D56" s="35"/>
      <c r="E56"/>
      <c r="F56"/>
    </row>
    <row r="57" spans="4:6" x14ac:dyDescent="0.25">
      <c r="D57" s="35"/>
      <c r="E57"/>
      <c r="F57"/>
    </row>
    <row r="58" spans="4:6" x14ac:dyDescent="0.25">
      <c r="D58" s="35"/>
      <c r="E58"/>
      <c r="F58"/>
    </row>
    <row r="59" spans="4:6" x14ac:dyDescent="0.25">
      <c r="D59" s="35"/>
      <c r="E59"/>
      <c r="F59"/>
    </row>
    <row r="60" spans="4:6" x14ac:dyDescent="0.25">
      <c r="D60" s="35"/>
      <c r="E60"/>
      <c r="F60"/>
    </row>
    <row r="61" spans="4:6" x14ac:dyDescent="0.25">
      <c r="D61" s="35"/>
      <c r="E61"/>
      <c r="F61"/>
    </row>
    <row r="62" spans="4:6" x14ac:dyDescent="0.25">
      <c r="D62" s="35"/>
      <c r="E62"/>
      <c r="F62"/>
    </row>
    <row r="63" spans="4:6" x14ac:dyDescent="0.25">
      <c r="D63" s="35"/>
      <c r="E63"/>
      <c r="F63"/>
    </row>
    <row r="64" spans="4:6" x14ac:dyDescent="0.25">
      <c r="D64" s="35"/>
      <c r="E64"/>
      <c r="F64"/>
    </row>
    <row r="65" spans="4:6" x14ac:dyDescent="0.25">
      <c r="D65" s="35"/>
      <c r="E65"/>
      <c r="F65"/>
    </row>
    <row r="66" spans="4:6" x14ac:dyDescent="0.25">
      <c r="D66" s="35"/>
      <c r="E66"/>
      <c r="F66"/>
    </row>
    <row r="67" spans="4:6" x14ac:dyDescent="0.25">
      <c r="D67" s="35"/>
      <c r="E67"/>
      <c r="F67"/>
    </row>
    <row r="68" spans="4:6" x14ac:dyDescent="0.25">
      <c r="D68" s="35"/>
      <c r="E68"/>
      <c r="F68"/>
    </row>
    <row r="69" spans="4:6" x14ac:dyDescent="0.25">
      <c r="D69" s="35"/>
      <c r="E69"/>
      <c r="F69"/>
    </row>
    <row r="70" spans="4:6" x14ac:dyDescent="0.25">
      <c r="D70" s="35"/>
      <c r="E70"/>
      <c r="F70"/>
    </row>
    <row r="71" spans="4:6" x14ac:dyDescent="0.25">
      <c r="D71" s="35"/>
      <c r="E71"/>
      <c r="F71"/>
    </row>
    <row r="72" spans="4:6" x14ac:dyDescent="0.25">
      <c r="D72" s="35"/>
      <c r="E72"/>
      <c r="F72"/>
    </row>
    <row r="73" spans="4:6" x14ac:dyDescent="0.25">
      <c r="D73" s="35"/>
      <c r="E73"/>
      <c r="F73"/>
    </row>
    <row r="74" spans="4:6" x14ac:dyDescent="0.25">
      <c r="D74" s="35"/>
      <c r="E74"/>
      <c r="F74"/>
    </row>
    <row r="75" spans="4:6" x14ac:dyDescent="0.25">
      <c r="D75" s="35"/>
      <c r="E75"/>
      <c r="F75"/>
    </row>
    <row r="76" spans="4:6" x14ac:dyDescent="0.25">
      <c r="D76" s="35"/>
      <c r="E76"/>
      <c r="F76"/>
    </row>
    <row r="77" spans="4:6" x14ac:dyDescent="0.25">
      <c r="D77" s="35"/>
      <c r="E77"/>
      <c r="F77"/>
    </row>
    <row r="78" spans="4:6" x14ac:dyDescent="0.25">
      <c r="D78" s="35"/>
      <c r="E78"/>
      <c r="F78"/>
    </row>
    <row r="79" spans="4:6" x14ac:dyDescent="0.25">
      <c r="D79" s="35"/>
      <c r="E79"/>
      <c r="F79"/>
    </row>
    <row r="80" spans="4:6" x14ac:dyDescent="0.25">
      <c r="D80" s="35"/>
      <c r="E80"/>
      <c r="F80"/>
    </row>
    <row r="81" spans="4:6" x14ac:dyDescent="0.25">
      <c r="D81" s="35"/>
      <c r="E81"/>
      <c r="F81"/>
    </row>
    <row r="82" spans="4:6" x14ac:dyDescent="0.25">
      <c r="D82" s="35"/>
      <c r="E82"/>
      <c r="F82"/>
    </row>
    <row r="83" spans="4:6" x14ac:dyDescent="0.25">
      <c r="D83" s="35"/>
      <c r="E83"/>
      <c r="F83"/>
    </row>
    <row r="84" spans="4:6" x14ac:dyDescent="0.25">
      <c r="D84" s="35"/>
      <c r="E84"/>
      <c r="F84"/>
    </row>
    <row r="85" spans="4:6" x14ac:dyDescent="0.25">
      <c r="D85" s="35"/>
      <c r="E85"/>
      <c r="F85"/>
    </row>
    <row r="86" spans="4:6" x14ac:dyDescent="0.25">
      <c r="D86" s="35"/>
      <c r="E86"/>
      <c r="F86"/>
    </row>
    <row r="87" spans="4:6" x14ac:dyDescent="0.25">
      <c r="D87" s="35"/>
      <c r="E87"/>
      <c r="F87"/>
    </row>
    <row r="88" spans="4:6" x14ac:dyDescent="0.25">
      <c r="D88" s="35"/>
      <c r="E88"/>
      <c r="F88"/>
    </row>
    <row r="89" spans="4:6" x14ac:dyDescent="0.25">
      <c r="D89" s="35"/>
      <c r="E89"/>
      <c r="F89"/>
    </row>
    <row r="90" spans="4:6" x14ac:dyDescent="0.25">
      <c r="D90" s="35"/>
      <c r="E90"/>
      <c r="F90"/>
    </row>
    <row r="91" spans="4:6" x14ac:dyDescent="0.25">
      <c r="D91" s="35"/>
      <c r="E91"/>
      <c r="F91"/>
    </row>
    <row r="92" spans="4:6" x14ac:dyDescent="0.25">
      <c r="D92" s="35"/>
      <c r="E92"/>
      <c r="F92"/>
    </row>
    <row r="93" spans="4:6" x14ac:dyDescent="0.25">
      <c r="D93" s="35"/>
      <c r="E93"/>
      <c r="F93"/>
    </row>
    <row r="94" spans="4:6" x14ac:dyDescent="0.25">
      <c r="D94" s="35"/>
      <c r="E94"/>
      <c r="F94"/>
    </row>
    <row r="95" spans="4:6" x14ac:dyDescent="0.25">
      <c r="D95" s="35"/>
      <c r="E95"/>
      <c r="F95"/>
    </row>
    <row r="96" spans="4:6" x14ac:dyDescent="0.25">
      <c r="D96" s="35"/>
      <c r="E96"/>
      <c r="F96"/>
    </row>
    <row r="97" spans="4:6" x14ac:dyDescent="0.25">
      <c r="D97" s="35"/>
      <c r="E97"/>
      <c r="F97"/>
    </row>
    <row r="98" spans="4:6" x14ac:dyDescent="0.25">
      <c r="D98" s="35"/>
      <c r="E98"/>
      <c r="F98"/>
    </row>
    <row r="99" spans="4:6" x14ac:dyDescent="0.25">
      <c r="D99" s="35"/>
      <c r="E99"/>
      <c r="F99"/>
    </row>
    <row r="100" spans="4:6" x14ac:dyDescent="0.25">
      <c r="D100" s="35"/>
      <c r="E100"/>
      <c r="F100"/>
    </row>
    <row r="101" spans="4:6" x14ac:dyDescent="0.25">
      <c r="D101" s="35"/>
      <c r="E101"/>
      <c r="F101"/>
    </row>
    <row r="102" spans="4:6" x14ac:dyDescent="0.25">
      <c r="D102" s="35"/>
      <c r="E102"/>
      <c r="F102"/>
    </row>
    <row r="103" spans="4:6" x14ac:dyDescent="0.25">
      <c r="D103" s="35"/>
      <c r="E103"/>
      <c r="F103"/>
    </row>
    <row r="104" spans="4:6" x14ac:dyDescent="0.25">
      <c r="D104" s="35"/>
      <c r="E104"/>
      <c r="F104"/>
    </row>
    <row r="105" spans="4:6" x14ac:dyDescent="0.25">
      <c r="D105" s="35"/>
      <c r="E105"/>
      <c r="F105"/>
    </row>
    <row r="106" spans="4:6" x14ac:dyDescent="0.25">
      <c r="D106" s="35"/>
      <c r="E106"/>
      <c r="F106"/>
    </row>
    <row r="107" spans="4:6" x14ac:dyDescent="0.25">
      <c r="D107" s="35"/>
      <c r="E107"/>
      <c r="F107"/>
    </row>
    <row r="108" spans="4:6" x14ac:dyDescent="0.25">
      <c r="D108" s="35"/>
      <c r="E108"/>
      <c r="F108"/>
    </row>
    <row r="109" spans="4:6" x14ac:dyDescent="0.25">
      <c r="D109" s="35"/>
      <c r="E109"/>
      <c r="F109"/>
    </row>
    <row r="110" spans="4:6" x14ac:dyDescent="0.25">
      <c r="D110" s="35"/>
      <c r="E110"/>
      <c r="F110"/>
    </row>
    <row r="111" spans="4:6" x14ac:dyDescent="0.25">
      <c r="D111" s="35"/>
      <c r="E111"/>
      <c r="F111"/>
    </row>
    <row r="112" spans="4:6" x14ac:dyDescent="0.25">
      <c r="D112" s="35"/>
      <c r="E112"/>
      <c r="F112"/>
    </row>
    <row r="113" spans="4:6" x14ac:dyDescent="0.25">
      <c r="D113" s="35"/>
      <c r="E113"/>
      <c r="F113"/>
    </row>
    <row r="114" spans="4:6" x14ac:dyDescent="0.25">
      <c r="D114" s="35"/>
      <c r="E114"/>
      <c r="F114"/>
    </row>
    <row r="115" spans="4:6" x14ac:dyDescent="0.25">
      <c r="D115" s="35"/>
      <c r="E115"/>
      <c r="F115"/>
    </row>
    <row r="116" spans="4:6" x14ac:dyDescent="0.25">
      <c r="D116" s="35"/>
      <c r="E116"/>
      <c r="F116"/>
    </row>
    <row r="117" spans="4:6" x14ac:dyDescent="0.25">
      <c r="D117" s="35"/>
      <c r="E117"/>
      <c r="F117"/>
    </row>
    <row r="118" spans="4:6" x14ac:dyDescent="0.25">
      <c r="D118" s="35"/>
      <c r="E118"/>
      <c r="F118"/>
    </row>
    <row r="119" spans="4:6" x14ac:dyDescent="0.25">
      <c r="D119" s="35"/>
      <c r="E119"/>
      <c r="F119"/>
    </row>
    <row r="120" spans="4:6" x14ac:dyDescent="0.25">
      <c r="D120" s="35"/>
      <c r="E120"/>
      <c r="F120"/>
    </row>
    <row r="121" spans="4:6" x14ac:dyDescent="0.25">
      <c r="D121" s="35"/>
      <c r="E121"/>
      <c r="F121"/>
    </row>
    <row r="122" spans="4:6" x14ac:dyDescent="0.25">
      <c r="D122" s="35"/>
      <c r="E122"/>
      <c r="F122"/>
    </row>
    <row r="123" spans="4:6" x14ac:dyDescent="0.25">
      <c r="D123" s="35"/>
      <c r="E123"/>
      <c r="F123"/>
    </row>
    <row r="124" spans="4:6" x14ac:dyDescent="0.25">
      <c r="D124" s="35"/>
      <c r="E124"/>
      <c r="F124"/>
    </row>
    <row r="125" spans="4:6" x14ac:dyDescent="0.25">
      <c r="D125" s="35"/>
      <c r="E125"/>
      <c r="F125"/>
    </row>
    <row r="126" spans="4:6" x14ac:dyDescent="0.25">
      <c r="D126" s="35"/>
      <c r="E126"/>
      <c r="F126"/>
    </row>
    <row r="127" spans="4:6" x14ac:dyDescent="0.25">
      <c r="D127" s="35"/>
      <c r="E127"/>
      <c r="F127"/>
    </row>
    <row r="128" spans="4:6" x14ac:dyDescent="0.25">
      <c r="D128" s="35"/>
      <c r="E128"/>
      <c r="F128"/>
    </row>
    <row r="129" spans="4:6" x14ac:dyDescent="0.25">
      <c r="D129" s="35"/>
      <c r="E129"/>
      <c r="F129"/>
    </row>
    <row r="130" spans="4:6" x14ac:dyDescent="0.25">
      <c r="D130" s="35"/>
      <c r="E130"/>
      <c r="F130"/>
    </row>
    <row r="131" spans="4:6" x14ac:dyDescent="0.25">
      <c r="D131" s="35"/>
      <c r="E131"/>
      <c r="F131"/>
    </row>
    <row r="132" spans="4:6" x14ac:dyDescent="0.25">
      <c r="D132" s="35"/>
      <c r="E132"/>
      <c r="F132"/>
    </row>
    <row r="133" spans="4:6" x14ac:dyDescent="0.25">
      <c r="D133" s="35"/>
      <c r="E133"/>
      <c r="F133"/>
    </row>
    <row r="134" spans="4:6" x14ac:dyDescent="0.25">
      <c r="D134" s="35"/>
      <c r="E134"/>
      <c r="F134"/>
    </row>
    <row r="135" spans="4:6" x14ac:dyDescent="0.25">
      <c r="D135" s="35"/>
      <c r="E135"/>
      <c r="F135"/>
    </row>
    <row r="136" spans="4:6" x14ac:dyDescent="0.25">
      <c r="D136" s="35"/>
      <c r="E136"/>
      <c r="F136"/>
    </row>
    <row r="137" spans="4:6" x14ac:dyDescent="0.25">
      <c r="D137" s="35"/>
      <c r="E137"/>
      <c r="F137"/>
    </row>
    <row r="138" spans="4:6" x14ac:dyDescent="0.25">
      <c r="D138" s="35"/>
      <c r="E138"/>
      <c r="F138"/>
    </row>
    <row r="139" spans="4:6" x14ac:dyDescent="0.25">
      <c r="D139" s="35"/>
      <c r="E139"/>
      <c r="F139"/>
    </row>
    <row r="140" spans="4:6" x14ac:dyDescent="0.25">
      <c r="D140" s="35"/>
      <c r="E140"/>
      <c r="F140"/>
    </row>
    <row r="141" spans="4:6" x14ac:dyDescent="0.25">
      <c r="D141" s="35"/>
      <c r="E141"/>
      <c r="F141"/>
    </row>
    <row r="142" spans="4:6" x14ac:dyDescent="0.25">
      <c r="D142" s="35"/>
      <c r="E142"/>
      <c r="F142"/>
    </row>
    <row r="143" spans="4:6" x14ac:dyDescent="0.25">
      <c r="D143" s="35"/>
      <c r="E143"/>
      <c r="F143"/>
    </row>
    <row r="144" spans="4:6" x14ac:dyDescent="0.25">
      <c r="D144" s="35"/>
      <c r="E144"/>
      <c r="F144"/>
    </row>
    <row r="145" spans="4:6" x14ac:dyDescent="0.25">
      <c r="D145" s="35"/>
      <c r="E145"/>
      <c r="F145"/>
    </row>
    <row r="146" spans="4:6" x14ac:dyDescent="0.25">
      <c r="D146" s="35"/>
      <c r="E146"/>
      <c r="F146"/>
    </row>
    <row r="147" spans="4:6" x14ac:dyDescent="0.25">
      <c r="D147" s="35"/>
      <c r="E147"/>
      <c r="F147"/>
    </row>
    <row r="148" spans="4:6" x14ac:dyDescent="0.25">
      <c r="D148" s="35"/>
      <c r="E148"/>
      <c r="F148"/>
    </row>
    <row r="149" spans="4:6" x14ac:dyDescent="0.25">
      <c r="D149" s="35"/>
      <c r="E149"/>
      <c r="F149"/>
    </row>
    <row r="150" spans="4:6" x14ac:dyDescent="0.25">
      <c r="D150" s="35"/>
      <c r="E150"/>
      <c r="F150"/>
    </row>
    <row r="151" spans="4:6" x14ac:dyDescent="0.25">
      <c r="D151" s="35"/>
      <c r="E151"/>
      <c r="F151"/>
    </row>
    <row r="152" spans="4:6" x14ac:dyDescent="0.25">
      <c r="D152" s="35"/>
      <c r="E152"/>
      <c r="F152"/>
    </row>
    <row r="153" spans="4:6" x14ac:dyDescent="0.25">
      <c r="D153" s="35"/>
      <c r="E153"/>
      <c r="F153"/>
    </row>
    <row r="154" spans="4:6" x14ac:dyDescent="0.25">
      <c r="D154" s="35"/>
      <c r="E154"/>
      <c r="F154"/>
    </row>
    <row r="155" spans="4:6" x14ac:dyDescent="0.25">
      <c r="D155" s="35"/>
      <c r="E155"/>
      <c r="F155"/>
    </row>
    <row r="156" spans="4:6" x14ac:dyDescent="0.25">
      <c r="D156" s="35"/>
      <c r="E156"/>
      <c r="F156"/>
    </row>
    <row r="157" spans="4:6" x14ac:dyDescent="0.25">
      <c r="D157" s="35"/>
      <c r="E157"/>
      <c r="F157"/>
    </row>
    <row r="158" spans="4:6" x14ac:dyDescent="0.25">
      <c r="D158" s="35"/>
      <c r="E158"/>
      <c r="F158"/>
    </row>
    <row r="159" spans="4:6" x14ac:dyDescent="0.25">
      <c r="D159" s="35"/>
      <c r="E159"/>
      <c r="F159"/>
    </row>
    <row r="160" spans="4:6" x14ac:dyDescent="0.25">
      <c r="D160" s="35"/>
      <c r="E160"/>
      <c r="F160"/>
    </row>
    <row r="161" spans="4:6" x14ac:dyDescent="0.25">
      <c r="D161" s="35"/>
      <c r="E161"/>
      <c r="F161"/>
    </row>
    <row r="162" spans="4:6" x14ac:dyDescent="0.25">
      <c r="D162" s="35"/>
      <c r="E162"/>
      <c r="F162"/>
    </row>
    <row r="163" spans="4:6" x14ac:dyDescent="0.25">
      <c r="D163" s="35"/>
      <c r="E163"/>
      <c r="F163"/>
    </row>
    <row r="164" spans="4:6" x14ac:dyDescent="0.25">
      <c r="D164" s="35"/>
      <c r="E164"/>
      <c r="F164"/>
    </row>
    <row r="165" spans="4:6" x14ac:dyDescent="0.25">
      <c r="D165" s="35"/>
      <c r="E165"/>
      <c r="F165"/>
    </row>
    <row r="166" spans="4:6" x14ac:dyDescent="0.25">
      <c r="D166" s="35"/>
      <c r="E166"/>
      <c r="F166"/>
    </row>
    <row r="167" spans="4:6" x14ac:dyDescent="0.25">
      <c r="D167" s="35"/>
      <c r="E167"/>
      <c r="F167"/>
    </row>
    <row r="168" spans="4:6" x14ac:dyDescent="0.25">
      <c r="D168" s="35"/>
      <c r="E168"/>
      <c r="F168"/>
    </row>
    <row r="169" spans="4:6" x14ac:dyDescent="0.25">
      <c r="D169" s="35"/>
      <c r="E169"/>
      <c r="F169"/>
    </row>
    <row r="170" spans="4:6" x14ac:dyDescent="0.25">
      <c r="D170" s="35"/>
      <c r="E170"/>
      <c r="F170"/>
    </row>
    <row r="171" spans="4:6" x14ac:dyDescent="0.25">
      <c r="D171" s="35"/>
      <c r="E171"/>
      <c r="F171"/>
    </row>
    <row r="172" spans="4:6" x14ac:dyDescent="0.25">
      <c r="D172" s="35"/>
      <c r="E172"/>
      <c r="F172"/>
    </row>
    <row r="173" spans="4:6" x14ac:dyDescent="0.25">
      <c r="D173" s="35"/>
      <c r="E173"/>
      <c r="F173"/>
    </row>
    <row r="174" spans="4:6" x14ac:dyDescent="0.25">
      <c r="D174" s="35"/>
      <c r="E174"/>
      <c r="F174"/>
    </row>
    <row r="175" spans="4:6" x14ac:dyDescent="0.25">
      <c r="D175" s="35"/>
      <c r="E175"/>
      <c r="F175"/>
    </row>
    <row r="176" spans="4:6" x14ac:dyDescent="0.25">
      <c r="D176" s="35"/>
      <c r="E176"/>
      <c r="F176"/>
    </row>
    <row r="177" spans="4:6" x14ac:dyDescent="0.25">
      <c r="D177" s="35"/>
      <c r="E177"/>
      <c r="F177"/>
    </row>
    <row r="178" spans="4:6" x14ac:dyDescent="0.25">
      <c r="D178" s="35"/>
      <c r="E178"/>
      <c r="F178"/>
    </row>
    <row r="179" spans="4:6" x14ac:dyDescent="0.25">
      <c r="D179" s="35"/>
      <c r="E179"/>
      <c r="F179"/>
    </row>
    <row r="180" spans="4:6" x14ac:dyDescent="0.25">
      <c r="D180" s="35"/>
      <c r="E180"/>
      <c r="F180"/>
    </row>
    <row r="181" spans="4:6" x14ac:dyDescent="0.25">
      <c r="D181" s="35"/>
      <c r="E181"/>
      <c r="F181"/>
    </row>
    <row r="182" spans="4:6" x14ac:dyDescent="0.25">
      <c r="D182" s="35"/>
      <c r="E182"/>
      <c r="F182"/>
    </row>
    <row r="183" spans="4:6" x14ac:dyDescent="0.25">
      <c r="D183" s="35"/>
      <c r="E183"/>
      <c r="F183"/>
    </row>
    <row r="184" spans="4:6" x14ac:dyDescent="0.25">
      <c r="D184" s="35"/>
      <c r="E184"/>
      <c r="F184"/>
    </row>
    <row r="185" spans="4:6" x14ac:dyDescent="0.25">
      <c r="D185" s="35"/>
      <c r="E185"/>
      <c r="F185"/>
    </row>
    <row r="186" spans="4:6" x14ac:dyDescent="0.25">
      <c r="D186" s="35"/>
      <c r="E186"/>
      <c r="F186"/>
    </row>
    <row r="187" spans="4:6" x14ac:dyDescent="0.25">
      <c r="D187" s="35"/>
      <c r="E187"/>
      <c r="F187"/>
    </row>
    <row r="188" spans="4:6" x14ac:dyDescent="0.25">
      <c r="D188" s="35"/>
      <c r="E188"/>
      <c r="F188"/>
    </row>
    <row r="189" spans="4:6" x14ac:dyDescent="0.25">
      <c r="D189" s="35"/>
      <c r="E189"/>
      <c r="F189"/>
    </row>
    <row r="190" spans="4:6" x14ac:dyDescent="0.25">
      <c r="D190" s="35"/>
      <c r="E190"/>
      <c r="F190"/>
    </row>
    <row r="191" spans="4:6" x14ac:dyDescent="0.25">
      <c r="D191" s="35"/>
      <c r="E191"/>
      <c r="F191"/>
    </row>
    <row r="192" spans="4:6" x14ac:dyDescent="0.25">
      <c r="D192" s="35"/>
      <c r="E192"/>
      <c r="F192"/>
    </row>
    <row r="193" spans="4:6" x14ac:dyDescent="0.25">
      <c r="D193" s="35"/>
      <c r="E193"/>
      <c r="F193"/>
    </row>
    <row r="194" spans="4:6" x14ac:dyDescent="0.25">
      <c r="D194" s="35"/>
      <c r="E194"/>
      <c r="F194"/>
    </row>
    <row r="195" spans="4:6" x14ac:dyDescent="0.25">
      <c r="D195" s="35"/>
      <c r="E195"/>
      <c r="F195"/>
    </row>
    <row r="196" spans="4:6" x14ac:dyDescent="0.25">
      <c r="D196" s="35"/>
      <c r="E196"/>
      <c r="F196"/>
    </row>
    <row r="197" spans="4:6" x14ac:dyDescent="0.25">
      <c r="D197" s="35"/>
      <c r="E197"/>
      <c r="F197"/>
    </row>
    <row r="198" spans="4:6" x14ac:dyDescent="0.25">
      <c r="D198" s="35"/>
      <c r="E198"/>
      <c r="F198"/>
    </row>
    <row r="199" spans="4:6" x14ac:dyDescent="0.25">
      <c r="D199" s="35"/>
      <c r="E199"/>
      <c r="F199"/>
    </row>
    <row r="200" spans="4:6" x14ac:dyDescent="0.25">
      <c r="D200" s="35"/>
      <c r="E200"/>
      <c r="F200"/>
    </row>
    <row r="201" spans="4:6" x14ac:dyDescent="0.25">
      <c r="D201" s="35"/>
      <c r="E201"/>
      <c r="F201"/>
    </row>
    <row r="202" spans="4:6" x14ac:dyDescent="0.25">
      <c r="D202" s="35"/>
      <c r="E202"/>
      <c r="F202"/>
    </row>
    <row r="203" spans="4:6" x14ac:dyDescent="0.25">
      <c r="D203" s="35"/>
      <c r="E203"/>
      <c r="F203"/>
    </row>
    <row r="204" spans="4:6" x14ac:dyDescent="0.25">
      <c r="D204" s="35"/>
      <c r="E204"/>
      <c r="F204"/>
    </row>
    <row r="205" spans="4:6" x14ac:dyDescent="0.25">
      <c r="D205" s="35"/>
      <c r="E205"/>
      <c r="F205"/>
    </row>
    <row r="206" spans="4:6" x14ac:dyDescent="0.25">
      <c r="D206" s="35"/>
      <c r="E206"/>
      <c r="F206"/>
    </row>
    <row r="207" spans="4:6" x14ac:dyDescent="0.25">
      <c r="D207" s="35"/>
      <c r="E207"/>
      <c r="F207"/>
    </row>
    <row r="208" spans="4:6" x14ac:dyDescent="0.25">
      <c r="D208" s="35"/>
      <c r="E208"/>
      <c r="F208"/>
    </row>
    <row r="209" spans="4:6" x14ac:dyDescent="0.25">
      <c r="D209" s="35"/>
      <c r="E209"/>
      <c r="F209"/>
    </row>
    <row r="210" spans="4:6" x14ac:dyDescent="0.25">
      <c r="D210" s="35"/>
      <c r="E210"/>
      <c r="F210"/>
    </row>
    <row r="211" spans="4:6" x14ac:dyDescent="0.25">
      <c r="D211" s="35"/>
      <c r="E211"/>
      <c r="F211"/>
    </row>
    <row r="212" spans="4:6" x14ac:dyDescent="0.25">
      <c r="D212" s="35"/>
      <c r="E212"/>
      <c r="F212"/>
    </row>
    <row r="213" spans="4:6" x14ac:dyDescent="0.25">
      <c r="D213" s="35"/>
      <c r="E213"/>
      <c r="F213"/>
    </row>
    <row r="214" spans="4:6" x14ac:dyDescent="0.25">
      <c r="D214" s="35"/>
      <c r="E214"/>
      <c r="F214"/>
    </row>
    <row r="215" spans="4:6" x14ac:dyDescent="0.25">
      <c r="D215" s="35"/>
      <c r="E215"/>
      <c r="F215"/>
    </row>
    <row r="216" spans="4:6" x14ac:dyDescent="0.25">
      <c r="D216" s="35"/>
      <c r="E216"/>
      <c r="F216"/>
    </row>
    <row r="217" spans="4:6" x14ac:dyDescent="0.25">
      <c r="D217" s="35"/>
      <c r="E217"/>
      <c r="F217"/>
    </row>
    <row r="218" spans="4:6" x14ac:dyDescent="0.25">
      <c r="D218" s="35"/>
      <c r="E218"/>
      <c r="F218"/>
    </row>
    <row r="219" spans="4:6" x14ac:dyDescent="0.25">
      <c r="D219" s="35"/>
      <c r="E219"/>
      <c r="F219"/>
    </row>
    <row r="220" spans="4:6" x14ac:dyDescent="0.25">
      <c r="D220" s="35"/>
      <c r="E220"/>
      <c r="F220"/>
    </row>
    <row r="221" spans="4:6" x14ac:dyDescent="0.25">
      <c r="D221" s="35"/>
      <c r="E221"/>
      <c r="F221"/>
    </row>
    <row r="222" spans="4:6" x14ac:dyDescent="0.25">
      <c r="D222" s="35"/>
      <c r="E222"/>
      <c r="F222"/>
    </row>
    <row r="223" spans="4:6" x14ac:dyDescent="0.25">
      <c r="D223" s="35"/>
      <c r="E223"/>
      <c r="F223"/>
    </row>
    <row r="224" spans="4:6" x14ac:dyDescent="0.25">
      <c r="D224" s="35"/>
      <c r="E224"/>
      <c r="F224"/>
    </row>
    <row r="225" spans="4:6" x14ac:dyDescent="0.25">
      <c r="D225" s="35"/>
      <c r="E225"/>
      <c r="F225"/>
    </row>
    <row r="226" spans="4:6" x14ac:dyDescent="0.25">
      <c r="D226" s="35"/>
      <c r="E226"/>
      <c r="F226"/>
    </row>
    <row r="227" spans="4:6" x14ac:dyDescent="0.25">
      <c r="D227" s="35"/>
      <c r="E227"/>
      <c r="F227"/>
    </row>
    <row r="228" spans="4:6" x14ac:dyDescent="0.25">
      <c r="D228" s="35"/>
      <c r="E228"/>
      <c r="F228"/>
    </row>
    <row r="229" spans="4:6" x14ac:dyDescent="0.25">
      <c r="D229" s="35"/>
      <c r="E229"/>
      <c r="F229"/>
    </row>
    <row r="230" spans="4:6" x14ac:dyDescent="0.25">
      <c r="D230" s="35"/>
      <c r="E230"/>
      <c r="F230"/>
    </row>
    <row r="231" spans="4:6" x14ac:dyDescent="0.25">
      <c r="D231" s="35"/>
      <c r="E231"/>
      <c r="F231"/>
    </row>
    <row r="232" spans="4:6" x14ac:dyDescent="0.25">
      <c r="D232" s="35"/>
      <c r="E232"/>
      <c r="F232"/>
    </row>
    <row r="233" spans="4:6" x14ac:dyDescent="0.25">
      <c r="D233" s="35"/>
      <c r="E233"/>
      <c r="F233"/>
    </row>
    <row r="234" spans="4:6" x14ac:dyDescent="0.25">
      <c r="D234" s="35"/>
      <c r="E234"/>
      <c r="F234"/>
    </row>
    <row r="235" spans="4:6" x14ac:dyDescent="0.25">
      <c r="D235" s="35"/>
      <c r="E235"/>
      <c r="F235"/>
    </row>
    <row r="236" spans="4:6" x14ac:dyDescent="0.25">
      <c r="D236" s="35"/>
      <c r="E236"/>
      <c r="F236"/>
    </row>
    <row r="237" spans="4:6" x14ac:dyDescent="0.25">
      <c r="D237" s="35"/>
      <c r="E237"/>
      <c r="F237"/>
    </row>
    <row r="238" spans="4:6" x14ac:dyDescent="0.25">
      <c r="D238" s="35"/>
      <c r="E238"/>
      <c r="F238"/>
    </row>
    <row r="239" spans="4:6" x14ac:dyDescent="0.25">
      <c r="D239" s="35"/>
      <c r="E239"/>
      <c r="F239"/>
    </row>
    <row r="240" spans="4:6" x14ac:dyDescent="0.25">
      <c r="D240" s="35"/>
      <c r="E240"/>
      <c r="F240"/>
    </row>
    <row r="241" spans="4:6" x14ac:dyDescent="0.25">
      <c r="D241" s="35"/>
      <c r="E241"/>
      <c r="F241"/>
    </row>
    <row r="242" spans="4:6" x14ac:dyDescent="0.25">
      <c r="D242" s="35"/>
      <c r="E242"/>
      <c r="F242"/>
    </row>
    <row r="243" spans="4:6" x14ac:dyDescent="0.25">
      <c r="D243" s="35"/>
      <c r="E243"/>
      <c r="F243"/>
    </row>
    <row r="244" spans="4:6" x14ac:dyDescent="0.25">
      <c r="D244" s="35"/>
      <c r="E244"/>
      <c r="F244"/>
    </row>
    <row r="245" spans="4:6" x14ac:dyDescent="0.25">
      <c r="D245" s="35"/>
      <c r="E245"/>
      <c r="F245"/>
    </row>
    <row r="246" spans="4:6" x14ac:dyDescent="0.25">
      <c r="D246" s="35"/>
      <c r="E246"/>
      <c r="F246"/>
    </row>
    <row r="247" spans="4:6" x14ac:dyDescent="0.25">
      <c r="D247" s="35"/>
      <c r="E247"/>
      <c r="F247"/>
    </row>
    <row r="248" spans="4:6" x14ac:dyDescent="0.25">
      <c r="D248" s="35"/>
      <c r="E248"/>
      <c r="F248"/>
    </row>
    <row r="249" spans="4:6" x14ac:dyDescent="0.25">
      <c r="D249" s="35"/>
      <c r="E249"/>
      <c r="F249"/>
    </row>
    <row r="250" spans="4:6" x14ac:dyDescent="0.25">
      <c r="D250" s="35"/>
      <c r="E250"/>
      <c r="F250"/>
    </row>
    <row r="251" spans="4:6" x14ac:dyDescent="0.25">
      <c r="D251" s="35"/>
      <c r="E251"/>
      <c r="F251"/>
    </row>
    <row r="252" spans="4:6" x14ac:dyDescent="0.25">
      <c r="D252" s="35"/>
      <c r="E252"/>
      <c r="F252"/>
    </row>
    <row r="253" spans="4:6" x14ac:dyDescent="0.25">
      <c r="D253" s="35"/>
      <c r="E253"/>
      <c r="F253"/>
    </row>
    <row r="254" spans="4:6" x14ac:dyDescent="0.25">
      <c r="D254" s="35"/>
      <c r="E254"/>
      <c r="F254"/>
    </row>
    <row r="255" spans="4:6" x14ac:dyDescent="0.25">
      <c r="D255" s="35"/>
      <c r="E255"/>
      <c r="F255"/>
    </row>
    <row r="256" spans="4:6" x14ac:dyDescent="0.25">
      <c r="D256" s="35"/>
      <c r="E256"/>
      <c r="F256"/>
    </row>
    <row r="257" spans="4:6" x14ac:dyDescent="0.25">
      <c r="D257" s="35"/>
      <c r="E257"/>
      <c r="F257"/>
    </row>
    <row r="258" spans="4:6" x14ac:dyDescent="0.25">
      <c r="D258" s="35"/>
      <c r="E258"/>
      <c r="F258"/>
    </row>
    <row r="259" spans="4:6" x14ac:dyDescent="0.25">
      <c r="D259" s="35"/>
      <c r="E259"/>
      <c r="F259"/>
    </row>
    <row r="260" spans="4:6" x14ac:dyDescent="0.25">
      <c r="D260" s="35"/>
      <c r="E260"/>
      <c r="F260"/>
    </row>
  </sheetData>
  <mergeCells count="6">
    <mergeCell ref="C1:Q1"/>
    <mergeCell ref="C2:Q2"/>
    <mergeCell ref="C3:Q3"/>
    <mergeCell ref="D6:G6"/>
    <mergeCell ref="I6:L6"/>
    <mergeCell ref="N6:Q6"/>
  </mergeCells>
  <pageMargins left="0.7" right="0.7" top="0.75" bottom="0.75" header="0.3" footer="0.3"/>
  <pageSetup paperSize="9" scale="82" fitToHeight="0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8DC62-8A35-4CE1-9CB1-2C0889A351A6}">
  <sheetPr codeName="Sheet5">
    <tabColor theme="9" tint="0.59999389629810485"/>
    <pageSetUpPr fitToPage="1"/>
  </sheetPr>
  <dimension ref="A1:P1720"/>
  <sheetViews>
    <sheetView topLeftCell="C1" workbookViewId="0">
      <pane xSplit="2" ySplit="7" topLeftCell="E23" activePane="bottomRight" state="frozen"/>
      <selection activeCell="C1" sqref="C1"/>
      <selection pane="topRight" activeCell="E1" sqref="E1"/>
      <selection pane="bottomLeft" activeCell="C8" sqref="C8"/>
      <selection pane="bottomRight" activeCell="E8" sqref="E8"/>
    </sheetView>
  </sheetViews>
  <sheetFormatPr defaultRowHeight="12.75" x14ac:dyDescent="0.2"/>
  <cols>
    <col min="1" max="2" width="9.140625" style="5" hidden="1" customWidth="1"/>
    <col min="3" max="3" width="22.5703125" style="5" bestFit="1" customWidth="1"/>
    <col min="4" max="4" width="7.7109375" style="6" hidden="1" customWidth="1"/>
    <col min="5" max="5" width="25.7109375" style="6" bestFit="1" customWidth="1"/>
    <col min="6" max="6" width="8.7109375" style="57" customWidth="1"/>
    <col min="7" max="7" width="14.28515625" style="6" customWidth="1"/>
    <col min="8" max="8" width="14.28515625" style="5" customWidth="1"/>
    <col min="9" max="9" width="1.7109375" style="5" customWidth="1"/>
    <col min="10" max="10" width="8.7109375" style="59" customWidth="1"/>
    <col min="11" max="12" width="14.28515625" style="6" customWidth="1"/>
    <col min="13" max="13" width="1.7109375" style="5" customWidth="1"/>
    <col min="14" max="14" width="8.7109375" style="55" customWidth="1"/>
    <col min="15" max="16" width="14.28515625" style="6" customWidth="1"/>
    <col min="17" max="16384" width="9.140625" style="5"/>
  </cols>
  <sheetData>
    <row r="1" spans="1:16" ht="19.5" x14ac:dyDescent="0.3">
      <c r="C1" s="117" t="s">
        <v>148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</row>
    <row r="2" spans="1:16" ht="19.5" x14ac:dyDescent="0.3">
      <c r="C2" s="118" t="s">
        <v>389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16" ht="19.5" x14ac:dyDescent="0.3">
      <c r="C3" s="117" t="s">
        <v>149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</row>
    <row r="5" spans="1:16" hidden="1" x14ac:dyDescent="0.2">
      <c r="C5" s="22" t="s">
        <v>128</v>
      </c>
      <c r="D5" s="7" t="s">
        <v>129</v>
      </c>
    </row>
    <row r="6" spans="1:16" x14ac:dyDescent="0.2">
      <c r="F6" s="121" t="s">
        <v>141</v>
      </c>
      <c r="G6" s="122"/>
      <c r="H6" s="123"/>
      <c r="J6" s="134" t="s">
        <v>383</v>
      </c>
      <c r="K6" s="122"/>
      <c r="L6" s="123"/>
      <c r="N6" s="124" t="s">
        <v>143</v>
      </c>
      <c r="O6" s="125"/>
      <c r="P6" s="126"/>
    </row>
    <row r="7" spans="1:16" x14ac:dyDescent="0.2">
      <c r="C7" s="22" t="s">
        <v>283</v>
      </c>
      <c r="D7" s="22" t="s">
        <v>378</v>
      </c>
      <c r="E7" s="22" t="s">
        <v>371</v>
      </c>
      <c r="F7" s="55" t="s">
        <v>385</v>
      </c>
      <c r="G7" s="5" t="s">
        <v>384</v>
      </c>
      <c r="H7" s="5" t="s">
        <v>137</v>
      </c>
      <c r="I7" s="8"/>
      <c r="J7" s="61" t="s">
        <v>385</v>
      </c>
      <c r="K7" s="9" t="s">
        <v>147</v>
      </c>
      <c r="L7" s="9" t="s">
        <v>137</v>
      </c>
      <c r="M7" s="8"/>
      <c r="N7" s="61" t="s">
        <v>385</v>
      </c>
      <c r="O7" s="9" t="s">
        <v>147</v>
      </c>
      <c r="P7" s="9" t="s">
        <v>137</v>
      </c>
    </row>
    <row r="8" spans="1:16" x14ac:dyDescent="0.2">
      <c r="A8" s="24">
        <f>G8/F8</f>
        <v>2201988.5</v>
      </c>
      <c r="B8" s="24">
        <f>H8/F8</f>
        <v>660596.5</v>
      </c>
      <c r="C8" s="51" t="s">
        <v>285</v>
      </c>
      <c r="D8" s="53">
        <v>18</v>
      </c>
      <c r="E8" s="52" t="s">
        <v>168</v>
      </c>
      <c r="F8" s="45">
        <v>2</v>
      </c>
      <c r="G8" s="13">
        <v>4403977</v>
      </c>
      <c r="H8" s="13">
        <v>1321193</v>
      </c>
      <c r="J8" s="60">
        <f>F8-N8</f>
        <v>0</v>
      </c>
      <c r="K8" s="10">
        <f t="shared" ref="K8:K39" si="0">ROUND(J8*A8,0)</f>
        <v>0</v>
      </c>
      <c r="L8" s="10">
        <f t="shared" ref="L8:L39" si="1">ROUND(J8*B8,0)</f>
        <v>0</v>
      </c>
      <c r="N8" s="48">
        <f>SUMIFS('MC+SP Data'!$D$2:$D$134,'MC+SP Data'!$C$2:$C$134,E8,'MC+SP Data'!$H$2:$H$134,$D$5)</f>
        <v>2</v>
      </c>
      <c r="O8" s="10">
        <f t="shared" ref="O8:O39" si="2">ROUND(N8*A8,0)</f>
        <v>4403977</v>
      </c>
      <c r="P8" s="10">
        <f t="shared" ref="P8:P39" si="3">ROUND(N8*B8,0)</f>
        <v>1321193</v>
      </c>
    </row>
    <row r="9" spans="1:16" x14ac:dyDescent="0.2">
      <c r="A9" s="24">
        <f t="shared" ref="A9:A72" si="4">G9/F9</f>
        <v>3502030.6666666665</v>
      </c>
      <c r="B9" s="24">
        <f t="shared" ref="B9:B72" si="5">H9/F9</f>
        <v>1050609.25</v>
      </c>
      <c r="C9" s="51"/>
      <c r="D9" s="53">
        <v>34</v>
      </c>
      <c r="E9" s="52" t="s">
        <v>184</v>
      </c>
      <c r="F9" s="45">
        <v>24</v>
      </c>
      <c r="G9" s="13">
        <v>84048736</v>
      </c>
      <c r="H9" s="13">
        <v>25214622</v>
      </c>
      <c r="J9" s="60">
        <f t="shared" ref="J9:J72" si="6">F9-N9</f>
        <v>0</v>
      </c>
      <c r="K9" s="10">
        <f t="shared" si="0"/>
        <v>0</v>
      </c>
      <c r="L9" s="10">
        <f t="shared" si="1"/>
        <v>0</v>
      </c>
      <c r="N9" s="48">
        <f>SUMIFS('MC+SP Data'!$D$2:$D$134,'MC+SP Data'!$C$2:$C$134,E9,'MC+SP Data'!$H$2:$H$134,$D$5)</f>
        <v>24</v>
      </c>
      <c r="O9" s="10">
        <f t="shared" si="2"/>
        <v>84048736</v>
      </c>
      <c r="P9" s="10">
        <f t="shared" si="3"/>
        <v>25214622</v>
      </c>
    </row>
    <row r="10" spans="1:16" x14ac:dyDescent="0.2">
      <c r="A10" s="24">
        <f t="shared" si="4"/>
        <v>5421836.25</v>
      </c>
      <c r="B10" s="24">
        <f t="shared" si="5"/>
        <v>1626551</v>
      </c>
      <c r="C10" s="51"/>
      <c r="D10" s="53">
        <v>35</v>
      </c>
      <c r="E10" s="52" t="s">
        <v>185</v>
      </c>
      <c r="F10" s="45">
        <v>8</v>
      </c>
      <c r="G10" s="13">
        <v>43374690</v>
      </c>
      <c r="H10" s="13">
        <v>13012408</v>
      </c>
      <c r="J10" s="60">
        <f t="shared" si="6"/>
        <v>0</v>
      </c>
      <c r="K10" s="10">
        <f t="shared" si="0"/>
        <v>0</v>
      </c>
      <c r="L10" s="10">
        <f t="shared" si="1"/>
        <v>0</v>
      </c>
      <c r="N10" s="48">
        <f>SUMIFS('MC+SP Data'!$D$2:$D$134,'MC+SP Data'!$C$2:$C$134,E10,'MC+SP Data'!$H$2:$H$134,$D$5)</f>
        <v>8</v>
      </c>
      <c r="O10" s="10">
        <f t="shared" si="2"/>
        <v>43374690</v>
      </c>
      <c r="P10" s="10">
        <f t="shared" si="3"/>
        <v>13012408</v>
      </c>
    </row>
    <row r="11" spans="1:16" x14ac:dyDescent="0.2">
      <c r="A11" s="24">
        <f t="shared" si="4"/>
        <v>9443473.5</v>
      </c>
      <c r="B11" s="24">
        <f t="shared" si="5"/>
        <v>2833042</v>
      </c>
      <c r="C11" s="51"/>
      <c r="D11" s="53">
        <v>47</v>
      </c>
      <c r="E11" s="52" t="s">
        <v>197</v>
      </c>
      <c r="F11" s="45">
        <v>2</v>
      </c>
      <c r="G11" s="13">
        <v>18886947</v>
      </c>
      <c r="H11" s="13">
        <v>5666084</v>
      </c>
      <c r="J11" s="60">
        <f t="shared" si="6"/>
        <v>0</v>
      </c>
      <c r="K11" s="10">
        <f t="shared" si="0"/>
        <v>0</v>
      </c>
      <c r="L11" s="10">
        <f t="shared" si="1"/>
        <v>0</v>
      </c>
      <c r="N11" s="48">
        <f>SUMIFS('MC+SP Data'!$D$2:$D$134,'MC+SP Data'!$C$2:$C$134,E11,'MC+SP Data'!$H$2:$H$134,$D$5)</f>
        <v>2</v>
      </c>
      <c r="O11" s="10">
        <f t="shared" si="2"/>
        <v>18886947</v>
      </c>
      <c r="P11" s="10">
        <f t="shared" si="3"/>
        <v>5666084</v>
      </c>
    </row>
    <row r="12" spans="1:16" x14ac:dyDescent="0.2">
      <c r="A12" s="24">
        <f t="shared" si="4"/>
        <v>179180.05084745763</v>
      </c>
      <c r="B12" s="24">
        <f t="shared" si="5"/>
        <v>53754.016949152545</v>
      </c>
      <c r="C12" s="51"/>
      <c r="D12" s="53">
        <v>50</v>
      </c>
      <c r="E12" s="52" t="s">
        <v>200</v>
      </c>
      <c r="F12" s="45">
        <v>118</v>
      </c>
      <c r="G12" s="13">
        <v>21143246</v>
      </c>
      <c r="H12" s="13">
        <v>6342974</v>
      </c>
      <c r="J12" s="60">
        <f t="shared" si="6"/>
        <v>0</v>
      </c>
      <c r="K12" s="10">
        <f t="shared" si="0"/>
        <v>0</v>
      </c>
      <c r="L12" s="10">
        <f t="shared" si="1"/>
        <v>0</v>
      </c>
      <c r="N12" s="48">
        <f>SUMIFS('MC+SP Data'!$D$2:$D$134,'MC+SP Data'!$C$2:$C$134,E12,'MC+SP Data'!$H$2:$H$134,$D$5)</f>
        <v>118</v>
      </c>
      <c r="O12" s="10">
        <f t="shared" si="2"/>
        <v>21143246</v>
      </c>
      <c r="P12" s="10">
        <f t="shared" si="3"/>
        <v>6342974</v>
      </c>
    </row>
    <row r="13" spans="1:16" x14ac:dyDescent="0.2">
      <c r="A13" s="24">
        <f t="shared" si="4"/>
        <v>1346034</v>
      </c>
      <c r="B13" s="24">
        <f t="shared" si="5"/>
        <v>403810</v>
      </c>
      <c r="C13" s="51"/>
      <c r="D13" s="53">
        <v>51</v>
      </c>
      <c r="E13" s="52" t="s">
        <v>201</v>
      </c>
      <c r="F13" s="45">
        <v>2</v>
      </c>
      <c r="G13" s="13">
        <v>2692068</v>
      </c>
      <c r="H13" s="13">
        <v>807620</v>
      </c>
      <c r="J13" s="60">
        <f t="shared" si="6"/>
        <v>0</v>
      </c>
      <c r="K13" s="10">
        <f t="shared" si="0"/>
        <v>0</v>
      </c>
      <c r="L13" s="10">
        <f t="shared" si="1"/>
        <v>0</v>
      </c>
      <c r="N13" s="48">
        <f>SUMIFS('MC+SP Data'!$D$2:$D$134,'MC+SP Data'!$C$2:$C$134,E13,'MC+SP Data'!$H$2:$H$134,$D$5)</f>
        <v>2</v>
      </c>
      <c r="O13" s="10">
        <f t="shared" si="2"/>
        <v>2692068</v>
      </c>
      <c r="P13" s="10">
        <f t="shared" si="3"/>
        <v>807620</v>
      </c>
    </row>
    <row r="14" spans="1:16" x14ac:dyDescent="0.2">
      <c r="A14" s="24">
        <f t="shared" si="4"/>
        <v>333391</v>
      </c>
      <c r="B14" s="24">
        <f t="shared" si="5"/>
        <v>100017.25</v>
      </c>
      <c r="C14" s="51"/>
      <c r="D14" s="53">
        <v>54</v>
      </c>
      <c r="E14" s="52" t="s">
        <v>204</v>
      </c>
      <c r="F14" s="45">
        <v>12</v>
      </c>
      <c r="G14" s="13">
        <v>4000692</v>
      </c>
      <c r="H14" s="13">
        <v>1200207</v>
      </c>
      <c r="J14" s="60">
        <f t="shared" si="6"/>
        <v>0</v>
      </c>
      <c r="K14" s="10">
        <f t="shared" si="0"/>
        <v>0</v>
      </c>
      <c r="L14" s="10">
        <f t="shared" si="1"/>
        <v>0</v>
      </c>
      <c r="N14" s="48">
        <f>SUMIFS('MC+SP Data'!$D$2:$D$134,'MC+SP Data'!$C$2:$C$134,E14,'MC+SP Data'!$H$2:$H$134,$D$5)</f>
        <v>12</v>
      </c>
      <c r="O14" s="10">
        <f t="shared" si="2"/>
        <v>4000692</v>
      </c>
      <c r="P14" s="10">
        <f t="shared" si="3"/>
        <v>1200207</v>
      </c>
    </row>
    <row r="15" spans="1:16" x14ac:dyDescent="0.2">
      <c r="A15" s="24">
        <f t="shared" si="4"/>
        <v>1308681</v>
      </c>
      <c r="B15" s="24">
        <f t="shared" si="5"/>
        <v>392604.25</v>
      </c>
      <c r="C15" s="51"/>
      <c r="D15" s="53">
        <v>55</v>
      </c>
      <c r="E15" s="52" t="s">
        <v>205</v>
      </c>
      <c r="F15" s="45">
        <v>20</v>
      </c>
      <c r="G15" s="13">
        <v>26173620</v>
      </c>
      <c r="H15" s="13">
        <v>7852085</v>
      </c>
      <c r="J15" s="60">
        <f t="shared" si="6"/>
        <v>0</v>
      </c>
      <c r="K15" s="10">
        <f t="shared" si="0"/>
        <v>0</v>
      </c>
      <c r="L15" s="10">
        <f t="shared" si="1"/>
        <v>0</v>
      </c>
      <c r="N15" s="48">
        <f>SUMIFS('MC+SP Data'!$D$2:$D$134,'MC+SP Data'!$C$2:$C$134,E15,'MC+SP Data'!$H$2:$H$134,$D$5)</f>
        <v>20</v>
      </c>
      <c r="O15" s="10">
        <f t="shared" si="2"/>
        <v>26173620</v>
      </c>
      <c r="P15" s="10">
        <f t="shared" si="3"/>
        <v>7852085</v>
      </c>
    </row>
    <row r="16" spans="1:16" x14ac:dyDescent="0.2">
      <c r="A16" s="24">
        <f t="shared" si="4"/>
        <v>1181811</v>
      </c>
      <c r="B16" s="24">
        <f t="shared" si="5"/>
        <v>354543</v>
      </c>
      <c r="C16" s="51"/>
      <c r="D16" s="53">
        <v>60</v>
      </c>
      <c r="E16" s="52" t="s">
        <v>210</v>
      </c>
      <c r="F16" s="45">
        <v>1</v>
      </c>
      <c r="G16" s="13">
        <v>1181811</v>
      </c>
      <c r="H16" s="13">
        <v>354543</v>
      </c>
      <c r="J16" s="60">
        <f t="shared" si="6"/>
        <v>0</v>
      </c>
      <c r="K16" s="10">
        <f t="shared" si="0"/>
        <v>0</v>
      </c>
      <c r="L16" s="10">
        <f t="shared" si="1"/>
        <v>0</v>
      </c>
      <c r="N16" s="48">
        <f>SUMIFS('MC+SP Data'!$D$2:$D$134,'MC+SP Data'!$C$2:$C$134,E16,'MC+SP Data'!$H$2:$H$134,$D$5)</f>
        <v>1</v>
      </c>
      <c r="O16" s="10">
        <f t="shared" si="2"/>
        <v>1181811</v>
      </c>
      <c r="P16" s="10">
        <f t="shared" si="3"/>
        <v>354543</v>
      </c>
    </row>
    <row r="17" spans="1:16" x14ac:dyDescent="0.2">
      <c r="A17" s="24">
        <f t="shared" si="4"/>
        <v>499351</v>
      </c>
      <c r="B17" s="24">
        <f t="shared" si="5"/>
        <v>149805</v>
      </c>
      <c r="C17" s="51"/>
      <c r="D17" s="53">
        <v>63</v>
      </c>
      <c r="E17" s="52" t="s">
        <v>213</v>
      </c>
      <c r="F17" s="45">
        <v>2</v>
      </c>
      <c r="G17" s="13">
        <v>998702</v>
      </c>
      <c r="H17" s="13">
        <v>299610</v>
      </c>
      <c r="J17" s="60">
        <f t="shared" si="6"/>
        <v>0</v>
      </c>
      <c r="K17" s="10">
        <f t="shared" si="0"/>
        <v>0</v>
      </c>
      <c r="L17" s="10">
        <f t="shared" si="1"/>
        <v>0</v>
      </c>
      <c r="N17" s="48">
        <f>SUMIFS('MC+SP Data'!$D$2:$D$134,'MC+SP Data'!$C$2:$C$134,E17,'MC+SP Data'!$H$2:$H$134,$D$5)</f>
        <v>2</v>
      </c>
      <c r="O17" s="10">
        <f t="shared" si="2"/>
        <v>998702</v>
      </c>
      <c r="P17" s="10">
        <f t="shared" si="3"/>
        <v>299610</v>
      </c>
    </row>
    <row r="18" spans="1:16" x14ac:dyDescent="0.2">
      <c r="A18" s="24">
        <f t="shared" si="4"/>
        <v>91370561</v>
      </c>
      <c r="B18" s="24">
        <f t="shared" si="5"/>
        <v>27411168</v>
      </c>
      <c r="C18" s="51"/>
      <c r="D18" s="53">
        <v>70</v>
      </c>
      <c r="E18" s="52" t="s">
        <v>220</v>
      </c>
      <c r="F18" s="45">
        <v>1</v>
      </c>
      <c r="G18" s="13">
        <v>91370561</v>
      </c>
      <c r="H18" s="13">
        <v>27411168</v>
      </c>
      <c r="J18" s="60">
        <f t="shared" si="6"/>
        <v>0</v>
      </c>
      <c r="K18" s="10">
        <f t="shared" si="0"/>
        <v>0</v>
      </c>
      <c r="L18" s="10">
        <f t="shared" si="1"/>
        <v>0</v>
      </c>
      <c r="N18" s="48">
        <f>SUMIFS('MC+SP Data'!$D$2:$D$134,'MC+SP Data'!$C$2:$C$134,E18,'MC+SP Data'!$H$2:$H$134,$D$5)</f>
        <v>1</v>
      </c>
      <c r="O18" s="10">
        <f t="shared" si="2"/>
        <v>91370561</v>
      </c>
      <c r="P18" s="10">
        <f t="shared" si="3"/>
        <v>27411168</v>
      </c>
    </row>
    <row r="19" spans="1:16" x14ac:dyDescent="0.2">
      <c r="A19" s="24">
        <f t="shared" si="4"/>
        <v>372518.16666666669</v>
      </c>
      <c r="B19" s="24">
        <f t="shared" si="5"/>
        <v>111755.5</v>
      </c>
      <c r="C19" s="51"/>
      <c r="D19" s="53">
        <v>71</v>
      </c>
      <c r="E19" s="52" t="s">
        <v>221</v>
      </c>
      <c r="F19" s="45">
        <v>6</v>
      </c>
      <c r="G19" s="13">
        <v>2235109</v>
      </c>
      <c r="H19" s="13">
        <v>670533</v>
      </c>
      <c r="J19" s="60">
        <f t="shared" si="6"/>
        <v>0</v>
      </c>
      <c r="K19" s="10">
        <f t="shared" si="0"/>
        <v>0</v>
      </c>
      <c r="L19" s="10">
        <f t="shared" si="1"/>
        <v>0</v>
      </c>
      <c r="N19" s="48">
        <f>SUMIFS('MC+SP Data'!$D$2:$D$134,'MC+SP Data'!$C$2:$C$134,E19,'MC+SP Data'!$H$2:$H$134,$D$5)</f>
        <v>6</v>
      </c>
      <c r="O19" s="10">
        <f t="shared" si="2"/>
        <v>2235109</v>
      </c>
      <c r="P19" s="10">
        <f t="shared" si="3"/>
        <v>670533</v>
      </c>
    </row>
    <row r="20" spans="1:16" x14ac:dyDescent="0.2">
      <c r="A20" s="24">
        <f t="shared" si="4"/>
        <v>8741074</v>
      </c>
      <c r="B20" s="24">
        <f t="shared" si="5"/>
        <v>2622322</v>
      </c>
      <c r="C20" s="51"/>
      <c r="D20" s="53">
        <v>74</v>
      </c>
      <c r="E20" s="52" t="s">
        <v>224</v>
      </c>
      <c r="F20" s="45">
        <v>1</v>
      </c>
      <c r="G20" s="13">
        <v>8741074</v>
      </c>
      <c r="H20" s="13">
        <v>2622322</v>
      </c>
      <c r="J20" s="60">
        <f t="shared" si="6"/>
        <v>0</v>
      </c>
      <c r="K20" s="10">
        <f t="shared" si="0"/>
        <v>0</v>
      </c>
      <c r="L20" s="10">
        <f t="shared" si="1"/>
        <v>0</v>
      </c>
      <c r="N20" s="48">
        <f>SUMIFS('MC+SP Data'!$D$2:$D$134,'MC+SP Data'!$C$2:$C$134,E20,'MC+SP Data'!$H$2:$H$134,$D$5)</f>
        <v>1</v>
      </c>
      <c r="O20" s="10">
        <f t="shared" si="2"/>
        <v>8741074</v>
      </c>
      <c r="P20" s="10">
        <f t="shared" si="3"/>
        <v>2622322</v>
      </c>
    </row>
    <row r="21" spans="1:16" x14ac:dyDescent="0.2">
      <c r="A21" s="24">
        <f t="shared" si="4"/>
        <v>208374.5</v>
      </c>
      <c r="B21" s="24">
        <f t="shared" si="5"/>
        <v>62512.5</v>
      </c>
      <c r="C21" s="51"/>
      <c r="D21" s="53">
        <v>75</v>
      </c>
      <c r="E21" s="52" t="s">
        <v>225</v>
      </c>
      <c r="F21" s="45">
        <v>2</v>
      </c>
      <c r="G21" s="13">
        <v>416749</v>
      </c>
      <c r="H21" s="13">
        <v>125025</v>
      </c>
      <c r="J21" s="60">
        <f t="shared" si="6"/>
        <v>0</v>
      </c>
      <c r="K21" s="10">
        <f t="shared" si="0"/>
        <v>0</v>
      </c>
      <c r="L21" s="10">
        <f t="shared" si="1"/>
        <v>0</v>
      </c>
      <c r="N21" s="48">
        <f>SUMIFS('MC+SP Data'!$D$2:$D$134,'MC+SP Data'!$C$2:$C$134,E21,'MC+SP Data'!$H$2:$H$134,$D$5)</f>
        <v>2</v>
      </c>
      <c r="O21" s="10">
        <f t="shared" si="2"/>
        <v>416749</v>
      </c>
      <c r="P21" s="10">
        <f t="shared" si="3"/>
        <v>125025</v>
      </c>
    </row>
    <row r="22" spans="1:16" x14ac:dyDescent="0.2">
      <c r="A22" s="24">
        <f t="shared" si="4"/>
        <v>1149653</v>
      </c>
      <c r="B22" s="24">
        <f t="shared" si="5"/>
        <v>344896</v>
      </c>
      <c r="C22" s="51"/>
      <c r="D22" s="53">
        <v>76</v>
      </c>
      <c r="E22" s="52" t="s">
        <v>226</v>
      </c>
      <c r="F22" s="45">
        <v>1</v>
      </c>
      <c r="G22" s="13">
        <v>1149653</v>
      </c>
      <c r="H22" s="13">
        <v>344896</v>
      </c>
      <c r="J22" s="60">
        <f t="shared" si="6"/>
        <v>0</v>
      </c>
      <c r="K22" s="10">
        <f t="shared" si="0"/>
        <v>0</v>
      </c>
      <c r="L22" s="10">
        <f t="shared" si="1"/>
        <v>0</v>
      </c>
      <c r="N22" s="48">
        <f>SUMIFS('MC+SP Data'!$D$2:$D$134,'MC+SP Data'!$C$2:$C$134,E22,'MC+SP Data'!$H$2:$H$134,$D$5)</f>
        <v>1</v>
      </c>
      <c r="O22" s="10">
        <f t="shared" si="2"/>
        <v>1149653</v>
      </c>
      <c r="P22" s="10">
        <f t="shared" si="3"/>
        <v>344896</v>
      </c>
    </row>
    <row r="23" spans="1:16" x14ac:dyDescent="0.2">
      <c r="A23" s="24">
        <f t="shared" si="4"/>
        <v>98182074.833333328</v>
      </c>
      <c r="B23" s="24">
        <f t="shared" si="5"/>
        <v>29454622.5</v>
      </c>
      <c r="C23" s="51"/>
      <c r="D23" s="53">
        <v>77</v>
      </c>
      <c r="E23" s="52" t="s">
        <v>227</v>
      </c>
      <c r="F23" s="45">
        <v>6</v>
      </c>
      <c r="G23" s="13">
        <v>589092449</v>
      </c>
      <c r="H23" s="13">
        <v>176727735</v>
      </c>
      <c r="J23" s="60">
        <f t="shared" si="6"/>
        <v>0</v>
      </c>
      <c r="K23" s="10">
        <f t="shared" si="0"/>
        <v>0</v>
      </c>
      <c r="L23" s="10">
        <f t="shared" si="1"/>
        <v>0</v>
      </c>
      <c r="N23" s="48">
        <f>SUMIFS('MC+SP Data'!$D$2:$D$134,'MC+SP Data'!$C$2:$C$134,E23,'MC+SP Data'!$H$2:$H$134,$D$5)</f>
        <v>6</v>
      </c>
      <c r="O23" s="10">
        <f t="shared" si="2"/>
        <v>589092449</v>
      </c>
      <c r="P23" s="10">
        <f t="shared" si="3"/>
        <v>176727735</v>
      </c>
    </row>
    <row r="24" spans="1:16" x14ac:dyDescent="0.2">
      <c r="A24" s="24">
        <f t="shared" si="4"/>
        <v>379374.25</v>
      </c>
      <c r="B24" s="24">
        <f t="shared" si="5"/>
        <v>113812.25</v>
      </c>
      <c r="C24" s="51"/>
      <c r="D24" s="53">
        <v>84</v>
      </c>
      <c r="E24" s="52" t="s">
        <v>234</v>
      </c>
      <c r="F24" s="45">
        <v>8</v>
      </c>
      <c r="G24" s="13">
        <v>3034994</v>
      </c>
      <c r="H24" s="13">
        <v>910498</v>
      </c>
      <c r="J24" s="60">
        <f t="shared" si="6"/>
        <v>0</v>
      </c>
      <c r="K24" s="10">
        <f t="shared" si="0"/>
        <v>0</v>
      </c>
      <c r="L24" s="10">
        <f t="shared" si="1"/>
        <v>0</v>
      </c>
      <c r="N24" s="48">
        <f>SUMIFS('MC+SP Data'!$D$2:$D$134,'MC+SP Data'!$C$2:$C$134,E24,'MC+SP Data'!$H$2:$H$134,$D$5)</f>
        <v>8</v>
      </c>
      <c r="O24" s="10">
        <f t="shared" si="2"/>
        <v>3034994</v>
      </c>
      <c r="P24" s="10">
        <f t="shared" si="3"/>
        <v>910498</v>
      </c>
    </row>
    <row r="25" spans="1:16" x14ac:dyDescent="0.2">
      <c r="A25" s="24">
        <f t="shared" si="4"/>
        <v>35618058</v>
      </c>
      <c r="B25" s="24">
        <f t="shared" si="5"/>
        <v>10685417</v>
      </c>
      <c r="C25" s="51"/>
      <c r="D25" s="53">
        <v>88</v>
      </c>
      <c r="E25" s="52" t="s">
        <v>238</v>
      </c>
      <c r="F25" s="45">
        <v>1</v>
      </c>
      <c r="G25" s="13">
        <v>35618058</v>
      </c>
      <c r="H25" s="13">
        <v>10685417</v>
      </c>
      <c r="J25" s="60">
        <f t="shared" si="6"/>
        <v>0</v>
      </c>
      <c r="K25" s="10">
        <f t="shared" si="0"/>
        <v>0</v>
      </c>
      <c r="L25" s="10">
        <f t="shared" si="1"/>
        <v>0</v>
      </c>
      <c r="N25" s="48">
        <f>SUMIFS('MC+SP Data'!$D$2:$D$134,'MC+SP Data'!$C$2:$C$134,E25,'MC+SP Data'!$H$2:$H$134,$D$5)</f>
        <v>1</v>
      </c>
      <c r="O25" s="10">
        <f t="shared" si="2"/>
        <v>35618058</v>
      </c>
      <c r="P25" s="10">
        <f t="shared" si="3"/>
        <v>10685417</v>
      </c>
    </row>
    <row r="26" spans="1:16" x14ac:dyDescent="0.2">
      <c r="A26" s="24">
        <f t="shared" si="4"/>
        <v>3386987</v>
      </c>
      <c r="B26" s="24">
        <f t="shared" si="5"/>
        <v>1016095.8333333334</v>
      </c>
      <c r="C26" s="51"/>
      <c r="D26" s="53">
        <v>98</v>
      </c>
      <c r="E26" s="52" t="s">
        <v>248</v>
      </c>
      <c r="F26" s="45">
        <v>6</v>
      </c>
      <c r="G26" s="13">
        <v>20321922</v>
      </c>
      <c r="H26" s="13">
        <v>6096575</v>
      </c>
      <c r="J26" s="60">
        <f t="shared" si="6"/>
        <v>0</v>
      </c>
      <c r="K26" s="10">
        <f t="shared" si="0"/>
        <v>0</v>
      </c>
      <c r="L26" s="10">
        <f t="shared" si="1"/>
        <v>0</v>
      </c>
      <c r="N26" s="48">
        <f>SUMIFS('MC+SP Data'!$D$2:$D$134,'MC+SP Data'!$C$2:$C$134,E26,'MC+SP Data'!$H$2:$H$134,$D$5)</f>
        <v>6</v>
      </c>
      <c r="O26" s="10">
        <f t="shared" si="2"/>
        <v>20321922</v>
      </c>
      <c r="P26" s="10">
        <f t="shared" si="3"/>
        <v>6096575</v>
      </c>
    </row>
    <row r="27" spans="1:16" x14ac:dyDescent="0.2">
      <c r="A27" s="24">
        <f t="shared" si="4"/>
        <v>17788789</v>
      </c>
      <c r="B27" s="24">
        <f t="shared" si="5"/>
        <v>5336637</v>
      </c>
      <c r="C27" s="51"/>
      <c r="D27" s="53">
        <v>109</v>
      </c>
      <c r="E27" s="52" t="s">
        <v>259</v>
      </c>
      <c r="F27" s="45">
        <v>1</v>
      </c>
      <c r="G27" s="13">
        <v>17788789</v>
      </c>
      <c r="H27" s="13">
        <v>5336637</v>
      </c>
      <c r="J27" s="60">
        <f t="shared" si="6"/>
        <v>0</v>
      </c>
      <c r="K27" s="10">
        <f t="shared" si="0"/>
        <v>0</v>
      </c>
      <c r="L27" s="10">
        <f t="shared" si="1"/>
        <v>0</v>
      </c>
      <c r="N27" s="48">
        <f>SUMIFS('MC+SP Data'!$D$2:$D$134,'MC+SP Data'!$C$2:$C$134,E27,'MC+SP Data'!$H$2:$H$134,$D$5)</f>
        <v>1</v>
      </c>
      <c r="O27" s="10">
        <f t="shared" si="2"/>
        <v>17788789</v>
      </c>
      <c r="P27" s="10">
        <f t="shared" si="3"/>
        <v>5336637</v>
      </c>
    </row>
    <row r="28" spans="1:16" x14ac:dyDescent="0.2">
      <c r="A28" s="24">
        <f t="shared" si="4"/>
        <v>3077674.5</v>
      </c>
      <c r="B28" s="24">
        <f t="shared" si="5"/>
        <v>923302.5</v>
      </c>
      <c r="C28" s="51"/>
      <c r="D28" s="53">
        <v>112</v>
      </c>
      <c r="E28" s="52" t="s">
        <v>262</v>
      </c>
      <c r="F28" s="45">
        <v>2</v>
      </c>
      <c r="G28" s="13">
        <v>6155349</v>
      </c>
      <c r="H28" s="13">
        <v>1846605</v>
      </c>
      <c r="J28" s="60">
        <f t="shared" si="6"/>
        <v>0</v>
      </c>
      <c r="K28" s="10">
        <f t="shared" si="0"/>
        <v>0</v>
      </c>
      <c r="L28" s="10">
        <f t="shared" si="1"/>
        <v>0</v>
      </c>
      <c r="N28" s="48">
        <f>SUMIFS('MC+SP Data'!$D$2:$D$134,'MC+SP Data'!$C$2:$C$134,E28,'MC+SP Data'!$H$2:$H$134,$D$5)</f>
        <v>2</v>
      </c>
      <c r="O28" s="10">
        <f t="shared" si="2"/>
        <v>6155349</v>
      </c>
      <c r="P28" s="10">
        <f t="shared" si="3"/>
        <v>1846605</v>
      </c>
    </row>
    <row r="29" spans="1:16" x14ac:dyDescent="0.2">
      <c r="A29" s="24">
        <f t="shared" si="4"/>
        <v>20549008.043478262</v>
      </c>
      <c r="B29" s="24">
        <f t="shared" si="5"/>
        <v>6164702.5217391308</v>
      </c>
      <c r="C29" s="51"/>
      <c r="D29" s="53">
        <v>114</v>
      </c>
      <c r="E29" s="52" t="s">
        <v>264</v>
      </c>
      <c r="F29" s="45">
        <v>23</v>
      </c>
      <c r="G29" s="13">
        <v>472627185</v>
      </c>
      <c r="H29" s="13">
        <v>141788158</v>
      </c>
      <c r="J29" s="60">
        <f t="shared" si="6"/>
        <v>0</v>
      </c>
      <c r="K29" s="10">
        <f t="shared" si="0"/>
        <v>0</v>
      </c>
      <c r="L29" s="10">
        <f t="shared" si="1"/>
        <v>0</v>
      </c>
      <c r="N29" s="48">
        <f>SUMIFS('MC+SP Data'!$D$2:$D$134,'MC+SP Data'!$C$2:$C$134,E29,'MC+SP Data'!$H$2:$H$134,$D$5)</f>
        <v>23</v>
      </c>
      <c r="O29" s="10">
        <f t="shared" si="2"/>
        <v>472627185</v>
      </c>
      <c r="P29" s="10">
        <f t="shared" si="3"/>
        <v>141788158</v>
      </c>
    </row>
    <row r="30" spans="1:16" x14ac:dyDescent="0.2">
      <c r="A30" s="24">
        <f t="shared" si="4"/>
        <v>25163317</v>
      </c>
      <c r="B30" s="24">
        <f t="shared" si="5"/>
        <v>7548995</v>
      </c>
      <c r="C30" s="51"/>
      <c r="D30" s="53">
        <v>122</v>
      </c>
      <c r="E30" s="52" t="s">
        <v>272</v>
      </c>
      <c r="F30" s="45">
        <v>1</v>
      </c>
      <c r="G30" s="13">
        <v>25163317</v>
      </c>
      <c r="H30" s="13">
        <v>7548995</v>
      </c>
      <c r="J30" s="60">
        <f t="shared" si="6"/>
        <v>0</v>
      </c>
      <c r="K30" s="10">
        <f t="shared" si="0"/>
        <v>0</v>
      </c>
      <c r="L30" s="10">
        <f t="shared" si="1"/>
        <v>0</v>
      </c>
      <c r="N30" s="48">
        <f>SUMIFS('MC+SP Data'!$D$2:$D$134,'MC+SP Data'!$C$2:$C$134,E30,'MC+SP Data'!$H$2:$H$134,$D$5)</f>
        <v>1</v>
      </c>
      <c r="O30" s="10">
        <f t="shared" si="2"/>
        <v>25163317</v>
      </c>
      <c r="P30" s="10">
        <f t="shared" si="3"/>
        <v>7548995</v>
      </c>
    </row>
    <row r="31" spans="1:16" x14ac:dyDescent="0.2">
      <c r="A31" s="24">
        <f t="shared" si="4"/>
        <v>1597476.5</v>
      </c>
      <c r="B31" s="24">
        <f t="shared" si="5"/>
        <v>479243</v>
      </c>
      <c r="C31" s="51"/>
      <c r="D31" s="53">
        <v>124</v>
      </c>
      <c r="E31" s="52" t="s">
        <v>274</v>
      </c>
      <c r="F31" s="45">
        <v>4</v>
      </c>
      <c r="G31" s="13">
        <v>6389906</v>
      </c>
      <c r="H31" s="13">
        <v>1916972</v>
      </c>
      <c r="J31" s="60">
        <f t="shared" si="6"/>
        <v>0</v>
      </c>
      <c r="K31" s="10">
        <f t="shared" si="0"/>
        <v>0</v>
      </c>
      <c r="L31" s="10">
        <f t="shared" si="1"/>
        <v>0</v>
      </c>
      <c r="N31" s="48">
        <f>SUMIFS('MC+SP Data'!$D$2:$D$134,'MC+SP Data'!$C$2:$C$134,E31,'MC+SP Data'!$H$2:$H$134,$D$5)</f>
        <v>4</v>
      </c>
      <c r="O31" s="10">
        <f t="shared" si="2"/>
        <v>6389906</v>
      </c>
      <c r="P31" s="10">
        <f t="shared" si="3"/>
        <v>1916972</v>
      </c>
    </row>
    <row r="32" spans="1:16" x14ac:dyDescent="0.2">
      <c r="A32" s="24">
        <f t="shared" si="4"/>
        <v>3046238.5</v>
      </c>
      <c r="B32" s="24">
        <f t="shared" si="5"/>
        <v>913871.5</v>
      </c>
      <c r="C32" s="51"/>
      <c r="D32" s="53">
        <v>127</v>
      </c>
      <c r="E32" s="52" t="s">
        <v>277</v>
      </c>
      <c r="F32" s="45">
        <v>2</v>
      </c>
      <c r="G32" s="13">
        <v>6092477</v>
      </c>
      <c r="H32" s="13">
        <v>1827743</v>
      </c>
      <c r="J32" s="60">
        <f t="shared" si="6"/>
        <v>0</v>
      </c>
      <c r="K32" s="10">
        <f t="shared" si="0"/>
        <v>0</v>
      </c>
      <c r="L32" s="10">
        <f t="shared" si="1"/>
        <v>0</v>
      </c>
      <c r="N32" s="48">
        <f>SUMIFS('MC+SP Data'!$D$2:$D$134,'MC+SP Data'!$C$2:$C$134,E32,'MC+SP Data'!$H$2:$H$134,$D$5)</f>
        <v>2</v>
      </c>
      <c r="O32" s="10">
        <f t="shared" si="2"/>
        <v>6092477</v>
      </c>
      <c r="P32" s="10">
        <f t="shared" si="3"/>
        <v>1827743</v>
      </c>
    </row>
    <row r="33" spans="1:16" x14ac:dyDescent="0.2">
      <c r="A33" s="24">
        <f t="shared" si="4"/>
        <v>8115120</v>
      </c>
      <c r="B33" s="24">
        <f t="shared" si="5"/>
        <v>2434541.8417320736</v>
      </c>
      <c r="C33" s="51"/>
      <c r="D33" s="54">
        <v>131</v>
      </c>
      <c r="E33" s="52" t="s">
        <v>281</v>
      </c>
      <c r="F33" s="45">
        <v>1</v>
      </c>
      <c r="G33" s="13">
        <v>8115120</v>
      </c>
      <c r="H33" s="13">
        <v>2434541.8417320736</v>
      </c>
      <c r="J33" s="60">
        <f t="shared" si="6"/>
        <v>0</v>
      </c>
      <c r="K33" s="10">
        <f t="shared" si="0"/>
        <v>0</v>
      </c>
      <c r="L33" s="10">
        <f t="shared" si="1"/>
        <v>0</v>
      </c>
      <c r="N33" s="48">
        <f>SUMIFS('MC+SP Data'!$D$2:$D$134,'MC+SP Data'!$C$2:$C$134,E33,'MC+SP Data'!$H$2:$H$134,$D$5)</f>
        <v>1</v>
      </c>
      <c r="O33" s="10">
        <f t="shared" si="2"/>
        <v>8115120</v>
      </c>
      <c r="P33" s="10">
        <f t="shared" si="3"/>
        <v>2434542</v>
      </c>
    </row>
    <row r="34" spans="1:16" x14ac:dyDescent="0.2">
      <c r="A34" s="24">
        <f t="shared" si="4"/>
        <v>2057.9922925333917</v>
      </c>
      <c r="B34" s="24">
        <f t="shared" si="5"/>
        <v>1028.9960586818481</v>
      </c>
      <c r="C34" s="51" t="s">
        <v>284</v>
      </c>
      <c r="D34" s="53">
        <v>1</v>
      </c>
      <c r="E34" s="52" t="s">
        <v>151</v>
      </c>
      <c r="F34" s="45">
        <v>91340</v>
      </c>
      <c r="G34" s="13">
        <v>187977016</v>
      </c>
      <c r="H34" s="13">
        <v>93988500</v>
      </c>
      <c r="J34" s="60">
        <f t="shared" si="6"/>
        <v>0</v>
      </c>
      <c r="K34" s="10">
        <f t="shared" si="0"/>
        <v>0</v>
      </c>
      <c r="L34" s="10">
        <f t="shared" si="1"/>
        <v>0</v>
      </c>
      <c r="N34" s="48">
        <f>SUMIFS('MC+SP Data'!$D$2:$D$134,'MC+SP Data'!$C$2:$C$134,E34,'MC+SP Data'!$H$2:$H$134,$D$5)</f>
        <v>91340</v>
      </c>
      <c r="O34" s="10">
        <f t="shared" si="2"/>
        <v>187977016</v>
      </c>
      <c r="P34" s="10">
        <f t="shared" si="3"/>
        <v>93988500</v>
      </c>
    </row>
    <row r="35" spans="1:16" x14ac:dyDescent="0.2">
      <c r="A35" s="24">
        <f t="shared" si="4"/>
        <v>13315.361111111111</v>
      </c>
      <c r="B35" s="24">
        <f t="shared" si="5"/>
        <v>5819.0555555555557</v>
      </c>
      <c r="C35" s="51"/>
      <c r="D35" s="53">
        <v>2</v>
      </c>
      <c r="E35" s="52" t="s">
        <v>152</v>
      </c>
      <c r="F35" s="45">
        <v>36</v>
      </c>
      <c r="G35" s="13">
        <v>479353</v>
      </c>
      <c r="H35" s="13">
        <v>209486</v>
      </c>
      <c r="J35" s="60">
        <f t="shared" si="6"/>
        <v>0</v>
      </c>
      <c r="K35" s="10">
        <f t="shared" si="0"/>
        <v>0</v>
      </c>
      <c r="L35" s="10">
        <f t="shared" si="1"/>
        <v>0</v>
      </c>
      <c r="N35" s="48">
        <f>SUMIFS('MC+SP Data'!$D$2:$D$134,'MC+SP Data'!$C$2:$C$134,E35,'MC+SP Data'!$H$2:$H$134,$D$5)</f>
        <v>36</v>
      </c>
      <c r="O35" s="10">
        <f t="shared" si="2"/>
        <v>479353</v>
      </c>
      <c r="P35" s="10">
        <f t="shared" si="3"/>
        <v>209486</v>
      </c>
    </row>
    <row r="36" spans="1:16" x14ac:dyDescent="0.2">
      <c r="A36" s="24">
        <f t="shared" si="4"/>
        <v>175245.25</v>
      </c>
      <c r="B36" s="24">
        <f t="shared" si="5"/>
        <v>63247.75</v>
      </c>
      <c r="C36" s="51"/>
      <c r="D36" s="53">
        <v>3</v>
      </c>
      <c r="E36" s="52" t="s">
        <v>153</v>
      </c>
      <c r="F36" s="45">
        <v>4</v>
      </c>
      <c r="G36" s="13">
        <v>700981</v>
      </c>
      <c r="H36" s="13">
        <v>252991</v>
      </c>
      <c r="J36" s="60">
        <f t="shared" si="6"/>
        <v>0</v>
      </c>
      <c r="K36" s="10">
        <f t="shared" si="0"/>
        <v>0</v>
      </c>
      <c r="L36" s="10">
        <f t="shared" si="1"/>
        <v>0</v>
      </c>
      <c r="N36" s="48">
        <f>SUMIFS('MC+SP Data'!$D$2:$D$134,'MC+SP Data'!$C$2:$C$134,E36,'MC+SP Data'!$H$2:$H$134,$D$5)</f>
        <v>4</v>
      </c>
      <c r="O36" s="10">
        <f t="shared" si="2"/>
        <v>700981</v>
      </c>
      <c r="P36" s="10">
        <f t="shared" si="3"/>
        <v>252991</v>
      </c>
    </row>
    <row r="37" spans="1:16" x14ac:dyDescent="0.2">
      <c r="A37" s="24">
        <f t="shared" si="4"/>
        <v>133313.36363636365</v>
      </c>
      <c r="B37" s="24">
        <f t="shared" si="5"/>
        <v>61478.181818181816</v>
      </c>
      <c r="C37" s="51"/>
      <c r="D37" s="53">
        <v>4</v>
      </c>
      <c r="E37" s="52" t="s">
        <v>154</v>
      </c>
      <c r="F37" s="45">
        <v>11</v>
      </c>
      <c r="G37" s="13">
        <v>1466447</v>
      </c>
      <c r="H37" s="13">
        <v>676260</v>
      </c>
      <c r="J37" s="60">
        <f t="shared" si="6"/>
        <v>0</v>
      </c>
      <c r="K37" s="10">
        <f t="shared" si="0"/>
        <v>0</v>
      </c>
      <c r="L37" s="10">
        <f t="shared" si="1"/>
        <v>0</v>
      </c>
      <c r="N37" s="48">
        <f>SUMIFS('MC+SP Data'!$D$2:$D$134,'MC+SP Data'!$C$2:$C$134,E37,'MC+SP Data'!$H$2:$H$134,$D$5)</f>
        <v>11</v>
      </c>
      <c r="O37" s="10">
        <f t="shared" si="2"/>
        <v>1466447</v>
      </c>
      <c r="P37" s="10">
        <f t="shared" si="3"/>
        <v>676260</v>
      </c>
    </row>
    <row r="38" spans="1:16" x14ac:dyDescent="0.2">
      <c r="A38" s="24">
        <f t="shared" si="4"/>
        <v>1064914.4444444445</v>
      </c>
      <c r="B38" s="24">
        <f t="shared" si="5"/>
        <v>488085.79365079367</v>
      </c>
      <c r="C38" s="51"/>
      <c r="D38" s="53">
        <v>5</v>
      </c>
      <c r="E38" s="52" t="s">
        <v>155</v>
      </c>
      <c r="F38" s="45">
        <v>252</v>
      </c>
      <c r="G38" s="13">
        <v>268358440</v>
      </c>
      <c r="H38" s="13">
        <v>122997620</v>
      </c>
      <c r="J38" s="60">
        <f t="shared" si="6"/>
        <v>0</v>
      </c>
      <c r="K38" s="10">
        <f t="shared" si="0"/>
        <v>0</v>
      </c>
      <c r="L38" s="10">
        <f t="shared" si="1"/>
        <v>0</v>
      </c>
      <c r="N38" s="48">
        <f>SUMIFS('MC+SP Data'!$D$2:$D$134,'MC+SP Data'!$C$2:$C$134,E38,'MC+SP Data'!$H$2:$H$134,$D$5)</f>
        <v>252</v>
      </c>
      <c r="O38" s="10">
        <f t="shared" si="2"/>
        <v>268358440</v>
      </c>
      <c r="P38" s="10">
        <f t="shared" si="3"/>
        <v>122997620</v>
      </c>
    </row>
    <row r="39" spans="1:16" x14ac:dyDescent="0.2">
      <c r="A39" s="24">
        <f t="shared" si="4"/>
        <v>1543294</v>
      </c>
      <c r="B39" s="24">
        <f t="shared" si="5"/>
        <v>509287</v>
      </c>
      <c r="C39" s="51"/>
      <c r="D39" s="53">
        <v>6</v>
      </c>
      <c r="E39" s="52" t="s">
        <v>156</v>
      </c>
      <c r="F39" s="45">
        <v>1</v>
      </c>
      <c r="G39" s="13">
        <v>1543294</v>
      </c>
      <c r="H39" s="13">
        <v>509287</v>
      </c>
      <c r="J39" s="60">
        <f t="shared" si="6"/>
        <v>0</v>
      </c>
      <c r="K39" s="10">
        <f t="shared" si="0"/>
        <v>0</v>
      </c>
      <c r="L39" s="10">
        <f t="shared" si="1"/>
        <v>0</v>
      </c>
      <c r="N39" s="48">
        <f>SUMIFS('MC+SP Data'!$D$2:$D$134,'MC+SP Data'!$C$2:$C$134,E39,'MC+SP Data'!$H$2:$H$134,$D$5)</f>
        <v>1</v>
      </c>
      <c r="O39" s="10">
        <f t="shared" si="2"/>
        <v>1543294</v>
      </c>
      <c r="P39" s="10">
        <f t="shared" si="3"/>
        <v>509287</v>
      </c>
    </row>
    <row r="40" spans="1:16" x14ac:dyDescent="0.2">
      <c r="A40" s="24">
        <f t="shared" si="4"/>
        <v>1350134</v>
      </c>
      <c r="B40" s="24">
        <f t="shared" si="5"/>
        <v>405040</v>
      </c>
      <c r="C40" s="51"/>
      <c r="D40" s="53">
        <v>7</v>
      </c>
      <c r="E40" s="52" t="s">
        <v>157</v>
      </c>
      <c r="F40" s="45">
        <v>1</v>
      </c>
      <c r="G40" s="13">
        <v>1350134</v>
      </c>
      <c r="H40" s="13">
        <v>405040</v>
      </c>
      <c r="J40" s="60">
        <f t="shared" si="6"/>
        <v>0</v>
      </c>
      <c r="K40" s="10">
        <f t="shared" ref="K40:K71" si="7">ROUND(J40*A40,0)</f>
        <v>0</v>
      </c>
      <c r="L40" s="10">
        <f t="shared" ref="L40:L71" si="8">ROUND(J40*B40,0)</f>
        <v>0</v>
      </c>
      <c r="N40" s="48">
        <f>SUMIFS('MC+SP Data'!$D$2:$D$134,'MC+SP Data'!$C$2:$C$134,E40,'MC+SP Data'!$H$2:$H$134,$D$5)</f>
        <v>1</v>
      </c>
      <c r="O40" s="10">
        <f t="shared" ref="O40:O71" si="9">ROUND(N40*A40,0)</f>
        <v>1350134</v>
      </c>
      <c r="P40" s="10">
        <f t="shared" ref="P40:P71" si="10">ROUND(N40*B40,0)</f>
        <v>405040</v>
      </c>
    </row>
    <row r="41" spans="1:16" x14ac:dyDescent="0.2">
      <c r="A41" s="24">
        <f t="shared" si="4"/>
        <v>32467.340277777777</v>
      </c>
      <c r="B41" s="24">
        <f t="shared" si="5"/>
        <v>11327.493055555555</v>
      </c>
      <c r="C41" s="51"/>
      <c r="D41" s="53">
        <v>8</v>
      </c>
      <c r="E41" s="52" t="s">
        <v>158</v>
      </c>
      <c r="F41" s="45">
        <v>144</v>
      </c>
      <c r="G41" s="13">
        <v>4675297</v>
      </c>
      <c r="H41" s="13">
        <v>1631159</v>
      </c>
      <c r="J41" s="60">
        <f t="shared" si="6"/>
        <v>0</v>
      </c>
      <c r="K41" s="10">
        <f t="shared" si="7"/>
        <v>0</v>
      </c>
      <c r="L41" s="10">
        <f t="shared" si="8"/>
        <v>0</v>
      </c>
      <c r="N41" s="48">
        <f>SUMIFS('MC+SP Data'!$D$2:$D$134,'MC+SP Data'!$C$2:$C$134,E41,'MC+SP Data'!$H$2:$H$134,$D$5)</f>
        <v>144</v>
      </c>
      <c r="O41" s="10">
        <f t="shared" si="9"/>
        <v>4675297</v>
      </c>
      <c r="P41" s="10">
        <f t="shared" si="10"/>
        <v>1631159</v>
      </c>
    </row>
    <row r="42" spans="1:16" x14ac:dyDescent="0.2">
      <c r="A42" s="24">
        <f t="shared" si="4"/>
        <v>177148</v>
      </c>
      <c r="B42" s="24">
        <f t="shared" si="5"/>
        <v>72631</v>
      </c>
      <c r="C42" s="51"/>
      <c r="D42" s="53">
        <v>9</v>
      </c>
      <c r="E42" s="52" t="s">
        <v>159</v>
      </c>
      <c r="F42" s="45">
        <v>1</v>
      </c>
      <c r="G42" s="13">
        <v>177148</v>
      </c>
      <c r="H42" s="13">
        <v>72631</v>
      </c>
      <c r="J42" s="60">
        <f t="shared" si="6"/>
        <v>0</v>
      </c>
      <c r="K42" s="10">
        <f t="shared" si="7"/>
        <v>0</v>
      </c>
      <c r="L42" s="10">
        <f t="shared" si="8"/>
        <v>0</v>
      </c>
      <c r="N42" s="48">
        <f>SUMIFS('MC+SP Data'!$D$2:$D$134,'MC+SP Data'!$C$2:$C$134,E42,'MC+SP Data'!$H$2:$H$134,$D$5)</f>
        <v>1</v>
      </c>
      <c r="O42" s="10">
        <f t="shared" si="9"/>
        <v>177148</v>
      </c>
      <c r="P42" s="10">
        <f t="shared" si="10"/>
        <v>72631</v>
      </c>
    </row>
    <row r="43" spans="1:16" x14ac:dyDescent="0.2">
      <c r="A43" s="24">
        <f t="shared" si="4"/>
        <v>153820.76923076922</v>
      </c>
      <c r="B43" s="24">
        <f t="shared" si="5"/>
        <v>66312.692307692312</v>
      </c>
      <c r="C43" s="51"/>
      <c r="D43" s="53">
        <v>10</v>
      </c>
      <c r="E43" s="52" t="s">
        <v>160</v>
      </c>
      <c r="F43" s="45">
        <v>39</v>
      </c>
      <c r="G43" s="13">
        <v>5999010</v>
      </c>
      <c r="H43" s="13">
        <v>2586195</v>
      </c>
      <c r="J43" s="60">
        <f t="shared" si="6"/>
        <v>0</v>
      </c>
      <c r="K43" s="10">
        <f t="shared" si="7"/>
        <v>0</v>
      </c>
      <c r="L43" s="10">
        <f t="shared" si="8"/>
        <v>0</v>
      </c>
      <c r="N43" s="48">
        <f>SUMIFS('MC+SP Data'!$D$2:$D$134,'MC+SP Data'!$C$2:$C$134,E43,'MC+SP Data'!$H$2:$H$134,$D$5)</f>
        <v>39</v>
      </c>
      <c r="O43" s="10">
        <f t="shared" si="9"/>
        <v>5999010</v>
      </c>
      <c r="P43" s="10">
        <f t="shared" si="10"/>
        <v>2586195</v>
      </c>
    </row>
    <row r="44" spans="1:16" x14ac:dyDescent="0.2">
      <c r="A44" s="24">
        <f t="shared" si="4"/>
        <v>15746.33</v>
      </c>
      <c r="B44" s="24">
        <f t="shared" si="5"/>
        <v>4723.8999999999996</v>
      </c>
      <c r="C44" s="51"/>
      <c r="D44" s="53">
        <v>11</v>
      </c>
      <c r="E44" s="52" t="s">
        <v>161</v>
      </c>
      <c r="F44" s="45">
        <v>100</v>
      </c>
      <c r="G44" s="13">
        <v>1574633</v>
      </c>
      <c r="H44" s="13">
        <v>472390</v>
      </c>
      <c r="J44" s="60">
        <f t="shared" si="6"/>
        <v>0</v>
      </c>
      <c r="K44" s="10">
        <f t="shared" si="7"/>
        <v>0</v>
      </c>
      <c r="L44" s="10">
        <f t="shared" si="8"/>
        <v>0</v>
      </c>
      <c r="N44" s="48">
        <f>SUMIFS('MC+SP Data'!$D$2:$D$134,'MC+SP Data'!$C$2:$C$134,E44,'MC+SP Data'!$H$2:$H$134,$D$5)</f>
        <v>100</v>
      </c>
      <c r="O44" s="10">
        <f t="shared" si="9"/>
        <v>1574633</v>
      </c>
      <c r="P44" s="10">
        <f t="shared" si="10"/>
        <v>472390</v>
      </c>
    </row>
    <row r="45" spans="1:16" x14ac:dyDescent="0.2">
      <c r="A45" s="24">
        <f t="shared" si="4"/>
        <v>99354</v>
      </c>
      <c r="B45" s="24">
        <f t="shared" si="5"/>
        <v>44778</v>
      </c>
      <c r="C45" s="51"/>
      <c r="D45" s="53">
        <v>12</v>
      </c>
      <c r="E45" s="52" t="s">
        <v>162</v>
      </c>
      <c r="F45" s="45">
        <v>2</v>
      </c>
      <c r="G45" s="13">
        <v>198708</v>
      </c>
      <c r="H45" s="13">
        <v>89556</v>
      </c>
      <c r="J45" s="60">
        <f t="shared" si="6"/>
        <v>0</v>
      </c>
      <c r="K45" s="10">
        <f t="shared" si="7"/>
        <v>0</v>
      </c>
      <c r="L45" s="10">
        <f t="shared" si="8"/>
        <v>0</v>
      </c>
      <c r="N45" s="48">
        <f>SUMIFS('MC+SP Data'!$D$2:$D$134,'MC+SP Data'!$C$2:$C$134,E45,'MC+SP Data'!$H$2:$H$134,$D$5)</f>
        <v>2</v>
      </c>
      <c r="O45" s="10">
        <f t="shared" si="9"/>
        <v>198708</v>
      </c>
      <c r="P45" s="10">
        <f t="shared" si="10"/>
        <v>89556</v>
      </c>
    </row>
    <row r="46" spans="1:16" x14ac:dyDescent="0.2">
      <c r="A46" s="24">
        <f t="shared" si="4"/>
        <v>102326.67741935483</v>
      </c>
      <c r="B46" s="24">
        <f t="shared" si="5"/>
        <v>34406.322580645159</v>
      </c>
      <c r="C46" s="51"/>
      <c r="D46" s="53">
        <v>13</v>
      </c>
      <c r="E46" s="52" t="s">
        <v>163</v>
      </c>
      <c r="F46" s="45">
        <v>31</v>
      </c>
      <c r="G46" s="13">
        <v>3172127</v>
      </c>
      <c r="H46" s="13">
        <v>1066596</v>
      </c>
      <c r="J46" s="60">
        <f t="shared" si="6"/>
        <v>0</v>
      </c>
      <c r="K46" s="10">
        <f t="shared" si="7"/>
        <v>0</v>
      </c>
      <c r="L46" s="10">
        <f t="shared" si="8"/>
        <v>0</v>
      </c>
      <c r="N46" s="48">
        <f>SUMIFS('MC+SP Data'!$D$2:$D$134,'MC+SP Data'!$C$2:$C$134,E46,'MC+SP Data'!$H$2:$H$134,$D$5)</f>
        <v>31</v>
      </c>
      <c r="O46" s="10">
        <f t="shared" si="9"/>
        <v>3172127</v>
      </c>
      <c r="P46" s="10">
        <f t="shared" si="10"/>
        <v>1066596</v>
      </c>
    </row>
    <row r="47" spans="1:16" x14ac:dyDescent="0.2">
      <c r="A47" s="24">
        <f t="shared" si="4"/>
        <v>73277.882352941175</v>
      </c>
      <c r="B47" s="24">
        <f t="shared" si="5"/>
        <v>33762.588235294119</v>
      </c>
      <c r="C47" s="51"/>
      <c r="D47" s="53">
        <v>14</v>
      </c>
      <c r="E47" s="52" t="s">
        <v>164</v>
      </c>
      <c r="F47" s="45">
        <v>17</v>
      </c>
      <c r="G47" s="13">
        <v>1245724</v>
      </c>
      <c r="H47" s="13">
        <v>573964</v>
      </c>
      <c r="J47" s="60">
        <f t="shared" si="6"/>
        <v>0</v>
      </c>
      <c r="K47" s="10">
        <f t="shared" si="7"/>
        <v>0</v>
      </c>
      <c r="L47" s="10">
        <f t="shared" si="8"/>
        <v>0</v>
      </c>
      <c r="N47" s="48">
        <f>SUMIFS('MC+SP Data'!$D$2:$D$134,'MC+SP Data'!$C$2:$C$134,E47,'MC+SP Data'!$H$2:$H$134,$D$5)</f>
        <v>17</v>
      </c>
      <c r="O47" s="10">
        <f t="shared" si="9"/>
        <v>1245724</v>
      </c>
      <c r="P47" s="10">
        <f t="shared" si="10"/>
        <v>573964</v>
      </c>
    </row>
    <row r="48" spans="1:16" x14ac:dyDescent="0.2">
      <c r="A48" s="24">
        <f t="shared" si="4"/>
        <v>651129</v>
      </c>
      <c r="B48" s="24">
        <f t="shared" si="5"/>
        <v>325564.5</v>
      </c>
      <c r="C48" s="51"/>
      <c r="D48" s="53">
        <v>15</v>
      </c>
      <c r="E48" s="52" t="s">
        <v>165</v>
      </c>
      <c r="F48" s="45">
        <v>2</v>
      </c>
      <c r="G48" s="13">
        <v>1302258</v>
      </c>
      <c r="H48" s="13">
        <v>651129</v>
      </c>
      <c r="J48" s="60">
        <f t="shared" si="6"/>
        <v>0</v>
      </c>
      <c r="K48" s="10">
        <f t="shared" si="7"/>
        <v>0</v>
      </c>
      <c r="L48" s="10">
        <f t="shared" si="8"/>
        <v>0</v>
      </c>
      <c r="N48" s="48">
        <f>SUMIFS('MC+SP Data'!$D$2:$D$134,'MC+SP Data'!$C$2:$C$134,E48,'MC+SP Data'!$H$2:$H$134,$D$5)</f>
        <v>2</v>
      </c>
      <c r="O48" s="10">
        <f t="shared" si="9"/>
        <v>1302258</v>
      </c>
      <c r="P48" s="10">
        <f t="shared" si="10"/>
        <v>651129</v>
      </c>
    </row>
    <row r="49" spans="1:16" x14ac:dyDescent="0.2">
      <c r="A49" s="24">
        <f t="shared" si="4"/>
        <v>5239.0441176470586</v>
      </c>
      <c r="B49" s="24">
        <f t="shared" si="5"/>
        <v>2605.2794117647059</v>
      </c>
      <c r="C49" s="51"/>
      <c r="D49" s="53">
        <v>16</v>
      </c>
      <c r="E49" s="52" t="s">
        <v>166</v>
      </c>
      <c r="F49" s="45">
        <v>68</v>
      </c>
      <c r="G49" s="13">
        <v>356255</v>
      </c>
      <c r="H49" s="13">
        <v>177159</v>
      </c>
      <c r="J49" s="60">
        <f t="shared" si="6"/>
        <v>0</v>
      </c>
      <c r="K49" s="10">
        <f t="shared" si="7"/>
        <v>0</v>
      </c>
      <c r="L49" s="10">
        <f t="shared" si="8"/>
        <v>0</v>
      </c>
      <c r="N49" s="48">
        <f>SUMIFS('MC+SP Data'!$D$2:$D$134,'MC+SP Data'!$C$2:$C$134,E49,'MC+SP Data'!$H$2:$H$134,$D$5)</f>
        <v>68</v>
      </c>
      <c r="O49" s="10">
        <f t="shared" si="9"/>
        <v>356255</v>
      </c>
      <c r="P49" s="10">
        <f t="shared" si="10"/>
        <v>177159</v>
      </c>
    </row>
    <row r="50" spans="1:16" x14ac:dyDescent="0.2">
      <c r="A50" s="24">
        <f t="shared" si="4"/>
        <v>123403.23809523809</v>
      </c>
      <c r="B50" s="24">
        <f t="shared" si="5"/>
        <v>59858.904761904763</v>
      </c>
      <c r="C50" s="51"/>
      <c r="D50" s="53">
        <v>17</v>
      </c>
      <c r="E50" s="52" t="s">
        <v>167</v>
      </c>
      <c r="F50" s="45">
        <v>21</v>
      </c>
      <c r="G50" s="13">
        <v>2591468</v>
      </c>
      <c r="H50" s="13">
        <v>1257037</v>
      </c>
      <c r="J50" s="60">
        <f t="shared" si="6"/>
        <v>0</v>
      </c>
      <c r="K50" s="10">
        <f t="shared" si="7"/>
        <v>0</v>
      </c>
      <c r="L50" s="10">
        <f t="shared" si="8"/>
        <v>0</v>
      </c>
      <c r="N50" s="48">
        <f>SUMIFS('MC+SP Data'!$D$2:$D$134,'MC+SP Data'!$C$2:$C$134,E50,'MC+SP Data'!$H$2:$H$134,$D$5)</f>
        <v>21</v>
      </c>
      <c r="O50" s="10">
        <f t="shared" si="9"/>
        <v>2591468</v>
      </c>
      <c r="P50" s="10">
        <f t="shared" si="10"/>
        <v>1257037</v>
      </c>
    </row>
    <row r="51" spans="1:16" x14ac:dyDescent="0.2">
      <c r="A51" s="24">
        <f t="shared" si="4"/>
        <v>612.11267926246296</v>
      </c>
      <c r="B51" s="24">
        <f t="shared" si="5"/>
        <v>183.63373548827681</v>
      </c>
      <c r="C51" s="51"/>
      <c r="D51" s="53">
        <v>19</v>
      </c>
      <c r="E51" s="52" t="s">
        <v>169</v>
      </c>
      <c r="F51" s="45">
        <v>4393</v>
      </c>
      <c r="G51" s="13">
        <v>2689011</v>
      </c>
      <c r="H51" s="13">
        <v>806703</v>
      </c>
      <c r="J51" s="60">
        <f t="shared" si="6"/>
        <v>0</v>
      </c>
      <c r="K51" s="10">
        <f t="shared" si="7"/>
        <v>0</v>
      </c>
      <c r="L51" s="10">
        <f t="shared" si="8"/>
        <v>0</v>
      </c>
      <c r="N51" s="48">
        <f>SUMIFS('MC+SP Data'!$D$2:$D$134,'MC+SP Data'!$C$2:$C$134,E51,'MC+SP Data'!$H$2:$H$134,$D$5)</f>
        <v>4393</v>
      </c>
      <c r="O51" s="10">
        <f t="shared" si="9"/>
        <v>2689011</v>
      </c>
      <c r="P51" s="10">
        <f t="shared" si="10"/>
        <v>806703</v>
      </c>
    </row>
    <row r="52" spans="1:16" x14ac:dyDescent="0.2">
      <c r="A52" s="24">
        <f t="shared" si="4"/>
        <v>566.31053130400846</v>
      </c>
      <c r="B52" s="24">
        <f t="shared" si="5"/>
        <v>260.15869431900541</v>
      </c>
      <c r="C52" s="51"/>
      <c r="D52" s="53">
        <v>20</v>
      </c>
      <c r="E52" s="52" t="s">
        <v>170</v>
      </c>
      <c r="F52" s="45">
        <v>609858</v>
      </c>
      <c r="G52" s="13">
        <v>345369008</v>
      </c>
      <c r="H52" s="13">
        <v>158659861</v>
      </c>
      <c r="J52" s="60">
        <f t="shared" si="6"/>
        <v>0</v>
      </c>
      <c r="K52" s="10">
        <f t="shared" si="7"/>
        <v>0</v>
      </c>
      <c r="L52" s="10">
        <f t="shared" si="8"/>
        <v>0</v>
      </c>
      <c r="N52" s="48">
        <f>SUMIFS('MC+SP Data'!$D$2:$D$134,'MC+SP Data'!$C$2:$C$134,E52,'MC+SP Data'!$H$2:$H$134,$D$5)</f>
        <v>609858</v>
      </c>
      <c r="O52" s="10">
        <f t="shared" si="9"/>
        <v>345369008</v>
      </c>
      <c r="P52" s="10">
        <f t="shared" si="10"/>
        <v>158659861</v>
      </c>
    </row>
    <row r="53" spans="1:16" x14ac:dyDescent="0.2">
      <c r="A53" s="24">
        <f t="shared" si="4"/>
        <v>758359</v>
      </c>
      <c r="B53" s="24">
        <f t="shared" si="5"/>
        <v>379180</v>
      </c>
      <c r="C53" s="51"/>
      <c r="D53" s="53">
        <v>21</v>
      </c>
      <c r="E53" s="52" t="s">
        <v>171</v>
      </c>
      <c r="F53" s="45">
        <v>1</v>
      </c>
      <c r="G53" s="13">
        <v>758359</v>
      </c>
      <c r="H53" s="13">
        <v>379180</v>
      </c>
      <c r="J53" s="60">
        <f t="shared" si="6"/>
        <v>0</v>
      </c>
      <c r="K53" s="10">
        <f t="shared" si="7"/>
        <v>0</v>
      </c>
      <c r="L53" s="10">
        <f t="shared" si="8"/>
        <v>0</v>
      </c>
      <c r="N53" s="48">
        <f>SUMIFS('MC+SP Data'!$D$2:$D$134,'MC+SP Data'!$C$2:$C$134,E53,'MC+SP Data'!$H$2:$H$134,$D$5)</f>
        <v>1</v>
      </c>
      <c r="O53" s="10">
        <f t="shared" si="9"/>
        <v>758359</v>
      </c>
      <c r="P53" s="10">
        <f t="shared" si="10"/>
        <v>379180</v>
      </c>
    </row>
    <row r="54" spans="1:16" x14ac:dyDescent="0.2">
      <c r="A54" s="24">
        <f t="shared" si="4"/>
        <v>6316.95</v>
      </c>
      <c r="B54" s="24">
        <f t="shared" si="5"/>
        <v>2759.4666666666667</v>
      </c>
      <c r="C54" s="51"/>
      <c r="D54" s="53">
        <v>22</v>
      </c>
      <c r="E54" s="52" t="s">
        <v>172</v>
      </c>
      <c r="F54" s="45">
        <v>120</v>
      </c>
      <c r="G54" s="13">
        <v>758034</v>
      </c>
      <c r="H54" s="13">
        <v>331136</v>
      </c>
      <c r="J54" s="60">
        <f t="shared" si="6"/>
        <v>0</v>
      </c>
      <c r="K54" s="10">
        <f t="shared" si="7"/>
        <v>0</v>
      </c>
      <c r="L54" s="10">
        <f t="shared" si="8"/>
        <v>0</v>
      </c>
      <c r="N54" s="48">
        <f>SUMIFS('MC+SP Data'!$D$2:$D$134,'MC+SP Data'!$C$2:$C$134,E54,'MC+SP Data'!$H$2:$H$134,$D$5)</f>
        <v>120</v>
      </c>
      <c r="O54" s="10">
        <f t="shared" si="9"/>
        <v>758034</v>
      </c>
      <c r="P54" s="10">
        <f t="shared" si="10"/>
        <v>331136</v>
      </c>
    </row>
    <row r="55" spans="1:16" x14ac:dyDescent="0.2">
      <c r="A55" s="24">
        <f t="shared" si="4"/>
        <v>167652.66666666666</v>
      </c>
      <c r="B55" s="24">
        <f t="shared" si="5"/>
        <v>50295.833333333336</v>
      </c>
      <c r="C55" s="51"/>
      <c r="D55" s="53">
        <v>23</v>
      </c>
      <c r="E55" s="52" t="s">
        <v>173</v>
      </c>
      <c r="F55" s="45">
        <v>6</v>
      </c>
      <c r="G55" s="13">
        <v>1005916</v>
      </c>
      <c r="H55" s="13">
        <v>301775</v>
      </c>
      <c r="J55" s="60">
        <f t="shared" si="6"/>
        <v>0</v>
      </c>
      <c r="K55" s="10">
        <f t="shared" si="7"/>
        <v>0</v>
      </c>
      <c r="L55" s="10">
        <f t="shared" si="8"/>
        <v>0</v>
      </c>
      <c r="N55" s="48">
        <f>SUMIFS('MC+SP Data'!$D$2:$D$134,'MC+SP Data'!$C$2:$C$134,E55,'MC+SP Data'!$H$2:$H$134,$D$5)</f>
        <v>6</v>
      </c>
      <c r="O55" s="10">
        <f t="shared" si="9"/>
        <v>1005916</v>
      </c>
      <c r="P55" s="10">
        <f t="shared" si="10"/>
        <v>301775</v>
      </c>
    </row>
    <row r="56" spans="1:16" x14ac:dyDescent="0.2">
      <c r="A56" s="24">
        <f t="shared" si="4"/>
        <v>5060.9873737373737</v>
      </c>
      <c r="B56" s="24">
        <f t="shared" si="5"/>
        <v>2530.4941077441076</v>
      </c>
      <c r="C56" s="51"/>
      <c r="D56" s="53">
        <v>24</v>
      </c>
      <c r="E56" s="52" t="s">
        <v>174</v>
      </c>
      <c r="F56" s="45">
        <v>1188</v>
      </c>
      <c r="G56" s="13">
        <v>6012453</v>
      </c>
      <c r="H56" s="13">
        <v>3006227</v>
      </c>
      <c r="J56" s="60">
        <f t="shared" si="6"/>
        <v>0</v>
      </c>
      <c r="K56" s="10">
        <f t="shared" si="7"/>
        <v>0</v>
      </c>
      <c r="L56" s="10">
        <f t="shared" si="8"/>
        <v>0</v>
      </c>
      <c r="N56" s="48">
        <f>SUMIFS('MC+SP Data'!$D$2:$D$134,'MC+SP Data'!$C$2:$C$134,E56,'MC+SP Data'!$H$2:$H$134,$D$5)</f>
        <v>1188</v>
      </c>
      <c r="O56" s="10">
        <f t="shared" si="9"/>
        <v>6012453</v>
      </c>
      <c r="P56" s="10">
        <f t="shared" si="10"/>
        <v>3006227</v>
      </c>
    </row>
    <row r="57" spans="1:16" x14ac:dyDescent="0.2">
      <c r="A57" s="24">
        <f t="shared" si="4"/>
        <v>5061.0176767676767</v>
      </c>
      <c r="B57" s="24">
        <f t="shared" si="5"/>
        <v>2530.5092592592591</v>
      </c>
      <c r="C57" s="51"/>
      <c r="D57" s="53">
        <v>25</v>
      </c>
      <c r="E57" s="52" t="s">
        <v>175</v>
      </c>
      <c r="F57" s="45">
        <v>1188</v>
      </c>
      <c r="G57" s="13">
        <v>6012489</v>
      </c>
      <c r="H57" s="13">
        <v>3006245</v>
      </c>
      <c r="J57" s="60">
        <f t="shared" si="6"/>
        <v>0</v>
      </c>
      <c r="K57" s="10">
        <f t="shared" si="7"/>
        <v>0</v>
      </c>
      <c r="L57" s="10">
        <f t="shared" si="8"/>
        <v>0</v>
      </c>
      <c r="N57" s="48">
        <f>SUMIFS('MC+SP Data'!$D$2:$D$134,'MC+SP Data'!$C$2:$C$134,E57,'MC+SP Data'!$H$2:$H$134,$D$5)</f>
        <v>1188</v>
      </c>
      <c r="O57" s="10">
        <f t="shared" si="9"/>
        <v>6012489</v>
      </c>
      <c r="P57" s="10">
        <f t="shared" si="10"/>
        <v>3006245</v>
      </c>
    </row>
    <row r="58" spans="1:16" x14ac:dyDescent="0.2">
      <c r="A58" s="24">
        <f t="shared" si="4"/>
        <v>83929.185185185182</v>
      </c>
      <c r="B58" s="24">
        <f t="shared" si="5"/>
        <v>38149.148148148146</v>
      </c>
      <c r="C58" s="51"/>
      <c r="D58" s="53">
        <v>26</v>
      </c>
      <c r="E58" s="52" t="s">
        <v>176</v>
      </c>
      <c r="F58" s="45">
        <v>27</v>
      </c>
      <c r="G58" s="13">
        <v>2266088</v>
      </c>
      <c r="H58" s="13">
        <v>1030027</v>
      </c>
      <c r="J58" s="60">
        <f t="shared" si="6"/>
        <v>0</v>
      </c>
      <c r="K58" s="10">
        <f t="shared" si="7"/>
        <v>0</v>
      </c>
      <c r="L58" s="10">
        <f t="shared" si="8"/>
        <v>0</v>
      </c>
      <c r="N58" s="48">
        <f>SUMIFS('MC+SP Data'!$D$2:$D$134,'MC+SP Data'!$C$2:$C$134,E58,'MC+SP Data'!$H$2:$H$134,$D$5)</f>
        <v>27</v>
      </c>
      <c r="O58" s="10">
        <f t="shared" si="9"/>
        <v>2266088</v>
      </c>
      <c r="P58" s="10">
        <f t="shared" si="10"/>
        <v>1030027</v>
      </c>
    </row>
    <row r="59" spans="1:16" x14ac:dyDescent="0.2">
      <c r="A59" s="24">
        <f t="shared" si="4"/>
        <v>846470</v>
      </c>
      <c r="B59" s="24">
        <f t="shared" si="5"/>
        <v>253940.5</v>
      </c>
      <c r="C59" s="51"/>
      <c r="D59" s="53">
        <v>27</v>
      </c>
      <c r="E59" s="52" t="s">
        <v>177</v>
      </c>
      <c r="F59" s="45">
        <v>2</v>
      </c>
      <c r="G59" s="13">
        <v>1692940</v>
      </c>
      <c r="H59" s="13">
        <v>507881</v>
      </c>
      <c r="J59" s="60">
        <f t="shared" si="6"/>
        <v>0</v>
      </c>
      <c r="K59" s="10">
        <f t="shared" si="7"/>
        <v>0</v>
      </c>
      <c r="L59" s="10">
        <f t="shared" si="8"/>
        <v>0</v>
      </c>
      <c r="N59" s="48">
        <f>SUMIFS('MC+SP Data'!$D$2:$D$134,'MC+SP Data'!$C$2:$C$134,E59,'MC+SP Data'!$H$2:$H$134,$D$5)</f>
        <v>2</v>
      </c>
      <c r="O59" s="10">
        <f t="shared" si="9"/>
        <v>1692940</v>
      </c>
      <c r="P59" s="10">
        <f t="shared" si="10"/>
        <v>507881</v>
      </c>
    </row>
    <row r="60" spans="1:16" x14ac:dyDescent="0.2">
      <c r="A60" s="24">
        <f t="shared" si="4"/>
        <v>1308391.5</v>
      </c>
      <c r="B60" s="24">
        <f t="shared" si="5"/>
        <v>609472.5</v>
      </c>
      <c r="C60" s="51"/>
      <c r="D60" s="53">
        <v>28</v>
      </c>
      <c r="E60" s="52" t="s">
        <v>178</v>
      </c>
      <c r="F60" s="45">
        <v>2</v>
      </c>
      <c r="G60" s="13">
        <v>2616783</v>
      </c>
      <c r="H60" s="13">
        <v>1218945</v>
      </c>
      <c r="J60" s="60">
        <f t="shared" si="6"/>
        <v>0</v>
      </c>
      <c r="K60" s="10">
        <f t="shared" si="7"/>
        <v>0</v>
      </c>
      <c r="L60" s="10">
        <f t="shared" si="8"/>
        <v>0</v>
      </c>
      <c r="N60" s="48">
        <f>SUMIFS('MC+SP Data'!$D$2:$D$134,'MC+SP Data'!$C$2:$C$134,E60,'MC+SP Data'!$H$2:$H$134,$D$5)</f>
        <v>2</v>
      </c>
      <c r="O60" s="10">
        <f t="shared" si="9"/>
        <v>2616783</v>
      </c>
      <c r="P60" s="10">
        <f t="shared" si="10"/>
        <v>1218945</v>
      </c>
    </row>
    <row r="61" spans="1:16" x14ac:dyDescent="0.2">
      <c r="A61" s="24">
        <f t="shared" si="4"/>
        <v>4169.2715277777779</v>
      </c>
      <c r="B61" s="24">
        <f t="shared" si="5"/>
        <v>1700.8217013888889</v>
      </c>
      <c r="C61" s="51"/>
      <c r="D61" s="53">
        <v>29</v>
      </c>
      <c r="E61" s="52" t="s">
        <v>179</v>
      </c>
      <c r="F61" s="45">
        <v>97920</v>
      </c>
      <c r="G61" s="13">
        <v>408255068</v>
      </c>
      <c r="H61" s="13">
        <v>166544461</v>
      </c>
      <c r="J61" s="60">
        <f t="shared" si="6"/>
        <v>0</v>
      </c>
      <c r="K61" s="10">
        <f t="shared" si="7"/>
        <v>0</v>
      </c>
      <c r="L61" s="10">
        <f t="shared" si="8"/>
        <v>0</v>
      </c>
      <c r="N61" s="48">
        <f>SUMIFS('MC+SP Data'!$D$2:$D$134,'MC+SP Data'!$C$2:$C$134,E61,'MC+SP Data'!$H$2:$H$134,$D$5)</f>
        <v>97920</v>
      </c>
      <c r="O61" s="10">
        <f t="shared" si="9"/>
        <v>408255068</v>
      </c>
      <c r="P61" s="10">
        <f t="shared" si="10"/>
        <v>166544461</v>
      </c>
    </row>
    <row r="62" spans="1:16" x14ac:dyDescent="0.2">
      <c r="A62" s="24">
        <f t="shared" si="4"/>
        <v>130851</v>
      </c>
      <c r="B62" s="24">
        <f t="shared" si="5"/>
        <v>60191</v>
      </c>
      <c r="C62" s="51"/>
      <c r="D62" s="53">
        <v>30</v>
      </c>
      <c r="E62" s="52" t="s">
        <v>180</v>
      </c>
      <c r="F62" s="45">
        <v>1</v>
      </c>
      <c r="G62" s="13">
        <v>130851</v>
      </c>
      <c r="H62" s="13">
        <v>60191</v>
      </c>
      <c r="J62" s="60">
        <f t="shared" si="6"/>
        <v>0</v>
      </c>
      <c r="K62" s="10">
        <f t="shared" si="7"/>
        <v>0</v>
      </c>
      <c r="L62" s="10">
        <f t="shared" si="8"/>
        <v>0</v>
      </c>
      <c r="N62" s="48">
        <f>SUMIFS('MC+SP Data'!$D$2:$D$134,'MC+SP Data'!$C$2:$C$134,E62,'MC+SP Data'!$H$2:$H$134,$D$5)</f>
        <v>1</v>
      </c>
      <c r="O62" s="10">
        <f t="shared" si="9"/>
        <v>130851</v>
      </c>
      <c r="P62" s="10">
        <f t="shared" si="10"/>
        <v>60191</v>
      </c>
    </row>
    <row r="63" spans="1:16" x14ac:dyDescent="0.2">
      <c r="A63" s="24">
        <f t="shared" si="4"/>
        <v>281523.16666666669</v>
      </c>
      <c r="B63" s="24">
        <f t="shared" si="5"/>
        <v>84457</v>
      </c>
      <c r="C63" s="51"/>
      <c r="D63" s="53">
        <v>31</v>
      </c>
      <c r="E63" s="52" t="s">
        <v>181</v>
      </c>
      <c r="F63" s="45">
        <v>6</v>
      </c>
      <c r="G63" s="13">
        <v>1689139</v>
      </c>
      <c r="H63" s="13">
        <v>506742</v>
      </c>
      <c r="J63" s="60">
        <f t="shared" si="6"/>
        <v>0</v>
      </c>
      <c r="K63" s="10">
        <f t="shared" si="7"/>
        <v>0</v>
      </c>
      <c r="L63" s="10">
        <f t="shared" si="8"/>
        <v>0</v>
      </c>
      <c r="N63" s="48">
        <f>SUMIFS('MC+SP Data'!$D$2:$D$134,'MC+SP Data'!$C$2:$C$134,E63,'MC+SP Data'!$H$2:$H$134,$D$5)</f>
        <v>6</v>
      </c>
      <c r="O63" s="10">
        <f t="shared" si="9"/>
        <v>1689139</v>
      </c>
      <c r="P63" s="10">
        <f t="shared" si="10"/>
        <v>506742</v>
      </c>
    </row>
    <row r="64" spans="1:16" x14ac:dyDescent="0.2">
      <c r="A64" s="24">
        <f t="shared" si="4"/>
        <v>541526</v>
      </c>
      <c r="B64" s="24">
        <f t="shared" si="5"/>
        <v>238880</v>
      </c>
      <c r="C64" s="51"/>
      <c r="D64" s="53">
        <v>32</v>
      </c>
      <c r="E64" s="52" t="s">
        <v>182</v>
      </c>
      <c r="F64" s="45">
        <v>2</v>
      </c>
      <c r="G64" s="13">
        <v>1083052</v>
      </c>
      <c r="H64" s="13">
        <v>477760</v>
      </c>
      <c r="J64" s="60">
        <f t="shared" si="6"/>
        <v>0</v>
      </c>
      <c r="K64" s="10">
        <f t="shared" si="7"/>
        <v>0</v>
      </c>
      <c r="L64" s="10">
        <f t="shared" si="8"/>
        <v>0</v>
      </c>
      <c r="N64" s="48">
        <f>SUMIFS('MC+SP Data'!$D$2:$D$134,'MC+SP Data'!$C$2:$C$134,E64,'MC+SP Data'!$H$2:$H$134,$D$5)</f>
        <v>2</v>
      </c>
      <c r="O64" s="10">
        <f t="shared" si="9"/>
        <v>1083052</v>
      </c>
      <c r="P64" s="10">
        <f t="shared" si="10"/>
        <v>477760</v>
      </c>
    </row>
    <row r="65" spans="1:16" x14ac:dyDescent="0.2">
      <c r="A65" s="24">
        <f t="shared" si="4"/>
        <v>278790.5</v>
      </c>
      <c r="B65" s="24">
        <f t="shared" si="5"/>
        <v>114304</v>
      </c>
      <c r="C65" s="51"/>
      <c r="D65" s="53">
        <v>33</v>
      </c>
      <c r="E65" s="52" t="s">
        <v>183</v>
      </c>
      <c r="F65" s="45">
        <v>2</v>
      </c>
      <c r="G65" s="13">
        <v>557581</v>
      </c>
      <c r="H65" s="13">
        <v>228608</v>
      </c>
      <c r="J65" s="60">
        <f t="shared" si="6"/>
        <v>0</v>
      </c>
      <c r="K65" s="10">
        <f t="shared" si="7"/>
        <v>0</v>
      </c>
      <c r="L65" s="10">
        <f t="shared" si="8"/>
        <v>0</v>
      </c>
      <c r="N65" s="48">
        <f>SUMIFS('MC+SP Data'!$D$2:$D$134,'MC+SP Data'!$C$2:$C$134,E65,'MC+SP Data'!$H$2:$H$134,$D$5)</f>
        <v>2</v>
      </c>
      <c r="O65" s="10">
        <f t="shared" si="9"/>
        <v>557581</v>
      </c>
      <c r="P65" s="10">
        <f t="shared" si="10"/>
        <v>228608</v>
      </c>
    </row>
    <row r="66" spans="1:16" x14ac:dyDescent="0.2">
      <c r="A66" s="24">
        <f t="shared" si="4"/>
        <v>416868</v>
      </c>
      <c r="B66" s="24">
        <f t="shared" si="5"/>
        <v>137566</v>
      </c>
      <c r="C66" s="51"/>
      <c r="D66" s="53">
        <v>36</v>
      </c>
      <c r="E66" s="52" t="s">
        <v>186</v>
      </c>
      <c r="F66" s="45">
        <v>1</v>
      </c>
      <c r="G66" s="13">
        <v>416868</v>
      </c>
      <c r="H66" s="13">
        <v>137566</v>
      </c>
      <c r="J66" s="60">
        <f t="shared" si="6"/>
        <v>0</v>
      </c>
      <c r="K66" s="10">
        <f t="shared" si="7"/>
        <v>0</v>
      </c>
      <c r="L66" s="10">
        <f t="shared" si="8"/>
        <v>0</v>
      </c>
      <c r="N66" s="48">
        <f>SUMIFS('MC+SP Data'!$D$2:$D$134,'MC+SP Data'!$C$2:$C$134,E66,'MC+SP Data'!$H$2:$H$134,$D$5)</f>
        <v>1</v>
      </c>
      <c r="O66" s="10">
        <f t="shared" si="9"/>
        <v>416868</v>
      </c>
      <c r="P66" s="10">
        <f t="shared" si="10"/>
        <v>137566</v>
      </c>
    </row>
    <row r="67" spans="1:16" x14ac:dyDescent="0.2">
      <c r="A67" s="24">
        <f t="shared" si="4"/>
        <v>2369.462962962963</v>
      </c>
      <c r="B67" s="24">
        <f t="shared" si="5"/>
        <v>1089.9490740740741</v>
      </c>
      <c r="C67" s="51"/>
      <c r="D67" s="53">
        <v>37</v>
      </c>
      <c r="E67" s="52" t="s">
        <v>187</v>
      </c>
      <c r="F67" s="45">
        <v>216</v>
      </c>
      <c r="G67" s="13">
        <v>511804</v>
      </c>
      <c r="H67" s="13">
        <v>235429</v>
      </c>
      <c r="J67" s="60">
        <f t="shared" si="6"/>
        <v>0</v>
      </c>
      <c r="K67" s="10">
        <f t="shared" si="7"/>
        <v>0</v>
      </c>
      <c r="L67" s="10">
        <f t="shared" si="8"/>
        <v>0</v>
      </c>
      <c r="N67" s="48">
        <f>SUMIFS('MC+SP Data'!$D$2:$D$134,'MC+SP Data'!$C$2:$C$134,E67,'MC+SP Data'!$H$2:$H$134,$D$5)</f>
        <v>216</v>
      </c>
      <c r="O67" s="10">
        <f t="shared" si="9"/>
        <v>511804</v>
      </c>
      <c r="P67" s="10">
        <f t="shared" si="10"/>
        <v>235429</v>
      </c>
    </row>
    <row r="68" spans="1:16" x14ac:dyDescent="0.2">
      <c r="A68" s="24">
        <f t="shared" si="4"/>
        <v>65225</v>
      </c>
      <c r="B68" s="24">
        <f t="shared" si="5"/>
        <v>19567.5</v>
      </c>
      <c r="C68" s="51"/>
      <c r="D68" s="53">
        <v>38</v>
      </c>
      <c r="E68" s="52" t="s">
        <v>188</v>
      </c>
      <c r="F68" s="45">
        <v>2</v>
      </c>
      <c r="G68" s="13">
        <v>130450</v>
      </c>
      <c r="H68" s="13">
        <v>39135</v>
      </c>
      <c r="J68" s="60">
        <f t="shared" si="6"/>
        <v>0</v>
      </c>
      <c r="K68" s="10">
        <f t="shared" si="7"/>
        <v>0</v>
      </c>
      <c r="L68" s="10">
        <f t="shared" si="8"/>
        <v>0</v>
      </c>
      <c r="N68" s="48">
        <f>SUMIFS('MC+SP Data'!$D$2:$D$134,'MC+SP Data'!$C$2:$C$134,E68,'MC+SP Data'!$H$2:$H$134,$D$5)</f>
        <v>2</v>
      </c>
      <c r="O68" s="10">
        <f t="shared" si="9"/>
        <v>130450</v>
      </c>
      <c r="P68" s="10">
        <f t="shared" si="10"/>
        <v>39135</v>
      </c>
    </row>
    <row r="69" spans="1:16" x14ac:dyDescent="0.2">
      <c r="A69" s="24">
        <f t="shared" si="4"/>
        <v>205601</v>
      </c>
      <c r="B69" s="24">
        <f t="shared" si="5"/>
        <v>61680</v>
      </c>
      <c r="C69" s="51"/>
      <c r="D69" s="53">
        <v>39</v>
      </c>
      <c r="E69" s="52" t="s">
        <v>189</v>
      </c>
      <c r="F69" s="45">
        <v>1</v>
      </c>
      <c r="G69" s="13">
        <v>205601</v>
      </c>
      <c r="H69" s="13">
        <v>61680</v>
      </c>
      <c r="J69" s="60">
        <f t="shared" si="6"/>
        <v>0</v>
      </c>
      <c r="K69" s="10">
        <f t="shared" si="7"/>
        <v>0</v>
      </c>
      <c r="L69" s="10">
        <f t="shared" si="8"/>
        <v>0</v>
      </c>
      <c r="N69" s="48">
        <f>SUMIFS('MC+SP Data'!$D$2:$D$134,'MC+SP Data'!$C$2:$C$134,E69,'MC+SP Data'!$H$2:$H$134,$D$5)</f>
        <v>1</v>
      </c>
      <c r="O69" s="10">
        <f t="shared" si="9"/>
        <v>205601</v>
      </c>
      <c r="P69" s="10">
        <f t="shared" si="10"/>
        <v>61680</v>
      </c>
    </row>
    <row r="70" spans="1:16" x14ac:dyDescent="0.2">
      <c r="A70" s="24">
        <f t="shared" si="4"/>
        <v>44415.253465346534</v>
      </c>
      <c r="B70" s="24">
        <f t="shared" si="5"/>
        <v>13982.545544554456</v>
      </c>
      <c r="C70" s="51"/>
      <c r="D70" s="53">
        <v>40</v>
      </c>
      <c r="E70" s="52" t="s">
        <v>190</v>
      </c>
      <c r="F70" s="45">
        <v>1010</v>
      </c>
      <c r="G70" s="13">
        <v>44859406</v>
      </c>
      <c r="H70" s="13">
        <v>14122371</v>
      </c>
      <c r="J70" s="60">
        <f t="shared" si="6"/>
        <v>0</v>
      </c>
      <c r="K70" s="10">
        <f t="shared" si="7"/>
        <v>0</v>
      </c>
      <c r="L70" s="10">
        <f t="shared" si="8"/>
        <v>0</v>
      </c>
      <c r="N70" s="48">
        <f>SUMIFS('MC+SP Data'!$D$2:$D$134,'MC+SP Data'!$C$2:$C$134,E70,'MC+SP Data'!$H$2:$H$134,$D$5)</f>
        <v>1010</v>
      </c>
      <c r="O70" s="10">
        <f t="shared" si="9"/>
        <v>44859406</v>
      </c>
      <c r="P70" s="10">
        <f t="shared" si="10"/>
        <v>14122371</v>
      </c>
    </row>
    <row r="71" spans="1:16" x14ac:dyDescent="0.2">
      <c r="A71" s="24">
        <f t="shared" si="4"/>
        <v>312012.22580645164</v>
      </c>
      <c r="B71" s="24">
        <f t="shared" si="5"/>
        <v>139806.09677419355</v>
      </c>
      <c r="C71" s="51"/>
      <c r="D71" s="53">
        <v>41</v>
      </c>
      <c r="E71" s="52" t="s">
        <v>191</v>
      </c>
      <c r="F71" s="45">
        <v>31</v>
      </c>
      <c r="G71" s="13">
        <v>9672379</v>
      </c>
      <c r="H71" s="13">
        <v>4333989</v>
      </c>
      <c r="J71" s="60">
        <f t="shared" si="6"/>
        <v>0</v>
      </c>
      <c r="K71" s="10">
        <f t="shared" si="7"/>
        <v>0</v>
      </c>
      <c r="L71" s="10">
        <f t="shared" si="8"/>
        <v>0</v>
      </c>
      <c r="N71" s="48">
        <f>SUMIFS('MC+SP Data'!$D$2:$D$134,'MC+SP Data'!$C$2:$C$134,E71,'MC+SP Data'!$H$2:$H$134,$D$5)</f>
        <v>31</v>
      </c>
      <c r="O71" s="10">
        <f t="shared" si="9"/>
        <v>9672379</v>
      </c>
      <c r="P71" s="10">
        <f t="shared" si="10"/>
        <v>4333989</v>
      </c>
    </row>
    <row r="72" spans="1:16" x14ac:dyDescent="0.2">
      <c r="A72" s="24">
        <f t="shared" si="4"/>
        <v>735201.46666666667</v>
      </c>
      <c r="B72" s="24">
        <f t="shared" si="5"/>
        <v>358039.8</v>
      </c>
      <c r="C72" s="51"/>
      <c r="D72" s="53">
        <v>42</v>
      </c>
      <c r="E72" s="52" t="s">
        <v>192</v>
      </c>
      <c r="F72" s="45">
        <v>15</v>
      </c>
      <c r="G72" s="13">
        <v>11028022</v>
      </c>
      <c r="H72" s="13">
        <v>5370597</v>
      </c>
      <c r="J72" s="60">
        <f t="shared" si="6"/>
        <v>0</v>
      </c>
      <c r="K72" s="10">
        <f t="shared" ref="K72:K103" si="11">ROUND(J72*A72,0)</f>
        <v>0</v>
      </c>
      <c r="L72" s="10">
        <f t="shared" ref="L72:L103" si="12">ROUND(J72*B72,0)</f>
        <v>0</v>
      </c>
      <c r="N72" s="48">
        <f>SUMIFS('MC+SP Data'!$D$2:$D$134,'MC+SP Data'!$C$2:$C$134,E72,'MC+SP Data'!$H$2:$H$134,$D$5)</f>
        <v>15</v>
      </c>
      <c r="O72" s="10">
        <f t="shared" ref="O72:O103" si="13">ROUND(N72*A72,0)</f>
        <v>11028022</v>
      </c>
      <c r="P72" s="10">
        <f t="shared" ref="P72:P103" si="14">ROUND(N72*B72,0)</f>
        <v>5370597</v>
      </c>
    </row>
    <row r="73" spans="1:16" x14ac:dyDescent="0.2">
      <c r="A73" s="24">
        <f t="shared" ref="A73:A135" si="15">G73/F73</f>
        <v>13406873</v>
      </c>
      <c r="B73" s="24">
        <f t="shared" ref="B73:B135" si="16">H73/F73</f>
        <v>5496818</v>
      </c>
      <c r="C73" s="51"/>
      <c r="D73" s="53">
        <v>43</v>
      </c>
      <c r="E73" s="52" t="s">
        <v>193</v>
      </c>
      <c r="F73" s="45">
        <v>1</v>
      </c>
      <c r="G73" s="13">
        <v>13406873</v>
      </c>
      <c r="H73" s="13">
        <v>5496818</v>
      </c>
      <c r="J73" s="60">
        <f t="shared" ref="J73:J136" si="17">F73-N73</f>
        <v>0</v>
      </c>
      <c r="K73" s="10">
        <f t="shared" si="11"/>
        <v>0</v>
      </c>
      <c r="L73" s="10">
        <f t="shared" si="12"/>
        <v>0</v>
      </c>
      <c r="N73" s="48">
        <f>SUMIFS('MC+SP Data'!$D$2:$D$134,'MC+SP Data'!$C$2:$C$134,E73,'MC+SP Data'!$H$2:$H$134,$D$5)</f>
        <v>1</v>
      </c>
      <c r="O73" s="10">
        <f t="shared" si="13"/>
        <v>13406873</v>
      </c>
      <c r="P73" s="10">
        <f t="shared" si="14"/>
        <v>5496818</v>
      </c>
    </row>
    <row r="74" spans="1:16" x14ac:dyDescent="0.2">
      <c r="A74" s="24">
        <f t="shared" si="15"/>
        <v>248.72407407407408</v>
      </c>
      <c r="B74" s="24">
        <f t="shared" si="16"/>
        <v>96.691358024691354</v>
      </c>
      <c r="C74" s="51"/>
      <c r="D74" s="53">
        <v>44</v>
      </c>
      <c r="E74" s="52" t="s">
        <v>194</v>
      </c>
      <c r="F74" s="45">
        <v>8100</v>
      </c>
      <c r="G74" s="13">
        <v>2014665</v>
      </c>
      <c r="H74" s="13">
        <v>783200</v>
      </c>
      <c r="J74" s="60">
        <f t="shared" si="17"/>
        <v>0</v>
      </c>
      <c r="K74" s="10">
        <f t="shared" si="11"/>
        <v>0</v>
      </c>
      <c r="L74" s="10">
        <f t="shared" si="12"/>
        <v>0</v>
      </c>
      <c r="N74" s="48">
        <f>SUMIFS('MC+SP Data'!$D$2:$D$134,'MC+SP Data'!$C$2:$C$134,E74,'MC+SP Data'!$H$2:$H$134,$D$5)</f>
        <v>8100</v>
      </c>
      <c r="O74" s="10">
        <f t="shared" si="13"/>
        <v>2014665</v>
      </c>
      <c r="P74" s="10">
        <f t="shared" si="14"/>
        <v>783200</v>
      </c>
    </row>
    <row r="75" spans="1:16" x14ac:dyDescent="0.2">
      <c r="A75" s="24">
        <f t="shared" si="15"/>
        <v>6593.9125000000004</v>
      </c>
      <c r="B75" s="24">
        <f t="shared" si="16"/>
        <v>1978.1736111111111</v>
      </c>
      <c r="C75" s="51"/>
      <c r="D75" s="53">
        <v>45</v>
      </c>
      <c r="E75" s="52" t="s">
        <v>195</v>
      </c>
      <c r="F75" s="45">
        <v>24480</v>
      </c>
      <c r="G75" s="13">
        <v>161418978</v>
      </c>
      <c r="H75" s="13">
        <v>48425690</v>
      </c>
      <c r="J75" s="60">
        <f t="shared" si="17"/>
        <v>0</v>
      </c>
      <c r="K75" s="10">
        <f t="shared" si="11"/>
        <v>0</v>
      </c>
      <c r="L75" s="10">
        <f t="shared" si="12"/>
        <v>0</v>
      </c>
      <c r="N75" s="48">
        <f>SUMIFS('MC+SP Data'!$D$2:$D$134,'MC+SP Data'!$C$2:$C$134,E75,'MC+SP Data'!$H$2:$H$134,$D$5)</f>
        <v>24480</v>
      </c>
      <c r="O75" s="10">
        <f t="shared" si="13"/>
        <v>161418978</v>
      </c>
      <c r="P75" s="10">
        <f t="shared" si="14"/>
        <v>48425690</v>
      </c>
    </row>
    <row r="76" spans="1:16" x14ac:dyDescent="0.2">
      <c r="A76" s="24">
        <f t="shared" si="15"/>
        <v>52445.857142857145</v>
      </c>
      <c r="B76" s="24">
        <f t="shared" si="16"/>
        <v>25276</v>
      </c>
      <c r="C76" s="51"/>
      <c r="D76" s="53">
        <v>46</v>
      </c>
      <c r="E76" s="52" t="s">
        <v>196</v>
      </c>
      <c r="F76" s="45">
        <v>14</v>
      </c>
      <c r="G76" s="13">
        <v>734242</v>
      </c>
      <c r="H76" s="13">
        <v>353864</v>
      </c>
      <c r="J76" s="60">
        <f t="shared" si="17"/>
        <v>0</v>
      </c>
      <c r="K76" s="10">
        <f t="shared" si="11"/>
        <v>0</v>
      </c>
      <c r="L76" s="10">
        <f t="shared" si="12"/>
        <v>0</v>
      </c>
      <c r="N76" s="48">
        <f>SUMIFS('MC+SP Data'!$D$2:$D$134,'MC+SP Data'!$C$2:$C$134,E76,'MC+SP Data'!$H$2:$H$134,$D$5)</f>
        <v>14</v>
      </c>
      <c r="O76" s="10">
        <f t="shared" si="13"/>
        <v>734242</v>
      </c>
      <c r="P76" s="10">
        <f t="shared" si="14"/>
        <v>353864</v>
      </c>
    </row>
    <row r="77" spans="1:16" x14ac:dyDescent="0.2">
      <c r="A77" s="24">
        <f t="shared" si="15"/>
        <v>50791.473684210527</v>
      </c>
      <c r="B77" s="24">
        <f t="shared" si="16"/>
        <v>20824.505263157895</v>
      </c>
      <c r="C77" s="51"/>
      <c r="D77" s="53">
        <v>48</v>
      </c>
      <c r="E77" s="52" t="s">
        <v>198</v>
      </c>
      <c r="F77" s="45">
        <v>95</v>
      </c>
      <c r="G77" s="13">
        <v>4825190</v>
      </c>
      <c r="H77" s="13">
        <v>1978328</v>
      </c>
      <c r="J77" s="60">
        <f t="shared" si="17"/>
        <v>0</v>
      </c>
      <c r="K77" s="10">
        <f t="shared" si="11"/>
        <v>0</v>
      </c>
      <c r="L77" s="10">
        <f t="shared" si="12"/>
        <v>0</v>
      </c>
      <c r="N77" s="48">
        <f>SUMIFS('MC+SP Data'!$D$2:$D$134,'MC+SP Data'!$C$2:$C$134,E77,'MC+SP Data'!$H$2:$H$134,$D$5)</f>
        <v>95</v>
      </c>
      <c r="O77" s="10">
        <f t="shared" si="13"/>
        <v>4825190</v>
      </c>
      <c r="P77" s="10">
        <f t="shared" si="14"/>
        <v>1978328</v>
      </c>
    </row>
    <row r="78" spans="1:16" x14ac:dyDescent="0.2">
      <c r="A78" s="24">
        <f t="shared" si="15"/>
        <v>2539.625</v>
      </c>
      <c r="B78" s="24">
        <f t="shared" si="16"/>
        <v>1269.7916666666667</v>
      </c>
      <c r="C78" s="51"/>
      <c r="D78" s="53">
        <v>49</v>
      </c>
      <c r="E78" s="52" t="s">
        <v>199</v>
      </c>
      <c r="F78" s="45">
        <v>48</v>
      </c>
      <c r="G78" s="13">
        <v>121902</v>
      </c>
      <c r="H78" s="13">
        <v>60950</v>
      </c>
      <c r="J78" s="60">
        <f t="shared" si="17"/>
        <v>0</v>
      </c>
      <c r="K78" s="10">
        <f t="shared" si="11"/>
        <v>0</v>
      </c>
      <c r="L78" s="10">
        <f t="shared" si="12"/>
        <v>0</v>
      </c>
      <c r="N78" s="48">
        <f>SUMIFS('MC+SP Data'!$D$2:$D$134,'MC+SP Data'!$C$2:$C$134,E78,'MC+SP Data'!$H$2:$H$134,$D$5)</f>
        <v>48</v>
      </c>
      <c r="O78" s="10">
        <f t="shared" si="13"/>
        <v>121902</v>
      </c>
      <c r="P78" s="10">
        <f t="shared" si="14"/>
        <v>60950</v>
      </c>
    </row>
    <row r="79" spans="1:16" x14ac:dyDescent="0.2">
      <c r="A79" s="24">
        <f t="shared" si="15"/>
        <v>1566858.5</v>
      </c>
      <c r="B79" s="24">
        <f t="shared" si="16"/>
        <v>470057.5</v>
      </c>
      <c r="C79" s="51"/>
      <c r="D79" s="53">
        <v>52</v>
      </c>
      <c r="E79" s="52" t="s">
        <v>202</v>
      </c>
      <c r="F79" s="45">
        <v>2</v>
      </c>
      <c r="G79" s="13">
        <v>3133717</v>
      </c>
      <c r="H79" s="13">
        <v>940115</v>
      </c>
      <c r="J79" s="60">
        <f t="shared" si="17"/>
        <v>0</v>
      </c>
      <c r="K79" s="10">
        <f t="shared" si="11"/>
        <v>0</v>
      </c>
      <c r="L79" s="10">
        <f t="shared" si="12"/>
        <v>0</v>
      </c>
      <c r="N79" s="48">
        <f>SUMIFS('MC+SP Data'!$D$2:$D$134,'MC+SP Data'!$C$2:$C$134,E79,'MC+SP Data'!$H$2:$H$134,$D$5)</f>
        <v>2</v>
      </c>
      <c r="O79" s="10">
        <f t="shared" si="13"/>
        <v>3133717</v>
      </c>
      <c r="P79" s="10">
        <f t="shared" si="14"/>
        <v>940115</v>
      </c>
    </row>
    <row r="80" spans="1:16" x14ac:dyDescent="0.2">
      <c r="A80" s="24">
        <f t="shared" si="15"/>
        <v>28378.926229508197</v>
      </c>
      <c r="B80" s="24">
        <f t="shared" si="16"/>
        <v>11960.409836065573</v>
      </c>
      <c r="C80" s="51"/>
      <c r="D80" s="53">
        <v>53</v>
      </c>
      <c r="E80" s="52" t="s">
        <v>203</v>
      </c>
      <c r="F80" s="45">
        <v>122</v>
      </c>
      <c r="G80" s="13">
        <v>3462229</v>
      </c>
      <c r="H80" s="13">
        <v>1459170</v>
      </c>
      <c r="J80" s="60">
        <f t="shared" si="17"/>
        <v>0</v>
      </c>
      <c r="K80" s="10">
        <f t="shared" si="11"/>
        <v>0</v>
      </c>
      <c r="L80" s="10">
        <f t="shared" si="12"/>
        <v>0</v>
      </c>
      <c r="N80" s="48">
        <f>SUMIFS('MC+SP Data'!$D$2:$D$134,'MC+SP Data'!$C$2:$C$134,E80,'MC+SP Data'!$H$2:$H$134,$D$5)</f>
        <v>122</v>
      </c>
      <c r="O80" s="10">
        <f t="shared" si="13"/>
        <v>3462229</v>
      </c>
      <c r="P80" s="10">
        <f t="shared" si="14"/>
        <v>1459170</v>
      </c>
    </row>
    <row r="81" spans="1:16" x14ac:dyDescent="0.2">
      <c r="A81" s="24">
        <f t="shared" si="15"/>
        <v>5156.8235294117649</v>
      </c>
      <c r="B81" s="24">
        <f t="shared" si="16"/>
        <v>2114.294117647059</v>
      </c>
      <c r="C81" s="51"/>
      <c r="D81" s="53">
        <v>56</v>
      </c>
      <c r="E81" s="52" t="s">
        <v>206</v>
      </c>
      <c r="F81" s="45">
        <v>17</v>
      </c>
      <c r="G81" s="13">
        <v>87666</v>
      </c>
      <c r="H81" s="13">
        <v>35943</v>
      </c>
      <c r="J81" s="60">
        <f t="shared" si="17"/>
        <v>0</v>
      </c>
      <c r="K81" s="10">
        <f t="shared" si="11"/>
        <v>0</v>
      </c>
      <c r="L81" s="10">
        <f t="shared" si="12"/>
        <v>0</v>
      </c>
      <c r="N81" s="48">
        <f>SUMIFS('MC+SP Data'!$D$2:$D$134,'MC+SP Data'!$C$2:$C$134,E81,'MC+SP Data'!$H$2:$H$134,$D$5)</f>
        <v>17</v>
      </c>
      <c r="O81" s="10">
        <f t="shared" si="13"/>
        <v>87666</v>
      </c>
      <c r="P81" s="10">
        <f t="shared" si="14"/>
        <v>35943</v>
      </c>
    </row>
    <row r="82" spans="1:16" x14ac:dyDescent="0.2">
      <c r="A82" s="24">
        <f t="shared" si="15"/>
        <v>165.65403788634097</v>
      </c>
      <c r="B82" s="24">
        <f t="shared" si="16"/>
        <v>58.954137587238286</v>
      </c>
      <c r="C82" s="51"/>
      <c r="D82" s="53">
        <v>57</v>
      </c>
      <c r="E82" s="52" t="s">
        <v>207</v>
      </c>
      <c r="F82" s="45">
        <v>1003</v>
      </c>
      <c r="G82" s="13">
        <v>166151</v>
      </c>
      <c r="H82" s="13">
        <v>59131</v>
      </c>
      <c r="J82" s="60">
        <f t="shared" si="17"/>
        <v>0</v>
      </c>
      <c r="K82" s="10">
        <f t="shared" si="11"/>
        <v>0</v>
      </c>
      <c r="L82" s="10">
        <f t="shared" si="12"/>
        <v>0</v>
      </c>
      <c r="N82" s="48">
        <f>SUMIFS('MC+SP Data'!$D$2:$D$134,'MC+SP Data'!$C$2:$C$134,E82,'MC+SP Data'!$H$2:$H$134,$D$5)</f>
        <v>1003</v>
      </c>
      <c r="O82" s="10">
        <f t="shared" si="13"/>
        <v>166151</v>
      </c>
      <c r="P82" s="10">
        <f t="shared" si="14"/>
        <v>59131</v>
      </c>
    </row>
    <row r="83" spans="1:16" x14ac:dyDescent="0.2">
      <c r="A83" s="24">
        <f t="shared" si="15"/>
        <v>1185886</v>
      </c>
      <c r="B83" s="24">
        <f t="shared" si="16"/>
        <v>545507</v>
      </c>
      <c r="C83" s="51"/>
      <c r="D83" s="54">
        <v>58</v>
      </c>
      <c r="E83" s="52" t="s">
        <v>208</v>
      </c>
      <c r="F83" s="45">
        <v>1</v>
      </c>
      <c r="G83" s="13">
        <v>1185886</v>
      </c>
      <c r="H83" s="13">
        <v>545507</v>
      </c>
      <c r="J83" s="60">
        <f t="shared" si="17"/>
        <v>0</v>
      </c>
      <c r="K83" s="10">
        <f t="shared" si="11"/>
        <v>0</v>
      </c>
      <c r="L83" s="10">
        <f t="shared" si="12"/>
        <v>0</v>
      </c>
      <c r="N83" s="48">
        <f>SUMIFS('MC+SP Data'!$D$2:$D$134,'MC+SP Data'!$C$2:$C$134,E83,'MC+SP Data'!$H$2:$H$134,$D$5)</f>
        <v>1</v>
      </c>
      <c r="O83" s="10">
        <f t="shared" si="13"/>
        <v>1185886</v>
      </c>
      <c r="P83" s="10">
        <f t="shared" si="14"/>
        <v>545507</v>
      </c>
    </row>
    <row r="84" spans="1:16" x14ac:dyDescent="0.2">
      <c r="A84" s="24">
        <f t="shared" si="15"/>
        <v>22.448476190476189</v>
      </c>
      <c r="B84" s="24">
        <f t="shared" si="16"/>
        <v>6.7345238095238091</v>
      </c>
      <c r="C84" s="51"/>
      <c r="D84" s="53">
        <v>59</v>
      </c>
      <c r="E84" s="52" t="s">
        <v>209</v>
      </c>
      <c r="F84" s="45">
        <v>42000</v>
      </c>
      <c r="G84" s="13">
        <v>942836</v>
      </c>
      <c r="H84" s="13">
        <v>282850</v>
      </c>
      <c r="J84" s="60">
        <f t="shared" si="17"/>
        <v>0</v>
      </c>
      <c r="K84" s="10">
        <f t="shared" si="11"/>
        <v>0</v>
      </c>
      <c r="L84" s="10">
        <f t="shared" si="12"/>
        <v>0</v>
      </c>
      <c r="N84" s="48">
        <f>SUMIFS('MC+SP Data'!$D$2:$D$134,'MC+SP Data'!$C$2:$C$134,E84,'MC+SP Data'!$H$2:$H$134,$D$5)</f>
        <v>42000</v>
      </c>
      <c r="O84" s="10">
        <f t="shared" si="13"/>
        <v>942836</v>
      </c>
      <c r="P84" s="10">
        <f t="shared" si="14"/>
        <v>282850</v>
      </c>
    </row>
    <row r="85" spans="1:16" x14ac:dyDescent="0.2">
      <c r="A85" s="24">
        <f t="shared" si="15"/>
        <v>632251.5</v>
      </c>
      <c r="B85" s="24">
        <f t="shared" si="16"/>
        <v>290835.5</v>
      </c>
      <c r="C85" s="51"/>
      <c r="D85" s="53">
        <v>61</v>
      </c>
      <c r="E85" s="52" t="s">
        <v>211</v>
      </c>
      <c r="F85" s="45">
        <v>2</v>
      </c>
      <c r="G85" s="13">
        <v>1264503</v>
      </c>
      <c r="H85" s="13">
        <v>581671</v>
      </c>
      <c r="J85" s="60">
        <f t="shared" si="17"/>
        <v>0</v>
      </c>
      <c r="K85" s="10">
        <f t="shared" si="11"/>
        <v>0</v>
      </c>
      <c r="L85" s="10">
        <f t="shared" si="12"/>
        <v>0</v>
      </c>
      <c r="N85" s="48">
        <f>SUMIFS('MC+SP Data'!$D$2:$D$134,'MC+SP Data'!$C$2:$C$134,E85,'MC+SP Data'!$H$2:$H$134,$D$5)</f>
        <v>2</v>
      </c>
      <c r="O85" s="10">
        <f t="shared" si="13"/>
        <v>1264503</v>
      </c>
      <c r="P85" s="10">
        <f t="shared" si="14"/>
        <v>581671</v>
      </c>
    </row>
    <row r="86" spans="1:16" x14ac:dyDescent="0.2">
      <c r="A86" s="24">
        <f t="shared" si="15"/>
        <v>67183.409090909088</v>
      </c>
      <c r="B86" s="24">
        <f t="shared" si="16"/>
        <v>32670.454545454544</v>
      </c>
      <c r="C86" s="51"/>
      <c r="D86" s="53">
        <v>62</v>
      </c>
      <c r="E86" s="52" t="s">
        <v>212</v>
      </c>
      <c r="F86" s="45">
        <v>22</v>
      </c>
      <c r="G86" s="13">
        <v>1478035</v>
      </c>
      <c r="H86" s="13">
        <v>718750</v>
      </c>
      <c r="J86" s="60">
        <f t="shared" si="17"/>
        <v>0</v>
      </c>
      <c r="K86" s="10">
        <f t="shared" si="11"/>
        <v>0</v>
      </c>
      <c r="L86" s="10">
        <f t="shared" si="12"/>
        <v>0</v>
      </c>
      <c r="N86" s="48">
        <f>SUMIFS('MC+SP Data'!$D$2:$D$134,'MC+SP Data'!$C$2:$C$134,E86,'MC+SP Data'!$H$2:$H$134,$D$5)</f>
        <v>22</v>
      </c>
      <c r="O86" s="10">
        <f t="shared" si="13"/>
        <v>1478035</v>
      </c>
      <c r="P86" s="10">
        <f t="shared" si="14"/>
        <v>718750</v>
      </c>
    </row>
    <row r="87" spans="1:16" x14ac:dyDescent="0.2">
      <c r="A87" s="24">
        <f t="shared" si="15"/>
        <v>534005</v>
      </c>
      <c r="B87" s="24">
        <f t="shared" si="16"/>
        <v>160202</v>
      </c>
      <c r="C87" s="51"/>
      <c r="D87" s="53">
        <v>64</v>
      </c>
      <c r="E87" s="52" t="s">
        <v>214</v>
      </c>
      <c r="F87" s="45">
        <v>1</v>
      </c>
      <c r="G87" s="13">
        <v>534005</v>
      </c>
      <c r="H87" s="13">
        <v>160202</v>
      </c>
      <c r="J87" s="60">
        <f t="shared" si="17"/>
        <v>0</v>
      </c>
      <c r="K87" s="10">
        <f t="shared" si="11"/>
        <v>0</v>
      </c>
      <c r="L87" s="10">
        <f t="shared" si="12"/>
        <v>0</v>
      </c>
      <c r="N87" s="48">
        <f>SUMIFS('MC+SP Data'!$D$2:$D$134,'MC+SP Data'!$C$2:$C$134,E87,'MC+SP Data'!$H$2:$H$134,$D$5)</f>
        <v>1</v>
      </c>
      <c r="O87" s="10">
        <f t="shared" si="13"/>
        <v>534005</v>
      </c>
      <c r="P87" s="10">
        <f t="shared" si="14"/>
        <v>160202</v>
      </c>
    </row>
    <row r="88" spans="1:16" x14ac:dyDescent="0.2">
      <c r="A88" s="24">
        <f t="shared" si="15"/>
        <v>24859.39534883721</v>
      </c>
      <c r="B88" s="24">
        <f t="shared" si="16"/>
        <v>12367.058139534884</v>
      </c>
      <c r="C88" s="51"/>
      <c r="D88" s="53">
        <v>65</v>
      </c>
      <c r="E88" s="52" t="s">
        <v>215</v>
      </c>
      <c r="F88" s="45">
        <v>258</v>
      </c>
      <c r="G88" s="13">
        <v>6413724</v>
      </c>
      <c r="H88" s="13">
        <v>3190701</v>
      </c>
      <c r="J88" s="60">
        <f t="shared" si="17"/>
        <v>0</v>
      </c>
      <c r="K88" s="10">
        <f t="shared" si="11"/>
        <v>0</v>
      </c>
      <c r="L88" s="10">
        <f t="shared" si="12"/>
        <v>0</v>
      </c>
      <c r="N88" s="48">
        <f>SUMIFS('MC+SP Data'!$D$2:$D$134,'MC+SP Data'!$C$2:$C$134,E88,'MC+SP Data'!$H$2:$H$134,$D$5)</f>
        <v>258</v>
      </c>
      <c r="O88" s="10">
        <f t="shared" si="13"/>
        <v>6413724</v>
      </c>
      <c r="P88" s="10">
        <f t="shared" si="14"/>
        <v>3190701</v>
      </c>
    </row>
    <row r="89" spans="1:16" x14ac:dyDescent="0.2">
      <c r="A89" s="24">
        <f t="shared" si="15"/>
        <v>5311.6527777777774</v>
      </c>
      <c r="B89" s="24">
        <f t="shared" si="16"/>
        <v>1593.4958333333334</v>
      </c>
      <c r="C89" s="51"/>
      <c r="D89" s="53">
        <v>66</v>
      </c>
      <c r="E89" s="52" t="s">
        <v>216</v>
      </c>
      <c r="F89" s="45">
        <v>12240</v>
      </c>
      <c r="G89" s="13">
        <v>65014630</v>
      </c>
      <c r="H89" s="13">
        <v>19504389</v>
      </c>
      <c r="J89" s="60">
        <f t="shared" si="17"/>
        <v>0</v>
      </c>
      <c r="K89" s="10">
        <f t="shared" si="11"/>
        <v>0</v>
      </c>
      <c r="L89" s="10">
        <f t="shared" si="12"/>
        <v>0</v>
      </c>
      <c r="N89" s="48">
        <f>SUMIFS('MC+SP Data'!$D$2:$D$134,'MC+SP Data'!$C$2:$C$134,E89,'MC+SP Data'!$H$2:$H$134,$D$5)</f>
        <v>12240</v>
      </c>
      <c r="O89" s="10">
        <f t="shared" si="13"/>
        <v>65014630</v>
      </c>
      <c r="P89" s="10">
        <f t="shared" si="14"/>
        <v>19504389</v>
      </c>
    </row>
    <row r="90" spans="1:16" x14ac:dyDescent="0.2">
      <c r="A90" s="24">
        <f t="shared" si="15"/>
        <v>17524.273333333334</v>
      </c>
      <c r="B90" s="24">
        <f t="shared" si="16"/>
        <v>7184.9533333333329</v>
      </c>
      <c r="C90" s="51"/>
      <c r="D90" s="53">
        <v>67</v>
      </c>
      <c r="E90" s="52" t="s">
        <v>217</v>
      </c>
      <c r="F90" s="45">
        <v>300</v>
      </c>
      <c r="G90" s="13">
        <v>5257282</v>
      </c>
      <c r="H90" s="13">
        <v>2155486</v>
      </c>
      <c r="J90" s="60">
        <f t="shared" si="17"/>
        <v>0</v>
      </c>
      <c r="K90" s="10">
        <f t="shared" si="11"/>
        <v>0</v>
      </c>
      <c r="L90" s="10">
        <f t="shared" si="12"/>
        <v>0</v>
      </c>
      <c r="N90" s="48">
        <f>SUMIFS('MC+SP Data'!$D$2:$D$134,'MC+SP Data'!$C$2:$C$134,E90,'MC+SP Data'!$H$2:$H$134,$D$5)</f>
        <v>300</v>
      </c>
      <c r="O90" s="10">
        <f t="shared" si="13"/>
        <v>5257282</v>
      </c>
      <c r="P90" s="10">
        <f t="shared" si="14"/>
        <v>2155486</v>
      </c>
    </row>
    <row r="91" spans="1:16" x14ac:dyDescent="0.2">
      <c r="A91" s="24">
        <f t="shared" si="15"/>
        <v>690534</v>
      </c>
      <c r="B91" s="24">
        <f t="shared" si="16"/>
        <v>287615</v>
      </c>
      <c r="C91" s="51"/>
      <c r="D91" s="53">
        <v>68</v>
      </c>
      <c r="E91" s="52" t="s">
        <v>218</v>
      </c>
      <c r="F91" s="45">
        <v>2</v>
      </c>
      <c r="G91" s="13">
        <v>1381068</v>
      </c>
      <c r="H91" s="13">
        <v>575230</v>
      </c>
      <c r="J91" s="60">
        <f t="shared" si="17"/>
        <v>0</v>
      </c>
      <c r="K91" s="10">
        <f t="shared" si="11"/>
        <v>0</v>
      </c>
      <c r="L91" s="10">
        <f t="shared" si="12"/>
        <v>0</v>
      </c>
      <c r="N91" s="48">
        <f>SUMIFS('MC+SP Data'!$D$2:$D$134,'MC+SP Data'!$C$2:$C$134,E91,'MC+SP Data'!$H$2:$H$134,$D$5)</f>
        <v>2</v>
      </c>
      <c r="O91" s="10">
        <f t="shared" si="13"/>
        <v>1381068</v>
      </c>
      <c r="P91" s="10">
        <f t="shared" si="14"/>
        <v>575230</v>
      </c>
    </row>
    <row r="92" spans="1:16" x14ac:dyDescent="0.2">
      <c r="A92" s="24">
        <f t="shared" si="15"/>
        <v>764946</v>
      </c>
      <c r="B92" s="24">
        <f t="shared" si="16"/>
        <v>313628</v>
      </c>
      <c r="C92" s="51"/>
      <c r="D92" s="53">
        <v>69</v>
      </c>
      <c r="E92" s="52" t="s">
        <v>219</v>
      </c>
      <c r="F92" s="45">
        <v>1</v>
      </c>
      <c r="G92" s="13">
        <v>764946</v>
      </c>
      <c r="H92" s="13">
        <v>313628</v>
      </c>
      <c r="J92" s="60">
        <f t="shared" si="17"/>
        <v>0</v>
      </c>
      <c r="K92" s="10">
        <f t="shared" si="11"/>
        <v>0</v>
      </c>
      <c r="L92" s="10">
        <f t="shared" si="12"/>
        <v>0</v>
      </c>
      <c r="N92" s="48">
        <f>SUMIFS('MC+SP Data'!$D$2:$D$134,'MC+SP Data'!$C$2:$C$134,E92,'MC+SP Data'!$H$2:$H$134,$D$5)</f>
        <v>1</v>
      </c>
      <c r="O92" s="10">
        <f t="shared" si="13"/>
        <v>764946</v>
      </c>
      <c r="P92" s="10">
        <f t="shared" si="14"/>
        <v>313628</v>
      </c>
    </row>
    <row r="93" spans="1:16" x14ac:dyDescent="0.2">
      <c r="A93" s="24">
        <f t="shared" si="15"/>
        <v>184619</v>
      </c>
      <c r="B93" s="24">
        <f t="shared" si="16"/>
        <v>60924.5</v>
      </c>
      <c r="C93" s="51"/>
      <c r="D93" s="53">
        <v>72</v>
      </c>
      <c r="E93" s="52" t="s">
        <v>222</v>
      </c>
      <c r="F93" s="45">
        <v>2</v>
      </c>
      <c r="G93" s="13">
        <v>369238</v>
      </c>
      <c r="H93" s="13">
        <v>121849</v>
      </c>
      <c r="J93" s="60">
        <f t="shared" si="17"/>
        <v>0</v>
      </c>
      <c r="K93" s="10">
        <f t="shared" si="11"/>
        <v>0</v>
      </c>
      <c r="L93" s="10">
        <f t="shared" si="12"/>
        <v>0</v>
      </c>
      <c r="N93" s="48">
        <f>SUMIFS('MC+SP Data'!$D$2:$D$134,'MC+SP Data'!$C$2:$C$134,E93,'MC+SP Data'!$H$2:$H$134,$D$5)</f>
        <v>2</v>
      </c>
      <c r="O93" s="10">
        <f t="shared" si="13"/>
        <v>369238</v>
      </c>
      <c r="P93" s="10">
        <f t="shared" si="14"/>
        <v>121849</v>
      </c>
    </row>
    <row r="94" spans="1:16" x14ac:dyDescent="0.2">
      <c r="A94" s="24">
        <f t="shared" si="15"/>
        <v>72734.3</v>
      </c>
      <c r="B94" s="24">
        <f t="shared" si="16"/>
        <v>29821</v>
      </c>
      <c r="C94" s="51"/>
      <c r="D94" s="53">
        <v>73</v>
      </c>
      <c r="E94" s="52" t="s">
        <v>223</v>
      </c>
      <c r="F94" s="45">
        <v>20</v>
      </c>
      <c r="G94" s="13">
        <v>1454686</v>
      </c>
      <c r="H94" s="13">
        <v>596420</v>
      </c>
      <c r="J94" s="60">
        <f t="shared" si="17"/>
        <v>0</v>
      </c>
      <c r="K94" s="10">
        <f t="shared" si="11"/>
        <v>0</v>
      </c>
      <c r="L94" s="10">
        <f t="shared" si="12"/>
        <v>0</v>
      </c>
      <c r="N94" s="48">
        <f>SUMIFS('MC+SP Data'!$D$2:$D$134,'MC+SP Data'!$C$2:$C$134,E94,'MC+SP Data'!$H$2:$H$134,$D$5)</f>
        <v>20</v>
      </c>
      <c r="O94" s="10">
        <f t="shared" si="13"/>
        <v>1454686</v>
      </c>
      <c r="P94" s="10">
        <f t="shared" si="14"/>
        <v>596420</v>
      </c>
    </row>
    <row r="95" spans="1:16" x14ac:dyDescent="0.2">
      <c r="A95" s="24">
        <f t="shared" si="15"/>
        <v>59088.5</v>
      </c>
      <c r="B95" s="24">
        <f t="shared" si="16"/>
        <v>29544</v>
      </c>
      <c r="C95" s="51"/>
      <c r="D95" s="53">
        <v>78</v>
      </c>
      <c r="E95" s="52" t="s">
        <v>228</v>
      </c>
      <c r="F95" s="45">
        <v>2</v>
      </c>
      <c r="G95" s="13">
        <v>118177</v>
      </c>
      <c r="H95" s="13">
        <v>59088</v>
      </c>
      <c r="J95" s="60">
        <f t="shared" si="17"/>
        <v>0</v>
      </c>
      <c r="K95" s="10">
        <f t="shared" si="11"/>
        <v>0</v>
      </c>
      <c r="L95" s="10">
        <f t="shared" si="12"/>
        <v>0</v>
      </c>
      <c r="N95" s="48">
        <f>SUMIFS('MC+SP Data'!$D$2:$D$134,'MC+SP Data'!$C$2:$C$134,E95,'MC+SP Data'!$H$2:$H$134,$D$5)</f>
        <v>2</v>
      </c>
      <c r="O95" s="10">
        <f t="shared" si="13"/>
        <v>118177</v>
      </c>
      <c r="P95" s="10">
        <f t="shared" si="14"/>
        <v>59088</v>
      </c>
    </row>
    <row r="96" spans="1:16" x14ac:dyDescent="0.2">
      <c r="A96" s="24">
        <f t="shared" si="15"/>
        <v>659211</v>
      </c>
      <c r="B96" s="24">
        <f t="shared" si="16"/>
        <v>197763</v>
      </c>
      <c r="C96" s="51"/>
      <c r="D96" s="53">
        <v>79</v>
      </c>
      <c r="E96" s="52" t="s">
        <v>229</v>
      </c>
      <c r="F96" s="45">
        <v>1</v>
      </c>
      <c r="G96" s="13">
        <v>659211</v>
      </c>
      <c r="H96" s="13">
        <v>197763</v>
      </c>
      <c r="J96" s="60">
        <f t="shared" si="17"/>
        <v>0</v>
      </c>
      <c r="K96" s="10">
        <f t="shared" si="11"/>
        <v>0</v>
      </c>
      <c r="L96" s="10">
        <f t="shared" si="12"/>
        <v>0</v>
      </c>
      <c r="N96" s="48">
        <f>SUMIFS('MC+SP Data'!$D$2:$D$134,'MC+SP Data'!$C$2:$C$134,E96,'MC+SP Data'!$H$2:$H$134,$D$5)</f>
        <v>1</v>
      </c>
      <c r="O96" s="10">
        <f t="shared" si="13"/>
        <v>659211</v>
      </c>
      <c r="P96" s="10">
        <f t="shared" si="14"/>
        <v>197763</v>
      </c>
    </row>
    <row r="97" spans="1:16" x14ac:dyDescent="0.2">
      <c r="A97" s="24">
        <f t="shared" si="15"/>
        <v>19101.541666666668</v>
      </c>
      <c r="B97" s="24">
        <f t="shared" si="16"/>
        <v>5730.458333333333</v>
      </c>
      <c r="C97" s="51"/>
      <c r="D97" s="53">
        <v>80</v>
      </c>
      <c r="E97" s="52" t="s">
        <v>230</v>
      </c>
      <c r="F97" s="45">
        <v>24</v>
      </c>
      <c r="G97" s="13">
        <v>458437</v>
      </c>
      <c r="H97" s="13">
        <v>137531</v>
      </c>
      <c r="J97" s="60">
        <f t="shared" si="17"/>
        <v>0</v>
      </c>
      <c r="K97" s="10">
        <f t="shared" si="11"/>
        <v>0</v>
      </c>
      <c r="L97" s="10">
        <f t="shared" si="12"/>
        <v>0</v>
      </c>
      <c r="N97" s="48">
        <f>SUMIFS('MC+SP Data'!$D$2:$D$134,'MC+SP Data'!$C$2:$C$134,E97,'MC+SP Data'!$H$2:$H$134,$D$5)</f>
        <v>24</v>
      </c>
      <c r="O97" s="10">
        <f t="shared" si="13"/>
        <v>458437</v>
      </c>
      <c r="P97" s="10">
        <f t="shared" si="14"/>
        <v>137531</v>
      </c>
    </row>
    <row r="98" spans="1:16" x14ac:dyDescent="0.2">
      <c r="A98" s="24">
        <f t="shared" si="15"/>
        <v>3382.0159128978225</v>
      </c>
      <c r="B98" s="24">
        <f t="shared" si="16"/>
        <v>1116.0653266331658</v>
      </c>
      <c r="C98" s="51"/>
      <c r="D98" s="53">
        <v>81</v>
      </c>
      <c r="E98" s="52" t="s">
        <v>231</v>
      </c>
      <c r="F98" s="45">
        <v>1194</v>
      </c>
      <c r="G98" s="13">
        <v>4038127</v>
      </c>
      <c r="H98" s="13">
        <v>1332582</v>
      </c>
      <c r="J98" s="60">
        <f t="shared" si="17"/>
        <v>0</v>
      </c>
      <c r="K98" s="10">
        <f t="shared" si="11"/>
        <v>0</v>
      </c>
      <c r="L98" s="10">
        <f t="shared" si="12"/>
        <v>0</v>
      </c>
      <c r="N98" s="48">
        <f>SUMIFS('MC+SP Data'!$D$2:$D$134,'MC+SP Data'!$C$2:$C$134,E98,'MC+SP Data'!$H$2:$H$134,$D$5)</f>
        <v>1194</v>
      </c>
      <c r="O98" s="10">
        <f t="shared" si="13"/>
        <v>4038127</v>
      </c>
      <c r="P98" s="10">
        <f t="shared" si="14"/>
        <v>1332582</v>
      </c>
    </row>
    <row r="99" spans="1:16" x14ac:dyDescent="0.2">
      <c r="A99" s="24">
        <f t="shared" si="15"/>
        <v>1538108</v>
      </c>
      <c r="B99" s="24">
        <f t="shared" si="16"/>
        <v>461432</v>
      </c>
      <c r="C99" s="51"/>
      <c r="D99" s="53">
        <v>82</v>
      </c>
      <c r="E99" s="52" t="s">
        <v>232</v>
      </c>
      <c r="F99" s="45">
        <v>1</v>
      </c>
      <c r="G99" s="13">
        <v>1538108</v>
      </c>
      <c r="H99" s="13">
        <v>461432</v>
      </c>
      <c r="J99" s="60">
        <f t="shared" si="17"/>
        <v>0</v>
      </c>
      <c r="K99" s="10">
        <f t="shared" si="11"/>
        <v>0</v>
      </c>
      <c r="L99" s="10">
        <f t="shared" si="12"/>
        <v>0</v>
      </c>
      <c r="N99" s="48">
        <f>SUMIFS('MC+SP Data'!$D$2:$D$134,'MC+SP Data'!$C$2:$C$134,E99,'MC+SP Data'!$H$2:$H$134,$D$5)</f>
        <v>1</v>
      </c>
      <c r="O99" s="10">
        <f t="shared" si="13"/>
        <v>1538108</v>
      </c>
      <c r="P99" s="10">
        <f t="shared" si="14"/>
        <v>461432</v>
      </c>
    </row>
    <row r="100" spans="1:16" x14ac:dyDescent="0.2">
      <c r="A100" s="24">
        <f t="shared" si="15"/>
        <v>114899.6</v>
      </c>
      <c r="B100" s="24">
        <f t="shared" si="16"/>
        <v>34469.800000000003</v>
      </c>
      <c r="C100" s="51"/>
      <c r="D100" s="53">
        <v>83</v>
      </c>
      <c r="E100" s="52" t="s">
        <v>233</v>
      </c>
      <c r="F100" s="45">
        <v>5</v>
      </c>
      <c r="G100" s="13">
        <v>574498</v>
      </c>
      <c r="H100" s="13">
        <v>172349</v>
      </c>
      <c r="J100" s="60">
        <f t="shared" si="17"/>
        <v>0</v>
      </c>
      <c r="K100" s="10">
        <f t="shared" si="11"/>
        <v>0</v>
      </c>
      <c r="L100" s="10">
        <f t="shared" si="12"/>
        <v>0</v>
      </c>
      <c r="N100" s="48">
        <f>SUMIFS('MC+SP Data'!$D$2:$D$134,'MC+SP Data'!$C$2:$C$134,E100,'MC+SP Data'!$H$2:$H$134,$D$5)</f>
        <v>5</v>
      </c>
      <c r="O100" s="10">
        <f t="shared" si="13"/>
        <v>574498</v>
      </c>
      <c r="P100" s="10">
        <f t="shared" si="14"/>
        <v>172349</v>
      </c>
    </row>
    <row r="101" spans="1:16" x14ac:dyDescent="0.2">
      <c r="A101" s="24">
        <f t="shared" si="15"/>
        <v>5757.58</v>
      </c>
      <c r="B101" s="24">
        <f t="shared" si="16"/>
        <v>2878.78</v>
      </c>
      <c r="C101" s="51"/>
      <c r="D101" s="53">
        <v>85</v>
      </c>
      <c r="E101" s="52" t="s">
        <v>235</v>
      </c>
      <c r="F101" s="45">
        <v>50</v>
      </c>
      <c r="G101" s="13">
        <v>287879</v>
      </c>
      <c r="H101" s="13">
        <v>143939</v>
      </c>
      <c r="J101" s="60">
        <f t="shared" si="17"/>
        <v>0</v>
      </c>
      <c r="K101" s="10">
        <f t="shared" si="11"/>
        <v>0</v>
      </c>
      <c r="L101" s="10">
        <f t="shared" si="12"/>
        <v>0</v>
      </c>
      <c r="N101" s="48">
        <f>SUMIFS('MC+SP Data'!$D$2:$D$134,'MC+SP Data'!$C$2:$C$134,E101,'MC+SP Data'!$H$2:$H$134,$D$5)</f>
        <v>50</v>
      </c>
      <c r="O101" s="10">
        <f t="shared" si="13"/>
        <v>287879</v>
      </c>
      <c r="P101" s="10">
        <f t="shared" si="14"/>
        <v>143939</v>
      </c>
    </row>
    <row r="102" spans="1:16" x14ac:dyDescent="0.2">
      <c r="A102" s="24">
        <f t="shared" si="15"/>
        <v>16020.395799676899</v>
      </c>
      <c r="B102" s="24">
        <f t="shared" si="16"/>
        <v>4806.1227786752825</v>
      </c>
      <c r="C102" s="51"/>
      <c r="D102" s="53">
        <v>86</v>
      </c>
      <c r="E102" s="52" t="s">
        <v>236</v>
      </c>
      <c r="F102" s="45">
        <v>123.8</v>
      </c>
      <c r="G102" s="13">
        <v>1983325</v>
      </c>
      <c r="H102" s="13">
        <v>594998</v>
      </c>
      <c r="J102" s="60">
        <f t="shared" si="17"/>
        <v>0</v>
      </c>
      <c r="K102" s="10">
        <f t="shared" si="11"/>
        <v>0</v>
      </c>
      <c r="L102" s="10">
        <f t="shared" si="12"/>
        <v>0</v>
      </c>
      <c r="N102" s="48">
        <f>SUMIFS('MC+SP Data'!$D$2:$D$134,'MC+SP Data'!$C$2:$C$134,E102,'MC+SP Data'!$H$2:$H$134,$D$5)</f>
        <v>123.8</v>
      </c>
      <c r="O102" s="10">
        <f t="shared" si="13"/>
        <v>1983325</v>
      </c>
      <c r="P102" s="10">
        <f t="shared" si="14"/>
        <v>594998</v>
      </c>
    </row>
    <row r="103" spans="1:16" x14ac:dyDescent="0.2">
      <c r="A103" s="24">
        <f t="shared" si="15"/>
        <v>190253</v>
      </c>
      <c r="B103" s="24">
        <f t="shared" si="16"/>
        <v>95127</v>
      </c>
      <c r="C103" s="51"/>
      <c r="D103" s="53">
        <v>87</v>
      </c>
      <c r="E103" s="52" t="s">
        <v>237</v>
      </c>
      <c r="F103" s="45">
        <v>1</v>
      </c>
      <c r="G103" s="13">
        <v>190253</v>
      </c>
      <c r="H103" s="13">
        <v>95127</v>
      </c>
      <c r="J103" s="60">
        <f t="shared" si="17"/>
        <v>0</v>
      </c>
      <c r="K103" s="10">
        <f t="shared" si="11"/>
        <v>0</v>
      </c>
      <c r="L103" s="10">
        <f t="shared" si="12"/>
        <v>0</v>
      </c>
      <c r="N103" s="48">
        <f>SUMIFS('MC+SP Data'!$D$2:$D$134,'MC+SP Data'!$C$2:$C$134,E103,'MC+SP Data'!$H$2:$H$134,$D$5)</f>
        <v>1</v>
      </c>
      <c r="O103" s="10">
        <f t="shared" si="13"/>
        <v>190253</v>
      </c>
      <c r="P103" s="10">
        <f t="shared" si="14"/>
        <v>95127</v>
      </c>
    </row>
    <row r="104" spans="1:16" x14ac:dyDescent="0.2">
      <c r="A104" s="24">
        <f t="shared" si="15"/>
        <v>64370</v>
      </c>
      <c r="B104" s="24">
        <f t="shared" si="16"/>
        <v>29856.03125</v>
      </c>
      <c r="C104" s="51"/>
      <c r="D104" s="53">
        <v>89</v>
      </c>
      <c r="E104" s="52" t="s">
        <v>239</v>
      </c>
      <c r="F104" s="45">
        <v>96</v>
      </c>
      <c r="G104" s="13">
        <v>6179520</v>
      </c>
      <c r="H104" s="13">
        <v>2866179</v>
      </c>
      <c r="J104" s="60">
        <f t="shared" si="17"/>
        <v>0</v>
      </c>
      <c r="K104" s="10">
        <f t="shared" ref="K104:K134" si="18">ROUND(J104*A104,0)</f>
        <v>0</v>
      </c>
      <c r="L104" s="10">
        <f t="shared" ref="L104:L134" si="19">ROUND(J104*B104,0)</f>
        <v>0</v>
      </c>
      <c r="N104" s="48">
        <f>SUMIFS('MC+SP Data'!$D$2:$D$134,'MC+SP Data'!$C$2:$C$134,E104,'MC+SP Data'!$H$2:$H$134,$D$5)</f>
        <v>96</v>
      </c>
      <c r="O104" s="10">
        <f t="shared" ref="O104:O134" si="20">ROUND(N104*A104,0)</f>
        <v>6179520</v>
      </c>
      <c r="P104" s="10">
        <f t="shared" ref="P104:P134" si="21">ROUND(N104*B104,0)</f>
        <v>2866179</v>
      </c>
    </row>
    <row r="105" spans="1:16" x14ac:dyDescent="0.2">
      <c r="A105" s="24">
        <f t="shared" si="15"/>
        <v>23246.590467784641</v>
      </c>
      <c r="B105" s="24">
        <f t="shared" si="16"/>
        <v>10348.810238305385</v>
      </c>
      <c r="C105" s="51"/>
      <c r="D105" s="53">
        <v>90</v>
      </c>
      <c r="E105" s="52" t="s">
        <v>240</v>
      </c>
      <c r="F105" s="45">
        <v>1133</v>
      </c>
      <c r="G105" s="13">
        <v>26338387</v>
      </c>
      <c r="H105" s="13">
        <v>11725202</v>
      </c>
      <c r="J105" s="60">
        <f t="shared" si="17"/>
        <v>0</v>
      </c>
      <c r="K105" s="10">
        <f t="shared" si="18"/>
        <v>0</v>
      </c>
      <c r="L105" s="10">
        <f t="shared" si="19"/>
        <v>0</v>
      </c>
      <c r="N105" s="48">
        <f>SUMIFS('MC+SP Data'!$D$2:$D$134,'MC+SP Data'!$C$2:$C$134,E105,'MC+SP Data'!$H$2:$H$134,$D$5)</f>
        <v>1133</v>
      </c>
      <c r="O105" s="10">
        <f t="shared" si="20"/>
        <v>26338387</v>
      </c>
      <c r="P105" s="10">
        <f t="shared" si="21"/>
        <v>11725202</v>
      </c>
    </row>
    <row r="106" spans="1:16" x14ac:dyDescent="0.2">
      <c r="A106" s="24">
        <f t="shared" si="15"/>
        <v>97.664005025125633</v>
      </c>
      <c r="B106" s="24">
        <f t="shared" si="16"/>
        <v>29.963286432160803</v>
      </c>
      <c r="C106" s="51"/>
      <c r="D106" s="53">
        <v>91</v>
      </c>
      <c r="E106" s="52" t="s">
        <v>241</v>
      </c>
      <c r="F106" s="45">
        <v>199000</v>
      </c>
      <c r="G106" s="13">
        <v>19435137</v>
      </c>
      <c r="H106" s="13">
        <v>5962694</v>
      </c>
      <c r="J106" s="60">
        <f t="shared" si="17"/>
        <v>0</v>
      </c>
      <c r="K106" s="10">
        <f t="shared" si="18"/>
        <v>0</v>
      </c>
      <c r="L106" s="10">
        <f t="shared" si="19"/>
        <v>0</v>
      </c>
      <c r="N106" s="48">
        <f>SUMIFS('MC+SP Data'!$D$2:$D$134,'MC+SP Data'!$C$2:$C$134,E106,'MC+SP Data'!$H$2:$H$134,$D$5)</f>
        <v>199000</v>
      </c>
      <c r="O106" s="10">
        <f t="shared" si="20"/>
        <v>19435137</v>
      </c>
      <c r="P106" s="10">
        <f t="shared" si="21"/>
        <v>5962694</v>
      </c>
    </row>
    <row r="107" spans="1:16" x14ac:dyDescent="0.2">
      <c r="A107" s="24">
        <f t="shared" si="15"/>
        <v>99291.904761904763</v>
      </c>
      <c r="B107" s="24">
        <f t="shared" si="16"/>
        <v>40709.666666666664</v>
      </c>
      <c r="C107" s="51"/>
      <c r="D107" s="53">
        <v>92</v>
      </c>
      <c r="E107" s="52" t="s">
        <v>242</v>
      </c>
      <c r="F107" s="45">
        <v>42</v>
      </c>
      <c r="G107" s="13">
        <v>4170260</v>
      </c>
      <c r="H107" s="13">
        <v>1709806</v>
      </c>
      <c r="J107" s="60">
        <f t="shared" si="17"/>
        <v>0</v>
      </c>
      <c r="K107" s="10">
        <f t="shared" si="18"/>
        <v>0</v>
      </c>
      <c r="L107" s="10">
        <f t="shared" si="19"/>
        <v>0</v>
      </c>
      <c r="N107" s="48">
        <f>SUMIFS('MC+SP Data'!$D$2:$D$134,'MC+SP Data'!$C$2:$C$134,E107,'MC+SP Data'!$H$2:$H$134,$D$5)</f>
        <v>42</v>
      </c>
      <c r="O107" s="10">
        <f t="shared" si="20"/>
        <v>4170260</v>
      </c>
      <c r="P107" s="10">
        <f t="shared" si="21"/>
        <v>1709806</v>
      </c>
    </row>
    <row r="108" spans="1:16" x14ac:dyDescent="0.2">
      <c r="A108" s="24">
        <f t="shared" si="15"/>
        <v>2076108</v>
      </c>
      <c r="B108" s="24">
        <f t="shared" si="16"/>
        <v>955009</v>
      </c>
      <c r="C108" s="51"/>
      <c r="D108" s="53">
        <v>93</v>
      </c>
      <c r="E108" s="52" t="s">
        <v>243</v>
      </c>
      <c r="F108" s="45">
        <v>3</v>
      </c>
      <c r="G108" s="13">
        <v>6228324</v>
      </c>
      <c r="H108" s="13">
        <v>2865027</v>
      </c>
      <c r="J108" s="60">
        <f t="shared" si="17"/>
        <v>0</v>
      </c>
      <c r="K108" s="10">
        <f t="shared" si="18"/>
        <v>0</v>
      </c>
      <c r="L108" s="10">
        <f t="shared" si="19"/>
        <v>0</v>
      </c>
      <c r="N108" s="48">
        <f>SUMIFS('MC+SP Data'!$D$2:$D$134,'MC+SP Data'!$C$2:$C$134,E108,'MC+SP Data'!$H$2:$H$134,$D$5)</f>
        <v>3</v>
      </c>
      <c r="O108" s="10">
        <f t="shared" si="20"/>
        <v>6228324</v>
      </c>
      <c r="P108" s="10">
        <f t="shared" si="21"/>
        <v>2865027</v>
      </c>
    </row>
    <row r="109" spans="1:16" x14ac:dyDescent="0.2">
      <c r="A109" s="24">
        <f t="shared" si="15"/>
        <v>1525467</v>
      </c>
      <c r="B109" s="24">
        <f t="shared" si="16"/>
        <v>625441</v>
      </c>
      <c r="C109" s="51"/>
      <c r="D109" s="53">
        <v>94</v>
      </c>
      <c r="E109" s="52" t="s">
        <v>244</v>
      </c>
      <c r="F109" s="45">
        <v>1</v>
      </c>
      <c r="G109" s="13">
        <v>1525467</v>
      </c>
      <c r="H109" s="13">
        <v>625441</v>
      </c>
      <c r="J109" s="60">
        <f t="shared" si="17"/>
        <v>0</v>
      </c>
      <c r="K109" s="10">
        <f t="shared" si="18"/>
        <v>0</v>
      </c>
      <c r="L109" s="10">
        <f t="shared" si="19"/>
        <v>0</v>
      </c>
      <c r="N109" s="48">
        <f>SUMIFS('MC+SP Data'!$D$2:$D$134,'MC+SP Data'!$C$2:$C$134,E109,'MC+SP Data'!$H$2:$H$134,$D$5)</f>
        <v>1</v>
      </c>
      <c r="O109" s="10">
        <f t="shared" si="20"/>
        <v>1525467</v>
      </c>
      <c r="P109" s="10">
        <f t="shared" si="21"/>
        <v>625441</v>
      </c>
    </row>
    <row r="110" spans="1:16" x14ac:dyDescent="0.2">
      <c r="A110" s="24">
        <f t="shared" si="15"/>
        <v>1587230</v>
      </c>
      <c r="B110" s="24">
        <f t="shared" si="16"/>
        <v>730125.5</v>
      </c>
      <c r="C110" s="51"/>
      <c r="D110" s="53">
        <v>95</v>
      </c>
      <c r="E110" s="52" t="s">
        <v>245</v>
      </c>
      <c r="F110" s="45">
        <v>34</v>
      </c>
      <c r="G110" s="13">
        <v>53965820</v>
      </c>
      <c r="H110" s="13">
        <v>24824267</v>
      </c>
      <c r="J110" s="60">
        <f t="shared" si="17"/>
        <v>0</v>
      </c>
      <c r="K110" s="10">
        <f t="shared" si="18"/>
        <v>0</v>
      </c>
      <c r="L110" s="10">
        <f t="shared" si="19"/>
        <v>0</v>
      </c>
      <c r="N110" s="48">
        <f>SUMIFS('MC+SP Data'!$D$2:$D$134,'MC+SP Data'!$C$2:$C$134,E110,'MC+SP Data'!$H$2:$H$134,$D$5)</f>
        <v>34</v>
      </c>
      <c r="O110" s="10">
        <f t="shared" si="20"/>
        <v>53965820</v>
      </c>
      <c r="P110" s="10">
        <f t="shared" si="21"/>
        <v>24824267</v>
      </c>
    </row>
    <row r="111" spans="1:16" x14ac:dyDescent="0.2">
      <c r="A111" s="24">
        <f t="shared" si="15"/>
        <v>124578.45</v>
      </c>
      <c r="B111" s="24">
        <f t="shared" si="16"/>
        <v>62289.2</v>
      </c>
      <c r="C111" s="51"/>
      <c r="D111" s="53">
        <v>96</v>
      </c>
      <c r="E111" s="52" t="s">
        <v>246</v>
      </c>
      <c r="F111" s="45">
        <v>20</v>
      </c>
      <c r="G111" s="13">
        <v>2491569</v>
      </c>
      <c r="H111" s="13">
        <v>1245784</v>
      </c>
      <c r="J111" s="60">
        <f t="shared" si="17"/>
        <v>0</v>
      </c>
      <c r="K111" s="10">
        <f t="shared" si="18"/>
        <v>0</v>
      </c>
      <c r="L111" s="10">
        <f t="shared" si="19"/>
        <v>0</v>
      </c>
      <c r="N111" s="48">
        <f>SUMIFS('MC+SP Data'!$D$2:$D$134,'MC+SP Data'!$C$2:$C$134,E111,'MC+SP Data'!$H$2:$H$134,$D$5)</f>
        <v>20</v>
      </c>
      <c r="O111" s="10">
        <f t="shared" si="20"/>
        <v>2491569</v>
      </c>
      <c r="P111" s="10">
        <f t="shared" si="21"/>
        <v>1245784</v>
      </c>
    </row>
    <row r="112" spans="1:16" x14ac:dyDescent="0.2">
      <c r="A112" s="24">
        <f t="shared" si="15"/>
        <v>22897.35</v>
      </c>
      <c r="B112" s="24">
        <f t="shared" si="16"/>
        <v>11448.674999999999</v>
      </c>
      <c r="C112" s="51"/>
      <c r="D112" s="53">
        <v>97</v>
      </c>
      <c r="E112" s="52" t="s">
        <v>247</v>
      </c>
      <c r="F112" s="45">
        <v>1400</v>
      </c>
      <c r="G112" s="13">
        <v>32056290</v>
      </c>
      <c r="H112" s="13">
        <v>16028145</v>
      </c>
      <c r="J112" s="60">
        <f t="shared" si="17"/>
        <v>0</v>
      </c>
      <c r="K112" s="10">
        <f t="shared" si="18"/>
        <v>0</v>
      </c>
      <c r="L112" s="10">
        <f t="shared" si="19"/>
        <v>0</v>
      </c>
      <c r="N112" s="48">
        <f>SUMIFS('MC+SP Data'!$D$2:$D$134,'MC+SP Data'!$C$2:$C$134,E112,'MC+SP Data'!$H$2:$H$134,$D$5)</f>
        <v>1400</v>
      </c>
      <c r="O112" s="10">
        <f t="shared" si="20"/>
        <v>32056290</v>
      </c>
      <c r="P112" s="10">
        <f t="shared" si="21"/>
        <v>16028145</v>
      </c>
    </row>
    <row r="113" spans="1:16" x14ac:dyDescent="0.2">
      <c r="A113" s="24">
        <f t="shared" si="15"/>
        <v>882504.1176470588</v>
      </c>
      <c r="B113" s="24">
        <f t="shared" si="16"/>
        <v>404341.23529411765</v>
      </c>
      <c r="C113" s="51"/>
      <c r="D113" s="53">
        <v>99</v>
      </c>
      <c r="E113" s="52" t="s">
        <v>249</v>
      </c>
      <c r="F113" s="45">
        <v>68</v>
      </c>
      <c r="G113" s="13">
        <v>60010280</v>
      </c>
      <c r="H113" s="13">
        <v>27495204</v>
      </c>
      <c r="J113" s="60">
        <f t="shared" si="17"/>
        <v>0</v>
      </c>
      <c r="K113" s="10">
        <f t="shared" si="18"/>
        <v>0</v>
      </c>
      <c r="L113" s="10">
        <f t="shared" si="19"/>
        <v>0</v>
      </c>
      <c r="N113" s="48">
        <f>SUMIFS('MC+SP Data'!$D$2:$D$134,'MC+SP Data'!$C$2:$C$134,E113,'MC+SP Data'!$H$2:$H$134,$D$5)</f>
        <v>68</v>
      </c>
      <c r="O113" s="10">
        <f t="shared" si="20"/>
        <v>60010280</v>
      </c>
      <c r="P113" s="10">
        <f t="shared" si="21"/>
        <v>27495204</v>
      </c>
    </row>
    <row r="114" spans="1:16" x14ac:dyDescent="0.2">
      <c r="A114" s="24">
        <f t="shared" si="15"/>
        <v>6520.1259259259259</v>
      </c>
      <c r="B114" s="24">
        <f t="shared" si="16"/>
        <v>2766.1185185185186</v>
      </c>
      <c r="C114" s="51"/>
      <c r="D114" s="53">
        <v>100</v>
      </c>
      <c r="E114" s="52" t="s">
        <v>250</v>
      </c>
      <c r="F114" s="45">
        <v>135</v>
      </c>
      <c r="G114" s="13">
        <v>880217</v>
      </c>
      <c r="H114" s="13">
        <v>373426</v>
      </c>
      <c r="J114" s="60">
        <f t="shared" si="17"/>
        <v>0</v>
      </c>
      <c r="K114" s="10">
        <f t="shared" si="18"/>
        <v>0</v>
      </c>
      <c r="L114" s="10">
        <f t="shared" si="19"/>
        <v>0</v>
      </c>
      <c r="N114" s="48">
        <f>SUMIFS('MC+SP Data'!$D$2:$D$134,'MC+SP Data'!$C$2:$C$134,E114,'MC+SP Data'!$H$2:$H$134,$D$5)</f>
        <v>135</v>
      </c>
      <c r="O114" s="10">
        <f t="shared" si="20"/>
        <v>880217</v>
      </c>
      <c r="P114" s="10">
        <f t="shared" si="21"/>
        <v>373426</v>
      </c>
    </row>
    <row r="115" spans="1:16" x14ac:dyDescent="0.2">
      <c r="A115" s="24">
        <f t="shared" si="15"/>
        <v>1881778.5</v>
      </c>
      <c r="B115" s="24">
        <f t="shared" si="16"/>
        <v>605788.5</v>
      </c>
      <c r="C115" s="51"/>
      <c r="D115" s="53">
        <v>101</v>
      </c>
      <c r="E115" s="52" t="s">
        <v>251</v>
      </c>
      <c r="F115" s="45">
        <v>4</v>
      </c>
      <c r="G115" s="13">
        <v>7527114</v>
      </c>
      <c r="H115" s="13">
        <v>2423154</v>
      </c>
      <c r="J115" s="60">
        <f t="shared" si="17"/>
        <v>0</v>
      </c>
      <c r="K115" s="10">
        <f t="shared" si="18"/>
        <v>0</v>
      </c>
      <c r="L115" s="10">
        <f t="shared" si="19"/>
        <v>0</v>
      </c>
      <c r="N115" s="48">
        <f>SUMIFS('MC+SP Data'!$D$2:$D$134,'MC+SP Data'!$C$2:$C$134,E115,'MC+SP Data'!$H$2:$H$134,$D$5)</f>
        <v>4</v>
      </c>
      <c r="O115" s="10">
        <f t="shared" si="20"/>
        <v>7527114</v>
      </c>
      <c r="P115" s="10">
        <f t="shared" si="21"/>
        <v>2423154</v>
      </c>
    </row>
    <row r="116" spans="1:16" x14ac:dyDescent="0.2">
      <c r="A116" s="24">
        <f t="shared" si="15"/>
        <v>2955229</v>
      </c>
      <c r="B116" s="24">
        <f t="shared" si="16"/>
        <v>886568</v>
      </c>
      <c r="C116" s="51"/>
      <c r="D116" s="53">
        <v>102</v>
      </c>
      <c r="E116" s="52" t="s">
        <v>252</v>
      </c>
      <c r="F116" s="45">
        <v>1</v>
      </c>
      <c r="G116" s="13">
        <v>2955229</v>
      </c>
      <c r="H116" s="13">
        <v>886568</v>
      </c>
      <c r="J116" s="60">
        <f t="shared" si="17"/>
        <v>0</v>
      </c>
      <c r="K116" s="10">
        <f t="shared" si="18"/>
        <v>0</v>
      </c>
      <c r="L116" s="10">
        <f t="shared" si="19"/>
        <v>0</v>
      </c>
      <c r="N116" s="48">
        <f>SUMIFS('MC+SP Data'!$D$2:$D$134,'MC+SP Data'!$C$2:$C$134,E116,'MC+SP Data'!$H$2:$H$134,$D$5)</f>
        <v>1</v>
      </c>
      <c r="O116" s="10">
        <f t="shared" si="20"/>
        <v>2955229</v>
      </c>
      <c r="P116" s="10">
        <f t="shared" si="21"/>
        <v>886568</v>
      </c>
    </row>
    <row r="117" spans="1:16" x14ac:dyDescent="0.2">
      <c r="A117" s="24">
        <f t="shared" si="15"/>
        <v>14612.5</v>
      </c>
      <c r="B117" s="24">
        <f t="shared" si="16"/>
        <v>7306.25</v>
      </c>
      <c r="C117" s="51"/>
      <c r="D117" s="53">
        <v>103</v>
      </c>
      <c r="E117" s="52" t="s">
        <v>253</v>
      </c>
      <c r="F117" s="45">
        <v>4</v>
      </c>
      <c r="G117" s="13">
        <v>58450</v>
      </c>
      <c r="H117" s="13">
        <v>29225</v>
      </c>
      <c r="J117" s="60">
        <f t="shared" si="17"/>
        <v>0</v>
      </c>
      <c r="K117" s="10">
        <f t="shared" si="18"/>
        <v>0</v>
      </c>
      <c r="L117" s="10">
        <f t="shared" si="19"/>
        <v>0</v>
      </c>
      <c r="N117" s="48">
        <f>SUMIFS('MC+SP Data'!$D$2:$D$134,'MC+SP Data'!$C$2:$C$134,E117,'MC+SP Data'!$H$2:$H$134,$D$5)</f>
        <v>4</v>
      </c>
      <c r="O117" s="10">
        <f t="shared" si="20"/>
        <v>58450</v>
      </c>
      <c r="P117" s="10">
        <f t="shared" si="21"/>
        <v>29225</v>
      </c>
    </row>
    <row r="118" spans="1:16" x14ac:dyDescent="0.2">
      <c r="A118" s="24">
        <f t="shared" si="15"/>
        <v>185.32666666666665</v>
      </c>
      <c r="B118" s="24">
        <f t="shared" si="16"/>
        <v>75.984999999999999</v>
      </c>
      <c r="C118" s="51"/>
      <c r="D118" s="53">
        <v>104</v>
      </c>
      <c r="E118" s="52" t="s">
        <v>254</v>
      </c>
      <c r="F118" s="45">
        <v>600</v>
      </c>
      <c r="G118" s="13">
        <v>111196</v>
      </c>
      <c r="H118" s="13">
        <v>45591</v>
      </c>
      <c r="J118" s="60">
        <f t="shared" si="17"/>
        <v>0</v>
      </c>
      <c r="K118" s="10">
        <f t="shared" si="18"/>
        <v>0</v>
      </c>
      <c r="L118" s="10">
        <f t="shared" si="19"/>
        <v>0</v>
      </c>
      <c r="N118" s="48">
        <f>SUMIFS('MC+SP Data'!$D$2:$D$134,'MC+SP Data'!$C$2:$C$134,E118,'MC+SP Data'!$H$2:$H$134,$D$5)</f>
        <v>600</v>
      </c>
      <c r="O118" s="10">
        <f t="shared" si="20"/>
        <v>111196</v>
      </c>
      <c r="P118" s="10">
        <f t="shared" si="21"/>
        <v>45591</v>
      </c>
    </row>
    <row r="119" spans="1:16" x14ac:dyDescent="0.2">
      <c r="A119" s="24">
        <f t="shared" si="15"/>
        <v>482799.66666666669</v>
      </c>
      <c r="B119" s="24">
        <f t="shared" si="16"/>
        <v>144840</v>
      </c>
      <c r="C119" s="51"/>
      <c r="D119" s="53">
        <v>105</v>
      </c>
      <c r="E119" s="52" t="s">
        <v>255</v>
      </c>
      <c r="F119" s="45">
        <v>3</v>
      </c>
      <c r="G119" s="13">
        <v>1448399</v>
      </c>
      <c r="H119" s="13">
        <v>434520</v>
      </c>
      <c r="J119" s="60">
        <f t="shared" si="17"/>
        <v>0</v>
      </c>
      <c r="K119" s="10">
        <f t="shared" si="18"/>
        <v>0</v>
      </c>
      <c r="L119" s="10">
        <f t="shared" si="19"/>
        <v>0</v>
      </c>
      <c r="N119" s="48">
        <f>SUMIFS('MC+SP Data'!$D$2:$D$134,'MC+SP Data'!$C$2:$C$134,E119,'MC+SP Data'!$H$2:$H$134,$D$5)</f>
        <v>3</v>
      </c>
      <c r="O119" s="10">
        <f t="shared" si="20"/>
        <v>1448399</v>
      </c>
      <c r="P119" s="10">
        <f t="shared" si="21"/>
        <v>434520</v>
      </c>
    </row>
    <row r="120" spans="1:16" x14ac:dyDescent="0.2">
      <c r="A120" s="24">
        <f t="shared" si="15"/>
        <v>89304.5</v>
      </c>
      <c r="B120" s="24">
        <f t="shared" si="16"/>
        <v>41798</v>
      </c>
      <c r="C120" s="51"/>
      <c r="D120" s="53">
        <v>106</v>
      </c>
      <c r="E120" s="52" t="s">
        <v>256</v>
      </c>
      <c r="F120" s="45">
        <v>8</v>
      </c>
      <c r="G120" s="13">
        <v>714436</v>
      </c>
      <c r="H120" s="13">
        <v>334384</v>
      </c>
      <c r="J120" s="60">
        <f t="shared" si="17"/>
        <v>0</v>
      </c>
      <c r="K120" s="10">
        <f t="shared" si="18"/>
        <v>0</v>
      </c>
      <c r="L120" s="10">
        <f t="shared" si="19"/>
        <v>0</v>
      </c>
      <c r="N120" s="48">
        <f>SUMIFS('MC+SP Data'!$D$2:$D$134,'MC+SP Data'!$C$2:$C$134,E120,'MC+SP Data'!$H$2:$H$134,$D$5)</f>
        <v>8</v>
      </c>
      <c r="O120" s="10">
        <f t="shared" si="20"/>
        <v>714436</v>
      </c>
      <c r="P120" s="10">
        <f t="shared" si="21"/>
        <v>334384</v>
      </c>
    </row>
    <row r="121" spans="1:16" x14ac:dyDescent="0.2">
      <c r="A121" s="24">
        <f t="shared" si="15"/>
        <v>115.36047774158523</v>
      </c>
      <c r="B121" s="24">
        <f t="shared" si="16"/>
        <v>50.606768005790805</v>
      </c>
      <c r="C121" s="51"/>
      <c r="D121" s="53">
        <v>107</v>
      </c>
      <c r="E121" s="52" t="s">
        <v>257</v>
      </c>
      <c r="F121" s="45">
        <v>16578</v>
      </c>
      <c r="G121" s="13">
        <v>1912446</v>
      </c>
      <c r="H121" s="13">
        <v>838959</v>
      </c>
      <c r="J121" s="60">
        <f t="shared" si="17"/>
        <v>0</v>
      </c>
      <c r="K121" s="10">
        <f t="shared" si="18"/>
        <v>0</v>
      </c>
      <c r="L121" s="10">
        <f t="shared" si="19"/>
        <v>0</v>
      </c>
      <c r="N121" s="48">
        <f>SUMIFS('MC+SP Data'!$D$2:$D$134,'MC+SP Data'!$C$2:$C$134,E121,'MC+SP Data'!$H$2:$H$134,$D$5)</f>
        <v>16578</v>
      </c>
      <c r="O121" s="10">
        <f t="shared" si="20"/>
        <v>1912446</v>
      </c>
      <c r="P121" s="10">
        <f t="shared" si="21"/>
        <v>838959</v>
      </c>
    </row>
    <row r="122" spans="1:16" x14ac:dyDescent="0.2">
      <c r="A122" s="24">
        <f t="shared" si="15"/>
        <v>727699</v>
      </c>
      <c r="B122" s="24">
        <f t="shared" si="16"/>
        <v>298357</v>
      </c>
      <c r="C122" s="51"/>
      <c r="D122" s="53">
        <v>108</v>
      </c>
      <c r="E122" s="52" t="s">
        <v>258</v>
      </c>
      <c r="F122" s="45">
        <v>1</v>
      </c>
      <c r="G122" s="13">
        <v>727699</v>
      </c>
      <c r="H122" s="13">
        <v>298357</v>
      </c>
      <c r="J122" s="60">
        <f t="shared" si="17"/>
        <v>0</v>
      </c>
      <c r="K122" s="10">
        <f t="shared" si="18"/>
        <v>0</v>
      </c>
      <c r="L122" s="10">
        <f t="shared" si="19"/>
        <v>0</v>
      </c>
      <c r="N122" s="48">
        <f>SUMIFS('MC+SP Data'!$D$2:$D$134,'MC+SP Data'!$C$2:$C$134,E122,'MC+SP Data'!$H$2:$H$134,$D$5)</f>
        <v>1</v>
      </c>
      <c r="O122" s="10">
        <f t="shared" si="20"/>
        <v>727699</v>
      </c>
      <c r="P122" s="10">
        <f t="shared" si="21"/>
        <v>298357</v>
      </c>
    </row>
    <row r="123" spans="1:16" x14ac:dyDescent="0.2">
      <c r="A123" s="24">
        <f t="shared" si="15"/>
        <v>315625.5</v>
      </c>
      <c r="B123" s="24">
        <f t="shared" si="16"/>
        <v>157812.5</v>
      </c>
      <c r="C123" s="51"/>
      <c r="D123" s="53">
        <v>110</v>
      </c>
      <c r="E123" s="52" t="s">
        <v>260</v>
      </c>
      <c r="F123" s="45">
        <v>2</v>
      </c>
      <c r="G123" s="13">
        <v>631251</v>
      </c>
      <c r="H123" s="13">
        <v>315625</v>
      </c>
      <c r="J123" s="60">
        <f t="shared" si="17"/>
        <v>0</v>
      </c>
      <c r="K123" s="10">
        <f t="shared" si="18"/>
        <v>0</v>
      </c>
      <c r="L123" s="10">
        <f t="shared" si="19"/>
        <v>0</v>
      </c>
      <c r="N123" s="48">
        <f>SUMIFS('MC+SP Data'!$D$2:$D$134,'MC+SP Data'!$C$2:$C$134,E123,'MC+SP Data'!$H$2:$H$134,$D$5)</f>
        <v>2</v>
      </c>
      <c r="O123" s="10">
        <f t="shared" si="20"/>
        <v>631251</v>
      </c>
      <c r="P123" s="10">
        <f t="shared" si="21"/>
        <v>315625</v>
      </c>
    </row>
    <row r="124" spans="1:16" x14ac:dyDescent="0.2">
      <c r="A124" s="24">
        <f t="shared" si="15"/>
        <v>1484.21</v>
      </c>
      <c r="B124" s="24">
        <f t="shared" si="16"/>
        <v>445.26299999999998</v>
      </c>
      <c r="C124" s="51"/>
      <c r="D124" s="53">
        <v>111</v>
      </c>
      <c r="E124" s="52" t="s">
        <v>261</v>
      </c>
      <c r="F124" s="45">
        <v>3000</v>
      </c>
      <c r="G124" s="13">
        <v>4452630</v>
      </c>
      <c r="H124" s="13">
        <v>1335789</v>
      </c>
      <c r="J124" s="60">
        <f t="shared" si="17"/>
        <v>0</v>
      </c>
      <c r="K124" s="10">
        <f t="shared" si="18"/>
        <v>0</v>
      </c>
      <c r="L124" s="10">
        <f t="shared" si="19"/>
        <v>0</v>
      </c>
      <c r="N124" s="48">
        <f>SUMIFS('MC+SP Data'!$D$2:$D$134,'MC+SP Data'!$C$2:$C$134,E124,'MC+SP Data'!$H$2:$H$134,$D$5)</f>
        <v>3000</v>
      </c>
      <c r="O124" s="10">
        <f t="shared" si="20"/>
        <v>4452630</v>
      </c>
      <c r="P124" s="10">
        <f t="shared" si="21"/>
        <v>1335789</v>
      </c>
    </row>
    <row r="125" spans="1:16" x14ac:dyDescent="0.2">
      <c r="A125" s="24">
        <f t="shared" si="15"/>
        <v>86713.779661016946</v>
      </c>
      <c r="B125" s="24">
        <f t="shared" si="16"/>
        <v>27744.446327683614</v>
      </c>
      <c r="C125" s="51"/>
      <c r="D125" s="53">
        <v>113</v>
      </c>
      <c r="E125" s="52" t="s">
        <v>263</v>
      </c>
      <c r="F125" s="45">
        <v>354</v>
      </c>
      <c r="G125" s="13">
        <v>30696678</v>
      </c>
      <c r="H125" s="13">
        <v>9821534</v>
      </c>
      <c r="J125" s="60">
        <f t="shared" si="17"/>
        <v>0</v>
      </c>
      <c r="K125" s="10">
        <f t="shared" si="18"/>
        <v>0</v>
      </c>
      <c r="L125" s="10">
        <f t="shared" si="19"/>
        <v>0</v>
      </c>
      <c r="N125" s="48">
        <f>SUMIFS('MC+SP Data'!$D$2:$D$134,'MC+SP Data'!$C$2:$C$134,E125,'MC+SP Data'!$H$2:$H$134,$D$5)</f>
        <v>354</v>
      </c>
      <c r="O125" s="10">
        <f t="shared" si="20"/>
        <v>30696678</v>
      </c>
      <c r="P125" s="10">
        <f t="shared" si="21"/>
        <v>9821534</v>
      </c>
    </row>
    <row r="126" spans="1:16" x14ac:dyDescent="0.2">
      <c r="A126" s="24">
        <f t="shared" si="15"/>
        <v>21486.871794871793</v>
      </c>
      <c r="B126" s="24">
        <f t="shared" si="16"/>
        <v>9075.1282051282051</v>
      </c>
      <c r="C126" s="51"/>
      <c r="D126" s="53">
        <v>115</v>
      </c>
      <c r="E126" s="52" t="s">
        <v>265</v>
      </c>
      <c r="F126" s="45">
        <v>156</v>
      </c>
      <c r="G126" s="13">
        <v>3351952</v>
      </c>
      <c r="H126" s="13">
        <v>1415720</v>
      </c>
      <c r="J126" s="60">
        <f t="shared" si="17"/>
        <v>156</v>
      </c>
      <c r="K126" s="10">
        <f t="shared" si="18"/>
        <v>3351952</v>
      </c>
      <c r="L126" s="10">
        <f t="shared" si="19"/>
        <v>1415720</v>
      </c>
      <c r="N126" s="48">
        <f>SUMIFS('MC+SP Data'!$D$2:$D$134,'MC+SP Data'!$C$2:$C$134,E126,'MC+SP Data'!$H$2:$H$134,$D$5)</f>
        <v>0</v>
      </c>
      <c r="O126" s="10">
        <f t="shared" si="20"/>
        <v>0</v>
      </c>
      <c r="P126" s="10">
        <f t="shared" si="21"/>
        <v>0</v>
      </c>
    </row>
    <row r="127" spans="1:16" x14ac:dyDescent="0.2">
      <c r="A127" s="24">
        <f t="shared" si="15"/>
        <v>37.872828863346108</v>
      </c>
      <c r="B127" s="24">
        <f t="shared" si="16"/>
        <v>17.244987228607918</v>
      </c>
      <c r="C127" s="51"/>
      <c r="D127" s="53">
        <v>116</v>
      </c>
      <c r="E127" s="52" t="s">
        <v>266</v>
      </c>
      <c r="F127" s="45">
        <v>156600</v>
      </c>
      <c r="G127" s="13">
        <v>5930885</v>
      </c>
      <c r="H127" s="13">
        <v>2700565</v>
      </c>
      <c r="J127" s="60">
        <f t="shared" si="17"/>
        <v>156600</v>
      </c>
      <c r="K127" s="10">
        <f t="shared" si="18"/>
        <v>5930885</v>
      </c>
      <c r="L127" s="10">
        <f t="shared" si="19"/>
        <v>2700565</v>
      </c>
      <c r="N127" s="48">
        <f>SUMIFS('MC+SP Data'!$D$2:$D$134,'MC+SP Data'!$C$2:$C$134,E127,'MC+SP Data'!$H$2:$H$134,$D$5)</f>
        <v>0</v>
      </c>
      <c r="O127" s="10">
        <f t="shared" si="20"/>
        <v>0</v>
      </c>
      <c r="P127" s="10">
        <f t="shared" si="21"/>
        <v>0</v>
      </c>
    </row>
    <row r="128" spans="1:16" x14ac:dyDescent="0.2">
      <c r="A128" s="24">
        <f t="shared" si="15"/>
        <v>608086</v>
      </c>
      <c r="B128" s="24">
        <f t="shared" si="16"/>
        <v>182425.83333333334</v>
      </c>
      <c r="C128" s="51"/>
      <c r="D128" s="53">
        <v>117</v>
      </c>
      <c r="E128" s="52" t="s">
        <v>267</v>
      </c>
      <c r="F128" s="45">
        <v>12</v>
      </c>
      <c r="G128" s="13">
        <v>7297032</v>
      </c>
      <c r="H128" s="13">
        <v>2189110</v>
      </c>
      <c r="J128" s="60">
        <f t="shared" si="17"/>
        <v>12</v>
      </c>
      <c r="K128" s="10">
        <f t="shared" si="18"/>
        <v>7297032</v>
      </c>
      <c r="L128" s="10">
        <f t="shared" si="19"/>
        <v>2189110</v>
      </c>
      <c r="N128" s="48">
        <f>SUMIFS('MC+SP Data'!$D$2:$D$134,'MC+SP Data'!$C$2:$C$134,E128,'MC+SP Data'!$H$2:$H$134,$D$5)</f>
        <v>0</v>
      </c>
      <c r="O128" s="10">
        <f t="shared" si="20"/>
        <v>0</v>
      </c>
      <c r="P128" s="10">
        <f t="shared" si="21"/>
        <v>0</v>
      </c>
    </row>
    <row r="129" spans="1:16" x14ac:dyDescent="0.2">
      <c r="A129" s="24">
        <f t="shared" si="15"/>
        <v>14217.666666666666</v>
      </c>
      <c r="B129" s="24">
        <f t="shared" si="16"/>
        <v>4691.75</v>
      </c>
      <c r="C129" s="51"/>
      <c r="D129" s="53">
        <v>118</v>
      </c>
      <c r="E129" s="52" t="s">
        <v>268</v>
      </c>
      <c r="F129" s="45">
        <v>12</v>
      </c>
      <c r="G129" s="13">
        <v>170612</v>
      </c>
      <c r="H129" s="13">
        <v>56301</v>
      </c>
      <c r="J129" s="60">
        <f t="shared" si="17"/>
        <v>12</v>
      </c>
      <c r="K129" s="10">
        <f t="shared" si="18"/>
        <v>170612</v>
      </c>
      <c r="L129" s="10">
        <f t="shared" si="19"/>
        <v>56301</v>
      </c>
      <c r="N129" s="48">
        <f>SUMIFS('MC+SP Data'!$D$2:$D$134,'MC+SP Data'!$C$2:$C$134,E129,'MC+SP Data'!$H$2:$H$134,$D$5)</f>
        <v>0</v>
      </c>
      <c r="O129" s="10">
        <f t="shared" si="20"/>
        <v>0</v>
      </c>
      <c r="P129" s="10">
        <f t="shared" si="21"/>
        <v>0</v>
      </c>
    </row>
    <row r="130" spans="1:16" x14ac:dyDescent="0.2">
      <c r="A130" s="24">
        <f t="shared" si="15"/>
        <v>790.97824074074072</v>
      </c>
      <c r="B130" s="24">
        <f t="shared" si="16"/>
        <v>395.48935185185184</v>
      </c>
      <c r="C130" s="51"/>
      <c r="D130" s="53">
        <v>119</v>
      </c>
      <c r="E130" s="52" t="s">
        <v>269</v>
      </c>
      <c r="F130" s="45">
        <v>2160</v>
      </c>
      <c r="G130" s="13">
        <v>1708513</v>
      </c>
      <c r="H130" s="13">
        <v>854257</v>
      </c>
      <c r="J130" s="60">
        <f t="shared" si="17"/>
        <v>2160</v>
      </c>
      <c r="K130" s="10">
        <f t="shared" si="18"/>
        <v>1708513</v>
      </c>
      <c r="L130" s="10">
        <f t="shared" si="19"/>
        <v>854257</v>
      </c>
      <c r="N130" s="48">
        <f>SUMIFS('MC+SP Data'!$D$2:$D$134,'MC+SP Data'!$C$2:$C$134,E130,'MC+SP Data'!$H$2:$H$134,$D$5)</f>
        <v>0</v>
      </c>
      <c r="O130" s="10">
        <f t="shared" si="20"/>
        <v>0</v>
      </c>
      <c r="P130" s="10">
        <f t="shared" si="21"/>
        <v>0</v>
      </c>
    </row>
    <row r="131" spans="1:16" x14ac:dyDescent="0.2">
      <c r="A131" s="24">
        <f t="shared" si="15"/>
        <v>8734.7689814814821</v>
      </c>
      <c r="B131" s="24">
        <f t="shared" si="16"/>
        <v>3480.9807870370369</v>
      </c>
      <c r="C131" s="51"/>
      <c r="D131" s="53">
        <v>120</v>
      </c>
      <c r="E131" s="52" t="s">
        <v>270</v>
      </c>
      <c r="F131" s="45">
        <v>4320</v>
      </c>
      <c r="G131" s="13">
        <v>37734202</v>
      </c>
      <c r="H131" s="13">
        <v>15037837</v>
      </c>
      <c r="J131" s="60">
        <f t="shared" si="17"/>
        <v>4320</v>
      </c>
      <c r="K131" s="10">
        <f t="shared" si="18"/>
        <v>37734202</v>
      </c>
      <c r="L131" s="10">
        <f t="shared" si="19"/>
        <v>15037837</v>
      </c>
      <c r="N131" s="48">
        <f>SUMIFS('MC+SP Data'!$D$2:$D$134,'MC+SP Data'!$C$2:$C$134,E131,'MC+SP Data'!$H$2:$H$134,$D$5)</f>
        <v>0</v>
      </c>
      <c r="O131" s="10">
        <f t="shared" si="20"/>
        <v>0</v>
      </c>
      <c r="P131" s="10">
        <f t="shared" si="21"/>
        <v>0</v>
      </c>
    </row>
    <row r="132" spans="1:16" x14ac:dyDescent="0.2">
      <c r="A132" s="24">
        <f t="shared" si="15"/>
        <v>2244.1593621399179</v>
      </c>
      <c r="B132" s="24">
        <f t="shared" si="16"/>
        <v>853.2644032921811</v>
      </c>
      <c r="C132" s="51"/>
      <c r="D132" s="53">
        <v>121</v>
      </c>
      <c r="E132" s="52" t="s">
        <v>271</v>
      </c>
      <c r="F132" s="45">
        <v>9720</v>
      </c>
      <c r="G132" s="13">
        <v>21813229</v>
      </c>
      <c r="H132" s="13">
        <v>8293730</v>
      </c>
      <c r="J132" s="60">
        <f t="shared" si="17"/>
        <v>9720</v>
      </c>
      <c r="K132" s="10">
        <f t="shared" si="18"/>
        <v>21813229</v>
      </c>
      <c r="L132" s="10">
        <f t="shared" si="19"/>
        <v>8293730</v>
      </c>
      <c r="N132" s="48">
        <f>SUMIFS('MC+SP Data'!$D$2:$D$134,'MC+SP Data'!$C$2:$C$134,E132,'MC+SP Data'!$H$2:$H$134,$D$5)</f>
        <v>0</v>
      </c>
      <c r="O132" s="10">
        <f t="shared" si="20"/>
        <v>0</v>
      </c>
      <c r="P132" s="10">
        <f t="shared" si="21"/>
        <v>0</v>
      </c>
    </row>
    <row r="133" spans="1:16" x14ac:dyDescent="0.2">
      <c r="A133" s="24">
        <f t="shared" si="15"/>
        <v>1250459</v>
      </c>
      <c r="B133" s="24">
        <f t="shared" si="16"/>
        <v>375138</v>
      </c>
      <c r="C133" s="51"/>
      <c r="D133" s="54">
        <v>123</v>
      </c>
      <c r="E133" s="52" t="s">
        <v>273</v>
      </c>
      <c r="F133" s="45">
        <v>1</v>
      </c>
      <c r="G133" s="13">
        <v>1250459</v>
      </c>
      <c r="H133" s="13">
        <v>375138</v>
      </c>
      <c r="J133" s="60">
        <f t="shared" si="17"/>
        <v>1</v>
      </c>
      <c r="K133" s="10">
        <f t="shared" si="18"/>
        <v>1250459</v>
      </c>
      <c r="L133" s="10">
        <f t="shared" si="19"/>
        <v>375138</v>
      </c>
      <c r="N133" s="48">
        <f>SUMIFS('MC+SP Data'!$D$2:$D$134,'MC+SP Data'!$C$2:$C$134,E133,'MC+SP Data'!$H$2:$H$134,$D$5)</f>
        <v>0</v>
      </c>
      <c r="O133" s="10">
        <f t="shared" si="20"/>
        <v>0</v>
      </c>
      <c r="P133" s="10">
        <f t="shared" si="21"/>
        <v>0</v>
      </c>
    </row>
    <row r="134" spans="1:16" x14ac:dyDescent="0.2">
      <c r="A134" s="24">
        <f t="shared" si="15"/>
        <v>50969.275925925926</v>
      </c>
      <c r="B134" s="24">
        <f t="shared" si="16"/>
        <v>15290.783333333333</v>
      </c>
      <c r="C134" s="51"/>
      <c r="D134" s="53">
        <v>125</v>
      </c>
      <c r="E134" s="52" t="s">
        <v>275</v>
      </c>
      <c r="F134" s="45">
        <v>540</v>
      </c>
      <c r="G134" s="13">
        <v>27523409</v>
      </c>
      <c r="H134" s="13">
        <v>8257023</v>
      </c>
      <c r="J134" s="60">
        <f t="shared" si="17"/>
        <v>540</v>
      </c>
      <c r="K134" s="10">
        <f t="shared" si="18"/>
        <v>27523409</v>
      </c>
      <c r="L134" s="10">
        <f t="shared" si="19"/>
        <v>8257023</v>
      </c>
      <c r="N134" s="48">
        <f>SUMIFS('MC+SP Data'!$D$2:$D$134,'MC+SP Data'!$C$2:$C$134,E134,'MC+SP Data'!$H$2:$H$134,$D$5)</f>
        <v>0</v>
      </c>
      <c r="O134" s="10">
        <f t="shared" si="20"/>
        <v>0</v>
      </c>
      <c r="P134" s="10">
        <f t="shared" si="21"/>
        <v>0</v>
      </c>
    </row>
    <row r="135" spans="1:16" x14ac:dyDescent="0.2">
      <c r="A135" s="24">
        <f t="shared" si="15"/>
        <v>8979.0521327014212</v>
      </c>
      <c r="B135" s="24">
        <f t="shared" si="16"/>
        <v>4004.7488151658767</v>
      </c>
      <c r="C135" s="51"/>
      <c r="D135" s="53">
        <v>126</v>
      </c>
      <c r="E135" s="52" t="s">
        <v>276</v>
      </c>
      <c r="F135" s="45">
        <v>844</v>
      </c>
      <c r="G135" s="13">
        <v>7578320</v>
      </c>
      <c r="H135" s="13">
        <v>3380008</v>
      </c>
      <c r="I135" s="4"/>
      <c r="J135" s="60">
        <f t="shared" si="17"/>
        <v>844</v>
      </c>
      <c r="K135" s="10">
        <f t="shared" ref="K135:K139" si="22">ROUND(J135*A135,0)</f>
        <v>7578320</v>
      </c>
      <c r="L135" s="10">
        <f t="shared" ref="L135:L139" si="23">ROUND(J135*B135,0)</f>
        <v>3380008</v>
      </c>
      <c r="N135" s="48">
        <f>SUMIFS('MC+SP Data'!$D$2:$D$134,'MC+SP Data'!$C$2:$C$134,E135,'MC+SP Data'!$H$2:$H$134,$D$5)</f>
        <v>0</v>
      </c>
      <c r="O135" s="10">
        <f t="shared" ref="O135:O139" si="24">ROUND(N135*A135,0)</f>
        <v>0</v>
      </c>
      <c r="P135" s="10">
        <f t="shared" ref="P135:P139" si="25">ROUND(N135*B135,0)</f>
        <v>0</v>
      </c>
    </row>
    <row r="136" spans="1:16" x14ac:dyDescent="0.2">
      <c r="A136" s="24">
        <f t="shared" ref="A136:A139" si="26">G136/F136</f>
        <v>30284.822281167108</v>
      </c>
      <c r="B136" s="24">
        <f t="shared" ref="B136:B139" si="27">H136/F136</f>
        <v>14034.785145888594</v>
      </c>
      <c r="C136" s="51"/>
      <c r="D136" s="53">
        <v>128</v>
      </c>
      <c r="E136" s="52" t="s">
        <v>278</v>
      </c>
      <c r="F136" s="45">
        <v>377</v>
      </c>
      <c r="G136" s="13">
        <v>11417378</v>
      </c>
      <c r="H136" s="13">
        <v>5291114</v>
      </c>
      <c r="J136" s="60">
        <f t="shared" si="17"/>
        <v>377</v>
      </c>
      <c r="K136" s="10">
        <f t="shared" si="22"/>
        <v>11417378</v>
      </c>
      <c r="L136" s="10">
        <f t="shared" si="23"/>
        <v>5291114</v>
      </c>
      <c r="N136" s="48">
        <f>SUMIFS('MC+SP Data'!$D$2:$D$134,'MC+SP Data'!$C$2:$C$134,E136,'MC+SP Data'!$H$2:$H$134,$D$5)</f>
        <v>0</v>
      </c>
      <c r="O136" s="10">
        <f t="shared" si="24"/>
        <v>0</v>
      </c>
      <c r="P136" s="10">
        <f t="shared" si="25"/>
        <v>0</v>
      </c>
    </row>
    <row r="137" spans="1:16" x14ac:dyDescent="0.2">
      <c r="A137" s="24">
        <f t="shared" si="26"/>
        <v>70163.034722222219</v>
      </c>
      <c r="B137" s="24">
        <f t="shared" si="27"/>
        <v>21048.909722222223</v>
      </c>
      <c r="C137" s="51"/>
      <c r="D137" s="53">
        <v>129</v>
      </c>
      <c r="E137" s="52" t="s">
        <v>279</v>
      </c>
      <c r="F137" s="45">
        <v>144</v>
      </c>
      <c r="G137" s="13">
        <v>10103477</v>
      </c>
      <c r="H137" s="13">
        <v>3031043</v>
      </c>
      <c r="J137" s="60">
        <f t="shared" ref="J137:J139" si="28">F137-N137</f>
        <v>144</v>
      </c>
      <c r="K137" s="10">
        <f t="shared" si="22"/>
        <v>10103477</v>
      </c>
      <c r="L137" s="10">
        <f t="shared" si="23"/>
        <v>3031043</v>
      </c>
      <c r="N137" s="48">
        <f>SUMIFS('MC+SP Data'!$D$2:$D$134,'MC+SP Data'!$C$2:$C$134,E137,'MC+SP Data'!$H$2:$H$134,$D$5)</f>
        <v>0</v>
      </c>
      <c r="O137" s="10">
        <f t="shared" si="24"/>
        <v>0</v>
      </c>
      <c r="P137" s="10">
        <f t="shared" si="25"/>
        <v>0</v>
      </c>
    </row>
    <row r="138" spans="1:16" x14ac:dyDescent="0.2">
      <c r="A138" s="24">
        <f t="shared" si="26"/>
        <v>82268.875</v>
      </c>
      <c r="B138" s="24">
        <f t="shared" si="27"/>
        <v>120305</v>
      </c>
      <c r="C138" s="51"/>
      <c r="D138" s="53">
        <v>130</v>
      </c>
      <c r="E138" s="52" t="s">
        <v>280</v>
      </c>
      <c r="F138" s="45">
        <v>16</v>
      </c>
      <c r="G138" s="13">
        <v>1316302</v>
      </c>
      <c r="H138" s="13">
        <v>1924880</v>
      </c>
      <c r="J138" s="60">
        <f t="shared" si="28"/>
        <v>16</v>
      </c>
      <c r="K138" s="10">
        <f t="shared" si="22"/>
        <v>1316302</v>
      </c>
      <c r="L138" s="10">
        <f t="shared" si="23"/>
        <v>1924880</v>
      </c>
      <c r="N138" s="48">
        <f>SUMIFS('MC+SP Data'!$D$2:$D$134,'MC+SP Data'!$C$2:$C$134,E138,'MC+SP Data'!$H$2:$H$134,$D$5)</f>
        <v>0</v>
      </c>
      <c r="O138" s="10">
        <f t="shared" si="24"/>
        <v>0</v>
      </c>
      <c r="P138" s="10">
        <f t="shared" si="25"/>
        <v>0</v>
      </c>
    </row>
    <row r="139" spans="1:16" x14ac:dyDescent="0.2">
      <c r="A139" s="24">
        <f t="shared" si="26"/>
        <v>31201.0800854021</v>
      </c>
      <c r="B139" s="24">
        <f t="shared" si="27"/>
        <v>9360.3215137941133</v>
      </c>
      <c r="C139" s="52"/>
      <c r="D139" s="54">
        <v>132</v>
      </c>
      <c r="E139" s="52" t="s">
        <v>282</v>
      </c>
      <c r="F139" s="45">
        <v>238.87</v>
      </c>
      <c r="G139" s="13">
        <v>7453002</v>
      </c>
      <c r="H139" s="13">
        <v>2235900</v>
      </c>
      <c r="J139" s="60">
        <f t="shared" si="28"/>
        <v>238.87</v>
      </c>
      <c r="K139" s="10">
        <f t="shared" si="22"/>
        <v>7453002</v>
      </c>
      <c r="L139" s="10">
        <f t="shared" si="23"/>
        <v>2235900</v>
      </c>
      <c r="N139" s="48">
        <f>SUMIFS('MC+SP Data'!$D$2:$D$134,'MC+SP Data'!$C$2:$C$134,E139,'MC+SP Data'!$H$2:$H$134,$D$5)</f>
        <v>0</v>
      </c>
      <c r="O139" s="10">
        <f t="shared" si="24"/>
        <v>0</v>
      </c>
      <c r="P139" s="10">
        <f t="shared" si="25"/>
        <v>0</v>
      </c>
    </row>
    <row r="140" spans="1:16" x14ac:dyDescent="0.2">
      <c r="C140" s="15" t="s">
        <v>136</v>
      </c>
      <c r="D140" s="15"/>
      <c r="E140" s="15"/>
      <c r="F140" s="56">
        <v>1296079.6700000002</v>
      </c>
      <c r="G140" s="14">
        <v>3526552834</v>
      </c>
      <c r="H140" s="14">
        <v>1298410883.841732</v>
      </c>
      <c r="J140" s="11">
        <f>ROUND(F140-N140,0)</f>
        <v>175141</v>
      </c>
      <c r="K140" s="11">
        <f>ROUND(G140-O140,0)</f>
        <v>144648772</v>
      </c>
      <c r="L140" s="11">
        <f>ROUND(H140-P140,0)</f>
        <v>55042626</v>
      </c>
      <c r="M140" s="4"/>
      <c r="N140" s="58">
        <f>SUM(N6:N139)</f>
        <v>1120938.8</v>
      </c>
      <c r="O140" s="11">
        <f t="shared" ref="O140" si="29">SUM(O6:O139)</f>
        <v>3381904062</v>
      </c>
      <c r="P140" s="11">
        <f t="shared" ref="P140" si="30">SUM(P6:P139)</f>
        <v>1243368258</v>
      </c>
    </row>
    <row r="141" spans="1:16" ht="15" x14ac:dyDescent="0.25">
      <c r="C141"/>
      <c r="D141"/>
      <c r="E141"/>
      <c r="F141" s="35"/>
      <c r="G141"/>
      <c r="H141"/>
    </row>
    <row r="142" spans="1:16" ht="15" x14ac:dyDescent="0.25">
      <c r="C142"/>
      <c r="D142"/>
      <c r="E142"/>
      <c r="F142" s="35"/>
      <c r="G142"/>
      <c r="H142"/>
    </row>
    <row r="143" spans="1:16" ht="15" x14ac:dyDescent="0.25">
      <c r="C143"/>
      <c r="D143"/>
      <c r="E143"/>
      <c r="F143" s="35"/>
      <c r="G143"/>
      <c r="H143"/>
    </row>
    <row r="144" spans="1:16" ht="15" x14ac:dyDescent="0.25">
      <c r="C144"/>
      <c r="D144"/>
      <c r="E144"/>
      <c r="F144" s="35"/>
      <c r="G144"/>
      <c r="H144"/>
    </row>
    <row r="145" spans="3:8" ht="15" x14ac:dyDescent="0.25">
      <c r="C145"/>
      <c r="D145"/>
      <c r="E145"/>
      <c r="F145" s="35"/>
      <c r="G145"/>
      <c r="H145"/>
    </row>
    <row r="146" spans="3:8" ht="15" x14ac:dyDescent="0.25">
      <c r="C146"/>
      <c r="D146"/>
      <c r="E146"/>
      <c r="F146" s="35"/>
      <c r="G146"/>
      <c r="H146"/>
    </row>
    <row r="147" spans="3:8" ht="15" x14ac:dyDescent="0.25">
      <c r="C147"/>
      <c r="D147"/>
      <c r="E147"/>
      <c r="F147" s="35"/>
      <c r="G147"/>
      <c r="H147"/>
    </row>
    <row r="148" spans="3:8" ht="15" x14ac:dyDescent="0.25">
      <c r="C148"/>
      <c r="D148"/>
      <c r="E148"/>
      <c r="F148" s="35"/>
      <c r="G148"/>
      <c r="H148"/>
    </row>
    <row r="149" spans="3:8" ht="15" x14ac:dyDescent="0.25">
      <c r="C149"/>
      <c r="D149"/>
      <c r="E149"/>
      <c r="F149" s="35"/>
      <c r="G149"/>
      <c r="H149"/>
    </row>
    <row r="150" spans="3:8" ht="15" x14ac:dyDescent="0.25">
      <c r="C150"/>
      <c r="D150"/>
      <c r="E150"/>
      <c r="F150" s="35"/>
      <c r="G150"/>
      <c r="H150"/>
    </row>
    <row r="151" spans="3:8" ht="15" x14ac:dyDescent="0.25">
      <c r="C151"/>
      <c r="D151"/>
      <c r="E151"/>
      <c r="F151" s="35"/>
      <c r="G151"/>
      <c r="H151"/>
    </row>
    <row r="152" spans="3:8" ht="15" x14ac:dyDescent="0.25">
      <c r="C152"/>
      <c r="D152"/>
      <c r="E152"/>
      <c r="F152" s="35"/>
      <c r="G152"/>
      <c r="H152"/>
    </row>
    <row r="153" spans="3:8" ht="15" x14ac:dyDescent="0.25">
      <c r="C153"/>
      <c r="D153"/>
      <c r="E153"/>
      <c r="F153" s="35"/>
      <c r="G153"/>
      <c r="H153"/>
    </row>
    <row r="154" spans="3:8" ht="15" x14ac:dyDescent="0.25">
      <c r="C154"/>
      <c r="D154"/>
      <c r="E154"/>
      <c r="F154" s="35"/>
      <c r="G154"/>
      <c r="H154"/>
    </row>
    <row r="155" spans="3:8" ht="15" x14ac:dyDescent="0.25">
      <c r="C155"/>
      <c r="D155"/>
      <c r="E155"/>
      <c r="F155" s="35"/>
      <c r="G155"/>
      <c r="H155"/>
    </row>
    <row r="156" spans="3:8" ht="15" x14ac:dyDescent="0.25">
      <c r="C156"/>
      <c r="D156"/>
      <c r="E156"/>
      <c r="F156" s="35"/>
      <c r="G156"/>
      <c r="H156"/>
    </row>
    <row r="157" spans="3:8" ht="15" x14ac:dyDescent="0.25">
      <c r="C157"/>
      <c r="D157"/>
      <c r="E157"/>
      <c r="F157" s="35"/>
      <c r="G157"/>
      <c r="H157"/>
    </row>
    <row r="158" spans="3:8" ht="15" x14ac:dyDescent="0.25">
      <c r="C158"/>
      <c r="D158"/>
      <c r="E158"/>
      <c r="F158" s="35"/>
      <c r="G158"/>
      <c r="H158"/>
    </row>
    <row r="159" spans="3:8" ht="15" x14ac:dyDescent="0.25">
      <c r="C159"/>
      <c r="D159"/>
      <c r="E159"/>
      <c r="F159" s="35"/>
      <c r="G159"/>
      <c r="H159"/>
    </row>
    <row r="160" spans="3:8" ht="15" x14ac:dyDescent="0.25">
      <c r="C160"/>
      <c r="D160"/>
      <c r="E160"/>
      <c r="F160" s="35"/>
      <c r="G160"/>
      <c r="H160"/>
    </row>
    <row r="161" spans="3:8" ht="15" x14ac:dyDescent="0.25">
      <c r="C161"/>
      <c r="D161"/>
      <c r="E161"/>
      <c r="F161" s="35"/>
      <c r="G161"/>
      <c r="H161"/>
    </row>
    <row r="162" spans="3:8" ht="15" x14ac:dyDescent="0.25">
      <c r="C162"/>
      <c r="D162"/>
      <c r="E162"/>
      <c r="F162" s="35"/>
      <c r="G162"/>
      <c r="H162"/>
    </row>
    <row r="163" spans="3:8" ht="15" x14ac:dyDescent="0.25">
      <c r="C163"/>
      <c r="D163"/>
      <c r="E163"/>
      <c r="F163" s="35"/>
      <c r="G163"/>
      <c r="H163"/>
    </row>
    <row r="164" spans="3:8" ht="15" x14ac:dyDescent="0.25">
      <c r="C164"/>
      <c r="D164"/>
      <c r="E164"/>
      <c r="F164" s="35"/>
      <c r="G164"/>
      <c r="H164"/>
    </row>
    <row r="165" spans="3:8" ht="15" x14ac:dyDescent="0.25">
      <c r="C165"/>
      <c r="D165"/>
      <c r="E165"/>
      <c r="F165" s="35"/>
      <c r="G165"/>
      <c r="H165"/>
    </row>
    <row r="166" spans="3:8" ht="15" x14ac:dyDescent="0.25">
      <c r="C166"/>
      <c r="D166"/>
      <c r="E166"/>
      <c r="F166" s="35"/>
      <c r="G166"/>
      <c r="H166"/>
    </row>
    <row r="167" spans="3:8" ht="15" x14ac:dyDescent="0.25">
      <c r="C167"/>
      <c r="D167"/>
      <c r="E167"/>
      <c r="F167" s="35"/>
      <c r="G167"/>
      <c r="H167"/>
    </row>
    <row r="168" spans="3:8" ht="15" x14ac:dyDescent="0.25">
      <c r="C168"/>
      <c r="D168"/>
      <c r="E168"/>
      <c r="F168" s="35"/>
      <c r="G168"/>
      <c r="H168"/>
    </row>
    <row r="169" spans="3:8" ht="15" x14ac:dyDescent="0.25">
      <c r="C169"/>
      <c r="D169"/>
      <c r="E169"/>
      <c r="F169" s="35"/>
      <c r="G169"/>
      <c r="H169"/>
    </row>
    <row r="170" spans="3:8" ht="15" x14ac:dyDescent="0.25">
      <c r="C170"/>
      <c r="D170"/>
      <c r="E170"/>
      <c r="F170" s="35"/>
      <c r="G170"/>
      <c r="H170"/>
    </row>
    <row r="171" spans="3:8" ht="15" x14ac:dyDescent="0.25">
      <c r="C171"/>
      <c r="D171"/>
      <c r="E171"/>
      <c r="F171" s="35"/>
      <c r="G171"/>
      <c r="H171"/>
    </row>
    <row r="172" spans="3:8" ht="15" x14ac:dyDescent="0.25">
      <c r="C172"/>
      <c r="D172"/>
      <c r="E172"/>
      <c r="F172" s="35"/>
      <c r="G172"/>
      <c r="H172"/>
    </row>
    <row r="173" spans="3:8" ht="15" x14ac:dyDescent="0.25">
      <c r="C173"/>
      <c r="D173"/>
      <c r="E173"/>
      <c r="F173" s="35"/>
      <c r="G173"/>
      <c r="H173"/>
    </row>
    <row r="174" spans="3:8" ht="15" x14ac:dyDescent="0.25">
      <c r="C174"/>
      <c r="D174"/>
      <c r="E174"/>
      <c r="F174" s="35"/>
      <c r="G174"/>
      <c r="H174"/>
    </row>
    <row r="175" spans="3:8" ht="15" x14ac:dyDescent="0.25">
      <c r="C175"/>
      <c r="D175"/>
      <c r="E175"/>
      <c r="F175" s="35"/>
      <c r="G175"/>
      <c r="H175"/>
    </row>
    <row r="176" spans="3:8" ht="15" x14ac:dyDescent="0.25">
      <c r="C176"/>
      <c r="D176"/>
      <c r="E176"/>
      <c r="F176" s="35"/>
      <c r="G176"/>
      <c r="H176"/>
    </row>
    <row r="177" spans="3:8" ht="15" x14ac:dyDescent="0.25">
      <c r="C177"/>
      <c r="D177"/>
      <c r="E177"/>
      <c r="F177" s="35"/>
      <c r="G177"/>
      <c r="H177"/>
    </row>
    <row r="178" spans="3:8" ht="15" x14ac:dyDescent="0.25">
      <c r="C178"/>
      <c r="D178"/>
      <c r="E178"/>
      <c r="F178" s="35"/>
      <c r="G178"/>
      <c r="H178"/>
    </row>
    <row r="179" spans="3:8" ht="15" x14ac:dyDescent="0.25">
      <c r="C179"/>
      <c r="D179"/>
      <c r="E179"/>
      <c r="F179" s="35"/>
      <c r="G179"/>
      <c r="H179"/>
    </row>
    <row r="180" spans="3:8" ht="15" x14ac:dyDescent="0.25">
      <c r="C180"/>
      <c r="D180"/>
      <c r="E180"/>
      <c r="F180" s="35"/>
      <c r="G180"/>
      <c r="H180"/>
    </row>
    <row r="181" spans="3:8" ht="15" x14ac:dyDescent="0.25">
      <c r="C181"/>
      <c r="D181"/>
      <c r="E181"/>
      <c r="F181" s="35"/>
      <c r="G181"/>
      <c r="H181"/>
    </row>
    <row r="182" spans="3:8" ht="15" x14ac:dyDescent="0.25">
      <c r="C182"/>
      <c r="D182"/>
      <c r="E182"/>
      <c r="F182" s="35"/>
      <c r="G182"/>
      <c r="H182"/>
    </row>
    <row r="183" spans="3:8" ht="15" x14ac:dyDescent="0.25">
      <c r="C183"/>
      <c r="D183"/>
      <c r="E183"/>
      <c r="F183" s="35"/>
      <c r="G183"/>
      <c r="H183"/>
    </row>
    <row r="184" spans="3:8" ht="15" x14ac:dyDescent="0.25">
      <c r="C184"/>
      <c r="D184"/>
      <c r="E184"/>
      <c r="F184" s="35"/>
      <c r="G184"/>
      <c r="H184"/>
    </row>
    <row r="185" spans="3:8" ht="15" x14ac:dyDescent="0.25">
      <c r="C185"/>
      <c r="D185"/>
      <c r="E185"/>
      <c r="F185" s="35"/>
      <c r="G185"/>
      <c r="H185"/>
    </row>
    <row r="186" spans="3:8" ht="15" x14ac:dyDescent="0.25">
      <c r="C186"/>
      <c r="D186"/>
      <c r="E186"/>
      <c r="F186" s="35"/>
      <c r="G186"/>
      <c r="H186"/>
    </row>
    <row r="187" spans="3:8" ht="15" x14ac:dyDescent="0.25">
      <c r="C187"/>
      <c r="D187"/>
      <c r="E187"/>
      <c r="F187" s="35"/>
      <c r="G187"/>
      <c r="H187"/>
    </row>
    <row r="188" spans="3:8" ht="15" x14ac:dyDescent="0.25">
      <c r="C188"/>
      <c r="D188"/>
      <c r="E188"/>
      <c r="F188" s="35"/>
      <c r="G188"/>
      <c r="H188"/>
    </row>
    <row r="189" spans="3:8" ht="15" x14ac:dyDescent="0.25">
      <c r="C189"/>
      <c r="D189"/>
      <c r="E189"/>
      <c r="F189" s="35"/>
      <c r="G189"/>
      <c r="H189"/>
    </row>
    <row r="190" spans="3:8" ht="15" x14ac:dyDescent="0.25">
      <c r="C190"/>
      <c r="D190"/>
      <c r="E190"/>
      <c r="F190" s="35"/>
      <c r="G190"/>
      <c r="H190"/>
    </row>
    <row r="191" spans="3:8" ht="15" x14ac:dyDescent="0.25">
      <c r="C191"/>
      <c r="D191"/>
      <c r="E191"/>
      <c r="F191" s="35"/>
      <c r="G191"/>
      <c r="H191"/>
    </row>
    <row r="192" spans="3:8" ht="15" x14ac:dyDescent="0.25">
      <c r="C192"/>
      <c r="D192"/>
      <c r="E192"/>
      <c r="F192" s="35"/>
      <c r="G192"/>
      <c r="H192"/>
    </row>
    <row r="193" spans="3:8" ht="15" x14ac:dyDescent="0.25">
      <c r="C193"/>
      <c r="D193"/>
      <c r="E193"/>
      <c r="F193" s="35"/>
      <c r="G193"/>
      <c r="H193"/>
    </row>
    <row r="194" spans="3:8" ht="15" x14ac:dyDescent="0.25">
      <c r="C194"/>
      <c r="D194"/>
      <c r="E194"/>
      <c r="F194" s="35"/>
      <c r="G194"/>
      <c r="H194"/>
    </row>
    <row r="195" spans="3:8" ht="15" x14ac:dyDescent="0.25">
      <c r="C195"/>
      <c r="D195"/>
      <c r="E195"/>
      <c r="F195" s="35"/>
      <c r="G195"/>
      <c r="H195"/>
    </row>
    <row r="196" spans="3:8" ht="15" x14ac:dyDescent="0.25">
      <c r="C196"/>
      <c r="D196"/>
      <c r="E196"/>
      <c r="F196" s="35"/>
      <c r="G196"/>
      <c r="H196"/>
    </row>
    <row r="197" spans="3:8" ht="15" x14ac:dyDescent="0.25">
      <c r="C197"/>
      <c r="D197"/>
      <c r="E197"/>
      <c r="F197" s="35"/>
      <c r="G197"/>
      <c r="H197"/>
    </row>
    <row r="198" spans="3:8" ht="15" x14ac:dyDescent="0.25">
      <c r="C198"/>
      <c r="D198"/>
      <c r="E198"/>
      <c r="F198" s="35"/>
      <c r="G198"/>
      <c r="H198"/>
    </row>
    <row r="199" spans="3:8" ht="15" x14ac:dyDescent="0.25">
      <c r="C199"/>
      <c r="D199"/>
      <c r="E199"/>
      <c r="F199" s="35"/>
      <c r="G199"/>
      <c r="H199"/>
    </row>
    <row r="200" spans="3:8" ht="15" x14ac:dyDescent="0.25">
      <c r="C200"/>
      <c r="D200"/>
      <c r="E200"/>
      <c r="F200" s="35"/>
      <c r="G200"/>
      <c r="H200"/>
    </row>
    <row r="201" spans="3:8" ht="15" x14ac:dyDescent="0.25">
      <c r="C201"/>
      <c r="D201"/>
      <c r="E201"/>
      <c r="F201" s="35"/>
      <c r="G201"/>
      <c r="H201"/>
    </row>
    <row r="202" spans="3:8" ht="15" x14ac:dyDescent="0.25">
      <c r="C202"/>
      <c r="D202"/>
      <c r="E202"/>
      <c r="F202" s="35"/>
      <c r="G202"/>
      <c r="H202"/>
    </row>
    <row r="203" spans="3:8" ht="15" x14ac:dyDescent="0.25">
      <c r="C203"/>
      <c r="D203"/>
      <c r="E203"/>
      <c r="F203" s="35"/>
      <c r="G203"/>
      <c r="H203"/>
    </row>
    <row r="204" spans="3:8" ht="15" x14ac:dyDescent="0.25">
      <c r="C204"/>
      <c r="D204"/>
      <c r="E204"/>
      <c r="F204" s="35"/>
      <c r="G204"/>
      <c r="H204"/>
    </row>
    <row r="205" spans="3:8" ht="15" x14ac:dyDescent="0.25">
      <c r="C205"/>
      <c r="D205"/>
      <c r="E205"/>
      <c r="F205" s="35"/>
      <c r="G205"/>
      <c r="H205"/>
    </row>
    <row r="206" spans="3:8" ht="15" x14ac:dyDescent="0.25">
      <c r="C206"/>
      <c r="D206"/>
      <c r="E206"/>
      <c r="F206" s="35"/>
      <c r="G206"/>
      <c r="H206"/>
    </row>
    <row r="207" spans="3:8" ht="15" x14ac:dyDescent="0.25">
      <c r="C207"/>
      <c r="D207"/>
      <c r="E207"/>
      <c r="F207" s="35"/>
      <c r="G207"/>
      <c r="H207"/>
    </row>
    <row r="208" spans="3:8" ht="15" x14ac:dyDescent="0.25">
      <c r="C208"/>
      <c r="D208"/>
      <c r="E208"/>
      <c r="F208" s="35"/>
      <c r="G208"/>
      <c r="H208"/>
    </row>
    <row r="209" spans="3:8" ht="15" x14ac:dyDescent="0.25">
      <c r="C209"/>
      <c r="D209"/>
      <c r="E209"/>
      <c r="F209" s="35"/>
      <c r="G209"/>
      <c r="H209"/>
    </row>
    <row r="210" spans="3:8" ht="15" x14ac:dyDescent="0.25">
      <c r="C210"/>
      <c r="D210"/>
      <c r="E210"/>
      <c r="F210" s="35"/>
      <c r="G210"/>
      <c r="H210"/>
    </row>
    <row r="211" spans="3:8" ht="15" x14ac:dyDescent="0.25">
      <c r="C211"/>
      <c r="D211"/>
      <c r="E211"/>
      <c r="F211" s="35"/>
      <c r="G211"/>
      <c r="H211"/>
    </row>
    <row r="212" spans="3:8" ht="15" x14ac:dyDescent="0.25">
      <c r="C212"/>
      <c r="D212"/>
      <c r="E212"/>
      <c r="F212" s="35"/>
      <c r="G212"/>
      <c r="H212"/>
    </row>
    <row r="213" spans="3:8" ht="15" x14ac:dyDescent="0.25">
      <c r="C213"/>
      <c r="D213"/>
      <c r="E213"/>
      <c r="F213" s="35"/>
      <c r="G213"/>
      <c r="H213"/>
    </row>
    <row r="214" spans="3:8" ht="15" x14ac:dyDescent="0.25">
      <c r="C214"/>
      <c r="D214"/>
      <c r="E214"/>
      <c r="F214" s="35"/>
      <c r="G214"/>
      <c r="H214"/>
    </row>
    <row r="215" spans="3:8" ht="15" x14ac:dyDescent="0.25">
      <c r="C215"/>
      <c r="D215"/>
      <c r="E215"/>
      <c r="F215" s="35"/>
      <c r="G215"/>
      <c r="H215"/>
    </row>
    <row r="216" spans="3:8" ht="15" x14ac:dyDescent="0.25">
      <c r="C216"/>
      <c r="D216"/>
      <c r="E216"/>
      <c r="F216" s="35"/>
      <c r="G216"/>
      <c r="H216"/>
    </row>
    <row r="217" spans="3:8" ht="15" x14ac:dyDescent="0.25">
      <c r="C217"/>
      <c r="D217"/>
      <c r="E217"/>
      <c r="F217" s="35"/>
      <c r="G217"/>
      <c r="H217"/>
    </row>
    <row r="218" spans="3:8" ht="15" x14ac:dyDescent="0.25">
      <c r="C218"/>
      <c r="D218"/>
      <c r="E218"/>
      <c r="F218" s="35"/>
      <c r="G218"/>
      <c r="H218"/>
    </row>
    <row r="219" spans="3:8" ht="15" x14ac:dyDescent="0.25">
      <c r="C219"/>
      <c r="D219"/>
      <c r="E219"/>
      <c r="F219" s="35"/>
      <c r="G219"/>
      <c r="H219"/>
    </row>
    <row r="220" spans="3:8" ht="15" x14ac:dyDescent="0.25">
      <c r="C220"/>
      <c r="D220"/>
      <c r="E220"/>
      <c r="F220" s="35"/>
      <c r="G220"/>
      <c r="H220"/>
    </row>
    <row r="221" spans="3:8" ht="15" x14ac:dyDescent="0.25">
      <c r="C221"/>
      <c r="D221"/>
      <c r="E221"/>
      <c r="F221" s="35"/>
      <c r="G221"/>
      <c r="H221"/>
    </row>
    <row r="222" spans="3:8" ht="15" x14ac:dyDescent="0.25">
      <c r="C222"/>
      <c r="D222"/>
      <c r="E222"/>
      <c r="F222" s="35"/>
      <c r="G222"/>
      <c r="H222"/>
    </row>
    <row r="223" spans="3:8" ht="15" x14ac:dyDescent="0.25">
      <c r="C223"/>
      <c r="D223"/>
      <c r="E223"/>
      <c r="F223" s="35"/>
      <c r="G223"/>
      <c r="H223"/>
    </row>
    <row r="224" spans="3:8" ht="15" x14ac:dyDescent="0.25">
      <c r="C224"/>
      <c r="D224"/>
      <c r="E224"/>
      <c r="F224" s="35"/>
      <c r="G224"/>
      <c r="H224"/>
    </row>
    <row r="225" spans="3:8" ht="15" x14ac:dyDescent="0.25">
      <c r="C225"/>
      <c r="D225"/>
      <c r="E225"/>
      <c r="F225" s="35"/>
      <c r="G225"/>
      <c r="H225"/>
    </row>
    <row r="226" spans="3:8" ht="15" x14ac:dyDescent="0.25">
      <c r="C226"/>
      <c r="D226"/>
      <c r="E226"/>
      <c r="F226" s="35"/>
      <c r="G226"/>
      <c r="H226"/>
    </row>
    <row r="227" spans="3:8" ht="15" x14ac:dyDescent="0.25">
      <c r="C227"/>
      <c r="D227"/>
      <c r="E227"/>
      <c r="F227" s="35"/>
      <c r="G227"/>
      <c r="H227"/>
    </row>
    <row r="228" spans="3:8" ht="15" x14ac:dyDescent="0.25">
      <c r="C228"/>
      <c r="D228"/>
      <c r="E228"/>
      <c r="F228" s="35"/>
      <c r="G228"/>
      <c r="H228"/>
    </row>
    <row r="229" spans="3:8" ht="15" x14ac:dyDescent="0.25">
      <c r="C229"/>
      <c r="D229"/>
      <c r="E229"/>
      <c r="F229" s="35"/>
      <c r="G229"/>
      <c r="H229"/>
    </row>
    <row r="230" spans="3:8" ht="15" x14ac:dyDescent="0.25">
      <c r="C230"/>
      <c r="D230"/>
      <c r="E230"/>
      <c r="F230" s="35"/>
      <c r="G230"/>
      <c r="H230"/>
    </row>
    <row r="231" spans="3:8" ht="15" x14ac:dyDescent="0.25">
      <c r="C231"/>
      <c r="D231"/>
      <c r="E231"/>
      <c r="F231" s="35"/>
      <c r="G231"/>
      <c r="H231"/>
    </row>
    <row r="232" spans="3:8" ht="15" x14ac:dyDescent="0.25">
      <c r="C232"/>
      <c r="D232"/>
      <c r="E232"/>
      <c r="F232" s="35"/>
      <c r="G232"/>
      <c r="H232"/>
    </row>
    <row r="233" spans="3:8" ht="15" x14ac:dyDescent="0.25">
      <c r="C233"/>
      <c r="D233"/>
      <c r="E233"/>
      <c r="F233" s="35"/>
      <c r="G233"/>
      <c r="H233"/>
    </row>
    <row r="234" spans="3:8" ht="15" x14ac:dyDescent="0.25">
      <c r="C234"/>
      <c r="D234"/>
      <c r="E234"/>
      <c r="F234" s="35"/>
      <c r="G234"/>
      <c r="H234"/>
    </row>
    <row r="235" spans="3:8" ht="15" x14ac:dyDescent="0.25">
      <c r="C235"/>
      <c r="D235"/>
      <c r="E235"/>
      <c r="F235" s="35"/>
      <c r="G235"/>
      <c r="H235"/>
    </row>
    <row r="236" spans="3:8" ht="15" x14ac:dyDescent="0.25">
      <c r="C236"/>
      <c r="D236"/>
      <c r="E236"/>
      <c r="F236" s="35"/>
      <c r="G236"/>
      <c r="H236"/>
    </row>
    <row r="237" spans="3:8" ht="15" x14ac:dyDescent="0.25">
      <c r="C237"/>
      <c r="D237"/>
      <c r="E237"/>
      <c r="F237" s="35"/>
      <c r="G237"/>
      <c r="H237"/>
    </row>
    <row r="238" spans="3:8" ht="15" x14ac:dyDescent="0.25">
      <c r="C238"/>
      <c r="D238"/>
      <c r="E238"/>
      <c r="F238" s="35"/>
      <c r="G238"/>
      <c r="H238"/>
    </row>
    <row r="239" spans="3:8" ht="15" x14ac:dyDescent="0.25">
      <c r="C239"/>
      <c r="D239"/>
      <c r="E239"/>
      <c r="F239" s="35"/>
      <c r="G239"/>
      <c r="H239"/>
    </row>
    <row r="240" spans="3:8" ht="15" x14ac:dyDescent="0.25">
      <c r="C240"/>
      <c r="D240"/>
      <c r="E240"/>
      <c r="F240" s="35"/>
      <c r="G240"/>
      <c r="H240"/>
    </row>
    <row r="241" spans="3:8" ht="15" x14ac:dyDescent="0.25">
      <c r="C241"/>
      <c r="D241"/>
      <c r="E241"/>
      <c r="F241" s="35"/>
      <c r="G241"/>
      <c r="H241"/>
    </row>
    <row r="242" spans="3:8" ht="15" x14ac:dyDescent="0.25">
      <c r="C242"/>
      <c r="D242"/>
      <c r="E242"/>
      <c r="F242" s="35"/>
      <c r="G242"/>
      <c r="H242"/>
    </row>
    <row r="243" spans="3:8" ht="15" x14ac:dyDescent="0.25">
      <c r="C243"/>
      <c r="D243"/>
      <c r="E243"/>
      <c r="F243" s="35"/>
      <c r="G243"/>
      <c r="H243"/>
    </row>
    <row r="244" spans="3:8" ht="15" x14ac:dyDescent="0.25">
      <c r="C244"/>
      <c r="D244"/>
      <c r="E244"/>
      <c r="F244" s="35"/>
      <c r="G244"/>
      <c r="H244"/>
    </row>
    <row r="245" spans="3:8" ht="15" x14ac:dyDescent="0.25">
      <c r="C245"/>
      <c r="D245"/>
      <c r="E245"/>
      <c r="F245" s="35"/>
      <c r="G245"/>
      <c r="H245"/>
    </row>
    <row r="246" spans="3:8" ht="15" x14ac:dyDescent="0.25">
      <c r="C246"/>
      <c r="D246"/>
      <c r="E246"/>
      <c r="F246" s="35"/>
      <c r="G246"/>
      <c r="H246"/>
    </row>
    <row r="247" spans="3:8" ht="15" x14ac:dyDescent="0.25">
      <c r="C247"/>
      <c r="D247"/>
      <c r="E247"/>
      <c r="F247" s="35"/>
      <c r="G247"/>
      <c r="H247"/>
    </row>
    <row r="248" spans="3:8" ht="15" x14ac:dyDescent="0.25">
      <c r="C248"/>
      <c r="D248"/>
      <c r="E248"/>
      <c r="F248" s="35"/>
      <c r="G248"/>
      <c r="H248"/>
    </row>
    <row r="249" spans="3:8" ht="15" x14ac:dyDescent="0.25">
      <c r="C249"/>
      <c r="D249"/>
      <c r="E249"/>
      <c r="F249" s="35"/>
      <c r="G249"/>
      <c r="H249"/>
    </row>
    <row r="250" spans="3:8" ht="15" x14ac:dyDescent="0.25">
      <c r="C250"/>
      <c r="D250"/>
      <c r="E250"/>
      <c r="F250" s="35"/>
      <c r="G250"/>
      <c r="H250"/>
    </row>
    <row r="251" spans="3:8" ht="15" x14ac:dyDescent="0.25">
      <c r="C251"/>
      <c r="D251"/>
      <c r="E251"/>
      <c r="F251" s="35"/>
      <c r="G251"/>
      <c r="H251"/>
    </row>
    <row r="252" spans="3:8" ht="15" x14ac:dyDescent="0.25">
      <c r="C252"/>
      <c r="D252"/>
      <c r="E252"/>
      <c r="F252" s="35"/>
      <c r="G252"/>
      <c r="H252"/>
    </row>
    <row r="253" spans="3:8" ht="15" x14ac:dyDescent="0.25">
      <c r="C253"/>
      <c r="D253"/>
      <c r="E253"/>
      <c r="F253" s="35"/>
      <c r="G253"/>
      <c r="H253"/>
    </row>
    <row r="254" spans="3:8" ht="15" x14ac:dyDescent="0.25">
      <c r="C254"/>
      <c r="D254"/>
      <c r="E254"/>
      <c r="F254" s="35"/>
      <c r="G254"/>
      <c r="H254"/>
    </row>
    <row r="255" spans="3:8" ht="15" x14ac:dyDescent="0.25">
      <c r="C255"/>
      <c r="D255"/>
      <c r="E255"/>
      <c r="F255" s="35"/>
      <c r="G255"/>
      <c r="H255"/>
    </row>
    <row r="256" spans="3:8" ht="15" x14ac:dyDescent="0.25">
      <c r="C256"/>
      <c r="D256"/>
      <c r="E256"/>
      <c r="F256" s="35"/>
      <c r="G256"/>
      <c r="H256"/>
    </row>
    <row r="257" spans="3:8" ht="15" x14ac:dyDescent="0.25">
      <c r="C257"/>
      <c r="D257"/>
      <c r="E257"/>
      <c r="F257" s="35"/>
      <c r="G257"/>
      <c r="H257"/>
    </row>
    <row r="258" spans="3:8" ht="15" x14ac:dyDescent="0.25">
      <c r="C258"/>
      <c r="D258"/>
      <c r="E258"/>
      <c r="F258" s="35"/>
      <c r="G258"/>
      <c r="H258"/>
    </row>
    <row r="259" spans="3:8" ht="15" x14ac:dyDescent="0.25">
      <c r="C259"/>
      <c r="D259"/>
      <c r="E259"/>
      <c r="F259" s="35"/>
      <c r="G259"/>
      <c r="H259"/>
    </row>
    <row r="260" spans="3:8" ht="15" x14ac:dyDescent="0.25">
      <c r="C260"/>
      <c r="D260"/>
      <c r="E260"/>
      <c r="F260" s="35"/>
      <c r="G260"/>
      <c r="H260"/>
    </row>
    <row r="261" spans="3:8" ht="15" x14ac:dyDescent="0.25">
      <c r="C261"/>
      <c r="D261"/>
      <c r="E261"/>
      <c r="F261" s="35"/>
      <c r="G261"/>
      <c r="H261"/>
    </row>
    <row r="262" spans="3:8" ht="15" x14ac:dyDescent="0.25">
      <c r="C262"/>
      <c r="D262"/>
      <c r="E262"/>
      <c r="F262" s="35"/>
      <c r="G262"/>
      <c r="H262"/>
    </row>
    <row r="263" spans="3:8" ht="15" x14ac:dyDescent="0.25">
      <c r="C263"/>
      <c r="D263"/>
      <c r="E263"/>
      <c r="F263" s="35"/>
      <c r="G263"/>
      <c r="H263"/>
    </row>
    <row r="264" spans="3:8" ht="15" x14ac:dyDescent="0.25">
      <c r="C264"/>
      <c r="D264"/>
      <c r="E264"/>
      <c r="F264" s="35"/>
      <c r="G264"/>
      <c r="H264"/>
    </row>
    <row r="265" spans="3:8" ht="15" x14ac:dyDescent="0.25">
      <c r="C265"/>
      <c r="D265"/>
      <c r="E265"/>
      <c r="F265" s="35"/>
      <c r="G265"/>
      <c r="H265"/>
    </row>
    <row r="266" spans="3:8" ht="15" x14ac:dyDescent="0.25">
      <c r="C266"/>
      <c r="D266"/>
      <c r="E266"/>
      <c r="F266" s="35"/>
      <c r="G266"/>
      <c r="H266"/>
    </row>
    <row r="267" spans="3:8" ht="15" x14ac:dyDescent="0.25">
      <c r="C267"/>
      <c r="D267"/>
      <c r="E267"/>
      <c r="F267" s="35"/>
      <c r="G267"/>
      <c r="H267"/>
    </row>
    <row r="268" spans="3:8" ht="15" x14ac:dyDescent="0.25">
      <c r="C268"/>
      <c r="D268"/>
      <c r="E268"/>
      <c r="F268" s="35"/>
      <c r="G268"/>
      <c r="H268"/>
    </row>
    <row r="269" spans="3:8" ht="15" x14ac:dyDescent="0.25">
      <c r="C269"/>
      <c r="D269"/>
      <c r="E269"/>
      <c r="F269" s="35"/>
      <c r="G269"/>
      <c r="H269"/>
    </row>
    <row r="270" spans="3:8" ht="15" x14ac:dyDescent="0.25">
      <c r="C270"/>
      <c r="D270"/>
      <c r="E270"/>
      <c r="F270" s="35"/>
      <c r="G270"/>
      <c r="H270"/>
    </row>
    <row r="271" spans="3:8" ht="15" x14ac:dyDescent="0.25">
      <c r="C271"/>
      <c r="D271"/>
      <c r="E271"/>
      <c r="F271" s="35"/>
      <c r="G271"/>
      <c r="H271"/>
    </row>
    <row r="272" spans="3:8" ht="15" x14ac:dyDescent="0.25">
      <c r="C272"/>
      <c r="D272"/>
      <c r="E272"/>
      <c r="F272" s="35"/>
      <c r="G272"/>
      <c r="H272"/>
    </row>
    <row r="273" spans="3:8" ht="15" x14ac:dyDescent="0.25">
      <c r="C273"/>
      <c r="D273"/>
      <c r="E273"/>
      <c r="F273" s="35"/>
      <c r="G273"/>
      <c r="H273"/>
    </row>
    <row r="274" spans="3:8" ht="15" x14ac:dyDescent="0.25">
      <c r="C274"/>
      <c r="D274"/>
      <c r="E274"/>
      <c r="F274" s="35"/>
      <c r="G274"/>
      <c r="H274"/>
    </row>
    <row r="275" spans="3:8" ht="15" x14ac:dyDescent="0.25">
      <c r="C275"/>
      <c r="D275"/>
      <c r="E275"/>
      <c r="F275" s="35"/>
      <c r="G275"/>
      <c r="H275"/>
    </row>
    <row r="276" spans="3:8" ht="15" x14ac:dyDescent="0.25">
      <c r="C276"/>
      <c r="D276"/>
      <c r="E276"/>
      <c r="F276" s="35"/>
      <c r="G276"/>
      <c r="H276"/>
    </row>
    <row r="277" spans="3:8" ht="15" x14ac:dyDescent="0.25">
      <c r="C277"/>
      <c r="D277"/>
      <c r="E277"/>
      <c r="F277" s="35"/>
      <c r="G277"/>
      <c r="H277"/>
    </row>
    <row r="278" spans="3:8" ht="15" x14ac:dyDescent="0.25">
      <c r="C278"/>
      <c r="D278"/>
      <c r="E278"/>
      <c r="F278" s="35"/>
      <c r="G278"/>
      <c r="H278"/>
    </row>
    <row r="279" spans="3:8" ht="15" x14ac:dyDescent="0.25">
      <c r="C279"/>
      <c r="D279"/>
      <c r="E279"/>
      <c r="F279" s="35"/>
      <c r="G279"/>
      <c r="H279"/>
    </row>
    <row r="280" spans="3:8" ht="15" x14ac:dyDescent="0.25">
      <c r="C280"/>
      <c r="D280"/>
      <c r="E280"/>
      <c r="F280" s="35"/>
      <c r="G280"/>
      <c r="H280"/>
    </row>
    <row r="281" spans="3:8" ht="15" x14ac:dyDescent="0.25">
      <c r="C281"/>
      <c r="D281"/>
      <c r="E281"/>
      <c r="F281" s="35"/>
      <c r="G281"/>
      <c r="H281"/>
    </row>
    <row r="282" spans="3:8" ht="15" x14ac:dyDescent="0.25">
      <c r="C282"/>
      <c r="D282"/>
      <c r="E282"/>
      <c r="F282" s="35"/>
      <c r="G282"/>
      <c r="H282"/>
    </row>
    <row r="283" spans="3:8" ht="15" x14ac:dyDescent="0.25">
      <c r="C283"/>
      <c r="D283"/>
      <c r="E283"/>
      <c r="F283" s="35"/>
      <c r="G283"/>
      <c r="H283"/>
    </row>
    <row r="284" spans="3:8" ht="15" x14ac:dyDescent="0.25">
      <c r="C284"/>
      <c r="D284"/>
      <c r="E284"/>
      <c r="F284" s="35"/>
      <c r="G284"/>
      <c r="H284"/>
    </row>
    <row r="285" spans="3:8" ht="15" x14ac:dyDescent="0.25">
      <c r="C285"/>
      <c r="D285"/>
      <c r="E285"/>
      <c r="F285" s="35"/>
      <c r="G285"/>
      <c r="H285"/>
    </row>
    <row r="286" spans="3:8" ht="15" x14ac:dyDescent="0.25">
      <c r="C286"/>
      <c r="D286"/>
      <c r="E286"/>
      <c r="F286" s="35"/>
      <c r="G286"/>
      <c r="H286"/>
    </row>
    <row r="287" spans="3:8" ht="15" x14ac:dyDescent="0.25">
      <c r="C287"/>
      <c r="D287"/>
      <c r="E287"/>
      <c r="F287" s="35"/>
      <c r="G287"/>
      <c r="H287"/>
    </row>
    <row r="288" spans="3:8" ht="15" x14ac:dyDescent="0.25">
      <c r="C288"/>
      <c r="D288"/>
      <c r="E288"/>
      <c r="F288" s="35"/>
      <c r="G288"/>
      <c r="H288"/>
    </row>
    <row r="289" spans="3:8" ht="15" x14ac:dyDescent="0.25">
      <c r="C289"/>
      <c r="D289"/>
      <c r="E289"/>
      <c r="F289" s="35"/>
      <c r="G289"/>
      <c r="H289"/>
    </row>
    <row r="290" spans="3:8" ht="15" x14ac:dyDescent="0.25">
      <c r="C290"/>
      <c r="D290"/>
      <c r="E290"/>
      <c r="F290" s="35"/>
      <c r="G290"/>
      <c r="H290"/>
    </row>
    <row r="291" spans="3:8" ht="15" x14ac:dyDescent="0.25">
      <c r="C291"/>
      <c r="D291"/>
      <c r="E291"/>
      <c r="F291" s="35"/>
      <c r="G291"/>
      <c r="H291"/>
    </row>
    <row r="292" spans="3:8" ht="15" x14ac:dyDescent="0.25">
      <c r="C292"/>
      <c r="D292"/>
      <c r="E292"/>
      <c r="F292" s="35"/>
      <c r="G292"/>
      <c r="H292"/>
    </row>
    <row r="293" spans="3:8" ht="15" x14ac:dyDescent="0.25">
      <c r="C293"/>
      <c r="D293"/>
      <c r="E293"/>
      <c r="F293" s="35"/>
      <c r="G293"/>
      <c r="H293"/>
    </row>
    <row r="294" spans="3:8" ht="15" x14ac:dyDescent="0.25">
      <c r="C294"/>
      <c r="D294"/>
      <c r="E294"/>
      <c r="F294" s="35"/>
      <c r="G294"/>
      <c r="H294"/>
    </row>
    <row r="295" spans="3:8" ht="15" x14ac:dyDescent="0.25">
      <c r="C295"/>
      <c r="D295"/>
      <c r="E295"/>
      <c r="F295" s="35"/>
      <c r="G295"/>
      <c r="H295"/>
    </row>
    <row r="296" spans="3:8" ht="15" x14ac:dyDescent="0.25">
      <c r="C296"/>
      <c r="D296"/>
      <c r="E296"/>
      <c r="F296" s="35"/>
      <c r="G296"/>
      <c r="H296"/>
    </row>
    <row r="297" spans="3:8" ht="15" x14ac:dyDescent="0.25">
      <c r="C297"/>
      <c r="D297"/>
      <c r="E297"/>
      <c r="F297" s="35"/>
      <c r="G297"/>
      <c r="H297"/>
    </row>
    <row r="298" spans="3:8" ht="15" x14ac:dyDescent="0.25">
      <c r="C298"/>
      <c r="D298"/>
      <c r="E298"/>
      <c r="F298" s="35"/>
      <c r="G298"/>
      <c r="H298"/>
    </row>
    <row r="299" spans="3:8" ht="15" x14ac:dyDescent="0.25">
      <c r="C299"/>
      <c r="D299"/>
      <c r="E299"/>
      <c r="F299" s="35"/>
      <c r="G299"/>
      <c r="H299"/>
    </row>
    <row r="300" spans="3:8" ht="15" x14ac:dyDescent="0.25">
      <c r="C300"/>
      <c r="D300"/>
      <c r="E300"/>
      <c r="F300" s="35"/>
      <c r="G300"/>
      <c r="H300"/>
    </row>
    <row r="301" spans="3:8" ht="15" x14ac:dyDescent="0.25">
      <c r="C301"/>
      <c r="D301"/>
      <c r="E301"/>
      <c r="F301" s="35"/>
      <c r="G301"/>
      <c r="H301"/>
    </row>
    <row r="302" spans="3:8" ht="15" x14ac:dyDescent="0.25">
      <c r="C302"/>
      <c r="D302"/>
      <c r="E302"/>
      <c r="F302" s="35"/>
      <c r="G302"/>
      <c r="H302"/>
    </row>
    <row r="303" spans="3:8" ht="15" x14ac:dyDescent="0.25">
      <c r="C303"/>
      <c r="D303"/>
      <c r="E303"/>
      <c r="F303" s="35"/>
      <c r="G303"/>
      <c r="H303"/>
    </row>
    <row r="304" spans="3:8" ht="15" x14ac:dyDescent="0.25">
      <c r="C304"/>
      <c r="D304"/>
      <c r="E304"/>
      <c r="F304" s="35"/>
      <c r="G304"/>
      <c r="H304"/>
    </row>
    <row r="305" spans="3:8" ht="15" x14ac:dyDescent="0.25">
      <c r="C305"/>
      <c r="D305"/>
      <c r="E305"/>
      <c r="F305" s="35"/>
      <c r="G305"/>
      <c r="H305"/>
    </row>
    <row r="306" spans="3:8" ht="15" x14ac:dyDescent="0.25">
      <c r="C306"/>
      <c r="D306"/>
      <c r="E306"/>
      <c r="F306" s="35"/>
      <c r="G306"/>
      <c r="H306"/>
    </row>
    <row r="307" spans="3:8" ht="15" x14ac:dyDescent="0.25">
      <c r="C307"/>
      <c r="D307"/>
      <c r="E307"/>
      <c r="F307" s="35"/>
      <c r="G307"/>
      <c r="H307"/>
    </row>
    <row r="308" spans="3:8" ht="15" x14ac:dyDescent="0.25">
      <c r="C308"/>
      <c r="D308"/>
      <c r="E308"/>
      <c r="F308" s="35"/>
      <c r="G308"/>
      <c r="H308"/>
    </row>
    <row r="309" spans="3:8" ht="15" x14ac:dyDescent="0.25">
      <c r="C309"/>
      <c r="D309"/>
      <c r="E309"/>
      <c r="F309" s="35"/>
      <c r="G309"/>
      <c r="H309"/>
    </row>
    <row r="310" spans="3:8" ht="15" x14ac:dyDescent="0.25">
      <c r="C310"/>
      <c r="D310"/>
      <c r="E310"/>
      <c r="F310" s="35"/>
      <c r="G310"/>
      <c r="H310"/>
    </row>
    <row r="311" spans="3:8" ht="15" x14ac:dyDescent="0.25">
      <c r="C311"/>
      <c r="D311"/>
      <c r="E311"/>
      <c r="F311" s="35"/>
      <c r="G311"/>
      <c r="H311"/>
    </row>
    <row r="312" spans="3:8" ht="15" x14ac:dyDescent="0.25">
      <c r="C312"/>
      <c r="D312"/>
      <c r="E312"/>
      <c r="F312" s="35"/>
      <c r="G312"/>
      <c r="H312"/>
    </row>
    <row r="313" spans="3:8" ht="15" x14ac:dyDescent="0.25">
      <c r="C313"/>
      <c r="D313"/>
      <c r="E313"/>
      <c r="F313" s="35"/>
      <c r="G313"/>
      <c r="H313"/>
    </row>
    <row r="314" spans="3:8" ht="15" x14ac:dyDescent="0.25">
      <c r="C314"/>
      <c r="D314"/>
      <c r="E314"/>
      <c r="F314" s="35"/>
      <c r="G314"/>
      <c r="H314"/>
    </row>
    <row r="315" spans="3:8" ht="15" x14ac:dyDescent="0.25">
      <c r="C315"/>
      <c r="D315"/>
      <c r="E315"/>
      <c r="F315" s="35"/>
      <c r="G315"/>
      <c r="H315"/>
    </row>
    <row r="316" spans="3:8" ht="15" x14ac:dyDescent="0.25">
      <c r="C316"/>
      <c r="D316"/>
      <c r="E316"/>
      <c r="F316" s="35"/>
      <c r="G316"/>
      <c r="H316"/>
    </row>
    <row r="317" spans="3:8" ht="15" x14ac:dyDescent="0.25">
      <c r="C317"/>
      <c r="D317"/>
      <c r="E317"/>
      <c r="F317" s="35"/>
      <c r="G317"/>
      <c r="H317"/>
    </row>
    <row r="318" spans="3:8" ht="15" x14ac:dyDescent="0.25">
      <c r="C318"/>
      <c r="D318"/>
      <c r="E318"/>
      <c r="F318" s="35"/>
      <c r="G318"/>
      <c r="H318"/>
    </row>
    <row r="319" spans="3:8" ht="15" x14ac:dyDescent="0.25">
      <c r="C319"/>
      <c r="D319"/>
      <c r="E319"/>
      <c r="F319" s="35"/>
      <c r="G319"/>
      <c r="H319"/>
    </row>
    <row r="320" spans="3:8" ht="15" x14ac:dyDescent="0.25">
      <c r="C320"/>
      <c r="D320"/>
      <c r="E320"/>
      <c r="F320" s="35"/>
      <c r="G320"/>
      <c r="H320"/>
    </row>
    <row r="321" spans="3:8" ht="15" x14ac:dyDescent="0.25">
      <c r="C321"/>
      <c r="D321"/>
      <c r="E321"/>
      <c r="F321" s="35"/>
      <c r="G321"/>
      <c r="H321"/>
    </row>
    <row r="322" spans="3:8" ht="15" x14ac:dyDescent="0.25">
      <c r="C322"/>
      <c r="D322"/>
      <c r="E322"/>
      <c r="F322" s="35"/>
      <c r="G322"/>
      <c r="H322"/>
    </row>
    <row r="323" spans="3:8" ht="15" x14ac:dyDescent="0.25">
      <c r="C323"/>
      <c r="D323"/>
      <c r="E323"/>
      <c r="F323" s="35"/>
      <c r="G323"/>
      <c r="H323"/>
    </row>
    <row r="324" spans="3:8" ht="15" x14ac:dyDescent="0.25">
      <c r="C324"/>
      <c r="D324"/>
      <c r="E324"/>
      <c r="F324" s="35"/>
      <c r="G324"/>
      <c r="H324"/>
    </row>
    <row r="325" spans="3:8" ht="15" x14ac:dyDescent="0.25">
      <c r="C325"/>
      <c r="D325"/>
      <c r="E325"/>
      <c r="F325" s="35"/>
      <c r="G325"/>
      <c r="H325"/>
    </row>
    <row r="326" spans="3:8" ht="15" x14ac:dyDescent="0.25">
      <c r="C326"/>
      <c r="D326"/>
      <c r="E326"/>
      <c r="F326" s="35"/>
      <c r="G326"/>
      <c r="H326"/>
    </row>
    <row r="327" spans="3:8" ht="15" x14ac:dyDescent="0.25">
      <c r="C327"/>
      <c r="D327"/>
      <c r="E327"/>
      <c r="F327" s="35"/>
      <c r="G327"/>
      <c r="H327"/>
    </row>
    <row r="328" spans="3:8" ht="15" x14ac:dyDescent="0.25">
      <c r="C328"/>
      <c r="D328"/>
      <c r="E328"/>
      <c r="F328" s="35"/>
      <c r="G328"/>
      <c r="H328"/>
    </row>
    <row r="329" spans="3:8" ht="15" x14ac:dyDescent="0.25">
      <c r="C329"/>
      <c r="D329"/>
      <c r="E329"/>
      <c r="F329" s="35"/>
      <c r="G329"/>
      <c r="H329"/>
    </row>
    <row r="330" spans="3:8" ht="15" x14ac:dyDescent="0.25">
      <c r="C330"/>
      <c r="D330"/>
      <c r="E330"/>
      <c r="F330" s="35"/>
      <c r="G330"/>
      <c r="H330"/>
    </row>
    <row r="331" spans="3:8" ht="15" x14ac:dyDescent="0.25">
      <c r="C331"/>
      <c r="D331"/>
      <c r="E331"/>
      <c r="F331" s="35"/>
      <c r="G331"/>
      <c r="H331"/>
    </row>
    <row r="332" spans="3:8" ht="15" x14ac:dyDescent="0.25">
      <c r="C332"/>
      <c r="D332"/>
      <c r="E332"/>
      <c r="F332" s="35"/>
      <c r="G332"/>
      <c r="H332"/>
    </row>
    <row r="333" spans="3:8" ht="15" x14ac:dyDescent="0.25">
      <c r="C333"/>
      <c r="D333"/>
      <c r="E333"/>
      <c r="F333" s="35"/>
      <c r="G333"/>
      <c r="H333"/>
    </row>
    <row r="334" spans="3:8" ht="15" x14ac:dyDescent="0.25">
      <c r="C334"/>
      <c r="D334"/>
      <c r="E334"/>
      <c r="F334" s="35"/>
      <c r="G334"/>
      <c r="H334"/>
    </row>
    <row r="335" spans="3:8" ht="15" x14ac:dyDescent="0.25">
      <c r="C335"/>
      <c r="D335"/>
      <c r="E335"/>
      <c r="F335" s="35"/>
      <c r="G335"/>
      <c r="H335"/>
    </row>
    <row r="336" spans="3:8" ht="15" x14ac:dyDescent="0.25">
      <c r="C336"/>
      <c r="D336"/>
      <c r="E336"/>
      <c r="F336" s="35"/>
      <c r="G336"/>
      <c r="H336"/>
    </row>
    <row r="337" spans="3:8" ht="15" x14ac:dyDescent="0.25">
      <c r="C337"/>
      <c r="D337"/>
      <c r="E337"/>
      <c r="F337" s="35"/>
      <c r="G337"/>
      <c r="H337"/>
    </row>
    <row r="338" spans="3:8" ht="15" x14ac:dyDescent="0.25">
      <c r="C338"/>
      <c r="D338"/>
      <c r="E338"/>
      <c r="F338" s="35"/>
      <c r="G338"/>
      <c r="H338"/>
    </row>
    <row r="339" spans="3:8" ht="15" x14ac:dyDescent="0.25">
      <c r="C339"/>
      <c r="D339"/>
      <c r="E339"/>
      <c r="F339" s="35"/>
      <c r="G339"/>
      <c r="H339"/>
    </row>
    <row r="340" spans="3:8" ht="15" x14ac:dyDescent="0.25">
      <c r="C340"/>
      <c r="D340"/>
      <c r="E340"/>
      <c r="F340" s="35"/>
      <c r="G340"/>
      <c r="H340"/>
    </row>
    <row r="341" spans="3:8" ht="15" x14ac:dyDescent="0.25">
      <c r="C341"/>
      <c r="D341"/>
      <c r="E341"/>
      <c r="F341" s="35"/>
      <c r="G341"/>
      <c r="H341"/>
    </row>
    <row r="342" spans="3:8" ht="15" x14ac:dyDescent="0.25">
      <c r="C342"/>
      <c r="D342"/>
      <c r="E342"/>
      <c r="F342" s="35"/>
      <c r="G342"/>
      <c r="H342"/>
    </row>
    <row r="343" spans="3:8" ht="15" x14ac:dyDescent="0.25">
      <c r="C343"/>
      <c r="D343"/>
      <c r="E343"/>
      <c r="F343" s="35"/>
      <c r="G343"/>
      <c r="H343"/>
    </row>
    <row r="344" spans="3:8" ht="15" x14ac:dyDescent="0.25">
      <c r="C344"/>
      <c r="D344"/>
      <c r="E344"/>
      <c r="F344" s="35"/>
      <c r="G344"/>
      <c r="H344"/>
    </row>
    <row r="345" spans="3:8" ht="15" x14ac:dyDescent="0.25">
      <c r="C345"/>
      <c r="D345"/>
      <c r="E345"/>
      <c r="F345" s="35"/>
      <c r="G345"/>
      <c r="H345"/>
    </row>
    <row r="346" spans="3:8" ht="15" x14ac:dyDescent="0.25">
      <c r="C346"/>
      <c r="D346"/>
      <c r="E346"/>
      <c r="F346" s="35"/>
      <c r="G346"/>
      <c r="H346"/>
    </row>
    <row r="347" spans="3:8" ht="15" x14ac:dyDescent="0.25">
      <c r="C347"/>
      <c r="D347"/>
      <c r="E347"/>
      <c r="F347" s="35"/>
      <c r="G347"/>
      <c r="H347"/>
    </row>
    <row r="348" spans="3:8" ht="15" x14ac:dyDescent="0.25">
      <c r="C348"/>
      <c r="D348"/>
      <c r="E348"/>
      <c r="F348" s="35"/>
      <c r="G348"/>
      <c r="H348"/>
    </row>
    <row r="349" spans="3:8" ht="15" x14ac:dyDescent="0.25">
      <c r="C349"/>
      <c r="D349"/>
      <c r="E349"/>
      <c r="F349" s="35"/>
      <c r="G349"/>
      <c r="H349"/>
    </row>
    <row r="350" spans="3:8" ht="15" x14ac:dyDescent="0.25">
      <c r="C350"/>
      <c r="D350"/>
      <c r="E350"/>
      <c r="F350" s="35"/>
      <c r="G350"/>
      <c r="H350"/>
    </row>
    <row r="351" spans="3:8" ht="15" x14ac:dyDescent="0.25">
      <c r="C351"/>
      <c r="D351"/>
      <c r="E351"/>
      <c r="F351" s="35"/>
      <c r="G351"/>
      <c r="H351"/>
    </row>
    <row r="352" spans="3:8" ht="15" x14ac:dyDescent="0.25">
      <c r="C352"/>
      <c r="D352"/>
      <c r="E352"/>
      <c r="F352" s="35"/>
      <c r="G352"/>
      <c r="H352"/>
    </row>
    <row r="353" spans="3:8" ht="15" x14ac:dyDescent="0.25">
      <c r="C353"/>
      <c r="D353"/>
      <c r="E353"/>
      <c r="F353" s="35"/>
      <c r="G353"/>
      <c r="H353"/>
    </row>
    <row r="354" spans="3:8" ht="15" x14ac:dyDescent="0.25">
      <c r="C354"/>
      <c r="D354"/>
      <c r="E354"/>
      <c r="F354" s="35"/>
      <c r="G354"/>
      <c r="H354"/>
    </row>
    <row r="355" spans="3:8" ht="15" x14ac:dyDescent="0.25">
      <c r="C355"/>
      <c r="D355"/>
      <c r="E355"/>
      <c r="F355" s="35"/>
      <c r="G355"/>
      <c r="H355"/>
    </row>
    <row r="356" spans="3:8" ht="15" x14ac:dyDescent="0.25">
      <c r="C356"/>
      <c r="D356"/>
      <c r="E356"/>
      <c r="F356" s="35"/>
      <c r="G356"/>
      <c r="H356"/>
    </row>
    <row r="357" spans="3:8" ht="15" x14ac:dyDescent="0.25">
      <c r="C357"/>
      <c r="D357"/>
      <c r="E357"/>
      <c r="F357" s="35"/>
      <c r="G357"/>
      <c r="H357"/>
    </row>
    <row r="358" spans="3:8" ht="15" x14ac:dyDescent="0.25">
      <c r="C358"/>
      <c r="D358"/>
      <c r="E358"/>
      <c r="F358" s="35"/>
      <c r="G358"/>
      <c r="H358"/>
    </row>
    <row r="359" spans="3:8" ht="15" x14ac:dyDescent="0.25">
      <c r="C359"/>
      <c r="D359"/>
      <c r="E359"/>
      <c r="F359" s="35"/>
      <c r="G359"/>
      <c r="H359"/>
    </row>
    <row r="360" spans="3:8" ht="15" x14ac:dyDescent="0.25">
      <c r="C360"/>
      <c r="D360"/>
      <c r="E360"/>
      <c r="F360" s="35"/>
      <c r="G360"/>
      <c r="H360"/>
    </row>
    <row r="361" spans="3:8" ht="15" x14ac:dyDescent="0.25">
      <c r="C361"/>
      <c r="D361"/>
      <c r="E361"/>
      <c r="F361" s="35"/>
      <c r="G361"/>
      <c r="H361"/>
    </row>
    <row r="362" spans="3:8" ht="15" x14ac:dyDescent="0.25">
      <c r="C362"/>
      <c r="D362"/>
      <c r="E362"/>
      <c r="F362" s="35"/>
      <c r="G362"/>
      <c r="H362"/>
    </row>
    <row r="363" spans="3:8" ht="15" x14ac:dyDescent="0.25">
      <c r="C363"/>
      <c r="D363"/>
      <c r="E363"/>
      <c r="F363" s="35"/>
      <c r="G363"/>
      <c r="H363"/>
    </row>
    <row r="364" spans="3:8" ht="15" x14ac:dyDescent="0.25">
      <c r="C364"/>
      <c r="D364"/>
      <c r="E364"/>
      <c r="F364" s="35"/>
      <c r="G364"/>
      <c r="H364"/>
    </row>
    <row r="365" spans="3:8" ht="15" x14ac:dyDescent="0.25">
      <c r="C365"/>
      <c r="D365"/>
      <c r="E365"/>
      <c r="F365" s="35"/>
      <c r="G365"/>
      <c r="H365"/>
    </row>
    <row r="366" spans="3:8" ht="15" x14ac:dyDescent="0.25">
      <c r="C366"/>
      <c r="D366"/>
      <c r="E366"/>
      <c r="F366" s="35"/>
      <c r="G366"/>
      <c r="H366"/>
    </row>
    <row r="367" spans="3:8" ht="15" x14ac:dyDescent="0.25">
      <c r="C367"/>
      <c r="D367"/>
      <c r="E367"/>
      <c r="F367" s="35"/>
      <c r="G367"/>
      <c r="H367"/>
    </row>
    <row r="368" spans="3:8" ht="15" x14ac:dyDescent="0.25">
      <c r="C368"/>
      <c r="D368"/>
      <c r="E368"/>
      <c r="F368" s="35"/>
      <c r="G368"/>
      <c r="H368"/>
    </row>
    <row r="369" spans="3:8" ht="15" x14ac:dyDescent="0.25">
      <c r="C369"/>
      <c r="D369"/>
      <c r="E369"/>
      <c r="F369" s="35"/>
      <c r="G369"/>
      <c r="H369"/>
    </row>
    <row r="370" spans="3:8" ht="15" x14ac:dyDescent="0.25">
      <c r="C370"/>
      <c r="D370"/>
      <c r="E370"/>
      <c r="F370" s="35"/>
      <c r="G370"/>
      <c r="H370"/>
    </row>
    <row r="371" spans="3:8" ht="15" x14ac:dyDescent="0.25">
      <c r="C371"/>
      <c r="D371"/>
      <c r="E371"/>
      <c r="F371" s="35"/>
      <c r="G371"/>
      <c r="H371"/>
    </row>
    <row r="372" spans="3:8" ht="15" x14ac:dyDescent="0.25">
      <c r="C372"/>
      <c r="D372"/>
      <c r="E372"/>
      <c r="F372" s="35"/>
      <c r="G372"/>
      <c r="H372"/>
    </row>
    <row r="373" spans="3:8" ht="15" x14ac:dyDescent="0.25">
      <c r="C373"/>
      <c r="D373"/>
      <c r="E373"/>
      <c r="F373" s="35"/>
      <c r="G373"/>
      <c r="H373"/>
    </row>
    <row r="374" spans="3:8" ht="15" x14ac:dyDescent="0.25">
      <c r="C374"/>
      <c r="D374"/>
      <c r="E374"/>
      <c r="F374" s="35"/>
      <c r="G374"/>
      <c r="H374"/>
    </row>
    <row r="375" spans="3:8" ht="15" x14ac:dyDescent="0.25">
      <c r="C375"/>
      <c r="D375"/>
      <c r="E375"/>
      <c r="F375" s="35"/>
      <c r="G375"/>
      <c r="H375"/>
    </row>
    <row r="376" spans="3:8" ht="15" x14ac:dyDescent="0.25">
      <c r="C376"/>
      <c r="D376"/>
      <c r="E376"/>
      <c r="F376" s="35"/>
      <c r="G376"/>
      <c r="H376"/>
    </row>
    <row r="377" spans="3:8" ht="15" x14ac:dyDescent="0.25">
      <c r="C377"/>
      <c r="D377"/>
      <c r="E377"/>
      <c r="F377" s="35"/>
      <c r="G377"/>
      <c r="H377"/>
    </row>
    <row r="378" spans="3:8" ht="15" x14ac:dyDescent="0.25">
      <c r="C378"/>
      <c r="D378"/>
      <c r="E378"/>
      <c r="F378" s="35"/>
      <c r="G378"/>
      <c r="H378"/>
    </row>
    <row r="379" spans="3:8" ht="15" x14ac:dyDescent="0.25">
      <c r="C379"/>
      <c r="D379"/>
      <c r="E379"/>
      <c r="F379" s="35"/>
      <c r="G379"/>
      <c r="H379"/>
    </row>
    <row r="380" spans="3:8" ht="15" x14ac:dyDescent="0.25">
      <c r="C380"/>
      <c r="D380"/>
      <c r="E380"/>
      <c r="F380" s="35"/>
      <c r="G380"/>
      <c r="H380"/>
    </row>
    <row r="381" spans="3:8" ht="15" x14ac:dyDescent="0.25">
      <c r="C381"/>
      <c r="D381"/>
      <c r="E381"/>
      <c r="F381" s="35"/>
      <c r="G381"/>
      <c r="H381"/>
    </row>
    <row r="382" spans="3:8" ht="15" x14ac:dyDescent="0.25">
      <c r="C382"/>
      <c r="D382"/>
      <c r="E382"/>
      <c r="F382" s="35"/>
      <c r="G382"/>
      <c r="H382"/>
    </row>
    <row r="383" spans="3:8" ht="15" x14ac:dyDescent="0.25">
      <c r="C383"/>
      <c r="D383"/>
      <c r="E383"/>
      <c r="F383" s="35"/>
      <c r="G383"/>
      <c r="H383"/>
    </row>
    <row r="384" spans="3:8" ht="15" x14ac:dyDescent="0.25">
      <c r="C384"/>
      <c r="D384"/>
      <c r="E384"/>
      <c r="F384" s="35"/>
      <c r="G384"/>
      <c r="H384"/>
    </row>
    <row r="385" spans="3:8" ht="15" x14ac:dyDescent="0.25">
      <c r="C385"/>
      <c r="D385"/>
      <c r="E385"/>
      <c r="F385" s="35"/>
      <c r="G385"/>
      <c r="H385"/>
    </row>
    <row r="386" spans="3:8" ht="15" x14ac:dyDescent="0.25">
      <c r="C386"/>
      <c r="D386"/>
      <c r="E386"/>
      <c r="F386" s="35"/>
      <c r="G386"/>
      <c r="H386"/>
    </row>
    <row r="387" spans="3:8" ht="15" x14ac:dyDescent="0.25">
      <c r="C387"/>
      <c r="D387"/>
      <c r="E387"/>
      <c r="F387" s="35"/>
      <c r="G387"/>
      <c r="H387"/>
    </row>
    <row r="388" spans="3:8" ht="15" x14ac:dyDescent="0.25">
      <c r="C388"/>
      <c r="D388"/>
      <c r="E388"/>
      <c r="F388" s="35"/>
      <c r="G388"/>
      <c r="H388"/>
    </row>
    <row r="389" spans="3:8" ht="15" x14ac:dyDescent="0.25">
      <c r="C389"/>
      <c r="D389"/>
      <c r="E389"/>
      <c r="F389" s="35"/>
      <c r="G389"/>
      <c r="H389"/>
    </row>
    <row r="390" spans="3:8" ht="15" x14ac:dyDescent="0.25">
      <c r="C390"/>
      <c r="D390"/>
      <c r="E390"/>
      <c r="F390" s="35"/>
      <c r="G390"/>
      <c r="H390"/>
    </row>
    <row r="391" spans="3:8" ht="15" x14ac:dyDescent="0.25">
      <c r="C391"/>
      <c r="D391"/>
      <c r="E391"/>
      <c r="F391" s="35"/>
      <c r="G391"/>
      <c r="H391"/>
    </row>
    <row r="392" spans="3:8" ht="15" x14ac:dyDescent="0.25">
      <c r="C392"/>
      <c r="D392"/>
      <c r="E392"/>
      <c r="F392" s="35"/>
      <c r="G392"/>
      <c r="H392"/>
    </row>
    <row r="393" spans="3:8" ht="15" x14ac:dyDescent="0.25">
      <c r="C393"/>
      <c r="D393"/>
      <c r="E393"/>
      <c r="F393" s="35"/>
      <c r="G393"/>
      <c r="H393"/>
    </row>
    <row r="394" spans="3:8" ht="15" x14ac:dyDescent="0.25">
      <c r="C394"/>
      <c r="D394"/>
      <c r="E394"/>
      <c r="F394" s="35"/>
      <c r="G394"/>
      <c r="H394"/>
    </row>
    <row r="395" spans="3:8" ht="15" x14ac:dyDescent="0.25">
      <c r="C395"/>
      <c r="D395"/>
      <c r="E395"/>
      <c r="F395" s="35"/>
      <c r="G395"/>
      <c r="H395"/>
    </row>
    <row r="396" spans="3:8" ht="15" x14ac:dyDescent="0.25">
      <c r="C396"/>
      <c r="D396"/>
      <c r="E396"/>
      <c r="F396" s="35"/>
      <c r="G396"/>
      <c r="H396"/>
    </row>
    <row r="397" spans="3:8" ht="15" x14ac:dyDescent="0.25">
      <c r="C397"/>
      <c r="D397"/>
      <c r="E397"/>
      <c r="F397" s="35"/>
      <c r="G397"/>
      <c r="H397"/>
    </row>
    <row r="398" spans="3:8" ht="15" x14ac:dyDescent="0.25">
      <c r="C398"/>
      <c r="D398"/>
      <c r="E398"/>
      <c r="F398" s="35"/>
      <c r="G398"/>
      <c r="H398"/>
    </row>
    <row r="399" spans="3:8" ht="15" x14ac:dyDescent="0.25">
      <c r="C399"/>
      <c r="D399"/>
      <c r="E399"/>
      <c r="F399" s="35"/>
      <c r="G399"/>
      <c r="H399"/>
    </row>
    <row r="400" spans="3:8" ht="15" x14ac:dyDescent="0.25">
      <c r="C400"/>
      <c r="D400"/>
      <c r="E400"/>
      <c r="F400" s="35"/>
      <c r="G400"/>
      <c r="H400"/>
    </row>
    <row r="401" spans="3:8" ht="15" x14ac:dyDescent="0.25">
      <c r="C401"/>
      <c r="D401"/>
      <c r="E401"/>
      <c r="F401" s="35"/>
      <c r="G401"/>
      <c r="H401"/>
    </row>
    <row r="402" spans="3:8" ht="15" x14ac:dyDescent="0.25">
      <c r="C402"/>
      <c r="D402"/>
      <c r="E402"/>
      <c r="F402" s="35"/>
      <c r="G402"/>
      <c r="H402"/>
    </row>
    <row r="403" spans="3:8" ht="15" x14ac:dyDescent="0.25">
      <c r="C403"/>
      <c r="D403"/>
      <c r="E403"/>
      <c r="F403" s="35"/>
      <c r="G403"/>
      <c r="H403"/>
    </row>
    <row r="404" spans="3:8" ht="15" x14ac:dyDescent="0.25">
      <c r="C404"/>
      <c r="D404"/>
      <c r="E404"/>
      <c r="F404" s="35"/>
      <c r="G404"/>
      <c r="H404"/>
    </row>
    <row r="405" spans="3:8" ht="15" x14ac:dyDescent="0.25">
      <c r="C405"/>
      <c r="D405"/>
      <c r="E405"/>
      <c r="F405" s="35"/>
      <c r="G405"/>
      <c r="H405"/>
    </row>
    <row r="406" spans="3:8" ht="15" x14ac:dyDescent="0.25">
      <c r="C406"/>
      <c r="D406"/>
      <c r="E406"/>
      <c r="F406" s="35"/>
      <c r="G406"/>
      <c r="H406"/>
    </row>
    <row r="407" spans="3:8" ht="15" x14ac:dyDescent="0.25">
      <c r="C407"/>
      <c r="D407"/>
      <c r="E407"/>
      <c r="F407" s="35"/>
      <c r="G407"/>
      <c r="H407"/>
    </row>
    <row r="408" spans="3:8" ht="15" x14ac:dyDescent="0.25">
      <c r="C408"/>
      <c r="D408"/>
      <c r="E408"/>
      <c r="F408" s="35"/>
      <c r="G408"/>
      <c r="H408"/>
    </row>
    <row r="409" spans="3:8" ht="15" x14ac:dyDescent="0.25">
      <c r="C409"/>
      <c r="D409"/>
      <c r="E409"/>
      <c r="F409" s="35"/>
      <c r="G409"/>
      <c r="H409"/>
    </row>
    <row r="410" spans="3:8" ht="15" x14ac:dyDescent="0.25">
      <c r="C410"/>
      <c r="D410"/>
      <c r="E410"/>
      <c r="F410" s="35"/>
      <c r="G410"/>
      <c r="H410"/>
    </row>
    <row r="411" spans="3:8" ht="15" x14ac:dyDescent="0.25">
      <c r="C411"/>
      <c r="D411"/>
      <c r="E411"/>
      <c r="F411" s="35"/>
      <c r="G411"/>
      <c r="H411"/>
    </row>
    <row r="412" spans="3:8" ht="15" x14ac:dyDescent="0.25">
      <c r="C412"/>
      <c r="D412"/>
      <c r="E412"/>
      <c r="F412" s="35"/>
      <c r="G412"/>
      <c r="H412"/>
    </row>
    <row r="413" spans="3:8" ht="15" x14ac:dyDescent="0.25">
      <c r="C413"/>
      <c r="D413"/>
      <c r="E413"/>
      <c r="F413" s="35"/>
      <c r="G413"/>
      <c r="H413"/>
    </row>
    <row r="414" spans="3:8" ht="15" x14ac:dyDescent="0.25">
      <c r="C414"/>
      <c r="D414"/>
      <c r="E414"/>
      <c r="F414" s="35"/>
      <c r="G414"/>
      <c r="H414"/>
    </row>
    <row r="415" spans="3:8" ht="15" x14ac:dyDescent="0.25">
      <c r="C415"/>
      <c r="D415"/>
      <c r="E415"/>
      <c r="F415" s="35"/>
      <c r="G415"/>
      <c r="H415"/>
    </row>
    <row r="416" spans="3:8" ht="15" x14ac:dyDescent="0.25">
      <c r="C416"/>
      <c r="D416"/>
      <c r="E416"/>
      <c r="F416" s="35"/>
      <c r="G416"/>
      <c r="H416"/>
    </row>
    <row r="417" spans="3:8" ht="15" x14ac:dyDescent="0.25">
      <c r="C417"/>
      <c r="D417"/>
      <c r="E417"/>
      <c r="F417" s="35"/>
      <c r="G417"/>
      <c r="H417"/>
    </row>
    <row r="418" spans="3:8" ht="15" x14ac:dyDescent="0.25">
      <c r="C418"/>
      <c r="D418"/>
      <c r="E418"/>
      <c r="F418" s="35"/>
      <c r="G418"/>
      <c r="H418"/>
    </row>
    <row r="419" spans="3:8" ht="15" x14ac:dyDescent="0.25">
      <c r="C419"/>
      <c r="D419"/>
      <c r="E419"/>
      <c r="F419" s="35"/>
      <c r="G419"/>
      <c r="H419"/>
    </row>
    <row r="420" spans="3:8" ht="15" x14ac:dyDescent="0.25">
      <c r="C420"/>
      <c r="D420"/>
      <c r="E420"/>
      <c r="F420" s="35"/>
      <c r="G420"/>
      <c r="H420"/>
    </row>
    <row r="421" spans="3:8" ht="15" x14ac:dyDescent="0.25">
      <c r="C421"/>
      <c r="D421"/>
      <c r="E421"/>
      <c r="F421" s="35"/>
      <c r="G421"/>
      <c r="H421"/>
    </row>
    <row r="422" spans="3:8" ht="15" x14ac:dyDescent="0.25">
      <c r="C422"/>
      <c r="D422"/>
      <c r="E422"/>
      <c r="F422" s="35"/>
      <c r="G422"/>
      <c r="H422"/>
    </row>
    <row r="423" spans="3:8" ht="15" x14ac:dyDescent="0.25">
      <c r="C423"/>
      <c r="D423"/>
      <c r="E423"/>
      <c r="F423" s="35"/>
      <c r="G423"/>
      <c r="H423"/>
    </row>
    <row r="424" spans="3:8" ht="15" x14ac:dyDescent="0.25">
      <c r="C424"/>
      <c r="D424"/>
      <c r="E424"/>
      <c r="F424" s="35"/>
      <c r="G424"/>
      <c r="H424"/>
    </row>
    <row r="425" spans="3:8" ht="15" x14ac:dyDescent="0.25">
      <c r="C425"/>
      <c r="D425"/>
      <c r="E425"/>
      <c r="F425" s="35"/>
      <c r="G425"/>
      <c r="H425"/>
    </row>
    <row r="426" spans="3:8" ht="15" x14ac:dyDescent="0.25">
      <c r="C426"/>
      <c r="D426"/>
      <c r="E426"/>
      <c r="F426" s="35"/>
      <c r="G426"/>
      <c r="H426"/>
    </row>
    <row r="427" spans="3:8" ht="15" x14ac:dyDescent="0.25">
      <c r="C427"/>
      <c r="D427"/>
      <c r="E427"/>
      <c r="F427" s="35"/>
      <c r="G427"/>
      <c r="H427"/>
    </row>
    <row r="428" spans="3:8" ht="15" x14ac:dyDescent="0.25">
      <c r="C428"/>
      <c r="D428"/>
      <c r="E428"/>
      <c r="F428" s="35"/>
      <c r="G428"/>
      <c r="H428"/>
    </row>
    <row r="429" spans="3:8" ht="15" x14ac:dyDescent="0.25">
      <c r="C429"/>
      <c r="D429"/>
      <c r="E429"/>
      <c r="F429" s="35"/>
      <c r="G429"/>
      <c r="H429"/>
    </row>
    <row r="430" spans="3:8" ht="15" x14ac:dyDescent="0.25">
      <c r="C430"/>
      <c r="D430"/>
      <c r="E430"/>
      <c r="F430" s="35"/>
      <c r="G430"/>
      <c r="H430"/>
    </row>
    <row r="431" spans="3:8" ht="15" x14ac:dyDescent="0.25">
      <c r="C431"/>
      <c r="D431"/>
      <c r="E431"/>
      <c r="F431" s="35"/>
      <c r="G431"/>
      <c r="H431"/>
    </row>
    <row r="432" spans="3:8" ht="15" x14ac:dyDescent="0.25">
      <c r="C432"/>
      <c r="D432"/>
      <c r="E432"/>
      <c r="F432" s="35"/>
      <c r="G432"/>
      <c r="H432"/>
    </row>
    <row r="433" spans="3:8" ht="15" x14ac:dyDescent="0.25">
      <c r="C433"/>
      <c r="D433"/>
      <c r="E433"/>
      <c r="F433" s="35"/>
      <c r="G433"/>
      <c r="H433"/>
    </row>
    <row r="434" spans="3:8" ht="15" x14ac:dyDescent="0.25">
      <c r="C434"/>
      <c r="D434"/>
      <c r="E434"/>
      <c r="F434" s="35"/>
      <c r="G434"/>
      <c r="H434"/>
    </row>
    <row r="435" spans="3:8" ht="15" x14ac:dyDescent="0.25">
      <c r="C435"/>
      <c r="D435"/>
      <c r="E435"/>
      <c r="F435" s="35"/>
      <c r="G435"/>
      <c r="H435"/>
    </row>
    <row r="436" spans="3:8" ht="15" x14ac:dyDescent="0.25">
      <c r="C436"/>
      <c r="D436"/>
      <c r="E436"/>
      <c r="F436" s="35"/>
      <c r="G436"/>
      <c r="H436"/>
    </row>
    <row r="437" spans="3:8" ht="15" x14ac:dyDescent="0.25">
      <c r="C437"/>
      <c r="D437"/>
      <c r="E437"/>
      <c r="F437" s="35"/>
      <c r="G437"/>
      <c r="H437"/>
    </row>
    <row r="438" spans="3:8" ht="15" x14ac:dyDescent="0.25">
      <c r="C438"/>
      <c r="D438"/>
      <c r="E438"/>
      <c r="F438" s="35"/>
      <c r="G438"/>
      <c r="H438"/>
    </row>
    <row r="439" spans="3:8" ht="15" x14ac:dyDescent="0.25">
      <c r="C439"/>
      <c r="D439"/>
      <c r="E439"/>
      <c r="F439" s="35"/>
      <c r="G439"/>
      <c r="H439"/>
    </row>
    <row r="440" spans="3:8" ht="15" x14ac:dyDescent="0.25">
      <c r="C440"/>
      <c r="D440"/>
      <c r="E440"/>
      <c r="F440" s="35"/>
      <c r="G440"/>
      <c r="H440"/>
    </row>
    <row r="441" spans="3:8" ht="15" x14ac:dyDescent="0.25">
      <c r="C441"/>
      <c r="D441"/>
      <c r="E441"/>
      <c r="F441" s="35"/>
      <c r="G441"/>
      <c r="H441"/>
    </row>
    <row r="442" spans="3:8" ht="15" x14ac:dyDescent="0.25">
      <c r="C442"/>
      <c r="D442"/>
      <c r="E442"/>
      <c r="F442" s="35"/>
      <c r="G442"/>
      <c r="H442"/>
    </row>
    <row r="443" spans="3:8" ht="15" x14ac:dyDescent="0.25">
      <c r="C443"/>
      <c r="D443"/>
      <c r="E443"/>
      <c r="F443" s="35"/>
      <c r="G443"/>
      <c r="H443"/>
    </row>
    <row r="444" spans="3:8" ht="15" x14ac:dyDescent="0.25">
      <c r="C444"/>
      <c r="D444"/>
      <c r="E444"/>
      <c r="F444" s="35"/>
      <c r="G444"/>
      <c r="H444"/>
    </row>
    <row r="445" spans="3:8" ht="15" x14ac:dyDescent="0.25">
      <c r="C445"/>
      <c r="D445"/>
      <c r="E445"/>
      <c r="F445" s="35"/>
      <c r="G445"/>
      <c r="H445"/>
    </row>
    <row r="446" spans="3:8" ht="15" x14ac:dyDescent="0.25">
      <c r="C446"/>
      <c r="D446"/>
      <c r="E446"/>
      <c r="F446" s="35"/>
      <c r="G446"/>
      <c r="H446"/>
    </row>
    <row r="447" spans="3:8" ht="15" x14ac:dyDescent="0.25">
      <c r="C447"/>
      <c r="D447"/>
      <c r="E447"/>
      <c r="F447" s="35"/>
      <c r="G447"/>
      <c r="H447"/>
    </row>
    <row r="448" spans="3:8" ht="15" x14ac:dyDescent="0.25">
      <c r="C448"/>
      <c r="D448"/>
      <c r="E448"/>
      <c r="F448" s="35"/>
      <c r="G448"/>
      <c r="H448"/>
    </row>
    <row r="449" spans="3:8" ht="15" x14ac:dyDescent="0.25">
      <c r="C449"/>
      <c r="D449"/>
      <c r="E449"/>
      <c r="F449" s="35"/>
      <c r="G449"/>
      <c r="H449"/>
    </row>
    <row r="450" spans="3:8" ht="15" x14ac:dyDescent="0.25">
      <c r="C450"/>
      <c r="D450"/>
      <c r="E450"/>
      <c r="F450" s="35"/>
      <c r="G450"/>
      <c r="H450"/>
    </row>
    <row r="451" spans="3:8" ht="15" x14ac:dyDescent="0.25">
      <c r="C451"/>
      <c r="D451"/>
      <c r="E451"/>
      <c r="F451" s="35"/>
      <c r="G451"/>
      <c r="H451"/>
    </row>
    <row r="452" spans="3:8" ht="15" x14ac:dyDescent="0.25">
      <c r="C452"/>
      <c r="D452"/>
      <c r="E452"/>
      <c r="F452" s="35"/>
      <c r="G452"/>
      <c r="H452"/>
    </row>
    <row r="453" spans="3:8" ht="15" x14ac:dyDescent="0.25">
      <c r="C453"/>
      <c r="D453"/>
      <c r="E453"/>
      <c r="F453" s="35"/>
      <c r="G453"/>
      <c r="H453"/>
    </row>
    <row r="454" spans="3:8" ht="15" x14ac:dyDescent="0.25">
      <c r="C454"/>
      <c r="D454"/>
      <c r="E454"/>
      <c r="F454" s="35"/>
      <c r="G454"/>
      <c r="H454"/>
    </row>
    <row r="455" spans="3:8" ht="15" x14ac:dyDescent="0.25">
      <c r="C455"/>
      <c r="D455"/>
      <c r="E455"/>
      <c r="F455" s="35"/>
      <c r="G455"/>
      <c r="H455"/>
    </row>
    <row r="456" spans="3:8" ht="15" x14ac:dyDescent="0.25">
      <c r="C456"/>
      <c r="D456"/>
      <c r="E456"/>
      <c r="F456" s="35"/>
      <c r="G456"/>
      <c r="H456"/>
    </row>
    <row r="457" spans="3:8" ht="15" x14ac:dyDescent="0.25">
      <c r="C457"/>
      <c r="D457"/>
      <c r="E457"/>
      <c r="F457" s="35"/>
      <c r="G457"/>
      <c r="H457"/>
    </row>
    <row r="458" spans="3:8" ht="15" x14ac:dyDescent="0.25">
      <c r="C458"/>
      <c r="D458"/>
      <c r="E458"/>
      <c r="F458" s="35"/>
      <c r="G458"/>
      <c r="H458"/>
    </row>
    <row r="459" spans="3:8" ht="15" x14ac:dyDescent="0.25">
      <c r="C459"/>
      <c r="D459"/>
      <c r="E459"/>
      <c r="F459" s="35"/>
      <c r="G459"/>
      <c r="H459"/>
    </row>
    <row r="460" spans="3:8" ht="15" x14ac:dyDescent="0.25">
      <c r="C460"/>
      <c r="D460"/>
      <c r="E460"/>
      <c r="F460" s="35"/>
      <c r="G460"/>
      <c r="H460"/>
    </row>
    <row r="461" spans="3:8" ht="15" x14ac:dyDescent="0.25">
      <c r="C461"/>
      <c r="D461"/>
      <c r="E461"/>
      <c r="F461" s="35"/>
      <c r="G461"/>
      <c r="H461"/>
    </row>
    <row r="462" spans="3:8" ht="15" x14ac:dyDescent="0.25">
      <c r="C462"/>
      <c r="D462"/>
      <c r="E462"/>
      <c r="F462" s="35"/>
      <c r="G462"/>
      <c r="H462"/>
    </row>
    <row r="463" spans="3:8" ht="15" x14ac:dyDescent="0.25">
      <c r="C463"/>
      <c r="D463"/>
      <c r="E463"/>
      <c r="F463" s="35"/>
      <c r="G463"/>
      <c r="H463"/>
    </row>
    <row r="464" spans="3:8" ht="15" x14ac:dyDescent="0.25">
      <c r="C464"/>
      <c r="D464"/>
      <c r="E464"/>
      <c r="F464" s="35"/>
      <c r="G464"/>
      <c r="H464"/>
    </row>
    <row r="465" spans="3:8" ht="15" x14ac:dyDescent="0.25">
      <c r="C465"/>
      <c r="D465"/>
      <c r="E465"/>
      <c r="F465" s="35"/>
      <c r="G465"/>
      <c r="H465"/>
    </row>
    <row r="466" spans="3:8" ht="15" x14ac:dyDescent="0.25">
      <c r="C466"/>
      <c r="D466"/>
      <c r="E466"/>
      <c r="F466" s="35"/>
      <c r="G466"/>
      <c r="H466"/>
    </row>
    <row r="467" spans="3:8" ht="15" x14ac:dyDescent="0.25">
      <c r="C467"/>
      <c r="D467"/>
      <c r="E467"/>
      <c r="F467" s="35"/>
      <c r="G467"/>
      <c r="H467"/>
    </row>
    <row r="468" spans="3:8" ht="15" x14ac:dyDescent="0.25">
      <c r="C468"/>
      <c r="D468"/>
      <c r="E468"/>
      <c r="F468" s="35"/>
      <c r="G468"/>
      <c r="H468"/>
    </row>
    <row r="469" spans="3:8" ht="15" x14ac:dyDescent="0.25">
      <c r="C469"/>
      <c r="D469"/>
      <c r="E469"/>
      <c r="F469" s="35"/>
      <c r="G469"/>
      <c r="H469"/>
    </row>
    <row r="470" spans="3:8" ht="15" x14ac:dyDescent="0.25">
      <c r="C470"/>
      <c r="D470"/>
      <c r="E470"/>
      <c r="F470" s="35"/>
      <c r="G470"/>
      <c r="H470"/>
    </row>
    <row r="471" spans="3:8" ht="15" x14ac:dyDescent="0.25">
      <c r="C471"/>
      <c r="D471"/>
      <c r="E471"/>
      <c r="F471" s="35"/>
      <c r="G471"/>
      <c r="H471"/>
    </row>
    <row r="472" spans="3:8" ht="15" x14ac:dyDescent="0.25">
      <c r="C472"/>
      <c r="D472"/>
      <c r="E472"/>
      <c r="F472" s="35"/>
      <c r="G472"/>
      <c r="H472"/>
    </row>
    <row r="473" spans="3:8" ht="15" x14ac:dyDescent="0.25">
      <c r="C473"/>
      <c r="D473"/>
      <c r="E473"/>
      <c r="F473" s="35"/>
      <c r="G473"/>
      <c r="H473"/>
    </row>
    <row r="474" spans="3:8" ht="15" x14ac:dyDescent="0.25">
      <c r="C474"/>
      <c r="D474"/>
      <c r="E474"/>
      <c r="F474" s="35"/>
      <c r="G474"/>
      <c r="H474"/>
    </row>
    <row r="475" spans="3:8" ht="15" x14ac:dyDescent="0.25">
      <c r="C475"/>
      <c r="D475"/>
      <c r="E475"/>
      <c r="F475" s="35"/>
      <c r="G475"/>
      <c r="H475"/>
    </row>
    <row r="476" spans="3:8" ht="15" x14ac:dyDescent="0.25">
      <c r="C476"/>
      <c r="D476"/>
      <c r="E476"/>
      <c r="F476" s="35"/>
      <c r="G476"/>
      <c r="H476"/>
    </row>
    <row r="477" spans="3:8" ht="15" x14ac:dyDescent="0.25">
      <c r="C477"/>
      <c r="D477"/>
      <c r="E477"/>
      <c r="F477" s="35"/>
      <c r="G477"/>
      <c r="H477"/>
    </row>
    <row r="478" spans="3:8" ht="15" x14ac:dyDescent="0.25">
      <c r="C478"/>
      <c r="D478"/>
      <c r="E478"/>
      <c r="F478" s="35"/>
      <c r="G478"/>
      <c r="H478"/>
    </row>
    <row r="479" spans="3:8" ht="15" x14ac:dyDescent="0.25">
      <c r="C479"/>
      <c r="D479"/>
      <c r="E479"/>
      <c r="F479" s="35"/>
      <c r="G479"/>
      <c r="H479"/>
    </row>
    <row r="480" spans="3:8" ht="15" x14ac:dyDescent="0.25">
      <c r="C480"/>
      <c r="D480"/>
      <c r="E480"/>
      <c r="F480" s="35"/>
      <c r="G480"/>
      <c r="H480"/>
    </row>
    <row r="481" spans="3:8" ht="15" x14ac:dyDescent="0.25">
      <c r="C481"/>
      <c r="D481"/>
      <c r="E481"/>
      <c r="F481" s="35"/>
      <c r="G481"/>
      <c r="H481"/>
    </row>
    <row r="482" spans="3:8" ht="15" x14ac:dyDescent="0.25">
      <c r="C482"/>
      <c r="D482"/>
      <c r="E482"/>
      <c r="F482" s="35"/>
      <c r="G482"/>
      <c r="H482"/>
    </row>
    <row r="483" spans="3:8" ht="15" x14ac:dyDescent="0.25">
      <c r="C483"/>
      <c r="D483"/>
      <c r="E483"/>
      <c r="F483" s="35"/>
      <c r="G483"/>
      <c r="H483"/>
    </row>
    <row r="484" spans="3:8" ht="15" x14ac:dyDescent="0.25">
      <c r="C484"/>
      <c r="D484"/>
      <c r="E484"/>
      <c r="F484" s="35"/>
      <c r="G484"/>
      <c r="H484"/>
    </row>
    <row r="485" spans="3:8" ht="15" x14ac:dyDescent="0.25">
      <c r="C485"/>
      <c r="D485"/>
      <c r="E485"/>
      <c r="F485" s="35"/>
      <c r="G485"/>
      <c r="H485"/>
    </row>
    <row r="486" spans="3:8" ht="15" x14ac:dyDescent="0.25">
      <c r="C486"/>
      <c r="D486"/>
      <c r="E486"/>
      <c r="F486" s="35"/>
      <c r="G486"/>
      <c r="H486"/>
    </row>
    <row r="487" spans="3:8" ht="15" x14ac:dyDescent="0.25">
      <c r="C487"/>
      <c r="D487"/>
      <c r="E487"/>
      <c r="F487" s="35"/>
      <c r="G487"/>
      <c r="H487"/>
    </row>
    <row r="488" spans="3:8" ht="15" x14ac:dyDescent="0.25">
      <c r="C488"/>
      <c r="D488"/>
      <c r="E488"/>
      <c r="F488" s="35"/>
      <c r="G488"/>
      <c r="H488"/>
    </row>
    <row r="489" spans="3:8" ht="15" x14ac:dyDescent="0.25">
      <c r="C489"/>
      <c r="D489"/>
      <c r="E489"/>
      <c r="F489" s="35"/>
      <c r="G489"/>
      <c r="H489"/>
    </row>
    <row r="490" spans="3:8" ht="15" x14ac:dyDescent="0.25">
      <c r="C490"/>
      <c r="D490"/>
      <c r="E490"/>
      <c r="F490" s="35"/>
      <c r="G490"/>
      <c r="H490"/>
    </row>
    <row r="491" spans="3:8" ht="15" x14ac:dyDescent="0.25">
      <c r="C491"/>
      <c r="D491"/>
      <c r="E491"/>
      <c r="F491" s="35"/>
      <c r="G491"/>
      <c r="H491"/>
    </row>
    <row r="492" spans="3:8" ht="15" x14ac:dyDescent="0.25">
      <c r="C492"/>
      <c r="D492"/>
      <c r="E492"/>
      <c r="F492" s="35"/>
      <c r="G492"/>
      <c r="H492"/>
    </row>
    <row r="493" spans="3:8" ht="15" x14ac:dyDescent="0.25">
      <c r="C493"/>
      <c r="D493"/>
      <c r="E493"/>
      <c r="F493" s="35"/>
      <c r="G493"/>
      <c r="H493"/>
    </row>
    <row r="494" spans="3:8" ht="15" x14ac:dyDescent="0.25">
      <c r="C494"/>
      <c r="D494"/>
      <c r="E494"/>
      <c r="F494" s="35"/>
      <c r="G494"/>
      <c r="H494"/>
    </row>
    <row r="495" spans="3:8" ht="15" x14ac:dyDescent="0.25">
      <c r="C495"/>
      <c r="D495"/>
      <c r="E495"/>
      <c r="F495" s="35"/>
      <c r="G495"/>
      <c r="H495"/>
    </row>
    <row r="496" spans="3:8" ht="15" x14ac:dyDescent="0.25">
      <c r="C496"/>
      <c r="D496"/>
      <c r="E496"/>
      <c r="F496" s="35"/>
      <c r="G496"/>
      <c r="H496"/>
    </row>
    <row r="497" spans="3:8" ht="15" x14ac:dyDescent="0.25">
      <c r="C497"/>
      <c r="D497"/>
      <c r="E497"/>
      <c r="F497" s="35"/>
      <c r="G497"/>
      <c r="H497"/>
    </row>
    <row r="498" spans="3:8" ht="15" x14ac:dyDescent="0.25">
      <c r="C498"/>
      <c r="D498"/>
      <c r="E498"/>
      <c r="F498" s="35"/>
      <c r="G498"/>
      <c r="H498"/>
    </row>
    <row r="499" spans="3:8" ht="15" x14ac:dyDescent="0.25">
      <c r="C499"/>
      <c r="D499"/>
      <c r="E499"/>
      <c r="F499" s="35"/>
      <c r="G499"/>
      <c r="H499"/>
    </row>
    <row r="500" spans="3:8" ht="15" x14ac:dyDescent="0.25">
      <c r="C500"/>
      <c r="D500"/>
      <c r="E500"/>
      <c r="F500" s="35"/>
      <c r="G500"/>
      <c r="H500"/>
    </row>
    <row r="501" spans="3:8" ht="15" x14ac:dyDescent="0.25">
      <c r="C501"/>
      <c r="D501"/>
      <c r="E501"/>
      <c r="F501" s="35"/>
      <c r="G501"/>
      <c r="H501"/>
    </row>
    <row r="502" spans="3:8" ht="15" x14ac:dyDescent="0.25">
      <c r="C502"/>
      <c r="D502"/>
      <c r="E502"/>
      <c r="F502" s="35"/>
      <c r="G502"/>
      <c r="H502"/>
    </row>
    <row r="503" spans="3:8" ht="15" x14ac:dyDescent="0.25">
      <c r="C503"/>
      <c r="D503"/>
      <c r="E503"/>
      <c r="F503" s="35"/>
      <c r="G503"/>
      <c r="H503"/>
    </row>
    <row r="504" spans="3:8" ht="15" x14ac:dyDescent="0.25">
      <c r="C504"/>
      <c r="D504"/>
      <c r="E504"/>
      <c r="F504" s="35"/>
      <c r="G504"/>
      <c r="H504"/>
    </row>
    <row r="505" spans="3:8" ht="15" x14ac:dyDescent="0.25">
      <c r="C505"/>
      <c r="D505"/>
      <c r="E505"/>
      <c r="F505" s="35"/>
      <c r="G505"/>
      <c r="H505"/>
    </row>
    <row r="506" spans="3:8" ht="15" x14ac:dyDescent="0.25">
      <c r="C506"/>
      <c r="D506"/>
      <c r="E506"/>
      <c r="F506" s="35"/>
      <c r="G506"/>
      <c r="H506"/>
    </row>
    <row r="507" spans="3:8" ht="15" x14ac:dyDescent="0.25">
      <c r="C507"/>
      <c r="D507"/>
      <c r="E507"/>
      <c r="F507" s="35"/>
      <c r="G507"/>
      <c r="H507"/>
    </row>
    <row r="508" spans="3:8" ht="15" x14ac:dyDescent="0.25">
      <c r="C508"/>
      <c r="D508"/>
      <c r="E508"/>
      <c r="F508" s="35"/>
      <c r="G508"/>
      <c r="H508"/>
    </row>
    <row r="509" spans="3:8" ht="15" x14ac:dyDescent="0.25">
      <c r="C509"/>
      <c r="D509"/>
      <c r="E509"/>
      <c r="F509" s="35"/>
      <c r="G509"/>
      <c r="H509"/>
    </row>
    <row r="510" spans="3:8" ht="15" x14ac:dyDescent="0.25">
      <c r="C510"/>
      <c r="D510"/>
      <c r="E510"/>
      <c r="F510" s="35"/>
      <c r="G510"/>
      <c r="H510"/>
    </row>
    <row r="511" spans="3:8" ht="15" x14ac:dyDescent="0.25">
      <c r="C511"/>
      <c r="D511"/>
      <c r="E511"/>
      <c r="F511" s="35"/>
      <c r="G511"/>
      <c r="H511"/>
    </row>
    <row r="512" spans="3:8" ht="15" x14ac:dyDescent="0.25">
      <c r="C512"/>
      <c r="D512"/>
      <c r="E512"/>
      <c r="F512" s="35"/>
      <c r="G512"/>
      <c r="H512"/>
    </row>
    <row r="513" spans="3:8" ht="15" x14ac:dyDescent="0.25">
      <c r="C513"/>
      <c r="D513"/>
      <c r="E513"/>
      <c r="F513" s="35"/>
      <c r="G513"/>
      <c r="H513"/>
    </row>
    <row r="514" spans="3:8" ht="15" x14ac:dyDescent="0.25">
      <c r="C514"/>
      <c r="D514"/>
      <c r="E514"/>
      <c r="F514" s="35"/>
      <c r="G514"/>
      <c r="H514"/>
    </row>
    <row r="515" spans="3:8" ht="15" x14ac:dyDescent="0.25">
      <c r="C515"/>
      <c r="D515"/>
      <c r="E515"/>
      <c r="F515" s="35"/>
      <c r="G515"/>
      <c r="H515"/>
    </row>
    <row r="516" spans="3:8" ht="15" x14ac:dyDescent="0.25">
      <c r="C516"/>
      <c r="D516"/>
      <c r="E516"/>
      <c r="F516" s="35"/>
      <c r="G516"/>
      <c r="H516"/>
    </row>
    <row r="517" spans="3:8" ht="15" x14ac:dyDescent="0.25">
      <c r="C517"/>
      <c r="D517"/>
      <c r="E517"/>
      <c r="F517" s="35"/>
      <c r="G517"/>
      <c r="H517"/>
    </row>
    <row r="518" spans="3:8" ht="15" x14ac:dyDescent="0.25">
      <c r="C518"/>
      <c r="D518"/>
      <c r="E518"/>
      <c r="F518" s="35"/>
      <c r="G518"/>
      <c r="H518"/>
    </row>
    <row r="519" spans="3:8" ht="15" x14ac:dyDescent="0.25">
      <c r="C519"/>
      <c r="D519"/>
      <c r="E519"/>
      <c r="F519" s="35"/>
      <c r="G519"/>
      <c r="H519"/>
    </row>
    <row r="520" spans="3:8" ht="15" x14ac:dyDescent="0.25">
      <c r="C520"/>
      <c r="D520"/>
      <c r="E520"/>
      <c r="F520" s="35"/>
      <c r="G520"/>
      <c r="H520"/>
    </row>
    <row r="521" spans="3:8" ht="15" x14ac:dyDescent="0.25">
      <c r="C521"/>
      <c r="D521"/>
      <c r="E521"/>
      <c r="F521" s="35"/>
      <c r="G521"/>
      <c r="H521"/>
    </row>
    <row r="522" spans="3:8" ht="15" x14ac:dyDescent="0.25">
      <c r="C522"/>
      <c r="D522"/>
      <c r="E522"/>
      <c r="F522" s="35"/>
      <c r="G522"/>
      <c r="H522"/>
    </row>
    <row r="523" spans="3:8" ht="15" x14ac:dyDescent="0.25">
      <c r="C523"/>
      <c r="D523"/>
      <c r="E523"/>
      <c r="F523" s="35"/>
      <c r="G523"/>
      <c r="H523"/>
    </row>
    <row r="524" spans="3:8" ht="15" x14ac:dyDescent="0.25">
      <c r="C524"/>
      <c r="D524"/>
      <c r="E524"/>
      <c r="F524" s="35"/>
      <c r="G524"/>
      <c r="H524"/>
    </row>
    <row r="525" spans="3:8" ht="15" x14ac:dyDescent="0.25">
      <c r="C525"/>
      <c r="D525"/>
      <c r="E525"/>
      <c r="F525" s="35"/>
      <c r="G525"/>
      <c r="H525"/>
    </row>
    <row r="526" spans="3:8" ht="15" x14ac:dyDescent="0.25">
      <c r="C526"/>
      <c r="D526"/>
      <c r="E526"/>
      <c r="F526" s="35"/>
      <c r="G526"/>
      <c r="H526"/>
    </row>
    <row r="527" spans="3:8" ht="15" x14ac:dyDescent="0.25">
      <c r="C527"/>
      <c r="D527"/>
      <c r="E527"/>
      <c r="F527" s="35"/>
      <c r="G527"/>
      <c r="H527"/>
    </row>
    <row r="528" spans="3:8" ht="15" x14ac:dyDescent="0.25">
      <c r="C528"/>
      <c r="D528"/>
      <c r="E528"/>
      <c r="F528" s="35"/>
      <c r="G528"/>
      <c r="H528"/>
    </row>
    <row r="529" spans="3:8" ht="15" x14ac:dyDescent="0.25">
      <c r="C529"/>
      <c r="D529"/>
      <c r="E529"/>
      <c r="F529" s="35"/>
      <c r="G529"/>
      <c r="H529"/>
    </row>
    <row r="530" spans="3:8" ht="15" x14ac:dyDescent="0.25">
      <c r="C530"/>
      <c r="D530"/>
      <c r="E530"/>
      <c r="F530" s="35"/>
      <c r="G530"/>
      <c r="H530"/>
    </row>
    <row r="531" spans="3:8" ht="15" x14ac:dyDescent="0.25">
      <c r="C531"/>
      <c r="D531"/>
      <c r="E531"/>
      <c r="F531" s="35"/>
      <c r="G531"/>
      <c r="H531"/>
    </row>
    <row r="532" spans="3:8" ht="15" x14ac:dyDescent="0.25">
      <c r="C532"/>
      <c r="D532"/>
      <c r="E532"/>
      <c r="F532" s="35"/>
      <c r="G532"/>
      <c r="H532"/>
    </row>
    <row r="533" spans="3:8" ht="15" x14ac:dyDescent="0.25">
      <c r="C533"/>
      <c r="D533"/>
      <c r="E533"/>
      <c r="F533" s="35"/>
      <c r="G533"/>
      <c r="H533"/>
    </row>
    <row r="534" spans="3:8" ht="15" x14ac:dyDescent="0.25">
      <c r="C534"/>
      <c r="D534"/>
      <c r="E534"/>
      <c r="F534" s="35"/>
      <c r="G534"/>
      <c r="H534"/>
    </row>
    <row r="535" spans="3:8" ht="15" x14ac:dyDescent="0.25">
      <c r="C535"/>
      <c r="D535"/>
      <c r="E535"/>
      <c r="F535" s="35"/>
      <c r="G535"/>
      <c r="H535"/>
    </row>
    <row r="536" spans="3:8" ht="15" x14ac:dyDescent="0.25">
      <c r="C536"/>
      <c r="D536"/>
      <c r="E536"/>
      <c r="F536" s="35"/>
      <c r="G536"/>
      <c r="H536"/>
    </row>
    <row r="537" spans="3:8" ht="15" x14ac:dyDescent="0.25">
      <c r="C537"/>
      <c r="D537"/>
      <c r="E537"/>
      <c r="F537" s="35"/>
      <c r="G537"/>
      <c r="H537"/>
    </row>
    <row r="538" spans="3:8" ht="15" x14ac:dyDescent="0.25">
      <c r="C538"/>
      <c r="D538"/>
      <c r="E538"/>
      <c r="F538" s="35"/>
      <c r="G538"/>
      <c r="H538"/>
    </row>
    <row r="539" spans="3:8" ht="15" x14ac:dyDescent="0.25">
      <c r="C539"/>
      <c r="D539"/>
      <c r="E539"/>
      <c r="F539" s="35"/>
      <c r="G539"/>
      <c r="H539"/>
    </row>
    <row r="540" spans="3:8" ht="15" x14ac:dyDescent="0.25">
      <c r="C540"/>
      <c r="D540"/>
      <c r="E540"/>
      <c r="F540" s="35"/>
      <c r="G540"/>
      <c r="H540"/>
    </row>
    <row r="541" spans="3:8" ht="15" x14ac:dyDescent="0.25">
      <c r="C541"/>
      <c r="D541"/>
      <c r="E541"/>
      <c r="F541" s="35"/>
      <c r="G541"/>
      <c r="H541"/>
    </row>
    <row r="542" spans="3:8" ht="15" x14ac:dyDescent="0.25">
      <c r="C542"/>
      <c r="D542"/>
      <c r="E542"/>
      <c r="F542" s="35"/>
      <c r="G542"/>
      <c r="H542"/>
    </row>
    <row r="543" spans="3:8" ht="15" x14ac:dyDescent="0.25">
      <c r="C543"/>
      <c r="D543"/>
      <c r="E543"/>
      <c r="F543" s="35"/>
      <c r="G543"/>
      <c r="H543"/>
    </row>
    <row r="544" spans="3:8" ht="15" x14ac:dyDescent="0.25">
      <c r="C544"/>
      <c r="D544"/>
      <c r="E544"/>
      <c r="F544" s="35"/>
      <c r="G544"/>
      <c r="H544"/>
    </row>
    <row r="545" spans="3:8" ht="15" x14ac:dyDescent="0.25">
      <c r="C545"/>
      <c r="D545"/>
      <c r="E545"/>
      <c r="F545" s="35"/>
      <c r="G545"/>
      <c r="H545"/>
    </row>
    <row r="546" spans="3:8" ht="15" x14ac:dyDescent="0.25">
      <c r="C546"/>
      <c r="D546"/>
      <c r="E546"/>
      <c r="F546" s="35"/>
      <c r="G546"/>
      <c r="H546"/>
    </row>
    <row r="547" spans="3:8" ht="15" x14ac:dyDescent="0.25">
      <c r="C547"/>
      <c r="D547"/>
      <c r="E547"/>
      <c r="F547" s="35"/>
      <c r="G547"/>
      <c r="H547"/>
    </row>
    <row r="548" spans="3:8" ht="15" x14ac:dyDescent="0.25">
      <c r="C548"/>
      <c r="D548"/>
      <c r="E548"/>
      <c r="F548" s="35"/>
      <c r="G548"/>
      <c r="H548"/>
    </row>
    <row r="549" spans="3:8" ht="15" x14ac:dyDescent="0.25">
      <c r="C549"/>
      <c r="D549"/>
      <c r="E549"/>
      <c r="F549" s="35"/>
      <c r="G549"/>
      <c r="H549"/>
    </row>
    <row r="550" spans="3:8" ht="15" x14ac:dyDescent="0.25">
      <c r="C550"/>
      <c r="D550"/>
      <c r="E550"/>
      <c r="F550" s="35"/>
      <c r="G550"/>
      <c r="H550"/>
    </row>
    <row r="551" spans="3:8" ht="15" x14ac:dyDescent="0.25">
      <c r="C551"/>
      <c r="D551"/>
      <c r="E551"/>
      <c r="F551" s="35"/>
      <c r="G551"/>
      <c r="H551"/>
    </row>
    <row r="552" spans="3:8" ht="15" x14ac:dyDescent="0.25">
      <c r="C552"/>
      <c r="D552"/>
      <c r="E552"/>
      <c r="F552" s="35"/>
      <c r="G552"/>
      <c r="H552"/>
    </row>
    <row r="553" spans="3:8" ht="15" x14ac:dyDescent="0.25">
      <c r="C553"/>
      <c r="D553"/>
      <c r="E553"/>
      <c r="F553" s="35"/>
      <c r="G553"/>
      <c r="H553"/>
    </row>
    <row r="554" spans="3:8" ht="15" x14ac:dyDescent="0.25">
      <c r="C554"/>
      <c r="D554"/>
      <c r="E554"/>
      <c r="F554" s="35"/>
      <c r="G554"/>
      <c r="H554"/>
    </row>
    <row r="555" spans="3:8" ht="15" x14ac:dyDescent="0.25">
      <c r="C555"/>
      <c r="D555"/>
      <c r="E555"/>
      <c r="F555" s="35"/>
      <c r="G555"/>
      <c r="H555"/>
    </row>
    <row r="556" spans="3:8" ht="15" x14ac:dyDescent="0.25">
      <c r="C556"/>
      <c r="D556"/>
      <c r="E556"/>
      <c r="F556" s="35"/>
      <c r="G556"/>
      <c r="H556"/>
    </row>
    <row r="557" spans="3:8" ht="15" x14ac:dyDescent="0.25">
      <c r="C557"/>
      <c r="D557"/>
      <c r="E557"/>
      <c r="F557" s="35"/>
      <c r="G557"/>
      <c r="H557"/>
    </row>
    <row r="558" spans="3:8" ht="15" x14ac:dyDescent="0.25">
      <c r="C558"/>
      <c r="D558"/>
      <c r="E558"/>
      <c r="F558" s="35"/>
      <c r="G558"/>
      <c r="H558"/>
    </row>
    <row r="559" spans="3:8" ht="15" x14ac:dyDescent="0.25">
      <c r="C559"/>
      <c r="D559"/>
      <c r="E559"/>
      <c r="F559" s="35"/>
      <c r="G559"/>
      <c r="H559"/>
    </row>
    <row r="560" spans="3:8" ht="15" x14ac:dyDescent="0.25">
      <c r="C560"/>
      <c r="D560"/>
      <c r="E560"/>
      <c r="F560" s="35"/>
      <c r="G560"/>
      <c r="H560"/>
    </row>
    <row r="561" spans="3:8" ht="15" x14ac:dyDescent="0.25">
      <c r="C561"/>
      <c r="D561"/>
      <c r="E561"/>
      <c r="F561" s="35"/>
      <c r="G561"/>
      <c r="H561"/>
    </row>
    <row r="562" spans="3:8" ht="15" x14ac:dyDescent="0.25">
      <c r="C562"/>
      <c r="D562"/>
      <c r="E562"/>
      <c r="F562" s="35"/>
      <c r="G562"/>
      <c r="H562"/>
    </row>
    <row r="563" spans="3:8" ht="15" x14ac:dyDescent="0.25">
      <c r="C563"/>
      <c r="D563"/>
      <c r="E563"/>
      <c r="F563" s="35"/>
      <c r="G563"/>
      <c r="H563"/>
    </row>
    <row r="564" spans="3:8" ht="15" x14ac:dyDescent="0.25">
      <c r="C564"/>
      <c r="D564"/>
      <c r="E564"/>
      <c r="F564" s="35"/>
      <c r="G564"/>
      <c r="H564"/>
    </row>
    <row r="565" spans="3:8" ht="15" x14ac:dyDescent="0.25">
      <c r="C565"/>
      <c r="D565"/>
      <c r="E565"/>
      <c r="F565" s="35"/>
      <c r="G565"/>
      <c r="H565"/>
    </row>
    <row r="566" spans="3:8" ht="15" x14ac:dyDescent="0.25">
      <c r="C566"/>
      <c r="D566"/>
      <c r="E566"/>
      <c r="F566" s="35"/>
      <c r="G566"/>
      <c r="H566"/>
    </row>
    <row r="567" spans="3:8" ht="15" x14ac:dyDescent="0.25">
      <c r="C567"/>
      <c r="D567"/>
      <c r="E567"/>
      <c r="F567" s="35"/>
      <c r="G567"/>
      <c r="H567"/>
    </row>
    <row r="568" spans="3:8" ht="15" x14ac:dyDescent="0.25">
      <c r="C568"/>
      <c r="D568"/>
      <c r="E568"/>
      <c r="F568" s="35"/>
      <c r="G568"/>
      <c r="H568"/>
    </row>
    <row r="569" spans="3:8" ht="15" x14ac:dyDescent="0.25">
      <c r="C569"/>
      <c r="D569"/>
      <c r="E569"/>
      <c r="F569" s="35"/>
      <c r="G569"/>
      <c r="H569"/>
    </row>
    <row r="570" spans="3:8" ht="15" x14ac:dyDescent="0.25">
      <c r="C570"/>
      <c r="D570"/>
      <c r="E570"/>
      <c r="F570" s="35"/>
      <c r="G570"/>
      <c r="H570"/>
    </row>
    <row r="571" spans="3:8" ht="15" x14ac:dyDescent="0.25">
      <c r="C571"/>
      <c r="D571"/>
      <c r="E571"/>
      <c r="F571" s="35"/>
      <c r="G571"/>
      <c r="H571"/>
    </row>
    <row r="572" spans="3:8" ht="15" x14ac:dyDescent="0.25">
      <c r="C572"/>
      <c r="D572"/>
      <c r="E572"/>
      <c r="F572" s="35"/>
      <c r="G572"/>
      <c r="H572"/>
    </row>
    <row r="573" spans="3:8" ht="15" x14ac:dyDescent="0.25">
      <c r="C573"/>
      <c r="D573"/>
      <c r="E573"/>
      <c r="F573" s="35"/>
      <c r="G573"/>
      <c r="H573"/>
    </row>
    <row r="574" spans="3:8" ht="15" x14ac:dyDescent="0.25">
      <c r="C574"/>
      <c r="D574"/>
      <c r="E574"/>
      <c r="F574" s="35"/>
      <c r="G574"/>
      <c r="H574"/>
    </row>
    <row r="575" spans="3:8" ht="15" x14ac:dyDescent="0.25">
      <c r="C575"/>
      <c r="D575"/>
      <c r="E575"/>
      <c r="F575" s="35"/>
      <c r="G575"/>
      <c r="H575"/>
    </row>
    <row r="576" spans="3:8" ht="15" x14ac:dyDescent="0.25">
      <c r="C576"/>
      <c r="D576"/>
      <c r="E576"/>
      <c r="F576" s="35"/>
      <c r="G576"/>
      <c r="H576"/>
    </row>
    <row r="577" spans="3:8" ht="15" x14ac:dyDescent="0.25">
      <c r="C577"/>
      <c r="D577"/>
      <c r="E577"/>
      <c r="F577" s="35"/>
      <c r="G577"/>
      <c r="H577"/>
    </row>
    <row r="578" spans="3:8" ht="15" x14ac:dyDescent="0.25">
      <c r="C578"/>
      <c r="D578"/>
      <c r="E578"/>
      <c r="F578" s="35"/>
      <c r="G578"/>
      <c r="H578"/>
    </row>
    <row r="579" spans="3:8" ht="15" x14ac:dyDescent="0.25">
      <c r="C579"/>
      <c r="D579"/>
      <c r="E579"/>
      <c r="F579" s="35"/>
      <c r="G579"/>
      <c r="H579"/>
    </row>
    <row r="580" spans="3:8" ht="15" x14ac:dyDescent="0.25">
      <c r="C580"/>
      <c r="D580"/>
      <c r="E580"/>
      <c r="F580" s="35"/>
      <c r="G580"/>
      <c r="H580"/>
    </row>
    <row r="581" spans="3:8" ht="15" x14ac:dyDescent="0.25">
      <c r="C581"/>
      <c r="D581"/>
      <c r="E581"/>
      <c r="F581" s="35"/>
      <c r="G581"/>
      <c r="H581"/>
    </row>
    <row r="582" spans="3:8" ht="15" x14ac:dyDescent="0.25">
      <c r="C582"/>
      <c r="D582"/>
      <c r="E582"/>
      <c r="F582" s="35"/>
      <c r="G582"/>
      <c r="H582"/>
    </row>
    <row r="583" spans="3:8" ht="15" x14ac:dyDescent="0.25">
      <c r="C583"/>
      <c r="D583"/>
      <c r="E583"/>
      <c r="F583" s="35"/>
      <c r="G583"/>
      <c r="H583"/>
    </row>
    <row r="584" spans="3:8" ht="15" x14ac:dyDescent="0.25">
      <c r="C584"/>
      <c r="D584"/>
      <c r="E584"/>
      <c r="F584" s="35"/>
      <c r="G584"/>
      <c r="H584"/>
    </row>
    <row r="585" spans="3:8" ht="15" x14ac:dyDescent="0.25">
      <c r="C585"/>
      <c r="D585"/>
      <c r="E585"/>
      <c r="F585" s="35"/>
      <c r="G585"/>
      <c r="H585"/>
    </row>
    <row r="586" spans="3:8" ht="15" x14ac:dyDescent="0.25">
      <c r="C586"/>
      <c r="D586"/>
      <c r="E586"/>
      <c r="F586" s="35"/>
      <c r="G586"/>
      <c r="H586"/>
    </row>
    <row r="587" spans="3:8" ht="15" x14ac:dyDescent="0.25">
      <c r="C587"/>
      <c r="D587"/>
      <c r="E587"/>
      <c r="F587" s="35"/>
      <c r="G587"/>
      <c r="H587"/>
    </row>
    <row r="588" spans="3:8" ht="15" x14ac:dyDescent="0.25">
      <c r="C588"/>
      <c r="D588"/>
      <c r="E588"/>
      <c r="F588" s="35"/>
      <c r="G588"/>
      <c r="H588"/>
    </row>
    <row r="589" spans="3:8" ht="15" x14ac:dyDescent="0.25">
      <c r="C589"/>
      <c r="D589"/>
      <c r="E589"/>
      <c r="F589" s="35"/>
      <c r="G589"/>
      <c r="H589"/>
    </row>
    <row r="590" spans="3:8" ht="15" x14ac:dyDescent="0.25">
      <c r="C590"/>
      <c r="D590"/>
      <c r="E590"/>
      <c r="F590" s="35"/>
      <c r="G590"/>
      <c r="H590"/>
    </row>
    <row r="591" spans="3:8" ht="15" x14ac:dyDescent="0.25">
      <c r="C591"/>
      <c r="D591"/>
      <c r="E591"/>
      <c r="F591" s="35"/>
      <c r="G591"/>
      <c r="H591"/>
    </row>
    <row r="592" spans="3:8" ht="15" x14ac:dyDescent="0.25">
      <c r="C592"/>
      <c r="D592"/>
      <c r="E592"/>
      <c r="F592" s="35"/>
      <c r="G592"/>
      <c r="H592"/>
    </row>
    <row r="593" spans="3:8" ht="15" x14ac:dyDescent="0.25">
      <c r="C593"/>
      <c r="D593"/>
      <c r="E593"/>
      <c r="F593" s="35"/>
      <c r="G593"/>
      <c r="H593"/>
    </row>
    <row r="594" spans="3:8" ht="15" x14ac:dyDescent="0.25">
      <c r="C594"/>
      <c r="D594"/>
      <c r="E594"/>
      <c r="F594" s="35"/>
      <c r="G594"/>
      <c r="H594"/>
    </row>
    <row r="595" spans="3:8" ht="15" x14ac:dyDescent="0.25">
      <c r="C595"/>
      <c r="D595"/>
      <c r="E595"/>
      <c r="F595" s="35"/>
      <c r="G595"/>
      <c r="H595"/>
    </row>
    <row r="596" spans="3:8" ht="15" x14ac:dyDescent="0.25">
      <c r="C596"/>
      <c r="D596"/>
      <c r="E596"/>
      <c r="F596" s="35"/>
      <c r="G596"/>
      <c r="H596"/>
    </row>
    <row r="597" spans="3:8" ht="15" x14ac:dyDescent="0.25">
      <c r="C597"/>
      <c r="D597"/>
      <c r="E597"/>
      <c r="F597" s="35"/>
      <c r="G597"/>
      <c r="H597"/>
    </row>
    <row r="598" spans="3:8" ht="15" x14ac:dyDescent="0.25">
      <c r="C598"/>
      <c r="D598"/>
      <c r="E598"/>
      <c r="F598" s="35"/>
      <c r="G598"/>
      <c r="H598"/>
    </row>
    <row r="599" spans="3:8" ht="15" x14ac:dyDescent="0.25">
      <c r="C599"/>
      <c r="D599"/>
      <c r="E599"/>
      <c r="F599" s="35"/>
      <c r="G599"/>
      <c r="H599"/>
    </row>
    <row r="600" spans="3:8" ht="15" x14ac:dyDescent="0.25">
      <c r="C600"/>
      <c r="D600"/>
      <c r="E600"/>
      <c r="F600" s="35"/>
      <c r="G600"/>
      <c r="H600"/>
    </row>
    <row r="601" spans="3:8" ht="15" x14ac:dyDescent="0.25">
      <c r="C601"/>
      <c r="D601"/>
      <c r="E601"/>
      <c r="F601" s="35"/>
      <c r="G601"/>
      <c r="H601"/>
    </row>
    <row r="602" spans="3:8" ht="15" x14ac:dyDescent="0.25">
      <c r="C602"/>
      <c r="D602"/>
      <c r="E602"/>
      <c r="F602" s="35"/>
      <c r="G602"/>
      <c r="H602"/>
    </row>
    <row r="603" spans="3:8" ht="15" x14ac:dyDescent="0.25">
      <c r="C603"/>
      <c r="D603"/>
      <c r="E603"/>
      <c r="F603" s="35"/>
      <c r="G603"/>
      <c r="H603"/>
    </row>
    <row r="604" spans="3:8" ht="15" x14ac:dyDescent="0.25">
      <c r="C604"/>
      <c r="D604"/>
      <c r="E604"/>
      <c r="F604" s="35"/>
      <c r="G604"/>
      <c r="H604"/>
    </row>
    <row r="605" spans="3:8" ht="15" x14ac:dyDescent="0.25">
      <c r="C605"/>
      <c r="D605"/>
      <c r="E605"/>
      <c r="F605" s="35"/>
      <c r="G605"/>
      <c r="H605"/>
    </row>
    <row r="606" spans="3:8" ht="15" x14ac:dyDescent="0.25">
      <c r="C606"/>
      <c r="D606"/>
      <c r="E606"/>
      <c r="F606" s="35"/>
      <c r="G606"/>
      <c r="H606"/>
    </row>
    <row r="607" spans="3:8" ht="15" x14ac:dyDescent="0.25">
      <c r="C607"/>
      <c r="D607"/>
      <c r="E607"/>
      <c r="F607" s="35"/>
      <c r="G607"/>
      <c r="H607"/>
    </row>
    <row r="608" spans="3:8" ht="15" x14ac:dyDescent="0.25">
      <c r="C608"/>
      <c r="D608"/>
      <c r="E608"/>
      <c r="F608" s="35"/>
      <c r="G608"/>
      <c r="H608"/>
    </row>
    <row r="609" spans="3:8" ht="15" x14ac:dyDescent="0.25">
      <c r="C609"/>
      <c r="D609"/>
      <c r="E609"/>
      <c r="F609" s="35"/>
      <c r="G609"/>
      <c r="H609"/>
    </row>
    <row r="610" spans="3:8" ht="15" x14ac:dyDescent="0.25">
      <c r="C610"/>
      <c r="D610"/>
      <c r="E610"/>
      <c r="F610" s="35"/>
      <c r="G610"/>
      <c r="H610"/>
    </row>
    <row r="611" spans="3:8" ht="15" x14ac:dyDescent="0.25">
      <c r="C611"/>
      <c r="D611"/>
      <c r="E611"/>
      <c r="F611" s="35"/>
      <c r="G611"/>
      <c r="H611"/>
    </row>
    <row r="612" spans="3:8" ht="15" x14ac:dyDescent="0.25">
      <c r="C612"/>
      <c r="D612"/>
      <c r="E612"/>
      <c r="F612" s="35"/>
      <c r="G612"/>
      <c r="H612"/>
    </row>
    <row r="613" spans="3:8" ht="15" x14ac:dyDescent="0.25">
      <c r="C613"/>
      <c r="D613"/>
      <c r="E613"/>
      <c r="F613" s="35"/>
      <c r="G613"/>
      <c r="H613"/>
    </row>
    <row r="614" spans="3:8" ht="15" x14ac:dyDescent="0.25">
      <c r="C614"/>
      <c r="D614"/>
      <c r="E614"/>
      <c r="F614" s="35"/>
      <c r="G614"/>
      <c r="H614"/>
    </row>
    <row r="615" spans="3:8" ht="15" x14ac:dyDescent="0.25">
      <c r="C615"/>
      <c r="D615"/>
      <c r="E615"/>
      <c r="F615" s="35"/>
      <c r="G615"/>
      <c r="H615"/>
    </row>
    <row r="616" spans="3:8" ht="15" x14ac:dyDescent="0.25">
      <c r="C616"/>
      <c r="D616"/>
      <c r="E616"/>
      <c r="F616" s="35"/>
      <c r="G616"/>
      <c r="H616"/>
    </row>
    <row r="617" spans="3:8" ht="15" x14ac:dyDescent="0.25">
      <c r="C617"/>
      <c r="D617"/>
      <c r="E617"/>
      <c r="F617" s="35"/>
      <c r="G617"/>
      <c r="H617"/>
    </row>
    <row r="618" spans="3:8" ht="15" x14ac:dyDescent="0.25">
      <c r="C618"/>
      <c r="D618"/>
      <c r="E618"/>
      <c r="F618" s="35"/>
      <c r="G618"/>
      <c r="H618"/>
    </row>
    <row r="619" spans="3:8" ht="15" x14ac:dyDescent="0.25">
      <c r="C619"/>
      <c r="D619"/>
      <c r="E619"/>
      <c r="F619" s="35"/>
      <c r="G619"/>
      <c r="H619"/>
    </row>
    <row r="620" spans="3:8" ht="15" x14ac:dyDescent="0.25">
      <c r="C620"/>
      <c r="D620"/>
      <c r="E620"/>
      <c r="F620" s="35"/>
      <c r="G620"/>
      <c r="H620"/>
    </row>
    <row r="621" spans="3:8" ht="15" x14ac:dyDescent="0.25">
      <c r="C621"/>
      <c r="D621"/>
      <c r="E621"/>
      <c r="F621" s="35"/>
      <c r="G621"/>
      <c r="H621"/>
    </row>
    <row r="622" spans="3:8" ht="15" x14ac:dyDescent="0.25">
      <c r="C622"/>
      <c r="D622"/>
      <c r="E622"/>
      <c r="F622" s="35"/>
      <c r="G622"/>
      <c r="H622"/>
    </row>
    <row r="623" spans="3:8" ht="15" x14ac:dyDescent="0.25">
      <c r="C623"/>
      <c r="D623"/>
      <c r="E623"/>
      <c r="F623" s="35"/>
      <c r="G623"/>
      <c r="H623"/>
    </row>
    <row r="624" spans="3:8" ht="15" x14ac:dyDescent="0.25">
      <c r="C624"/>
      <c r="D624"/>
      <c r="E624"/>
      <c r="F624" s="35"/>
      <c r="G624"/>
      <c r="H624"/>
    </row>
    <row r="625" spans="3:8" ht="15" x14ac:dyDescent="0.25">
      <c r="C625"/>
      <c r="D625"/>
      <c r="E625"/>
      <c r="F625" s="35"/>
      <c r="G625"/>
      <c r="H625"/>
    </row>
    <row r="626" spans="3:8" ht="15" x14ac:dyDescent="0.25">
      <c r="C626"/>
      <c r="D626"/>
      <c r="E626"/>
      <c r="F626" s="35"/>
      <c r="G626"/>
      <c r="H626"/>
    </row>
    <row r="627" spans="3:8" ht="15" x14ac:dyDescent="0.25">
      <c r="C627"/>
      <c r="D627"/>
      <c r="E627"/>
      <c r="F627" s="35"/>
      <c r="G627"/>
      <c r="H627"/>
    </row>
    <row r="628" spans="3:8" ht="15" x14ac:dyDescent="0.25">
      <c r="C628"/>
      <c r="D628"/>
      <c r="E628"/>
      <c r="F628" s="35"/>
      <c r="G628"/>
      <c r="H628"/>
    </row>
    <row r="629" spans="3:8" ht="15" x14ac:dyDescent="0.25">
      <c r="C629"/>
      <c r="D629"/>
      <c r="E629"/>
      <c r="F629" s="35"/>
      <c r="G629"/>
      <c r="H629"/>
    </row>
    <row r="630" spans="3:8" ht="15" x14ac:dyDescent="0.25">
      <c r="C630"/>
      <c r="D630"/>
      <c r="E630"/>
      <c r="F630" s="35"/>
      <c r="G630"/>
      <c r="H630"/>
    </row>
    <row r="631" spans="3:8" ht="15" x14ac:dyDescent="0.25">
      <c r="C631"/>
      <c r="D631"/>
      <c r="E631"/>
      <c r="F631" s="35"/>
      <c r="G631"/>
      <c r="H631"/>
    </row>
    <row r="632" spans="3:8" ht="15" x14ac:dyDescent="0.25">
      <c r="C632"/>
      <c r="D632"/>
      <c r="E632"/>
      <c r="F632" s="35"/>
      <c r="G632"/>
      <c r="H632"/>
    </row>
    <row r="633" spans="3:8" ht="15" x14ac:dyDescent="0.25">
      <c r="C633"/>
      <c r="D633"/>
      <c r="E633"/>
      <c r="F633" s="35"/>
      <c r="G633"/>
      <c r="H633"/>
    </row>
    <row r="634" spans="3:8" ht="15" x14ac:dyDescent="0.25">
      <c r="C634"/>
      <c r="D634"/>
      <c r="E634"/>
      <c r="F634" s="35"/>
      <c r="G634"/>
      <c r="H634"/>
    </row>
    <row r="635" spans="3:8" ht="15" x14ac:dyDescent="0.25">
      <c r="C635"/>
      <c r="D635"/>
      <c r="E635"/>
      <c r="F635" s="35"/>
      <c r="G635"/>
      <c r="H635"/>
    </row>
    <row r="636" spans="3:8" ht="15" x14ac:dyDescent="0.25">
      <c r="C636"/>
      <c r="D636"/>
      <c r="E636"/>
      <c r="F636" s="35"/>
      <c r="G636"/>
      <c r="H636"/>
    </row>
    <row r="637" spans="3:8" ht="15" x14ac:dyDescent="0.25">
      <c r="C637"/>
      <c r="D637"/>
      <c r="E637"/>
      <c r="F637" s="35"/>
      <c r="G637"/>
      <c r="H637"/>
    </row>
    <row r="638" spans="3:8" ht="15" x14ac:dyDescent="0.25">
      <c r="C638"/>
      <c r="D638"/>
      <c r="E638"/>
      <c r="F638" s="35"/>
      <c r="G638"/>
      <c r="H638"/>
    </row>
    <row r="639" spans="3:8" ht="15" x14ac:dyDescent="0.25">
      <c r="C639"/>
      <c r="D639"/>
      <c r="E639"/>
      <c r="F639" s="35"/>
      <c r="G639"/>
      <c r="H639"/>
    </row>
    <row r="640" spans="3:8" ht="15" x14ac:dyDescent="0.25">
      <c r="C640"/>
      <c r="D640"/>
      <c r="E640"/>
      <c r="F640" s="35"/>
      <c r="G640"/>
      <c r="H640"/>
    </row>
    <row r="641" spans="3:8" ht="15" x14ac:dyDescent="0.25">
      <c r="C641"/>
      <c r="D641"/>
      <c r="E641"/>
      <c r="F641" s="35"/>
      <c r="G641"/>
      <c r="H641"/>
    </row>
    <row r="642" spans="3:8" ht="15" x14ac:dyDescent="0.25">
      <c r="C642"/>
      <c r="D642"/>
      <c r="E642"/>
      <c r="F642" s="35"/>
      <c r="G642"/>
      <c r="H642"/>
    </row>
    <row r="643" spans="3:8" ht="15" x14ac:dyDescent="0.25">
      <c r="C643"/>
      <c r="D643"/>
      <c r="E643"/>
      <c r="F643" s="35"/>
      <c r="G643"/>
      <c r="H643"/>
    </row>
    <row r="644" spans="3:8" ht="15" x14ac:dyDescent="0.25">
      <c r="C644"/>
      <c r="D644"/>
      <c r="E644"/>
      <c r="F644" s="35"/>
      <c r="G644"/>
      <c r="H644"/>
    </row>
    <row r="645" spans="3:8" ht="15" x14ac:dyDescent="0.25">
      <c r="C645"/>
      <c r="D645"/>
      <c r="E645"/>
      <c r="F645" s="35"/>
      <c r="G645"/>
      <c r="H645"/>
    </row>
    <row r="646" spans="3:8" ht="15" x14ac:dyDescent="0.25">
      <c r="C646"/>
      <c r="D646"/>
      <c r="E646"/>
      <c r="F646" s="35"/>
      <c r="G646"/>
      <c r="H646"/>
    </row>
    <row r="647" spans="3:8" ht="15" x14ac:dyDescent="0.25">
      <c r="C647"/>
      <c r="D647"/>
      <c r="E647"/>
      <c r="F647" s="35"/>
      <c r="G647"/>
      <c r="H647"/>
    </row>
    <row r="648" spans="3:8" ht="15" x14ac:dyDescent="0.25">
      <c r="C648"/>
      <c r="D648"/>
      <c r="E648"/>
      <c r="F648" s="35"/>
      <c r="G648"/>
      <c r="H648"/>
    </row>
    <row r="649" spans="3:8" ht="15" x14ac:dyDescent="0.25">
      <c r="C649"/>
      <c r="D649"/>
      <c r="E649"/>
      <c r="F649" s="35"/>
      <c r="G649"/>
      <c r="H649"/>
    </row>
    <row r="650" spans="3:8" ht="15" x14ac:dyDescent="0.25">
      <c r="C650"/>
      <c r="D650"/>
      <c r="E650"/>
      <c r="F650" s="35"/>
      <c r="G650"/>
      <c r="H650"/>
    </row>
    <row r="651" spans="3:8" ht="15" x14ac:dyDescent="0.25">
      <c r="C651"/>
      <c r="D651"/>
      <c r="E651"/>
      <c r="F651" s="35"/>
      <c r="G651"/>
      <c r="H651"/>
    </row>
    <row r="652" spans="3:8" ht="15" x14ac:dyDescent="0.25">
      <c r="C652"/>
      <c r="D652"/>
      <c r="E652"/>
      <c r="F652" s="35"/>
      <c r="G652"/>
      <c r="H652"/>
    </row>
    <row r="653" spans="3:8" ht="15" x14ac:dyDescent="0.25">
      <c r="C653"/>
      <c r="D653"/>
      <c r="E653"/>
      <c r="F653" s="35"/>
      <c r="G653"/>
      <c r="H653"/>
    </row>
    <row r="654" spans="3:8" ht="15" x14ac:dyDescent="0.25">
      <c r="C654"/>
      <c r="D654"/>
      <c r="E654"/>
      <c r="F654" s="35"/>
      <c r="G654"/>
      <c r="H654"/>
    </row>
    <row r="655" spans="3:8" ht="15" x14ac:dyDescent="0.25">
      <c r="C655"/>
      <c r="D655"/>
      <c r="E655"/>
      <c r="F655" s="35"/>
      <c r="G655"/>
      <c r="H655"/>
    </row>
    <row r="656" spans="3:8" ht="15" x14ac:dyDescent="0.25">
      <c r="C656"/>
      <c r="D656"/>
      <c r="E656"/>
      <c r="F656" s="35"/>
      <c r="G656"/>
      <c r="H656"/>
    </row>
    <row r="657" spans="3:8" ht="15" x14ac:dyDescent="0.25">
      <c r="C657"/>
      <c r="D657"/>
      <c r="E657"/>
      <c r="F657" s="35"/>
      <c r="G657"/>
      <c r="H657"/>
    </row>
    <row r="658" spans="3:8" ht="15" x14ac:dyDescent="0.25">
      <c r="C658"/>
      <c r="D658"/>
      <c r="E658"/>
      <c r="F658" s="35"/>
      <c r="G658"/>
      <c r="H658"/>
    </row>
    <row r="659" spans="3:8" ht="15" x14ac:dyDescent="0.25">
      <c r="C659"/>
      <c r="D659"/>
      <c r="E659"/>
      <c r="F659" s="35"/>
      <c r="G659"/>
      <c r="H659"/>
    </row>
    <row r="660" spans="3:8" ht="15" x14ac:dyDescent="0.25">
      <c r="C660"/>
      <c r="D660"/>
      <c r="E660"/>
      <c r="F660" s="35"/>
      <c r="G660"/>
      <c r="H660"/>
    </row>
    <row r="661" spans="3:8" ht="15" x14ac:dyDescent="0.25">
      <c r="C661"/>
      <c r="D661"/>
      <c r="E661"/>
      <c r="F661" s="35"/>
      <c r="G661"/>
      <c r="H661"/>
    </row>
    <row r="662" spans="3:8" ht="15" x14ac:dyDescent="0.25">
      <c r="C662"/>
      <c r="D662"/>
      <c r="E662"/>
      <c r="F662" s="35"/>
      <c r="G662"/>
      <c r="H662"/>
    </row>
    <row r="663" spans="3:8" ht="15" x14ac:dyDescent="0.25">
      <c r="C663"/>
      <c r="D663"/>
      <c r="E663"/>
      <c r="F663" s="35"/>
      <c r="G663"/>
      <c r="H663"/>
    </row>
    <row r="664" spans="3:8" ht="15" x14ac:dyDescent="0.25">
      <c r="C664"/>
      <c r="D664"/>
      <c r="E664"/>
      <c r="F664" s="35"/>
      <c r="G664"/>
      <c r="H664"/>
    </row>
    <row r="665" spans="3:8" ht="15" x14ac:dyDescent="0.25">
      <c r="C665"/>
      <c r="D665"/>
      <c r="E665"/>
      <c r="F665" s="35"/>
      <c r="G665"/>
      <c r="H665"/>
    </row>
    <row r="666" spans="3:8" ht="15" x14ac:dyDescent="0.25">
      <c r="C666"/>
      <c r="D666"/>
      <c r="E666"/>
      <c r="F666" s="35"/>
      <c r="G666"/>
      <c r="H666"/>
    </row>
    <row r="667" spans="3:8" ht="15" x14ac:dyDescent="0.25">
      <c r="C667"/>
      <c r="D667"/>
      <c r="E667"/>
      <c r="F667" s="35"/>
      <c r="G667"/>
      <c r="H667"/>
    </row>
    <row r="668" spans="3:8" ht="15" x14ac:dyDescent="0.25">
      <c r="C668"/>
      <c r="D668"/>
      <c r="E668"/>
      <c r="F668" s="35"/>
      <c r="G668"/>
      <c r="H668"/>
    </row>
    <row r="669" spans="3:8" ht="15" x14ac:dyDescent="0.25">
      <c r="C669"/>
      <c r="D669"/>
      <c r="E669"/>
      <c r="F669" s="35"/>
      <c r="G669"/>
      <c r="H669"/>
    </row>
    <row r="670" spans="3:8" ht="15" x14ac:dyDescent="0.25">
      <c r="C670"/>
      <c r="D670"/>
      <c r="E670"/>
      <c r="F670" s="35"/>
      <c r="G670"/>
      <c r="H670"/>
    </row>
    <row r="671" spans="3:8" ht="15" x14ac:dyDescent="0.25">
      <c r="C671"/>
      <c r="D671"/>
      <c r="E671"/>
      <c r="F671" s="35"/>
      <c r="G671"/>
      <c r="H671"/>
    </row>
    <row r="672" spans="3:8" ht="15" x14ac:dyDescent="0.25">
      <c r="C672"/>
      <c r="D672"/>
      <c r="E672"/>
      <c r="F672" s="35"/>
      <c r="G672"/>
      <c r="H672"/>
    </row>
    <row r="673" spans="3:8" ht="15" x14ac:dyDescent="0.25">
      <c r="C673"/>
      <c r="D673"/>
      <c r="E673"/>
      <c r="F673" s="35"/>
      <c r="G673"/>
      <c r="H673"/>
    </row>
    <row r="674" spans="3:8" ht="15" x14ac:dyDescent="0.25">
      <c r="C674"/>
      <c r="D674"/>
      <c r="E674"/>
      <c r="F674" s="35"/>
      <c r="G674"/>
      <c r="H674"/>
    </row>
    <row r="675" spans="3:8" ht="15" x14ac:dyDescent="0.25">
      <c r="C675"/>
      <c r="D675"/>
      <c r="E675"/>
      <c r="F675" s="35"/>
      <c r="G675"/>
      <c r="H675"/>
    </row>
    <row r="676" spans="3:8" ht="15" x14ac:dyDescent="0.25">
      <c r="C676"/>
      <c r="D676"/>
      <c r="E676"/>
      <c r="F676" s="35"/>
      <c r="G676"/>
      <c r="H676"/>
    </row>
    <row r="677" spans="3:8" ht="15" x14ac:dyDescent="0.25">
      <c r="C677"/>
      <c r="D677"/>
      <c r="E677"/>
      <c r="F677" s="35"/>
      <c r="G677"/>
      <c r="H677"/>
    </row>
    <row r="678" spans="3:8" ht="15" x14ac:dyDescent="0.25">
      <c r="C678"/>
      <c r="D678"/>
      <c r="E678"/>
      <c r="F678" s="35"/>
      <c r="G678"/>
      <c r="H678"/>
    </row>
    <row r="679" spans="3:8" ht="15" x14ac:dyDescent="0.25">
      <c r="C679"/>
      <c r="D679"/>
      <c r="E679"/>
      <c r="F679" s="35"/>
      <c r="G679"/>
      <c r="H679"/>
    </row>
    <row r="680" spans="3:8" ht="15" x14ac:dyDescent="0.25">
      <c r="C680"/>
      <c r="D680"/>
      <c r="E680"/>
      <c r="F680" s="35"/>
      <c r="G680"/>
      <c r="H680"/>
    </row>
    <row r="681" spans="3:8" ht="15" x14ac:dyDescent="0.25">
      <c r="C681"/>
      <c r="D681"/>
      <c r="E681"/>
      <c r="F681" s="35"/>
      <c r="G681"/>
      <c r="H681"/>
    </row>
    <row r="682" spans="3:8" ht="15" x14ac:dyDescent="0.25">
      <c r="C682"/>
      <c r="D682"/>
      <c r="E682"/>
      <c r="F682" s="35"/>
      <c r="G682"/>
      <c r="H682"/>
    </row>
    <row r="683" spans="3:8" ht="15" x14ac:dyDescent="0.25">
      <c r="C683"/>
      <c r="D683"/>
      <c r="E683"/>
      <c r="F683" s="35"/>
      <c r="G683"/>
      <c r="H683"/>
    </row>
    <row r="684" spans="3:8" ht="15" x14ac:dyDescent="0.25">
      <c r="C684"/>
      <c r="D684"/>
      <c r="E684"/>
      <c r="F684" s="35"/>
      <c r="G684"/>
      <c r="H684"/>
    </row>
    <row r="685" spans="3:8" ht="15" x14ac:dyDescent="0.25">
      <c r="C685"/>
      <c r="D685"/>
      <c r="E685"/>
      <c r="F685" s="35"/>
      <c r="G685"/>
      <c r="H685"/>
    </row>
    <row r="686" spans="3:8" ht="15" x14ac:dyDescent="0.25">
      <c r="C686"/>
      <c r="D686"/>
      <c r="E686"/>
      <c r="F686" s="35"/>
      <c r="G686"/>
      <c r="H686"/>
    </row>
    <row r="687" spans="3:8" ht="15" x14ac:dyDescent="0.25">
      <c r="C687"/>
      <c r="D687"/>
      <c r="E687"/>
      <c r="F687" s="35"/>
      <c r="G687"/>
      <c r="H687"/>
    </row>
    <row r="688" spans="3:8" ht="15" x14ac:dyDescent="0.25">
      <c r="C688"/>
      <c r="D688"/>
      <c r="E688"/>
      <c r="F688" s="35"/>
      <c r="G688"/>
      <c r="H688"/>
    </row>
    <row r="689" spans="3:8" ht="15" x14ac:dyDescent="0.25">
      <c r="C689"/>
      <c r="D689"/>
      <c r="E689"/>
      <c r="F689" s="35"/>
      <c r="G689"/>
      <c r="H689"/>
    </row>
    <row r="690" spans="3:8" ht="15" x14ac:dyDescent="0.25">
      <c r="C690"/>
      <c r="D690"/>
      <c r="E690"/>
      <c r="F690" s="35"/>
      <c r="G690"/>
      <c r="H690"/>
    </row>
    <row r="691" spans="3:8" ht="15" x14ac:dyDescent="0.25">
      <c r="C691"/>
      <c r="D691"/>
      <c r="E691"/>
      <c r="F691" s="35"/>
      <c r="G691"/>
      <c r="H691"/>
    </row>
    <row r="692" spans="3:8" ht="15" x14ac:dyDescent="0.25">
      <c r="C692"/>
      <c r="D692"/>
      <c r="E692"/>
      <c r="F692" s="35"/>
      <c r="G692"/>
      <c r="H692"/>
    </row>
    <row r="693" spans="3:8" ht="15" x14ac:dyDescent="0.25">
      <c r="C693"/>
      <c r="D693"/>
      <c r="E693"/>
      <c r="F693" s="35"/>
      <c r="G693"/>
      <c r="H693"/>
    </row>
    <row r="694" spans="3:8" ht="15" x14ac:dyDescent="0.25">
      <c r="C694"/>
      <c r="D694"/>
      <c r="E694"/>
      <c r="F694" s="35"/>
      <c r="G694"/>
      <c r="H694"/>
    </row>
    <row r="695" spans="3:8" ht="15" x14ac:dyDescent="0.25">
      <c r="C695"/>
      <c r="D695"/>
      <c r="E695"/>
      <c r="F695" s="35"/>
      <c r="G695"/>
      <c r="H695"/>
    </row>
    <row r="696" spans="3:8" ht="15" x14ac:dyDescent="0.25">
      <c r="C696"/>
      <c r="D696"/>
      <c r="E696"/>
      <c r="F696" s="35"/>
      <c r="G696"/>
      <c r="H696"/>
    </row>
    <row r="697" spans="3:8" ht="15" x14ac:dyDescent="0.25">
      <c r="C697"/>
      <c r="D697"/>
      <c r="E697"/>
      <c r="F697" s="35"/>
      <c r="G697"/>
      <c r="H697"/>
    </row>
    <row r="698" spans="3:8" ht="15" x14ac:dyDescent="0.25">
      <c r="C698"/>
      <c r="D698"/>
      <c r="E698"/>
      <c r="F698" s="35"/>
      <c r="G698"/>
      <c r="H698"/>
    </row>
    <row r="699" spans="3:8" ht="15" x14ac:dyDescent="0.25">
      <c r="C699"/>
      <c r="D699"/>
      <c r="E699"/>
      <c r="F699" s="35"/>
      <c r="G699"/>
      <c r="H699"/>
    </row>
    <row r="700" spans="3:8" ht="15" x14ac:dyDescent="0.25">
      <c r="C700"/>
      <c r="D700"/>
      <c r="E700"/>
      <c r="F700" s="35"/>
      <c r="G700"/>
      <c r="H700"/>
    </row>
    <row r="701" spans="3:8" ht="15" x14ac:dyDescent="0.25">
      <c r="C701"/>
      <c r="D701"/>
      <c r="E701"/>
      <c r="F701" s="35"/>
      <c r="G701"/>
      <c r="H701"/>
    </row>
    <row r="702" spans="3:8" ht="15" x14ac:dyDescent="0.25">
      <c r="C702"/>
      <c r="D702"/>
      <c r="E702"/>
      <c r="F702" s="35"/>
      <c r="G702"/>
      <c r="H702"/>
    </row>
    <row r="703" spans="3:8" ht="15" x14ac:dyDescent="0.25">
      <c r="C703"/>
      <c r="D703"/>
      <c r="E703"/>
      <c r="F703" s="35"/>
      <c r="G703"/>
      <c r="H703"/>
    </row>
    <row r="704" spans="3:8" ht="15" x14ac:dyDescent="0.25">
      <c r="C704"/>
      <c r="D704"/>
      <c r="E704"/>
      <c r="F704" s="35"/>
      <c r="G704"/>
      <c r="H704"/>
    </row>
    <row r="705" spans="3:8" ht="15" x14ac:dyDescent="0.25">
      <c r="C705"/>
      <c r="D705"/>
      <c r="E705"/>
      <c r="F705" s="35"/>
      <c r="G705"/>
      <c r="H705"/>
    </row>
    <row r="706" spans="3:8" ht="15" x14ac:dyDescent="0.25">
      <c r="C706"/>
      <c r="D706"/>
      <c r="E706"/>
      <c r="F706" s="35"/>
      <c r="G706"/>
      <c r="H706"/>
    </row>
    <row r="707" spans="3:8" ht="15" x14ac:dyDescent="0.25">
      <c r="C707"/>
      <c r="D707"/>
      <c r="E707"/>
      <c r="F707" s="35"/>
      <c r="G707"/>
      <c r="H707"/>
    </row>
    <row r="708" spans="3:8" ht="15" x14ac:dyDescent="0.25">
      <c r="C708"/>
      <c r="D708"/>
      <c r="E708"/>
      <c r="F708" s="35"/>
      <c r="G708"/>
      <c r="H708"/>
    </row>
    <row r="709" spans="3:8" ht="15" x14ac:dyDescent="0.25">
      <c r="C709"/>
      <c r="D709"/>
      <c r="E709"/>
      <c r="F709" s="35"/>
      <c r="G709"/>
      <c r="H709"/>
    </row>
    <row r="710" spans="3:8" ht="15" x14ac:dyDescent="0.25">
      <c r="C710"/>
      <c r="D710"/>
      <c r="E710"/>
      <c r="F710" s="35"/>
      <c r="G710"/>
      <c r="H710"/>
    </row>
    <row r="711" spans="3:8" ht="15" x14ac:dyDescent="0.25">
      <c r="C711"/>
      <c r="D711"/>
      <c r="E711"/>
      <c r="F711" s="35"/>
      <c r="G711"/>
      <c r="H711"/>
    </row>
    <row r="712" spans="3:8" ht="15" x14ac:dyDescent="0.25">
      <c r="C712"/>
      <c r="D712"/>
      <c r="E712"/>
      <c r="F712" s="35"/>
      <c r="G712"/>
      <c r="H712"/>
    </row>
    <row r="713" spans="3:8" ht="15" x14ac:dyDescent="0.25">
      <c r="C713"/>
      <c r="D713"/>
      <c r="E713"/>
      <c r="F713" s="35"/>
      <c r="G713"/>
      <c r="H713"/>
    </row>
    <row r="714" spans="3:8" ht="15" x14ac:dyDescent="0.25">
      <c r="C714"/>
      <c r="D714"/>
      <c r="E714"/>
      <c r="F714" s="35"/>
      <c r="G714"/>
      <c r="H714"/>
    </row>
    <row r="715" spans="3:8" ht="15" x14ac:dyDescent="0.25">
      <c r="C715"/>
      <c r="D715"/>
      <c r="E715"/>
      <c r="F715" s="35"/>
      <c r="G715"/>
      <c r="H715"/>
    </row>
    <row r="716" spans="3:8" ht="15" x14ac:dyDescent="0.25">
      <c r="C716"/>
      <c r="D716"/>
      <c r="E716"/>
      <c r="F716" s="35"/>
      <c r="G716"/>
      <c r="H716"/>
    </row>
    <row r="717" spans="3:8" ht="15" x14ac:dyDescent="0.25">
      <c r="C717"/>
      <c r="D717"/>
      <c r="E717"/>
      <c r="F717" s="35"/>
      <c r="G717"/>
      <c r="H717"/>
    </row>
    <row r="718" spans="3:8" ht="15" x14ac:dyDescent="0.25">
      <c r="C718"/>
      <c r="D718"/>
      <c r="E718"/>
      <c r="F718" s="35"/>
      <c r="G718"/>
      <c r="H718"/>
    </row>
    <row r="719" spans="3:8" ht="15" x14ac:dyDescent="0.25">
      <c r="C719"/>
      <c r="D719"/>
      <c r="E719"/>
      <c r="F719" s="35"/>
      <c r="G719"/>
      <c r="H719"/>
    </row>
    <row r="720" spans="3:8" ht="15" x14ac:dyDescent="0.25">
      <c r="C720"/>
      <c r="D720"/>
      <c r="E720"/>
      <c r="F720" s="35"/>
      <c r="G720"/>
      <c r="H720"/>
    </row>
    <row r="721" spans="3:8" ht="15" x14ac:dyDescent="0.25">
      <c r="C721"/>
      <c r="D721"/>
      <c r="E721"/>
      <c r="F721" s="35"/>
      <c r="G721"/>
      <c r="H721"/>
    </row>
    <row r="722" spans="3:8" ht="15" x14ac:dyDescent="0.25">
      <c r="C722"/>
      <c r="D722"/>
      <c r="E722"/>
      <c r="F722" s="35"/>
      <c r="G722"/>
      <c r="H722"/>
    </row>
    <row r="723" spans="3:8" ht="15" x14ac:dyDescent="0.25">
      <c r="C723"/>
      <c r="D723"/>
      <c r="E723"/>
      <c r="F723" s="35"/>
      <c r="G723"/>
      <c r="H723"/>
    </row>
    <row r="724" spans="3:8" ht="15" x14ac:dyDescent="0.25">
      <c r="C724"/>
      <c r="D724"/>
      <c r="E724"/>
      <c r="F724" s="35"/>
      <c r="G724"/>
      <c r="H724"/>
    </row>
    <row r="725" spans="3:8" ht="15" x14ac:dyDescent="0.25">
      <c r="C725"/>
      <c r="D725"/>
      <c r="E725"/>
      <c r="F725" s="35"/>
      <c r="G725"/>
      <c r="H725"/>
    </row>
    <row r="726" spans="3:8" ht="15" x14ac:dyDescent="0.25">
      <c r="C726"/>
      <c r="D726"/>
      <c r="E726"/>
      <c r="F726" s="35"/>
      <c r="G726"/>
      <c r="H726"/>
    </row>
    <row r="727" spans="3:8" ht="15" x14ac:dyDescent="0.25">
      <c r="C727"/>
      <c r="D727"/>
      <c r="E727"/>
      <c r="F727" s="35"/>
      <c r="G727"/>
      <c r="H727"/>
    </row>
    <row r="728" spans="3:8" ht="15" x14ac:dyDescent="0.25">
      <c r="C728"/>
      <c r="D728"/>
      <c r="E728"/>
      <c r="F728" s="35"/>
      <c r="G728"/>
      <c r="H728"/>
    </row>
    <row r="729" spans="3:8" ht="15" x14ac:dyDescent="0.25">
      <c r="C729"/>
      <c r="D729"/>
      <c r="E729"/>
      <c r="F729" s="35"/>
      <c r="G729"/>
      <c r="H729"/>
    </row>
    <row r="730" spans="3:8" ht="15" x14ac:dyDescent="0.25">
      <c r="C730"/>
      <c r="D730"/>
      <c r="E730"/>
      <c r="F730" s="35"/>
      <c r="G730"/>
      <c r="H730"/>
    </row>
    <row r="731" spans="3:8" ht="15" x14ac:dyDescent="0.25">
      <c r="C731"/>
      <c r="D731"/>
      <c r="E731"/>
      <c r="F731" s="35"/>
      <c r="G731"/>
      <c r="H731"/>
    </row>
    <row r="732" spans="3:8" ht="15" x14ac:dyDescent="0.25">
      <c r="C732"/>
      <c r="D732"/>
      <c r="E732"/>
      <c r="F732" s="35"/>
      <c r="G732"/>
      <c r="H732"/>
    </row>
    <row r="733" spans="3:8" ht="15" x14ac:dyDescent="0.25">
      <c r="C733"/>
      <c r="D733"/>
      <c r="E733"/>
      <c r="F733" s="35"/>
      <c r="G733"/>
      <c r="H733"/>
    </row>
    <row r="734" spans="3:8" ht="15" x14ac:dyDescent="0.25">
      <c r="C734"/>
      <c r="D734"/>
      <c r="E734"/>
      <c r="F734" s="35"/>
      <c r="G734"/>
      <c r="H734"/>
    </row>
    <row r="735" spans="3:8" ht="15" x14ac:dyDescent="0.25">
      <c r="C735"/>
      <c r="D735"/>
      <c r="E735"/>
      <c r="F735" s="35"/>
      <c r="G735"/>
      <c r="H735"/>
    </row>
    <row r="736" spans="3:8" ht="15" x14ac:dyDescent="0.25">
      <c r="C736"/>
      <c r="D736"/>
      <c r="E736"/>
      <c r="F736" s="35"/>
      <c r="G736"/>
      <c r="H736"/>
    </row>
    <row r="737" spans="3:8" ht="15" x14ac:dyDescent="0.25">
      <c r="C737"/>
      <c r="D737"/>
      <c r="E737"/>
      <c r="F737" s="35"/>
      <c r="G737"/>
      <c r="H737"/>
    </row>
    <row r="738" spans="3:8" ht="15" x14ac:dyDescent="0.25">
      <c r="C738"/>
      <c r="D738"/>
      <c r="E738"/>
      <c r="F738" s="35"/>
      <c r="G738"/>
      <c r="H738"/>
    </row>
    <row r="739" spans="3:8" ht="15" x14ac:dyDescent="0.25">
      <c r="C739"/>
      <c r="D739"/>
      <c r="E739"/>
      <c r="F739" s="35"/>
      <c r="G739"/>
      <c r="H739"/>
    </row>
    <row r="740" spans="3:8" ht="15" x14ac:dyDescent="0.25">
      <c r="C740"/>
      <c r="D740"/>
      <c r="E740"/>
      <c r="F740" s="35"/>
      <c r="G740"/>
      <c r="H740"/>
    </row>
    <row r="741" spans="3:8" ht="15" x14ac:dyDescent="0.25">
      <c r="C741"/>
      <c r="D741"/>
      <c r="E741"/>
      <c r="F741" s="35"/>
      <c r="G741"/>
      <c r="H741"/>
    </row>
    <row r="742" spans="3:8" ht="15" x14ac:dyDescent="0.25">
      <c r="C742"/>
      <c r="D742"/>
      <c r="E742"/>
      <c r="F742" s="35"/>
      <c r="G742"/>
      <c r="H742"/>
    </row>
    <row r="743" spans="3:8" ht="15" x14ac:dyDescent="0.25">
      <c r="C743"/>
      <c r="D743"/>
      <c r="E743"/>
      <c r="F743" s="35"/>
      <c r="G743"/>
      <c r="H743"/>
    </row>
    <row r="744" spans="3:8" ht="15" x14ac:dyDescent="0.25">
      <c r="C744"/>
      <c r="D744"/>
      <c r="E744"/>
      <c r="F744" s="35"/>
      <c r="G744"/>
      <c r="H744"/>
    </row>
    <row r="745" spans="3:8" ht="15" x14ac:dyDescent="0.25">
      <c r="C745"/>
      <c r="D745"/>
      <c r="E745"/>
      <c r="F745" s="35"/>
      <c r="G745"/>
      <c r="H745"/>
    </row>
    <row r="746" spans="3:8" ht="15" x14ac:dyDescent="0.25">
      <c r="C746"/>
      <c r="D746"/>
      <c r="E746"/>
      <c r="F746" s="35"/>
      <c r="G746"/>
      <c r="H746"/>
    </row>
    <row r="747" spans="3:8" ht="15" x14ac:dyDescent="0.25">
      <c r="C747"/>
      <c r="D747"/>
      <c r="E747"/>
      <c r="F747" s="35"/>
      <c r="G747"/>
      <c r="H747"/>
    </row>
    <row r="748" spans="3:8" ht="15" x14ac:dyDescent="0.25">
      <c r="C748"/>
      <c r="D748"/>
      <c r="E748"/>
      <c r="F748" s="35"/>
      <c r="G748"/>
      <c r="H748"/>
    </row>
    <row r="749" spans="3:8" ht="15" x14ac:dyDescent="0.25">
      <c r="C749"/>
      <c r="D749"/>
      <c r="E749"/>
      <c r="F749" s="35"/>
      <c r="G749"/>
      <c r="H749"/>
    </row>
    <row r="750" spans="3:8" ht="15" x14ac:dyDescent="0.25">
      <c r="C750"/>
      <c r="D750"/>
      <c r="E750"/>
      <c r="F750" s="35"/>
      <c r="G750"/>
      <c r="H750"/>
    </row>
    <row r="751" spans="3:8" ht="15" x14ac:dyDescent="0.25">
      <c r="C751"/>
      <c r="D751"/>
      <c r="E751"/>
      <c r="F751" s="35"/>
      <c r="G751"/>
      <c r="H751"/>
    </row>
    <row r="752" spans="3:8" ht="15" x14ac:dyDescent="0.25">
      <c r="C752"/>
      <c r="D752"/>
      <c r="E752"/>
      <c r="F752" s="35"/>
      <c r="G752"/>
      <c r="H752"/>
    </row>
    <row r="753" spans="3:8" ht="15" x14ac:dyDescent="0.25">
      <c r="C753"/>
      <c r="D753"/>
      <c r="E753"/>
      <c r="F753" s="35"/>
      <c r="G753"/>
      <c r="H753"/>
    </row>
    <row r="754" spans="3:8" ht="15" x14ac:dyDescent="0.25">
      <c r="C754"/>
      <c r="D754"/>
      <c r="E754"/>
      <c r="F754" s="35"/>
      <c r="G754"/>
      <c r="H754"/>
    </row>
    <row r="755" spans="3:8" ht="15" x14ac:dyDescent="0.25">
      <c r="C755"/>
      <c r="D755"/>
      <c r="E755"/>
      <c r="F755" s="35"/>
      <c r="G755"/>
      <c r="H755"/>
    </row>
    <row r="756" spans="3:8" ht="15" x14ac:dyDescent="0.25">
      <c r="C756"/>
      <c r="D756"/>
      <c r="E756"/>
      <c r="F756" s="35"/>
      <c r="G756"/>
      <c r="H756"/>
    </row>
    <row r="757" spans="3:8" ht="15" x14ac:dyDescent="0.25">
      <c r="C757"/>
      <c r="D757"/>
      <c r="E757"/>
      <c r="F757" s="35"/>
      <c r="G757"/>
      <c r="H757"/>
    </row>
    <row r="758" spans="3:8" ht="15" x14ac:dyDescent="0.25">
      <c r="C758"/>
      <c r="D758"/>
      <c r="E758"/>
      <c r="F758" s="35"/>
      <c r="G758"/>
      <c r="H758"/>
    </row>
    <row r="759" spans="3:8" ht="15" x14ac:dyDescent="0.25">
      <c r="C759"/>
      <c r="D759"/>
      <c r="E759"/>
      <c r="F759" s="35"/>
      <c r="G759"/>
      <c r="H759"/>
    </row>
    <row r="760" spans="3:8" ht="15" x14ac:dyDescent="0.25">
      <c r="C760"/>
      <c r="D760"/>
      <c r="E760"/>
      <c r="F760" s="35"/>
      <c r="G760"/>
      <c r="H760"/>
    </row>
    <row r="761" spans="3:8" ht="15" x14ac:dyDescent="0.25">
      <c r="C761"/>
      <c r="D761"/>
      <c r="E761"/>
      <c r="F761" s="35"/>
      <c r="G761"/>
      <c r="H761"/>
    </row>
    <row r="762" spans="3:8" ht="15" x14ac:dyDescent="0.25">
      <c r="C762"/>
      <c r="D762"/>
      <c r="E762"/>
      <c r="F762" s="35"/>
      <c r="G762"/>
      <c r="H762"/>
    </row>
    <row r="763" spans="3:8" ht="15" x14ac:dyDescent="0.25">
      <c r="C763"/>
      <c r="D763"/>
      <c r="E763"/>
      <c r="F763" s="35"/>
      <c r="G763"/>
      <c r="H763"/>
    </row>
    <row r="764" spans="3:8" ht="15" x14ac:dyDescent="0.25">
      <c r="C764"/>
      <c r="D764"/>
      <c r="E764"/>
      <c r="F764" s="35"/>
      <c r="G764"/>
      <c r="H764"/>
    </row>
    <row r="765" spans="3:8" ht="15" x14ac:dyDescent="0.25">
      <c r="C765"/>
      <c r="D765"/>
      <c r="E765"/>
      <c r="F765" s="35"/>
      <c r="G765"/>
      <c r="H765"/>
    </row>
    <row r="766" spans="3:8" ht="15" x14ac:dyDescent="0.25">
      <c r="C766"/>
      <c r="D766"/>
      <c r="E766"/>
      <c r="F766" s="35"/>
      <c r="G766"/>
      <c r="H766"/>
    </row>
    <row r="767" spans="3:8" ht="15" x14ac:dyDescent="0.25">
      <c r="C767"/>
      <c r="D767"/>
      <c r="E767"/>
      <c r="F767" s="35"/>
      <c r="G767"/>
      <c r="H767"/>
    </row>
    <row r="768" spans="3:8" ht="15" x14ac:dyDescent="0.25">
      <c r="C768"/>
      <c r="D768"/>
      <c r="E768"/>
      <c r="F768" s="35"/>
      <c r="G768"/>
      <c r="H768"/>
    </row>
    <row r="769" spans="3:8" ht="15" x14ac:dyDescent="0.25">
      <c r="C769"/>
      <c r="D769"/>
      <c r="E769"/>
      <c r="F769" s="35"/>
      <c r="G769"/>
      <c r="H769"/>
    </row>
    <row r="770" spans="3:8" ht="15" x14ac:dyDescent="0.25">
      <c r="C770"/>
      <c r="D770"/>
      <c r="E770"/>
      <c r="F770" s="35"/>
      <c r="G770"/>
      <c r="H770"/>
    </row>
    <row r="771" spans="3:8" ht="15" x14ac:dyDescent="0.25">
      <c r="C771"/>
      <c r="D771"/>
      <c r="E771"/>
      <c r="F771" s="35"/>
      <c r="G771"/>
      <c r="H771"/>
    </row>
    <row r="772" spans="3:8" ht="15" x14ac:dyDescent="0.25">
      <c r="C772"/>
      <c r="D772"/>
      <c r="E772"/>
      <c r="F772" s="35"/>
      <c r="G772"/>
      <c r="H772"/>
    </row>
    <row r="773" spans="3:8" ht="15" x14ac:dyDescent="0.25">
      <c r="C773"/>
      <c r="D773"/>
      <c r="E773"/>
      <c r="F773" s="35"/>
      <c r="G773"/>
      <c r="H773"/>
    </row>
    <row r="774" spans="3:8" ht="15" x14ac:dyDescent="0.25">
      <c r="C774"/>
      <c r="D774"/>
      <c r="E774"/>
      <c r="F774" s="35"/>
      <c r="G774"/>
      <c r="H774"/>
    </row>
    <row r="775" spans="3:8" ht="15" x14ac:dyDescent="0.25">
      <c r="C775"/>
      <c r="D775"/>
      <c r="E775"/>
      <c r="F775" s="35"/>
      <c r="G775"/>
      <c r="H775"/>
    </row>
    <row r="776" spans="3:8" ht="15" x14ac:dyDescent="0.25">
      <c r="C776"/>
      <c r="D776"/>
      <c r="E776"/>
      <c r="F776" s="35"/>
      <c r="G776"/>
      <c r="H776"/>
    </row>
    <row r="777" spans="3:8" ht="15" x14ac:dyDescent="0.25">
      <c r="C777"/>
      <c r="D777"/>
      <c r="E777"/>
      <c r="F777" s="35"/>
      <c r="G777"/>
      <c r="H777"/>
    </row>
    <row r="778" spans="3:8" ht="15" x14ac:dyDescent="0.25">
      <c r="C778"/>
      <c r="D778"/>
      <c r="E778"/>
      <c r="F778" s="35"/>
      <c r="G778"/>
      <c r="H778"/>
    </row>
    <row r="779" spans="3:8" ht="15" x14ac:dyDescent="0.25">
      <c r="C779"/>
      <c r="D779"/>
      <c r="E779"/>
      <c r="F779" s="35"/>
      <c r="G779"/>
      <c r="H779"/>
    </row>
    <row r="780" spans="3:8" ht="15" x14ac:dyDescent="0.25">
      <c r="C780"/>
      <c r="D780"/>
      <c r="E780"/>
      <c r="F780" s="35"/>
      <c r="G780"/>
      <c r="H780"/>
    </row>
    <row r="781" spans="3:8" ht="15" x14ac:dyDescent="0.25">
      <c r="C781"/>
      <c r="D781"/>
      <c r="E781"/>
      <c r="F781" s="35"/>
      <c r="G781"/>
      <c r="H781"/>
    </row>
    <row r="782" spans="3:8" ht="15" x14ac:dyDescent="0.25">
      <c r="C782"/>
      <c r="D782"/>
      <c r="E782"/>
      <c r="F782" s="35"/>
      <c r="G782"/>
      <c r="H782"/>
    </row>
    <row r="783" spans="3:8" ht="15" x14ac:dyDescent="0.25">
      <c r="C783"/>
      <c r="D783"/>
      <c r="E783"/>
      <c r="F783" s="35"/>
      <c r="G783"/>
      <c r="H783"/>
    </row>
    <row r="784" spans="3:8" ht="15" x14ac:dyDescent="0.25">
      <c r="C784"/>
      <c r="D784"/>
      <c r="E784"/>
      <c r="F784" s="35"/>
      <c r="G784"/>
      <c r="H784"/>
    </row>
    <row r="785" spans="3:8" ht="15" x14ac:dyDescent="0.25">
      <c r="C785"/>
      <c r="D785"/>
      <c r="E785"/>
      <c r="F785" s="35"/>
      <c r="G785"/>
      <c r="H785"/>
    </row>
    <row r="786" spans="3:8" ht="15" x14ac:dyDescent="0.25">
      <c r="C786"/>
      <c r="D786"/>
      <c r="E786"/>
      <c r="F786" s="35"/>
      <c r="G786"/>
      <c r="H786"/>
    </row>
    <row r="787" spans="3:8" ht="15" x14ac:dyDescent="0.25">
      <c r="C787"/>
      <c r="D787"/>
      <c r="E787"/>
      <c r="F787" s="35"/>
      <c r="G787"/>
      <c r="H787"/>
    </row>
    <row r="788" spans="3:8" ht="15" x14ac:dyDescent="0.25">
      <c r="C788"/>
      <c r="D788"/>
      <c r="E788"/>
      <c r="F788" s="35"/>
      <c r="G788"/>
      <c r="H788"/>
    </row>
    <row r="789" spans="3:8" ht="15" x14ac:dyDescent="0.25">
      <c r="C789"/>
      <c r="D789"/>
      <c r="E789"/>
      <c r="F789" s="35"/>
      <c r="G789"/>
      <c r="H789"/>
    </row>
    <row r="790" spans="3:8" ht="15" x14ac:dyDescent="0.25">
      <c r="C790"/>
      <c r="D790"/>
      <c r="E790"/>
      <c r="F790" s="35"/>
      <c r="G790"/>
      <c r="H790"/>
    </row>
    <row r="791" spans="3:8" ht="15" x14ac:dyDescent="0.25">
      <c r="C791"/>
      <c r="D791"/>
      <c r="E791"/>
      <c r="F791" s="35"/>
      <c r="G791"/>
      <c r="H791"/>
    </row>
    <row r="792" spans="3:8" ht="15" x14ac:dyDescent="0.25">
      <c r="C792"/>
      <c r="D792"/>
      <c r="E792"/>
      <c r="F792" s="35"/>
      <c r="G792"/>
      <c r="H792"/>
    </row>
    <row r="793" spans="3:8" ht="15" x14ac:dyDescent="0.25">
      <c r="C793"/>
      <c r="D793"/>
      <c r="E793"/>
      <c r="F793" s="35"/>
      <c r="G793"/>
      <c r="H793"/>
    </row>
    <row r="794" spans="3:8" ht="15" x14ac:dyDescent="0.25">
      <c r="C794"/>
      <c r="D794"/>
      <c r="E794"/>
      <c r="F794" s="35"/>
      <c r="G794"/>
      <c r="H794"/>
    </row>
    <row r="795" spans="3:8" ht="15" x14ac:dyDescent="0.25">
      <c r="C795"/>
      <c r="D795"/>
      <c r="E795"/>
      <c r="F795" s="35"/>
      <c r="G795"/>
      <c r="H795"/>
    </row>
    <row r="796" spans="3:8" ht="15" x14ac:dyDescent="0.25">
      <c r="C796"/>
      <c r="D796"/>
      <c r="E796"/>
      <c r="F796" s="35"/>
      <c r="G796"/>
      <c r="H796"/>
    </row>
    <row r="797" spans="3:8" ht="15" x14ac:dyDescent="0.25">
      <c r="C797"/>
      <c r="D797"/>
      <c r="E797"/>
      <c r="F797" s="35"/>
      <c r="G797"/>
      <c r="H797"/>
    </row>
    <row r="798" spans="3:8" ht="15" x14ac:dyDescent="0.25">
      <c r="C798"/>
      <c r="D798"/>
      <c r="E798"/>
      <c r="F798" s="35"/>
      <c r="G798"/>
      <c r="H798"/>
    </row>
    <row r="799" spans="3:8" ht="15" x14ac:dyDescent="0.25">
      <c r="C799"/>
      <c r="D799"/>
      <c r="E799"/>
      <c r="F799" s="35"/>
      <c r="G799"/>
      <c r="H799"/>
    </row>
    <row r="800" spans="3:8" ht="15" x14ac:dyDescent="0.25">
      <c r="C800"/>
      <c r="D800"/>
      <c r="E800"/>
      <c r="F800" s="35"/>
      <c r="G800"/>
      <c r="H800"/>
    </row>
    <row r="801" spans="3:8" ht="15" x14ac:dyDescent="0.25">
      <c r="C801"/>
      <c r="D801"/>
      <c r="E801"/>
      <c r="F801" s="35"/>
      <c r="G801"/>
      <c r="H801"/>
    </row>
    <row r="802" spans="3:8" ht="15" x14ac:dyDescent="0.25">
      <c r="C802"/>
      <c r="D802"/>
      <c r="E802"/>
      <c r="F802" s="35"/>
      <c r="G802"/>
      <c r="H802"/>
    </row>
    <row r="803" spans="3:8" ht="15" x14ac:dyDescent="0.25">
      <c r="C803"/>
      <c r="D803"/>
      <c r="E803"/>
      <c r="F803" s="35"/>
      <c r="G803"/>
      <c r="H803"/>
    </row>
    <row r="804" spans="3:8" ht="15" x14ac:dyDescent="0.25">
      <c r="C804"/>
      <c r="D804"/>
      <c r="E804"/>
      <c r="F804" s="35"/>
      <c r="G804"/>
      <c r="H804"/>
    </row>
    <row r="805" spans="3:8" ht="15" x14ac:dyDescent="0.25">
      <c r="C805"/>
      <c r="D805"/>
      <c r="E805"/>
      <c r="F805" s="35"/>
      <c r="G805"/>
      <c r="H805"/>
    </row>
    <row r="806" spans="3:8" ht="15" x14ac:dyDescent="0.25">
      <c r="C806"/>
      <c r="D806"/>
      <c r="E806"/>
      <c r="F806" s="35"/>
      <c r="G806"/>
      <c r="H806"/>
    </row>
    <row r="807" spans="3:8" ht="15" x14ac:dyDescent="0.25">
      <c r="C807"/>
      <c r="D807"/>
      <c r="E807"/>
      <c r="F807" s="35"/>
      <c r="G807"/>
      <c r="H807"/>
    </row>
    <row r="808" spans="3:8" ht="15" x14ac:dyDescent="0.25">
      <c r="C808"/>
      <c r="D808"/>
      <c r="E808"/>
      <c r="F808" s="35"/>
      <c r="G808"/>
      <c r="H808"/>
    </row>
    <row r="809" spans="3:8" ht="15" x14ac:dyDescent="0.25">
      <c r="C809"/>
      <c r="D809"/>
      <c r="E809"/>
      <c r="F809" s="35"/>
      <c r="G809"/>
      <c r="H809"/>
    </row>
    <row r="810" spans="3:8" ht="15" x14ac:dyDescent="0.25">
      <c r="C810"/>
      <c r="D810"/>
      <c r="E810"/>
      <c r="F810" s="35"/>
      <c r="G810"/>
      <c r="H810"/>
    </row>
    <row r="811" spans="3:8" ht="15" x14ac:dyDescent="0.25">
      <c r="C811"/>
      <c r="D811"/>
      <c r="E811"/>
      <c r="F811" s="35"/>
      <c r="G811"/>
      <c r="H811"/>
    </row>
    <row r="812" spans="3:8" ht="15" x14ac:dyDescent="0.25">
      <c r="C812"/>
      <c r="D812"/>
      <c r="E812"/>
      <c r="F812" s="35"/>
      <c r="G812"/>
      <c r="H812"/>
    </row>
    <row r="813" spans="3:8" ht="15" x14ac:dyDescent="0.25">
      <c r="C813"/>
      <c r="D813"/>
      <c r="E813"/>
      <c r="F813" s="35"/>
      <c r="G813"/>
      <c r="H813"/>
    </row>
    <row r="814" spans="3:8" ht="15" x14ac:dyDescent="0.25">
      <c r="C814"/>
      <c r="D814"/>
      <c r="E814"/>
      <c r="F814" s="35"/>
      <c r="G814"/>
      <c r="H814"/>
    </row>
    <row r="815" spans="3:8" ht="15" x14ac:dyDescent="0.25">
      <c r="C815"/>
      <c r="D815"/>
      <c r="E815"/>
      <c r="F815" s="35"/>
      <c r="G815"/>
      <c r="H815"/>
    </row>
    <row r="816" spans="3:8" ht="15" x14ac:dyDescent="0.25">
      <c r="C816"/>
      <c r="D816"/>
      <c r="E816"/>
      <c r="F816" s="35"/>
      <c r="G816"/>
      <c r="H816"/>
    </row>
    <row r="817" spans="3:8" ht="15" x14ac:dyDescent="0.25">
      <c r="C817"/>
      <c r="D817"/>
      <c r="E817"/>
      <c r="F817" s="35"/>
      <c r="G817"/>
      <c r="H817"/>
    </row>
    <row r="818" spans="3:8" ht="15" x14ac:dyDescent="0.25">
      <c r="C818"/>
      <c r="D818"/>
      <c r="E818"/>
      <c r="F818" s="35"/>
      <c r="G818"/>
      <c r="H818"/>
    </row>
    <row r="819" spans="3:8" ht="15" x14ac:dyDescent="0.25">
      <c r="C819"/>
      <c r="D819"/>
      <c r="E819"/>
      <c r="F819" s="35"/>
      <c r="G819"/>
      <c r="H819"/>
    </row>
    <row r="820" spans="3:8" ht="15" x14ac:dyDescent="0.25">
      <c r="C820"/>
      <c r="D820"/>
      <c r="E820"/>
      <c r="F820" s="35"/>
      <c r="G820"/>
      <c r="H820"/>
    </row>
    <row r="821" spans="3:8" ht="15" x14ac:dyDescent="0.25">
      <c r="C821"/>
      <c r="D821"/>
      <c r="E821"/>
      <c r="F821" s="35"/>
      <c r="G821"/>
      <c r="H821"/>
    </row>
    <row r="822" spans="3:8" ht="15" x14ac:dyDescent="0.25">
      <c r="C822"/>
      <c r="D822"/>
      <c r="E822"/>
      <c r="F822" s="35"/>
      <c r="G822"/>
      <c r="H822"/>
    </row>
    <row r="823" spans="3:8" ht="15" x14ac:dyDescent="0.25">
      <c r="C823"/>
      <c r="D823"/>
      <c r="E823"/>
      <c r="F823" s="35"/>
      <c r="G823"/>
      <c r="H823"/>
    </row>
    <row r="824" spans="3:8" ht="15" x14ac:dyDescent="0.25">
      <c r="C824"/>
      <c r="D824"/>
      <c r="E824"/>
      <c r="F824" s="35"/>
      <c r="G824"/>
      <c r="H824"/>
    </row>
    <row r="825" spans="3:8" ht="15" x14ac:dyDescent="0.25">
      <c r="C825"/>
      <c r="D825"/>
      <c r="E825"/>
      <c r="F825" s="35"/>
      <c r="G825"/>
      <c r="H825"/>
    </row>
    <row r="826" spans="3:8" ht="15" x14ac:dyDescent="0.25">
      <c r="C826"/>
      <c r="D826"/>
      <c r="E826"/>
      <c r="F826" s="35"/>
      <c r="G826"/>
      <c r="H826"/>
    </row>
    <row r="827" spans="3:8" ht="15" x14ac:dyDescent="0.25">
      <c r="C827"/>
      <c r="D827"/>
      <c r="E827"/>
      <c r="F827" s="35"/>
      <c r="G827"/>
      <c r="H827"/>
    </row>
    <row r="828" spans="3:8" ht="15" x14ac:dyDescent="0.25">
      <c r="C828"/>
      <c r="D828"/>
      <c r="E828"/>
      <c r="F828" s="35"/>
      <c r="G828"/>
      <c r="H828"/>
    </row>
    <row r="829" spans="3:8" ht="15" x14ac:dyDescent="0.25">
      <c r="C829"/>
      <c r="D829"/>
      <c r="E829"/>
      <c r="F829" s="35"/>
      <c r="G829"/>
      <c r="H829"/>
    </row>
    <row r="830" spans="3:8" ht="15" x14ac:dyDescent="0.25">
      <c r="C830"/>
      <c r="D830"/>
      <c r="E830"/>
      <c r="F830" s="35"/>
      <c r="G830"/>
      <c r="H830"/>
    </row>
    <row r="831" spans="3:8" ht="15" x14ac:dyDescent="0.25">
      <c r="C831"/>
      <c r="D831"/>
      <c r="E831"/>
      <c r="F831" s="35"/>
      <c r="G831"/>
      <c r="H831"/>
    </row>
    <row r="832" spans="3:8" ht="15" x14ac:dyDescent="0.25">
      <c r="C832"/>
      <c r="D832"/>
      <c r="E832"/>
      <c r="F832" s="35"/>
      <c r="G832"/>
      <c r="H832"/>
    </row>
    <row r="833" spans="3:8" ht="15" x14ac:dyDescent="0.25">
      <c r="C833"/>
      <c r="D833"/>
      <c r="E833"/>
      <c r="F833" s="35"/>
      <c r="G833"/>
      <c r="H833"/>
    </row>
    <row r="834" spans="3:8" ht="15" x14ac:dyDescent="0.25">
      <c r="C834"/>
      <c r="D834"/>
      <c r="E834"/>
      <c r="F834" s="35"/>
      <c r="G834"/>
      <c r="H834"/>
    </row>
    <row r="835" spans="3:8" ht="15" x14ac:dyDescent="0.25">
      <c r="C835"/>
      <c r="D835"/>
      <c r="E835"/>
      <c r="F835" s="35"/>
      <c r="G835"/>
      <c r="H835"/>
    </row>
    <row r="836" spans="3:8" ht="15" x14ac:dyDescent="0.25">
      <c r="C836"/>
      <c r="D836"/>
      <c r="E836"/>
      <c r="F836" s="35"/>
      <c r="G836"/>
      <c r="H836"/>
    </row>
    <row r="837" spans="3:8" ht="15" x14ac:dyDescent="0.25">
      <c r="C837"/>
      <c r="D837"/>
      <c r="E837"/>
      <c r="F837" s="35"/>
      <c r="G837"/>
      <c r="H837"/>
    </row>
    <row r="838" spans="3:8" ht="15" x14ac:dyDescent="0.25">
      <c r="C838"/>
      <c r="D838"/>
      <c r="E838"/>
      <c r="F838" s="35"/>
      <c r="G838"/>
      <c r="H838"/>
    </row>
    <row r="839" spans="3:8" ht="15" x14ac:dyDescent="0.25">
      <c r="C839"/>
      <c r="D839"/>
      <c r="E839"/>
      <c r="F839" s="35"/>
      <c r="G839"/>
      <c r="H839"/>
    </row>
    <row r="840" spans="3:8" ht="15" x14ac:dyDescent="0.25">
      <c r="C840"/>
      <c r="D840"/>
      <c r="E840"/>
      <c r="F840" s="35"/>
      <c r="G840"/>
      <c r="H840"/>
    </row>
    <row r="841" spans="3:8" ht="15" x14ac:dyDescent="0.25">
      <c r="C841"/>
      <c r="D841"/>
      <c r="E841"/>
      <c r="F841" s="35"/>
      <c r="G841"/>
      <c r="H841"/>
    </row>
    <row r="842" spans="3:8" ht="15" x14ac:dyDescent="0.25">
      <c r="C842"/>
      <c r="D842"/>
      <c r="E842"/>
      <c r="F842" s="35"/>
      <c r="G842"/>
      <c r="H842"/>
    </row>
    <row r="843" spans="3:8" ht="15" x14ac:dyDescent="0.25">
      <c r="C843"/>
      <c r="D843"/>
      <c r="E843"/>
      <c r="F843" s="35"/>
      <c r="G843"/>
      <c r="H843"/>
    </row>
    <row r="844" spans="3:8" ht="15" x14ac:dyDescent="0.25">
      <c r="C844"/>
      <c r="D844"/>
      <c r="E844"/>
      <c r="F844" s="35"/>
      <c r="G844"/>
      <c r="H844"/>
    </row>
    <row r="845" spans="3:8" ht="15" x14ac:dyDescent="0.25">
      <c r="C845"/>
      <c r="D845"/>
      <c r="E845"/>
      <c r="F845" s="35"/>
      <c r="G845"/>
      <c r="H845"/>
    </row>
    <row r="846" spans="3:8" ht="15" x14ac:dyDescent="0.25">
      <c r="C846"/>
      <c r="D846"/>
      <c r="E846"/>
      <c r="F846" s="35"/>
      <c r="G846"/>
      <c r="H846"/>
    </row>
    <row r="847" spans="3:8" ht="15" x14ac:dyDescent="0.25">
      <c r="C847"/>
      <c r="D847"/>
      <c r="E847"/>
      <c r="F847" s="35"/>
      <c r="G847"/>
      <c r="H847"/>
    </row>
    <row r="848" spans="3:8" ht="15" x14ac:dyDescent="0.25">
      <c r="C848"/>
      <c r="D848"/>
      <c r="E848"/>
      <c r="F848" s="35"/>
      <c r="G848"/>
      <c r="H848"/>
    </row>
    <row r="849" spans="3:8" ht="15" x14ac:dyDescent="0.25">
      <c r="C849"/>
      <c r="D849"/>
      <c r="E849"/>
      <c r="F849" s="35"/>
      <c r="G849"/>
      <c r="H849"/>
    </row>
    <row r="850" spans="3:8" ht="15" x14ac:dyDescent="0.25">
      <c r="C850"/>
      <c r="D850"/>
      <c r="E850"/>
      <c r="F850" s="35"/>
      <c r="G850"/>
      <c r="H850"/>
    </row>
    <row r="851" spans="3:8" ht="15" x14ac:dyDescent="0.25">
      <c r="C851"/>
      <c r="D851"/>
      <c r="E851"/>
      <c r="F851" s="35"/>
      <c r="G851"/>
      <c r="H851"/>
    </row>
    <row r="852" spans="3:8" ht="15" x14ac:dyDescent="0.25">
      <c r="C852"/>
      <c r="D852"/>
      <c r="E852"/>
      <c r="F852" s="35"/>
      <c r="G852"/>
      <c r="H852"/>
    </row>
    <row r="853" spans="3:8" ht="15" x14ac:dyDescent="0.25">
      <c r="C853"/>
      <c r="D853"/>
      <c r="E853"/>
      <c r="F853" s="35"/>
      <c r="G853"/>
      <c r="H853"/>
    </row>
    <row r="854" spans="3:8" ht="15" x14ac:dyDescent="0.25">
      <c r="C854"/>
      <c r="D854"/>
      <c r="E854"/>
      <c r="F854" s="35"/>
      <c r="G854"/>
      <c r="H854"/>
    </row>
    <row r="855" spans="3:8" ht="15" x14ac:dyDescent="0.25">
      <c r="C855"/>
      <c r="D855"/>
      <c r="E855"/>
      <c r="F855" s="35"/>
      <c r="G855"/>
      <c r="H855"/>
    </row>
    <row r="856" spans="3:8" ht="15" x14ac:dyDescent="0.25">
      <c r="C856"/>
      <c r="D856"/>
      <c r="E856"/>
      <c r="F856" s="35"/>
      <c r="G856"/>
      <c r="H856"/>
    </row>
    <row r="857" spans="3:8" ht="15" x14ac:dyDescent="0.25">
      <c r="C857"/>
      <c r="D857"/>
      <c r="E857"/>
      <c r="F857" s="35"/>
      <c r="G857"/>
      <c r="H857"/>
    </row>
    <row r="858" spans="3:8" ht="15" x14ac:dyDescent="0.25">
      <c r="C858"/>
      <c r="D858"/>
      <c r="E858"/>
      <c r="F858" s="35"/>
      <c r="G858"/>
      <c r="H858"/>
    </row>
    <row r="859" spans="3:8" ht="15" x14ac:dyDescent="0.25">
      <c r="C859"/>
      <c r="D859"/>
      <c r="E859"/>
      <c r="F859" s="35"/>
      <c r="G859"/>
      <c r="H859"/>
    </row>
    <row r="860" spans="3:8" ht="15" x14ac:dyDescent="0.25">
      <c r="C860"/>
      <c r="D860"/>
      <c r="E860"/>
      <c r="F860" s="35"/>
      <c r="G860"/>
      <c r="H860"/>
    </row>
    <row r="861" spans="3:8" ht="15" x14ac:dyDescent="0.25">
      <c r="C861"/>
      <c r="D861"/>
      <c r="E861"/>
      <c r="F861" s="35"/>
      <c r="G861"/>
      <c r="H861"/>
    </row>
    <row r="862" spans="3:8" ht="15" x14ac:dyDescent="0.25">
      <c r="C862"/>
      <c r="D862"/>
      <c r="E862"/>
      <c r="F862" s="35"/>
      <c r="G862"/>
      <c r="H862"/>
    </row>
    <row r="863" spans="3:8" ht="15" x14ac:dyDescent="0.25">
      <c r="C863"/>
      <c r="D863"/>
      <c r="E863"/>
      <c r="F863" s="35"/>
      <c r="G863"/>
      <c r="H863"/>
    </row>
    <row r="864" spans="3:8" ht="15" x14ac:dyDescent="0.25">
      <c r="C864"/>
      <c r="D864"/>
      <c r="E864"/>
      <c r="F864" s="35"/>
      <c r="G864"/>
      <c r="H864"/>
    </row>
    <row r="865" spans="3:8" ht="15" x14ac:dyDescent="0.25">
      <c r="C865"/>
      <c r="D865"/>
      <c r="E865"/>
      <c r="F865" s="35"/>
      <c r="G865"/>
      <c r="H865"/>
    </row>
    <row r="866" spans="3:8" ht="15" x14ac:dyDescent="0.25">
      <c r="C866"/>
      <c r="D866"/>
      <c r="E866"/>
      <c r="F866" s="35"/>
      <c r="G866"/>
      <c r="H866"/>
    </row>
    <row r="867" spans="3:8" ht="15" x14ac:dyDescent="0.25">
      <c r="C867"/>
      <c r="D867"/>
      <c r="E867"/>
      <c r="F867" s="35"/>
      <c r="G867"/>
      <c r="H867"/>
    </row>
    <row r="868" spans="3:8" ht="15" x14ac:dyDescent="0.25">
      <c r="C868"/>
      <c r="D868"/>
      <c r="E868"/>
      <c r="F868" s="35"/>
      <c r="G868"/>
      <c r="H868"/>
    </row>
    <row r="869" spans="3:8" ht="15" x14ac:dyDescent="0.25">
      <c r="C869"/>
      <c r="D869"/>
      <c r="E869"/>
      <c r="F869" s="35"/>
      <c r="G869"/>
      <c r="H869"/>
    </row>
    <row r="870" spans="3:8" ht="15" x14ac:dyDescent="0.25">
      <c r="C870"/>
      <c r="D870"/>
      <c r="E870"/>
      <c r="F870" s="35"/>
      <c r="G870"/>
      <c r="H870"/>
    </row>
    <row r="871" spans="3:8" ht="15" x14ac:dyDescent="0.25">
      <c r="C871"/>
      <c r="D871"/>
      <c r="E871"/>
      <c r="F871" s="35"/>
      <c r="G871"/>
      <c r="H871"/>
    </row>
    <row r="872" spans="3:8" ht="15" x14ac:dyDescent="0.25">
      <c r="C872"/>
      <c r="D872"/>
      <c r="E872"/>
      <c r="F872" s="35"/>
      <c r="G872"/>
      <c r="H872"/>
    </row>
    <row r="873" spans="3:8" ht="15" x14ac:dyDescent="0.25">
      <c r="C873"/>
      <c r="D873"/>
      <c r="E873"/>
      <c r="F873" s="35"/>
      <c r="G873"/>
      <c r="H873"/>
    </row>
    <row r="874" spans="3:8" ht="15" x14ac:dyDescent="0.25">
      <c r="C874"/>
      <c r="D874"/>
      <c r="E874"/>
      <c r="F874" s="35"/>
      <c r="G874"/>
      <c r="H874"/>
    </row>
    <row r="875" spans="3:8" ht="15" x14ac:dyDescent="0.25">
      <c r="C875"/>
      <c r="D875"/>
      <c r="E875"/>
      <c r="F875" s="35"/>
      <c r="G875"/>
      <c r="H875"/>
    </row>
    <row r="876" spans="3:8" ht="15" x14ac:dyDescent="0.25">
      <c r="C876"/>
      <c r="D876"/>
      <c r="E876"/>
      <c r="F876" s="35"/>
      <c r="G876"/>
      <c r="H876"/>
    </row>
    <row r="877" spans="3:8" ht="15" x14ac:dyDescent="0.25">
      <c r="C877"/>
      <c r="D877"/>
      <c r="E877"/>
      <c r="F877" s="35"/>
      <c r="G877"/>
      <c r="H877"/>
    </row>
    <row r="878" spans="3:8" ht="15" x14ac:dyDescent="0.25">
      <c r="C878"/>
      <c r="D878"/>
      <c r="E878"/>
      <c r="F878" s="35"/>
      <c r="G878"/>
      <c r="H878"/>
    </row>
    <row r="879" spans="3:8" ht="15" x14ac:dyDescent="0.25">
      <c r="C879"/>
      <c r="D879"/>
      <c r="E879"/>
      <c r="F879" s="35"/>
      <c r="G879"/>
      <c r="H879"/>
    </row>
    <row r="880" spans="3:8" ht="15" x14ac:dyDescent="0.25">
      <c r="C880"/>
      <c r="D880"/>
      <c r="E880"/>
      <c r="F880" s="35"/>
      <c r="G880"/>
      <c r="H880"/>
    </row>
    <row r="881" spans="3:8" ht="15" x14ac:dyDescent="0.25">
      <c r="C881"/>
      <c r="D881"/>
      <c r="E881"/>
      <c r="F881" s="35"/>
      <c r="G881"/>
      <c r="H881"/>
    </row>
    <row r="882" spans="3:8" ht="15" x14ac:dyDescent="0.25">
      <c r="C882"/>
      <c r="D882"/>
      <c r="E882"/>
      <c r="F882" s="35"/>
      <c r="G882"/>
      <c r="H882"/>
    </row>
    <row r="883" spans="3:8" ht="15" x14ac:dyDescent="0.25">
      <c r="C883"/>
      <c r="D883"/>
      <c r="E883"/>
      <c r="F883" s="35"/>
      <c r="G883"/>
      <c r="H883"/>
    </row>
    <row r="884" spans="3:8" ht="15" x14ac:dyDescent="0.25">
      <c r="C884"/>
      <c r="D884"/>
      <c r="E884"/>
      <c r="F884" s="35"/>
      <c r="G884"/>
      <c r="H884"/>
    </row>
    <row r="885" spans="3:8" ht="15" x14ac:dyDescent="0.25">
      <c r="C885"/>
      <c r="D885"/>
      <c r="E885"/>
      <c r="F885" s="35"/>
      <c r="G885"/>
      <c r="H885"/>
    </row>
    <row r="886" spans="3:8" ht="15" x14ac:dyDescent="0.25">
      <c r="C886"/>
      <c r="D886"/>
      <c r="E886"/>
      <c r="F886" s="35"/>
      <c r="G886"/>
      <c r="H886"/>
    </row>
    <row r="887" spans="3:8" ht="15" x14ac:dyDescent="0.25">
      <c r="C887"/>
      <c r="D887"/>
      <c r="E887"/>
      <c r="F887" s="35"/>
      <c r="G887"/>
      <c r="H887"/>
    </row>
    <row r="888" spans="3:8" ht="15" x14ac:dyDescent="0.25">
      <c r="C888"/>
      <c r="D888"/>
      <c r="E888"/>
      <c r="F888" s="35"/>
      <c r="G888"/>
      <c r="H888"/>
    </row>
    <row r="889" spans="3:8" ht="15" x14ac:dyDescent="0.25">
      <c r="C889"/>
      <c r="D889"/>
      <c r="E889"/>
      <c r="F889" s="35"/>
      <c r="G889"/>
      <c r="H889"/>
    </row>
    <row r="890" spans="3:8" ht="15" x14ac:dyDescent="0.25">
      <c r="C890"/>
      <c r="D890"/>
      <c r="E890"/>
      <c r="F890" s="35"/>
      <c r="G890"/>
      <c r="H890"/>
    </row>
    <row r="891" spans="3:8" ht="15" x14ac:dyDescent="0.25">
      <c r="C891"/>
      <c r="D891"/>
      <c r="E891"/>
      <c r="F891" s="35"/>
      <c r="G891"/>
      <c r="H891"/>
    </row>
    <row r="892" spans="3:8" ht="15" x14ac:dyDescent="0.25">
      <c r="C892"/>
      <c r="D892"/>
      <c r="E892"/>
      <c r="F892" s="35"/>
      <c r="G892"/>
      <c r="H892"/>
    </row>
    <row r="893" spans="3:8" ht="15" x14ac:dyDescent="0.25">
      <c r="C893"/>
      <c r="D893"/>
      <c r="E893"/>
      <c r="F893" s="35"/>
      <c r="G893"/>
      <c r="H893"/>
    </row>
    <row r="894" spans="3:8" ht="15" x14ac:dyDescent="0.25">
      <c r="C894"/>
      <c r="D894"/>
      <c r="E894"/>
      <c r="F894" s="35"/>
      <c r="G894"/>
      <c r="H894"/>
    </row>
    <row r="895" spans="3:8" ht="15" x14ac:dyDescent="0.25">
      <c r="C895"/>
      <c r="D895"/>
      <c r="E895"/>
      <c r="F895" s="35"/>
      <c r="G895"/>
      <c r="H895"/>
    </row>
    <row r="896" spans="3:8" ht="15" x14ac:dyDescent="0.25">
      <c r="C896"/>
      <c r="D896"/>
      <c r="E896"/>
      <c r="F896" s="35"/>
      <c r="G896"/>
      <c r="H896"/>
    </row>
    <row r="897" spans="3:8" ht="15" x14ac:dyDescent="0.25">
      <c r="C897"/>
      <c r="D897"/>
      <c r="E897"/>
      <c r="F897" s="35"/>
      <c r="G897"/>
      <c r="H897"/>
    </row>
    <row r="898" spans="3:8" ht="15" x14ac:dyDescent="0.25">
      <c r="C898"/>
      <c r="D898"/>
      <c r="E898"/>
      <c r="F898" s="35"/>
      <c r="G898"/>
      <c r="H898"/>
    </row>
    <row r="899" spans="3:8" ht="15" x14ac:dyDescent="0.25">
      <c r="C899"/>
      <c r="D899"/>
      <c r="E899"/>
      <c r="F899" s="35"/>
      <c r="G899"/>
      <c r="H899"/>
    </row>
    <row r="900" spans="3:8" ht="15" x14ac:dyDescent="0.25">
      <c r="C900"/>
      <c r="D900"/>
      <c r="E900"/>
      <c r="F900" s="35"/>
      <c r="G900"/>
      <c r="H900"/>
    </row>
    <row r="901" spans="3:8" ht="15" x14ac:dyDescent="0.25">
      <c r="C901"/>
      <c r="D901"/>
      <c r="E901"/>
      <c r="F901" s="35"/>
      <c r="G901"/>
      <c r="H901"/>
    </row>
    <row r="902" spans="3:8" ht="15" x14ac:dyDescent="0.25">
      <c r="C902"/>
      <c r="D902"/>
      <c r="E902"/>
      <c r="F902" s="35"/>
      <c r="G902"/>
      <c r="H902"/>
    </row>
    <row r="903" spans="3:8" ht="15" x14ac:dyDescent="0.25">
      <c r="C903"/>
      <c r="D903"/>
      <c r="E903"/>
      <c r="F903" s="35"/>
      <c r="G903"/>
      <c r="H903"/>
    </row>
    <row r="904" spans="3:8" ht="15" x14ac:dyDescent="0.25">
      <c r="C904"/>
      <c r="D904"/>
      <c r="E904"/>
      <c r="F904" s="35"/>
      <c r="G904"/>
      <c r="H904"/>
    </row>
    <row r="905" spans="3:8" ht="15" x14ac:dyDescent="0.25">
      <c r="C905"/>
      <c r="D905"/>
      <c r="E905"/>
      <c r="F905" s="35"/>
      <c r="G905"/>
      <c r="H905"/>
    </row>
    <row r="906" spans="3:8" ht="15" x14ac:dyDescent="0.25">
      <c r="C906"/>
      <c r="D906"/>
      <c r="E906"/>
      <c r="F906" s="35"/>
      <c r="G906"/>
      <c r="H906"/>
    </row>
    <row r="907" spans="3:8" ht="15" x14ac:dyDescent="0.25">
      <c r="C907"/>
      <c r="D907"/>
      <c r="E907"/>
      <c r="F907" s="35"/>
      <c r="G907"/>
      <c r="H907"/>
    </row>
    <row r="908" spans="3:8" ht="15" x14ac:dyDescent="0.25">
      <c r="C908"/>
      <c r="D908"/>
      <c r="E908"/>
      <c r="F908" s="35"/>
      <c r="G908"/>
      <c r="H908"/>
    </row>
    <row r="909" spans="3:8" ht="15" x14ac:dyDescent="0.25">
      <c r="C909"/>
      <c r="D909"/>
      <c r="E909"/>
      <c r="F909" s="35"/>
      <c r="G909"/>
      <c r="H909"/>
    </row>
    <row r="910" spans="3:8" ht="15" x14ac:dyDescent="0.25">
      <c r="C910"/>
      <c r="D910"/>
      <c r="E910"/>
      <c r="F910" s="35"/>
      <c r="G910"/>
      <c r="H910"/>
    </row>
    <row r="911" spans="3:8" ht="15" x14ac:dyDescent="0.25">
      <c r="C911"/>
      <c r="D911"/>
      <c r="E911"/>
      <c r="F911" s="35"/>
      <c r="G911"/>
      <c r="H911"/>
    </row>
    <row r="912" spans="3:8" ht="15" x14ac:dyDescent="0.25">
      <c r="C912"/>
      <c r="D912"/>
      <c r="E912"/>
      <c r="F912" s="35"/>
      <c r="G912"/>
      <c r="H912"/>
    </row>
    <row r="913" spans="3:8" ht="15" x14ac:dyDescent="0.25">
      <c r="C913"/>
      <c r="D913"/>
      <c r="E913"/>
      <c r="F913" s="35"/>
      <c r="G913"/>
      <c r="H913"/>
    </row>
    <row r="914" spans="3:8" ht="15" x14ac:dyDescent="0.25">
      <c r="C914"/>
      <c r="D914"/>
      <c r="E914"/>
      <c r="F914" s="35"/>
      <c r="G914"/>
      <c r="H914"/>
    </row>
    <row r="915" spans="3:8" ht="15" x14ac:dyDescent="0.25">
      <c r="C915"/>
      <c r="D915"/>
      <c r="E915"/>
      <c r="F915" s="35"/>
      <c r="G915"/>
      <c r="H915"/>
    </row>
    <row r="916" spans="3:8" ht="15" x14ac:dyDescent="0.25">
      <c r="C916"/>
      <c r="D916"/>
      <c r="E916"/>
      <c r="F916" s="35"/>
      <c r="G916"/>
      <c r="H916"/>
    </row>
    <row r="917" spans="3:8" ht="15" x14ac:dyDescent="0.25">
      <c r="C917"/>
      <c r="D917"/>
      <c r="E917"/>
      <c r="F917" s="35"/>
      <c r="G917"/>
      <c r="H917"/>
    </row>
    <row r="918" spans="3:8" ht="15" x14ac:dyDescent="0.25">
      <c r="C918"/>
      <c r="D918"/>
      <c r="E918"/>
      <c r="F918" s="35"/>
      <c r="G918"/>
      <c r="H918"/>
    </row>
    <row r="919" spans="3:8" ht="15" x14ac:dyDescent="0.25">
      <c r="C919"/>
      <c r="D919"/>
      <c r="E919"/>
      <c r="F919" s="35"/>
      <c r="G919"/>
      <c r="H919"/>
    </row>
    <row r="920" spans="3:8" ht="15" x14ac:dyDescent="0.25">
      <c r="C920"/>
      <c r="D920"/>
      <c r="E920"/>
      <c r="F920" s="35"/>
      <c r="G920"/>
      <c r="H920"/>
    </row>
    <row r="921" spans="3:8" ht="15" x14ac:dyDescent="0.25">
      <c r="C921"/>
      <c r="D921"/>
      <c r="E921"/>
      <c r="F921" s="35"/>
      <c r="G921"/>
      <c r="H921"/>
    </row>
    <row r="922" spans="3:8" ht="15" x14ac:dyDescent="0.25">
      <c r="C922"/>
      <c r="D922"/>
      <c r="E922"/>
      <c r="F922" s="35"/>
      <c r="G922"/>
      <c r="H922"/>
    </row>
    <row r="923" spans="3:8" ht="15" x14ac:dyDescent="0.25">
      <c r="C923"/>
      <c r="D923"/>
      <c r="E923"/>
      <c r="F923" s="35"/>
      <c r="G923"/>
      <c r="H923"/>
    </row>
    <row r="924" spans="3:8" ht="15" x14ac:dyDescent="0.25">
      <c r="C924"/>
      <c r="D924"/>
      <c r="E924"/>
      <c r="F924" s="35"/>
      <c r="G924"/>
      <c r="H924"/>
    </row>
    <row r="925" spans="3:8" ht="15" x14ac:dyDescent="0.25">
      <c r="C925"/>
      <c r="D925"/>
      <c r="E925"/>
      <c r="F925" s="35"/>
      <c r="G925"/>
      <c r="H925"/>
    </row>
    <row r="926" spans="3:8" ht="15" x14ac:dyDescent="0.25">
      <c r="C926"/>
      <c r="D926"/>
      <c r="E926"/>
      <c r="F926" s="35"/>
      <c r="G926"/>
      <c r="H926"/>
    </row>
    <row r="927" spans="3:8" ht="15" x14ac:dyDescent="0.25">
      <c r="C927"/>
      <c r="D927"/>
      <c r="E927"/>
      <c r="F927" s="35"/>
      <c r="G927"/>
      <c r="H927"/>
    </row>
    <row r="928" spans="3:8" ht="15" x14ac:dyDescent="0.25">
      <c r="C928"/>
      <c r="D928"/>
      <c r="E928"/>
      <c r="F928" s="35"/>
      <c r="G928"/>
      <c r="H928"/>
    </row>
    <row r="929" spans="3:8" ht="15" x14ac:dyDescent="0.25">
      <c r="C929"/>
      <c r="D929"/>
      <c r="E929"/>
      <c r="F929" s="35"/>
      <c r="G929"/>
      <c r="H929"/>
    </row>
    <row r="930" spans="3:8" ht="15" x14ac:dyDescent="0.25">
      <c r="C930"/>
      <c r="D930"/>
      <c r="E930"/>
      <c r="F930" s="35"/>
      <c r="G930"/>
      <c r="H930"/>
    </row>
    <row r="931" spans="3:8" ht="15" x14ac:dyDescent="0.25">
      <c r="C931"/>
      <c r="D931"/>
      <c r="E931"/>
      <c r="F931" s="35"/>
      <c r="G931"/>
      <c r="H931"/>
    </row>
    <row r="932" spans="3:8" ht="15" x14ac:dyDescent="0.25">
      <c r="C932"/>
      <c r="D932"/>
      <c r="E932"/>
      <c r="F932" s="35"/>
      <c r="G932"/>
      <c r="H932"/>
    </row>
    <row r="933" spans="3:8" ht="15" x14ac:dyDescent="0.25">
      <c r="C933"/>
      <c r="D933"/>
      <c r="E933"/>
      <c r="F933" s="35"/>
      <c r="G933"/>
      <c r="H933"/>
    </row>
    <row r="934" spans="3:8" ht="15" x14ac:dyDescent="0.25">
      <c r="C934"/>
      <c r="D934"/>
      <c r="E934"/>
      <c r="F934" s="35"/>
      <c r="G934"/>
      <c r="H934"/>
    </row>
    <row r="935" spans="3:8" ht="15" x14ac:dyDescent="0.25">
      <c r="C935"/>
      <c r="D935"/>
      <c r="E935"/>
      <c r="F935" s="35"/>
      <c r="G935"/>
      <c r="H935"/>
    </row>
    <row r="936" spans="3:8" ht="15" x14ac:dyDescent="0.25">
      <c r="C936"/>
      <c r="D936"/>
      <c r="E936"/>
      <c r="F936" s="35"/>
      <c r="G936"/>
      <c r="H936"/>
    </row>
    <row r="937" spans="3:8" ht="15" x14ac:dyDescent="0.25">
      <c r="C937"/>
      <c r="D937"/>
      <c r="E937"/>
      <c r="F937" s="35"/>
      <c r="G937"/>
      <c r="H937"/>
    </row>
    <row r="938" spans="3:8" ht="15" x14ac:dyDescent="0.25">
      <c r="C938"/>
      <c r="D938"/>
      <c r="E938"/>
      <c r="F938" s="35"/>
      <c r="G938"/>
      <c r="H938"/>
    </row>
    <row r="939" spans="3:8" ht="15" x14ac:dyDescent="0.25">
      <c r="C939"/>
      <c r="D939"/>
      <c r="E939"/>
      <c r="F939" s="35"/>
      <c r="G939"/>
      <c r="H939"/>
    </row>
    <row r="940" spans="3:8" ht="15" x14ac:dyDescent="0.25">
      <c r="C940"/>
      <c r="D940"/>
      <c r="E940"/>
      <c r="F940" s="35"/>
      <c r="G940"/>
      <c r="H940"/>
    </row>
    <row r="941" spans="3:8" ht="15" x14ac:dyDescent="0.25">
      <c r="C941"/>
      <c r="D941"/>
      <c r="E941"/>
      <c r="F941" s="35"/>
      <c r="G941"/>
      <c r="H941"/>
    </row>
    <row r="942" spans="3:8" ht="15" x14ac:dyDescent="0.25">
      <c r="C942"/>
      <c r="D942"/>
      <c r="E942"/>
      <c r="F942" s="35"/>
      <c r="G942"/>
      <c r="H942"/>
    </row>
    <row r="943" spans="3:8" ht="15" x14ac:dyDescent="0.25">
      <c r="C943"/>
      <c r="D943"/>
      <c r="E943"/>
      <c r="F943" s="35"/>
      <c r="G943"/>
      <c r="H943"/>
    </row>
    <row r="944" spans="3:8" ht="15" x14ac:dyDescent="0.25">
      <c r="C944"/>
      <c r="D944"/>
      <c r="E944"/>
      <c r="F944" s="35"/>
      <c r="G944"/>
      <c r="H944"/>
    </row>
    <row r="945" spans="3:8" ht="15" x14ac:dyDescent="0.25">
      <c r="C945"/>
      <c r="D945"/>
      <c r="E945"/>
      <c r="F945" s="35"/>
      <c r="G945"/>
      <c r="H945"/>
    </row>
    <row r="946" spans="3:8" ht="15" x14ac:dyDescent="0.25">
      <c r="C946"/>
      <c r="D946"/>
      <c r="E946"/>
      <c r="F946" s="35"/>
      <c r="G946"/>
      <c r="H946"/>
    </row>
    <row r="947" spans="3:8" ht="15" x14ac:dyDescent="0.25">
      <c r="C947"/>
      <c r="D947"/>
      <c r="E947"/>
      <c r="F947" s="35"/>
      <c r="G947"/>
      <c r="H947"/>
    </row>
    <row r="948" spans="3:8" ht="15" x14ac:dyDescent="0.25">
      <c r="C948"/>
      <c r="D948"/>
      <c r="E948"/>
      <c r="F948" s="35"/>
      <c r="G948"/>
      <c r="H948"/>
    </row>
    <row r="949" spans="3:8" ht="15" x14ac:dyDescent="0.25">
      <c r="C949"/>
      <c r="D949"/>
      <c r="E949"/>
      <c r="F949" s="35"/>
      <c r="G949"/>
      <c r="H949"/>
    </row>
    <row r="950" spans="3:8" ht="15" x14ac:dyDescent="0.25">
      <c r="C950"/>
      <c r="D950"/>
      <c r="E950"/>
      <c r="F950" s="35"/>
      <c r="G950"/>
      <c r="H950"/>
    </row>
    <row r="951" spans="3:8" ht="15" x14ac:dyDescent="0.25">
      <c r="C951"/>
      <c r="D951"/>
      <c r="E951"/>
      <c r="F951" s="35"/>
      <c r="G951"/>
      <c r="H951"/>
    </row>
    <row r="952" spans="3:8" ht="15" x14ac:dyDescent="0.25">
      <c r="C952"/>
      <c r="D952"/>
      <c r="E952"/>
      <c r="F952" s="35"/>
      <c r="G952"/>
      <c r="H952"/>
    </row>
    <row r="953" spans="3:8" ht="15" x14ac:dyDescent="0.25">
      <c r="C953"/>
      <c r="D953"/>
      <c r="E953"/>
      <c r="F953" s="35"/>
      <c r="G953"/>
      <c r="H953"/>
    </row>
    <row r="954" spans="3:8" ht="15" x14ac:dyDescent="0.25">
      <c r="C954"/>
      <c r="D954"/>
      <c r="E954"/>
      <c r="F954" s="35"/>
      <c r="G954"/>
      <c r="H954"/>
    </row>
    <row r="955" spans="3:8" ht="15" x14ac:dyDescent="0.25">
      <c r="C955"/>
      <c r="D955"/>
      <c r="E955"/>
      <c r="F955" s="35"/>
      <c r="G955"/>
      <c r="H955"/>
    </row>
    <row r="956" spans="3:8" ht="15" x14ac:dyDescent="0.25">
      <c r="C956"/>
      <c r="D956"/>
      <c r="E956"/>
      <c r="F956" s="35"/>
      <c r="G956"/>
      <c r="H956"/>
    </row>
    <row r="957" spans="3:8" ht="15" x14ac:dyDescent="0.25">
      <c r="C957"/>
      <c r="D957"/>
      <c r="E957"/>
      <c r="F957" s="35"/>
      <c r="G957"/>
      <c r="H957"/>
    </row>
    <row r="958" spans="3:8" ht="15" x14ac:dyDescent="0.25">
      <c r="C958"/>
      <c r="D958"/>
      <c r="E958"/>
      <c r="F958" s="35"/>
      <c r="G958"/>
      <c r="H958"/>
    </row>
    <row r="959" spans="3:8" ht="15" x14ac:dyDescent="0.25">
      <c r="C959"/>
      <c r="D959"/>
      <c r="E959"/>
      <c r="F959" s="35"/>
      <c r="G959"/>
      <c r="H959"/>
    </row>
    <row r="960" spans="3:8" ht="15" x14ac:dyDescent="0.25">
      <c r="C960"/>
      <c r="D960"/>
      <c r="E960"/>
      <c r="F960" s="35"/>
      <c r="G960"/>
      <c r="H960"/>
    </row>
    <row r="961" spans="3:8" ht="15" x14ac:dyDescent="0.25">
      <c r="C961"/>
      <c r="D961"/>
      <c r="E961"/>
      <c r="F961" s="35"/>
      <c r="G961"/>
      <c r="H961"/>
    </row>
    <row r="962" spans="3:8" ht="15" x14ac:dyDescent="0.25">
      <c r="C962"/>
      <c r="D962"/>
      <c r="E962"/>
      <c r="F962" s="35"/>
      <c r="G962"/>
      <c r="H962"/>
    </row>
    <row r="963" spans="3:8" ht="15" x14ac:dyDescent="0.25">
      <c r="C963"/>
      <c r="D963"/>
      <c r="E963"/>
      <c r="F963" s="35"/>
      <c r="G963"/>
      <c r="H963"/>
    </row>
    <row r="964" spans="3:8" ht="15" x14ac:dyDescent="0.25">
      <c r="C964"/>
      <c r="D964"/>
      <c r="E964"/>
      <c r="F964" s="35"/>
      <c r="G964"/>
      <c r="H964"/>
    </row>
    <row r="965" spans="3:8" ht="15" x14ac:dyDescent="0.25">
      <c r="C965"/>
      <c r="D965"/>
      <c r="E965"/>
      <c r="F965" s="35"/>
      <c r="G965"/>
      <c r="H965"/>
    </row>
    <row r="966" spans="3:8" ht="15" x14ac:dyDescent="0.25">
      <c r="C966"/>
      <c r="D966"/>
      <c r="E966"/>
      <c r="F966" s="35"/>
      <c r="G966"/>
      <c r="H966"/>
    </row>
    <row r="967" spans="3:8" ht="15" x14ac:dyDescent="0.25">
      <c r="C967"/>
      <c r="D967"/>
      <c r="E967"/>
      <c r="F967" s="35"/>
      <c r="G967"/>
      <c r="H967"/>
    </row>
    <row r="968" spans="3:8" ht="15" x14ac:dyDescent="0.25">
      <c r="C968"/>
      <c r="D968"/>
      <c r="E968"/>
      <c r="F968" s="35"/>
      <c r="G968"/>
      <c r="H968"/>
    </row>
    <row r="969" spans="3:8" ht="15" x14ac:dyDescent="0.25">
      <c r="C969"/>
      <c r="D969"/>
      <c r="E969"/>
      <c r="F969" s="35"/>
      <c r="G969"/>
      <c r="H969"/>
    </row>
    <row r="970" spans="3:8" ht="15" x14ac:dyDescent="0.25">
      <c r="C970"/>
      <c r="D970"/>
      <c r="E970"/>
      <c r="F970" s="35"/>
      <c r="G970"/>
      <c r="H970"/>
    </row>
    <row r="971" spans="3:8" ht="15" x14ac:dyDescent="0.25">
      <c r="C971"/>
      <c r="D971"/>
      <c r="E971"/>
      <c r="F971" s="35"/>
      <c r="G971"/>
      <c r="H971"/>
    </row>
    <row r="972" spans="3:8" ht="15" x14ac:dyDescent="0.25">
      <c r="C972"/>
      <c r="D972"/>
      <c r="E972"/>
      <c r="F972" s="35"/>
      <c r="G972"/>
      <c r="H972"/>
    </row>
    <row r="973" spans="3:8" ht="15" x14ac:dyDescent="0.25">
      <c r="C973"/>
      <c r="D973"/>
      <c r="E973"/>
      <c r="F973" s="35"/>
      <c r="G973"/>
      <c r="H973"/>
    </row>
    <row r="974" spans="3:8" ht="15" x14ac:dyDescent="0.25">
      <c r="C974"/>
      <c r="D974"/>
      <c r="E974"/>
      <c r="F974" s="35"/>
      <c r="G974"/>
      <c r="H974"/>
    </row>
    <row r="975" spans="3:8" ht="15" x14ac:dyDescent="0.25">
      <c r="C975"/>
      <c r="D975"/>
      <c r="E975"/>
      <c r="F975" s="35"/>
      <c r="G975"/>
      <c r="H975"/>
    </row>
    <row r="976" spans="3:8" ht="15" x14ac:dyDescent="0.25">
      <c r="C976"/>
      <c r="D976"/>
      <c r="E976"/>
      <c r="F976" s="35"/>
      <c r="G976"/>
      <c r="H976"/>
    </row>
    <row r="977" spans="3:8" ht="15" x14ac:dyDescent="0.25">
      <c r="C977"/>
      <c r="D977"/>
      <c r="E977"/>
      <c r="F977" s="35"/>
      <c r="G977"/>
      <c r="H977"/>
    </row>
    <row r="978" spans="3:8" ht="15" x14ac:dyDescent="0.25">
      <c r="C978"/>
      <c r="D978"/>
      <c r="E978"/>
      <c r="F978" s="35"/>
      <c r="G978"/>
      <c r="H978"/>
    </row>
    <row r="979" spans="3:8" ht="15" x14ac:dyDescent="0.25">
      <c r="C979"/>
      <c r="D979"/>
      <c r="E979"/>
      <c r="F979" s="35"/>
      <c r="G979"/>
      <c r="H979"/>
    </row>
    <row r="980" spans="3:8" ht="15" x14ac:dyDescent="0.25">
      <c r="C980"/>
      <c r="D980"/>
      <c r="E980"/>
      <c r="F980" s="35"/>
      <c r="G980"/>
      <c r="H980"/>
    </row>
    <row r="981" spans="3:8" ht="15" x14ac:dyDescent="0.25">
      <c r="C981"/>
      <c r="D981"/>
      <c r="E981"/>
      <c r="F981" s="35"/>
      <c r="G981"/>
      <c r="H981"/>
    </row>
    <row r="982" spans="3:8" ht="15" x14ac:dyDescent="0.25">
      <c r="C982"/>
      <c r="D982"/>
      <c r="E982"/>
      <c r="F982" s="35"/>
      <c r="G982"/>
      <c r="H982"/>
    </row>
    <row r="983" spans="3:8" ht="15" x14ac:dyDescent="0.25">
      <c r="C983"/>
      <c r="D983"/>
      <c r="E983"/>
      <c r="F983" s="35"/>
      <c r="G983"/>
      <c r="H983"/>
    </row>
    <row r="984" spans="3:8" ht="15" x14ac:dyDescent="0.25">
      <c r="C984"/>
      <c r="D984"/>
      <c r="E984"/>
      <c r="F984" s="35"/>
      <c r="G984"/>
      <c r="H984"/>
    </row>
    <row r="985" spans="3:8" ht="15" x14ac:dyDescent="0.25">
      <c r="C985"/>
      <c r="D985"/>
      <c r="E985"/>
      <c r="F985" s="35"/>
      <c r="G985"/>
      <c r="H985"/>
    </row>
    <row r="986" spans="3:8" ht="15" x14ac:dyDescent="0.25">
      <c r="C986"/>
      <c r="D986"/>
      <c r="E986"/>
      <c r="F986" s="35"/>
      <c r="G986"/>
      <c r="H986"/>
    </row>
    <row r="987" spans="3:8" ht="15" x14ac:dyDescent="0.25">
      <c r="C987"/>
      <c r="D987"/>
      <c r="E987"/>
      <c r="F987" s="35"/>
      <c r="G987"/>
      <c r="H987"/>
    </row>
    <row r="988" spans="3:8" ht="15" x14ac:dyDescent="0.25">
      <c r="C988"/>
      <c r="D988"/>
      <c r="E988"/>
      <c r="F988" s="35"/>
      <c r="G988"/>
      <c r="H988"/>
    </row>
    <row r="989" spans="3:8" ht="15" x14ac:dyDescent="0.25">
      <c r="C989"/>
      <c r="D989"/>
      <c r="E989"/>
      <c r="F989" s="35"/>
      <c r="G989"/>
      <c r="H989"/>
    </row>
    <row r="990" spans="3:8" ht="15" x14ac:dyDescent="0.25">
      <c r="C990"/>
      <c r="D990"/>
      <c r="E990"/>
      <c r="F990" s="35"/>
      <c r="G990"/>
      <c r="H990"/>
    </row>
    <row r="991" spans="3:8" ht="15" x14ac:dyDescent="0.25">
      <c r="C991"/>
      <c r="D991"/>
      <c r="E991"/>
      <c r="F991" s="35"/>
      <c r="G991"/>
      <c r="H991"/>
    </row>
    <row r="992" spans="3:8" ht="15" x14ac:dyDescent="0.25">
      <c r="C992"/>
      <c r="D992"/>
      <c r="E992"/>
      <c r="F992" s="35"/>
      <c r="G992"/>
      <c r="H992"/>
    </row>
    <row r="993" spans="3:8" ht="15" x14ac:dyDescent="0.25">
      <c r="C993"/>
      <c r="D993"/>
      <c r="E993"/>
      <c r="F993" s="35"/>
      <c r="G993"/>
      <c r="H993"/>
    </row>
    <row r="994" spans="3:8" ht="15" x14ac:dyDescent="0.25">
      <c r="C994"/>
      <c r="D994"/>
      <c r="E994"/>
      <c r="F994" s="35"/>
      <c r="G994"/>
      <c r="H994"/>
    </row>
    <row r="995" spans="3:8" ht="15" x14ac:dyDescent="0.25">
      <c r="C995"/>
      <c r="D995"/>
      <c r="E995"/>
      <c r="F995" s="35"/>
      <c r="G995"/>
      <c r="H995"/>
    </row>
    <row r="996" spans="3:8" ht="15" x14ac:dyDescent="0.25">
      <c r="C996"/>
      <c r="D996"/>
      <c r="E996"/>
      <c r="F996" s="35"/>
      <c r="G996"/>
      <c r="H996"/>
    </row>
    <row r="997" spans="3:8" ht="15" x14ac:dyDescent="0.25">
      <c r="C997"/>
      <c r="D997"/>
      <c r="E997"/>
      <c r="F997" s="35"/>
      <c r="G997"/>
      <c r="H997"/>
    </row>
    <row r="998" spans="3:8" ht="15" x14ac:dyDescent="0.25">
      <c r="C998"/>
      <c r="D998"/>
      <c r="E998"/>
      <c r="F998" s="35"/>
      <c r="G998"/>
      <c r="H998"/>
    </row>
    <row r="999" spans="3:8" ht="15" x14ac:dyDescent="0.25">
      <c r="C999"/>
      <c r="D999"/>
      <c r="E999"/>
      <c r="F999" s="35"/>
      <c r="G999"/>
      <c r="H999"/>
    </row>
    <row r="1000" spans="3:8" ht="15" x14ac:dyDescent="0.25">
      <c r="C1000"/>
      <c r="D1000"/>
      <c r="E1000"/>
      <c r="F1000" s="35"/>
      <c r="G1000"/>
      <c r="H1000"/>
    </row>
    <row r="1001" spans="3:8" ht="15" x14ac:dyDescent="0.25">
      <c r="C1001"/>
      <c r="D1001"/>
      <c r="E1001"/>
      <c r="F1001" s="35"/>
      <c r="G1001"/>
      <c r="H1001"/>
    </row>
    <row r="1002" spans="3:8" ht="15" x14ac:dyDescent="0.25">
      <c r="C1002"/>
      <c r="D1002"/>
      <c r="E1002"/>
      <c r="F1002" s="35"/>
      <c r="G1002"/>
      <c r="H1002"/>
    </row>
    <row r="1003" spans="3:8" ht="15" x14ac:dyDescent="0.25">
      <c r="C1003"/>
      <c r="D1003"/>
      <c r="E1003"/>
      <c r="F1003" s="35"/>
      <c r="G1003"/>
      <c r="H1003"/>
    </row>
    <row r="1004" spans="3:8" ht="15" x14ac:dyDescent="0.25">
      <c r="C1004"/>
      <c r="D1004"/>
      <c r="E1004"/>
      <c r="F1004" s="35"/>
      <c r="G1004"/>
      <c r="H1004"/>
    </row>
    <row r="1005" spans="3:8" ht="15" x14ac:dyDescent="0.25">
      <c r="C1005"/>
      <c r="D1005"/>
      <c r="E1005"/>
      <c r="F1005" s="35"/>
      <c r="G1005"/>
      <c r="H1005"/>
    </row>
    <row r="1006" spans="3:8" ht="15" x14ac:dyDescent="0.25">
      <c r="C1006"/>
      <c r="D1006"/>
      <c r="E1006"/>
      <c r="F1006" s="35"/>
      <c r="G1006"/>
      <c r="H1006"/>
    </row>
    <row r="1007" spans="3:8" ht="15" x14ac:dyDescent="0.25">
      <c r="C1007"/>
      <c r="D1007"/>
      <c r="E1007"/>
      <c r="F1007" s="35"/>
      <c r="G1007"/>
      <c r="H1007"/>
    </row>
    <row r="1008" spans="3:8" ht="15" x14ac:dyDescent="0.25">
      <c r="C1008"/>
      <c r="D1008"/>
      <c r="E1008"/>
      <c r="F1008" s="35"/>
      <c r="G1008"/>
      <c r="H1008"/>
    </row>
    <row r="1009" spans="3:8" ht="15" x14ac:dyDescent="0.25">
      <c r="C1009"/>
      <c r="D1009"/>
      <c r="E1009"/>
      <c r="F1009" s="35"/>
      <c r="G1009"/>
      <c r="H1009"/>
    </row>
    <row r="1010" spans="3:8" ht="15" x14ac:dyDescent="0.25">
      <c r="C1010"/>
      <c r="D1010"/>
      <c r="E1010"/>
      <c r="F1010" s="35"/>
      <c r="G1010"/>
      <c r="H1010"/>
    </row>
    <row r="1011" spans="3:8" ht="15" x14ac:dyDescent="0.25">
      <c r="C1011"/>
      <c r="D1011"/>
      <c r="E1011"/>
      <c r="F1011" s="35"/>
      <c r="G1011"/>
      <c r="H1011"/>
    </row>
    <row r="1012" spans="3:8" ht="15" x14ac:dyDescent="0.25">
      <c r="C1012"/>
      <c r="D1012"/>
      <c r="E1012"/>
      <c r="F1012" s="35"/>
      <c r="G1012"/>
      <c r="H1012"/>
    </row>
    <row r="1013" spans="3:8" ht="15" x14ac:dyDescent="0.25">
      <c r="C1013"/>
      <c r="D1013"/>
      <c r="E1013"/>
      <c r="F1013" s="35"/>
      <c r="G1013"/>
      <c r="H1013"/>
    </row>
    <row r="1014" spans="3:8" ht="15" x14ac:dyDescent="0.25">
      <c r="C1014"/>
      <c r="D1014"/>
      <c r="E1014"/>
      <c r="F1014" s="35"/>
      <c r="G1014"/>
      <c r="H1014"/>
    </row>
    <row r="1015" spans="3:8" ht="15" x14ac:dyDescent="0.25">
      <c r="C1015"/>
      <c r="D1015"/>
      <c r="E1015"/>
      <c r="F1015" s="35"/>
      <c r="G1015"/>
      <c r="H1015"/>
    </row>
    <row r="1016" spans="3:8" ht="15" x14ac:dyDescent="0.25">
      <c r="C1016"/>
      <c r="D1016"/>
      <c r="E1016"/>
      <c r="F1016" s="35"/>
      <c r="G1016"/>
      <c r="H1016"/>
    </row>
    <row r="1017" spans="3:8" ht="15" x14ac:dyDescent="0.25">
      <c r="C1017"/>
      <c r="D1017"/>
      <c r="E1017"/>
      <c r="F1017" s="35"/>
      <c r="G1017"/>
      <c r="H1017"/>
    </row>
    <row r="1018" spans="3:8" ht="15" x14ac:dyDescent="0.25">
      <c r="C1018"/>
      <c r="D1018"/>
      <c r="E1018"/>
      <c r="F1018" s="35"/>
      <c r="G1018"/>
      <c r="H1018"/>
    </row>
    <row r="1019" spans="3:8" ht="15" x14ac:dyDescent="0.25">
      <c r="C1019"/>
      <c r="D1019"/>
      <c r="E1019"/>
      <c r="F1019" s="35"/>
      <c r="G1019"/>
      <c r="H1019"/>
    </row>
    <row r="1020" spans="3:8" ht="15" x14ac:dyDescent="0.25">
      <c r="C1020"/>
      <c r="D1020"/>
      <c r="E1020"/>
      <c r="F1020" s="35"/>
      <c r="G1020"/>
      <c r="H1020"/>
    </row>
    <row r="1021" spans="3:8" ht="15" x14ac:dyDescent="0.25">
      <c r="C1021"/>
      <c r="D1021"/>
      <c r="E1021"/>
      <c r="F1021" s="35"/>
      <c r="G1021"/>
      <c r="H1021"/>
    </row>
    <row r="1022" spans="3:8" ht="15" x14ac:dyDescent="0.25">
      <c r="C1022"/>
      <c r="D1022"/>
      <c r="E1022"/>
      <c r="F1022" s="35"/>
      <c r="G1022"/>
      <c r="H1022"/>
    </row>
    <row r="1023" spans="3:8" ht="15" x14ac:dyDescent="0.25">
      <c r="C1023"/>
      <c r="D1023"/>
      <c r="E1023"/>
      <c r="F1023" s="35"/>
      <c r="G1023"/>
      <c r="H1023"/>
    </row>
    <row r="1024" spans="3:8" ht="15" x14ac:dyDescent="0.25">
      <c r="C1024"/>
      <c r="D1024"/>
      <c r="E1024"/>
      <c r="F1024" s="35"/>
      <c r="G1024"/>
      <c r="H1024"/>
    </row>
    <row r="1025" spans="3:8" ht="15" x14ac:dyDescent="0.25">
      <c r="C1025"/>
      <c r="D1025"/>
      <c r="E1025"/>
      <c r="F1025" s="35"/>
      <c r="G1025"/>
      <c r="H1025"/>
    </row>
    <row r="1026" spans="3:8" ht="15" x14ac:dyDescent="0.25">
      <c r="C1026"/>
      <c r="D1026"/>
      <c r="E1026"/>
      <c r="F1026" s="35"/>
      <c r="G1026"/>
      <c r="H1026"/>
    </row>
    <row r="1027" spans="3:8" ht="15" x14ac:dyDescent="0.25">
      <c r="C1027"/>
      <c r="D1027"/>
      <c r="E1027"/>
      <c r="F1027" s="35"/>
      <c r="G1027"/>
      <c r="H1027"/>
    </row>
    <row r="1028" spans="3:8" ht="15" x14ac:dyDescent="0.25">
      <c r="C1028"/>
      <c r="D1028"/>
      <c r="E1028"/>
      <c r="F1028" s="35"/>
      <c r="G1028"/>
      <c r="H1028"/>
    </row>
    <row r="1029" spans="3:8" ht="15" x14ac:dyDescent="0.25">
      <c r="C1029"/>
      <c r="D1029"/>
      <c r="E1029"/>
      <c r="F1029" s="35"/>
      <c r="G1029"/>
      <c r="H1029"/>
    </row>
    <row r="1030" spans="3:8" ht="15" x14ac:dyDescent="0.25">
      <c r="C1030"/>
      <c r="D1030"/>
      <c r="E1030"/>
      <c r="F1030" s="35"/>
      <c r="G1030"/>
      <c r="H1030"/>
    </row>
    <row r="1031" spans="3:8" ht="15" x14ac:dyDescent="0.25">
      <c r="C1031"/>
      <c r="D1031"/>
      <c r="E1031"/>
      <c r="F1031" s="35"/>
      <c r="G1031"/>
      <c r="H1031"/>
    </row>
    <row r="1032" spans="3:8" ht="15" x14ac:dyDescent="0.25">
      <c r="C1032"/>
      <c r="D1032"/>
      <c r="E1032"/>
      <c r="F1032" s="35"/>
      <c r="G1032"/>
      <c r="H1032"/>
    </row>
    <row r="1033" spans="3:8" ht="15" x14ac:dyDescent="0.25">
      <c r="C1033"/>
      <c r="D1033"/>
      <c r="E1033"/>
      <c r="F1033" s="35"/>
      <c r="G1033"/>
      <c r="H1033"/>
    </row>
    <row r="1034" spans="3:8" ht="15" x14ac:dyDescent="0.25">
      <c r="C1034"/>
      <c r="D1034"/>
      <c r="E1034"/>
      <c r="F1034" s="35"/>
      <c r="G1034"/>
      <c r="H1034"/>
    </row>
    <row r="1035" spans="3:8" ht="15" x14ac:dyDescent="0.25">
      <c r="C1035"/>
      <c r="D1035"/>
      <c r="E1035"/>
      <c r="F1035" s="35"/>
      <c r="G1035"/>
      <c r="H1035"/>
    </row>
    <row r="1036" spans="3:8" ht="15" x14ac:dyDescent="0.25">
      <c r="C1036"/>
      <c r="D1036"/>
      <c r="E1036"/>
      <c r="F1036" s="35"/>
      <c r="G1036"/>
      <c r="H1036"/>
    </row>
    <row r="1037" spans="3:8" ht="15" x14ac:dyDescent="0.25">
      <c r="C1037"/>
      <c r="D1037"/>
      <c r="E1037"/>
      <c r="F1037" s="35"/>
      <c r="G1037"/>
      <c r="H1037"/>
    </row>
    <row r="1038" spans="3:8" ht="15" x14ac:dyDescent="0.25">
      <c r="C1038"/>
      <c r="D1038"/>
      <c r="E1038"/>
      <c r="F1038" s="35"/>
      <c r="G1038"/>
      <c r="H1038"/>
    </row>
    <row r="1039" spans="3:8" ht="15" x14ac:dyDescent="0.25">
      <c r="C1039"/>
      <c r="D1039"/>
      <c r="E1039"/>
      <c r="F1039" s="35"/>
      <c r="G1039"/>
      <c r="H1039"/>
    </row>
    <row r="1040" spans="3:8" ht="15" x14ac:dyDescent="0.25">
      <c r="C1040"/>
      <c r="D1040"/>
      <c r="E1040"/>
      <c r="F1040" s="35"/>
      <c r="G1040"/>
      <c r="H1040"/>
    </row>
    <row r="1041" spans="3:8" ht="15" x14ac:dyDescent="0.25">
      <c r="C1041"/>
      <c r="D1041"/>
      <c r="E1041"/>
      <c r="F1041" s="35"/>
      <c r="G1041"/>
      <c r="H1041"/>
    </row>
    <row r="1042" spans="3:8" ht="15" x14ac:dyDescent="0.25">
      <c r="C1042"/>
      <c r="D1042"/>
      <c r="E1042"/>
      <c r="F1042" s="35"/>
      <c r="G1042"/>
      <c r="H1042"/>
    </row>
    <row r="1043" spans="3:8" ht="15" x14ac:dyDescent="0.25">
      <c r="C1043"/>
      <c r="D1043"/>
      <c r="E1043"/>
      <c r="F1043" s="35"/>
      <c r="G1043"/>
      <c r="H1043"/>
    </row>
    <row r="1044" spans="3:8" ht="15" x14ac:dyDescent="0.25">
      <c r="C1044"/>
      <c r="D1044"/>
      <c r="E1044"/>
      <c r="F1044" s="35"/>
      <c r="G1044"/>
      <c r="H1044"/>
    </row>
    <row r="1045" spans="3:8" ht="15" x14ac:dyDescent="0.25">
      <c r="C1045"/>
      <c r="D1045"/>
      <c r="E1045"/>
      <c r="F1045" s="35"/>
      <c r="G1045"/>
      <c r="H1045"/>
    </row>
    <row r="1046" spans="3:8" ht="15" x14ac:dyDescent="0.25">
      <c r="C1046"/>
      <c r="D1046"/>
      <c r="E1046"/>
      <c r="F1046" s="35"/>
      <c r="G1046"/>
      <c r="H1046"/>
    </row>
    <row r="1047" spans="3:8" ht="15" x14ac:dyDescent="0.25">
      <c r="C1047"/>
      <c r="D1047"/>
      <c r="E1047"/>
      <c r="F1047" s="35"/>
      <c r="G1047"/>
      <c r="H1047"/>
    </row>
    <row r="1048" spans="3:8" ht="15" x14ac:dyDescent="0.25">
      <c r="C1048"/>
      <c r="D1048"/>
      <c r="E1048"/>
      <c r="F1048" s="35"/>
      <c r="G1048"/>
      <c r="H1048"/>
    </row>
    <row r="1049" spans="3:8" ht="15" x14ac:dyDescent="0.25">
      <c r="C1049"/>
      <c r="D1049"/>
      <c r="E1049"/>
      <c r="F1049" s="35"/>
      <c r="G1049"/>
      <c r="H1049"/>
    </row>
    <row r="1050" spans="3:8" ht="15" x14ac:dyDescent="0.25">
      <c r="C1050"/>
      <c r="D1050"/>
      <c r="E1050"/>
      <c r="F1050" s="35"/>
      <c r="G1050"/>
      <c r="H1050"/>
    </row>
    <row r="1051" spans="3:8" ht="15" x14ac:dyDescent="0.25">
      <c r="C1051"/>
      <c r="D1051"/>
      <c r="E1051"/>
      <c r="F1051" s="35"/>
      <c r="G1051"/>
      <c r="H1051"/>
    </row>
    <row r="1052" spans="3:8" ht="15" x14ac:dyDescent="0.25">
      <c r="C1052"/>
      <c r="D1052"/>
      <c r="E1052"/>
      <c r="F1052" s="35"/>
      <c r="G1052"/>
      <c r="H1052"/>
    </row>
    <row r="1053" spans="3:8" ht="15" x14ac:dyDescent="0.25">
      <c r="C1053"/>
      <c r="D1053"/>
      <c r="E1053"/>
      <c r="F1053" s="35"/>
      <c r="G1053"/>
      <c r="H1053"/>
    </row>
    <row r="1054" spans="3:8" ht="15" x14ac:dyDescent="0.25">
      <c r="C1054"/>
      <c r="D1054"/>
      <c r="E1054"/>
      <c r="F1054" s="35"/>
      <c r="G1054"/>
      <c r="H1054"/>
    </row>
    <row r="1055" spans="3:8" ht="15" x14ac:dyDescent="0.25">
      <c r="C1055"/>
      <c r="D1055"/>
      <c r="E1055"/>
      <c r="F1055" s="35"/>
      <c r="G1055"/>
      <c r="H1055"/>
    </row>
    <row r="1056" spans="3:8" ht="15" x14ac:dyDescent="0.25">
      <c r="C1056"/>
      <c r="D1056"/>
      <c r="E1056"/>
      <c r="F1056" s="35"/>
      <c r="G1056"/>
      <c r="H1056"/>
    </row>
    <row r="1057" spans="3:8" ht="15" x14ac:dyDescent="0.25">
      <c r="C1057"/>
      <c r="D1057"/>
      <c r="E1057"/>
      <c r="F1057" s="35"/>
      <c r="G1057"/>
      <c r="H1057"/>
    </row>
    <row r="1058" spans="3:8" ht="15" x14ac:dyDescent="0.25">
      <c r="C1058"/>
      <c r="D1058"/>
      <c r="E1058"/>
      <c r="F1058" s="35"/>
      <c r="G1058"/>
      <c r="H1058"/>
    </row>
    <row r="1059" spans="3:8" ht="15" x14ac:dyDescent="0.25">
      <c r="C1059"/>
      <c r="D1059"/>
      <c r="E1059"/>
      <c r="F1059" s="35"/>
      <c r="G1059"/>
      <c r="H1059"/>
    </row>
    <row r="1060" spans="3:8" ht="15" x14ac:dyDescent="0.25">
      <c r="C1060"/>
      <c r="D1060"/>
      <c r="E1060"/>
      <c r="F1060" s="35"/>
      <c r="G1060"/>
      <c r="H1060"/>
    </row>
    <row r="1061" spans="3:8" ht="15" x14ac:dyDescent="0.25">
      <c r="C1061"/>
      <c r="D1061"/>
      <c r="E1061"/>
      <c r="F1061" s="35"/>
      <c r="G1061"/>
      <c r="H1061"/>
    </row>
    <row r="1062" spans="3:8" ht="15" x14ac:dyDescent="0.25">
      <c r="C1062"/>
      <c r="D1062"/>
      <c r="E1062"/>
      <c r="F1062" s="35"/>
      <c r="G1062"/>
      <c r="H1062"/>
    </row>
    <row r="1063" spans="3:8" ht="15" x14ac:dyDescent="0.25">
      <c r="C1063"/>
      <c r="D1063"/>
      <c r="E1063"/>
      <c r="F1063" s="35"/>
      <c r="G1063"/>
      <c r="H1063"/>
    </row>
    <row r="1064" spans="3:8" ht="15" x14ac:dyDescent="0.25">
      <c r="C1064"/>
      <c r="D1064"/>
      <c r="E1064"/>
      <c r="F1064" s="35"/>
      <c r="G1064"/>
      <c r="H1064"/>
    </row>
    <row r="1065" spans="3:8" ht="15" x14ac:dyDescent="0.25">
      <c r="C1065"/>
      <c r="D1065"/>
      <c r="E1065"/>
      <c r="F1065" s="35"/>
      <c r="G1065"/>
      <c r="H1065"/>
    </row>
    <row r="1066" spans="3:8" ht="15" x14ac:dyDescent="0.25">
      <c r="C1066"/>
      <c r="D1066"/>
      <c r="E1066"/>
      <c r="F1066" s="35"/>
      <c r="G1066"/>
      <c r="H1066"/>
    </row>
    <row r="1067" spans="3:8" ht="15" x14ac:dyDescent="0.25">
      <c r="C1067"/>
      <c r="D1067"/>
      <c r="E1067"/>
      <c r="F1067" s="35"/>
      <c r="G1067"/>
      <c r="H1067"/>
    </row>
    <row r="1068" spans="3:8" ht="15" x14ac:dyDescent="0.25">
      <c r="C1068"/>
      <c r="D1068"/>
      <c r="E1068"/>
      <c r="F1068" s="35"/>
      <c r="G1068"/>
      <c r="H1068"/>
    </row>
    <row r="1069" spans="3:8" ht="15" x14ac:dyDescent="0.25">
      <c r="C1069"/>
      <c r="D1069"/>
      <c r="E1069"/>
      <c r="F1069" s="35"/>
      <c r="G1069"/>
      <c r="H1069"/>
    </row>
    <row r="1070" spans="3:8" ht="15" x14ac:dyDescent="0.25">
      <c r="C1070"/>
      <c r="D1070"/>
      <c r="E1070"/>
      <c r="F1070" s="35"/>
      <c r="G1070"/>
      <c r="H1070"/>
    </row>
    <row r="1071" spans="3:8" ht="15" x14ac:dyDescent="0.25">
      <c r="C1071"/>
      <c r="D1071"/>
      <c r="E1071"/>
      <c r="F1071" s="35"/>
      <c r="G1071"/>
      <c r="H1071"/>
    </row>
    <row r="1072" spans="3:8" ht="15" x14ac:dyDescent="0.25">
      <c r="C1072"/>
      <c r="D1072"/>
      <c r="E1072"/>
      <c r="F1072" s="35"/>
      <c r="G1072"/>
      <c r="H1072"/>
    </row>
    <row r="1073" spans="3:8" ht="15" x14ac:dyDescent="0.25">
      <c r="C1073"/>
      <c r="D1073"/>
      <c r="E1073"/>
      <c r="F1073" s="35"/>
      <c r="G1073"/>
      <c r="H1073"/>
    </row>
    <row r="1074" spans="3:8" ht="15" x14ac:dyDescent="0.25">
      <c r="C1074"/>
      <c r="D1074"/>
      <c r="E1074"/>
      <c r="F1074" s="35"/>
      <c r="G1074"/>
      <c r="H1074"/>
    </row>
    <row r="1075" spans="3:8" ht="15" x14ac:dyDescent="0.25">
      <c r="C1075"/>
      <c r="D1075"/>
      <c r="E1075"/>
      <c r="F1075" s="35"/>
      <c r="G1075"/>
      <c r="H1075"/>
    </row>
    <row r="1076" spans="3:8" ht="15" x14ac:dyDescent="0.25">
      <c r="C1076"/>
      <c r="D1076"/>
      <c r="E1076"/>
      <c r="F1076" s="35"/>
      <c r="G1076"/>
      <c r="H1076"/>
    </row>
    <row r="1077" spans="3:8" ht="15" x14ac:dyDescent="0.25">
      <c r="C1077"/>
      <c r="D1077"/>
      <c r="E1077"/>
      <c r="F1077" s="35"/>
      <c r="G1077"/>
      <c r="H1077"/>
    </row>
    <row r="1078" spans="3:8" ht="15" x14ac:dyDescent="0.25">
      <c r="C1078"/>
      <c r="D1078"/>
      <c r="E1078"/>
      <c r="F1078" s="35"/>
      <c r="G1078"/>
      <c r="H1078"/>
    </row>
    <row r="1079" spans="3:8" ht="15" x14ac:dyDescent="0.25">
      <c r="C1079"/>
      <c r="D1079"/>
      <c r="E1079"/>
      <c r="F1079" s="35"/>
      <c r="G1079"/>
      <c r="H1079"/>
    </row>
    <row r="1080" spans="3:8" ht="15" x14ac:dyDescent="0.25">
      <c r="C1080"/>
      <c r="D1080"/>
      <c r="E1080"/>
      <c r="F1080" s="35"/>
      <c r="G1080"/>
      <c r="H1080"/>
    </row>
    <row r="1081" spans="3:8" ht="15" x14ac:dyDescent="0.25">
      <c r="C1081"/>
      <c r="D1081"/>
      <c r="E1081"/>
      <c r="F1081" s="35"/>
      <c r="G1081"/>
      <c r="H1081"/>
    </row>
    <row r="1082" spans="3:8" ht="15" x14ac:dyDescent="0.25">
      <c r="C1082"/>
      <c r="D1082"/>
      <c r="E1082"/>
      <c r="F1082" s="35"/>
      <c r="G1082"/>
      <c r="H1082"/>
    </row>
    <row r="1083" spans="3:8" ht="15" x14ac:dyDescent="0.25">
      <c r="C1083"/>
      <c r="D1083"/>
      <c r="E1083"/>
      <c r="F1083" s="35"/>
      <c r="G1083"/>
      <c r="H1083"/>
    </row>
    <row r="1084" spans="3:8" ht="15" x14ac:dyDescent="0.25">
      <c r="C1084"/>
      <c r="D1084"/>
      <c r="E1084"/>
      <c r="F1084" s="35"/>
      <c r="G1084"/>
      <c r="H1084"/>
    </row>
    <row r="1085" spans="3:8" ht="15" x14ac:dyDescent="0.25">
      <c r="C1085"/>
      <c r="D1085"/>
      <c r="E1085"/>
      <c r="F1085" s="35"/>
      <c r="G1085"/>
      <c r="H1085"/>
    </row>
    <row r="1086" spans="3:8" ht="15" x14ac:dyDescent="0.25">
      <c r="C1086"/>
      <c r="D1086"/>
      <c r="E1086"/>
      <c r="F1086" s="35"/>
      <c r="G1086"/>
      <c r="H1086"/>
    </row>
    <row r="1087" spans="3:8" ht="15" x14ac:dyDescent="0.25">
      <c r="C1087"/>
      <c r="D1087"/>
      <c r="E1087"/>
      <c r="F1087" s="35"/>
      <c r="G1087"/>
      <c r="H1087"/>
    </row>
    <row r="1088" spans="3:8" ht="15" x14ac:dyDescent="0.25">
      <c r="C1088"/>
      <c r="D1088"/>
      <c r="E1088"/>
      <c r="F1088" s="35"/>
      <c r="G1088"/>
      <c r="H1088"/>
    </row>
    <row r="1089" spans="3:8" ht="15" x14ac:dyDescent="0.25">
      <c r="C1089"/>
      <c r="D1089"/>
      <c r="E1089"/>
      <c r="F1089" s="35"/>
      <c r="G1089"/>
      <c r="H1089"/>
    </row>
    <row r="1090" spans="3:8" ht="15" x14ac:dyDescent="0.25">
      <c r="C1090"/>
      <c r="D1090"/>
      <c r="E1090"/>
      <c r="F1090" s="35"/>
      <c r="G1090"/>
      <c r="H1090"/>
    </row>
    <row r="1091" spans="3:8" ht="15" x14ac:dyDescent="0.25">
      <c r="C1091"/>
      <c r="D1091"/>
      <c r="E1091"/>
      <c r="F1091" s="35"/>
      <c r="G1091"/>
      <c r="H1091"/>
    </row>
    <row r="1092" spans="3:8" ht="15" x14ac:dyDescent="0.25">
      <c r="C1092"/>
      <c r="D1092"/>
      <c r="E1092"/>
      <c r="F1092" s="35"/>
      <c r="G1092"/>
      <c r="H1092"/>
    </row>
    <row r="1093" spans="3:8" ht="15" x14ac:dyDescent="0.25">
      <c r="C1093"/>
      <c r="D1093"/>
      <c r="E1093"/>
      <c r="F1093" s="35"/>
      <c r="G1093"/>
      <c r="H1093"/>
    </row>
    <row r="1094" spans="3:8" ht="15" x14ac:dyDescent="0.25">
      <c r="C1094"/>
      <c r="D1094"/>
      <c r="E1094"/>
      <c r="F1094" s="35"/>
      <c r="G1094"/>
      <c r="H1094"/>
    </row>
    <row r="1095" spans="3:8" ht="15" x14ac:dyDescent="0.25">
      <c r="C1095"/>
      <c r="D1095"/>
      <c r="E1095"/>
      <c r="F1095" s="35"/>
      <c r="G1095"/>
      <c r="H1095"/>
    </row>
    <row r="1096" spans="3:8" ht="15" x14ac:dyDescent="0.25">
      <c r="C1096"/>
      <c r="D1096"/>
      <c r="E1096"/>
      <c r="F1096" s="35"/>
      <c r="G1096"/>
      <c r="H1096"/>
    </row>
    <row r="1097" spans="3:8" ht="15" x14ac:dyDescent="0.25">
      <c r="C1097"/>
      <c r="D1097"/>
      <c r="E1097"/>
      <c r="F1097" s="35"/>
      <c r="G1097"/>
      <c r="H1097"/>
    </row>
    <row r="1098" spans="3:8" ht="15" x14ac:dyDescent="0.25">
      <c r="C1098"/>
      <c r="D1098"/>
      <c r="E1098"/>
      <c r="F1098" s="35"/>
      <c r="G1098"/>
      <c r="H1098"/>
    </row>
    <row r="1099" spans="3:8" ht="15" x14ac:dyDescent="0.25">
      <c r="C1099"/>
      <c r="D1099"/>
      <c r="E1099"/>
      <c r="F1099" s="35"/>
      <c r="G1099"/>
      <c r="H1099"/>
    </row>
    <row r="1100" spans="3:8" ht="15" x14ac:dyDescent="0.25">
      <c r="C1100"/>
      <c r="D1100"/>
      <c r="E1100"/>
      <c r="F1100" s="35"/>
      <c r="G1100"/>
      <c r="H1100"/>
    </row>
    <row r="1101" spans="3:8" ht="15" x14ac:dyDescent="0.25">
      <c r="C1101"/>
      <c r="D1101"/>
      <c r="E1101"/>
      <c r="F1101" s="35"/>
      <c r="G1101"/>
      <c r="H1101"/>
    </row>
    <row r="1102" spans="3:8" ht="15" x14ac:dyDescent="0.25">
      <c r="C1102"/>
      <c r="D1102"/>
      <c r="E1102"/>
      <c r="F1102" s="35"/>
      <c r="G1102"/>
      <c r="H1102"/>
    </row>
    <row r="1103" spans="3:8" ht="15" x14ac:dyDescent="0.25">
      <c r="C1103"/>
      <c r="D1103"/>
      <c r="E1103"/>
      <c r="F1103" s="35"/>
      <c r="G1103"/>
      <c r="H1103"/>
    </row>
    <row r="1104" spans="3:8" ht="15" x14ac:dyDescent="0.25">
      <c r="C1104"/>
      <c r="D1104"/>
      <c r="E1104"/>
      <c r="F1104" s="35"/>
      <c r="G1104"/>
      <c r="H1104"/>
    </row>
    <row r="1105" spans="3:8" ht="15" x14ac:dyDescent="0.25">
      <c r="C1105"/>
      <c r="D1105"/>
      <c r="E1105"/>
      <c r="F1105" s="35"/>
      <c r="G1105"/>
      <c r="H1105"/>
    </row>
    <row r="1106" spans="3:8" ht="15" x14ac:dyDescent="0.25">
      <c r="C1106"/>
      <c r="D1106"/>
      <c r="E1106"/>
      <c r="F1106" s="35"/>
      <c r="G1106"/>
      <c r="H1106"/>
    </row>
    <row r="1107" spans="3:8" ht="15" x14ac:dyDescent="0.25">
      <c r="C1107"/>
      <c r="D1107"/>
      <c r="E1107"/>
      <c r="F1107" s="35"/>
      <c r="G1107"/>
      <c r="H1107"/>
    </row>
    <row r="1108" spans="3:8" ht="15" x14ac:dyDescent="0.25">
      <c r="C1108"/>
      <c r="D1108"/>
      <c r="E1108"/>
      <c r="F1108" s="35"/>
      <c r="G1108"/>
      <c r="H1108"/>
    </row>
    <row r="1109" spans="3:8" ht="15" x14ac:dyDescent="0.25">
      <c r="C1109"/>
      <c r="D1109"/>
      <c r="E1109"/>
      <c r="F1109" s="35"/>
      <c r="G1109"/>
      <c r="H1109"/>
    </row>
    <row r="1110" spans="3:8" ht="15" x14ac:dyDescent="0.25">
      <c r="C1110"/>
      <c r="D1110"/>
      <c r="E1110"/>
      <c r="F1110" s="35"/>
      <c r="G1110"/>
      <c r="H1110"/>
    </row>
    <row r="1111" spans="3:8" ht="15" x14ac:dyDescent="0.25">
      <c r="C1111"/>
      <c r="D1111"/>
      <c r="E1111"/>
      <c r="F1111" s="35"/>
      <c r="G1111"/>
      <c r="H1111"/>
    </row>
    <row r="1112" spans="3:8" ht="15" x14ac:dyDescent="0.25">
      <c r="C1112"/>
      <c r="D1112"/>
      <c r="E1112"/>
      <c r="F1112" s="35"/>
      <c r="G1112"/>
      <c r="H1112"/>
    </row>
    <row r="1113" spans="3:8" ht="15" x14ac:dyDescent="0.25">
      <c r="C1113"/>
      <c r="D1113"/>
      <c r="E1113"/>
      <c r="F1113" s="35"/>
      <c r="G1113"/>
      <c r="H1113"/>
    </row>
    <row r="1114" spans="3:8" ht="15" x14ac:dyDescent="0.25">
      <c r="C1114"/>
      <c r="D1114"/>
      <c r="E1114"/>
      <c r="F1114" s="35"/>
      <c r="G1114"/>
      <c r="H1114"/>
    </row>
    <row r="1115" spans="3:8" ht="15" x14ac:dyDescent="0.25">
      <c r="C1115"/>
      <c r="D1115"/>
      <c r="E1115"/>
      <c r="F1115" s="35"/>
      <c r="G1115"/>
      <c r="H1115"/>
    </row>
    <row r="1116" spans="3:8" ht="15" x14ac:dyDescent="0.25">
      <c r="C1116"/>
      <c r="D1116"/>
      <c r="E1116"/>
      <c r="F1116" s="35"/>
      <c r="G1116"/>
      <c r="H1116"/>
    </row>
    <row r="1117" spans="3:8" ht="15" x14ac:dyDescent="0.25">
      <c r="C1117"/>
      <c r="D1117"/>
      <c r="E1117"/>
      <c r="F1117" s="35"/>
      <c r="G1117"/>
      <c r="H1117"/>
    </row>
    <row r="1118" spans="3:8" ht="15" x14ac:dyDescent="0.25">
      <c r="C1118"/>
      <c r="D1118"/>
      <c r="E1118"/>
      <c r="F1118" s="35"/>
      <c r="G1118"/>
      <c r="H1118"/>
    </row>
    <row r="1119" spans="3:8" ht="15" x14ac:dyDescent="0.25">
      <c r="C1119"/>
      <c r="D1119"/>
      <c r="E1119"/>
      <c r="F1119" s="35"/>
      <c r="G1119"/>
      <c r="H1119"/>
    </row>
    <row r="1120" spans="3:8" ht="15" x14ac:dyDescent="0.25">
      <c r="C1120"/>
      <c r="D1120"/>
      <c r="E1120"/>
      <c r="F1120" s="35"/>
      <c r="G1120"/>
      <c r="H1120"/>
    </row>
    <row r="1121" spans="3:8" ht="15" x14ac:dyDescent="0.25">
      <c r="C1121"/>
      <c r="D1121"/>
      <c r="E1121"/>
      <c r="F1121" s="35"/>
      <c r="G1121"/>
      <c r="H1121"/>
    </row>
    <row r="1122" spans="3:8" ht="15" x14ac:dyDescent="0.25">
      <c r="C1122"/>
      <c r="D1122"/>
      <c r="E1122"/>
      <c r="F1122" s="35"/>
      <c r="G1122"/>
      <c r="H1122"/>
    </row>
    <row r="1123" spans="3:8" ht="15" x14ac:dyDescent="0.25">
      <c r="C1123"/>
      <c r="D1123"/>
      <c r="E1123"/>
      <c r="F1123" s="35"/>
      <c r="G1123"/>
      <c r="H1123"/>
    </row>
    <row r="1124" spans="3:8" ht="15" x14ac:dyDescent="0.25">
      <c r="C1124"/>
      <c r="D1124"/>
      <c r="E1124"/>
      <c r="F1124" s="35"/>
      <c r="G1124"/>
      <c r="H1124"/>
    </row>
    <row r="1125" spans="3:8" ht="15" x14ac:dyDescent="0.25">
      <c r="C1125"/>
      <c r="D1125"/>
      <c r="E1125"/>
      <c r="F1125" s="35"/>
      <c r="G1125"/>
      <c r="H1125"/>
    </row>
    <row r="1126" spans="3:8" ht="15" x14ac:dyDescent="0.25">
      <c r="C1126"/>
      <c r="D1126"/>
      <c r="E1126"/>
      <c r="F1126" s="35"/>
      <c r="G1126"/>
      <c r="H1126"/>
    </row>
    <row r="1127" spans="3:8" ht="15" x14ac:dyDescent="0.25">
      <c r="C1127"/>
      <c r="D1127"/>
      <c r="E1127"/>
      <c r="F1127" s="35"/>
      <c r="G1127"/>
      <c r="H1127"/>
    </row>
    <row r="1128" spans="3:8" ht="15" x14ac:dyDescent="0.25">
      <c r="C1128"/>
      <c r="D1128"/>
      <c r="E1128"/>
      <c r="F1128" s="35"/>
      <c r="G1128"/>
      <c r="H1128"/>
    </row>
    <row r="1129" spans="3:8" ht="15" x14ac:dyDescent="0.25">
      <c r="C1129"/>
      <c r="D1129"/>
      <c r="E1129"/>
      <c r="F1129" s="35"/>
      <c r="G1129"/>
      <c r="H1129"/>
    </row>
    <row r="1130" spans="3:8" ht="15" x14ac:dyDescent="0.25">
      <c r="C1130"/>
      <c r="D1130"/>
      <c r="E1130"/>
      <c r="F1130" s="35"/>
      <c r="G1130"/>
      <c r="H1130"/>
    </row>
    <row r="1131" spans="3:8" ht="15" x14ac:dyDescent="0.25">
      <c r="C1131"/>
      <c r="D1131"/>
      <c r="E1131"/>
      <c r="F1131" s="35"/>
      <c r="G1131"/>
      <c r="H1131"/>
    </row>
    <row r="1132" spans="3:8" ht="15" x14ac:dyDescent="0.25">
      <c r="C1132"/>
      <c r="D1132"/>
      <c r="E1132"/>
      <c r="F1132" s="35"/>
      <c r="G1132"/>
      <c r="H1132"/>
    </row>
    <row r="1133" spans="3:8" ht="15" x14ac:dyDescent="0.25">
      <c r="C1133"/>
      <c r="D1133"/>
      <c r="E1133"/>
      <c r="F1133" s="35"/>
      <c r="G1133"/>
      <c r="H1133"/>
    </row>
    <row r="1134" spans="3:8" ht="15" x14ac:dyDescent="0.25">
      <c r="C1134"/>
      <c r="D1134"/>
      <c r="E1134"/>
      <c r="F1134" s="35"/>
      <c r="G1134"/>
      <c r="H1134"/>
    </row>
    <row r="1135" spans="3:8" ht="15" x14ac:dyDescent="0.25">
      <c r="C1135"/>
      <c r="D1135"/>
      <c r="E1135"/>
      <c r="F1135" s="35"/>
      <c r="G1135"/>
      <c r="H1135"/>
    </row>
    <row r="1136" spans="3:8" ht="15" x14ac:dyDescent="0.25">
      <c r="C1136"/>
      <c r="D1136"/>
      <c r="E1136"/>
      <c r="F1136" s="35"/>
      <c r="G1136"/>
      <c r="H1136"/>
    </row>
    <row r="1137" spans="3:8" ht="15" x14ac:dyDescent="0.25">
      <c r="C1137"/>
      <c r="D1137"/>
      <c r="E1137"/>
      <c r="F1137" s="35"/>
      <c r="G1137"/>
      <c r="H1137"/>
    </row>
    <row r="1138" spans="3:8" ht="15" x14ac:dyDescent="0.25">
      <c r="C1138"/>
      <c r="D1138"/>
      <c r="E1138"/>
      <c r="F1138" s="35"/>
      <c r="G1138"/>
      <c r="H1138"/>
    </row>
    <row r="1139" spans="3:8" ht="15" x14ac:dyDescent="0.25">
      <c r="C1139"/>
      <c r="D1139"/>
      <c r="E1139"/>
      <c r="F1139" s="35"/>
      <c r="G1139"/>
      <c r="H1139"/>
    </row>
    <row r="1140" spans="3:8" ht="15" x14ac:dyDescent="0.25">
      <c r="C1140"/>
      <c r="D1140"/>
      <c r="E1140"/>
      <c r="F1140" s="35"/>
      <c r="G1140"/>
      <c r="H1140"/>
    </row>
    <row r="1141" spans="3:8" ht="15" x14ac:dyDescent="0.25">
      <c r="C1141"/>
      <c r="D1141"/>
      <c r="E1141"/>
      <c r="F1141" s="35"/>
      <c r="G1141"/>
      <c r="H1141"/>
    </row>
    <row r="1142" spans="3:8" ht="15" x14ac:dyDescent="0.25">
      <c r="C1142"/>
      <c r="D1142"/>
      <c r="E1142"/>
      <c r="F1142" s="35"/>
      <c r="G1142"/>
      <c r="H1142"/>
    </row>
    <row r="1143" spans="3:8" ht="15" x14ac:dyDescent="0.25">
      <c r="C1143"/>
      <c r="D1143"/>
      <c r="E1143"/>
      <c r="F1143" s="35"/>
      <c r="G1143"/>
      <c r="H1143"/>
    </row>
    <row r="1144" spans="3:8" ht="15" x14ac:dyDescent="0.25">
      <c r="C1144"/>
      <c r="D1144"/>
      <c r="E1144"/>
      <c r="F1144" s="35"/>
      <c r="G1144"/>
      <c r="H1144"/>
    </row>
    <row r="1145" spans="3:8" ht="15" x14ac:dyDescent="0.25">
      <c r="C1145"/>
      <c r="D1145"/>
      <c r="E1145"/>
      <c r="F1145" s="35"/>
      <c r="G1145"/>
      <c r="H1145"/>
    </row>
    <row r="1146" spans="3:8" ht="15" x14ac:dyDescent="0.25">
      <c r="C1146"/>
      <c r="D1146"/>
      <c r="E1146"/>
      <c r="F1146" s="35"/>
      <c r="G1146"/>
      <c r="H1146"/>
    </row>
    <row r="1147" spans="3:8" ht="15" x14ac:dyDescent="0.25">
      <c r="C1147"/>
      <c r="D1147"/>
      <c r="E1147"/>
      <c r="F1147" s="35"/>
      <c r="G1147"/>
      <c r="H1147"/>
    </row>
    <row r="1148" spans="3:8" ht="15" x14ac:dyDescent="0.25">
      <c r="C1148"/>
      <c r="D1148"/>
      <c r="E1148"/>
      <c r="F1148" s="35"/>
      <c r="G1148"/>
      <c r="H1148"/>
    </row>
    <row r="1149" spans="3:8" ht="15" x14ac:dyDescent="0.25">
      <c r="C1149"/>
      <c r="D1149"/>
      <c r="E1149"/>
      <c r="F1149" s="35"/>
      <c r="G1149"/>
      <c r="H1149"/>
    </row>
    <row r="1150" spans="3:8" ht="15" x14ac:dyDescent="0.25">
      <c r="C1150"/>
      <c r="D1150"/>
      <c r="E1150"/>
      <c r="F1150" s="35"/>
      <c r="G1150"/>
      <c r="H1150"/>
    </row>
    <row r="1151" spans="3:8" ht="15" x14ac:dyDescent="0.25">
      <c r="C1151"/>
      <c r="D1151"/>
      <c r="E1151"/>
      <c r="F1151" s="35"/>
      <c r="G1151"/>
      <c r="H1151"/>
    </row>
    <row r="1152" spans="3:8" ht="15" x14ac:dyDescent="0.25">
      <c r="C1152"/>
      <c r="D1152"/>
      <c r="E1152"/>
      <c r="F1152" s="35"/>
      <c r="G1152"/>
      <c r="H1152"/>
    </row>
    <row r="1153" spans="3:8" ht="15" x14ac:dyDescent="0.25">
      <c r="C1153"/>
      <c r="D1153"/>
      <c r="E1153"/>
      <c r="F1153" s="35"/>
      <c r="G1153"/>
      <c r="H1153"/>
    </row>
    <row r="1154" spans="3:8" ht="15" x14ac:dyDescent="0.25">
      <c r="C1154"/>
      <c r="D1154"/>
      <c r="E1154"/>
      <c r="F1154" s="35"/>
      <c r="G1154"/>
      <c r="H1154"/>
    </row>
    <row r="1155" spans="3:8" ht="15" x14ac:dyDescent="0.25">
      <c r="C1155"/>
      <c r="D1155"/>
      <c r="E1155"/>
      <c r="F1155" s="35"/>
      <c r="G1155"/>
      <c r="H1155"/>
    </row>
    <row r="1156" spans="3:8" ht="15" x14ac:dyDescent="0.25">
      <c r="C1156"/>
      <c r="D1156"/>
      <c r="E1156"/>
      <c r="F1156" s="35"/>
      <c r="G1156"/>
      <c r="H1156"/>
    </row>
    <row r="1157" spans="3:8" ht="15" x14ac:dyDescent="0.25">
      <c r="C1157"/>
      <c r="D1157"/>
      <c r="E1157"/>
      <c r="F1157" s="35"/>
      <c r="G1157"/>
      <c r="H1157"/>
    </row>
    <row r="1158" spans="3:8" ht="15" x14ac:dyDescent="0.25">
      <c r="C1158"/>
      <c r="D1158"/>
      <c r="E1158"/>
      <c r="F1158" s="35"/>
      <c r="G1158"/>
      <c r="H1158"/>
    </row>
    <row r="1159" spans="3:8" ht="15" x14ac:dyDescent="0.25">
      <c r="C1159"/>
      <c r="D1159"/>
      <c r="E1159"/>
      <c r="F1159" s="35"/>
      <c r="G1159"/>
      <c r="H1159"/>
    </row>
    <row r="1160" spans="3:8" ht="15" x14ac:dyDescent="0.25">
      <c r="C1160"/>
      <c r="D1160"/>
      <c r="E1160"/>
      <c r="F1160" s="35"/>
      <c r="G1160"/>
      <c r="H1160"/>
    </row>
    <row r="1161" spans="3:8" ht="15" x14ac:dyDescent="0.25">
      <c r="C1161"/>
      <c r="D1161"/>
      <c r="E1161"/>
      <c r="F1161" s="35"/>
      <c r="G1161"/>
      <c r="H1161"/>
    </row>
    <row r="1162" spans="3:8" ht="15" x14ac:dyDescent="0.25">
      <c r="C1162"/>
      <c r="D1162"/>
      <c r="E1162"/>
      <c r="F1162" s="35"/>
      <c r="G1162"/>
      <c r="H1162"/>
    </row>
    <row r="1163" spans="3:8" ht="15" x14ac:dyDescent="0.25">
      <c r="C1163"/>
      <c r="D1163"/>
      <c r="E1163"/>
      <c r="F1163" s="35"/>
      <c r="G1163"/>
      <c r="H1163"/>
    </row>
    <row r="1164" spans="3:8" ht="15" x14ac:dyDescent="0.25">
      <c r="C1164"/>
      <c r="D1164"/>
      <c r="E1164"/>
      <c r="F1164" s="35"/>
      <c r="G1164"/>
      <c r="H1164"/>
    </row>
    <row r="1165" spans="3:8" ht="15" x14ac:dyDescent="0.25">
      <c r="C1165"/>
      <c r="D1165"/>
      <c r="E1165"/>
      <c r="F1165" s="35"/>
      <c r="G1165"/>
      <c r="H1165"/>
    </row>
    <row r="1166" spans="3:8" ht="15" x14ac:dyDescent="0.25">
      <c r="C1166"/>
      <c r="D1166"/>
      <c r="E1166"/>
      <c r="F1166" s="35"/>
      <c r="G1166"/>
      <c r="H1166"/>
    </row>
    <row r="1167" spans="3:8" ht="15" x14ac:dyDescent="0.25">
      <c r="C1167"/>
      <c r="D1167"/>
      <c r="E1167"/>
      <c r="F1167" s="35"/>
      <c r="G1167"/>
      <c r="H1167"/>
    </row>
    <row r="1168" spans="3:8" ht="15" x14ac:dyDescent="0.25">
      <c r="C1168"/>
      <c r="D1168"/>
      <c r="E1168"/>
      <c r="F1168" s="35"/>
      <c r="G1168"/>
      <c r="H1168"/>
    </row>
    <row r="1169" spans="3:8" ht="15" x14ac:dyDescent="0.25">
      <c r="C1169"/>
      <c r="D1169"/>
      <c r="E1169"/>
      <c r="F1169" s="35"/>
      <c r="G1169"/>
      <c r="H1169"/>
    </row>
    <row r="1170" spans="3:8" ht="15" x14ac:dyDescent="0.25">
      <c r="C1170"/>
      <c r="D1170"/>
      <c r="E1170"/>
      <c r="F1170" s="35"/>
      <c r="G1170"/>
      <c r="H1170"/>
    </row>
    <row r="1171" spans="3:8" ht="15" x14ac:dyDescent="0.25">
      <c r="C1171"/>
      <c r="D1171"/>
      <c r="E1171"/>
      <c r="F1171" s="35"/>
      <c r="G1171"/>
      <c r="H1171"/>
    </row>
    <row r="1172" spans="3:8" ht="15" x14ac:dyDescent="0.25">
      <c r="C1172"/>
      <c r="D1172"/>
      <c r="E1172"/>
      <c r="F1172" s="35"/>
      <c r="G1172"/>
      <c r="H1172"/>
    </row>
    <row r="1173" spans="3:8" ht="15" x14ac:dyDescent="0.25">
      <c r="C1173"/>
      <c r="D1173"/>
      <c r="E1173"/>
      <c r="F1173" s="35"/>
      <c r="G1173"/>
      <c r="H1173"/>
    </row>
    <row r="1174" spans="3:8" ht="15" x14ac:dyDescent="0.25">
      <c r="C1174"/>
      <c r="D1174"/>
      <c r="E1174"/>
      <c r="F1174" s="35"/>
      <c r="G1174"/>
      <c r="H1174"/>
    </row>
    <row r="1175" spans="3:8" ht="15" x14ac:dyDescent="0.25">
      <c r="C1175"/>
      <c r="D1175"/>
      <c r="E1175"/>
      <c r="F1175" s="35"/>
      <c r="G1175"/>
      <c r="H1175"/>
    </row>
    <row r="1176" spans="3:8" ht="15" x14ac:dyDescent="0.25">
      <c r="C1176"/>
      <c r="D1176"/>
      <c r="E1176"/>
      <c r="F1176" s="35"/>
      <c r="G1176"/>
      <c r="H1176"/>
    </row>
    <row r="1177" spans="3:8" ht="15" x14ac:dyDescent="0.25">
      <c r="C1177"/>
      <c r="D1177"/>
      <c r="E1177"/>
      <c r="F1177" s="35"/>
      <c r="G1177"/>
      <c r="H1177"/>
    </row>
    <row r="1178" spans="3:8" ht="15" x14ac:dyDescent="0.25">
      <c r="C1178"/>
      <c r="D1178"/>
      <c r="E1178"/>
      <c r="F1178" s="35"/>
      <c r="G1178"/>
      <c r="H1178"/>
    </row>
    <row r="1179" spans="3:8" ht="15" x14ac:dyDescent="0.25">
      <c r="C1179"/>
      <c r="D1179"/>
      <c r="E1179"/>
      <c r="F1179" s="35"/>
      <c r="G1179"/>
      <c r="H1179"/>
    </row>
    <row r="1180" spans="3:8" ht="15" x14ac:dyDescent="0.25">
      <c r="C1180"/>
      <c r="D1180"/>
      <c r="E1180"/>
      <c r="F1180" s="35"/>
      <c r="G1180"/>
      <c r="H1180"/>
    </row>
    <row r="1181" spans="3:8" ht="15" x14ac:dyDescent="0.25">
      <c r="C1181"/>
      <c r="D1181"/>
      <c r="E1181"/>
      <c r="F1181" s="35"/>
      <c r="G1181"/>
      <c r="H1181"/>
    </row>
    <row r="1182" spans="3:8" ht="15" x14ac:dyDescent="0.25">
      <c r="C1182"/>
      <c r="D1182"/>
      <c r="E1182"/>
      <c r="F1182" s="35"/>
      <c r="G1182"/>
      <c r="H1182"/>
    </row>
    <row r="1183" spans="3:8" ht="15" x14ac:dyDescent="0.25">
      <c r="C1183"/>
      <c r="D1183"/>
      <c r="E1183"/>
      <c r="F1183" s="35"/>
      <c r="G1183"/>
      <c r="H1183"/>
    </row>
    <row r="1184" spans="3:8" ht="15" x14ac:dyDescent="0.25">
      <c r="C1184"/>
      <c r="D1184"/>
      <c r="E1184"/>
      <c r="F1184" s="35"/>
      <c r="G1184"/>
      <c r="H1184"/>
    </row>
    <row r="1185" spans="3:8" ht="15" x14ac:dyDescent="0.25">
      <c r="C1185"/>
      <c r="D1185"/>
      <c r="E1185"/>
      <c r="F1185" s="35"/>
      <c r="G1185"/>
      <c r="H1185"/>
    </row>
    <row r="1186" spans="3:8" ht="15" x14ac:dyDescent="0.25">
      <c r="C1186"/>
      <c r="D1186"/>
      <c r="E1186"/>
      <c r="F1186" s="35"/>
      <c r="G1186"/>
      <c r="H1186"/>
    </row>
    <row r="1187" spans="3:8" ht="15" x14ac:dyDescent="0.25">
      <c r="C1187"/>
      <c r="D1187"/>
      <c r="E1187"/>
      <c r="F1187" s="35"/>
      <c r="G1187"/>
      <c r="H1187"/>
    </row>
    <row r="1188" spans="3:8" ht="15" x14ac:dyDescent="0.25">
      <c r="C1188"/>
      <c r="D1188"/>
      <c r="E1188"/>
      <c r="F1188" s="35"/>
      <c r="G1188"/>
      <c r="H1188"/>
    </row>
    <row r="1189" spans="3:8" ht="15" x14ac:dyDescent="0.25">
      <c r="C1189"/>
      <c r="D1189"/>
      <c r="E1189"/>
      <c r="F1189" s="35"/>
      <c r="G1189"/>
      <c r="H1189"/>
    </row>
    <row r="1190" spans="3:8" ht="15" x14ac:dyDescent="0.25">
      <c r="C1190"/>
      <c r="D1190"/>
      <c r="E1190"/>
      <c r="F1190" s="35"/>
      <c r="G1190"/>
      <c r="H1190"/>
    </row>
    <row r="1191" spans="3:8" ht="15" x14ac:dyDescent="0.25">
      <c r="C1191"/>
      <c r="D1191"/>
      <c r="E1191"/>
      <c r="F1191" s="35"/>
      <c r="G1191"/>
      <c r="H1191"/>
    </row>
    <row r="1192" spans="3:8" ht="15" x14ac:dyDescent="0.25">
      <c r="C1192"/>
      <c r="D1192"/>
      <c r="E1192"/>
      <c r="F1192" s="35"/>
      <c r="G1192"/>
      <c r="H1192"/>
    </row>
    <row r="1193" spans="3:8" ht="15" x14ac:dyDescent="0.25">
      <c r="C1193"/>
      <c r="D1193"/>
      <c r="E1193"/>
      <c r="F1193" s="35"/>
      <c r="G1193"/>
      <c r="H1193"/>
    </row>
    <row r="1194" spans="3:8" ht="15" x14ac:dyDescent="0.25">
      <c r="C1194"/>
      <c r="D1194"/>
      <c r="E1194"/>
      <c r="F1194" s="35"/>
      <c r="G1194"/>
      <c r="H1194"/>
    </row>
    <row r="1195" spans="3:8" ht="15" x14ac:dyDescent="0.25">
      <c r="C1195"/>
      <c r="D1195"/>
      <c r="E1195"/>
      <c r="F1195" s="35"/>
      <c r="G1195"/>
      <c r="H1195"/>
    </row>
    <row r="1196" spans="3:8" ht="15" x14ac:dyDescent="0.25">
      <c r="C1196"/>
      <c r="D1196"/>
      <c r="E1196"/>
      <c r="F1196" s="35"/>
      <c r="G1196"/>
      <c r="H1196"/>
    </row>
    <row r="1197" spans="3:8" ht="15" x14ac:dyDescent="0.25">
      <c r="C1197"/>
      <c r="D1197"/>
      <c r="E1197"/>
      <c r="F1197" s="35"/>
      <c r="G1197"/>
      <c r="H1197"/>
    </row>
    <row r="1198" spans="3:8" ht="15" x14ac:dyDescent="0.25">
      <c r="C1198"/>
      <c r="D1198"/>
      <c r="E1198"/>
      <c r="F1198" s="35"/>
      <c r="G1198"/>
      <c r="H1198"/>
    </row>
    <row r="1199" spans="3:8" ht="15" x14ac:dyDescent="0.25">
      <c r="C1199"/>
      <c r="D1199"/>
      <c r="E1199"/>
      <c r="F1199" s="35"/>
      <c r="G1199"/>
      <c r="H1199"/>
    </row>
    <row r="1200" spans="3:8" ht="15" x14ac:dyDescent="0.25">
      <c r="C1200"/>
      <c r="D1200"/>
      <c r="E1200"/>
      <c r="F1200" s="35"/>
      <c r="G1200"/>
      <c r="H1200"/>
    </row>
    <row r="1201" spans="3:8" ht="15" x14ac:dyDescent="0.25">
      <c r="C1201"/>
      <c r="D1201"/>
      <c r="E1201"/>
      <c r="F1201" s="35"/>
      <c r="G1201"/>
      <c r="H1201"/>
    </row>
    <row r="1202" spans="3:8" ht="15" x14ac:dyDescent="0.25">
      <c r="C1202"/>
      <c r="D1202"/>
      <c r="E1202"/>
      <c r="F1202" s="35"/>
      <c r="G1202"/>
      <c r="H1202"/>
    </row>
    <row r="1203" spans="3:8" ht="15" x14ac:dyDescent="0.25">
      <c r="C1203"/>
      <c r="D1203"/>
      <c r="E1203"/>
      <c r="F1203" s="35"/>
      <c r="G1203"/>
      <c r="H1203"/>
    </row>
    <row r="1204" spans="3:8" ht="15" x14ac:dyDescent="0.25">
      <c r="C1204"/>
      <c r="D1204"/>
      <c r="E1204"/>
      <c r="F1204" s="35"/>
      <c r="G1204"/>
      <c r="H1204"/>
    </row>
    <row r="1205" spans="3:8" ht="15" x14ac:dyDescent="0.25">
      <c r="C1205"/>
      <c r="D1205"/>
      <c r="E1205"/>
      <c r="F1205" s="35"/>
      <c r="G1205"/>
      <c r="H1205"/>
    </row>
    <row r="1206" spans="3:8" ht="15" x14ac:dyDescent="0.25">
      <c r="C1206"/>
      <c r="D1206"/>
      <c r="E1206"/>
      <c r="F1206" s="35"/>
      <c r="G1206"/>
      <c r="H1206"/>
    </row>
    <row r="1207" spans="3:8" ht="15" x14ac:dyDescent="0.25">
      <c r="C1207"/>
      <c r="D1207"/>
      <c r="E1207"/>
      <c r="F1207" s="35"/>
      <c r="G1207"/>
      <c r="H1207"/>
    </row>
    <row r="1208" spans="3:8" ht="15" x14ac:dyDescent="0.25">
      <c r="C1208"/>
      <c r="D1208"/>
      <c r="E1208"/>
      <c r="F1208" s="35"/>
      <c r="G1208"/>
      <c r="H1208"/>
    </row>
    <row r="1209" spans="3:8" ht="15" x14ac:dyDescent="0.25">
      <c r="C1209"/>
      <c r="D1209"/>
      <c r="E1209"/>
      <c r="F1209" s="35"/>
      <c r="G1209"/>
      <c r="H1209"/>
    </row>
    <row r="1210" spans="3:8" ht="15" x14ac:dyDescent="0.25">
      <c r="C1210"/>
      <c r="D1210"/>
      <c r="E1210"/>
      <c r="F1210" s="35"/>
      <c r="G1210"/>
      <c r="H1210"/>
    </row>
    <row r="1211" spans="3:8" ht="15" x14ac:dyDescent="0.25">
      <c r="C1211"/>
      <c r="D1211"/>
      <c r="E1211"/>
      <c r="F1211" s="35"/>
      <c r="G1211"/>
      <c r="H1211"/>
    </row>
    <row r="1212" spans="3:8" ht="15" x14ac:dyDescent="0.25">
      <c r="C1212"/>
      <c r="D1212"/>
      <c r="E1212"/>
      <c r="F1212" s="35"/>
      <c r="G1212"/>
      <c r="H1212"/>
    </row>
    <row r="1213" spans="3:8" ht="15" x14ac:dyDescent="0.25">
      <c r="C1213"/>
      <c r="D1213"/>
      <c r="E1213"/>
      <c r="F1213" s="35"/>
      <c r="G1213"/>
      <c r="H1213"/>
    </row>
    <row r="1214" spans="3:8" ht="15" x14ac:dyDescent="0.25">
      <c r="C1214"/>
      <c r="D1214"/>
      <c r="E1214"/>
      <c r="F1214" s="35"/>
      <c r="G1214"/>
      <c r="H1214"/>
    </row>
    <row r="1215" spans="3:8" ht="15" x14ac:dyDescent="0.25">
      <c r="C1215"/>
      <c r="D1215"/>
      <c r="E1215"/>
      <c r="F1215" s="35"/>
      <c r="G1215"/>
      <c r="H1215"/>
    </row>
    <row r="1216" spans="3:8" ht="15" x14ac:dyDescent="0.25">
      <c r="C1216"/>
      <c r="D1216"/>
      <c r="E1216"/>
      <c r="F1216" s="35"/>
      <c r="G1216"/>
      <c r="H1216"/>
    </row>
    <row r="1217" spans="3:8" ht="15" x14ac:dyDescent="0.25">
      <c r="C1217"/>
      <c r="D1217"/>
      <c r="E1217"/>
      <c r="F1217" s="35"/>
      <c r="G1217"/>
      <c r="H1217"/>
    </row>
    <row r="1218" spans="3:8" ht="15" x14ac:dyDescent="0.25">
      <c r="C1218"/>
      <c r="D1218"/>
      <c r="E1218"/>
      <c r="F1218" s="35"/>
      <c r="G1218"/>
      <c r="H1218"/>
    </row>
    <row r="1219" spans="3:8" ht="15" x14ac:dyDescent="0.25">
      <c r="C1219"/>
      <c r="D1219"/>
      <c r="E1219"/>
      <c r="F1219" s="35"/>
      <c r="G1219"/>
      <c r="H1219"/>
    </row>
    <row r="1220" spans="3:8" ht="15" x14ac:dyDescent="0.25">
      <c r="C1220"/>
      <c r="D1220"/>
      <c r="E1220"/>
      <c r="F1220" s="35"/>
      <c r="G1220"/>
      <c r="H1220"/>
    </row>
    <row r="1221" spans="3:8" ht="15" x14ac:dyDescent="0.25">
      <c r="C1221"/>
      <c r="D1221"/>
      <c r="E1221"/>
      <c r="F1221" s="35"/>
      <c r="G1221"/>
      <c r="H1221"/>
    </row>
    <row r="1222" spans="3:8" ht="15" x14ac:dyDescent="0.25">
      <c r="C1222"/>
      <c r="D1222"/>
      <c r="E1222"/>
      <c r="F1222" s="35"/>
      <c r="G1222"/>
      <c r="H1222"/>
    </row>
    <row r="1223" spans="3:8" ht="15" x14ac:dyDescent="0.25">
      <c r="C1223"/>
      <c r="D1223"/>
      <c r="E1223"/>
      <c r="F1223" s="35"/>
      <c r="G1223"/>
      <c r="H1223"/>
    </row>
    <row r="1224" spans="3:8" ht="15" x14ac:dyDescent="0.25">
      <c r="C1224"/>
      <c r="D1224"/>
      <c r="E1224"/>
      <c r="F1224" s="35"/>
      <c r="G1224"/>
      <c r="H1224"/>
    </row>
    <row r="1225" spans="3:8" ht="15" x14ac:dyDescent="0.25">
      <c r="C1225"/>
      <c r="D1225"/>
      <c r="E1225"/>
      <c r="F1225" s="35"/>
      <c r="G1225"/>
      <c r="H1225"/>
    </row>
    <row r="1226" spans="3:8" ht="15" x14ac:dyDescent="0.25">
      <c r="C1226"/>
      <c r="D1226"/>
      <c r="E1226"/>
      <c r="F1226" s="35"/>
      <c r="G1226"/>
      <c r="H1226"/>
    </row>
    <row r="1227" spans="3:8" ht="15" x14ac:dyDescent="0.25">
      <c r="C1227"/>
      <c r="D1227"/>
      <c r="E1227"/>
      <c r="F1227" s="35"/>
      <c r="G1227"/>
      <c r="H1227"/>
    </row>
    <row r="1228" spans="3:8" ht="15" x14ac:dyDescent="0.25">
      <c r="C1228"/>
      <c r="D1228"/>
      <c r="E1228"/>
      <c r="F1228" s="35"/>
      <c r="G1228"/>
      <c r="H1228"/>
    </row>
    <row r="1229" spans="3:8" ht="15" x14ac:dyDescent="0.25">
      <c r="C1229"/>
      <c r="D1229"/>
      <c r="E1229"/>
      <c r="F1229" s="35"/>
      <c r="G1229"/>
      <c r="H1229"/>
    </row>
    <row r="1230" spans="3:8" ht="15" x14ac:dyDescent="0.25">
      <c r="C1230"/>
      <c r="D1230"/>
      <c r="E1230"/>
      <c r="F1230" s="35"/>
      <c r="G1230"/>
      <c r="H1230"/>
    </row>
    <row r="1231" spans="3:8" ht="15" x14ac:dyDescent="0.25">
      <c r="C1231"/>
      <c r="D1231"/>
      <c r="E1231"/>
      <c r="F1231" s="35"/>
      <c r="G1231"/>
      <c r="H1231"/>
    </row>
    <row r="1232" spans="3:8" ht="15" x14ac:dyDescent="0.25">
      <c r="C1232"/>
      <c r="D1232"/>
      <c r="E1232"/>
      <c r="F1232" s="35"/>
      <c r="G1232"/>
      <c r="H1232"/>
    </row>
    <row r="1233" spans="3:8" ht="15" x14ac:dyDescent="0.25">
      <c r="C1233"/>
      <c r="D1233"/>
      <c r="E1233"/>
      <c r="F1233" s="35"/>
      <c r="G1233"/>
      <c r="H1233"/>
    </row>
    <row r="1234" spans="3:8" ht="15" x14ac:dyDescent="0.25">
      <c r="C1234"/>
      <c r="D1234"/>
      <c r="E1234"/>
      <c r="F1234" s="35"/>
      <c r="G1234"/>
      <c r="H1234"/>
    </row>
    <row r="1235" spans="3:8" ht="15" x14ac:dyDescent="0.25">
      <c r="C1235"/>
      <c r="D1235"/>
      <c r="E1235"/>
      <c r="F1235" s="35"/>
      <c r="G1235"/>
      <c r="H1235"/>
    </row>
    <row r="1236" spans="3:8" ht="15" x14ac:dyDescent="0.25">
      <c r="C1236"/>
      <c r="D1236"/>
      <c r="E1236"/>
      <c r="F1236" s="35"/>
      <c r="G1236"/>
      <c r="H1236"/>
    </row>
    <row r="1237" spans="3:8" ht="15" x14ac:dyDescent="0.25">
      <c r="C1237"/>
      <c r="D1237"/>
      <c r="E1237"/>
      <c r="F1237" s="35"/>
      <c r="G1237"/>
      <c r="H1237"/>
    </row>
    <row r="1238" spans="3:8" ht="15" x14ac:dyDescent="0.25">
      <c r="C1238"/>
      <c r="D1238"/>
      <c r="E1238"/>
      <c r="F1238" s="35"/>
      <c r="G1238"/>
      <c r="H1238"/>
    </row>
    <row r="1239" spans="3:8" ht="15" x14ac:dyDescent="0.25">
      <c r="C1239"/>
      <c r="D1239"/>
      <c r="E1239"/>
      <c r="F1239" s="35"/>
      <c r="G1239"/>
      <c r="H1239"/>
    </row>
    <row r="1240" spans="3:8" ht="15" x14ac:dyDescent="0.25">
      <c r="C1240"/>
      <c r="D1240"/>
      <c r="E1240"/>
      <c r="F1240" s="35"/>
      <c r="G1240"/>
      <c r="H1240"/>
    </row>
    <row r="1241" spans="3:8" ht="15" x14ac:dyDescent="0.25">
      <c r="C1241"/>
      <c r="D1241"/>
      <c r="E1241"/>
      <c r="F1241" s="35"/>
      <c r="G1241"/>
      <c r="H1241"/>
    </row>
    <row r="1242" spans="3:8" ht="15" x14ac:dyDescent="0.25">
      <c r="C1242"/>
      <c r="D1242"/>
      <c r="E1242"/>
      <c r="F1242" s="35"/>
      <c r="G1242"/>
      <c r="H1242"/>
    </row>
    <row r="1243" spans="3:8" ht="15" x14ac:dyDescent="0.25">
      <c r="C1243"/>
      <c r="D1243"/>
      <c r="E1243"/>
      <c r="F1243" s="35"/>
      <c r="G1243"/>
      <c r="H1243"/>
    </row>
    <row r="1244" spans="3:8" ht="15" x14ac:dyDescent="0.25">
      <c r="C1244"/>
      <c r="D1244"/>
      <c r="E1244"/>
      <c r="F1244" s="35"/>
      <c r="G1244"/>
      <c r="H1244"/>
    </row>
    <row r="1245" spans="3:8" ht="15" x14ac:dyDescent="0.25">
      <c r="C1245"/>
      <c r="D1245"/>
      <c r="E1245"/>
      <c r="F1245" s="35"/>
      <c r="G1245"/>
      <c r="H1245"/>
    </row>
    <row r="1246" spans="3:8" ht="15" x14ac:dyDescent="0.25">
      <c r="C1246"/>
      <c r="D1246"/>
      <c r="E1246"/>
      <c r="F1246" s="35"/>
      <c r="G1246"/>
      <c r="H1246"/>
    </row>
    <row r="1247" spans="3:8" ht="15" x14ac:dyDescent="0.25">
      <c r="C1247"/>
      <c r="D1247"/>
      <c r="E1247"/>
      <c r="F1247" s="35"/>
      <c r="G1247"/>
      <c r="H1247"/>
    </row>
    <row r="1248" spans="3:8" ht="15" x14ac:dyDescent="0.25">
      <c r="C1248"/>
      <c r="D1248"/>
      <c r="E1248"/>
      <c r="F1248" s="35"/>
      <c r="G1248"/>
      <c r="H1248"/>
    </row>
    <row r="1249" spans="3:8" ht="15" x14ac:dyDescent="0.25">
      <c r="C1249"/>
      <c r="D1249"/>
      <c r="E1249"/>
      <c r="F1249" s="35"/>
      <c r="G1249"/>
      <c r="H1249"/>
    </row>
    <row r="1250" spans="3:8" ht="15" x14ac:dyDescent="0.25">
      <c r="C1250"/>
      <c r="D1250"/>
      <c r="E1250"/>
      <c r="F1250" s="35"/>
      <c r="G1250"/>
      <c r="H1250"/>
    </row>
    <row r="1251" spans="3:8" ht="15" x14ac:dyDescent="0.25">
      <c r="C1251"/>
      <c r="D1251"/>
      <c r="E1251"/>
      <c r="F1251" s="35"/>
      <c r="G1251"/>
      <c r="H1251"/>
    </row>
    <row r="1252" spans="3:8" ht="15" x14ac:dyDescent="0.25">
      <c r="C1252"/>
      <c r="D1252"/>
      <c r="E1252"/>
      <c r="F1252" s="35"/>
      <c r="G1252"/>
      <c r="H1252"/>
    </row>
    <row r="1253" spans="3:8" ht="15" x14ac:dyDescent="0.25">
      <c r="C1253"/>
      <c r="D1253"/>
      <c r="E1253"/>
      <c r="F1253" s="35"/>
      <c r="G1253"/>
      <c r="H1253"/>
    </row>
    <row r="1254" spans="3:8" ht="15" x14ac:dyDescent="0.25">
      <c r="C1254"/>
      <c r="D1254"/>
      <c r="E1254"/>
      <c r="F1254" s="35"/>
      <c r="G1254"/>
      <c r="H1254"/>
    </row>
    <row r="1255" spans="3:8" ht="15" x14ac:dyDescent="0.25">
      <c r="C1255"/>
      <c r="D1255"/>
      <c r="E1255"/>
      <c r="F1255" s="35"/>
      <c r="G1255"/>
      <c r="H1255"/>
    </row>
    <row r="1256" spans="3:8" ht="15" x14ac:dyDescent="0.25">
      <c r="C1256"/>
      <c r="D1256"/>
      <c r="E1256"/>
      <c r="F1256" s="35"/>
      <c r="G1256"/>
      <c r="H1256"/>
    </row>
    <row r="1257" spans="3:8" ht="15" x14ac:dyDescent="0.25">
      <c r="C1257"/>
      <c r="D1257"/>
      <c r="E1257"/>
      <c r="F1257" s="35"/>
      <c r="G1257"/>
      <c r="H1257"/>
    </row>
    <row r="1258" spans="3:8" ht="15" x14ac:dyDescent="0.25">
      <c r="C1258"/>
      <c r="D1258"/>
      <c r="E1258"/>
      <c r="F1258" s="35"/>
      <c r="G1258"/>
      <c r="H1258"/>
    </row>
    <row r="1259" spans="3:8" ht="15" x14ac:dyDescent="0.25">
      <c r="C1259"/>
      <c r="D1259"/>
      <c r="E1259"/>
      <c r="F1259" s="35"/>
      <c r="G1259"/>
      <c r="H1259"/>
    </row>
    <row r="1260" spans="3:8" ht="15" x14ac:dyDescent="0.25">
      <c r="C1260"/>
      <c r="D1260"/>
      <c r="E1260"/>
      <c r="F1260" s="35"/>
      <c r="G1260"/>
      <c r="H1260"/>
    </row>
    <row r="1261" spans="3:8" ht="15" x14ac:dyDescent="0.25">
      <c r="C1261"/>
      <c r="D1261"/>
      <c r="E1261"/>
      <c r="F1261" s="35"/>
      <c r="G1261"/>
      <c r="H1261"/>
    </row>
    <row r="1262" spans="3:8" ht="15" x14ac:dyDescent="0.25">
      <c r="C1262"/>
      <c r="D1262"/>
      <c r="E1262"/>
      <c r="F1262" s="35"/>
      <c r="G1262"/>
      <c r="H1262"/>
    </row>
    <row r="1263" spans="3:8" ht="15" x14ac:dyDescent="0.25">
      <c r="C1263"/>
      <c r="D1263"/>
      <c r="E1263"/>
      <c r="F1263" s="35"/>
      <c r="G1263"/>
      <c r="H1263"/>
    </row>
    <row r="1264" spans="3:8" ht="15" x14ac:dyDescent="0.25">
      <c r="C1264"/>
      <c r="D1264"/>
      <c r="E1264"/>
      <c r="F1264" s="35"/>
      <c r="G1264"/>
      <c r="H1264"/>
    </row>
    <row r="1265" spans="3:8" ht="15" x14ac:dyDescent="0.25">
      <c r="C1265"/>
      <c r="D1265"/>
      <c r="E1265"/>
      <c r="F1265" s="35"/>
      <c r="G1265"/>
      <c r="H1265"/>
    </row>
    <row r="1266" spans="3:8" ht="15" x14ac:dyDescent="0.25">
      <c r="C1266"/>
      <c r="D1266"/>
      <c r="E1266"/>
      <c r="F1266" s="35"/>
      <c r="G1266"/>
      <c r="H1266"/>
    </row>
    <row r="1267" spans="3:8" ht="15" x14ac:dyDescent="0.25">
      <c r="C1267"/>
      <c r="D1267"/>
      <c r="E1267"/>
      <c r="F1267" s="35"/>
      <c r="G1267"/>
      <c r="H1267"/>
    </row>
    <row r="1268" spans="3:8" ht="15" x14ac:dyDescent="0.25">
      <c r="C1268"/>
      <c r="D1268"/>
      <c r="E1268"/>
      <c r="F1268" s="35"/>
      <c r="G1268"/>
      <c r="H1268"/>
    </row>
    <row r="1269" spans="3:8" ht="15" x14ac:dyDescent="0.25">
      <c r="C1269"/>
      <c r="D1269"/>
      <c r="E1269"/>
      <c r="F1269" s="35"/>
      <c r="G1269"/>
      <c r="H1269"/>
    </row>
    <row r="1270" spans="3:8" ht="15" x14ac:dyDescent="0.25">
      <c r="C1270"/>
      <c r="D1270"/>
      <c r="E1270"/>
      <c r="F1270" s="35"/>
      <c r="G1270"/>
      <c r="H1270"/>
    </row>
    <row r="1271" spans="3:8" ht="15" x14ac:dyDescent="0.25">
      <c r="C1271"/>
      <c r="D1271"/>
      <c r="E1271"/>
      <c r="F1271" s="35"/>
      <c r="G1271"/>
      <c r="H1271"/>
    </row>
    <row r="1272" spans="3:8" ht="15" x14ac:dyDescent="0.25">
      <c r="C1272"/>
      <c r="D1272"/>
      <c r="E1272"/>
      <c r="F1272" s="35"/>
      <c r="G1272"/>
      <c r="H1272"/>
    </row>
    <row r="1273" spans="3:8" ht="15" x14ac:dyDescent="0.25">
      <c r="C1273"/>
      <c r="D1273"/>
      <c r="E1273"/>
      <c r="F1273" s="35"/>
      <c r="G1273"/>
      <c r="H1273"/>
    </row>
    <row r="1274" spans="3:8" ht="15" x14ac:dyDescent="0.25">
      <c r="C1274"/>
      <c r="D1274"/>
      <c r="E1274"/>
      <c r="F1274" s="35"/>
      <c r="G1274"/>
      <c r="H1274"/>
    </row>
    <row r="1275" spans="3:8" ht="15" x14ac:dyDescent="0.25">
      <c r="C1275"/>
      <c r="D1275"/>
      <c r="E1275"/>
      <c r="F1275" s="35"/>
      <c r="G1275"/>
      <c r="H1275"/>
    </row>
    <row r="1276" spans="3:8" ht="15" x14ac:dyDescent="0.25">
      <c r="C1276"/>
      <c r="D1276"/>
      <c r="E1276"/>
      <c r="F1276" s="35"/>
      <c r="G1276"/>
      <c r="H1276"/>
    </row>
    <row r="1277" spans="3:8" ht="15" x14ac:dyDescent="0.25">
      <c r="C1277"/>
      <c r="D1277"/>
      <c r="E1277"/>
      <c r="F1277" s="35"/>
      <c r="G1277"/>
      <c r="H1277"/>
    </row>
    <row r="1278" spans="3:8" ht="15" x14ac:dyDescent="0.25">
      <c r="C1278"/>
      <c r="D1278"/>
      <c r="E1278"/>
      <c r="F1278" s="35"/>
      <c r="G1278"/>
      <c r="H1278"/>
    </row>
    <row r="1279" spans="3:8" ht="15" x14ac:dyDescent="0.25">
      <c r="C1279"/>
      <c r="D1279"/>
      <c r="E1279"/>
      <c r="F1279" s="35"/>
      <c r="G1279"/>
      <c r="H1279"/>
    </row>
    <row r="1280" spans="3:8" ht="15" x14ac:dyDescent="0.25">
      <c r="C1280"/>
      <c r="D1280"/>
      <c r="E1280"/>
      <c r="F1280" s="35"/>
      <c r="G1280"/>
      <c r="H1280"/>
    </row>
    <row r="1281" spans="3:8" ht="15" x14ac:dyDescent="0.25">
      <c r="C1281"/>
      <c r="D1281"/>
      <c r="E1281"/>
      <c r="F1281" s="35"/>
      <c r="G1281"/>
      <c r="H1281"/>
    </row>
    <row r="1282" spans="3:8" ht="15" x14ac:dyDescent="0.25">
      <c r="C1282"/>
      <c r="D1282"/>
      <c r="E1282"/>
      <c r="F1282" s="35"/>
      <c r="G1282"/>
      <c r="H1282"/>
    </row>
    <row r="1283" spans="3:8" ht="15" x14ac:dyDescent="0.25">
      <c r="C1283"/>
      <c r="D1283"/>
      <c r="E1283"/>
      <c r="F1283" s="35"/>
      <c r="G1283"/>
      <c r="H1283"/>
    </row>
    <row r="1284" spans="3:8" ht="15" x14ac:dyDescent="0.25">
      <c r="C1284"/>
      <c r="D1284"/>
      <c r="E1284"/>
      <c r="F1284" s="35"/>
      <c r="G1284"/>
      <c r="H1284"/>
    </row>
    <row r="1285" spans="3:8" ht="15" x14ac:dyDescent="0.25">
      <c r="C1285"/>
      <c r="D1285"/>
      <c r="E1285"/>
      <c r="F1285" s="35"/>
      <c r="G1285"/>
      <c r="H1285"/>
    </row>
    <row r="1286" spans="3:8" ht="15" x14ac:dyDescent="0.25">
      <c r="C1286"/>
      <c r="D1286"/>
      <c r="E1286"/>
      <c r="F1286" s="35"/>
      <c r="G1286"/>
      <c r="H1286"/>
    </row>
    <row r="1287" spans="3:8" ht="15" x14ac:dyDescent="0.25">
      <c r="C1287"/>
      <c r="D1287"/>
      <c r="E1287"/>
      <c r="F1287" s="35"/>
      <c r="G1287"/>
      <c r="H1287"/>
    </row>
    <row r="1288" spans="3:8" ht="15" x14ac:dyDescent="0.25">
      <c r="C1288"/>
      <c r="D1288"/>
      <c r="E1288"/>
      <c r="F1288" s="35"/>
      <c r="G1288"/>
      <c r="H1288"/>
    </row>
    <row r="1289" spans="3:8" ht="15" x14ac:dyDescent="0.25">
      <c r="C1289"/>
      <c r="D1289"/>
      <c r="E1289"/>
      <c r="F1289" s="35"/>
      <c r="G1289"/>
      <c r="H1289"/>
    </row>
    <row r="1290" spans="3:8" ht="15" x14ac:dyDescent="0.25">
      <c r="C1290"/>
      <c r="D1290"/>
      <c r="E1290"/>
      <c r="F1290" s="35"/>
      <c r="G1290"/>
      <c r="H1290"/>
    </row>
    <row r="1291" spans="3:8" ht="15" x14ac:dyDescent="0.25">
      <c r="C1291"/>
      <c r="D1291"/>
      <c r="E1291"/>
      <c r="F1291" s="35"/>
      <c r="G1291"/>
      <c r="H1291"/>
    </row>
    <row r="1292" spans="3:8" ht="15" x14ac:dyDescent="0.25">
      <c r="C1292"/>
      <c r="D1292"/>
      <c r="E1292"/>
      <c r="F1292" s="35"/>
      <c r="G1292"/>
      <c r="H1292"/>
    </row>
    <row r="1293" spans="3:8" ht="15" x14ac:dyDescent="0.25">
      <c r="C1293"/>
      <c r="D1293"/>
      <c r="E1293"/>
      <c r="F1293" s="35"/>
      <c r="G1293"/>
      <c r="H1293"/>
    </row>
    <row r="1294" spans="3:8" ht="15" x14ac:dyDescent="0.25">
      <c r="C1294"/>
      <c r="D1294"/>
      <c r="E1294"/>
      <c r="F1294" s="35"/>
      <c r="G1294"/>
      <c r="H1294"/>
    </row>
    <row r="1295" spans="3:8" ht="15" x14ac:dyDescent="0.25">
      <c r="C1295"/>
      <c r="D1295"/>
      <c r="E1295"/>
      <c r="F1295" s="35"/>
      <c r="G1295"/>
      <c r="H1295"/>
    </row>
    <row r="1296" spans="3:8" ht="15" x14ac:dyDescent="0.25">
      <c r="C1296"/>
      <c r="D1296"/>
      <c r="E1296"/>
      <c r="F1296" s="35"/>
      <c r="G1296"/>
      <c r="H1296"/>
    </row>
    <row r="1297" spans="3:8" ht="15" x14ac:dyDescent="0.25">
      <c r="C1297"/>
      <c r="D1297"/>
      <c r="E1297"/>
      <c r="F1297" s="35"/>
      <c r="G1297"/>
      <c r="H1297"/>
    </row>
    <row r="1298" spans="3:8" ht="15" x14ac:dyDescent="0.25">
      <c r="C1298"/>
      <c r="D1298"/>
      <c r="E1298"/>
      <c r="F1298" s="35"/>
      <c r="G1298"/>
      <c r="H1298"/>
    </row>
    <row r="1299" spans="3:8" ht="15" x14ac:dyDescent="0.25">
      <c r="C1299"/>
      <c r="D1299"/>
      <c r="E1299"/>
      <c r="F1299" s="35"/>
      <c r="G1299"/>
      <c r="H1299"/>
    </row>
    <row r="1300" spans="3:8" ht="15" x14ac:dyDescent="0.25">
      <c r="C1300"/>
      <c r="D1300"/>
      <c r="E1300"/>
      <c r="F1300" s="35"/>
      <c r="G1300"/>
      <c r="H1300"/>
    </row>
    <row r="1301" spans="3:8" ht="15" x14ac:dyDescent="0.25">
      <c r="C1301"/>
      <c r="D1301"/>
      <c r="E1301"/>
      <c r="F1301" s="35"/>
      <c r="G1301"/>
      <c r="H1301"/>
    </row>
    <row r="1302" spans="3:8" ht="15" x14ac:dyDescent="0.25">
      <c r="C1302"/>
      <c r="D1302"/>
      <c r="E1302"/>
      <c r="F1302" s="35"/>
      <c r="G1302"/>
      <c r="H1302"/>
    </row>
    <row r="1303" spans="3:8" ht="15" x14ac:dyDescent="0.25">
      <c r="C1303"/>
      <c r="D1303"/>
      <c r="E1303"/>
      <c r="F1303" s="35"/>
      <c r="G1303"/>
      <c r="H1303"/>
    </row>
    <row r="1304" spans="3:8" ht="15" x14ac:dyDescent="0.25">
      <c r="C1304"/>
      <c r="D1304"/>
      <c r="E1304"/>
      <c r="F1304" s="35"/>
      <c r="G1304"/>
      <c r="H1304"/>
    </row>
    <row r="1305" spans="3:8" ht="15" x14ac:dyDescent="0.25">
      <c r="C1305"/>
      <c r="D1305"/>
      <c r="E1305"/>
      <c r="F1305" s="35"/>
      <c r="G1305"/>
      <c r="H1305"/>
    </row>
    <row r="1306" spans="3:8" ht="15" x14ac:dyDescent="0.25">
      <c r="C1306"/>
      <c r="D1306"/>
      <c r="E1306"/>
      <c r="F1306" s="35"/>
      <c r="G1306"/>
      <c r="H1306"/>
    </row>
    <row r="1307" spans="3:8" ht="15" x14ac:dyDescent="0.25">
      <c r="C1307"/>
      <c r="D1307"/>
      <c r="E1307"/>
      <c r="F1307" s="35"/>
      <c r="G1307"/>
      <c r="H1307"/>
    </row>
    <row r="1308" spans="3:8" ht="15" x14ac:dyDescent="0.25">
      <c r="C1308"/>
      <c r="D1308"/>
      <c r="E1308"/>
      <c r="F1308" s="35"/>
      <c r="G1308"/>
      <c r="H1308"/>
    </row>
    <row r="1309" spans="3:8" ht="15" x14ac:dyDescent="0.25">
      <c r="C1309"/>
      <c r="D1309"/>
      <c r="E1309"/>
      <c r="F1309" s="35"/>
      <c r="G1309"/>
      <c r="H1309"/>
    </row>
    <row r="1310" spans="3:8" ht="15" x14ac:dyDescent="0.25">
      <c r="C1310"/>
      <c r="D1310"/>
      <c r="E1310"/>
      <c r="F1310" s="35"/>
      <c r="G1310"/>
      <c r="H1310"/>
    </row>
    <row r="1311" spans="3:8" ht="15" x14ac:dyDescent="0.25">
      <c r="C1311"/>
      <c r="D1311"/>
      <c r="E1311"/>
      <c r="F1311" s="35"/>
      <c r="G1311"/>
      <c r="H1311"/>
    </row>
    <row r="1312" spans="3:8" ht="15" x14ac:dyDescent="0.25">
      <c r="C1312"/>
      <c r="D1312"/>
      <c r="E1312"/>
      <c r="F1312" s="35"/>
      <c r="G1312"/>
      <c r="H1312"/>
    </row>
    <row r="1313" spans="3:8" ht="15" x14ac:dyDescent="0.25">
      <c r="C1313"/>
      <c r="D1313"/>
      <c r="E1313"/>
      <c r="F1313" s="35"/>
      <c r="G1313"/>
      <c r="H1313"/>
    </row>
    <row r="1314" spans="3:8" ht="15" x14ac:dyDescent="0.25">
      <c r="C1314"/>
      <c r="D1314"/>
      <c r="E1314"/>
      <c r="F1314" s="35"/>
      <c r="G1314"/>
      <c r="H1314"/>
    </row>
    <row r="1315" spans="3:8" ht="15" x14ac:dyDescent="0.25">
      <c r="C1315"/>
      <c r="D1315"/>
      <c r="E1315"/>
      <c r="F1315" s="35"/>
      <c r="G1315"/>
      <c r="H1315"/>
    </row>
    <row r="1316" spans="3:8" ht="15" x14ac:dyDescent="0.25">
      <c r="C1316"/>
      <c r="D1316"/>
      <c r="E1316"/>
      <c r="F1316" s="35"/>
      <c r="G1316"/>
      <c r="H1316"/>
    </row>
    <row r="1317" spans="3:8" ht="15" x14ac:dyDescent="0.25">
      <c r="C1317"/>
      <c r="D1317"/>
      <c r="E1317"/>
      <c r="F1317" s="35"/>
      <c r="G1317"/>
      <c r="H1317"/>
    </row>
    <row r="1318" spans="3:8" ht="15" x14ac:dyDescent="0.25">
      <c r="C1318"/>
      <c r="D1318"/>
      <c r="E1318"/>
      <c r="F1318" s="35"/>
      <c r="G1318"/>
      <c r="H1318"/>
    </row>
    <row r="1319" spans="3:8" ht="15" x14ac:dyDescent="0.25">
      <c r="C1319"/>
      <c r="D1319"/>
      <c r="E1319"/>
      <c r="F1319" s="35"/>
      <c r="G1319"/>
      <c r="H1319"/>
    </row>
    <row r="1320" spans="3:8" ht="15" x14ac:dyDescent="0.25">
      <c r="C1320"/>
      <c r="D1320"/>
      <c r="E1320"/>
      <c r="F1320" s="35"/>
      <c r="G1320"/>
      <c r="H1320"/>
    </row>
    <row r="1321" spans="3:8" ht="15" x14ac:dyDescent="0.25">
      <c r="C1321"/>
      <c r="D1321"/>
      <c r="E1321"/>
      <c r="F1321" s="35"/>
      <c r="G1321"/>
      <c r="H1321"/>
    </row>
    <row r="1322" spans="3:8" ht="15" x14ac:dyDescent="0.25">
      <c r="C1322"/>
      <c r="D1322"/>
      <c r="E1322"/>
      <c r="F1322" s="35"/>
      <c r="G1322"/>
      <c r="H1322"/>
    </row>
    <row r="1323" spans="3:8" ht="15" x14ac:dyDescent="0.25">
      <c r="C1323"/>
      <c r="D1323"/>
      <c r="E1323"/>
      <c r="F1323" s="35"/>
      <c r="G1323"/>
      <c r="H1323"/>
    </row>
    <row r="1324" spans="3:8" ht="15" x14ac:dyDescent="0.25">
      <c r="C1324"/>
      <c r="D1324"/>
      <c r="E1324"/>
      <c r="F1324" s="35"/>
      <c r="G1324"/>
      <c r="H1324"/>
    </row>
    <row r="1325" spans="3:8" ht="15" x14ac:dyDescent="0.25">
      <c r="C1325"/>
      <c r="D1325"/>
      <c r="E1325"/>
      <c r="F1325" s="35"/>
      <c r="G1325"/>
      <c r="H1325"/>
    </row>
    <row r="1326" spans="3:8" ht="15" x14ac:dyDescent="0.25">
      <c r="C1326"/>
      <c r="D1326"/>
      <c r="E1326"/>
      <c r="F1326" s="35"/>
      <c r="G1326"/>
      <c r="H1326"/>
    </row>
    <row r="1327" spans="3:8" ht="15" x14ac:dyDescent="0.25">
      <c r="C1327"/>
      <c r="D1327"/>
      <c r="E1327"/>
      <c r="F1327" s="35"/>
      <c r="G1327"/>
      <c r="H1327"/>
    </row>
    <row r="1328" spans="3:8" ht="15" x14ac:dyDescent="0.25">
      <c r="C1328"/>
      <c r="D1328"/>
      <c r="E1328"/>
      <c r="F1328" s="35"/>
      <c r="G1328"/>
      <c r="H1328"/>
    </row>
    <row r="1329" spans="3:8" ht="15" x14ac:dyDescent="0.25">
      <c r="C1329"/>
      <c r="D1329"/>
      <c r="E1329"/>
      <c r="F1329" s="35"/>
      <c r="G1329"/>
      <c r="H1329"/>
    </row>
    <row r="1330" spans="3:8" ht="15" x14ac:dyDescent="0.25">
      <c r="C1330"/>
      <c r="D1330"/>
      <c r="E1330"/>
      <c r="F1330" s="35"/>
      <c r="G1330"/>
      <c r="H1330"/>
    </row>
    <row r="1331" spans="3:8" ht="15" x14ac:dyDescent="0.25">
      <c r="C1331"/>
      <c r="D1331"/>
      <c r="E1331"/>
      <c r="F1331" s="35"/>
      <c r="G1331"/>
      <c r="H1331"/>
    </row>
    <row r="1332" spans="3:8" ht="15" x14ac:dyDescent="0.25">
      <c r="C1332"/>
      <c r="D1332"/>
      <c r="E1332"/>
      <c r="F1332" s="35"/>
      <c r="G1332"/>
      <c r="H1332"/>
    </row>
    <row r="1333" spans="3:8" ht="15" x14ac:dyDescent="0.25">
      <c r="C1333"/>
      <c r="D1333"/>
      <c r="E1333"/>
      <c r="F1333" s="35"/>
      <c r="G1333"/>
      <c r="H1333"/>
    </row>
    <row r="1334" spans="3:8" ht="15" x14ac:dyDescent="0.25">
      <c r="C1334"/>
      <c r="D1334"/>
      <c r="E1334"/>
      <c r="F1334" s="35"/>
      <c r="G1334"/>
      <c r="H1334"/>
    </row>
    <row r="1335" spans="3:8" ht="15" x14ac:dyDescent="0.25">
      <c r="C1335"/>
      <c r="D1335"/>
      <c r="E1335"/>
      <c r="F1335" s="35"/>
      <c r="G1335"/>
      <c r="H1335"/>
    </row>
    <row r="1336" spans="3:8" ht="15" x14ac:dyDescent="0.25">
      <c r="C1336"/>
      <c r="D1336"/>
      <c r="E1336"/>
      <c r="F1336" s="35"/>
      <c r="G1336"/>
      <c r="H1336"/>
    </row>
    <row r="1337" spans="3:8" ht="15" x14ac:dyDescent="0.25">
      <c r="C1337"/>
      <c r="D1337"/>
      <c r="E1337"/>
      <c r="F1337" s="35"/>
      <c r="G1337"/>
      <c r="H1337"/>
    </row>
    <row r="1338" spans="3:8" ht="15" x14ac:dyDescent="0.25">
      <c r="C1338"/>
      <c r="D1338"/>
      <c r="E1338"/>
      <c r="F1338" s="35"/>
      <c r="G1338"/>
      <c r="H1338"/>
    </row>
    <row r="1339" spans="3:8" ht="15" x14ac:dyDescent="0.25">
      <c r="C1339"/>
      <c r="D1339"/>
      <c r="E1339"/>
      <c r="F1339" s="35"/>
      <c r="G1339"/>
      <c r="H1339"/>
    </row>
    <row r="1340" spans="3:8" ht="15" x14ac:dyDescent="0.25">
      <c r="C1340"/>
      <c r="D1340"/>
      <c r="E1340"/>
      <c r="F1340" s="35"/>
      <c r="G1340"/>
      <c r="H1340"/>
    </row>
    <row r="1341" spans="3:8" ht="15" x14ac:dyDescent="0.25">
      <c r="C1341"/>
      <c r="D1341"/>
      <c r="E1341"/>
      <c r="F1341" s="35"/>
      <c r="G1341"/>
      <c r="H1341"/>
    </row>
    <row r="1342" spans="3:8" ht="15" x14ac:dyDescent="0.25">
      <c r="C1342"/>
      <c r="D1342"/>
      <c r="E1342"/>
      <c r="F1342" s="35"/>
      <c r="G1342"/>
      <c r="H1342"/>
    </row>
    <row r="1343" spans="3:8" ht="15" x14ac:dyDescent="0.25">
      <c r="C1343"/>
      <c r="D1343"/>
      <c r="E1343"/>
      <c r="F1343" s="35"/>
      <c r="G1343"/>
      <c r="H1343"/>
    </row>
    <row r="1344" spans="3:8" ht="15" x14ac:dyDescent="0.25">
      <c r="C1344"/>
      <c r="D1344"/>
      <c r="E1344"/>
      <c r="F1344" s="35"/>
      <c r="G1344"/>
      <c r="H1344"/>
    </row>
    <row r="1345" spans="3:8" ht="15" x14ac:dyDescent="0.25">
      <c r="C1345"/>
      <c r="D1345"/>
      <c r="E1345"/>
      <c r="F1345" s="35"/>
      <c r="G1345"/>
      <c r="H1345"/>
    </row>
    <row r="1346" spans="3:8" ht="15" x14ac:dyDescent="0.25">
      <c r="C1346"/>
      <c r="D1346"/>
      <c r="E1346"/>
      <c r="F1346" s="35"/>
      <c r="G1346"/>
      <c r="H1346"/>
    </row>
    <row r="1347" spans="3:8" ht="15" x14ac:dyDescent="0.25">
      <c r="C1347"/>
      <c r="D1347"/>
      <c r="E1347"/>
      <c r="F1347" s="35"/>
      <c r="G1347"/>
      <c r="H1347"/>
    </row>
    <row r="1348" spans="3:8" ht="15" x14ac:dyDescent="0.25">
      <c r="C1348"/>
      <c r="D1348"/>
      <c r="E1348"/>
      <c r="F1348" s="35"/>
      <c r="G1348"/>
      <c r="H1348"/>
    </row>
    <row r="1349" spans="3:8" ht="15" x14ac:dyDescent="0.25">
      <c r="C1349"/>
      <c r="D1349"/>
      <c r="E1349"/>
      <c r="F1349" s="35"/>
      <c r="G1349"/>
      <c r="H1349"/>
    </row>
    <row r="1350" spans="3:8" ht="15" x14ac:dyDescent="0.25">
      <c r="C1350"/>
      <c r="D1350"/>
      <c r="E1350"/>
      <c r="F1350" s="35"/>
      <c r="G1350"/>
      <c r="H1350"/>
    </row>
    <row r="1351" spans="3:8" ht="15" x14ac:dyDescent="0.25">
      <c r="C1351"/>
      <c r="D1351"/>
      <c r="E1351"/>
      <c r="F1351" s="35"/>
      <c r="G1351"/>
      <c r="H1351"/>
    </row>
    <row r="1352" spans="3:8" ht="15" x14ac:dyDescent="0.25">
      <c r="C1352"/>
      <c r="D1352"/>
      <c r="E1352"/>
      <c r="F1352" s="35"/>
      <c r="G1352"/>
      <c r="H1352"/>
    </row>
    <row r="1353" spans="3:8" ht="15" x14ac:dyDescent="0.25">
      <c r="C1353"/>
      <c r="D1353"/>
      <c r="E1353"/>
      <c r="F1353" s="35"/>
      <c r="G1353"/>
      <c r="H1353"/>
    </row>
    <row r="1354" spans="3:8" ht="15" x14ac:dyDescent="0.25">
      <c r="C1354"/>
      <c r="D1354"/>
      <c r="E1354"/>
      <c r="F1354" s="35"/>
      <c r="G1354"/>
      <c r="H1354"/>
    </row>
    <row r="1355" spans="3:8" ht="15" x14ac:dyDescent="0.25">
      <c r="C1355"/>
      <c r="D1355"/>
      <c r="E1355"/>
      <c r="F1355" s="35"/>
      <c r="G1355"/>
      <c r="H1355"/>
    </row>
    <row r="1356" spans="3:8" ht="15" x14ac:dyDescent="0.25">
      <c r="C1356"/>
      <c r="D1356"/>
      <c r="E1356"/>
      <c r="F1356" s="35"/>
      <c r="G1356"/>
      <c r="H1356"/>
    </row>
    <row r="1357" spans="3:8" ht="15" x14ac:dyDescent="0.25">
      <c r="C1357"/>
      <c r="D1357"/>
      <c r="E1357"/>
      <c r="F1357" s="35"/>
      <c r="G1357"/>
      <c r="H1357"/>
    </row>
    <row r="1358" spans="3:8" ht="15" x14ac:dyDescent="0.25">
      <c r="C1358"/>
      <c r="D1358"/>
      <c r="E1358"/>
      <c r="F1358" s="35"/>
      <c r="G1358"/>
      <c r="H1358"/>
    </row>
    <row r="1359" spans="3:8" ht="15" x14ac:dyDescent="0.25">
      <c r="C1359"/>
      <c r="D1359"/>
      <c r="E1359"/>
      <c r="F1359" s="35"/>
      <c r="G1359"/>
      <c r="H1359"/>
    </row>
    <row r="1360" spans="3:8" ht="15" x14ac:dyDescent="0.25">
      <c r="C1360"/>
      <c r="D1360"/>
      <c r="E1360"/>
      <c r="F1360" s="35"/>
      <c r="G1360"/>
      <c r="H1360"/>
    </row>
    <row r="1361" spans="3:8" ht="15" x14ac:dyDescent="0.25">
      <c r="C1361"/>
      <c r="D1361"/>
      <c r="E1361"/>
      <c r="F1361" s="35"/>
      <c r="G1361"/>
      <c r="H1361"/>
    </row>
    <row r="1362" spans="3:8" ht="15" x14ac:dyDescent="0.25">
      <c r="C1362"/>
      <c r="D1362"/>
      <c r="E1362"/>
      <c r="F1362" s="35"/>
      <c r="G1362"/>
      <c r="H1362"/>
    </row>
    <row r="1363" spans="3:8" ht="15" x14ac:dyDescent="0.25">
      <c r="C1363"/>
      <c r="D1363"/>
      <c r="E1363"/>
      <c r="F1363" s="35"/>
      <c r="G1363"/>
      <c r="H1363"/>
    </row>
    <row r="1364" spans="3:8" ht="15" x14ac:dyDescent="0.25">
      <c r="C1364"/>
      <c r="D1364"/>
      <c r="E1364"/>
      <c r="F1364" s="35"/>
      <c r="G1364"/>
      <c r="H1364"/>
    </row>
    <row r="1365" spans="3:8" ht="15" x14ac:dyDescent="0.25">
      <c r="C1365"/>
      <c r="D1365"/>
      <c r="E1365"/>
      <c r="F1365" s="35"/>
      <c r="G1365"/>
      <c r="H1365"/>
    </row>
    <row r="1366" spans="3:8" ht="15" x14ac:dyDescent="0.25">
      <c r="C1366"/>
      <c r="D1366"/>
      <c r="E1366"/>
      <c r="F1366" s="35"/>
      <c r="G1366"/>
      <c r="H1366"/>
    </row>
    <row r="1367" spans="3:8" ht="15" x14ac:dyDescent="0.25">
      <c r="C1367"/>
      <c r="D1367"/>
      <c r="E1367"/>
      <c r="F1367" s="35"/>
      <c r="G1367"/>
      <c r="H1367"/>
    </row>
    <row r="1368" spans="3:8" ht="15" x14ac:dyDescent="0.25">
      <c r="C1368"/>
      <c r="D1368"/>
      <c r="E1368"/>
      <c r="F1368" s="35"/>
      <c r="G1368"/>
      <c r="H1368"/>
    </row>
    <row r="1369" spans="3:8" ht="15" x14ac:dyDescent="0.25">
      <c r="C1369"/>
      <c r="D1369"/>
      <c r="E1369"/>
      <c r="F1369" s="35"/>
      <c r="G1369"/>
      <c r="H1369"/>
    </row>
    <row r="1370" spans="3:8" ht="15" x14ac:dyDescent="0.25">
      <c r="C1370"/>
      <c r="D1370"/>
      <c r="E1370"/>
      <c r="F1370" s="35"/>
      <c r="G1370"/>
      <c r="H1370"/>
    </row>
    <row r="1371" spans="3:8" ht="15" x14ac:dyDescent="0.25">
      <c r="C1371"/>
      <c r="D1371"/>
      <c r="E1371"/>
      <c r="F1371" s="35"/>
      <c r="G1371"/>
      <c r="H1371"/>
    </row>
    <row r="1372" spans="3:8" ht="15" x14ac:dyDescent="0.25">
      <c r="C1372"/>
      <c r="D1372"/>
      <c r="E1372"/>
      <c r="F1372" s="35"/>
      <c r="G1372"/>
      <c r="H1372"/>
    </row>
    <row r="1373" spans="3:8" ht="15" x14ac:dyDescent="0.25">
      <c r="C1373"/>
      <c r="D1373"/>
      <c r="E1373"/>
      <c r="F1373" s="35"/>
      <c r="G1373"/>
      <c r="H1373"/>
    </row>
    <row r="1374" spans="3:8" ht="15" x14ac:dyDescent="0.25">
      <c r="C1374"/>
      <c r="D1374"/>
      <c r="E1374"/>
      <c r="F1374" s="35"/>
      <c r="G1374"/>
      <c r="H1374"/>
    </row>
    <row r="1375" spans="3:8" ht="15" x14ac:dyDescent="0.25">
      <c r="C1375"/>
      <c r="D1375"/>
      <c r="E1375"/>
      <c r="F1375" s="35"/>
      <c r="G1375"/>
      <c r="H1375"/>
    </row>
    <row r="1376" spans="3:8" ht="15" x14ac:dyDescent="0.25">
      <c r="C1376"/>
      <c r="D1376"/>
      <c r="E1376"/>
      <c r="F1376" s="35"/>
      <c r="G1376"/>
      <c r="H1376"/>
    </row>
    <row r="1377" spans="3:8" ht="15" x14ac:dyDescent="0.25">
      <c r="C1377"/>
      <c r="D1377"/>
      <c r="E1377"/>
      <c r="F1377" s="35"/>
      <c r="G1377"/>
      <c r="H1377"/>
    </row>
    <row r="1378" spans="3:8" ht="15" x14ac:dyDescent="0.25">
      <c r="C1378"/>
      <c r="D1378"/>
      <c r="E1378"/>
      <c r="F1378" s="35"/>
      <c r="G1378"/>
      <c r="H1378"/>
    </row>
    <row r="1379" spans="3:8" ht="15" x14ac:dyDescent="0.25">
      <c r="C1379"/>
      <c r="D1379"/>
      <c r="E1379"/>
      <c r="F1379" s="35"/>
      <c r="G1379"/>
      <c r="H1379"/>
    </row>
    <row r="1380" spans="3:8" ht="15" x14ac:dyDescent="0.25">
      <c r="C1380"/>
      <c r="D1380"/>
      <c r="E1380"/>
      <c r="F1380" s="35"/>
      <c r="G1380"/>
      <c r="H1380"/>
    </row>
    <row r="1381" spans="3:8" ht="15" x14ac:dyDescent="0.25">
      <c r="C1381"/>
      <c r="D1381"/>
      <c r="E1381"/>
      <c r="F1381" s="35"/>
      <c r="G1381"/>
      <c r="H1381"/>
    </row>
    <row r="1382" spans="3:8" ht="15" x14ac:dyDescent="0.25">
      <c r="C1382"/>
      <c r="D1382"/>
      <c r="E1382"/>
      <c r="F1382" s="35"/>
      <c r="G1382"/>
      <c r="H1382"/>
    </row>
    <row r="1383" spans="3:8" ht="15" x14ac:dyDescent="0.25">
      <c r="C1383"/>
      <c r="D1383"/>
      <c r="E1383"/>
      <c r="F1383" s="35"/>
      <c r="G1383"/>
      <c r="H1383"/>
    </row>
    <row r="1384" spans="3:8" ht="15" x14ac:dyDescent="0.25">
      <c r="C1384"/>
      <c r="D1384"/>
      <c r="E1384"/>
      <c r="F1384" s="35"/>
      <c r="G1384"/>
      <c r="H1384"/>
    </row>
    <row r="1385" spans="3:8" ht="15" x14ac:dyDescent="0.25">
      <c r="C1385"/>
      <c r="D1385"/>
      <c r="E1385"/>
      <c r="F1385" s="35"/>
      <c r="G1385"/>
      <c r="H1385"/>
    </row>
    <row r="1386" spans="3:8" ht="15" x14ac:dyDescent="0.25">
      <c r="C1386"/>
      <c r="D1386"/>
      <c r="E1386"/>
      <c r="F1386" s="35"/>
      <c r="G1386"/>
      <c r="H1386"/>
    </row>
    <row r="1387" spans="3:8" ht="15" x14ac:dyDescent="0.25">
      <c r="C1387"/>
      <c r="D1387"/>
      <c r="E1387"/>
      <c r="F1387" s="35"/>
      <c r="G1387"/>
      <c r="H1387"/>
    </row>
    <row r="1388" spans="3:8" ht="15" x14ac:dyDescent="0.25">
      <c r="C1388"/>
      <c r="D1388"/>
      <c r="E1388"/>
      <c r="F1388" s="35"/>
      <c r="G1388"/>
      <c r="H1388"/>
    </row>
    <row r="1389" spans="3:8" ht="15" x14ac:dyDescent="0.25">
      <c r="C1389"/>
      <c r="D1389"/>
      <c r="E1389"/>
      <c r="F1389" s="35"/>
      <c r="G1389"/>
      <c r="H1389"/>
    </row>
    <row r="1390" spans="3:8" ht="15" x14ac:dyDescent="0.25">
      <c r="C1390"/>
      <c r="D1390"/>
      <c r="E1390"/>
      <c r="F1390" s="35"/>
      <c r="G1390"/>
      <c r="H1390"/>
    </row>
    <row r="1391" spans="3:8" ht="15" x14ac:dyDescent="0.25">
      <c r="C1391"/>
      <c r="D1391"/>
      <c r="E1391"/>
      <c r="F1391" s="35"/>
      <c r="G1391"/>
      <c r="H1391"/>
    </row>
    <row r="1392" spans="3:8" ht="15" x14ac:dyDescent="0.25">
      <c r="C1392"/>
      <c r="D1392"/>
      <c r="E1392"/>
      <c r="F1392" s="35"/>
      <c r="G1392"/>
      <c r="H1392"/>
    </row>
    <row r="1393" spans="3:8" ht="15" x14ac:dyDescent="0.25">
      <c r="C1393"/>
      <c r="D1393"/>
      <c r="E1393"/>
      <c r="F1393" s="35"/>
      <c r="G1393"/>
      <c r="H1393"/>
    </row>
    <row r="1394" spans="3:8" ht="15" x14ac:dyDescent="0.25">
      <c r="C1394"/>
      <c r="D1394"/>
      <c r="E1394"/>
      <c r="F1394" s="35"/>
      <c r="G1394"/>
      <c r="H1394"/>
    </row>
    <row r="1395" spans="3:8" ht="15" x14ac:dyDescent="0.25">
      <c r="C1395"/>
      <c r="D1395"/>
      <c r="E1395"/>
      <c r="F1395" s="35"/>
      <c r="G1395"/>
      <c r="H1395"/>
    </row>
    <row r="1396" spans="3:8" ht="15" x14ac:dyDescent="0.25">
      <c r="C1396"/>
      <c r="D1396"/>
      <c r="E1396"/>
      <c r="F1396" s="35"/>
      <c r="G1396"/>
      <c r="H1396"/>
    </row>
    <row r="1397" spans="3:8" ht="15" x14ac:dyDescent="0.25">
      <c r="C1397"/>
      <c r="D1397"/>
      <c r="E1397"/>
      <c r="F1397" s="35"/>
      <c r="G1397"/>
      <c r="H1397"/>
    </row>
    <row r="1398" spans="3:8" ht="15" x14ac:dyDescent="0.25">
      <c r="C1398"/>
      <c r="D1398"/>
      <c r="E1398"/>
      <c r="F1398" s="35"/>
      <c r="G1398"/>
      <c r="H1398"/>
    </row>
    <row r="1399" spans="3:8" ht="15" x14ac:dyDescent="0.25">
      <c r="C1399"/>
      <c r="D1399"/>
      <c r="E1399"/>
      <c r="F1399" s="35"/>
      <c r="G1399"/>
      <c r="H1399"/>
    </row>
    <row r="1400" spans="3:8" ht="15" x14ac:dyDescent="0.25">
      <c r="C1400"/>
      <c r="D1400"/>
      <c r="E1400"/>
      <c r="F1400" s="35"/>
      <c r="G1400"/>
      <c r="H1400"/>
    </row>
    <row r="1401" spans="3:8" ht="15" x14ac:dyDescent="0.25">
      <c r="C1401"/>
      <c r="D1401"/>
      <c r="E1401"/>
      <c r="F1401" s="35"/>
      <c r="G1401"/>
      <c r="H1401"/>
    </row>
    <row r="1402" spans="3:8" ht="15" x14ac:dyDescent="0.25">
      <c r="C1402"/>
      <c r="D1402"/>
      <c r="E1402"/>
      <c r="F1402" s="35"/>
      <c r="G1402"/>
      <c r="H1402"/>
    </row>
    <row r="1403" spans="3:8" ht="15" x14ac:dyDescent="0.25">
      <c r="C1403"/>
      <c r="D1403"/>
      <c r="E1403"/>
      <c r="F1403" s="35"/>
      <c r="G1403"/>
      <c r="H1403"/>
    </row>
    <row r="1404" spans="3:8" ht="15" x14ac:dyDescent="0.25">
      <c r="C1404"/>
      <c r="D1404"/>
      <c r="E1404"/>
      <c r="F1404" s="35"/>
      <c r="G1404"/>
      <c r="H1404"/>
    </row>
    <row r="1405" spans="3:8" ht="15" x14ac:dyDescent="0.25">
      <c r="C1405"/>
      <c r="D1405"/>
      <c r="E1405"/>
      <c r="F1405" s="35"/>
      <c r="G1405"/>
      <c r="H1405"/>
    </row>
    <row r="1406" spans="3:8" ht="15" x14ac:dyDescent="0.25">
      <c r="C1406"/>
      <c r="D1406"/>
      <c r="E1406"/>
      <c r="F1406" s="35"/>
      <c r="G1406"/>
      <c r="H1406"/>
    </row>
    <row r="1407" spans="3:8" ht="15" x14ac:dyDescent="0.25">
      <c r="C1407"/>
      <c r="D1407"/>
      <c r="E1407"/>
      <c r="F1407" s="35"/>
      <c r="G1407"/>
      <c r="H1407"/>
    </row>
    <row r="1408" spans="3:8" ht="15" x14ac:dyDescent="0.25">
      <c r="C1408"/>
      <c r="D1408"/>
      <c r="E1408"/>
      <c r="F1408" s="35"/>
      <c r="G1408"/>
      <c r="H1408"/>
    </row>
    <row r="1409" spans="3:8" ht="15" x14ac:dyDescent="0.25">
      <c r="C1409"/>
      <c r="D1409"/>
      <c r="E1409"/>
      <c r="F1409" s="35"/>
      <c r="G1409"/>
      <c r="H1409"/>
    </row>
    <row r="1410" spans="3:8" ht="15" x14ac:dyDescent="0.25">
      <c r="C1410"/>
      <c r="D1410"/>
      <c r="E1410"/>
      <c r="F1410" s="35"/>
      <c r="G1410"/>
      <c r="H1410"/>
    </row>
    <row r="1411" spans="3:8" ht="15" x14ac:dyDescent="0.25">
      <c r="C1411"/>
      <c r="D1411"/>
      <c r="E1411"/>
      <c r="F1411" s="35"/>
      <c r="G1411"/>
      <c r="H1411"/>
    </row>
    <row r="1412" spans="3:8" ht="15" x14ac:dyDescent="0.25">
      <c r="C1412"/>
      <c r="D1412"/>
      <c r="E1412"/>
      <c r="F1412" s="35"/>
      <c r="G1412"/>
      <c r="H1412"/>
    </row>
    <row r="1413" spans="3:8" ht="15" x14ac:dyDescent="0.25">
      <c r="C1413"/>
      <c r="D1413"/>
      <c r="E1413"/>
      <c r="F1413" s="35"/>
      <c r="G1413"/>
      <c r="H1413"/>
    </row>
    <row r="1414" spans="3:8" ht="15" x14ac:dyDescent="0.25">
      <c r="C1414"/>
      <c r="D1414"/>
      <c r="E1414"/>
      <c r="F1414" s="35"/>
      <c r="G1414"/>
      <c r="H1414"/>
    </row>
    <row r="1415" spans="3:8" ht="15" x14ac:dyDescent="0.25">
      <c r="C1415"/>
      <c r="D1415"/>
      <c r="E1415"/>
      <c r="F1415" s="35"/>
      <c r="G1415"/>
      <c r="H1415"/>
    </row>
    <row r="1416" spans="3:8" ht="15" x14ac:dyDescent="0.25">
      <c r="C1416"/>
      <c r="D1416"/>
      <c r="E1416"/>
      <c r="F1416" s="35"/>
      <c r="G1416"/>
      <c r="H1416"/>
    </row>
    <row r="1417" spans="3:8" ht="15" x14ac:dyDescent="0.25">
      <c r="C1417"/>
      <c r="D1417"/>
      <c r="E1417"/>
      <c r="F1417" s="35"/>
      <c r="G1417"/>
      <c r="H1417"/>
    </row>
    <row r="1418" spans="3:8" ht="15" x14ac:dyDescent="0.25">
      <c r="C1418"/>
      <c r="D1418"/>
      <c r="E1418"/>
      <c r="F1418" s="35"/>
      <c r="G1418"/>
      <c r="H1418"/>
    </row>
    <row r="1419" spans="3:8" ht="15" x14ac:dyDescent="0.25">
      <c r="C1419"/>
      <c r="D1419"/>
      <c r="E1419"/>
      <c r="F1419" s="35"/>
      <c r="G1419"/>
      <c r="H1419"/>
    </row>
    <row r="1420" spans="3:8" ht="15" x14ac:dyDescent="0.25">
      <c r="C1420"/>
      <c r="D1420"/>
      <c r="E1420"/>
      <c r="F1420" s="35"/>
      <c r="G1420"/>
      <c r="H1420"/>
    </row>
    <row r="1421" spans="3:8" ht="15" x14ac:dyDescent="0.25">
      <c r="C1421"/>
      <c r="D1421"/>
      <c r="E1421"/>
      <c r="F1421" s="35"/>
      <c r="G1421"/>
      <c r="H1421"/>
    </row>
    <row r="1422" spans="3:8" ht="15" x14ac:dyDescent="0.25">
      <c r="C1422"/>
      <c r="D1422"/>
      <c r="E1422"/>
      <c r="F1422" s="35"/>
      <c r="G1422"/>
      <c r="H1422"/>
    </row>
    <row r="1423" spans="3:8" ht="15" x14ac:dyDescent="0.25">
      <c r="C1423"/>
      <c r="D1423"/>
      <c r="E1423"/>
      <c r="F1423" s="35"/>
      <c r="G1423"/>
      <c r="H1423"/>
    </row>
    <row r="1424" spans="3:8" ht="15" x14ac:dyDescent="0.25">
      <c r="C1424"/>
      <c r="D1424"/>
      <c r="E1424"/>
      <c r="F1424" s="35"/>
      <c r="G1424"/>
      <c r="H1424"/>
    </row>
    <row r="1425" spans="3:8" ht="15" x14ac:dyDescent="0.25">
      <c r="C1425"/>
      <c r="D1425"/>
      <c r="E1425"/>
      <c r="F1425" s="35"/>
      <c r="G1425"/>
      <c r="H1425"/>
    </row>
    <row r="1426" spans="3:8" ht="15" x14ac:dyDescent="0.25">
      <c r="C1426"/>
      <c r="D1426"/>
      <c r="E1426"/>
      <c r="F1426" s="35"/>
      <c r="G1426"/>
      <c r="H1426"/>
    </row>
    <row r="1427" spans="3:8" ht="15" x14ac:dyDescent="0.25">
      <c r="C1427"/>
      <c r="D1427"/>
      <c r="E1427"/>
      <c r="F1427" s="35"/>
      <c r="G1427"/>
      <c r="H1427"/>
    </row>
    <row r="1428" spans="3:8" ht="15" x14ac:dyDescent="0.25">
      <c r="C1428"/>
      <c r="D1428"/>
      <c r="E1428"/>
      <c r="F1428" s="35"/>
      <c r="G1428"/>
      <c r="H1428"/>
    </row>
    <row r="1429" spans="3:8" ht="15" x14ac:dyDescent="0.25">
      <c r="C1429"/>
      <c r="D1429"/>
      <c r="E1429"/>
      <c r="F1429" s="35"/>
      <c r="G1429"/>
      <c r="H1429"/>
    </row>
    <row r="1430" spans="3:8" ht="15" x14ac:dyDescent="0.25">
      <c r="C1430"/>
      <c r="D1430"/>
      <c r="E1430"/>
      <c r="F1430" s="35"/>
      <c r="G1430"/>
      <c r="H1430"/>
    </row>
    <row r="1431" spans="3:8" ht="15" x14ac:dyDescent="0.25">
      <c r="C1431"/>
      <c r="D1431"/>
      <c r="E1431"/>
      <c r="F1431" s="35"/>
      <c r="G1431"/>
      <c r="H1431"/>
    </row>
    <row r="1432" spans="3:8" ht="15" x14ac:dyDescent="0.25">
      <c r="C1432"/>
      <c r="D1432"/>
      <c r="E1432"/>
      <c r="F1432" s="35"/>
      <c r="G1432"/>
      <c r="H1432"/>
    </row>
    <row r="1433" spans="3:8" ht="15" x14ac:dyDescent="0.25">
      <c r="C1433"/>
      <c r="D1433"/>
      <c r="E1433"/>
      <c r="F1433" s="35"/>
      <c r="G1433"/>
      <c r="H1433"/>
    </row>
    <row r="1434" spans="3:8" ht="15" x14ac:dyDescent="0.25">
      <c r="C1434"/>
      <c r="D1434"/>
      <c r="E1434"/>
      <c r="F1434" s="35"/>
      <c r="G1434"/>
      <c r="H1434"/>
    </row>
    <row r="1435" spans="3:8" ht="15" x14ac:dyDescent="0.25">
      <c r="C1435"/>
      <c r="D1435"/>
      <c r="E1435"/>
      <c r="F1435" s="35"/>
      <c r="G1435"/>
      <c r="H1435"/>
    </row>
    <row r="1436" spans="3:8" ht="15" x14ac:dyDescent="0.25">
      <c r="C1436"/>
      <c r="D1436"/>
      <c r="E1436"/>
      <c r="F1436" s="35"/>
      <c r="G1436"/>
      <c r="H1436"/>
    </row>
    <row r="1437" spans="3:8" ht="15" x14ac:dyDescent="0.25">
      <c r="C1437"/>
      <c r="D1437"/>
      <c r="E1437"/>
      <c r="F1437" s="35"/>
      <c r="G1437"/>
      <c r="H1437"/>
    </row>
    <row r="1438" spans="3:8" ht="15" x14ac:dyDescent="0.25">
      <c r="C1438"/>
      <c r="D1438"/>
      <c r="E1438"/>
      <c r="F1438" s="35"/>
      <c r="G1438"/>
      <c r="H1438"/>
    </row>
    <row r="1439" spans="3:8" ht="15" x14ac:dyDescent="0.25">
      <c r="C1439"/>
      <c r="D1439"/>
      <c r="E1439"/>
      <c r="F1439" s="35"/>
      <c r="G1439"/>
      <c r="H1439"/>
    </row>
    <row r="1440" spans="3:8" ht="15" x14ac:dyDescent="0.25">
      <c r="C1440"/>
      <c r="D1440"/>
      <c r="E1440"/>
      <c r="F1440" s="35"/>
      <c r="G1440"/>
      <c r="H1440"/>
    </row>
    <row r="1441" spans="3:8" ht="15" x14ac:dyDescent="0.25">
      <c r="C1441"/>
      <c r="D1441"/>
      <c r="E1441"/>
      <c r="F1441" s="35"/>
      <c r="G1441"/>
      <c r="H1441"/>
    </row>
    <row r="1442" spans="3:8" ht="15" x14ac:dyDescent="0.25">
      <c r="C1442"/>
      <c r="D1442"/>
      <c r="E1442"/>
      <c r="F1442" s="35"/>
      <c r="G1442"/>
      <c r="H1442"/>
    </row>
    <row r="1443" spans="3:8" ht="15" x14ac:dyDescent="0.25">
      <c r="C1443"/>
      <c r="D1443"/>
      <c r="E1443"/>
      <c r="F1443" s="35"/>
      <c r="G1443"/>
      <c r="H1443"/>
    </row>
    <row r="1444" spans="3:8" ht="15" x14ac:dyDescent="0.25">
      <c r="C1444"/>
      <c r="D1444"/>
      <c r="E1444"/>
      <c r="F1444" s="35"/>
      <c r="G1444"/>
      <c r="H1444"/>
    </row>
    <row r="1445" spans="3:8" ht="15" x14ac:dyDescent="0.25">
      <c r="C1445"/>
      <c r="D1445"/>
      <c r="E1445"/>
      <c r="F1445" s="35"/>
      <c r="G1445"/>
      <c r="H1445"/>
    </row>
    <row r="1446" spans="3:8" ht="15" x14ac:dyDescent="0.25">
      <c r="C1446"/>
      <c r="D1446"/>
      <c r="E1446"/>
      <c r="F1446" s="35"/>
      <c r="G1446"/>
      <c r="H1446"/>
    </row>
    <row r="1447" spans="3:8" ht="15" x14ac:dyDescent="0.25">
      <c r="C1447"/>
      <c r="D1447"/>
      <c r="E1447"/>
      <c r="F1447" s="35"/>
      <c r="G1447"/>
      <c r="H1447"/>
    </row>
    <row r="1448" spans="3:8" ht="15" x14ac:dyDescent="0.25">
      <c r="C1448"/>
      <c r="D1448"/>
      <c r="E1448"/>
      <c r="F1448" s="35"/>
      <c r="G1448"/>
      <c r="H1448"/>
    </row>
    <row r="1449" spans="3:8" ht="15" x14ac:dyDescent="0.25">
      <c r="C1449"/>
      <c r="D1449"/>
      <c r="E1449"/>
      <c r="F1449" s="35"/>
      <c r="G1449"/>
      <c r="H1449"/>
    </row>
    <row r="1450" spans="3:8" ht="15" x14ac:dyDescent="0.25">
      <c r="C1450"/>
      <c r="D1450"/>
      <c r="E1450"/>
      <c r="F1450" s="35"/>
      <c r="G1450"/>
      <c r="H1450"/>
    </row>
    <row r="1451" spans="3:8" ht="15" x14ac:dyDescent="0.25">
      <c r="C1451"/>
      <c r="D1451"/>
      <c r="E1451"/>
      <c r="F1451" s="35"/>
      <c r="G1451"/>
      <c r="H1451"/>
    </row>
    <row r="1452" spans="3:8" ht="15" x14ac:dyDescent="0.25">
      <c r="C1452"/>
      <c r="D1452"/>
      <c r="E1452"/>
      <c r="F1452" s="35"/>
      <c r="G1452"/>
      <c r="H1452"/>
    </row>
    <row r="1453" spans="3:8" ht="15" x14ac:dyDescent="0.25">
      <c r="C1453"/>
      <c r="D1453"/>
      <c r="E1453"/>
      <c r="F1453" s="35"/>
      <c r="G1453"/>
      <c r="H1453"/>
    </row>
    <row r="1454" spans="3:8" ht="15" x14ac:dyDescent="0.25">
      <c r="C1454"/>
      <c r="D1454"/>
      <c r="E1454"/>
      <c r="F1454" s="35"/>
      <c r="G1454"/>
      <c r="H1454"/>
    </row>
    <row r="1455" spans="3:8" ht="15" x14ac:dyDescent="0.25">
      <c r="C1455"/>
      <c r="D1455"/>
      <c r="E1455"/>
      <c r="F1455" s="35"/>
      <c r="G1455"/>
      <c r="H1455"/>
    </row>
    <row r="1456" spans="3:8" ht="15" x14ac:dyDescent="0.25">
      <c r="C1456"/>
      <c r="D1456"/>
      <c r="E1456"/>
      <c r="F1456" s="35"/>
      <c r="G1456"/>
      <c r="H1456"/>
    </row>
    <row r="1457" spans="3:8" ht="15" x14ac:dyDescent="0.25">
      <c r="C1457"/>
      <c r="D1457"/>
      <c r="E1457"/>
      <c r="F1457" s="35"/>
      <c r="G1457"/>
      <c r="H1457"/>
    </row>
    <row r="1458" spans="3:8" ht="15" x14ac:dyDescent="0.25">
      <c r="C1458"/>
      <c r="D1458"/>
      <c r="E1458"/>
      <c r="F1458" s="35"/>
      <c r="G1458"/>
      <c r="H1458"/>
    </row>
    <row r="1459" spans="3:8" ht="15" x14ac:dyDescent="0.25">
      <c r="C1459"/>
      <c r="D1459"/>
      <c r="E1459"/>
      <c r="F1459" s="35"/>
      <c r="G1459"/>
      <c r="H1459"/>
    </row>
    <row r="1460" spans="3:8" ht="15" x14ac:dyDescent="0.25">
      <c r="C1460"/>
      <c r="D1460"/>
      <c r="E1460"/>
      <c r="F1460" s="35"/>
      <c r="G1460"/>
      <c r="H1460"/>
    </row>
    <row r="1461" spans="3:8" ht="15" x14ac:dyDescent="0.25">
      <c r="C1461"/>
      <c r="D1461"/>
      <c r="E1461"/>
      <c r="F1461" s="35"/>
      <c r="G1461"/>
      <c r="H1461"/>
    </row>
    <row r="1462" spans="3:8" ht="15" x14ac:dyDescent="0.25">
      <c r="C1462"/>
      <c r="D1462"/>
      <c r="E1462"/>
      <c r="F1462" s="35"/>
      <c r="G1462"/>
      <c r="H1462"/>
    </row>
    <row r="1463" spans="3:8" ht="15" x14ac:dyDescent="0.25">
      <c r="C1463"/>
      <c r="D1463"/>
      <c r="E1463"/>
      <c r="F1463" s="35"/>
      <c r="G1463"/>
      <c r="H1463"/>
    </row>
    <row r="1464" spans="3:8" ht="15" x14ac:dyDescent="0.25">
      <c r="C1464"/>
      <c r="D1464"/>
      <c r="E1464"/>
      <c r="F1464" s="35"/>
      <c r="G1464"/>
      <c r="H1464"/>
    </row>
    <row r="1465" spans="3:8" ht="15" x14ac:dyDescent="0.25">
      <c r="C1465"/>
      <c r="D1465"/>
      <c r="E1465"/>
      <c r="F1465" s="35"/>
      <c r="G1465"/>
      <c r="H1465"/>
    </row>
    <row r="1466" spans="3:8" ht="15" x14ac:dyDescent="0.25">
      <c r="C1466"/>
      <c r="D1466"/>
      <c r="E1466"/>
      <c r="F1466" s="35"/>
      <c r="G1466"/>
      <c r="H1466"/>
    </row>
    <row r="1467" spans="3:8" ht="15" x14ac:dyDescent="0.25">
      <c r="C1467"/>
      <c r="D1467"/>
      <c r="E1467"/>
      <c r="F1467" s="35"/>
      <c r="G1467"/>
      <c r="H1467"/>
    </row>
    <row r="1468" spans="3:8" ht="15" x14ac:dyDescent="0.25">
      <c r="C1468"/>
      <c r="D1468"/>
      <c r="E1468"/>
      <c r="F1468" s="35"/>
      <c r="G1468"/>
      <c r="H1468"/>
    </row>
    <row r="1469" spans="3:8" ht="15" x14ac:dyDescent="0.25">
      <c r="C1469"/>
      <c r="D1469"/>
      <c r="E1469"/>
      <c r="F1469" s="35"/>
      <c r="G1469"/>
      <c r="H1469"/>
    </row>
    <row r="1470" spans="3:8" ht="15" x14ac:dyDescent="0.25">
      <c r="C1470"/>
      <c r="D1470"/>
      <c r="E1470"/>
      <c r="F1470" s="35"/>
      <c r="G1470"/>
      <c r="H1470"/>
    </row>
    <row r="1471" spans="3:8" ht="15" x14ac:dyDescent="0.25">
      <c r="C1471"/>
      <c r="D1471"/>
      <c r="E1471"/>
      <c r="F1471" s="35"/>
      <c r="G1471"/>
      <c r="H1471"/>
    </row>
    <row r="1472" spans="3:8" ht="15" x14ac:dyDescent="0.25">
      <c r="C1472"/>
      <c r="D1472"/>
      <c r="E1472"/>
      <c r="F1472" s="35"/>
      <c r="G1472"/>
      <c r="H1472"/>
    </row>
    <row r="1473" spans="3:8" ht="15" x14ac:dyDescent="0.25">
      <c r="C1473"/>
      <c r="D1473"/>
      <c r="E1473"/>
      <c r="F1473" s="35"/>
      <c r="G1473"/>
      <c r="H1473"/>
    </row>
    <row r="1474" spans="3:8" ht="15" x14ac:dyDescent="0.25">
      <c r="C1474"/>
      <c r="D1474"/>
      <c r="E1474"/>
      <c r="F1474" s="35"/>
      <c r="G1474"/>
      <c r="H1474"/>
    </row>
    <row r="1475" spans="3:8" ht="15" x14ac:dyDescent="0.25">
      <c r="C1475"/>
      <c r="D1475"/>
      <c r="E1475"/>
      <c r="F1475" s="35"/>
      <c r="G1475"/>
      <c r="H1475"/>
    </row>
    <row r="1476" spans="3:8" ht="15" x14ac:dyDescent="0.25">
      <c r="C1476"/>
      <c r="D1476"/>
      <c r="E1476"/>
      <c r="F1476" s="35"/>
      <c r="G1476"/>
      <c r="H1476"/>
    </row>
    <row r="1477" spans="3:8" ht="15" x14ac:dyDescent="0.25">
      <c r="C1477"/>
      <c r="D1477"/>
      <c r="E1477"/>
      <c r="F1477" s="35"/>
      <c r="G1477"/>
      <c r="H1477"/>
    </row>
    <row r="1478" spans="3:8" ht="15" x14ac:dyDescent="0.25">
      <c r="C1478"/>
      <c r="D1478"/>
      <c r="E1478"/>
      <c r="F1478" s="35"/>
      <c r="G1478"/>
      <c r="H1478"/>
    </row>
    <row r="1479" spans="3:8" ht="15" x14ac:dyDescent="0.25">
      <c r="C1479"/>
      <c r="D1479"/>
      <c r="E1479"/>
      <c r="F1479" s="35"/>
      <c r="G1479"/>
      <c r="H1479"/>
    </row>
    <row r="1480" spans="3:8" ht="15" x14ac:dyDescent="0.25">
      <c r="C1480"/>
      <c r="D1480"/>
      <c r="E1480"/>
      <c r="F1480" s="35"/>
      <c r="G1480"/>
      <c r="H1480"/>
    </row>
    <row r="1481" spans="3:8" ht="15" x14ac:dyDescent="0.25">
      <c r="C1481"/>
      <c r="D1481"/>
      <c r="E1481"/>
      <c r="F1481" s="35"/>
      <c r="G1481"/>
      <c r="H1481"/>
    </row>
    <row r="1482" spans="3:8" ht="15" x14ac:dyDescent="0.25">
      <c r="C1482"/>
      <c r="D1482"/>
      <c r="E1482"/>
      <c r="F1482" s="35"/>
      <c r="G1482"/>
      <c r="H1482"/>
    </row>
    <row r="1483" spans="3:8" ht="15" x14ac:dyDescent="0.25">
      <c r="C1483"/>
      <c r="D1483"/>
      <c r="E1483"/>
      <c r="F1483" s="35"/>
      <c r="G1483"/>
      <c r="H1483"/>
    </row>
    <row r="1484" spans="3:8" ht="15" x14ac:dyDescent="0.25">
      <c r="C1484"/>
      <c r="D1484"/>
      <c r="E1484"/>
      <c r="F1484" s="35"/>
      <c r="G1484"/>
      <c r="H1484"/>
    </row>
    <row r="1485" spans="3:8" ht="15" x14ac:dyDescent="0.25">
      <c r="C1485"/>
      <c r="D1485"/>
      <c r="E1485"/>
      <c r="F1485" s="35"/>
      <c r="G1485"/>
      <c r="H1485"/>
    </row>
    <row r="1486" spans="3:8" ht="15" x14ac:dyDescent="0.25">
      <c r="C1486"/>
      <c r="D1486"/>
      <c r="E1486"/>
      <c r="F1486" s="35"/>
      <c r="G1486"/>
      <c r="H1486"/>
    </row>
    <row r="1487" spans="3:8" ht="15" x14ac:dyDescent="0.25">
      <c r="C1487"/>
      <c r="D1487"/>
      <c r="E1487"/>
      <c r="F1487" s="35"/>
      <c r="G1487"/>
      <c r="H1487"/>
    </row>
    <row r="1488" spans="3:8" ht="15" x14ac:dyDescent="0.25">
      <c r="C1488"/>
      <c r="D1488"/>
      <c r="E1488"/>
      <c r="F1488" s="35"/>
      <c r="G1488"/>
      <c r="H1488"/>
    </row>
    <row r="1489" spans="3:8" ht="15" x14ac:dyDescent="0.25">
      <c r="C1489"/>
      <c r="D1489"/>
      <c r="E1489"/>
      <c r="F1489" s="35"/>
      <c r="G1489"/>
      <c r="H1489"/>
    </row>
    <row r="1490" spans="3:8" ht="15" x14ac:dyDescent="0.25">
      <c r="C1490"/>
      <c r="D1490"/>
      <c r="E1490"/>
      <c r="F1490" s="35"/>
      <c r="G1490"/>
      <c r="H1490"/>
    </row>
    <row r="1491" spans="3:8" ht="15" x14ac:dyDescent="0.25">
      <c r="C1491"/>
      <c r="D1491"/>
      <c r="E1491"/>
      <c r="F1491" s="35"/>
      <c r="G1491"/>
      <c r="H1491"/>
    </row>
    <row r="1492" spans="3:8" ht="15" x14ac:dyDescent="0.25">
      <c r="C1492"/>
      <c r="D1492"/>
      <c r="E1492"/>
      <c r="F1492" s="35"/>
      <c r="G1492"/>
      <c r="H1492"/>
    </row>
    <row r="1493" spans="3:8" ht="15" x14ac:dyDescent="0.25">
      <c r="C1493"/>
      <c r="D1493"/>
      <c r="E1493"/>
      <c r="F1493" s="35"/>
      <c r="G1493"/>
      <c r="H1493"/>
    </row>
    <row r="1494" spans="3:8" ht="15" x14ac:dyDescent="0.25">
      <c r="C1494"/>
      <c r="D1494"/>
      <c r="E1494"/>
      <c r="F1494" s="35"/>
      <c r="G1494"/>
      <c r="H1494"/>
    </row>
    <row r="1495" spans="3:8" ht="15" x14ac:dyDescent="0.25">
      <c r="C1495"/>
      <c r="D1495"/>
      <c r="E1495"/>
      <c r="F1495" s="35"/>
      <c r="G1495"/>
      <c r="H1495"/>
    </row>
    <row r="1496" spans="3:8" ht="15" x14ac:dyDescent="0.25">
      <c r="C1496"/>
      <c r="D1496"/>
      <c r="E1496"/>
      <c r="F1496" s="35"/>
      <c r="G1496"/>
      <c r="H1496"/>
    </row>
    <row r="1497" spans="3:8" ht="15" x14ac:dyDescent="0.25">
      <c r="C1497"/>
      <c r="D1497"/>
      <c r="E1497"/>
      <c r="F1497" s="35"/>
      <c r="G1497"/>
      <c r="H1497"/>
    </row>
    <row r="1498" spans="3:8" ht="15" x14ac:dyDescent="0.25">
      <c r="C1498"/>
      <c r="D1498"/>
      <c r="E1498"/>
      <c r="F1498" s="35"/>
      <c r="G1498"/>
      <c r="H1498"/>
    </row>
    <row r="1499" spans="3:8" ht="15" x14ac:dyDescent="0.25">
      <c r="C1499"/>
      <c r="D1499"/>
      <c r="E1499"/>
      <c r="F1499" s="35"/>
      <c r="G1499"/>
      <c r="H1499"/>
    </row>
    <row r="1500" spans="3:8" ht="15" x14ac:dyDescent="0.25">
      <c r="C1500"/>
      <c r="D1500"/>
      <c r="E1500"/>
      <c r="F1500" s="35"/>
      <c r="G1500"/>
      <c r="H1500"/>
    </row>
    <row r="1501" spans="3:8" ht="15" x14ac:dyDescent="0.25">
      <c r="C1501"/>
      <c r="D1501"/>
      <c r="E1501"/>
      <c r="F1501" s="35"/>
      <c r="G1501"/>
      <c r="H1501"/>
    </row>
    <row r="1502" spans="3:8" ht="15" x14ac:dyDescent="0.25">
      <c r="C1502"/>
      <c r="D1502"/>
      <c r="E1502"/>
      <c r="F1502" s="35"/>
      <c r="G1502"/>
      <c r="H1502"/>
    </row>
    <row r="1503" spans="3:8" ht="15" x14ac:dyDescent="0.25">
      <c r="C1503"/>
      <c r="D1503"/>
      <c r="E1503"/>
      <c r="F1503" s="35"/>
      <c r="G1503"/>
      <c r="H1503"/>
    </row>
    <row r="1504" spans="3:8" ht="15" x14ac:dyDescent="0.25">
      <c r="C1504"/>
      <c r="D1504"/>
      <c r="E1504"/>
      <c r="F1504" s="35"/>
      <c r="G1504"/>
      <c r="H1504"/>
    </row>
    <row r="1505" spans="3:8" ht="15" x14ac:dyDescent="0.25">
      <c r="C1505"/>
      <c r="D1505"/>
      <c r="E1505"/>
      <c r="F1505" s="35"/>
      <c r="G1505"/>
      <c r="H1505"/>
    </row>
    <row r="1506" spans="3:8" ht="15" x14ac:dyDescent="0.25">
      <c r="C1506"/>
      <c r="D1506"/>
      <c r="E1506"/>
      <c r="F1506" s="35"/>
      <c r="G1506"/>
      <c r="H1506"/>
    </row>
    <row r="1507" spans="3:8" ht="15" x14ac:dyDescent="0.25">
      <c r="C1507"/>
      <c r="D1507"/>
      <c r="E1507"/>
      <c r="F1507" s="35"/>
      <c r="G1507"/>
      <c r="H1507"/>
    </row>
    <row r="1508" spans="3:8" ht="15" x14ac:dyDescent="0.25">
      <c r="C1508"/>
      <c r="D1508"/>
      <c r="E1508"/>
      <c r="F1508" s="35"/>
      <c r="G1508"/>
      <c r="H1508"/>
    </row>
    <row r="1509" spans="3:8" ht="15" x14ac:dyDescent="0.25">
      <c r="C1509"/>
      <c r="D1509"/>
      <c r="E1509"/>
      <c r="F1509" s="35"/>
      <c r="G1509"/>
      <c r="H1509"/>
    </row>
    <row r="1510" spans="3:8" ht="15" x14ac:dyDescent="0.25">
      <c r="C1510"/>
      <c r="D1510"/>
      <c r="E1510"/>
      <c r="F1510" s="35"/>
      <c r="G1510"/>
      <c r="H1510"/>
    </row>
    <row r="1511" spans="3:8" ht="15" x14ac:dyDescent="0.25">
      <c r="C1511"/>
      <c r="D1511"/>
      <c r="E1511"/>
      <c r="F1511" s="35"/>
      <c r="G1511"/>
      <c r="H1511"/>
    </row>
    <row r="1512" spans="3:8" ht="15" x14ac:dyDescent="0.25">
      <c r="C1512"/>
      <c r="D1512"/>
      <c r="E1512"/>
      <c r="F1512" s="35"/>
      <c r="G1512"/>
      <c r="H1512"/>
    </row>
    <row r="1513" spans="3:8" ht="15" x14ac:dyDescent="0.25">
      <c r="C1513"/>
      <c r="D1513"/>
      <c r="E1513"/>
      <c r="F1513" s="35"/>
      <c r="G1513"/>
      <c r="H1513"/>
    </row>
    <row r="1514" spans="3:8" ht="15" x14ac:dyDescent="0.25">
      <c r="C1514"/>
      <c r="D1514"/>
      <c r="E1514"/>
      <c r="F1514" s="35"/>
      <c r="G1514"/>
      <c r="H1514"/>
    </row>
    <row r="1515" spans="3:8" ht="15" x14ac:dyDescent="0.25">
      <c r="C1515"/>
      <c r="D1515"/>
      <c r="E1515"/>
      <c r="F1515" s="35"/>
      <c r="G1515"/>
      <c r="H1515"/>
    </row>
    <row r="1516" spans="3:8" ht="15" x14ac:dyDescent="0.25">
      <c r="C1516"/>
      <c r="D1516"/>
      <c r="E1516"/>
      <c r="F1516" s="35"/>
      <c r="G1516"/>
      <c r="H1516"/>
    </row>
    <row r="1517" spans="3:8" ht="15" x14ac:dyDescent="0.25">
      <c r="C1517"/>
      <c r="D1517"/>
      <c r="E1517"/>
      <c r="F1517" s="35"/>
      <c r="G1517"/>
      <c r="H1517"/>
    </row>
    <row r="1518" spans="3:8" ht="15" x14ac:dyDescent="0.25">
      <c r="C1518"/>
      <c r="D1518"/>
      <c r="E1518"/>
      <c r="F1518" s="35"/>
      <c r="G1518"/>
      <c r="H1518"/>
    </row>
    <row r="1519" spans="3:8" ht="15" x14ac:dyDescent="0.25">
      <c r="C1519"/>
      <c r="D1519"/>
      <c r="E1519"/>
      <c r="F1519" s="35"/>
      <c r="G1519"/>
      <c r="H1519"/>
    </row>
    <row r="1520" spans="3:8" ht="15" x14ac:dyDescent="0.25">
      <c r="C1520"/>
      <c r="D1520"/>
      <c r="E1520"/>
      <c r="F1520" s="35"/>
      <c r="G1520"/>
      <c r="H1520"/>
    </row>
    <row r="1521" spans="3:8" ht="15" x14ac:dyDescent="0.25">
      <c r="C1521"/>
      <c r="D1521"/>
      <c r="E1521"/>
      <c r="F1521" s="35"/>
      <c r="G1521"/>
      <c r="H1521"/>
    </row>
    <row r="1522" spans="3:8" ht="15" x14ac:dyDescent="0.25">
      <c r="C1522"/>
      <c r="D1522"/>
      <c r="E1522"/>
      <c r="F1522" s="35"/>
      <c r="G1522"/>
      <c r="H1522"/>
    </row>
    <row r="1523" spans="3:8" ht="15" x14ac:dyDescent="0.25">
      <c r="C1523"/>
      <c r="D1523"/>
      <c r="E1523"/>
      <c r="F1523" s="35"/>
      <c r="G1523"/>
      <c r="H1523"/>
    </row>
    <row r="1524" spans="3:8" ht="15" x14ac:dyDescent="0.25">
      <c r="C1524"/>
      <c r="D1524"/>
      <c r="E1524"/>
      <c r="F1524" s="35"/>
      <c r="G1524"/>
      <c r="H1524"/>
    </row>
    <row r="1525" spans="3:8" ht="15" x14ac:dyDescent="0.25">
      <c r="C1525"/>
      <c r="D1525"/>
      <c r="E1525"/>
      <c r="F1525" s="35"/>
      <c r="G1525"/>
      <c r="H1525"/>
    </row>
    <row r="1526" spans="3:8" ht="15" x14ac:dyDescent="0.25">
      <c r="C1526"/>
      <c r="D1526"/>
      <c r="E1526"/>
      <c r="F1526" s="35"/>
      <c r="G1526"/>
      <c r="H1526"/>
    </row>
    <row r="1527" spans="3:8" ht="15" x14ac:dyDescent="0.25">
      <c r="C1527"/>
      <c r="D1527"/>
      <c r="E1527"/>
      <c r="F1527" s="35"/>
      <c r="G1527"/>
      <c r="H1527"/>
    </row>
    <row r="1528" spans="3:8" ht="15" x14ac:dyDescent="0.25">
      <c r="C1528"/>
      <c r="D1528"/>
      <c r="E1528"/>
      <c r="F1528" s="35"/>
      <c r="G1528"/>
      <c r="H1528"/>
    </row>
    <row r="1529" spans="3:8" ht="15" x14ac:dyDescent="0.25">
      <c r="C1529"/>
      <c r="D1529"/>
      <c r="E1529"/>
      <c r="F1529" s="35"/>
      <c r="G1529"/>
      <c r="H1529"/>
    </row>
    <row r="1530" spans="3:8" ht="15" x14ac:dyDescent="0.25">
      <c r="C1530"/>
      <c r="D1530"/>
      <c r="E1530"/>
      <c r="F1530" s="35"/>
      <c r="G1530"/>
      <c r="H1530"/>
    </row>
    <row r="1531" spans="3:8" ht="15" x14ac:dyDescent="0.25">
      <c r="C1531"/>
      <c r="D1531"/>
      <c r="E1531"/>
      <c r="F1531" s="35"/>
      <c r="G1531"/>
      <c r="H1531"/>
    </row>
    <row r="1532" spans="3:8" ht="15" x14ac:dyDescent="0.25">
      <c r="C1532"/>
      <c r="D1532"/>
      <c r="E1532"/>
      <c r="F1532" s="35"/>
      <c r="G1532"/>
      <c r="H1532"/>
    </row>
    <row r="1533" spans="3:8" ht="15" x14ac:dyDescent="0.25">
      <c r="C1533"/>
      <c r="D1533"/>
      <c r="E1533"/>
      <c r="F1533" s="35"/>
      <c r="G1533"/>
      <c r="H1533"/>
    </row>
    <row r="1534" spans="3:8" ht="15" x14ac:dyDescent="0.25">
      <c r="C1534"/>
      <c r="D1534"/>
      <c r="E1534"/>
      <c r="F1534" s="35"/>
      <c r="G1534"/>
      <c r="H1534"/>
    </row>
    <row r="1535" spans="3:8" ht="15" x14ac:dyDescent="0.25">
      <c r="C1535"/>
      <c r="D1535"/>
      <c r="E1535"/>
      <c r="F1535" s="35"/>
      <c r="G1535"/>
      <c r="H1535"/>
    </row>
    <row r="1536" spans="3:8" ht="15" x14ac:dyDescent="0.25">
      <c r="C1536"/>
      <c r="D1536"/>
      <c r="E1536"/>
      <c r="F1536" s="35"/>
      <c r="G1536"/>
      <c r="H1536"/>
    </row>
    <row r="1537" spans="3:8" ht="15" x14ac:dyDescent="0.25">
      <c r="C1537"/>
      <c r="D1537"/>
      <c r="E1537"/>
      <c r="F1537" s="35"/>
      <c r="G1537"/>
      <c r="H1537"/>
    </row>
    <row r="1538" spans="3:8" ht="15" x14ac:dyDescent="0.25">
      <c r="C1538"/>
      <c r="D1538"/>
      <c r="E1538"/>
      <c r="F1538" s="35"/>
      <c r="G1538"/>
      <c r="H1538"/>
    </row>
    <row r="1539" spans="3:8" ht="15" x14ac:dyDescent="0.25">
      <c r="C1539"/>
      <c r="D1539"/>
      <c r="E1539"/>
      <c r="F1539" s="35"/>
      <c r="G1539"/>
      <c r="H1539"/>
    </row>
    <row r="1540" spans="3:8" ht="15" x14ac:dyDescent="0.25">
      <c r="C1540"/>
      <c r="D1540"/>
      <c r="E1540"/>
      <c r="F1540" s="35"/>
      <c r="G1540"/>
      <c r="H1540"/>
    </row>
    <row r="1541" spans="3:8" ht="15" x14ac:dyDescent="0.25">
      <c r="C1541"/>
      <c r="D1541"/>
      <c r="E1541"/>
      <c r="F1541" s="35"/>
      <c r="G1541"/>
      <c r="H1541"/>
    </row>
    <row r="1542" spans="3:8" ht="15" x14ac:dyDescent="0.25">
      <c r="C1542"/>
      <c r="D1542"/>
      <c r="E1542"/>
      <c r="F1542" s="35"/>
      <c r="G1542"/>
      <c r="H1542"/>
    </row>
    <row r="1543" spans="3:8" ht="15" x14ac:dyDescent="0.25">
      <c r="C1543"/>
      <c r="D1543"/>
      <c r="E1543"/>
      <c r="F1543" s="35"/>
      <c r="G1543"/>
      <c r="H1543"/>
    </row>
    <row r="1544" spans="3:8" ht="15" x14ac:dyDescent="0.25">
      <c r="C1544"/>
      <c r="D1544"/>
      <c r="E1544"/>
      <c r="F1544" s="35"/>
      <c r="G1544"/>
      <c r="H1544"/>
    </row>
    <row r="1545" spans="3:8" ht="15" x14ac:dyDescent="0.25">
      <c r="C1545"/>
      <c r="D1545"/>
      <c r="E1545"/>
      <c r="F1545" s="35"/>
      <c r="G1545"/>
      <c r="H1545"/>
    </row>
    <row r="1546" spans="3:8" ht="15" x14ac:dyDescent="0.25">
      <c r="C1546"/>
      <c r="D1546"/>
      <c r="E1546"/>
      <c r="F1546" s="35"/>
      <c r="G1546"/>
      <c r="H1546"/>
    </row>
    <row r="1547" spans="3:8" ht="15" x14ac:dyDescent="0.25">
      <c r="C1547"/>
      <c r="D1547"/>
      <c r="E1547"/>
      <c r="F1547" s="35"/>
      <c r="G1547"/>
      <c r="H1547"/>
    </row>
    <row r="1548" spans="3:8" ht="15" x14ac:dyDescent="0.25">
      <c r="C1548"/>
      <c r="D1548"/>
      <c r="E1548"/>
      <c r="F1548" s="35"/>
      <c r="G1548"/>
      <c r="H1548"/>
    </row>
    <row r="1549" spans="3:8" ht="15" x14ac:dyDescent="0.25">
      <c r="C1549"/>
      <c r="D1549"/>
      <c r="E1549"/>
      <c r="F1549" s="35"/>
      <c r="G1549"/>
      <c r="H1549"/>
    </row>
    <row r="1550" spans="3:8" ht="15" x14ac:dyDescent="0.25">
      <c r="C1550"/>
      <c r="D1550"/>
      <c r="E1550"/>
      <c r="F1550" s="35"/>
      <c r="G1550"/>
      <c r="H1550"/>
    </row>
    <row r="1551" spans="3:8" ht="15" x14ac:dyDescent="0.25">
      <c r="C1551"/>
      <c r="D1551"/>
      <c r="E1551"/>
      <c r="F1551" s="35"/>
      <c r="G1551"/>
      <c r="H1551"/>
    </row>
    <row r="1552" spans="3:8" ht="15" x14ac:dyDescent="0.25">
      <c r="C1552"/>
      <c r="D1552"/>
      <c r="E1552"/>
      <c r="F1552" s="35"/>
      <c r="G1552"/>
      <c r="H1552"/>
    </row>
    <row r="1553" spans="3:8" ht="15" x14ac:dyDescent="0.25">
      <c r="C1553"/>
      <c r="D1553"/>
      <c r="E1553"/>
      <c r="F1553" s="35"/>
      <c r="G1553"/>
      <c r="H1553"/>
    </row>
    <row r="1554" spans="3:8" ht="15" x14ac:dyDescent="0.25">
      <c r="C1554"/>
      <c r="D1554"/>
      <c r="E1554"/>
      <c r="F1554" s="35"/>
      <c r="G1554"/>
      <c r="H1554"/>
    </row>
    <row r="1555" spans="3:8" ht="15" x14ac:dyDescent="0.25">
      <c r="C1555"/>
      <c r="D1555"/>
      <c r="E1555"/>
      <c r="F1555" s="35"/>
      <c r="G1555"/>
      <c r="H1555"/>
    </row>
    <row r="1556" spans="3:8" ht="15" x14ac:dyDescent="0.25">
      <c r="C1556"/>
      <c r="D1556"/>
      <c r="E1556"/>
      <c r="F1556" s="35"/>
      <c r="G1556"/>
      <c r="H1556"/>
    </row>
    <row r="1557" spans="3:8" ht="15" x14ac:dyDescent="0.25">
      <c r="C1557"/>
      <c r="D1557"/>
      <c r="E1557"/>
      <c r="F1557" s="35"/>
      <c r="G1557"/>
      <c r="H1557"/>
    </row>
    <row r="1558" spans="3:8" ht="15" x14ac:dyDescent="0.25">
      <c r="C1558"/>
      <c r="D1558"/>
      <c r="E1558"/>
      <c r="F1558" s="35"/>
      <c r="G1558"/>
      <c r="H1558"/>
    </row>
    <row r="1559" spans="3:8" ht="15" x14ac:dyDescent="0.25">
      <c r="C1559"/>
      <c r="D1559"/>
      <c r="E1559"/>
      <c r="F1559" s="35"/>
      <c r="G1559"/>
      <c r="H1559"/>
    </row>
    <row r="1560" spans="3:8" ht="15" x14ac:dyDescent="0.25">
      <c r="C1560"/>
      <c r="D1560"/>
      <c r="E1560"/>
      <c r="F1560" s="35"/>
      <c r="G1560"/>
      <c r="H1560"/>
    </row>
    <row r="1561" spans="3:8" ht="15" x14ac:dyDescent="0.25">
      <c r="C1561"/>
      <c r="D1561"/>
      <c r="E1561"/>
      <c r="F1561" s="35"/>
      <c r="G1561"/>
      <c r="H1561"/>
    </row>
    <row r="1562" spans="3:8" ht="15" x14ac:dyDescent="0.25">
      <c r="C1562"/>
      <c r="D1562"/>
      <c r="E1562"/>
      <c r="F1562" s="35"/>
      <c r="G1562"/>
      <c r="H1562"/>
    </row>
    <row r="1563" spans="3:8" ht="15" x14ac:dyDescent="0.25">
      <c r="C1563"/>
      <c r="D1563"/>
      <c r="E1563"/>
      <c r="F1563" s="35"/>
      <c r="G1563"/>
      <c r="H1563"/>
    </row>
    <row r="1564" spans="3:8" ht="15" x14ac:dyDescent="0.25">
      <c r="C1564"/>
      <c r="D1564"/>
      <c r="E1564"/>
      <c r="F1564" s="35"/>
      <c r="G1564"/>
      <c r="H1564"/>
    </row>
    <row r="1565" spans="3:8" ht="15" x14ac:dyDescent="0.25">
      <c r="C1565"/>
      <c r="D1565"/>
      <c r="E1565"/>
      <c r="F1565" s="35"/>
      <c r="G1565"/>
      <c r="H1565"/>
    </row>
    <row r="1566" spans="3:8" ht="15" x14ac:dyDescent="0.25">
      <c r="C1566"/>
      <c r="D1566"/>
      <c r="E1566"/>
      <c r="F1566" s="35"/>
      <c r="G1566"/>
      <c r="H1566"/>
    </row>
    <row r="1567" spans="3:8" ht="15" x14ac:dyDescent="0.25">
      <c r="C1567"/>
      <c r="D1567"/>
      <c r="E1567"/>
      <c r="F1567" s="35"/>
      <c r="G1567"/>
      <c r="H1567"/>
    </row>
    <row r="1568" spans="3:8" ht="15" x14ac:dyDescent="0.25">
      <c r="C1568"/>
      <c r="D1568"/>
      <c r="E1568"/>
      <c r="F1568" s="35"/>
      <c r="G1568"/>
      <c r="H1568"/>
    </row>
    <row r="1569" spans="3:8" ht="15" x14ac:dyDescent="0.25">
      <c r="C1569"/>
      <c r="D1569"/>
      <c r="E1569"/>
      <c r="F1569" s="35"/>
      <c r="G1569"/>
      <c r="H1569"/>
    </row>
    <row r="1570" spans="3:8" ht="15" x14ac:dyDescent="0.25">
      <c r="C1570"/>
      <c r="D1570"/>
      <c r="E1570"/>
      <c r="F1570" s="35"/>
      <c r="G1570"/>
      <c r="H1570"/>
    </row>
    <row r="1571" spans="3:8" ht="15" x14ac:dyDescent="0.25">
      <c r="C1571"/>
      <c r="D1571"/>
      <c r="E1571"/>
      <c r="F1571" s="35"/>
      <c r="G1571"/>
      <c r="H1571"/>
    </row>
    <row r="1572" spans="3:8" ht="15" x14ac:dyDescent="0.25">
      <c r="C1572"/>
      <c r="D1572"/>
      <c r="E1572"/>
      <c r="F1572" s="35"/>
      <c r="G1572"/>
      <c r="H1572"/>
    </row>
    <row r="1573" spans="3:8" ht="15" x14ac:dyDescent="0.25">
      <c r="C1573"/>
      <c r="D1573"/>
      <c r="E1573"/>
      <c r="F1573" s="35"/>
      <c r="G1573"/>
      <c r="H1573"/>
    </row>
    <row r="1574" spans="3:8" ht="15" x14ac:dyDescent="0.25">
      <c r="C1574"/>
      <c r="D1574"/>
      <c r="E1574"/>
      <c r="F1574" s="35"/>
      <c r="G1574"/>
      <c r="H1574"/>
    </row>
    <row r="1575" spans="3:8" ht="15" x14ac:dyDescent="0.25">
      <c r="C1575"/>
      <c r="D1575"/>
      <c r="E1575"/>
      <c r="F1575" s="35"/>
      <c r="G1575"/>
      <c r="H1575"/>
    </row>
    <row r="1576" spans="3:8" ht="15" x14ac:dyDescent="0.25">
      <c r="C1576"/>
      <c r="D1576"/>
      <c r="E1576"/>
      <c r="F1576" s="35"/>
      <c r="G1576"/>
      <c r="H1576"/>
    </row>
    <row r="1577" spans="3:8" ht="15" x14ac:dyDescent="0.25">
      <c r="C1577"/>
      <c r="D1577"/>
      <c r="E1577"/>
      <c r="F1577" s="35"/>
      <c r="G1577"/>
      <c r="H1577"/>
    </row>
    <row r="1578" spans="3:8" ht="15" x14ac:dyDescent="0.25">
      <c r="C1578"/>
      <c r="D1578"/>
      <c r="E1578"/>
      <c r="F1578" s="35"/>
      <c r="G1578"/>
      <c r="H1578"/>
    </row>
    <row r="1579" spans="3:8" ht="15" x14ac:dyDescent="0.25">
      <c r="C1579"/>
      <c r="D1579"/>
      <c r="E1579"/>
      <c r="F1579" s="35"/>
      <c r="G1579"/>
      <c r="H1579"/>
    </row>
    <row r="1580" spans="3:8" ht="15" x14ac:dyDescent="0.25">
      <c r="C1580"/>
      <c r="D1580"/>
      <c r="E1580"/>
      <c r="F1580" s="35"/>
      <c r="G1580"/>
      <c r="H1580"/>
    </row>
    <row r="1581" spans="3:8" ht="15" x14ac:dyDescent="0.25">
      <c r="C1581"/>
      <c r="D1581"/>
      <c r="E1581"/>
      <c r="F1581" s="35"/>
      <c r="G1581"/>
      <c r="H1581"/>
    </row>
    <row r="1582" spans="3:8" ht="15" x14ac:dyDescent="0.25">
      <c r="C1582"/>
      <c r="D1582"/>
      <c r="E1582"/>
      <c r="F1582" s="35"/>
      <c r="G1582"/>
      <c r="H1582"/>
    </row>
    <row r="1583" spans="3:8" ht="15" x14ac:dyDescent="0.25">
      <c r="C1583"/>
      <c r="D1583"/>
      <c r="E1583"/>
      <c r="F1583" s="35"/>
      <c r="G1583"/>
      <c r="H1583"/>
    </row>
    <row r="1584" spans="3:8" ht="15" x14ac:dyDescent="0.25">
      <c r="C1584"/>
      <c r="D1584"/>
      <c r="E1584"/>
      <c r="F1584" s="35"/>
      <c r="G1584"/>
      <c r="H1584"/>
    </row>
    <row r="1585" spans="3:8" ht="15" x14ac:dyDescent="0.25">
      <c r="C1585"/>
      <c r="D1585"/>
      <c r="E1585"/>
      <c r="F1585" s="35"/>
      <c r="G1585"/>
      <c r="H1585"/>
    </row>
    <row r="1586" spans="3:8" ht="15" x14ac:dyDescent="0.25">
      <c r="C1586"/>
      <c r="D1586"/>
      <c r="E1586"/>
      <c r="F1586" s="35"/>
      <c r="G1586"/>
      <c r="H1586"/>
    </row>
    <row r="1587" spans="3:8" ht="15" x14ac:dyDescent="0.25">
      <c r="C1587"/>
      <c r="D1587"/>
      <c r="E1587"/>
      <c r="F1587" s="35"/>
      <c r="G1587"/>
      <c r="H1587"/>
    </row>
    <row r="1588" spans="3:8" ht="15" x14ac:dyDescent="0.25">
      <c r="C1588"/>
      <c r="D1588"/>
      <c r="E1588"/>
      <c r="F1588" s="35"/>
      <c r="G1588"/>
      <c r="H1588"/>
    </row>
    <row r="1589" spans="3:8" ht="15" x14ac:dyDescent="0.25">
      <c r="C1589"/>
      <c r="D1589"/>
      <c r="E1589"/>
      <c r="F1589" s="35"/>
      <c r="G1589"/>
      <c r="H1589"/>
    </row>
    <row r="1590" spans="3:8" ht="15" x14ac:dyDescent="0.25">
      <c r="C1590"/>
      <c r="D1590"/>
      <c r="E1590"/>
      <c r="F1590" s="35"/>
      <c r="G1590"/>
      <c r="H1590"/>
    </row>
    <row r="1591" spans="3:8" ht="15" x14ac:dyDescent="0.25">
      <c r="C1591"/>
      <c r="D1591"/>
      <c r="E1591"/>
      <c r="F1591" s="35"/>
      <c r="G1591"/>
      <c r="H1591"/>
    </row>
    <row r="1592" spans="3:8" ht="15" x14ac:dyDescent="0.25">
      <c r="C1592"/>
      <c r="D1592"/>
      <c r="E1592"/>
      <c r="F1592" s="35"/>
      <c r="G1592"/>
      <c r="H1592"/>
    </row>
    <row r="1593" spans="3:8" ht="15" x14ac:dyDescent="0.25">
      <c r="C1593"/>
      <c r="D1593"/>
      <c r="E1593"/>
      <c r="F1593" s="35"/>
      <c r="G1593"/>
      <c r="H1593"/>
    </row>
    <row r="1594" spans="3:8" ht="15" x14ac:dyDescent="0.25">
      <c r="C1594"/>
      <c r="D1594"/>
      <c r="E1594"/>
      <c r="F1594" s="35"/>
      <c r="G1594"/>
      <c r="H1594"/>
    </row>
    <row r="1595" spans="3:8" ht="15" x14ac:dyDescent="0.25">
      <c r="C1595"/>
      <c r="D1595"/>
      <c r="E1595"/>
      <c r="F1595" s="35"/>
      <c r="G1595"/>
      <c r="H1595"/>
    </row>
    <row r="1596" spans="3:8" ht="15" x14ac:dyDescent="0.25">
      <c r="C1596"/>
      <c r="D1596"/>
      <c r="E1596"/>
      <c r="F1596" s="35"/>
      <c r="G1596"/>
      <c r="H1596"/>
    </row>
    <row r="1597" spans="3:8" ht="15" x14ac:dyDescent="0.25">
      <c r="C1597"/>
      <c r="D1597"/>
      <c r="E1597"/>
      <c r="F1597" s="35"/>
      <c r="G1597"/>
      <c r="H1597"/>
    </row>
    <row r="1598" spans="3:8" ht="15" x14ac:dyDescent="0.25">
      <c r="C1598"/>
      <c r="D1598"/>
      <c r="E1598"/>
      <c r="F1598" s="35"/>
      <c r="G1598"/>
      <c r="H1598"/>
    </row>
    <row r="1599" spans="3:8" ht="15" x14ac:dyDescent="0.25">
      <c r="C1599"/>
      <c r="D1599"/>
      <c r="E1599"/>
      <c r="F1599" s="35"/>
      <c r="G1599"/>
      <c r="H1599"/>
    </row>
    <row r="1600" spans="3:8" ht="15" x14ac:dyDescent="0.25">
      <c r="C1600"/>
      <c r="D1600"/>
      <c r="E1600"/>
      <c r="F1600" s="35"/>
      <c r="G1600"/>
      <c r="H1600"/>
    </row>
    <row r="1601" spans="3:8" ht="15" x14ac:dyDescent="0.25">
      <c r="C1601"/>
      <c r="D1601"/>
      <c r="E1601"/>
      <c r="F1601" s="35"/>
      <c r="G1601"/>
      <c r="H1601"/>
    </row>
    <row r="1602" spans="3:8" ht="15" x14ac:dyDescent="0.25">
      <c r="C1602"/>
      <c r="D1602"/>
      <c r="E1602"/>
      <c r="F1602" s="35"/>
      <c r="G1602"/>
      <c r="H1602"/>
    </row>
    <row r="1603" spans="3:8" ht="15" x14ac:dyDescent="0.25">
      <c r="C1603"/>
      <c r="D1603"/>
      <c r="E1603"/>
      <c r="F1603" s="35"/>
      <c r="G1603"/>
      <c r="H1603"/>
    </row>
    <row r="1604" spans="3:8" ht="15" x14ac:dyDescent="0.25">
      <c r="C1604"/>
      <c r="D1604"/>
      <c r="E1604"/>
      <c r="F1604" s="35"/>
      <c r="G1604"/>
      <c r="H1604"/>
    </row>
    <row r="1605" spans="3:8" ht="15" x14ac:dyDescent="0.25">
      <c r="C1605"/>
      <c r="D1605"/>
      <c r="E1605"/>
      <c r="F1605" s="35"/>
      <c r="G1605"/>
      <c r="H1605"/>
    </row>
    <row r="1606" spans="3:8" ht="15" x14ac:dyDescent="0.25">
      <c r="C1606"/>
      <c r="D1606"/>
      <c r="E1606"/>
      <c r="F1606" s="35"/>
      <c r="G1606"/>
      <c r="H1606"/>
    </row>
    <row r="1607" spans="3:8" ht="15" x14ac:dyDescent="0.25">
      <c r="C1607"/>
      <c r="D1607"/>
      <c r="E1607"/>
      <c r="F1607" s="35"/>
      <c r="G1607"/>
      <c r="H1607"/>
    </row>
    <row r="1608" spans="3:8" ht="15" x14ac:dyDescent="0.25">
      <c r="C1608"/>
      <c r="D1608"/>
      <c r="E1608"/>
      <c r="F1608" s="35"/>
      <c r="G1608"/>
      <c r="H1608"/>
    </row>
    <row r="1609" spans="3:8" ht="15" x14ac:dyDescent="0.25">
      <c r="C1609"/>
      <c r="D1609"/>
      <c r="E1609"/>
      <c r="F1609" s="35"/>
      <c r="G1609"/>
      <c r="H1609"/>
    </row>
    <row r="1610" spans="3:8" ht="15" x14ac:dyDescent="0.25">
      <c r="C1610"/>
      <c r="D1610"/>
      <c r="E1610"/>
      <c r="F1610" s="35"/>
      <c r="G1610"/>
      <c r="H1610"/>
    </row>
    <row r="1611" spans="3:8" ht="15" x14ac:dyDescent="0.25">
      <c r="C1611"/>
      <c r="D1611"/>
      <c r="E1611"/>
      <c r="F1611" s="35"/>
      <c r="G1611"/>
      <c r="H1611"/>
    </row>
    <row r="1612" spans="3:8" ht="15" x14ac:dyDescent="0.25">
      <c r="C1612"/>
      <c r="D1612"/>
      <c r="E1612"/>
      <c r="F1612" s="35"/>
      <c r="G1612"/>
      <c r="H1612"/>
    </row>
    <row r="1613" spans="3:8" ht="15" x14ac:dyDescent="0.25">
      <c r="C1613"/>
      <c r="D1613"/>
      <c r="E1613"/>
      <c r="F1613" s="35"/>
      <c r="G1613"/>
      <c r="H1613"/>
    </row>
    <row r="1614" spans="3:8" ht="15" x14ac:dyDescent="0.25">
      <c r="C1614"/>
      <c r="D1614"/>
      <c r="E1614"/>
      <c r="F1614" s="35"/>
      <c r="G1614"/>
      <c r="H1614"/>
    </row>
    <row r="1615" spans="3:8" ht="15" x14ac:dyDescent="0.25">
      <c r="C1615"/>
      <c r="D1615"/>
      <c r="E1615"/>
      <c r="F1615" s="35"/>
      <c r="G1615"/>
      <c r="H1615"/>
    </row>
    <row r="1616" spans="3:8" ht="15" x14ac:dyDescent="0.25">
      <c r="C1616"/>
      <c r="D1616"/>
      <c r="E1616"/>
      <c r="F1616" s="35"/>
      <c r="G1616"/>
      <c r="H1616"/>
    </row>
    <row r="1617" spans="3:8" ht="15" x14ac:dyDescent="0.25">
      <c r="C1617"/>
      <c r="D1617"/>
      <c r="E1617"/>
      <c r="F1617" s="35"/>
      <c r="G1617"/>
      <c r="H1617"/>
    </row>
    <row r="1618" spans="3:8" ht="15" x14ac:dyDescent="0.25">
      <c r="C1618"/>
      <c r="D1618"/>
      <c r="E1618"/>
      <c r="F1618" s="35"/>
      <c r="G1618"/>
      <c r="H1618"/>
    </row>
    <row r="1619" spans="3:8" ht="15" x14ac:dyDescent="0.25">
      <c r="C1619"/>
      <c r="D1619"/>
      <c r="E1619"/>
      <c r="F1619" s="35"/>
      <c r="G1619"/>
      <c r="H1619"/>
    </row>
    <row r="1620" spans="3:8" ht="15" x14ac:dyDescent="0.25">
      <c r="C1620"/>
      <c r="D1620"/>
      <c r="E1620"/>
      <c r="F1620" s="35"/>
      <c r="G1620"/>
      <c r="H1620"/>
    </row>
    <row r="1621" spans="3:8" ht="15" x14ac:dyDescent="0.25">
      <c r="C1621"/>
      <c r="D1621"/>
      <c r="E1621"/>
      <c r="F1621" s="35"/>
      <c r="G1621"/>
      <c r="H1621"/>
    </row>
    <row r="1622" spans="3:8" ht="15" x14ac:dyDescent="0.25">
      <c r="C1622"/>
      <c r="D1622"/>
      <c r="E1622"/>
      <c r="F1622" s="35"/>
      <c r="G1622"/>
      <c r="H1622"/>
    </row>
    <row r="1623" spans="3:8" ht="15" x14ac:dyDescent="0.25">
      <c r="C1623"/>
      <c r="D1623"/>
      <c r="E1623"/>
      <c r="F1623" s="35"/>
      <c r="G1623"/>
      <c r="H1623"/>
    </row>
    <row r="1624" spans="3:8" ht="15" x14ac:dyDescent="0.25">
      <c r="C1624"/>
      <c r="D1624"/>
      <c r="E1624"/>
      <c r="F1624" s="35"/>
      <c r="G1624"/>
      <c r="H1624"/>
    </row>
    <row r="1625" spans="3:8" ht="15" x14ac:dyDescent="0.25">
      <c r="C1625"/>
      <c r="D1625"/>
      <c r="E1625"/>
      <c r="F1625" s="35"/>
      <c r="G1625"/>
      <c r="H1625"/>
    </row>
    <row r="1626" spans="3:8" ht="15" x14ac:dyDescent="0.25">
      <c r="C1626"/>
      <c r="D1626"/>
      <c r="E1626"/>
      <c r="F1626" s="35"/>
      <c r="G1626"/>
      <c r="H1626"/>
    </row>
    <row r="1627" spans="3:8" ht="15" x14ac:dyDescent="0.25">
      <c r="C1627"/>
      <c r="D1627"/>
      <c r="E1627"/>
      <c r="F1627" s="35"/>
      <c r="G1627"/>
      <c r="H1627"/>
    </row>
    <row r="1628" spans="3:8" ht="15" x14ac:dyDescent="0.25">
      <c r="C1628"/>
      <c r="D1628"/>
      <c r="E1628"/>
      <c r="F1628" s="35"/>
      <c r="G1628"/>
      <c r="H1628"/>
    </row>
    <row r="1629" spans="3:8" ht="15" x14ac:dyDescent="0.25">
      <c r="C1629"/>
      <c r="D1629"/>
      <c r="E1629"/>
      <c r="F1629" s="35"/>
      <c r="G1629"/>
      <c r="H1629"/>
    </row>
    <row r="1630" spans="3:8" ht="15" x14ac:dyDescent="0.25">
      <c r="C1630"/>
      <c r="D1630"/>
      <c r="E1630"/>
      <c r="F1630" s="35"/>
      <c r="G1630"/>
      <c r="H1630"/>
    </row>
    <row r="1631" spans="3:8" ht="15" x14ac:dyDescent="0.25">
      <c r="C1631"/>
      <c r="D1631"/>
      <c r="E1631"/>
      <c r="F1631" s="35"/>
      <c r="G1631"/>
      <c r="H1631"/>
    </row>
    <row r="1632" spans="3:8" ht="15" x14ac:dyDescent="0.25">
      <c r="C1632"/>
      <c r="D1632"/>
      <c r="E1632"/>
      <c r="F1632" s="35"/>
      <c r="G1632"/>
      <c r="H1632"/>
    </row>
    <row r="1633" spans="3:8" ht="15" x14ac:dyDescent="0.25">
      <c r="C1633"/>
      <c r="D1633"/>
      <c r="E1633"/>
      <c r="F1633" s="35"/>
      <c r="G1633"/>
      <c r="H1633"/>
    </row>
    <row r="1634" spans="3:8" ht="15" x14ac:dyDescent="0.25">
      <c r="C1634"/>
      <c r="D1634"/>
      <c r="E1634"/>
      <c r="F1634" s="35"/>
      <c r="G1634"/>
      <c r="H1634"/>
    </row>
    <row r="1635" spans="3:8" ht="15" x14ac:dyDescent="0.25">
      <c r="C1635"/>
      <c r="D1635"/>
      <c r="E1635"/>
      <c r="F1635" s="35"/>
      <c r="G1635"/>
      <c r="H1635"/>
    </row>
    <row r="1636" spans="3:8" ht="15" x14ac:dyDescent="0.25">
      <c r="C1636"/>
      <c r="D1636"/>
      <c r="E1636"/>
      <c r="F1636" s="35"/>
      <c r="G1636"/>
      <c r="H1636"/>
    </row>
    <row r="1637" spans="3:8" ht="15" x14ac:dyDescent="0.25">
      <c r="C1637"/>
      <c r="D1637"/>
      <c r="E1637"/>
      <c r="F1637" s="35"/>
      <c r="G1637"/>
      <c r="H1637"/>
    </row>
    <row r="1638" spans="3:8" ht="15" x14ac:dyDescent="0.25">
      <c r="C1638"/>
      <c r="D1638"/>
      <c r="E1638"/>
      <c r="F1638" s="35"/>
      <c r="G1638"/>
      <c r="H1638"/>
    </row>
    <row r="1639" spans="3:8" ht="15" x14ac:dyDescent="0.25">
      <c r="C1639"/>
      <c r="D1639"/>
      <c r="E1639"/>
      <c r="F1639" s="35"/>
      <c r="G1639"/>
      <c r="H1639"/>
    </row>
    <row r="1640" spans="3:8" ht="15" x14ac:dyDescent="0.25">
      <c r="C1640"/>
      <c r="D1640"/>
      <c r="E1640"/>
      <c r="F1640" s="35"/>
      <c r="G1640"/>
      <c r="H1640"/>
    </row>
    <row r="1641" spans="3:8" ht="15" x14ac:dyDescent="0.25">
      <c r="C1641"/>
      <c r="D1641"/>
      <c r="E1641"/>
      <c r="F1641" s="35"/>
      <c r="G1641"/>
      <c r="H1641"/>
    </row>
    <row r="1642" spans="3:8" ht="15" x14ac:dyDescent="0.25">
      <c r="C1642"/>
      <c r="D1642"/>
      <c r="E1642"/>
      <c r="F1642" s="35"/>
      <c r="G1642"/>
      <c r="H1642"/>
    </row>
    <row r="1643" spans="3:8" ht="15" x14ac:dyDescent="0.25">
      <c r="C1643"/>
      <c r="D1643"/>
      <c r="E1643"/>
      <c r="F1643" s="35"/>
      <c r="G1643"/>
      <c r="H1643"/>
    </row>
    <row r="1644" spans="3:8" ht="15" x14ac:dyDescent="0.25">
      <c r="C1644"/>
      <c r="D1644"/>
      <c r="E1644"/>
      <c r="F1644" s="35"/>
      <c r="G1644"/>
      <c r="H1644"/>
    </row>
    <row r="1645" spans="3:8" ht="15" x14ac:dyDescent="0.25">
      <c r="C1645"/>
      <c r="D1645"/>
      <c r="E1645"/>
      <c r="F1645" s="35"/>
      <c r="G1645"/>
      <c r="H1645"/>
    </row>
    <row r="1646" spans="3:8" ht="15" x14ac:dyDescent="0.25">
      <c r="C1646"/>
      <c r="D1646"/>
      <c r="E1646"/>
      <c r="F1646" s="35"/>
      <c r="G1646"/>
      <c r="H1646"/>
    </row>
    <row r="1647" spans="3:8" ht="15" x14ac:dyDescent="0.25">
      <c r="C1647"/>
      <c r="D1647"/>
      <c r="E1647"/>
      <c r="F1647" s="35"/>
      <c r="G1647"/>
      <c r="H1647"/>
    </row>
    <row r="1648" spans="3:8" ht="15" x14ac:dyDescent="0.25">
      <c r="C1648"/>
      <c r="D1648"/>
      <c r="E1648"/>
      <c r="F1648" s="35"/>
      <c r="G1648"/>
      <c r="H1648"/>
    </row>
    <row r="1649" spans="3:8" ht="15" x14ac:dyDescent="0.25">
      <c r="C1649"/>
      <c r="D1649"/>
      <c r="E1649"/>
      <c r="F1649" s="35"/>
      <c r="G1649"/>
      <c r="H1649"/>
    </row>
    <row r="1650" spans="3:8" ht="15" x14ac:dyDescent="0.25">
      <c r="C1650"/>
      <c r="D1650"/>
      <c r="E1650"/>
      <c r="F1650" s="35"/>
      <c r="G1650"/>
      <c r="H1650"/>
    </row>
    <row r="1651" spans="3:8" ht="15" x14ac:dyDescent="0.25">
      <c r="C1651"/>
      <c r="D1651"/>
      <c r="E1651"/>
      <c r="F1651" s="35"/>
      <c r="G1651"/>
      <c r="H1651"/>
    </row>
    <row r="1652" spans="3:8" ht="15" x14ac:dyDescent="0.25">
      <c r="C1652"/>
      <c r="D1652"/>
      <c r="E1652"/>
      <c r="F1652" s="35"/>
      <c r="G1652"/>
      <c r="H1652"/>
    </row>
    <row r="1653" spans="3:8" ht="15" x14ac:dyDescent="0.25">
      <c r="C1653"/>
      <c r="D1653"/>
      <c r="E1653"/>
      <c r="F1653" s="35"/>
      <c r="G1653"/>
      <c r="H1653"/>
    </row>
    <row r="1654" spans="3:8" ht="15" x14ac:dyDescent="0.25">
      <c r="C1654"/>
      <c r="D1654"/>
      <c r="E1654"/>
      <c r="F1654" s="35"/>
      <c r="G1654"/>
      <c r="H1654"/>
    </row>
    <row r="1655" spans="3:8" ht="15" x14ac:dyDescent="0.25">
      <c r="C1655"/>
      <c r="D1655"/>
      <c r="E1655"/>
      <c r="F1655" s="35"/>
      <c r="G1655"/>
      <c r="H1655"/>
    </row>
    <row r="1656" spans="3:8" ht="15" x14ac:dyDescent="0.25">
      <c r="C1656"/>
      <c r="D1656"/>
      <c r="E1656"/>
      <c r="F1656" s="35"/>
      <c r="G1656"/>
      <c r="H1656"/>
    </row>
    <row r="1657" spans="3:8" ht="15" x14ac:dyDescent="0.25">
      <c r="C1657"/>
      <c r="D1657"/>
      <c r="E1657"/>
      <c r="F1657" s="35"/>
      <c r="G1657"/>
      <c r="H1657"/>
    </row>
    <row r="1658" spans="3:8" ht="15" x14ac:dyDescent="0.25">
      <c r="C1658"/>
      <c r="D1658"/>
      <c r="E1658"/>
      <c r="F1658" s="35"/>
      <c r="G1658"/>
      <c r="H1658"/>
    </row>
    <row r="1659" spans="3:8" ht="15" x14ac:dyDescent="0.25">
      <c r="C1659"/>
      <c r="D1659"/>
      <c r="E1659"/>
      <c r="F1659" s="35"/>
      <c r="G1659"/>
      <c r="H1659"/>
    </row>
    <row r="1660" spans="3:8" ht="15" x14ac:dyDescent="0.25">
      <c r="C1660"/>
      <c r="D1660"/>
      <c r="E1660"/>
      <c r="F1660" s="35"/>
      <c r="G1660"/>
      <c r="H1660"/>
    </row>
    <row r="1661" spans="3:8" ht="15" x14ac:dyDescent="0.25">
      <c r="C1661"/>
      <c r="D1661"/>
      <c r="E1661"/>
      <c r="F1661" s="35"/>
      <c r="G1661"/>
      <c r="H1661"/>
    </row>
    <row r="1662" spans="3:8" ht="15" x14ac:dyDescent="0.25">
      <c r="C1662"/>
      <c r="D1662"/>
      <c r="E1662"/>
      <c r="F1662" s="35"/>
      <c r="G1662"/>
      <c r="H1662"/>
    </row>
    <row r="1663" spans="3:8" ht="15" x14ac:dyDescent="0.25">
      <c r="C1663"/>
      <c r="D1663"/>
      <c r="E1663"/>
      <c r="F1663" s="35"/>
      <c r="G1663"/>
      <c r="H1663"/>
    </row>
    <row r="1664" spans="3:8" ht="15" x14ac:dyDescent="0.25">
      <c r="C1664"/>
      <c r="D1664"/>
      <c r="E1664"/>
      <c r="F1664" s="35"/>
      <c r="G1664"/>
      <c r="H1664"/>
    </row>
    <row r="1665" spans="3:8" ht="15" x14ac:dyDescent="0.25">
      <c r="C1665"/>
      <c r="D1665"/>
      <c r="E1665"/>
      <c r="F1665" s="35"/>
      <c r="G1665"/>
      <c r="H1665"/>
    </row>
    <row r="1666" spans="3:8" ht="15" x14ac:dyDescent="0.25">
      <c r="C1666"/>
      <c r="D1666"/>
      <c r="E1666"/>
      <c r="F1666" s="35"/>
      <c r="G1666"/>
      <c r="H1666"/>
    </row>
    <row r="1667" spans="3:8" ht="15" x14ac:dyDescent="0.25">
      <c r="C1667"/>
      <c r="D1667"/>
      <c r="E1667"/>
      <c r="F1667" s="35"/>
      <c r="G1667"/>
      <c r="H1667"/>
    </row>
    <row r="1668" spans="3:8" ht="15" x14ac:dyDescent="0.25">
      <c r="C1668"/>
      <c r="D1668"/>
      <c r="E1668"/>
      <c r="F1668" s="35"/>
      <c r="G1668"/>
      <c r="H1668"/>
    </row>
    <row r="1669" spans="3:8" ht="15" x14ac:dyDescent="0.25">
      <c r="C1669"/>
      <c r="D1669"/>
      <c r="E1669"/>
      <c r="F1669" s="35"/>
      <c r="G1669"/>
      <c r="H1669"/>
    </row>
    <row r="1670" spans="3:8" ht="15" x14ac:dyDescent="0.25">
      <c r="C1670"/>
      <c r="D1670"/>
      <c r="E1670"/>
      <c r="F1670" s="35"/>
      <c r="G1670"/>
      <c r="H1670"/>
    </row>
    <row r="1671" spans="3:8" ht="15" x14ac:dyDescent="0.25">
      <c r="C1671"/>
      <c r="D1671"/>
      <c r="E1671"/>
      <c r="F1671" s="35"/>
      <c r="G1671"/>
      <c r="H1671"/>
    </row>
    <row r="1672" spans="3:8" ht="15" x14ac:dyDescent="0.25">
      <c r="C1672"/>
      <c r="D1672"/>
      <c r="E1672"/>
      <c r="F1672" s="35"/>
      <c r="G1672"/>
      <c r="H1672"/>
    </row>
    <row r="1673" spans="3:8" ht="15" x14ac:dyDescent="0.25">
      <c r="C1673"/>
      <c r="D1673"/>
      <c r="E1673"/>
      <c r="F1673" s="35"/>
      <c r="G1673"/>
      <c r="H1673"/>
    </row>
    <row r="1674" spans="3:8" ht="15" x14ac:dyDescent="0.25">
      <c r="C1674"/>
      <c r="D1674"/>
      <c r="E1674"/>
      <c r="F1674" s="35"/>
      <c r="G1674"/>
      <c r="H1674"/>
    </row>
    <row r="1675" spans="3:8" ht="15" x14ac:dyDescent="0.25">
      <c r="C1675"/>
      <c r="D1675"/>
      <c r="E1675"/>
      <c r="F1675" s="35"/>
      <c r="G1675"/>
      <c r="H1675"/>
    </row>
    <row r="1676" spans="3:8" ht="15" x14ac:dyDescent="0.25">
      <c r="C1676"/>
      <c r="D1676"/>
      <c r="E1676"/>
      <c r="F1676" s="35"/>
      <c r="G1676"/>
      <c r="H1676"/>
    </row>
    <row r="1677" spans="3:8" ht="15" x14ac:dyDescent="0.25">
      <c r="C1677"/>
      <c r="D1677"/>
      <c r="E1677"/>
      <c r="F1677" s="35"/>
      <c r="G1677"/>
      <c r="H1677"/>
    </row>
    <row r="1678" spans="3:8" ht="15" x14ac:dyDescent="0.25">
      <c r="C1678"/>
      <c r="D1678"/>
      <c r="E1678"/>
      <c r="F1678" s="35"/>
      <c r="G1678"/>
      <c r="H1678"/>
    </row>
    <row r="1679" spans="3:8" ht="15" x14ac:dyDescent="0.25">
      <c r="C1679"/>
      <c r="D1679"/>
      <c r="E1679"/>
      <c r="F1679" s="35"/>
      <c r="G1679"/>
      <c r="H1679"/>
    </row>
    <row r="1680" spans="3:8" ht="15" x14ac:dyDescent="0.25">
      <c r="C1680"/>
      <c r="D1680"/>
      <c r="E1680"/>
      <c r="F1680" s="35"/>
      <c r="G1680"/>
      <c r="H1680"/>
    </row>
    <row r="1681" spans="3:8" ht="15" x14ac:dyDescent="0.25">
      <c r="C1681"/>
      <c r="D1681"/>
      <c r="E1681"/>
      <c r="F1681" s="35"/>
      <c r="G1681"/>
      <c r="H1681"/>
    </row>
    <row r="1682" spans="3:8" ht="15" x14ac:dyDescent="0.25">
      <c r="C1682"/>
      <c r="D1682"/>
      <c r="E1682"/>
      <c r="F1682" s="35"/>
      <c r="G1682"/>
      <c r="H1682"/>
    </row>
    <row r="1683" spans="3:8" ht="15" x14ac:dyDescent="0.25">
      <c r="C1683"/>
      <c r="D1683"/>
      <c r="E1683"/>
      <c r="F1683" s="35"/>
      <c r="G1683"/>
      <c r="H1683"/>
    </row>
    <row r="1684" spans="3:8" ht="15" x14ac:dyDescent="0.25">
      <c r="C1684"/>
      <c r="D1684"/>
      <c r="E1684"/>
      <c r="F1684" s="35"/>
      <c r="G1684"/>
      <c r="H1684"/>
    </row>
    <row r="1685" spans="3:8" ht="15" x14ac:dyDescent="0.25">
      <c r="C1685"/>
      <c r="D1685"/>
      <c r="E1685"/>
      <c r="F1685" s="35"/>
      <c r="G1685"/>
      <c r="H1685"/>
    </row>
    <row r="1686" spans="3:8" ht="15" x14ac:dyDescent="0.25">
      <c r="C1686"/>
      <c r="D1686"/>
      <c r="E1686"/>
      <c r="F1686" s="35"/>
      <c r="G1686"/>
      <c r="H1686"/>
    </row>
    <row r="1687" spans="3:8" ht="15" x14ac:dyDescent="0.25">
      <c r="C1687"/>
      <c r="D1687"/>
      <c r="E1687"/>
      <c r="F1687" s="35"/>
      <c r="G1687"/>
      <c r="H1687"/>
    </row>
    <row r="1688" spans="3:8" ht="15" x14ac:dyDescent="0.25">
      <c r="C1688"/>
      <c r="D1688"/>
      <c r="E1688"/>
      <c r="F1688" s="35"/>
      <c r="G1688"/>
      <c r="H1688"/>
    </row>
    <row r="1689" spans="3:8" ht="15" x14ac:dyDescent="0.25">
      <c r="C1689"/>
      <c r="D1689"/>
      <c r="E1689"/>
      <c r="F1689" s="35"/>
      <c r="G1689"/>
      <c r="H1689"/>
    </row>
    <row r="1690" spans="3:8" ht="15" x14ac:dyDescent="0.25">
      <c r="C1690"/>
      <c r="D1690"/>
      <c r="E1690"/>
      <c r="F1690" s="35"/>
      <c r="G1690"/>
      <c r="H1690"/>
    </row>
    <row r="1691" spans="3:8" ht="15" x14ac:dyDescent="0.25">
      <c r="C1691"/>
      <c r="D1691"/>
      <c r="E1691"/>
      <c r="F1691" s="35"/>
      <c r="G1691"/>
      <c r="H1691"/>
    </row>
    <row r="1692" spans="3:8" ht="15" x14ac:dyDescent="0.25">
      <c r="C1692"/>
      <c r="D1692"/>
      <c r="E1692"/>
      <c r="F1692" s="35"/>
      <c r="G1692"/>
      <c r="H1692"/>
    </row>
    <row r="1693" spans="3:8" ht="15" x14ac:dyDescent="0.25">
      <c r="C1693"/>
      <c r="D1693"/>
      <c r="E1693"/>
      <c r="F1693" s="35"/>
      <c r="G1693"/>
      <c r="H1693"/>
    </row>
    <row r="1694" spans="3:8" ht="15" x14ac:dyDescent="0.25">
      <c r="C1694"/>
      <c r="D1694"/>
      <c r="E1694"/>
      <c r="F1694" s="35"/>
      <c r="G1694"/>
      <c r="H1694"/>
    </row>
    <row r="1695" spans="3:8" ht="15" x14ac:dyDescent="0.25">
      <c r="C1695"/>
      <c r="D1695"/>
      <c r="E1695"/>
      <c r="F1695" s="35"/>
      <c r="G1695"/>
      <c r="H1695"/>
    </row>
    <row r="1696" spans="3:8" ht="15" x14ac:dyDescent="0.25">
      <c r="C1696"/>
      <c r="D1696"/>
      <c r="E1696"/>
      <c r="F1696" s="35"/>
      <c r="G1696"/>
      <c r="H1696"/>
    </row>
    <row r="1697" spans="3:8" ht="15" x14ac:dyDescent="0.25">
      <c r="C1697"/>
      <c r="D1697"/>
      <c r="E1697"/>
      <c r="F1697" s="35"/>
      <c r="G1697"/>
      <c r="H1697"/>
    </row>
    <row r="1698" spans="3:8" ht="15" x14ac:dyDescent="0.25">
      <c r="C1698"/>
      <c r="D1698"/>
      <c r="E1698"/>
      <c r="F1698" s="35"/>
      <c r="G1698"/>
      <c r="H1698"/>
    </row>
    <row r="1699" spans="3:8" ht="15" x14ac:dyDescent="0.25">
      <c r="C1699"/>
      <c r="D1699"/>
      <c r="E1699"/>
      <c r="F1699" s="35"/>
      <c r="G1699"/>
      <c r="H1699"/>
    </row>
    <row r="1700" spans="3:8" ht="15" x14ac:dyDescent="0.25">
      <c r="C1700"/>
      <c r="D1700"/>
      <c r="E1700"/>
      <c r="F1700" s="35"/>
      <c r="G1700"/>
      <c r="H1700"/>
    </row>
    <row r="1701" spans="3:8" ht="15" x14ac:dyDescent="0.25">
      <c r="C1701"/>
      <c r="D1701"/>
      <c r="E1701"/>
      <c r="F1701" s="35"/>
      <c r="G1701"/>
      <c r="H1701"/>
    </row>
    <row r="1702" spans="3:8" ht="15" x14ac:dyDescent="0.25">
      <c r="C1702"/>
      <c r="D1702"/>
      <c r="E1702"/>
      <c r="F1702" s="35"/>
      <c r="G1702"/>
      <c r="H1702"/>
    </row>
    <row r="1703" spans="3:8" ht="15" x14ac:dyDescent="0.25">
      <c r="C1703"/>
      <c r="D1703"/>
      <c r="E1703"/>
      <c r="F1703" s="35"/>
      <c r="G1703"/>
      <c r="H1703"/>
    </row>
    <row r="1704" spans="3:8" ht="15" x14ac:dyDescent="0.25">
      <c r="C1704"/>
      <c r="D1704"/>
      <c r="E1704"/>
      <c r="F1704" s="35"/>
      <c r="G1704"/>
      <c r="H1704"/>
    </row>
    <row r="1705" spans="3:8" ht="15" x14ac:dyDescent="0.25">
      <c r="C1705"/>
      <c r="D1705"/>
      <c r="E1705"/>
      <c r="F1705" s="35"/>
      <c r="G1705"/>
      <c r="H1705"/>
    </row>
    <row r="1706" spans="3:8" ht="15" x14ac:dyDescent="0.25">
      <c r="C1706"/>
      <c r="D1706"/>
      <c r="E1706"/>
      <c r="F1706" s="35"/>
      <c r="G1706"/>
      <c r="H1706"/>
    </row>
    <row r="1707" spans="3:8" ht="15" x14ac:dyDescent="0.25">
      <c r="C1707"/>
      <c r="D1707"/>
      <c r="E1707"/>
      <c r="F1707" s="35"/>
      <c r="G1707"/>
      <c r="H1707"/>
    </row>
    <row r="1708" spans="3:8" ht="15" x14ac:dyDescent="0.25">
      <c r="C1708"/>
      <c r="D1708"/>
      <c r="E1708"/>
      <c r="F1708" s="35"/>
      <c r="G1708"/>
      <c r="H1708"/>
    </row>
    <row r="1709" spans="3:8" ht="15" x14ac:dyDescent="0.25">
      <c r="C1709"/>
      <c r="D1709"/>
      <c r="E1709"/>
      <c r="F1709" s="35"/>
      <c r="G1709"/>
      <c r="H1709"/>
    </row>
    <row r="1710" spans="3:8" ht="15" x14ac:dyDescent="0.25">
      <c r="C1710"/>
      <c r="D1710"/>
      <c r="E1710"/>
      <c r="F1710" s="35"/>
      <c r="G1710"/>
      <c r="H1710"/>
    </row>
    <row r="1711" spans="3:8" ht="15" x14ac:dyDescent="0.25">
      <c r="C1711"/>
      <c r="D1711"/>
      <c r="E1711"/>
      <c r="F1711" s="35"/>
      <c r="G1711"/>
      <c r="H1711"/>
    </row>
    <row r="1712" spans="3:8" ht="15" x14ac:dyDescent="0.25">
      <c r="C1712"/>
      <c r="D1712"/>
      <c r="E1712"/>
      <c r="F1712" s="35"/>
      <c r="G1712"/>
      <c r="H1712"/>
    </row>
    <row r="1713" spans="3:8" ht="15" x14ac:dyDescent="0.25">
      <c r="C1713"/>
      <c r="D1713"/>
      <c r="E1713"/>
      <c r="F1713" s="35"/>
      <c r="G1713"/>
      <c r="H1713"/>
    </row>
    <row r="1714" spans="3:8" ht="15" x14ac:dyDescent="0.25">
      <c r="C1714"/>
      <c r="D1714"/>
      <c r="E1714"/>
      <c r="F1714" s="35"/>
      <c r="G1714"/>
      <c r="H1714"/>
    </row>
    <row r="1715" spans="3:8" ht="15" x14ac:dyDescent="0.25">
      <c r="C1715"/>
      <c r="D1715"/>
      <c r="E1715"/>
      <c r="F1715" s="35"/>
      <c r="G1715"/>
      <c r="H1715"/>
    </row>
    <row r="1716" spans="3:8" ht="15" x14ac:dyDescent="0.25">
      <c r="C1716"/>
      <c r="D1716"/>
      <c r="E1716"/>
      <c r="F1716" s="35"/>
      <c r="G1716"/>
      <c r="H1716"/>
    </row>
    <row r="1717" spans="3:8" ht="15" x14ac:dyDescent="0.25">
      <c r="C1717"/>
      <c r="D1717"/>
      <c r="E1717"/>
      <c r="F1717" s="35"/>
      <c r="G1717"/>
      <c r="H1717"/>
    </row>
    <row r="1718" spans="3:8" ht="15" x14ac:dyDescent="0.25">
      <c r="C1718"/>
      <c r="D1718"/>
      <c r="E1718"/>
      <c r="F1718" s="35"/>
      <c r="G1718"/>
      <c r="H1718"/>
    </row>
    <row r="1719" spans="3:8" ht="15" x14ac:dyDescent="0.25">
      <c r="C1719"/>
      <c r="D1719"/>
      <c r="E1719"/>
      <c r="F1719" s="35"/>
      <c r="G1719"/>
      <c r="H1719"/>
    </row>
    <row r="1720" spans="3:8" ht="15" x14ac:dyDescent="0.25">
      <c r="C1720"/>
      <c r="D1720"/>
      <c r="E1720"/>
      <c r="F1720" s="35"/>
      <c r="G1720"/>
      <c r="H1720"/>
    </row>
  </sheetData>
  <mergeCells count="6">
    <mergeCell ref="C1:P1"/>
    <mergeCell ref="C2:P2"/>
    <mergeCell ref="C3:P3"/>
    <mergeCell ref="F6:H6"/>
    <mergeCell ref="J6:L6"/>
    <mergeCell ref="N6:P6"/>
  </mergeCells>
  <conditionalFormatting sqref="E7">
    <cfRule type="duplicateValues" dxfId="0" priority="1"/>
  </conditionalFormatting>
  <printOptions horizontalCentered="1"/>
  <pageMargins left="0.7" right="0.7" top="0.75" bottom="0.75" header="0.3" footer="0.3"/>
  <pageSetup paperSize="9" fitToHeight="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RM-All</vt:lpstr>
      <vt:lpstr>RM-Summary-Alls</vt:lpstr>
      <vt:lpstr>RM-Summary-Cat</vt:lpstr>
      <vt:lpstr>RM-Summary-All</vt:lpstr>
      <vt:lpstr>RM-Detail</vt:lpstr>
      <vt:lpstr>MC+SP Data</vt:lpstr>
      <vt:lpstr>MC+SP Summary</vt:lpstr>
      <vt:lpstr>MC+SP Summary Detail</vt:lpstr>
      <vt:lpstr>'MC+SP Summary Detail'!Print_Titles</vt:lpstr>
      <vt:lpstr>'RM-Detail'!Print_Titles</vt:lpstr>
      <vt:lpstr>'RM-Summary-Cat'!Print_Titles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2024-09-19T09:18:27Z</cp:lastPrinted>
  <dcterms:created xsi:type="dcterms:W3CDTF">2024-05-27T11:54:09Z</dcterms:created>
  <dcterms:modified xsi:type="dcterms:W3CDTF">2024-09-19T09:26:34Z</dcterms:modified>
</cp:coreProperties>
</file>