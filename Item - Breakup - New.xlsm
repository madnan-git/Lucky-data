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145DD411-729A-4ECB-BB2E-1E7C13042B1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" sheetId="1" r:id="rId1"/>
    <sheet name="Report" sheetId="2" r:id="rId2"/>
    <sheet name="Garment" sheetId="8" r:id="rId3"/>
    <sheet name="Report2" sheetId="4" r:id="rId4"/>
    <sheet name="Report3" sheetId="10" r:id="rId5"/>
    <sheet name="Gmt_tbl" sheetId="5" r:id="rId6"/>
    <sheet name="E-Mail" sheetId="9" r:id="rId7"/>
  </sheets>
  <definedNames>
    <definedName name="_xlnm._FilterDatabase" localSheetId="5" hidden="1">Gmt_tbl!#REF!</definedName>
    <definedName name="_xlnm._FilterDatabase" localSheetId="1" hidden="1">Report!$C$19:$W$25</definedName>
    <definedName name="Amt" localSheetId="4">SUM(Report3!$J$3:$J$1000)</definedName>
    <definedName name="Amt">SUM(Report2!$J$3:$J$1000)</definedName>
    <definedName name="Cbm" localSheetId="4">SUM(Report3!$G$3:$G$1000)</definedName>
    <definedName name="Cbm">SUM(Report2!$G$3:$G$1000)</definedName>
    <definedName name="Ctn" localSheetId="4">SUM(Report3!$E$3:$E$1000)</definedName>
    <definedName name="Ctn">SUM(Report2!$E$3:$E$1000)</definedName>
    <definedName name="GW" localSheetId="4">SUM(Report3!$I$3:$I$1000)</definedName>
    <definedName name="GW">SUM(Report2!$I$3:$I$1000)</definedName>
    <definedName name="NW" localSheetId="4">SUM(Report3!$H$3:$H$1000)</definedName>
    <definedName name="NW">SUM(Report2!$H$3:$H$1000)</definedName>
    <definedName name="Pcs" localSheetId="4">SUM(Report3!$F$3:$F$1000)</definedName>
    <definedName name="Pcs">SUM(Report2!$F$3:$F$1000)</definedName>
  </definedNames>
  <calcPr calcId="191029"/>
  <pivotCaches>
    <pivotCache cacheId="14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U4" i="1"/>
  <c r="U5" i="1"/>
  <c r="W5" i="1" s="1"/>
  <c r="U6" i="1"/>
  <c r="W7" i="1"/>
  <c r="U15" i="1"/>
  <c r="U16" i="1"/>
  <c r="V4" i="1"/>
  <c r="V5" i="1"/>
  <c r="V6" i="1"/>
  <c r="V7" i="1"/>
  <c r="V8" i="1"/>
  <c r="V9" i="1"/>
  <c r="V10" i="1"/>
  <c r="V11" i="1"/>
  <c r="V12" i="1"/>
  <c r="W12" i="1" s="1"/>
  <c r="V13" i="1"/>
  <c r="W13" i="1" s="1"/>
  <c r="V14" i="1"/>
  <c r="W14" i="1" s="1"/>
  <c r="V15" i="1"/>
  <c r="V16" i="1"/>
  <c r="V17" i="1"/>
  <c r="X4" i="1"/>
  <c r="X5" i="1"/>
  <c r="X6" i="1"/>
  <c r="X7" i="1"/>
  <c r="X8" i="1"/>
  <c r="X9" i="1"/>
  <c r="X10" i="1"/>
  <c r="X11" i="1"/>
  <c r="X12" i="1"/>
  <c r="X13" i="1"/>
  <c r="X14" i="1"/>
  <c r="Y14" i="1" s="1"/>
  <c r="Z14" i="1" s="1"/>
  <c r="X15" i="1"/>
  <c r="X16" i="1"/>
  <c r="X17" i="1"/>
  <c r="W6" i="1" l="1"/>
  <c r="Y6" i="1"/>
  <c r="Z6" i="1" s="1"/>
  <c r="Y5" i="1"/>
  <c r="Z5" i="1" s="1"/>
  <c r="W4" i="1"/>
  <c r="Y15" i="1"/>
  <c r="Z15" i="1" s="1"/>
  <c r="Y17" i="1"/>
  <c r="Z17" i="1" s="1"/>
  <c r="Y9" i="1"/>
  <c r="Z9" i="1" s="1"/>
  <c r="Y13" i="1"/>
  <c r="Z13" i="1" s="1"/>
  <c r="Y16" i="1"/>
  <c r="Z16" i="1" s="1"/>
  <c r="Y8" i="1"/>
  <c r="Z8" i="1" s="1"/>
  <c r="Y7" i="1"/>
  <c r="Z7" i="1" s="1"/>
  <c r="Y10" i="1"/>
  <c r="Z10" i="1" s="1"/>
  <c r="Y11" i="1"/>
  <c r="Z11" i="1" s="1"/>
  <c r="W11" i="1"/>
  <c r="W10" i="1"/>
  <c r="W17" i="1"/>
  <c r="W9" i="1"/>
  <c r="Y12" i="1"/>
  <c r="Z12" i="1" s="1"/>
  <c r="Y4" i="1"/>
  <c r="Z4" i="1" s="1"/>
  <c r="W16" i="1"/>
  <c r="W8" i="1"/>
  <c r="W15" i="1"/>
  <c r="U3" i="1" l="1"/>
  <c r="S3" i="1" l="1"/>
  <c r="T3" i="1" s="1"/>
  <c r="V3" i="1"/>
  <c r="X3" i="1"/>
  <c r="W3" i="1" l="1"/>
  <c r="Y3" i="1"/>
  <c r="Z3" i="1" s="1"/>
  <c r="X2" i="2" l="1"/>
  <c r="W2" i="2" l="1"/>
  <c r="V2" i="2"/>
  <c r="U2" i="2"/>
  <c r="T2" i="2"/>
  <c r="S2" i="2"/>
  <c r="R2" i="2"/>
  <c r="Z16" i="2" l="1"/>
  <c r="Z15" i="2"/>
  <c r="Z14" i="2"/>
  <c r="Z13" i="2"/>
  <c r="Z12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C1" i="2" l="1"/>
  <c r="A1000" i="10" l="1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4" i="10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J1" i="10"/>
  <c r="I1" i="10"/>
  <c r="H1" i="10"/>
  <c r="G1" i="10"/>
  <c r="F1" i="10"/>
  <c r="E1" i="10"/>
  <c r="A3" i="9" l="1"/>
  <c r="M2" i="2"/>
  <c r="N2" i="2"/>
  <c r="O2" i="2"/>
  <c r="P2" i="2"/>
  <c r="Q2" i="2"/>
  <c r="O4" i="9" l="1"/>
  <c r="N4" i="9"/>
  <c r="M4" i="9"/>
  <c r="L4" i="9"/>
  <c r="K4" i="9"/>
  <c r="J4" i="9"/>
  <c r="I4" i="9"/>
  <c r="G10" i="9"/>
  <c r="F10" i="9"/>
  <c r="E10" i="9"/>
  <c r="D10" i="9"/>
  <c r="A10" i="9"/>
  <c r="G9" i="9"/>
  <c r="F9" i="9"/>
  <c r="E9" i="9"/>
  <c r="D9" i="9"/>
  <c r="A9" i="9"/>
  <c r="G8" i="9"/>
  <c r="F8" i="9"/>
  <c r="E8" i="9"/>
  <c r="D8" i="9"/>
  <c r="A8" i="9"/>
  <c r="G7" i="9"/>
  <c r="F7" i="9"/>
  <c r="E7" i="9"/>
  <c r="D7" i="9"/>
  <c r="A7" i="9"/>
  <c r="G6" i="9"/>
  <c r="F6" i="9"/>
  <c r="E6" i="9"/>
  <c r="D6" i="9"/>
  <c r="A6" i="9"/>
  <c r="P10" i="9"/>
  <c r="O10" i="9"/>
  <c r="N10" i="9"/>
  <c r="M10" i="9"/>
  <c r="L10" i="9"/>
  <c r="K10" i="9"/>
  <c r="J10" i="9"/>
  <c r="I10" i="9"/>
  <c r="P9" i="9"/>
  <c r="O9" i="9"/>
  <c r="N9" i="9"/>
  <c r="M9" i="9"/>
  <c r="L9" i="9"/>
  <c r="K9" i="9"/>
  <c r="J9" i="9"/>
  <c r="I9" i="9"/>
  <c r="P8" i="9"/>
  <c r="O8" i="9"/>
  <c r="N8" i="9"/>
  <c r="M8" i="9"/>
  <c r="L8" i="9"/>
  <c r="K8" i="9"/>
  <c r="J8" i="9"/>
  <c r="I8" i="9"/>
  <c r="P7" i="9"/>
  <c r="O7" i="9"/>
  <c r="N7" i="9"/>
  <c r="M7" i="9"/>
  <c r="L7" i="9"/>
  <c r="K7" i="9"/>
  <c r="J7" i="9"/>
  <c r="I7" i="9"/>
  <c r="P6" i="9"/>
  <c r="O6" i="9"/>
  <c r="N6" i="9"/>
  <c r="M6" i="9"/>
  <c r="L6" i="9"/>
  <c r="K6" i="9"/>
  <c r="J6" i="9"/>
  <c r="I6" i="9"/>
  <c r="P5" i="9"/>
  <c r="O5" i="9"/>
  <c r="N5" i="9"/>
  <c r="M5" i="9"/>
  <c r="L5" i="9"/>
  <c r="K5" i="9"/>
  <c r="J5" i="9"/>
  <c r="I5" i="9"/>
  <c r="G5" i="9"/>
  <c r="F5" i="9"/>
  <c r="E5" i="9"/>
  <c r="D5" i="9"/>
  <c r="A5" i="9"/>
  <c r="O23" i="9" l="1"/>
  <c r="L23" i="9"/>
  <c r="M23" i="9"/>
  <c r="N23" i="9"/>
  <c r="I23" i="9"/>
  <c r="K23" i="9"/>
  <c r="J23" i="9"/>
  <c r="F23" i="9"/>
  <c r="P23" i="9"/>
  <c r="D23" i="9"/>
  <c r="E23" i="9"/>
  <c r="G23" i="9"/>
  <c r="B7" i="9" l="1"/>
  <c r="D1" i="8" l="1"/>
  <c r="H2" i="8"/>
  <c r="G2" i="8"/>
  <c r="F2" i="8"/>
  <c r="D2" i="8"/>
  <c r="S2" i="8"/>
  <c r="R2" i="8"/>
  <c r="Q2" i="8"/>
  <c r="P2" i="8"/>
  <c r="O2" i="8"/>
  <c r="N2" i="8"/>
  <c r="M2" i="8"/>
  <c r="L2" i="8"/>
  <c r="B5" i="9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E2" i="8"/>
  <c r="F1" i="8"/>
  <c r="B10" i="9" l="1"/>
  <c r="B9" i="9"/>
  <c r="B8" i="9"/>
  <c r="B6" i="9"/>
  <c r="H2" i="2"/>
  <c r="G4" i="9" s="1"/>
  <c r="P4" i="9"/>
  <c r="C9" i="9" l="1"/>
  <c r="C10" i="9"/>
  <c r="C7" i="9"/>
  <c r="C6" i="9"/>
  <c r="C8" i="9"/>
  <c r="Y16" i="2"/>
  <c r="C5" i="9"/>
  <c r="Y15" i="2"/>
  <c r="F1" i="2" l="1"/>
  <c r="A1000" i="4" l="1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J1" i="4"/>
  <c r="I1" i="4"/>
  <c r="H1" i="4"/>
  <c r="G1" i="4"/>
  <c r="F1" i="4"/>
  <c r="E1" i="4"/>
  <c r="A502" i="4" l="1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G2" i="2"/>
  <c r="F4" i="9" s="1"/>
  <c r="F2" i="2"/>
  <c r="E4" i="9" s="1"/>
  <c r="E2" i="2"/>
  <c r="D4" i="9" s="1"/>
  <c r="A7" i="2"/>
  <c r="A47" i="4" l="1"/>
  <c r="A48" i="4" s="1"/>
  <c r="A49" i="4" s="1"/>
  <c r="A50" i="4" s="1"/>
  <c r="A51" i="4" s="1"/>
  <c r="A52" i="4" s="1"/>
  <c r="A53" i="4" s="1"/>
  <c r="A8" i="2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</calcChain>
</file>

<file path=xl/sharedStrings.xml><?xml version="1.0" encoding="utf-8"?>
<sst xmlns="http://schemas.openxmlformats.org/spreadsheetml/2006/main" count="494" uniqueCount="121">
  <si>
    <t>GRN#</t>
  </si>
  <si>
    <t>CARTONS</t>
  </si>
  <si>
    <t>Fabric Quality</t>
  </si>
  <si>
    <t>Quantity</t>
  </si>
  <si>
    <t>Unit</t>
  </si>
  <si>
    <t>Size</t>
  </si>
  <si>
    <t>Item</t>
  </si>
  <si>
    <t>White</t>
  </si>
  <si>
    <t>Dyed</t>
  </si>
  <si>
    <t>Print</t>
  </si>
  <si>
    <t>G.Wt</t>
  </si>
  <si>
    <t>N.Wt</t>
  </si>
  <si>
    <t>Price</t>
  </si>
  <si>
    <t>Amount</t>
  </si>
  <si>
    <t>Pcs</t>
  </si>
  <si>
    <t>Grand Total</t>
  </si>
  <si>
    <t>Process</t>
  </si>
  <si>
    <t>Sum of N.Wt</t>
  </si>
  <si>
    <t>Items</t>
  </si>
  <si>
    <t>Values</t>
  </si>
  <si>
    <t>Total Ctn</t>
  </si>
  <si>
    <t>Ctn</t>
  </si>
  <si>
    <t>Total Pcs</t>
  </si>
  <si>
    <t>Item No.</t>
  </si>
  <si>
    <t>Construction</t>
  </si>
  <si>
    <t>Gross Weight</t>
  </si>
  <si>
    <t>Net Weight</t>
  </si>
  <si>
    <t>Inv Amount</t>
  </si>
  <si>
    <t>Total GRN</t>
  </si>
  <si>
    <t>Hscode</t>
  </si>
  <si>
    <t>M3</t>
  </si>
  <si>
    <t>Faric Cons</t>
  </si>
  <si>
    <t>Delivery From</t>
  </si>
  <si>
    <t xml:space="preserve">Grand Totals: </t>
  </si>
  <si>
    <t>SubItem</t>
  </si>
  <si>
    <t>LAB COAT</t>
  </si>
  <si>
    <t>TROUSER</t>
  </si>
  <si>
    <t>SCRUB - TOP</t>
  </si>
  <si>
    <t>SHIRT</t>
  </si>
  <si>
    <t>TUNIC</t>
  </si>
  <si>
    <t>SCRUB - BOTTOM</t>
  </si>
  <si>
    <t>M</t>
  </si>
  <si>
    <t>W</t>
  </si>
  <si>
    <t>PANT</t>
  </si>
  <si>
    <t>SHORT</t>
  </si>
  <si>
    <t>Bld</t>
  </si>
  <si>
    <t>JEGGING</t>
  </si>
  <si>
    <t>DUNGAREE</t>
  </si>
  <si>
    <t>OVERALL</t>
  </si>
  <si>
    <t>GOWN</t>
  </si>
  <si>
    <t>JACKET</t>
  </si>
  <si>
    <t>Cons</t>
  </si>
  <si>
    <t>Key</t>
  </si>
  <si>
    <t>S.Item</t>
  </si>
  <si>
    <t>Con.Key</t>
  </si>
  <si>
    <t>HS.Code</t>
  </si>
  <si>
    <t>Cotton Men</t>
  </si>
  <si>
    <t>Cotton Women</t>
  </si>
  <si>
    <t xml:space="preserve">Cotton </t>
  </si>
  <si>
    <t>T-SHIRT</t>
  </si>
  <si>
    <t>Blended Men</t>
  </si>
  <si>
    <t>Blended Women</t>
  </si>
  <si>
    <t>HS Code</t>
  </si>
  <si>
    <t>Construction1</t>
  </si>
  <si>
    <t>Items1</t>
  </si>
  <si>
    <t>Subitem</t>
  </si>
  <si>
    <t>Subitem1</t>
  </si>
  <si>
    <t>I.Key</t>
  </si>
  <si>
    <t>Item Descriptions</t>
  </si>
  <si>
    <t>Garment</t>
  </si>
  <si>
    <t>Exp.Hscode</t>
  </si>
  <si>
    <t>I.name</t>
  </si>
  <si>
    <t>Exp. HS Code</t>
  </si>
  <si>
    <t>VLOOKUP(TRIM(Table2[@Items]&amp;Table2[@SubItem]&amp;Table2[Cons]),Gmtdata[#All],5,0)</t>
  </si>
  <si>
    <t>N-Wt</t>
  </si>
  <si>
    <t>Total</t>
  </si>
  <si>
    <t>For SMS Team</t>
  </si>
  <si>
    <t>M-3</t>
  </si>
  <si>
    <t>(M-3)</t>
  </si>
  <si>
    <t>Qty</t>
  </si>
  <si>
    <t>Total Amt</t>
  </si>
  <si>
    <t>Amt</t>
  </si>
  <si>
    <t>#N/A</t>
  </si>
  <si>
    <t>Bleached</t>
  </si>
  <si>
    <t>GR-6346/24</t>
  </si>
  <si>
    <t>PC (65:35)</t>
  </si>
  <si>
    <t>32E</t>
  </si>
  <si>
    <t>LAB COAT - - - - - MDT12WHT32E</t>
  </si>
  <si>
    <t>24/S PC 65:35 / 300 Denier -96 Filament (Non Intermingle) 94x53 1/1 Plain Weave</t>
  </si>
  <si>
    <t>LUCKY TEXTILE MILLS # 2</t>
  </si>
  <si>
    <t>34E</t>
  </si>
  <si>
    <t>LAB COAT - - - - - MDT12WHT34E</t>
  </si>
  <si>
    <t>38E</t>
  </si>
  <si>
    <t>LAB COAT - - - - - MDT12WHT38E</t>
  </si>
  <si>
    <t>40E</t>
  </si>
  <si>
    <t>LAB COAT - - - - - MDT12WHT40E</t>
  </si>
  <si>
    <t>GR-6347/24</t>
  </si>
  <si>
    <t>CVC (55:45)</t>
  </si>
  <si>
    <t>XL</t>
  </si>
  <si>
    <t>SCRUB - TOP - XL - STYLE 710</t>
  </si>
  <si>
    <t>40/40 110x68 1/1 Plain Weave CVC (55:45) Carded</t>
  </si>
  <si>
    <t>SCRUB - TOP - M - STYLE 710</t>
  </si>
  <si>
    <t>2XL</t>
  </si>
  <si>
    <t>SCRUB - TOP - XXL - STYLE 710</t>
  </si>
  <si>
    <t>GR-6348/24</t>
  </si>
  <si>
    <t>3XL</t>
  </si>
  <si>
    <t>SCRUB - BOTTOM - XXXL - STYLE 700</t>
  </si>
  <si>
    <t>SCRUB - BOTTOM - XL - STYLE 700</t>
  </si>
  <si>
    <t>XS</t>
  </si>
  <si>
    <t>SCRUB - BOTTOM - - - XS - STYLE 700</t>
  </si>
  <si>
    <t>GR-6350/24</t>
  </si>
  <si>
    <t>GR-6351/24</t>
  </si>
  <si>
    <t>36E</t>
  </si>
  <si>
    <t>LAB COAT - - - - - MDT14WHT36E</t>
  </si>
  <si>
    <t>48TE</t>
  </si>
  <si>
    <t>LAB COAT - - - - - MDT14WHT48TE</t>
  </si>
  <si>
    <t>GR-6352/24</t>
  </si>
  <si>
    <t>SCRUB - BOTTOM - XXL - STYLE 700</t>
  </si>
  <si>
    <t>SCRUB - BOTTOMBld</t>
  </si>
  <si>
    <t>LAB COATBld</t>
  </si>
  <si>
    <t>SCRUB - TOPBld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</si>
</sst>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0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Bell MT"/>
      <family val="1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theme="1"/>
      <name val="Times New Roman"/>
      <family val="1"/>
    </font>
    <font>
      <b/>
      <sz val="12"/>
      <color rgb="FF2E74B5"/>
      <name val="Calibri"/>
      <family val="2"/>
      <scheme val="minor"/>
    </font>
    <font>
      <b/>
      <sz val="11"/>
      <color rgb="FF00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double">
        <color indexed="64"/>
      </bottom>
      <diagonal/>
    </border>
    <border>
      <left/>
      <right style="thin">
        <color theme="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pivotButton="1"/>
    <xf numFmtId="0" fontId="0" fillId="0" borderId="0" xfId="0" applyNumberFormat="1"/>
    <xf numFmtId="43" fontId="0" fillId="0" borderId="0" xfId="42" applyFont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3" fontId="0" fillId="0" borderId="0" xfId="42" applyFont="1" applyAlignment="1">
      <alignment horizontal="center" vertical="center"/>
    </xf>
    <xf numFmtId="0" fontId="0" fillId="35" borderId="0" xfId="0" applyNumberFormat="1" applyFill="1" applyAlignment="1">
      <alignment horizontal="center" vertic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34" borderId="0" xfId="0" applyFill="1" applyAlignment="1">
      <alignment horizontal="center"/>
    </xf>
    <xf numFmtId="0" fontId="16" fillId="33" borderId="15" xfId="0" applyFont="1" applyFill="1" applyBorder="1" applyAlignment="1">
      <alignment horizontal="center" vertical="center" wrapText="1"/>
    </xf>
    <xf numFmtId="0" fontId="16" fillId="33" borderId="15" xfId="0" applyFont="1" applyFill="1" applyBorder="1" applyAlignment="1">
      <alignment horizontal="center" vertical="center"/>
    </xf>
    <xf numFmtId="0" fontId="0" fillId="37" borderId="0" xfId="0" applyFill="1"/>
    <xf numFmtId="0" fontId="0" fillId="0" borderId="15" xfId="0" pivotButton="1" applyBorder="1" applyAlignment="1">
      <alignment horizontal="center"/>
    </xf>
    <xf numFmtId="0" fontId="0" fillId="0" borderId="15" xfId="0" pivotButton="1" applyBorder="1"/>
    <xf numFmtId="0" fontId="0" fillId="0" borderId="15" xfId="0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19" fillId="0" borderId="0" xfId="42" applyNumberFormat="1" applyFont="1" applyAlignment="1">
      <alignment horizontal="center" vertical="center"/>
    </xf>
    <xf numFmtId="43" fontId="20" fillId="39" borderId="0" xfId="42" applyFont="1" applyFill="1" applyAlignment="1">
      <alignment vertical="center"/>
    </xf>
    <xf numFmtId="0" fontId="21" fillId="39" borderId="0" xfId="42" applyNumberFormat="1" applyFont="1" applyFill="1" applyAlignment="1">
      <alignment horizontal="center" vertical="center"/>
    </xf>
    <xf numFmtId="0" fontId="0" fillId="36" borderId="10" xfId="0" applyNumberFormat="1" applyFill="1" applyBorder="1" applyAlignment="1">
      <alignment horizontal="center" wrapText="1"/>
    </xf>
    <xf numFmtId="43" fontId="0" fillId="0" borderId="15" xfId="0" applyNumberFormat="1" applyBorder="1" applyAlignment="1">
      <alignment horizontal="center"/>
    </xf>
    <xf numFmtId="43" fontId="0" fillId="0" borderId="0" xfId="0" applyNumberFormat="1" applyAlignment="1">
      <alignment horizontal="center"/>
    </xf>
    <xf numFmtId="0" fontId="0" fillId="35" borderId="0" xfId="0" applyFill="1"/>
    <xf numFmtId="0" fontId="0" fillId="0" borderId="16" xfId="0" pivotButton="1" applyBorder="1"/>
    <xf numFmtId="0" fontId="16" fillId="40" borderId="18" xfId="0" applyFont="1" applyFill="1" applyBorder="1" applyAlignment="1">
      <alignment horizontal="right" vertical="center"/>
    </xf>
    <xf numFmtId="0" fontId="16" fillId="40" borderId="17" xfId="0" applyNumberFormat="1" applyFont="1" applyFill="1" applyBorder="1" applyAlignment="1">
      <alignment horizontal="center" vertical="center"/>
    </xf>
    <xf numFmtId="43" fontId="16" fillId="40" borderId="17" xfId="42" applyFont="1" applyFill="1" applyBorder="1" applyAlignment="1">
      <alignment vertical="center"/>
    </xf>
    <xf numFmtId="0" fontId="0" fillId="41" borderId="0" xfId="0" applyFill="1"/>
    <xf numFmtId="3" fontId="0" fillId="0" borderId="0" xfId="0" applyNumberFormat="1"/>
    <xf numFmtId="164" fontId="0" fillId="4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2" borderId="0" xfId="0" applyFill="1"/>
    <xf numFmtId="164" fontId="0" fillId="35" borderId="0" xfId="0" applyNumberFormat="1" applyFill="1" applyAlignment="1">
      <alignment horizontal="center"/>
    </xf>
    <xf numFmtId="0" fontId="16" fillId="0" borderId="0" xfId="0" applyFont="1" applyAlignment="1">
      <alignment vertical="center"/>
    </xf>
    <xf numFmtId="164" fontId="0" fillId="0" borderId="12" xfId="0" applyNumberFormat="1" applyBorder="1" applyAlignment="1">
      <alignment wrapText="1"/>
    </xf>
    <xf numFmtId="0" fontId="0" fillId="0" borderId="0" xfId="0" quotePrefix="1"/>
    <xf numFmtId="0" fontId="22" fillId="0" borderId="0" xfId="0" applyFont="1" applyAlignment="1" applyProtection="1">
      <alignment horizontal="center" vertical="center"/>
      <protection locked="0"/>
    </xf>
    <xf numFmtId="43" fontId="0" fillId="41" borderId="0" xfId="42" applyFont="1" applyFill="1"/>
    <xf numFmtId="0" fontId="0" fillId="0" borderId="0" xfId="0" applyFill="1"/>
    <xf numFmtId="43" fontId="0" fillId="0" borderId="0" xfId="42" applyFont="1" applyFill="1"/>
    <xf numFmtId="0" fontId="16" fillId="42" borderId="0" xfId="0" applyFont="1" applyFill="1" applyAlignment="1">
      <alignment horizontal="center"/>
    </xf>
    <xf numFmtId="0" fontId="16" fillId="42" borderId="0" xfId="0" applyFont="1" applyFill="1" applyAlignment="1">
      <alignment horizontal="center" vertical="center"/>
    </xf>
    <xf numFmtId="164" fontId="0" fillId="36" borderId="0" xfId="0" applyNumberFormat="1" applyFill="1" applyAlignment="1">
      <alignment horizontal="center" wrapText="1"/>
    </xf>
    <xf numFmtId="164" fontId="16" fillId="33" borderId="15" xfId="0" applyNumberFormat="1" applyFont="1" applyFill="1" applyBorder="1" applyAlignment="1">
      <alignment horizontal="center" vertical="center"/>
    </xf>
    <xf numFmtId="164" fontId="19" fillId="0" borderId="0" xfId="42" applyNumberFormat="1" applyFont="1" applyAlignment="1">
      <alignment horizontal="center" vertical="center"/>
    </xf>
    <xf numFmtId="164" fontId="0" fillId="0" borderId="0" xfId="42" applyNumberFormat="1" applyFont="1" applyAlignment="1">
      <alignment horizontal="center"/>
    </xf>
    <xf numFmtId="164" fontId="0" fillId="41" borderId="0" xfId="42" applyNumberFormat="1" applyFont="1" applyFill="1" applyAlignment="1">
      <alignment horizontal="center"/>
    </xf>
    <xf numFmtId="0" fontId="16" fillId="0" borderId="0" xfId="0" applyFont="1"/>
    <xf numFmtId="0" fontId="16" fillId="0" borderId="1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64" fontId="16" fillId="0" borderId="10" xfId="0" applyNumberFormat="1" applyFont="1" applyBorder="1" applyAlignment="1">
      <alignment horizontal="center" vertical="center" wrapText="1"/>
    </xf>
    <xf numFmtId="164" fontId="16" fillId="0" borderId="1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16" fillId="0" borderId="19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23" fillId="0" borderId="0" xfId="0" applyFont="1" applyAlignment="1">
      <alignment vertical="center"/>
    </xf>
    <xf numFmtId="0" fontId="0" fillId="43" borderId="0" xfId="0" applyFill="1"/>
    <xf numFmtId="0" fontId="0" fillId="44" borderId="0" xfId="0" applyFill="1" applyAlignment="1">
      <alignment horizontal="center"/>
    </xf>
    <xf numFmtId="0" fontId="0" fillId="45" borderId="0" xfId="0" applyFill="1"/>
    <xf numFmtId="0" fontId="0" fillId="0" borderId="0" xfId="0" pivotButton="1" applyNumberFormat="1" applyAlignment="1">
      <alignment horizontal="center"/>
    </xf>
    <xf numFmtId="164" fontId="0" fillId="0" borderId="0" xfId="0" applyNumberFormat="1"/>
    <xf numFmtId="3" fontId="0" fillId="0" borderId="0" xfId="42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16" fillId="33" borderId="15" xfId="0" applyNumberFormat="1" applyFont="1" applyFill="1" applyBorder="1" applyAlignment="1">
      <alignment horizontal="center" vertical="center" wrapText="1"/>
    </xf>
    <xf numFmtId="3" fontId="0" fillId="0" borderId="0" xfId="0" pivotButton="1" applyNumberFormat="1" applyAlignment="1">
      <alignment horizontal="center" vertical="center"/>
    </xf>
    <xf numFmtId="3" fontId="0" fillId="35" borderId="0" xfId="0" applyNumberFormat="1" applyFill="1"/>
    <xf numFmtId="3" fontId="0" fillId="35" borderId="0" xfId="0" applyNumberFormat="1" applyFill="1" applyAlignment="1">
      <alignment horizontal="center" vertical="center"/>
    </xf>
    <xf numFmtId="0" fontId="0" fillId="0" borderId="20" xfId="0" applyBorder="1" applyAlignment="1" applyProtection="1">
      <alignment wrapText="1"/>
      <protection locked="0"/>
    </xf>
    <xf numFmtId="0" fontId="0" fillId="0" borderId="20" xfId="0" applyNumberFormat="1" applyBorder="1" applyAlignment="1" applyProtection="1">
      <alignment wrapText="1"/>
      <protection locked="0"/>
    </xf>
    <xf numFmtId="0" fontId="0" fillId="0" borderId="10" xfId="0" applyNumberFormat="1" applyBorder="1" applyAlignment="1" applyProtection="1">
      <alignment wrapText="1"/>
      <protection locked="0"/>
    </xf>
    <xf numFmtId="0" fontId="0" fillId="36" borderId="10" xfId="0" applyNumberFormat="1" applyFill="1" applyBorder="1" applyAlignment="1" applyProtection="1">
      <alignment horizontal="center" wrapText="1"/>
      <protection locked="0"/>
    </xf>
    <xf numFmtId="0" fontId="0" fillId="36" borderId="0" xfId="0" applyNumberFormat="1" applyFill="1" applyAlignment="1" applyProtection="1">
      <alignment horizontal="center" wrapText="1"/>
      <protection locked="0"/>
    </xf>
    <xf numFmtId="0" fontId="0" fillId="36" borderId="21" xfId="0" applyNumberFormat="1" applyFill="1" applyBorder="1" applyAlignment="1">
      <alignment wrapText="1"/>
    </xf>
    <xf numFmtId="0" fontId="0" fillId="0" borderId="0" xfId="0" applyNumberFormat="1" applyFill="1" applyAlignment="1">
      <alignment horizontal="center"/>
    </xf>
    <xf numFmtId="0" fontId="0" fillId="36" borderId="10" xfId="0" applyNumberFormat="1" applyFill="1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6">
    <dxf>
      <font>
        <color theme="0"/>
      </font>
    </dxf>
    <dxf>
      <numFmt numFmtId="164" formatCode="0000.000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0000.0000"/>
    </dxf>
    <dxf>
      <numFmt numFmtId="164" formatCode="0000.0000"/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numFmt numFmtId="35" formatCode="_(* #,##0.00_);_(* \(#,##0.00\);_(* &quot;-&quot;??_);_(@_)"/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border>
        <top style="double">
          <color indexed="64"/>
        </top>
        <bottom style="double">
          <color indexed="64"/>
        </bottom>
      </border>
    </dxf>
    <dxf>
      <numFmt numFmtId="35" formatCode="_(* #,##0.00_);_(* \(#,##0.00\);_(* &quot;-&quot;??_);_(@_)"/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4" tint="0.79998168889431442"/>
        </patternFill>
      </fill>
    </dxf>
    <dxf>
      <fill>
        <patternFill patternType="solid">
          <bgColor theme="0" tint="-4.9989318521683403E-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fill>
        <patternFill>
          <bgColor theme="4" tint="0.79998168889431442"/>
        </patternFill>
      </fill>
    </dxf>
    <dxf>
      <fill>
        <patternFill patternType="solid">
          <bgColor theme="0" tint="-4.9989318521683403E-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ill>
        <patternFill>
          <bgColor indexed="54"/>
        </patternFill>
      </fill>
    </dxf>
    <dxf>
      <fill>
        <patternFill>
          <bgColor indexed="10"/>
        </patternFill>
      </fill>
    </dxf>
    <dxf>
      <fill>
        <patternFill>
          <bgColor indexed="54"/>
        </patternFill>
      </fill>
    </dxf>
    <dxf>
      <fill>
        <patternFill>
          <bgColor indexed="54"/>
        </patternFill>
      </fill>
    </dxf>
    <dxf>
      <fill>
        <patternFill>
          <bgColor rgb="FF7030A0"/>
        </patternFill>
      </fill>
    </dxf>
    <dxf>
      <fill>
        <patternFill>
          <bgColor indexed="10"/>
        </patternFill>
      </fill>
    </dxf>
    <dxf>
      <fill>
        <patternFill>
          <bgColor indexed="16"/>
        </patternFill>
      </fill>
    </dxf>
    <dxf>
      <fill>
        <patternFill>
          <bgColor indexed="16"/>
        </patternFill>
      </fill>
    </dxf>
    <dxf>
      <fill>
        <patternFill>
          <bgColor indexed="1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6"/>
        </patternFill>
      </fill>
    </dxf>
    <dxf>
      <fill>
        <patternFill patternType="solid">
          <bgColor indexed="16"/>
        </patternFill>
      </fill>
    </dxf>
    <dxf>
      <fill>
        <patternFill patternType="solid">
          <bgColor indexed="16"/>
        </patternFill>
      </fill>
    </dxf>
    <dxf>
      <fill>
        <patternFill patternType="solid">
          <bgColor indexed="16"/>
        </patternFill>
      </fill>
    </dxf>
    <dxf>
      <alignment horizontal="center"/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none">
          <bgColor auto="1"/>
        </patternFill>
      </fill>
    </dxf>
    <dxf>
      <fill>
        <patternFill patternType="solid">
          <bgColor indexed="17"/>
        </patternFill>
      </fill>
    </dxf>
    <dxf>
      <fill>
        <patternFill patternType="solid">
          <bgColor indexed="17"/>
        </patternFill>
      </fill>
    </dxf>
    <dxf>
      <fill>
        <patternFill patternType="solid">
          <bgColor indexed="34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6"/>
        </patternFill>
      </fill>
    </dxf>
    <dxf>
      <fill>
        <patternFill patternType="solid">
          <bgColor indexed="39"/>
        </patternFill>
      </fill>
    </dxf>
    <dxf>
      <fill>
        <patternFill patternType="solid">
          <bgColor indexed="32"/>
        </patternFill>
      </fill>
    </dxf>
    <dxf>
      <fill>
        <patternFill patternType="solid">
          <bgColor indexed="3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7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29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27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alignment horizontal="center" readingOrder="0"/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2"/>
        </patternFill>
      </fill>
    </dxf>
    <dxf>
      <fill>
        <patternFill patternType="solid">
          <bgColor indexed="1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5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4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0000.0000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0000FF"/>
        </left>
        <right style="medium">
          <color rgb="FF0000FF"/>
        </right>
        <top style="medium">
          <color rgb="FF0000FF"/>
        </top>
        <bottom style="medium">
          <color rgb="FF0000FF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0</xdr:col>
          <xdr:colOff>847725</xdr:colOff>
          <xdr:row>0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Bell MT"/>
                </a:rPr>
                <a:t>Clear Data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1343025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Bell MT"/>
                </a:rPr>
                <a:t>Referesh &amp; Items Highlight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28575</xdr:rowOff>
        </xdr:from>
        <xdr:to>
          <xdr:col>2</xdr:col>
          <xdr:colOff>552450</xdr:colOff>
          <xdr:row>0</xdr:row>
          <xdr:rowOff>276225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Bell MT"/>
                </a:rPr>
                <a:t>Referesh &amp; Items Highlight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504825</xdr:colOff>
          <xdr:row>0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Bell MT"/>
                </a:rPr>
                <a:t>Referesh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504825</xdr:colOff>
          <xdr:row>0</xdr:row>
          <xdr:rowOff>276225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Bell MT"/>
                </a:rPr>
                <a:t>Referesh Data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0</xdr:col>
          <xdr:colOff>866775</xdr:colOff>
          <xdr:row>0</xdr:row>
          <xdr:rowOff>238125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56.534646643522" createdVersion="6" refreshedVersion="8" minRefreshableVersion="3" recordCount="15" xr:uid="{00000000-000A-0000-FFFF-FFFF16000000}">
  <cacheSource type="worksheet">
    <worksheetSource name="Table2"/>
  </cacheSource>
  <cacheFields count="26">
    <cacheField name="GRN#" numFmtId="0">
      <sharedItems containsBlank="1" count="5625">
        <s v="GR-6346/24"/>
        <s v="GR-6347/24"/>
        <s v="GR-6348/24"/>
        <s v="GR-6350/24"/>
        <s v="GR-6351/24"/>
        <s v="GR-6352/24"/>
        <s v="GR-2227/23" u="1"/>
        <s v="GR-3147/23" u="1"/>
        <s v="GR-3388/23" u="1"/>
        <s v="GR-4087/22" u="1"/>
        <m u="1"/>
        <s v="GR-1520/23" u="1"/>
        <s v="GR-2440/23" u="1"/>
        <s v="GR-2681/23" u="1"/>
        <s v="GR-1428/23" u="1"/>
        <s v="GR-1448/22" u="1"/>
        <s v="GR-1669/23" u="1"/>
        <s v="GR-1689/22" u="1"/>
        <s v="GR-2107/23" u="1"/>
        <s v="GR-2348/23" u="1"/>
        <s v="GR-2589/23" u="1"/>
        <s v="GR-3007/24" u="1"/>
        <s v="GR-3027/23" u="1"/>
        <s v="GR-4188/23" u="1"/>
        <s v="GR-1400/23" u="1"/>
        <s v="GR-1621/24" u="1"/>
        <s v="GR-2300/24" u="1"/>
        <s v="GR-2561/23" u="1"/>
        <s v="GR-3461/24" u="1"/>
        <s v="GR-3481/23" u="1"/>
        <s v="GR-4160/23" u="1"/>
        <s v="GR-4180/22" u="1"/>
        <s v="GR-5080/23" u="1"/>
        <s v="GR-1549/23" u="1"/>
        <s v="GR-2228/23" u="1"/>
        <s v="GR-2469/23" u="1"/>
        <s v="GR-3148/23" u="1"/>
        <s v="GR-3389/23" u="1"/>
        <s v="GR-4088/22" u="1"/>
        <s v="GR-1521/23" u="1"/>
        <s v="GR-2200/23" u="1"/>
        <s v="GR-2441/23" u="1"/>
        <s v="GR-2682/23" u="1"/>
        <s v="GR-3120/23" u="1"/>
        <s v="GR-3361/23" u="1"/>
        <s v="GR-5181/24" u="1"/>
        <s v="GR-1429/23" u="1"/>
        <s v="GR-1449/22" u="1"/>
        <s v="GR-2108/23" u="1"/>
        <s v="GR-2349/23" u="1"/>
        <s v="GR-3008/24" u="1"/>
        <s v="GR-3028/23" u="1"/>
        <s v="GR-3249/24" u="1"/>
        <s v="GR-4189/23" u="1"/>
        <s v="GR-1401/23" u="1"/>
        <s v="GR-1622/24" u="1"/>
        <s v="GR-1642/23" u="1"/>
        <s v="GR-2301/24" u="1"/>
        <s v="GR-2562/23" u="1"/>
        <s v="GR-3000/23" u="1"/>
        <s v="GR-3462/24" u="1"/>
        <s v="GR-4161/23" u="1"/>
        <s v="GR-4181/22" u="1"/>
        <s v="GR-5081/23" u="1"/>
        <s v="GR-1309/23" u="1"/>
        <s v="GR-2229/23" u="1"/>
        <s v="GR-3149/23" u="1"/>
        <s v="GR-4089/22" u="1"/>
        <s v="GR-138/24" u="1"/>
        <s v="GR-1522/23" u="1"/>
        <s v="GR-2201/23" u="1"/>
        <s v="GR-2442/23" u="1"/>
        <s v="GR-3121/23" u="1"/>
        <s v="GR-3362/23" u="1"/>
        <s v="GR-5182/24" u="1"/>
        <s v="GR-2109/23" u="1"/>
        <s v="GR-3009/24" u="1"/>
        <s v="GR-3029/23" u="1"/>
        <s v="GR-126/24" u="1"/>
        <s v="GR-1402/23" u="1"/>
        <s v="GR-1623/24" u="1"/>
        <s v="GR-1643/23" u="1"/>
        <s v="GR-2563/23" u="1"/>
        <s v="GR-3001/23" u="1"/>
        <s v="GR-3483/23" u="1"/>
        <s v="GR-4162/23" u="1"/>
        <s v="GR-4182/22" u="1"/>
        <s v="GR-5082/23" u="1"/>
        <s v="GR-1503/24" u="1"/>
        <s v="GR-1523/23" u="1"/>
        <s v="GR-2684/23" u="1"/>
        <s v="GR-3122/23" u="1"/>
        <s v="GR-5183/24" u="1"/>
        <s v="GR-1403/23" u="1"/>
        <s v="GR-1624/24" u="1"/>
        <s v="GR-1644/23" u="1"/>
        <s v="GR-1885/23" u="1"/>
        <s v="GR-2323/23" u="1"/>
        <s v="GR-2564/23" u="1"/>
        <s v="GR-3002/23" u="1"/>
        <s v="GR-3484/23" u="1"/>
        <s v="GR-4163/23" u="1"/>
        <s v="GR-4183/22" u="1"/>
        <s v="GR-5083/23" u="1"/>
        <s v="GR-1504/24" u="1"/>
        <s v="GR-1524/23" u="1"/>
        <s v="GR-2203/23" u="1"/>
        <s v="GR-3123/23" u="1"/>
        <s v="GR-3364/23" u="1"/>
        <s v="GR-4284/23" u="1"/>
        <s v="GR-1404/23" u="1"/>
        <s v="GR-1886/23" u="1"/>
        <s v="GR-2565/23" u="1"/>
        <s v="GR-3003/23" u="1"/>
        <s v="GR-3465/24" u="1"/>
        <s v="GR-3485/23" u="1"/>
        <s v="GR-4164/23" u="1"/>
        <s v="GR-4184/22" u="1"/>
        <s v="GR-1505/24" u="1"/>
        <s v="GR-2204/23" u="1"/>
        <s v="GR-2686/23" u="1"/>
        <s v="GR-3124/23" u="1"/>
        <s v="GR-3365/23" u="1"/>
        <s v="GR-4285/23" u="1"/>
        <s v="GR-1626/24" u="1"/>
        <s v="GR-2566/23" u="1"/>
        <s v="GR-3004/23" u="1"/>
        <s v="GR-3486/23" u="1"/>
        <s v="GR-4165/23" u="1"/>
        <s v="GR-4185/22" u="1"/>
        <s v="GR-5085/23" u="1"/>
        <s v="GR-1506/24" u="1"/>
        <s v="GR-2205/23" u="1"/>
        <s v="GR-3125/23" u="1"/>
        <s v="GR-3366/23" u="1"/>
        <s v="GR-4065/22" u="1"/>
        <s v="GR-4286/23" u="1"/>
        <s v="GR-1627/24" u="1"/>
        <s v="GR-1647/23" u="1"/>
        <s v="GR-2567/23" u="1"/>
        <s v="GR-3005/23" u="1"/>
        <s v="GR-3487/23" u="1"/>
        <s v="GR-4166/23" u="1"/>
        <s v="GR-4186/22" u="1"/>
        <s v="GR-5086/23" u="1"/>
        <s v="GR-1860/23" u="1"/>
        <s v="GR-2780/23" u="1"/>
        <s v="GR-1507/24" u="1"/>
        <s v="GR-2206/23" u="1"/>
        <s v="GR-3126/23" u="1"/>
        <s v="GR-3367/23" u="1"/>
        <s v="GR-4066/22" u="1"/>
        <s v="GR-1981/23" u="1"/>
        <s v="GR-2660/23" u="1"/>
        <s v="GR-1628/24" u="1"/>
        <s v="GR-2327/23" u="1"/>
        <s v="GR-2568/23" u="1"/>
        <s v="GR-3006/23" u="1"/>
        <s v="GR-3247/23" u="1"/>
        <s v="GR-3488/23" u="1"/>
        <s v="GR-4167/23" u="1"/>
        <s v="GR-4187/22" u="1"/>
        <s v="GR-5087/23" u="1"/>
        <s v="GR-1600/24" u="1"/>
        <s v="GR-1861/23" u="1"/>
        <s v="GR-2520/24" u="1"/>
        <s v="GR-2540/23" u="1"/>
        <s v="GR-3480/22" u="1"/>
        <s v="GR-4380/23" u="1"/>
        <s v="GR-1508/24" u="1"/>
        <s v="GR-1528/23" u="1"/>
        <s v="GR-1548/22" u="1"/>
        <s v="GR-1769/23" u="1"/>
        <s v="GR-2448/23" u="1"/>
        <s v="GR-3127/23" u="1"/>
        <s v="GR-3368/23" u="1"/>
        <s v="GR-4047/23" u="1"/>
        <s v="GR-4067/22" u="1"/>
        <s v="GR-1741/23" u="1"/>
        <s v="GR-1982/23" u="1"/>
        <s v="GR-2661/23" u="1"/>
        <s v="GR-3340/23" u="1"/>
        <s v="GR-3360/22" u="1"/>
        <s v="GR-4260/23" u="1"/>
        <s v="GR-2328/23" u="1"/>
        <s v="GR-2569/23" u="1"/>
        <s v="GR-3007/23" u="1"/>
        <s v="GR-3489/23" u="1"/>
        <s v="GR-4168/23" u="1"/>
        <s v="GR-4188/22" u="1"/>
        <s v="GR-5088/23" u="1"/>
        <s v="GR-1601/24" u="1"/>
        <s v="GR-1621/23" u="1"/>
        <s v="GR-1862/23" u="1"/>
        <s v="GR-2521/24" u="1"/>
        <s v="GR-2541/23" u="1"/>
        <s v="GR-2782/23" u="1"/>
        <s v="GR-3220/23" u="1"/>
        <s v="GR-3481/22" u="1"/>
        <s v="GR-4160/22" u="1"/>
        <s v="GR-4381/23" u="1"/>
        <s v="GR-5060/23" u="1"/>
        <s v="GR-1509/24" u="1"/>
        <s v="GR-1549/22" u="1"/>
        <s v="GR-2208/23" u="1"/>
        <s v="GR-3369/23" u="1"/>
        <s v="GR-4048/23" u="1"/>
        <s v="GR-4068/22" u="1"/>
        <s v="GR-1521/22" u="1"/>
        <s v="GR-1983/23" u="1"/>
        <s v="GR-3100/23" u="1"/>
        <s v="GR-3341/23" u="1"/>
        <s v="GR-3361/22" u="1"/>
        <s v="GR-4020/23" u="1"/>
        <s v="GR-4261/23" u="1"/>
        <s v="GR-1409/23" u="1"/>
        <s v="GR-2329/23" u="1"/>
        <s v="GR-3008/23" u="1"/>
        <s v="GR-4169/23" u="1"/>
        <s v="GR-4189/22" u="1"/>
        <s v="GR-1602/24" u="1"/>
        <s v="GR-1863/23" u="1"/>
        <s v="GR-2301/23" u="1"/>
        <s v="GR-2522/24" u="1"/>
        <s v="GR-2542/23" u="1"/>
        <s v="GR-2783/23" u="1"/>
        <s v="GR-3221/23" u="1"/>
        <s v="GR-3462/23" u="1"/>
        <s v="GR-3482/22" u="1"/>
        <s v="GR-4382/23" u="1"/>
        <s v="GR-5061/23" u="1"/>
        <s v="GR-2209/23" u="1"/>
        <s v="GR-3129/23" u="1"/>
        <s v="GR-4049/23" u="1"/>
        <s v="GR-4069/22" u="1"/>
        <s v="GR-1522/22" u="1"/>
        <s v="GR-1743/23" u="1"/>
        <s v="GR-1984/23" u="1"/>
        <s v="GR-2422/23" u="1"/>
        <s v="GR-2663/23" u="1"/>
        <s v="GR-3101/23" u="1"/>
        <s v="GR-3342/23" u="1"/>
        <s v="GR-3362/22" u="1"/>
        <s v="GR-4021/23" u="1"/>
        <s v="GR-4262/23" u="1"/>
        <s v="GR-124/24" u="1"/>
        <s v="GR-1603/24" u="1"/>
        <s v="GR-1864/23" u="1"/>
        <s v="GR-2302/23" u="1"/>
        <s v="GR-2543/23" u="1"/>
        <s v="GR-2784/23" u="1"/>
        <s v="GR-3222/23" u="1"/>
        <s v="GR-3483/22" u="1"/>
        <s v="GR-4162/22" u="1"/>
        <s v="GR-4383/23" u="1"/>
        <s v="GR-5062/23" u="1"/>
        <s v="GR-1523/22" u="1"/>
        <s v="GR-1744/23" u="1"/>
        <s v="GR-2423/23" u="1"/>
        <s v="GR-2664/23" u="1"/>
        <s v="GR-3343/23" u="1"/>
        <s v="GR-3363/22" u="1"/>
        <s v="GR-4022/23" u="1"/>
        <s v="GR-4263/23" u="1"/>
        <s v="GR-1604/24" u="1"/>
        <s v="GR-1865/23" u="1"/>
        <s v="GR-2303/23" u="1"/>
        <s v="GR-2524/24" u="1"/>
        <s v="GR-2544/23" u="1"/>
        <s v="GR-2785/23" u="1"/>
        <s v="GR-3223/23" u="1"/>
        <s v="GR-3484/22" u="1"/>
        <s v="GR-4163/22" u="1"/>
        <s v="GR-4384/23" u="1"/>
        <s v="GR-5063/23" u="1"/>
        <s v="GR-1524/22" u="1"/>
        <s v="GR-1745/23" u="1"/>
        <s v="GR-2424/23" u="1"/>
        <s v="GR-2665/23" u="1"/>
        <s v="GR-3103/23" u="1"/>
        <s v="GR-3344/23" u="1"/>
        <s v="GR-3364/22" u="1"/>
        <s v="GR-4023/23" u="1"/>
        <s v="GR-4264/23" u="1"/>
        <s v="GR-1605/24" u="1"/>
        <s v="GR-1625/23" u="1"/>
        <s v="GR-1866/23" u="1"/>
        <s v="GR-3204/24" u="1"/>
        <s v="GR-3224/23" u="1"/>
        <s v="GR-4144/23" u="1"/>
        <s v="GR-4164/22" u="1"/>
        <s v="GR-4385/23" u="1"/>
        <s v="GR-5064/23" u="1"/>
        <s v="GR-1505/23" u="1"/>
        <s v="GR-1525/22" u="1"/>
        <s v="GR-1746/23" u="1"/>
        <s v="GR-2425/23" u="1"/>
        <s v="GR-2666/23" u="1"/>
        <s v="GR-3104/23" u="1"/>
        <s v="GR-3345/23" u="1"/>
        <s v="GR-3365/22" u="1"/>
        <s v="GR-4024/23" u="1"/>
        <s v="GR-4265/23" u="1"/>
        <s v="GR-4285/22" u="1"/>
        <s v="GR-1606/24" u="1"/>
        <s v="GR-1867/23" u="1"/>
        <s v="GR-2546/23" u="1"/>
        <s v="GR-3225/23" u="1"/>
        <s v="GR-3446/24" u="1"/>
        <s v="GR-3486/22" u="1"/>
        <s v="GR-4145/23" u="1"/>
        <s v="GR-4386/23" u="1"/>
        <s v="GR-5065/23" u="1"/>
        <s v="GR-2980/24" u="1"/>
        <s v="GR-1506/23" u="1"/>
        <s v="GR-1526/22" u="1"/>
        <s v="GR-1747/23" u="1"/>
        <s v="GR-1988/23" u="1"/>
        <s v="GR-2426/23" u="1"/>
        <s v="GR-2667/23" u="1"/>
        <s v="GR-3346/23" u="1"/>
        <s v="GR-3366/22" u="1"/>
        <s v="GR-4025/23" u="1"/>
        <s v="GR-4286/22" u="1"/>
        <s v="GR-1960/23" u="1"/>
        <s v="GR-1607/24" u="1"/>
        <s v="GR-1868/23" u="1"/>
        <s v="GR-2306/23" u="1"/>
        <s v="GR-2547/23" u="1"/>
        <s v="GR-3226/23" u="1"/>
        <s v="GR-3447/24" u="1"/>
        <s v="GR-3487/22" u="1"/>
        <s v="GR-4146/23" u="1"/>
        <s v="GR-4166/22" u="1"/>
        <s v="GR-4387/23" u="1"/>
        <s v="GR-5066/23" u="1"/>
        <s v="GR-5086/22" u="1"/>
        <s v="GR-1840/23" u="1"/>
        <s v="GR-2760/23" u="1"/>
        <s v="GR-3680/23" u="1"/>
        <s v="GR-1527/22" u="1"/>
        <s v="GR-1989/23" u="1"/>
        <s v="GR-2427/23" u="1"/>
        <s v="GR-2668/23" u="1"/>
        <s v="GR-3106/23" u="1"/>
        <s v="GR-3347/23" u="1"/>
        <s v="GR-3367/22" u="1"/>
        <s v="GR-4267/23" u="1"/>
        <s v="GR-4287/22" u="1"/>
        <s v="GR-1961/23" u="1"/>
        <s v="GR-2640/23" u="1"/>
        <s v="GR-3560/23" u="1"/>
        <s v="GR-3580/22" u="1"/>
        <s v="GR-4480/23" u="1"/>
        <s v="GR-1869/23" u="1"/>
        <s v="GR-2307/23" u="1"/>
        <s v="GR-2548/23" u="1"/>
        <s v="GR-3227/23" u="1"/>
        <s v="GR-3448/24" u="1"/>
        <s v="GR-3488/22" u="1"/>
        <s v="GR-4147/23" u="1"/>
        <s v="GR-4167/22" u="1"/>
        <s v="GR-4388/23" u="1"/>
        <s v="GR-5067/23" u="1"/>
        <s v="GR-5087/22" u="1"/>
        <s v="GR-1600/23" u="1"/>
        <s v="GR-1841/23" u="1"/>
        <s v="GR-2500/24" u="1"/>
        <s v="GR-2520/23" u="1"/>
        <s v="GR-2761/23" u="1"/>
        <s v="GR-3460/22" u="1"/>
        <s v="GR-4380/22" u="1"/>
        <s v="GR-5280/23" u="1"/>
        <s v="GR-1528/22" u="1"/>
        <s v="GR-2428/23" u="1"/>
        <s v="GR-2649/24" u="1"/>
        <s v="GR-2669/23" u="1"/>
        <s v="GR-3107/23" u="1"/>
        <s v="GR-3348/23" u="1"/>
        <s v="GR-3368/22" u="1"/>
        <s v="GR-1721/23" u="1"/>
        <s v="GR-1962/23" u="1"/>
        <s v="GR-2641/23" u="1"/>
        <s v="GR-2882/23" u="1"/>
        <s v="GR-3320/23" u="1"/>
        <s v="GR-3561/23" u="1"/>
        <s v="GR-3581/22" u="1"/>
        <s v="GR-4481/23" u="1"/>
        <s v="GR-5160/23" u="1"/>
        <s v="GR-5180/22" u="1"/>
        <s v="GR-1609/24" u="1"/>
        <s v="GR-1629/23" u="1"/>
        <s v="GR-2308/23" u="1"/>
        <s v="GR-3228/23" u="1"/>
        <s v="GR-3449/24" u="1"/>
        <s v="GR-3489/22" u="1"/>
        <s v="GR-4148/23" u="1"/>
        <s v="GR-4168/22" u="1"/>
        <s v="GR-4389/23" u="1"/>
        <s v="GR-5068/23" u="1"/>
        <s v="GR-5088/22" u="1"/>
        <s v="GR-1601/23" u="1"/>
        <s v="GR-1842/23" u="1"/>
        <s v="GR-2501/24" u="1"/>
        <s v="GR-2521/23" u="1"/>
        <s v="GR-2762/23" u="1"/>
        <s v="GR-3461/22" u="1"/>
        <s v="GR-3682/23" u="1"/>
        <s v="GR-4140/22" u="1"/>
        <s v="GR-5040/23" u="1"/>
        <s v="GR-5060/22" u="1"/>
        <s v="GR-5281/23" u="1"/>
        <s v="GR-1529/22" u="1"/>
        <s v="GR-2429/23" u="1"/>
        <s v="GR-3108/23" u="1"/>
        <s v="GR-3349/23" u="1"/>
        <s v="GR-3369/22" u="1"/>
        <s v="GR-158/24" u="1"/>
        <s v="GR-1722/23" u="1"/>
        <s v="GR-1963/23" u="1"/>
        <s v="GR-3321/23" u="1"/>
        <s v="GR-3341/22" u="1"/>
        <s v="GR-3562/23" u="1"/>
        <s v="GR-3582/22" u="1"/>
        <s v="GR-4482/23" u="1"/>
        <s v="GR-5161/23" u="1"/>
        <s v="GR-2309/23" u="1"/>
        <s v="GR-3229/23" u="1"/>
        <s v="GR-4149/23" u="1"/>
        <s v="GR-4169/22" u="1"/>
        <s v="GR-5069/23" u="1"/>
        <s v="GR-5089/22" u="1"/>
        <s v="GR-146/24" u="1"/>
        <s v="GR-1602/23" u="1"/>
        <s v="GR-1843/23" u="1"/>
        <s v="GR-2502/24" u="1"/>
        <s v="GR-2522/23" u="1"/>
        <s v="GR-2763/23" u="1"/>
        <s v="GR-3201/23" u="1"/>
        <s v="GR-3422/24" u="1"/>
        <s v="GR-3462/22" u="1"/>
        <s v="GR-3683/23" u="1"/>
        <s v="GR-4141/22" u="1"/>
        <s v="GR-5041/23" u="1"/>
        <s v="GR-5061/22" u="1"/>
        <s v="GR-5282/23" u="1"/>
        <s v="GR-3109/23" u="1"/>
        <s v="GR-318/24" u="1"/>
        <s v="GR-1723/23" u="1"/>
        <s v="GR-1964/23" u="1"/>
        <s v="GR-3322/23" u="1"/>
        <s v="GR-3342/22" u="1"/>
        <s v="GR-3563/23" u="1"/>
        <s v="GR-3583/22" u="1"/>
        <s v="GR-4021/22" u="1"/>
        <s v="GR-4262/22" u="1"/>
        <s v="GR-4483/23" u="1"/>
        <s v="GR-5162/23" u="1"/>
        <s v="GR-122/24" u="1"/>
        <s v="GR-214/24" u="1"/>
        <s v="GR-1603/23" u="1"/>
        <s v="GR-1844/23" u="1"/>
        <s v="GR-2503/24" u="1"/>
        <s v="GR-2523/23" u="1"/>
        <s v="GR-2764/23" u="1"/>
        <s v="GR-3202/23" u="1"/>
        <s v="GR-3463/22" u="1"/>
        <s v="GR-4142/22" u="1"/>
        <s v="GR-4363/23" u="1"/>
        <s v="GR-5042/23" u="1"/>
        <s v="GR-5062/22" u="1"/>
        <s v="GR-110/24" u="1"/>
        <s v="GR-1965/23" u="1"/>
        <s v="GR-3323/23" u="1"/>
        <s v="GR-3564/23" u="1"/>
        <s v="GR-3584/22" u="1"/>
        <s v="GR-5163/23" u="1"/>
        <s v="GR-1604/23" u="1"/>
        <s v="GR-1845/23" u="1"/>
        <s v="GR-2504/24" u="1"/>
        <s v="GR-2524/23" u="1"/>
        <s v="GR-2765/23" u="1"/>
        <s v="GR-3464/22" u="1"/>
        <s v="GR-4143/22" u="1"/>
        <s v="GR-4364/23" u="1"/>
        <s v="GR-4384/22" u="1"/>
        <s v="GR-5043/23" u="1"/>
        <s v="GR-1966/23" u="1"/>
        <s v="GR-2645/23" u="1"/>
        <s v="GR-3324/23" u="1"/>
        <s v="GR-3565/23" u="1"/>
        <s v="GR-4264/22" u="1"/>
        <s v="GR-4485/23" u="1"/>
        <s v="GR-5164/23" u="1"/>
        <s v="GR-6084/23" u="1"/>
        <s v="GR-1605/23" u="1"/>
        <s v="GR-1846/23" u="1"/>
        <s v="GR-2525/23" u="1"/>
        <s v="GR-2766/23" u="1"/>
        <s v="GR-4144/22" u="1"/>
        <s v="GR-4365/23" u="1"/>
        <s v="GR-5044/23" u="1"/>
        <s v="GR-5285/23" u="1"/>
        <s v="GR-1967/23" u="1"/>
        <s v="GR-2405/23" u="1"/>
        <s v="GR-2646/23" u="1"/>
        <s v="GR-2887/23" u="1"/>
        <s v="GR-3325/23" u="1"/>
        <s v="GR-3566/23" u="1"/>
        <s v="GR-3586/22" u="1"/>
        <s v="GR-4004/23" u="1"/>
        <s v="GR-4486/23" u="1"/>
        <s v="GR-5165/23" u="1"/>
        <s v="GR-6085/23" u="1"/>
        <s v="GR-1606/23" u="1"/>
        <s v="GR-2526/23" u="1"/>
        <s v="GR-2767/23" u="1"/>
        <s v="GR-4145/22" u="1"/>
        <s v="GR-4366/23" u="1"/>
        <s v="GR-4386/22" u="1"/>
        <s v="GR-5045/23" u="1"/>
        <s v="GR-5286/23" u="1"/>
        <s v="GR-2980/23" u="1"/>
        <s v="GR-3880/24" u="1"/>
        <s v="GR-1968/23" u="1"/>
        <s v="GR-2406/23" u="1"/>
        <s v="GR-2647/23" u="1"/>
        <s v="GR-2888/23" u="1"/>
        <s v="GR-3326/23" u="1"/>
        <s v="GR-3346/22" u="1"/>
        <s v="GR-3567/23" u="1"/>
        <s v="GR-3587/22" u="1"/>
        <s v="GR-4005/23" u="1"/>
        <s v="GR-4246/23" u="1"/>
        <s v="GR-4266/22" u="1"/>
        <s v="GR-4487/23" u="1"/>
        <s v="GR-5166/23" u="1"/>
        <s v="GR-5186/22" u="1"/>
        <s v="GR-6086/23" u="1"/>
        <s v="GR-1940/23" u="1"/>
        <s v="GR-2860/23" u="1"/>
        <s v="GR-3780/23" u="1"/>
        <s v="GR-1607/23" u="1"/>
        <s v="GR-1848/23" u="1"/>
        <s v="GR-2507/24" u="1"/>
        <s v="GR-2527/23" u="1"/>
        <s v="GR-2768/23" u="1"/>
        <s v="GR-3427/24" u="1"/>
        <s v="GR-4146/22" u="1"/>
        <s v="GR-4367/23" u="1"/>
        <s v="GR-4387/22" u="1"/>
        <s v="GR-5046/23" u="1"/>
        <s v="GR-5287/23" u="1"/>
        <s v="GR-1820/23" u="1"/>
        <s v="GR-2740/23" u="1"/>
        <s v="GR-2981/23" u="1"/>
        <s v="GR-3881/24" u="1"/>
        <s v="GR-1728/23" u="1"/>
        <s v="GR-1969/23" u="1"/>
        <s v="GR-2407/23" u="1"/>
        <s v="GR-2648/23" u="1"/>
        <s v="GR-3568/23" u="1"/>
        <s v="GR-3588/22" u="1"/>
        <s v="GR-4247/23" u="1"/>
        <s v="GR-4488/23" u="1"/>
        <s v="GR-5167/23" u="1"/>
        <s v="GR-5187/22" u="1"/>
        <s v="GR-6087/23" u="1"/>
        <s v="GR-1700/23" u="1"/>
        <s v="GR-2620/23" u="1"/>
        <s v="GR-2861/23" u="1"/>
        <s v="GR-3540/23" u="1"/>
        <s v="GR-3560/22" u="1"/>
        <s v="GR-3781/23" u="1"/>
        <s v="GR-5380/23" u="1"/>
        <s v="GR-1608/23" u="1"/>
        <s v="GR-2508/24" u="1"/>
        <s v="GR-2528/23" u="1"/>
        <s v="GR-2769/23" u="1"/>
        <s v="GR-3207/23" u="1"/>
        <s v="GR-3428/24" u="1"/>
        <s v="GR-3448/23" u="1"/>
        <s v="GR-4147/22" u="1"/>
        <s v="GR-4368/23" u="1"/>
        <s v="GR-4388/22" u="1"/>
        <s v="GR-5047/23" u="1"/>
        <s v="GR-5288/23" u="1"/>
        <s v="GR-1821/23" u="1"/>
        <s v="GR-2741/23" u="1"/>
        <s v="GR-2982/23" u="1"/>
        <s v="GR-3420/23" u="1"/>
        <s v="GR-3661/23" u="1"/>
        <s v="GR-3681/22" u="1"/>
        <s v="GR-4340/23" u="1"/>
        <s v="GR-4360/22" u="1"/>
        <s v="GR-5240/24" u="1"/>
        <s v="GR-5260/23" u="1"/>
        <s v="GR-5280/22" u="1"/>
        <s v="GR-1729/23" u="1"/>
        <s v="GR-2408/23" u="1"/>
        <s v="GR-2649/23" u="1"/>
        <s v="GR-3328/23" u="1"/>
        <s v="GR-3348/22" u="1"/>
        <s v="GR-3589/22" u="1"/>
        <s v="GR-4007/23" u="1"/>
        <s v="GR-4248/23" u="1"/>
        <s v="GR-4489/23" u="1"/>
        <s v="GR-5168/23" u="1"/>
        <s v="GR-5188/22" u="1"/>
        <s v="GR-6088/23" u="1"/>
        <s v="GR-1701/23" u="1"/>
        <s v="GR-2882/22" u="1"/>
        <s v="GR-3300/23" u="1"/>
        <s v="GR-3541/23" u="1"/>
        <s v="GR-3561/22" u="1"/>
        <s v="GR-3782/23" u="1"/>
        <s v="GR-4220/23" u="1"/>
        <s v="GR-5140/23" u="1"/>
        <s v="GR-5160/22" u="1"/>
        <s v="GR-5381/23" u="1"/>
        <s v="GR-1609/23" u="1"/>
        <s v="GR-2509/24" u="1"/>
        <s v="GR-3208/23" u="1"/>
        <s v="GR-3429/24" u="1"/>
        <s v="GR-3449/23" u="1"/>
        <s v="GR-4148/22" u="1"/>
        <s v="GR-4369/23" u="1"/>
        <s v="GR-4389/22" u="1"/>
        <s v="GR-5048/23" u="1"/>
        <s v="GR-1822/23" u="1"/>
        <s v="GR-2501/23" u="1"/>
        <s v="GR-2983/23" u="1"/>
        <s v="GR-3421/23" u="1"/>
        <s v="GR-3662/23" u="1"/>
        <s v="GR-4120/22" u="1"/>
        <s v="GR-4341/23" u="1"/>
        <s v="GR-4361/22" u="1"/>
        <s v="GR-5020/23" u="1"/>
        <s v="GR-5040/22" u="1"/>
        <s v="GR-5241/24" u="1"/>
        <s v="GR-5261/23" u="1"/>
        <s v="GR-5281/22" u="1"/>
        <s v="GR-2409/23" u="1"/>
        <s v="GR-3349/22" u="1"/>
        <s v="GR-4008/23" u="1"/>
        <s v="GR-4249/23" u="1"/>
        <s v="GR-5169/23" u="1"/>
        <s v="GR-5189/22" u="1"/>
        <s v="GR-6089/23" u="1"/>
        <s v="GR-156/24" u="1"/>
        <s v="GR-248/24" u="1"/>
        <s v="GR-1943/23" u="1"/>
        <s v="GR-2642/22" u="1"/>
        <s v="GR-3562/22" u="1"/>
        <s v="GR-3783/23" u="1"/>
        <s v="GR-4221/23" u="1"/>
        <s v="GR-4462/23" u="1"/>
        <s v="GR-5161/22" u="1"/>
        <s v="GR-5382/23" u="1"/>
        <s v="GR-3209/23" u="1"/>
        <s v="GR-4149/22" u="1"/>
        <s v="GR-5049/23" u="1"/>
        <s v="GR-144/24" u="1"/>
        <s v="GR-1823/23" u="1"/>
        <s v="GR-2984/23" u="1"/>
        <s v="GR-3422/23" u="1"/>
        <s v="GR-4101/23" u="1"/>
        <s v="GR-4121/22" u="1"/>
        <s v="GR-4342/23" u="1"/>
        <s v="GR-4362/22" u="1"/>
        <s v="GR-5021/23" u="1"/>
        <s v="GR-5282/22" u="1"/>
        <s v="GR-132/24" u="1"/>
        <s v="GR-316/24" u="1"/>
        <s v="GR-1703/23" u="1"/>
        <s v="GR-2623/23" u="1"/>
        <s v="GR-2643/22" u="1"/>
        <s v="GR-3543/23" u="1"/>
        <s v="GR-3563/22" u="1"/>
        <s v="GR-3784/23" u="1"/>
        <s v="GR-4222/23" u="1"/>
        <s v="GR-4463/23" u="1"/>
        <s v="GR-5142/23" u="1"/>
        <s v="GR-5162/22" u="1"/>
        <s v="GR-5383/23" u="1"/>
        <s v="GR-120/24" u="1"/>
        <s v="GR-1824/23" u="1"/>
        <s v="GR-2503/23" u="1"/>
        <s v="GR-2744/23" u="1"/>
        <s v="GR-2985/23" u="1"/>
        <s v="GR-3423/23" u="1"/>
        <s v="GR-4122/22" u="1"/>
        <s v="GR-4343/23" u="1"/>
        <s v="GR-4363/22" u="1"/>
        <s v="GR-5022/23" u="1"/>
        <s v="GR-5263/23" u="1"/>
        <s v="GR-5283/22" u="1"/>
        <s v="GR-1704/23" u="1"/>
        <s v="GR-2624/23" u="1"/>
        <s v="GR-2644/22" u="1"/>
        <s v="GR-3544/23" u="1"/>
        <s v="GR-3564/22" u="1"/>
        <s v="GR-3785/23" u="1"/>
        <s v="GR-4223/23" u="1"/>
        <s v="GR-4464/23" u="1"/>
        <s v="GR-5143/23" u="1"/>
        <s v="GR-5163/22" u="1"/>
        <s v="GR-5384/23" u="1"/>
        <s v="GR-1825/23" u="1"/>
        <s v="GR-2504/23" u="1"/>
        <s v="GR-2745/23" u="1"/>
        <s v="GR-2986/23" u="1"/>
        <s v="GR-3424/23" u="1"/>
        <s v="GR-4123/22" u="1"/>
        <s v="GR-4364/22" u="1"/>
        <s v="GR-5023/23" u="1"/>
        <s v="GR-5264/23" u="1"/>
        <s v="GR-5284/22" u="1"/>
        <s v="GR-1705/23" u="1"/>
        <s v="GR-2625/23" u="1"/>
        <s v="GR-2645/22" u="1"/>
        <s v="GR-3304/23" u="1"/>
        <s v="GR-3525/24" u="1"/>
        <s v="GR-3565/22" u="1"/>
        <s v="GR-3786/23" u="1"/>
        <s v="GR-4224/23" u="1"/>
        <s v="GR-4465/23" u="1"/>
        <s v="GR-5144/23" u="1"/>
        <s v="GR-5164/22" u="1"/>
        <s v="GR-5385/23" u="1"/>
        <s v="GR-1826/23" u="1"/>
        <s v="GR-2505/23" u="1"/>
        <s v="GR-2746/23" u="1"/>
        <s v="GR-2987/23" u="1"/>
        <s v="GR-4124/22" u="1"/>
        <s v="GR-4345/23" u="1"/>
        <s v="GR-4365/22" u="1"/>
        <s v="GR-5024/23" u="1"/>
        <s v="GR-5044/22" u="1"/>
        <s v="GR-5265/23" u="1"/>
        <s v="GR-5285/22" u="1"/>
        <s v="GR-1706/23" u="1"/>
        <s v="GR-2626/23" u="1"/>
        <s v="GR-3305/23" u="1"/>
        <s v="GR-3526/24" u="1"/>
        <s v="GR-3566/22" u="1"/>
        <s v="GR-3787/23" u="1"/>
        <s v="GR-4225/23" u="1"/>
        <s v="GR-4466/23" u="1"/>
        <s v="GR-5145/23" u="1"/>
        <s v="GR-5165/22" u="1"/>
        <s v="GR-1827/23" u="1"/>
        <s v="GR-2506/23" u="1"/>
        <s v="GR-2747/23" u="1"/>
        <s v="GR-2767/22" u="1"/>
        <s v="GR-2988/23" u="1"/>
        <s v="GR-4125/22" u="1"/>
        <s v="GR-4346/23" u="1"/>
        <s v="GR-4366/22" u="1"/>
        <s v="GR-5025/23" u="1"/>
        <s v="GR-5045/22" u="1"/>
        <s v="GR-5286/22" u="1"/>
        <s v="GR-3860/24" u="1"/>
        <s v="GR-4780/24" u="1"/>
        <s v="GR-1707/23" u="1"/>
        <s v="GR-2627/23" u="1"/>
        <s v="GR-2647/22" u="1"/>
        <s v="GR-3527/24" u="1"/>
        <s v="GR-3788/23" u="1"/>
        <s v="GR-4226/23" u="1"/>
        <s v="GR-4467/23" u="1"/>
        <s v="GR-5146/23" u="1"/>
        <s v="GR-5166/22" u="1"/>
        <s v="GR-5387/23" u="1"/>
        <s v="GR-2860/22" u="1"/>
        <s v="GR-3760/23" u="1"/>
        <s v="GR-3780/22" u="1"/>
        <s v="GR-4680/23" u="1"/>
        <s v="GR-1828/23" u="1"/>
        <s v="GR-2507/23" u="1"/>
        <s v="GR-2748/23" u="1"/>
        <s v="GR-2768/22" u="1"/>
        <s v="GR-2989/23" u="1"/>
        <s v="GR-3427/23" u="1"/>
        <s v="GR-3668/23" u="1"/>
        <s v="GR-4126/22" u="1"/>
        <s v="GR-4347/23" u="1"/>
        <s v="GR-4367/22" u="1"/>
        <s v="GR-5026/23" u="1"/>
        <s v="GR-5046/22" u="1"/>
        <s v="GR-5267/23" u="1"/>
        <s v="GR-5287/22" u="1"/>
        <s v="GR-1800/23" u="1"/>
        <s v="GR-2740/22" u="1"/>
        <s v="GR-2961/23" u="1"/>
        <s v="GR-3640/23" u="1"/>
        <s v="GR-3861/24" u="1"/>
        <s v="GR-4560/23" u="1"/>
        <s v="GR-4781/24" u="1"/>
        <s v="GR-1708/23" u="1"/>
        <s v="GR-2628/23" u="1"/>
        <s v="GR-2648/22" u="1"/>
        <s v="GR-3307/23" u="1"/>
        <s v="GR-3789/23" u="1"/>
        <s v="GR-4006/22" u="1"/>
        <s v="GR-4468/23" u="1"/>
        <s v="GR-5147/23" u="1"/>
        <s v="GR-5167/22" u="1"/>
        <s v="GR-5388/23" u="1"/>
        <s v="GR-6067/23" u="1"/>
        <s v="GR-2600/23" u="1"/>
        <s v="GR-3500/24" u="1"/>
        <s v="GR-3761/23" u="1"/>
        <s v="GR-3781/22" u="1"/>
        <s v="GR-4460/22" u="1"/>
        <s v="GR-5360/23" u="1"/>
        <s v="GR-5380/22" u="1"/>
        <s v="GR-2508/23" u="1"/>
        <s v="GR-2749/23" u="1"/>
        <s v="GR-2769/22" u="1"/>
        <s v="GR-3669/23" u="1"/>
        <s v="GR-4127/22" u="1"/>
        <s v="GR-4348/23" u="1"/>
        <s v="GR-4368/22" u="1"/>
        <s v="GR-5027/23" u="1"/>
        <s v="GR-5047/22" u="1"/>
        <s v="GR-5268/23" u="1"/>
        <s v="GR-5288/22" u="1"/>
        <s v="GR-1801/23" u="1"/>
        <s v="GR-2962/23" u="1"/>
        <s v="GR-3400/23" u="1"/>
        <s v="GR-3641/23" u="1"/>
        <s v="GR-3862/24" u="1"/>
        <s v="GR-4320/23" u="1"/>
        <s v="GR-4340/22" u="1"/>
        <s v="GR-4561/23" u="1"/>
        <s v="GR-4782/24" u="1"/>
        <s v="GR-5240/23" u="1"/>
        <s v="GR-5260/22" u="1"/>
        <s v="GR-6160/23" u="1"/>
        <s v="GR-1709/23" u="1"/>
        <s v="GR-3308/23" u="1"/>
        <s v="GR-3569/22" u="1"/>
        <s v="GR-4007/22" u="1"/>
        <s v="GR-5148/23" u="1"/>
        <s v="GR-5168/22" u="1"/>
        <s v="GR-5389/23" u="1"/>
        <s v="GR-6068/23" u="1"/>
        <s v="GR-1701/22" u="1"/>
        <s v="GR-1922/23" u="1"/>
        <s v="GR-2862/22" u="1"/>
        <s v="GR-3501/24" u="1"/>
        <s v="GR-3782/22" u="1"/>
        <s v="GR-4200/23" u="1"/>
        <s v="GR-4461/22" u="1"/>
        <s v="GR-4682/23" u="1"/>
        <s v="GR-5120/23" u="1"/>
        <s v="GR-5361/23" u="1"/>
        <s v="GR-5381/22" u="1"/>
        <s v="GR-6040/23" u="1"/>
        <s v="GR-2509/23" u="1"/>
        <s v="GR-3429/23" u="1"/>
        <s v="GR-4128/22" u="1"/>
        <s v="GR-4349/23" u="1"/>
        <s v="GR-4369/22" u="1"/>
        <s v="GR-5028/23" u="1"/>
        <s v="GR-5048/22" u="1"/>
        <s v="GR-5269/23" u="1"/>
        <s v="GR-5289/22" u="1"/>
        <s v="GR-166/24" u="1"/>
        <s v="GR-1802/23" u="1"/>
        <s v="GR-2722/23" u="1"/>
        <s v="GR-2963/23" u="1"/>
        <s v="GR-3401/23" u="1"/>
        <s v="GR-3642/23" u="1"/>
        <s v="GR-3863/24" u="1"/>
        <s v="GR-3883/23" u="1"/>
        <s v="GR-4321/23" u="1"/>
        <s v="GR-4341/22" u="1"/>
        <s v="GR-4562/23" u="1"/>
        <s v="GR-4783/24" u="1"/>
        <s v="GR-5000/23" u="1"/>
        <s v="GR-5020/22" u="1"/>
        <s v="GR-5241/23" u="1"/>
        <s v="GR-5261/22" u="1"/>
        <s v="GR-6161/23" u="1"/>
        <s v="GR-3309/23" u="1"/>
        <s v="GR-4008/22" u="1"/>
        <s v="GR-5149/23" u="1"/>
        <s v="GR-5169/22" u="1"/>
        <s v="GR-6069/23" u="1"/>
        <s v="GR-154/24" u="1"/>
        <s v="GR-3502/24" u="1"/>
        <s v="GR-3763/23" u="1"/>
        <s v="GR-3783/22" u="1"/>
        <s v="GR-4201/23" u="1"/>
        <s v="GR-4462/22" u="1"/>
        <s v="GR-4683/23" u="1"/>
        <s v="GR-5362/23" u="1"/>
        <s v="GR-5382/22" u="1"/>
        <s v="GR-6041/23" u="1"/>
        <s v="GR-4129/22" u="1"/>
        <s v="GR-5029/23" u="1"/>
        <s v="GR-142/24" u="1"/>
        <s v="GR-418/24" u="1"/>
        <s v="GR-1803/23" u="1"/>
        <s v="GR-2723/23" u="1"/>
        <s v="GR-3402/23" u="1"/>
        <s v="GR-3643/23" u="1"/>
        <s v="GR-3663/22" u="1"/>
        <s v="GR-3864/24" u="1"/>
        <s v="GR-3884/23" u="1"/>
        <s v="GR-4322/23" u="1"/>
        <s v="GR-4342/22" u="1"/>
        <s v="GR-4563/23" u="1"/>
        <s v="GR-4784/24" u="1"/>
        <s v="GR-5001/23" u="1"/>
        <s v="GR-5021/22" u="1"/>
        <s v="GR-5242/23" u="1"/>
        <s v="GR-5262/22" u="1"/>
        <s v="GR-6162/23" u="1"/>
        <s v="GR-4009/22" u="1"/>
        <s v="GR-130/24" u="1"/>
        <s v="GR-314/24" u="1"/>
        <s v="GR-406/24" u="1"/>
        <s v="GR-2864/22" u="1"/>
        <s v="GR-3503/24" u="1"/>
        <s v="GR-3523/23" u="1"/>
        <s v="GR-3764/23" u="1"/>
        <s v="GR-4202/23" u="1"/>
        <s v="GR-4684/23" u="1"/>
        <s v="GR-5363/23" u="1"/>
        <s v="GR-5383/22" u="1"/>
        <s v="GR-6042/23" u="1"/>
        <s v="GR-302/24" u="1"/>
        <s v="GR-1804/23" u="1"/>
        <s v="GR-2724/23" u="1"/>
        <s v="GR-3403/23" u="1"/>
        <s v="GR-3644/23" u="1"/>
        <s v="GR-3865/24" u="1"/>
        <s v="GR-3885/23" u="1"/>
        <s v="GR-4323/23" u="1"/>
        <s v="GR-4343/22" u="1"/>
        <s v="GR-4564/23" u="1"/>
        <s v="GR-4785/24" u="1"/>
        <s v="GR-5002/23" u="1"/>
        <s v="GR-5022/22" u="1"/>
        <s v="GR-5243/23" u="1"/>
        <s v="GR-5263/22" u="1"/>
        <s v="GR-6163/23" u="1"/>
        <s v="GR-3504/24" u="1"/>
        <s v="GR-3524/23" u="1"/>
        <s v="GR-3765/23" u="1"/>
        <s v="GR-4203/23" u="1"/>
        <s v="GR-4685/23" u="1"/>
        <s v="GR-5364/23" u="1"/>
        <s v="GR-5384/22" u="1"/>
        <s v="GR-6043/23" u="1"/>
        <s v="GR-1805/23" u="1"/>
        <s v="GR-2725/23" u="1"/>
        <s v="GR-2966/23" u="1"/>
        <s v="GR-3404/23" u="1"/>
        <s v="GR-3424/22" u="1"/>
        <s v="GR-3645/23" u="1"/>
        <s v="GR-3886/23" u="1"/>
        <s v="GR-4344/22" u="1"/>
        <s v="GR-4565/23" u="1"/>
        <s v="GR-4786/24" u="1"/>
        <s v="GR-5003/23" u="1"/>
        <s v="GR-5023/22" u="1"/>
        <s v="GR-5244/23" u="1"/>
        <s v="GR-6164/23" u="1"/>
        <s v="GR-2846/23" u="1"/>
        <s v="GR-3505/24" u="1"/>
        <s v="GR-3525/23" u="1"/>
        <s v="GR-3766/23" u="1"/>
        <s v="GR-4204/23" u="1"/>
        <s v="GR-4686/23" u="1"/>
        <s v="GR-5124/23" u="1"/>
        <s v="GR-5365/23" u="1"/>
        <s v="GR-5385/22" u="1"/>
        <s v="GR-1806/23" u="1"/>
        <s v="GR-2726/23" u="1"/>
        <s v="GR-2967/23" u="1"/>
        <s v="GR-3405/23" u="1"/>
        <s v="GR-3425/22" u="1"/>
        <s v="GR-4345/22" u="1"/>
        <s v="GR-4566/23" u="1"/>
        <s v="GR-4787/24" u="1"/>
        <s v="GR-5024/22" u="1"/>
        <s v="GR-5245/23" u="1"/>
        <s v="GR-5265/22" u="1"/>
        <s v="GR-5486/23" u="1"/>
        <s v="GR-2847/23" u="1"/>
        <s v="GR-3506/24" u="1"/>
        <s v="GR-3526/23" u="1"/>
        <s v="GR-3767/23" u="1"/>
        <s v="GR-4205/23" u="1"/>
        <s v="GR-4687/23" u="1"/>
        <s v="GR-5125/23" u="1"/>
        <s v="GR-5366/23" u="1"/>
        <s v="GR-5386/22" u="1"/>
        <s v="GR-1807/23" u="1"/>
        <s v="GR-2727/23" u="1"/>
        <s v="GR-2968/23" u="1"/>
        <s v="GR-3406/23" u="1"/>
        <s v="GR-3426/22" u="1"/>
        <s v="GR-3667/22" u="1"/>
        <s v="GR-3888/23" u="1"/>
        <s v="GR-4567/23" u="1"/>
        <s v="GR-4788/24" u="1"/>
        <s v="GR-5005/23" u="1"/>
        <s v="GR-5025/22" u="1"/>
        <s v="GR-5226/24" u="1"/>
        <s v="GR-5246/23" u="1"/>
        <s v="GR-5266/22" u="1"/>
        <s v="GR-5487/23" u="1"/>
        <s v="GR-2940/23" u="1"/>
        <s v="GR-2960/22" u="1"/>
        <s v="GR-3860/23" u="1"/>
        <s v="GR-3880/22" u="1"/>
        <s v="GR-4780/23" u="1"/>
        <s v="GR-2848/23" u="1"/>
        <s v="GR-3507/24" u="1"/>
        <s v="GR-3527/23" u="1"/>
        <s v="GR-3768/23" u="1"/>
        <s v="GR-4688/23" u="1"/>
        <s v="GR-5126/23" u="1"/>
        <s v="GR-5367/23" u="1"/>
        <s v="GR-5387/22" u="1"/>
        <s v="GR-6046/23" u="1"/>
        <s v="GR-3981/23" u="1"/>
        <s v="GR-2728/23" u="1"/>
        <s v="GR-2969/23" u="1"/>
        <s v="GR-3648/23" u="1"/>
        <s v="GR-3889/23" u="1"/>
        <s v="GR-4568/23" u="1"/>
        <s v="GR-4789/24" u="1"/>
        <s v="GR-5006/23" u="1"/>
        <s v="GR-5026/22" u="1"/>
        <s v="GR-5247/23" u="1"/>
        <s v="GR-5267/22" u="1"/>
        <s v="GR-2700/23" u="1"/>
        <s v="GR-2941/23" u="1"/>
        <s v="GR-2961/22" u="1"/>
        <s v="GR-3861/23" u="1"/>
        <s v="GR-3881/22" u="1"/>
        <s v="GR-4781/23" u="1"/>
        <s v="GR-2849/23" u="1"/>
        <s v="GR-3528/23" u="1"/>
        <s v="GR-3548/22" u="1"/>
        <s v="GR-3769/23" u="1"/>
        <s v="GR-4689/23" u="1"/>
        <s v="GR-5127/23" u="1"/>
        <s v="GR-5368/23" u="1"/>
        <s v="GR-5388/22" u="1"/>
        <s v="GR-2821/23" u="1"/>
        <s v="GR-3741/23" u="1"/>
        <s v="GR-3761/22" u="1"/>
        <s v="GR-3962/24" u="1"/>
        <s v="GR-3982/23" u="1"/>
        <s v="GR-5340/23" u="1"/>
        <s v="GR-5360/22" u="1"/>
        <s v="GR-2729/23" u="1"/>
        <s v="GR-3408/23" u="1"/>
        <s v="GR-3649/23" u="1"/>
        <s v="GR-5027/22" u="1"/>
        <s v="GR-5228/24" u="1"/>
        <s v="GR-5248/23" u="1"/>
        <s v="GR-5268/22" u="1"/>
        <s v="GR-2701/23" u="1"/>
        <s v="GR-2942/23" u="1"/>
        <s v="GR-3400/22" u="1"/>
        <s v="GR-3862/23" u="1"/>
        <s v="GR-3882/22" u="1"/>
        <s v="GR-4300/23" u="1"/>
        <s v="GR-4320/22" u="1"/>
        <s v="GR-4541/23" u="1"/>
        <s v="GR-5200/24" u="1"/>
        <s v="GR-5220/23" u="1"/>
        <s v="GR-5240/22" u="1"/>
        <s v="GR-5461/23" u="1"/>
        <s v="GR-6140/23" u="1"/>
        <s v="GR-3529/23" u="1"/>
        <s v="GR-3549/22" u="1"/>
        <s v="GR-4208/23" u="1"/>
        <s v="GR-5128/23" u="1"/>
        <s v="GR-5369/23" u="1"/>
        <s v="GR-5389/22" u="1"/>
        <s v="GR-3501/23" u="1"/>
        <s v="GR-3521/22" u="1"/>
        <s v="GR-3742/23" u="1"/>
        <s v="GR-3762/22" u="1"/>
        <s v="GR-4662/23" u="1"/>
        <s v="GR-5100/23" u="1"/>
        <s v="GR-5341/23" u="1"/>
        <s v="GR-5361/22" u="1"/>
        <s v="GR-3409/23" u="1"/>
        <s v="GR-5028/22" u="1"/>
        <s v="GR-5249/23" u="1"/>
        <s v="GR-5269/22" u="1"/>
        <s v="GR-7089/23" u="1"/>
        <s v="GR-2702/23" u="1"/>
        <s v="GR-2943/23" u="1"/>
        <s v="GR-2963/22" u="1"/>
        <s v="GR-3401/22" u="1"/>
        <s v="GR-3863/23" u="1"/>
        <s v="GR-4301/23" u="1"/>
        <s v="GR-4321/22" u="1"/>
        <s v="GR-4542/23" u="1"/>
        <s v="GR-5000/22" u="1"/>
        <s v="GR-5221/23" u="1"/>
        <s v="GR-5241/22" u="1"/>
        <s v="GR-5462/23" u="1"/>
        <s v="GR-6141/23" u="1"/>
        <s v="GR-4209/23" u="1"/>
        <s v="GR-5129/23" u="1"/>
        <s v="GR-6049/23" u="1"/>
        <s v="GR-152/24" u="1"/>
        <s v="GR-428/24" u="1"/>
        <s v="GR-1903/23" u="1"/>
        <s v="GR-3502/23" u="1"/>
        <s v="GR-3522/22" u="1"/>
        <s v="GR-3743/23" u="1"/>
        <s v="GR-3763/22" u="1"/>
        <s v="GR-4663/23" u="1"/>
        <s v="GR-5101/23" u="1"/>
        <s v="GR-5342/23" u="1"/>
        <s v="GR-5362/22" u="1"/>
        <s v="GR-5583/23" u="1"/>
        <s v="GR-6021/23" u="1"/>
        <s v="GR-5029/22" u="1"/>
        <s v="GR-140/24" u="1"/>
        <s v="GR-324/24" u="1"/>
        <s v="GR-416/24" u="1"/>
        <s v="GR-508/24" u="1"/>
        <s v="GR-2703/23" u="1"/>
        <s v="GR-2964/22" u="1"/>
        <s v="GR-3402/22" u="1"/>
        <s v="GR-3864/23" u="1"/>
        <s v="GR-4322/22" u="1"/>
        <s v="GR-4543/23" u="1"/>
        <s v="GR-4784/23" u="1"/>
        <s v="GR-5222/23" u="1"/>
        <s v="GR-5242/22" u="1"/>
        <s v="GR-5463/23" u="1"/>
        <s v="GR-6142/23" u="1"/>
        <s v="GR-2824/23" u="1"/>
        <s v="GR-3503/23" u="1"/>
        <s v="GR-4664/23" u="1"/>
        <s v="GR-5343/23" u="1"/>
        <s v="GR-5363/22" u="1"/>
        <s v="GR-6022/23" u="1"/>
        <s v="GR-300/24" u="1"/>
        <s v="GR-2704/23" u="1"/>
        <s v="GR-3865/23" u="1"/>
        <s v="GR-4303/23" u="1"/>
        <s v="GR-4544/23" u="1"/>
        <s v="GR-4785/23" u="1"/>
        <s v="GR-5203/24" u="1"/>
        <s v="GR-5223/23" u="1"/>
        <s v="GR-5243/22" u="1"/>
        <s v="GR-5464/23" u="1"/>
        <s v="GR-6143/23" u="1"/>
        <s v="GR-1905/23" u="1"/>
        <s v="GR-2825/23" u="1"/>
        <s v="GR-3504/23" u="1"/>
        <s v="GR-3524/22" u="1"/>
        <s v="GR-3986/23" u="1"/>
        <s v="GR-4665/23" u="1"/>
        <s v="GR-5103/23" u="1"/>
        <s v="GR-5344/23" u="1"/>
        <s v="GR-5364/22" u="1"/>
        <s v="GR-5585/23" u="1"/>
        <s v="GR-2946/23" u="1"/>
        <s v="GR-3404/22" u="1"/>
        <s v="GR-3866/23" u="1"/>
        <s v="GR-4324/22" u="1"/>
        <s v="GR-4545/23" u="1"/>
        <s v="GR-4786/23" u="1"/>
        <s v="GR-5204/24" u="1"/>
        <s v="GR-5224/23" u="1"/>
        <s v="GR-5244/22" u="1"/>
        <s v="GR-6144/23" u="1"/>
        <s v="GR-2826/23" u="1"/>
        <s v="GR-3505/23" u="1"/>
        <s v="GR-3525/22" u="1"/>
        <s v="GR-3746/23" u="1"/>
        <s v="GR-3987/23" u="1"/>
        <s v="GR-4666/23" u="1"/>
        <s v="GR-5104/23" u="1"/>
        <s v="GR-5345/23" u="1"/>
        <s v="GR-5365/22" u="1"/>
        <s v="GR-5586/23" u="1"/>
        <s v="GR-2706/23" u="1"/>
        <s v="GR-2726/22" u="1"/>
        <s v="GR-2947/23" u="1"/>
        <s v="GR-3405/22" u="1"/>
        <s v="GR-3646/22" u="1"/>
        <s v="GR-3867/23" u="1"/>
        <s v="GR-4325/22" u="1"/>
        <s v="GR-4546/23" u="1"/>
        <s v="GR-5205/24" u="1"/>
        <s v="GR-5225/23" u="1"/>
        <s v="GR-5245/22" u="1"/>
        <s v="GR-6145/23" u="1"/>
        <s v="GR-2827/23" u="1"/>
        <s v="GR-3506/23" u="1"/>
        <s v="GR-3526/22" u="1"/>
        <s v="GR-3968/24" u="1"/>
        <s v="GR-3988/23" u="1"/>
        <s v="GR-4667/23" u="1"/>
        <s v="GR-5105/23" u="1"/>
        <s v="GR-5125/22" u="1"/>
        <s v="GR-5346/23" u="1"/>
        <s v="GR-5366/22" u="1"/>
        <s v="GR-5587/23" u="1"/>
        <s v="GR-3960/23" u="1"/>
        <s v="GR-3980/22" u="1"/>
        <s v="GR-4860/24" u="1"/>
        <s v="GR-2707/23" u="1"/>
        <s v="GR-3406/22" u="1"/>
        <s v="GR-3868/23" u="1"/>
        <s v="GR-4326/22" u="1"/>
        <s v="GR-4547/23" u="1"/>
        <s v="GR-5005/22" u="1"/>
        <s v="GR-5206/24" u="1"/>
        <s v="GR-5226/23" u="1"/>
        <s v="GR-5246/22" u="1"/>
        <s v="GR-6146/23" u="1"/>
        <s v="GR-2940/22" u="1"/>
        <s v="GR-3840/23" u="1"/>
        <s v="GR-5680/23" u="1"/>
        <s v="GR-1908/23" u="1"/>
        <s v="GR-2828/23" u="1"/>
        <s v="GR-3507/23" u="1"/>
        <s v="GR-3527/22" u="1"/>
        <s v="GR-3989/23" u="1"/>
        <s v="GR-4688/22" u="1"/>
        <s v="GR-5106/23" u="1"/>
        <s v="GR-5126/22" u="1"/>
        <s v="GR-5347/23" u="1"/>
        <s v="GR-5367/22" u="1"/>
        <s v="GR-5588/23" u="1"/>
        <s v="GR-2820/22" u="1"/>
        <s v="GR-3720/23" u="1"/>
        <s v="GR-3740/22" u="1"/>
        <s v="GR-3961/23" u="1"/>
        <s v="GR-3981/22" u="1"/>
        <s v="GR-4640/23" u="1"/>
        <s v="GR-4861/24" u="1"/>
        <s v="GR-5540/24" u="1"/>
        <s v="GR-2969/22" u="1"/>
        <s v="GR-3407/22" u="1"/>
        <s v="GR-3628/23" u="1"/>
        <s v="GR-3869/23" u="1"/>
        <s v="GR-4307/23" u="1"/>
        <s v="GR-4327/22" u="1"/>
        <s v="GR-4548/23" u="1"/>
        <s v="GR-5006/22" u="1"/>
        <s v="GR-5207/24" u="1"/>
        <s v="GR-5227/23" u="1"/>
        <s v="GR-5247/22" u="1"/>
        <s v="GR-5468/23" u="1"/>
        <s v="GR-5488/22" u="1"/>
        <s v="GR-6147/23" u="1"/>
        <s v="GR-3620/22" u="1"/>
        <s v="GR-4520/23" u="1"/>
        <s v="GR-4781/22" u="1"/>
        <s v="GR-5440/23" u="1"/>
        <s v="GR-5681/23" u="1"/>
        <s v="GR-2829/23" u="1"/>
        <s v="GR-3508/23" u="1"/>
        <s v="GR-4207/22" u="1"/>
        <s v="GR-4669/23" u="1"/>
        <s v="GR-4689/22" u="1"/>
        <s v="GR-5107/23" u="1"/>
        <s v="GR-5348/23" u="1"/>
        <s v="GR-5368/22" u="1"/>
        <s v="GR-2821/22" u="1"/>
        <s v="GR-3500/22" u="1"/>
        <s v="GR-3721/23" u="1"/>
        <s v="GR-3741/22" u="1"/>
        <s v="GR-3962/23" u="1"/>
        <s v="GR-3982/22" u="1"/>
        <s v="GR-4400/23" u="1"/>
        <s v="GR-4420/22" u="1"/>
        <s v="GR-4641/23" u="1"/>
        <s v="GR-5320/23" u="1"/>
        <s v="GR-5541/24" u="1"/>
        <s v="GR-3408/22" u="1"/>
        <s v="GR-3649/22" u="1"/>
        <s v="GR-4308/23" u="1"/>
        <s v="GR-4549/23" u="1"/>
        <s v="GR-5007/22" u="1"/>
        <s v="GR-5208/24" u="1"/>
        <s v="GR-5228/23" u="1"/>
        <s v="GR-5248/22" u="1"/>
        <s v="GR-5469/23" u="1"/>
        <s v="GR-5489/22" u="1"/>
        <s v="GR-6148/23" u="1"/>
        <s v="GR-2922/23" u="1"/>
        <s v="GR-2942/22" u="1"/>
        <s v="GR-3601/23" u="1"/>
        <s v="GR-3842/23" u="1"/>
        <s v="GR-4300/22" u="1"/>
        <s v="GR-4521/23" u="1"/>
        <s v="GR-5200/23" u="1"/>
        <s v="GR-5220/22" u="1"/>
        <s v="GR-5441/23" u="1"/>
        <s v="GR-5461/22" u="1"/>
        <s v="GR-5682/23" u="1"/>
        <s v="GR-7040/23" u="1"/>
        <s v="GR-3509/23" u="1"/>
        <s v="GR-4208/22" u="1"/>
        <s v="GR-5108/23" u="1"/>
        <s v="GR-5349/23" u="1"/>
        <s v="GR-5369/22" u="1"/>
        <s v="GR-2822/22" u="1"/>
        <s v="GR-3501/22" u="1"/>
        <s v="GR-3722/23" u="1"/>
        <s v="GR-3963/23" u="1"/>
        <s v="GR-3983/22" u="1"/>
        <s v="GR-4401/23" u="1"/>
        <s v="GR-4421/22" u="1"/>
        <s v="GR-5100/22" u="1"/>
        <s v="GR-5321/23" u="1"/>
        <s v="GR-5542/24" u="1"/>
        <s v="GR-3409/22" u="1"/>
        <s v="GR-4309/23" u="1"/>
        <s v="GR-5008/22" u="1"/>
        <s v="GR-5229/23" u="1"/>
        <s v="GR-5249/22" u="1"/>
        <s v="GR-6149/23" u="1"/>
        <s v="GR-438/24" u="1"/>
        <s v="GR-2943/22" u="1"/>
        <s v="GR-3602/23" u="1"/>
        <s v="GR-3843/23" u="1"/>
        <s v="GR-4301/22" u="1"/>
        <s v="GR-4522/23" u="1"/>
        <s v="GR-5442/23" u="1"/>
        <s v="GR-5462/22" u="1"/>
        <s v="GR-5683/23" u="1"/>
        <s v="GR-7041/23" u="1"/>
        <s v="GR-4209/22" u="1"/>
        <s v="GR-5109/23" u="1"/>
        <s v="GR-150/24" u="1"/>
        <s v="GR-426/24" u="1"/>
        <s v="GR-518/24" u="1"/>
        <s v="GR-3723/23" u="1"/>
        <s v="GR-3964/23" u="1"/>
        <s v="GR-3984/22" u="1"/>
        <s v="GR-4402/23" u="1"/>
        <s v="GR-4422/22" u="1"/>
        <s v="GR-5101/22" u="1"/>
        <s v="GR-5322/23" u="1"/>
        <s v="GR-6001/23" u="1"/>
        <s v="GR-5009/22" u="1"/>
        <s v="GR-230/24" u="1"/>
        <s v="GR-2924/23" u="1"/>
        <s v="GR-2944/22" u="1"/>
        <s v="GR-3603/23" u="1"/>
        <s v="GR-3844/23" u="1"/>
        <s v="GR-4302/22" u="1"/>
        <s v="GR-4523/23" u="1"/>
        <s v="GR-5443/23" u="1"/>
        <s v="GR-5463/22" u="1"/>
        <s v="GR-5684/23" u="1"/>
        <s v="GR-7042/23" u="1"/>
        <s v="GR-3503/22" u="1"/>
        <s v="GR-3724/23" u="1"/>
        <s v="GR-3965/23" u="1"/>
        <s v="GR-3985/22" u="1"/>
        <s v="GR-4423/22" u="1"/>
        <s v="GR-5102/22" u="1"/>
        <s v="GR-5323/23" u="1"/>
        <s v="GR-2925/23" u="1"/>
        <s v="GR-2945/22" u="1"/>
        <s v="GR-3604/23" u="1"/>
        <s v="GR-3624/22" u="1"/>
        <s v="GR-3845/23" u="1"/>
        <s v="GR-4303/22" u="1"/>
        <s v="GR-4524/23" u="1"/>
        <s v="GR-5223/22" u="1"/>
        <s v="GR-5444/23" u="1"/>
        <s v="GR-5464/22" u="1"/>
        <s v="GR-5685/23" u="1"/>
        <s v="GR-7043/23" u="1"/>
        <s v="GR-3504/22" u="1"/>
        <s v="GR-3966/23" u="1"/>
        <s v="GR-3986/22" u="1"/>
        <s v="GR-4424/22" u="1"/>
        <s v="GR-4886/23" u="1"/>
        <s v="GR-5103/22" u="1"/>
        <s v="GR-5324/23" u="1"/>
        <s v="GR-6003/23" u="1"/>
        <s v="GR-2926/23" u="1"/>
        <s v="GR-2946/22" u="1"/>
        <s v="GR-3605/23" u="1"/>
        <s v="GR-3826/24" u="1"/>
        <s v="GR-3846/23" u="1"/>
        <s v="GR-4304/22" u="1"/>
        <s v="GR-4525/23" u="1"/>
        <s v="GR-4766/23" u="1"/>
        <s v="GR-5204/23" u="1"/>
        <s v="GR-5224/22" u="1"/>
        <s v="GR-5445/23" u="1"/>
        <s v="GR-5686/23" u="1"/>
        <s v="GR-6124/23" u="1"/>
        <s v="GR-7044/23" u="1"/>
        <s v="GR-3505/22" u="1"/>
        <s v="GR-3967/23" u="1"/>
        <s v="GR-3987/22" u="1"/>
        <s v="GR-4425/22" u="1"/>
        <s v="GR-5325/23" u="1"/>
        <s v="GR-6004/23" u="1"/>
        <s v="GR-2927/23" u="1"/>
        <s v="GR-2947/22" u="1"/>
        <s v="GR-3847/23" u="1"/>
        <s v="GR-4305/22" u="1"/>
        <s v="GR-4767/23" u="1"/>
        <s v="GR-5205/23" u="1"/>
        <s v="GR-5225/22" u="1"/>
        <s v="GR-5446/23" u="1"/>
        <s v="GR-5466/22" u="1"/>
        <s v="GR-5687/23" u="1"/>
        <s v="GR-6125/23" u="1"/>
        <s v="GR-7045/23" u="1"/>
        <s v="GR-2807/23" u="1"/>
        <s v="GR-3506/22" u="1"/>
        <s v="GR-3968/23" u="1"/>
        <s v="GR-3988/22" u="1"/>
        <s v="GR-4426/22" u="1"/>
        <s v="GR-5326/23" u="1"/>
        <s v="GR-3940/23" u="1"/>
        <s v="GR-4860/23" u="1"/>
        <s v="GR-4880/22" u="1"/>
        <s v="GR-2928/23" u="1"/>
        <s v="GR-2948/22" u="1"/>
        <s v="GR-3848/23" u="1"/>
        <s v="GR-4306/22" u="1"/>
        <s v="GR-4768/23" u="1"/>
        <s v="GR-5206/23" u="1"/>
        <s v="GR-5447/23" u="1"/>
        <s v="GR-5688/23" u="1"/>
        <s v="GR-6126/23" u="1"/>
        <s v="GR-7046/23" u="1"/>
        <s v="GR-2920/22" u="1"/>
        <s v="GR-3840/22" u="1"/>
        <s v="GR-5660/23" u="1"/>
        <s v="GR-5881/24" u="1"/>
        <s v="GR-2808/23" u="1"/>
        <s v="GR-3989/22" u="1"/>
        <s v="GR-4427/22" u="1"/>
        <s v="GR-4889/23" u="1"/>
        <s v="GR-5106/22" u="1"/>
        <s v="GR-5327/23" u="1"/>
        <s v="GR-5347/22" u="1"/>
        <s v="GR-6006/23" u="1"/>
        <s v="GR-3941/23" u="1"/>
        <s v="GR-4841/24" u="1"/>
        <s v="GR-4861/23" u="1"/>
        <s v="GR-4881/22" u="1"/>
        <s v="GR-2929/23" u="1"/>
        <s v="GR-2949/22" u="1"/>
        <s v="GR-3829/24" u="1"/>
        <s v="GR-3849/23" u="1"/>
        <s v="GR-4307/22" u="1"/>
        <s v="GR-4789/22" u="1"/>
        <s v="GR-5207/23" u="1"/>
        <s v="GR-5227/22" u="1"/>
        <s v="GR-5448/23" u="1"/>
        <s v="GR-5468/22" u="1"/>
        <s v="GR-5689/23" u="1"/>
        <s v="GR-6127/23" u="1"/>
        <s v="GR-7047/23" u="1"/>
        <s v="GR-2901/23" u="1"/>
        <s v="GR-2921/22" u="1"/>
        <s v="GR-3600/22" u="1"/>
        <s v="GR-3841/22" u="1"/>
        <s v="GR-4500/23" u="1"/>
        <s v="GR-4741/23" u="1"/>
        <s v="GR-5420/23" u="1"/>
        <s v="GR-5440/22" u="1"/>
        <s v="GR-5661/23" u="1"/>
        <s v="GR-6340/23" u="1"/>
        <s v="GR-2809/23" u="1"/>
        <s v="GR-3508/22" u="1"/>
        <s v="GR-3729/23" u="1"/>
        <s v="GR-4428/22" u="1"/>
        <s v="GR-5107/22" u="1"/>
        <s v="GR-5328/23" u="1"/>
        <s v="GR-5348/22" u="1"/>
        <s v="GR-6007/23" u="1"/>
        <s v="GR-3942/23" u="1"/>
        <s v="GR-4621/23" u="1"/>
        <s v="GR-4842/24" u="1"/>
        <s v="GR-4862/23" u="1"/>
        <s v="GR-4882/22" u="1"/>
        <s v="GR-5300/23" u="1"/>
        <s v="GR-7140/23" u="1"/>
        <s v="GR-4308/22" u="1"/>
        <s v="GR-4529/23" u="1"/>
        <s v="GR-5208/23" u="1"/>
        <s v="GR-5228/22" u="1"/>
        <s v="GR-5449/23" u="1"/>
        <s v="GR-5469/22" u="1"/>
        <s v="GR-6128/23" u="1"/>
        <s v="GR-7048/23" u="1"/>
        <s v="GR-184/24" u="1"/>
        <s v="GR-368/24" u="1"/>
        <s v="GR-2922/22" u="1"/>
        <s v="GR-3601/22" u="1"/>
        <s v="GR-3842/22" u="1"/>
        <s v="GR-4501/23" u="1"/>
        <s v="GR-4521/22" u="1"/>
        <s v="GR-4742/23" u="1"/>
        <s v="GR-4762/22" u="1"/>
        <s v="GR-5200/22" u="1"/>
        <s v="GR-5421/23" u="1"/>
        <s v="GR-5441/22" u="1"/>
        <s v="GR-5662/23" u="1"/>
        <s v="GR-6341/23" u="1"/>
        <s v="GR-7020/23" u="1"/>
        <s v="GR-5329/23" u="1"/>
        <s v="GR-6008/23" u="1"/>
        <s v="GR-448/24" u="1"/>
        <s v="GR-3943/23" u="1"/>
        <s v="GR-4622/23" u="1"/>
        <s v="GR-4843/24" u="1"/>
        <s v="GR-4863/23" u="1"/>
        <s v="GR-4883/22" u="1"/>
        <s v="GR-5301/23" u="1"/>
        <s v="GR-4309/22" u="1"/>
        <s v="GR-5209/23" u="1"/>
        <s v="GR-5229/22" u="1"/>
        <s v="GR-6129/23" u="1"/>
        <s v="GR-160/24" u="1"/>
        <s v="GR-344/24" u="1"/>
        <s v="GR-436/24" u="1"/>
        <s v="GR-528/24" u="1"/>
        <s v="GR-2903/23" u="1"/>
        <s v="GR-2923/22" u="1"/>
        <s v="GR-4522/22" u="1"/>
        <s v="GR-4763/22" u="1"/>
        <s v="GR-5201/22" u="1"/>
        <s v="GR-5422/23" u="1"/>
        <s v="GR-5442/22" u="1"/>
        <s v="GR-5663/23" u="1"/>
        <s v="GR-7021/23" u="1"/>
        <s v="GR-6009/23" u="1"/>
        <s v="GR-424/24" u="1"/>
        <s v="GR-516/24" u="1"/>
        <s v="GR-3944/23" u="1"/>
        <s v="GR-4623/23" u="1"/>
        <s v="GR-4864/23" u="1"/>
        <s v="GR-4884/22" u="1"/>
        <s v="GR-5302/23" u="1"/>
        <s v="GR-7142/23" u="1"/>
        <s v="GR-2924/22" u="1"/>
        <s v="GR-4523/22" u="1"/>
        <s v="GR-4744/23" u="1"/>
        <s v="GR-4764/22" u="1"/>
        <s v="GR-5202/22" u="1"/>
        <s v="GR-5423/23" u="1"/>
        <s v="GR-5664/23" u="1"/>
        <s v="GR-6343/23" u="1"/>
        <s v="GR-7022/23" u="1"/>
        <s v="GR-400/24" u="1"/>
        <s v="GR-3724/22" u="1"/>
        <s v="GR-3945/23" u="1"/>
        <s v="GR-4845/24" u="1"/>
        <s v="GR-4885/22" u="1"/>
        <s v="GR-5303/23" u="1"/>
        <s v="GR-6464/23" u="1"/>
        <s v="GR-7384/23" u="1"/>
        <s v="GR-2925/22" u="1"/>
        <s v="GR-4524/22" u="1"/>
        <s v="GR-4765/22" u="1"/>
        <s v="GR-5203/22" u="1"/>
        <s v="GR-5424/23" u="1"/>
        <s v="GR-5665/23" u="1"/>
        <s v="GR-6344/23" u="1"/>
        <s v="GR-7023/23" u="1"/>
        <s v="GR-2805/22" u="1"/>
        <s v="GR-3946/23" u="1"/>
        <s v="GR-4625/23" u="1"/>
        <s v="GR-4846/24" u="1"/>
        <s v="GR-4886/22" u="1"/>
        <s v="GR-5304/23" u="1"/>
        <s v="GR-5324/22" u="1"/>
        <s v="GR-7144/23" u="1"/>
        <s v="GR-2926/22" u="1"/>
        <s v="GR-4766/22" u="1"/>
        <s v="GR-5204/22" u="1"/>
        <s v="GR-5425/23" u="1"/>
        <s v="GR-5666/23" u="1"/>
        <s v="GR-6345/23" u="1"/>
        <s v="GR-7024/23" u="1"/>
        <s v="GR-3947/23" u="1"/>
        <s v="GR-4847/24" u="1"/>
        <s v="GR-4867/23" u="1"/>
        <s v="GR-4887/22" u="1"/>
        <s v="GR-5325/22" u="1"/>
        <s v="GR-7386/23" u="1"/>
        <s v="GR-2927/22" u="1"/>
        <s v="GR-3827/23" u="1"/>
        <s v="GR-4747/23" u="1"/>
        <s v="GR-4767/22" u="1"/>
        <s v="GR-5205/22" u="1"/>
        <s v="GR-5426/23" u="1"/>
        <s v="GR-5667/23" u="1"/>
        <s v="GR-6346/23" u="1"/>
        <s v="GR-4960/23" u="1"/>
        <s v="GR-3707/23" u="1"/>
        <s v="GR-3727/22" u="1"/>
        <s v="GR-3948/23" u="1"/>
        <s v="GR-3968/22" u="1"/>
        <s v="GR-4627/23" u="1"/>
        <s v="GR-4888/22" u="1"/>
        <s v="GR-5306/23" u="1"/>
        <s v="GR-5326/22" u="1"/>
        <s v="GR-3920/23" u="1"/>
        <s v="GR-2908/23" u="1"/>
        <s v="GR-3828/23" u="1"/>
        <s v="GR-4507/23" u="1"/>
        <s v="GR-4527/22" u="1"/>
        <s v="GR-4768/22" u="1"/>
        <s v="GR-5206/22" u="1"/>
        <s v="GR-5427/23" u="1"/>
        <s v="GR-5668/23" u="1"/>
        <s v="GR-6106/23" u="1"/>
        <s v="GR-6347/23" u="1"/>
        <s v="GR-3800/23" u="1"/>
        <s v="GR-4700/24" u="1"/>
        <s v="GR-4720/23" u="1"/>
        <s v="GR-4740/22" u="1"/>
        <s v="GR-4981/22" u="1"/>
        <s v="GR-5640/23" u="1"/>
        <s v="GR-3708/23" u="1"/>
        <s v="GR-3949/23" u="1"/>
        <s v="GR-3969/22" u="1"/>
        <s v="GR-4628/23" u="1"/>
        <s v="GR-4849/24" u="1"/>
        <s v="GR-5307/23" u="1"/>
        <s v="GR-5327/22" u="1"/>
        <s v="GR-3921/23" u="1"/>
        <s v="GR-4821/24" u="1"/>
        <s v="GR-5761/23" u="1"/>
        <s v="GR-2909/23" u="1"/>
        <s v="GR-3809/24" u="1"/>
        <s v="GR-3829/23" u="1"/>
        <s v="GR-4508/23" u="1"/>
        <s v="GR-4769/22" u="1"/>
        <s v="GR-5207/22" u="1"/>
        <s v="GR-5428/23" u="1"/>
        <s v="GR-5448/22" u="1"/>
        <s v="GR-5669/23" u="1"/>
        <s v="GR-6107/23" u="1"/>
        <s v="GR-6348/23" u="1"/>
        <s v="GR-7027/23" u="1"/>
        <s v="GR-298/24" u="1"/>
        <s v="GR-2901/22" u="1"/>
        <s v="GR-4500/22" u="1"/>
        <s v="GR-4701/24" u="1"/>
        <s v="GR-4721/23" u="1"/>
        <s v="GR-4741/22" u="1"/>
        <s v="GR-4982/22" u="1"/>
        <s v="GR-5400/23" u="1"/>
        <s v="GR-7481/23" u="1"/>
        <s v="GR-2809/22" u="1"/>
        <s v="GR-3709/23" u="1"/>
        <s v="GR-3729/22" u="1"/>
        <s v="GR-4408/22" u="1"/>
        <s v="GR-4629/23" u="1"/>
        <s v="GR-5308/23" u="1"/>
        <s v="GR-5328/22" u="1"/>
        <s v="GR-30/24" u="1"/>
        <s v="GR-3922/23" u="1"/>
        <s v="GR-4822/24" u="1"/>
        <s v="GR-5300/22" u="1"/>
        <s v="GR-5541/22" u="1"/>
        <s v="GR-7120/23" u="1"/>
        <s v="GR-3609/22" u="1"/>
        <s v="GR-4509/23" u="1"/>
        <s v="GR-5208/22" u="1"/>
        <s v="GR-5429/23" u="1"/>
        <s v="GR-6108/23" u="1"/>
        <s v="GR-7028/23" u="1"/>
        <s v="GR-182/24" u="1"/>
        <s v="GR-366/24" u="1"/>
        <s v="GR-458/24" u="1"/>
        <s v="GR-3802/23" u="1"/>
        <s v="GR-3822/22" u="1"/>
        <s v="GR-4702/24" u="1"/>
        <s v="GR-4722/23" u="1"/>
        <s v="GR-4742/22" u="1"/>
        <s v="GR-4983/22" u="1"/>
        <s v="GR-5401/23" u="1"/>
        <s v="GR-7000/23" u="1"/>
        <s v="GR-4409/22" u="1"/>
        <s v="GR-5309/23" u="1"/>
        <s v="GR-5329/22" u="1"/>
        <s v="GR-7149/23" u="1"/>
        <s v="GR-446/24" u="1"/>
        <s v="GR-3903/24" u="1"/>
        <s v="GR-3923/23" u="1"/>
        <s v="GR-5301/22" u="1"/>
        <s v="GR-5542/22" u="1"/>
        <s v="GR-7121/23" u="1"/>
        <s v="GR-5209/22" u="1"/>
        <s v="GR-6109/23" u="1"/>
        <s v="GR-7029/23" u="1"/>
        <s v="GR-342/24" u="1"/>
        <s v="GR-434/24" u="1"/>
        <s v="GR-526/24" u="1"/>
        <s v="GR-2903/22" u="1"/>
        <s v="GR-3803/23" u="1"/>
        <s v="GR-4502/22" u="1"/>
        <s v="GR-4703/24" u="1"/>
        <s v="GR-4723/23" u="1"/>
        <s v="GR-4743/22" u="1"/>
        <s v="GR-4964/23" u="1"/>
        <s v="GR-4984/22" u="1"/>
        <s v="GR-5402/23" u="1"/>
        <s v="GR-7001/23" u="1"/>
        <s v="GR-514/24" u="1"/>
        <s v="GR-606/24" u="1"/>
        <s v="GR-3924/23" u="1"/>
        <s v="GR-5302/22" u="1"/>
        <s v="GR-5543/22" u="1"/>
        <s v="GR-502/24" u="1"/>
        <s v="GR-2904/22" u="1"/>
        <s v="GR-3804/23" u="1"/>
        <s v="GR-4503/22" u="1"/>
        <s v="GR-4744/22" u="1"/>
        <s v="GR-4965/23" u="1"/>
        <s v="GR-4985/22" u="1"/>
        <s v="GR-5423/22" u="1"/>
        <s v="GR-7002/23" u="1"/>
        <s v="GR-3704/22" u="1"/>
        <s v="GR-3925/23" u="1"/>
        <s v="GR-4604/23" u="1"/>
        <s v="GR-5303/22" u="1"/>
        <s v="GR-5544/22" u="1"/>
        <s v="GR-5765/23" u="1"/>
        <s v="GR-2905/22" u="1"/>
        <s v="GR-3805/23" u="1"/>
        <s v="GR-4504/22" u="1"/>
        <s v="GR-4705/24" u="1"/>
        <s v="GR-4745/22" u="1"/>
        <s v="GR-4986/22" u="1"/>
        <s v="GR-5424/22" u="1"/>
        <s v="GR-7003/23" u="1"/>
        <s v="GR-7485/23" u="1"/>
        <s v="GR-3705/22" u="1"/>
        <s v="GR-3926/23" u="1"/>
        <s v="GR-4605/23" u="1"/>
        <s v="GR-5304/22" u="1"/>
        <s v="GR-5545/22" u="1"/>
        <s v="GR-2906/22" u="1"/>
        <s v="GR-3806/23" u="1"/>
        <s v="GR-4505/22" u="1"/>
        <s v="GR-4706/24" u="1"/>
        <s v="GR-4726/23" u="1"/>
        <s v="GR-4746/22" u="1"/>
        <s v="GR-5405/23" u="1"/>
        <s v="GR-5425/22" u="1"/>
        <s v="GR-7004/23" u="1"/>
        <s v="GR-7486/23" u="1"/>
        <s v="GR-3706/22" u="1"/>
        <s v="GR-3927/23" u="1"/>
        <s v="GR-4606/23" u="1"/>
        <s v="GR-5305/22" u="1"/>
        <s v="GR-5546/22" u="1"/>
        <s v="GR-6446/23" u="1"/>
        <s v="GR-2907/22" u="1"/>
        <s v="GR-4707/24" u="1"/>
        <s v="GR-4727/23" u="1"/>
        <s v="GR-4988/22" u="1"/>
        <s v="GR-5406/23" u="1"/>
        <s v="GR-5426/22" u="1"/>
        <s v="GR-7005/23" u="1"/>
        <s v="GR-7487/23" u="1"/>
        <s v="GR-4940/23" u="1"/>
        <s v="GR-4960/22" u="1"/>
        <s v="GR-5860/23" u="1"/>
        <s v="GR-6780/23" u="1"/>
        <s v="GR-3928/23" u="1"/>
        <s v="GR-4607/23" u="1"/>
        <s v="GR-4828/24" u="1"/>
        <s v="GR-4868/22" u="1"/>
        <s v="GR-5306/22" u="1"/>
        <s v="GR-5547/22" u="1"/>
        <s v="GR-4800/24" u="1"/>
        <s v="GR-4820/23" u="1"/>
        <s v="GR-2908/22" u="1"/>
        <s v="GR-3808/23" u="1"/>
        <s v="GR-4728/23" u="1"/>
        <s v="GR-4989/22" u="1"/>
        <s v="GR-5407/23" u="1"/>
        <s v="GR-5427/22" u="1"/>
        <s v="GR-6327/23" u="1"/>
        <s v="GR-7006/23" u="1"/>
        <s v="GR-7488/23" u="1"/>
        <s v="GR-3800/22" u="1"/>
        <s v="GR-4700/23" u="1"/>
        <s v="GR-4941/23" u="1"/>
        <s v="GR-5620/23" u="1"/>
        <s v="GR-5861/23" u="1"/>
        <s v="GR-6781/23" u="1"/>
        <s v="GR-3708/22" u="1"/>
        <s v="GR-3929/23" u="1"/>
        <s v="GR-4829/24" u="1"/>
        <s v="GR-5307/22" u="1"/>
        <s v="GR-6448/23" u="1"/>
        <s v="GR-4801/24" u="1"/>
        <s v="GR-4821/23" u="1"/>
        <s v="GR-5520/22" u="1"/>
        <s v="GR-5741/23" u="1"/>
        <s v="GR-3809/23" u="1"/>
        <s v="GR-4508/22" u="1"/>
        <s v="GR-5408/23" u="1"/>
        <s v="GR-5428/22" u="1"/>
        <s v="GR-6328/23" u="1"/>
        <s v="GR-7489/23" u="1"/>
        <s v="GR-31/24" u="1"/>
        <s v="GR-296/24" u="1"/>
        <s v="GR-3801/22" u="1"/>
        <s v="GR-4701/23" u="1"/>
        <s v="GR-4962/22" u="1"/>
        <s v="GR-5621/23" u="1"/>
        <s v="GR-5862/23" u="1"/>
        <s v="GR-6782/23" u="1"/>
        <s v="GR-7461/23" u="1"/>
        <s v="GR-4609/23" u="1"/>
        <s v="GR-5308/22" u="1"/>
        <s v="GR-5549/22" u="1"/>
        <s v="GR-6208/23" u="1"/>
        <s v="GR-4822/23" u="1"/>
        <s v="GR-5521/22" u="1"/>
        <s v="GR-5983/23" u="1"/>
        <s v="GR-5409/23" u="1"/>
        <s v="GR-5429/22" u="1"/>
        <s v="GR-6329/23" u="1"/>
        <s v="GR-180/24" u="1"/>
        <s v="GR-456/24" u="1"/>
        <s v="GR-3802/22" u="1"/>
        <s v="GR-4702/23" u="1"/>
        <s v="GR-4943/23" u="1"/>
        <s v="GR-4963/22" u="1"/>
        <s v="GR-5622/23" u="1"/>
        <s v="GR-5863/23" u="1"/>
        <s v="GR-6783/23" u="1"/>
        <s v="GR-5309/22" u="1"/>
        <s v="GR-4823/23" u="1"/>
        <s v="GR-5502/23" u="1"/>
        <s v="GR-5522/22" u="1"/>
        <s v="GR-5984/23" u="1"/>
        <s v="GR-7009/23" u="1"/>
        <s v="GR-432/24" u="1"/>
        <s v="GR-3803/22" u="1"/>
        <s v="GR-4944/23" u="1"/>
        <s v="GR-4964/22" u="1"/>
        <s v="GR-5623/23" u="1"/>
        <s v="GR-5864/23" u="1"/>
        <s v="GR-6784/23" u="1"/>
        <s v="GR-420/24" u="1"/>
        <s v="GR-512/24" u="1"/>
        <s v="GR-3904/23" u="1"/>
        <s v="GR-5523/22" u="1"/>
        <s v="GR-500/24" u="1"/>
        <s v="GR-3804/22" u="1"/>
        <s v="GR-4945/23" u="1"/>
        <s v="GR-4965/22" u="1"/>
        <s v="GR-5403/22" u="1"/>
        <s v="GR-5624/23" u="1"/>
        <s v="GR-5865/23" u="1"/>
        <s v="GR-3905/23" u="1"/>
        <s v="GR-4604/22" u="1"/>
        <s v="GR-5524/22" u="1"/>
        <s v="GR-4946/23" u="1"/>
        <s v="GR-4966/22" u="1"/>
        <s v="GR-5404/22" u="1"/>
        <s v="GR-5625/23" u="1"/>
        <s v="GR-3906/23" u="1"/>
        <s v="GR-3926/22" u="1"/>
        <s v="GR-4806/24" u="1"/>
        <s v="GR-5525/22" u="1"/>
        <s v="GR-6666/23" u="1"/>
        <s v="GR-3806/22" u="1"/>
        <s v="GR-4947/23" u="1"/>
        <s v="GR-5405/22" u="1"/>
        <s v="GR-5626/23" u="1"/>
        <s v="GR-3907/23" u="1"/>
        <s v="GR-3927/22" u="1"/>
        <s v="GR-4807/24" u="1"/>
        <s v="GR-4827/23" u="1"/>
        <s v="GR-5526/22" u="1"/>
        <s v="GR-5960/23" u="1"/>
        <s v="GR-3807/22" u="1"/>
        <s v="GR-4948/23" u="1"/>
        <s v="GR-5406/22" u="1"/>
        <s v="GR-5627/23" u="1"/>
        <s v="GR-4940/22" u="1"/>
        <s v="GR-3908/23" u="1"/>
        <s v="GR-4808/24" u="1"/>
        <s v="GR-4828/23" u="1"/>
        <s v="GR-5527/22" u="1"/>
        <s v="GR-3900/22" u="1"/>
        <s v="GR-4800/23" u="1"/>
        <s v="GR-5720/23" u="1"/>
        <s v="GR-3808/22" u="1"/>
        <s v="GR-4708/23" u="1"/>
        <s v="GR-4949/23" u="1"/>
        <s v="GR-5407/22" u="1"/>
        <s v="GR-5628/23" u="1"/>
        <s v="GR-4921/23" u="1"/>
        <s v="GR-4941/22" u="1"/>
        <s v="GR-5600/23" u="1"/>
        <s v="GR-6520/23" u="1"/>
        <s v="GR-3929/22" u="1"/>
        <s v="GR-4809/24" u="1"/>
        <s v="GR-5528/22" u="1"/>
        <s v="GR-32/24" u="1"/>
        <s v="GR-5500/22" u="1"/>
        <s v="GR-5721/23" u="1"/>
        <s v="GR-4729/22" u="1"/>
        <s v="GR-5408/22" u="1"/>
        <s v="GR-5629/23" u="1"/>
        <s v="GR-294/24" u="1"/>
        <s v="GR-478/24" u="1"/>
        <s v="GR-4922/23" u="1"/>
        <s v="GR-4942/22" u="1"/>
        <s v="GR-5601/23" u="1"/>
        <s v="GR-5842/23" u="1"/>
        <s v="GR-7441/23" u="1"/>
        <s v="GR-5529/22" u="1"/>
        <s v="GR-466/24" u="1"/>
        <s v="GR-5409/22" u="1"/>
        <s v="GR-362/24" u="1"/>
        <s v="GR-454/24" u="1"/>
        <s v="GR-566/23" u="1"/>
        <s v="GR-638/24" u="1"/>
        <s v="GR-4943/22" u="1"/>
        <s v="GR-5602/23" u="1"/>
        <s v="GR-6522/23" u="1"/>
        <s v="GR-7442/23" u="1"/>
        <s v="GR-7109/23" u="1"/>
        <s v="GR-522/24" u="1"/>
        <s v="GR-4924/23" u="1"/>
        <s v="GR-4944/22" u="1"/>
        <s v="GR-5603/23" u="1"/>
        <s v="GR-7443/23" u="1"/>
        <s v="GR-510/24" u="1"/>
        <s v="GR-3904/22" u="1"/>
        <s v="GR-5503/22" u="1"/>
        <s v="GR-5965/23" u="1"/>
        <s v="GR-4925/23" u="1"/>
        <s v="GR-4945/22" u="1"/>
        <s v="GR-5604/23" u="1"/>
        <s v="GR-7444/23" u="1"/>
        <s v="GR-3905/22" u="1"/>
        <s v="GR-4825/22" u="1"/>
        <s v="GR-5504/22" u="1"/>
        <s v="GR-5966/23" u="1"/>
        <s v="GR-4946/22" u="1"/>
        <s v="GR-5605/23" u="1"/>
        <s v="GR-5846/23" u="1"/>
        <s v="GR-7204/23" u="1"/>
        <s v="GR-7445/23" u="1"/>
        <s v="GR-3906/22" u="1"/>
        <s v="GR-4826/22" u="1"/>
        <s v="GR-5505/22" u="1"/>
        <s v="GR-5967/23" u="1"/>
        <s v="GR-4947/22" u="1"/>
        <s v="GR-5606/23" u="1"/>
        <s v="GR-7205/23" u="1"/>
        <s v="GR-7446/23" u="1"/>
        <s v="GR-3907/22" u="1"/>
        <s v="GR-4827/22" u="1"/>
        <s v="GR-5968/23" u="1"/>
        <s v="GR-4948/22" u="1"/>
        <s v="GR-5607/23" u="1"/>
        <s v="GR-5848/23" u="1"/>
        <s v="GR-7206/23" u="1"/>
        <s v="GR-7447/23" u="1"/>
        <s v="GR-17/24" u="1"/>
        <s v="GR-3908/22" u="1"/>
        <s v="GR-4808/23" u="1"/>
        <s v="GR-4828/22" u="1"/>
        <s v="GR-5969/23" u="1"/>
        <s v="GR-6648/23" u="1"/>
        <s v="GR-5700/23" u="1"/>
        <s v="GR-4949/22" u="1"/>
        <s v="GR-5608/23" u="1"/>
        <s v="GR-7207/23" u="1"/>
        <s v="GR-33/24" u="1"/>
        <s v="GR-7420/23" u="1"/>
        <s v="GR-3909/22" u="1"/>
        <s v="GR-4809/23" u="1"/>
        <s v="GR-4829/22" u="1"/>
        <s v="GR-5508/22" u="1"/>
        <s v="GR-6649/23" u="1"/>
        <s v="GR-396/24" u="1"/>
        <s v="GR-488/24" u="1"/>
        <s v="GR-5701/23" u="1"/>
        <s v="GR-5609/23" u="1"/>
        <s v="GR-292/24" u="1"/>
        <s v="GR-476/24" u="1"/>
        <s v="GR-4922/22" u="1"/>
        <s v="GR-7421/23" u="1"/>
        <s v="GR-5509/22" u="1"/>
        <s v="GR-372/24" u="1"/>
        <s v="GR-464/24" u="1"/>
        <s v="GR-576/23" u="1"/>
        <s v="GR-648/24" u="1"/>
        <s v="GR-5702/23" u="1"/>
        <s v="GR-5943/23" u="1"/>
        <s v="GR-452/24" u="1"/>
        <s v="GR-544/24" u="1"/>
        <s v="GR-636/24" u="1"/>
        <s v="GR-728/24" u="1"/>
        <s v="GR-4923/22" u="1"/>
        <s v="GR-7422/23" u="1"/>
        <s v="GR-532/24" u="1"/>
        <s v="GR-552/23" u="1"/>
        <s v="GR-624/24" u="1"/>
        <s v="GR-5703/23" u="1"/>
        <s v="GR-520/24" u="1"/>
        <s v="GR-612/24" u="1"/>
        <s v="GR-4924/22" u="1"/>
        <s v="GR-7423/23" u="1"/>
        <s v="GR-4804/22" u="1"/>
        <s v="GR-5945/23" u="1"/>
        <s v="GR-4925/22" u="1"/>
        <s v="GR-6504/23" u="1"/>
        <s v="GR-7424/23" u="1"/>
        <s v="GR-5705/23" u="1"/>
        <s v="GR-4926/22" u="1"/>
        <s v="GR-7425/23" u="1"/>
        <s v="GR-5947/23" u="1"/>
        <s v="GR-4927/22" u="1"/>
        <s v="GR-7426/23" u="1"/>
        <s v="GR-5948/23" u="1"/>
        <s v="GR-5920/23" u="1"/>
        <s v="GR-4908/23" u="1"/>
        <s v="GR-4928/22" u="1"/>
        <s v="GR-7427/23" u="1"/>
        <s v="GR-4900/22" u="1"/>
        <s v="GR-34/24" u="1"/>
        <s v="GR-5921/23" u="1"/>
        <s v="GR-4929/22" u="1"/>
        <s v="GR-7428/23" u="1"/>
        <s v="GR-4901/22" u="1"/>
        <s v="GR-5709/23" u="1"/>
        <s v="GR-7308/23" u="1"/>
        <s v="GR-50/24" u="1"/>
        <s v="GR-394/24" u="1"/>
        <s v="GR-486/24" u="1"/>
        <s v="GR-5922/23" u="1"/>
        <s v="GR-290/24" u="1"/>
        <s v="GR-474/24" u="1"/>
        <s v="GR-4902/22" u="1"/>
        <s v="GR-370/24" u="1"/>
        <s v="GR-462/24" u="1"/>
        <s v="GR-646/24" u="1"/>
        <s v="GR-738/24" u="1"/>
        <s v="GR-5923/23" u="1"/>
        <s v="GR-450/24" u="1"/>
        <s v="GR-634/24" u="1"/>
        <s v="GR-726/24" u="1"/>
        <s v="GR-6723/23" u="1"/>
        <s v="GR-6964/23" u="1"/>
        <s v="GR-530/24" u="1"/>
        <s v="GR-622/24" u="1"/>
        <s v="GR-806/24" u="1"/>
        <s v="GR-5924/23" u="1"/>
        <s v="GR-814/23" u="1"/>
        <s v="GR-906/23" u="1"/>
        <s v="GR-6724/23" u="1"/>
        <s v="GR-5925/23" u="1"/>
        <s v="GR-6725/23" u="1"/>
        <s v="GR-5926/23" u="1"/>
        <s v="GR-6726/23" u="1"/>
        <s v="GR-5927/23" u="1"/>
        <s v="GR-7406/23" u="1"/>
        <s v="GR-5928/23" u="1"/>
        <s v="GR-27/24" u="1"/>
        <s v="GR-7407/23" u="1"/>
        <s v="GR-35/24" u="1"/>
        <s v="GR-5929/23" u="1"/>
        <s v="GR-43/24" u="1"/>
        <s v="GR-5901/23" u="1"/>
        <s v="GR-7408/23" u="1"/>
        <s v="GR-496/24" u="1"/>
        <s v="GR-392/24" u="1"/>
        <s v="GR-484/24" u="1"/>
        <s v="GR-7409/23" u="1"/>
        <s v="GR-472/24" u="1"/>
        <s v="GR-748/24" u="1"/>
        <s v="GR-460/24" u="1"/>
        <s v="GR-644/24" u="1"/>
        <s v="GR-736/24" u="1"/>
        <s v="GR-5903/23" u="1"/>
        <s v="GR-928/23" u="1"/>
        <s v="GR-6703/23" u="1"/>
        <s v="GR-620/24" u="1"/>
        <s v="GR-5904/23" u="1"/>
        <s v="GR-812/23" u="1"/>
        <s v="GR-904/23" u="1"/>
        <s v="GR-5905/23" u="1"/>
        <s v="GR-6825/23" u="1"/>
        <s v="GR-6705/23" u="1"/>
        <s v="GR-5906/23" u="1"/>
        <s v="GR-6826/23" u="1"/>
        <s v="GR-5907/23" u="1"/>
        <s v="GR-6827/23" u="1"/>
        <s v="GR-28/24" u="1"/>
        <s v="GR-5908/23" u="1"/>
        <s v="GR-6828/23" u="1"/>
        <s v="GR-6800/23" u="1"/>
        <s v="GR-6708/23" u="1"/>
        <s v="GR-44/24" u="1"/>
        <s v="GR-5909/23" u="1"/>
        <s v="GR-6801/23" u="1"/>
        <s v="GR-494/24" u="1"/>
        <s v="GR-482/24" u="1"/>
        <s v="GR-778/23" u="1"/>
        <s v="GR-6802/23" u="1"/>
        <s v="GR-470/24" u="1"/>
        <s v="GR-734/24" u="1"/>
        <s v="GR-938/23" u="1"/>
        <s v="GR-6803/23" u="1"/>
        <s v="GR-906/24" u="1"/>
        <s v="GR-926/23" u="1"/>
        <s v="GR-902/23" u="1"/>
        <s v="GR-6925/23" u="1"/>
        <s v="GR-6926/23" u="1"/>
        <s v="GR-6927/23" u="1"/>
        <s v="GR-29/24" u="1"/>
        <s v="GR-6928/23" u="1"/>
        <s v="GR-45/24" u="1"/>
        <s v="GR-6901/23" u="1"/>
        <s v="GR-6809/23" u="1"/>
        <s v="GR-492/24" u="1"/>
        <s v="GR-768/24" u="1"/>
        <s v="GR-6902/23" u="1"/>
        <s v="GR-948/23" u="1"/>
        <s v="GR-6903/23" u="1"/>
        <s v="GR-640/24" u="1"/>
        <s v="GR-732/24" u="1"/>
        <s v="GR-936/23" u="1"/>
        <s v="GR-904/24" u="1"/>
        <s v="GR-6904/23" u="1"/>
        <s v="GR-800/24" u="1"/>
        <s v="GR-900/23" u="1"/>
        <s v="GR-6905/23" u="1"/>
        <s v="GR-6907/23" u="1"/>
        <s v="GR-46/24" u="1"/>
        <s v="GR-6909/23" u="1"/>
        <s v="GR-778/24" u="1"/>
        <s v="GR-490/24" u="1"/>
        <s v="GR-958/23" u="1"/>
        <s v="GR-742/24" u="1"/>
        <s v="GR-946/23" u="1"/>
        <s v="GR-730/24" u="1"/>
        <s v="GR-922/23" u="1"/>
        <s v="GR-910/23" u="1"/>
        <s v="GR-47/24" u="1"/>
        <s v="GR-788/24" u="1"/>
        <s v="GR-776/24" u="1"/>
        <s v="GR-968/23" u="1"/>
        <s v="GR-752/24" u="1"/>
        <s v="GR-956/23" u="1"/>
        <s v="GR-740/24" u="1"/>
        <s v="GR-920/23" u="1"/>
        <s v="GR-48/24" u="1"/>
        <s v="GR-56/24" u="1"/>
        <s v="GR-798/24" u="1"/>
        <s v="GR-786/24" u="1"/>
        <s v="GR-878/24" u="1"/>
        <s v="GR-774/24" u="1"/>
        <s v="GR-886/23" u="1"/>
        <s v="GR-978/23" u="1"/>
        <s v="GR-966/23" u="1"/>
        <s v="GR-930/23" u="1"/>
        <s v="GR-888/24" u="1"/>
        <s v="GR-876/24" u="1"/>
        <s v="GR-896/23" u="1"/>
        <s v="GR-772/24" u="1"/>
        <s v="GR-976/23" u="1"/>
        <s v="GR-964/23" u="1"/>
        <s v="GR-940/23" u="1"/>
        <s v="GR-898/24" u="1"/>
        <s v="GR-90/24" u="1"/>
        <s v="GR-886/24" u="1"/>
        <s v="GR-874/24" u="1"/>
        <s v="GR-894/23" u="1"/>
        <s v="GR-962/23" u="1"/>
        <s v="GR-59/24" u="1"/>
        <s v="GR-67/24" u="1"/>
        <s v="GR-896/24" u="1"/>
        <s v="GR-884/24" u="1"/>
        <s v="GR-996/23" u="1"/>
        <s v="GR-780/24" u="1"/>
        <s v="GR-872/24" u="1"/>
        <s v="GR-892/23" u="1"/>
        <s v="GR-972/23" u="1"/>
        <s v="GR-960/23" u="1"/>
        <s v="GR-68/24" u="1"/>
        <s v="GR-92/24" u="1"/>
        <s v="GR-894/24" u="1"/>
        <s v="GR-982/23" u="1"/>
        <s v="GR-970/23" u="1"/>
        <s v="GR-69/24" u="1"/>
        <s v="GR-85/24" u="1"/>
        <s v="GR-93/24" u="1"/>
        <s v="GR-1090/23" u="1"/>
        <s v="GR-1091/23" u="1"/>
        <s v="GR-880/24" u="1"/>
        <s v="GR-980/23" u="1"/>
        <s v="GR-1092/23" u="1"/>
        <s v="GR-1093/23" u="1"/>
        <s v="GR-1094/23" u="1"/>
        <s v="GR-1095/23" u="1"/>
        <s v="GR-1096/23" u="1"/>
        <s v="GR-1097/23" u="1"/>
        <s v="GR-94/24" u="1"/>
        <s v="GR-1070/23" u="1"/>
        <s v="GR-1071/23" u="1"/>
        <s v="GR-1072/23" u="1"/>
        <s v="GR-1073/23" u="1"/>
        <s v="GR-1074/23" u="1"/>
        <s v="GR-1075/23" u="1"/>
        <s v="GR-1196/23" u="1"/>
        <s v="GR-1076/23" u="1"/>
        <s v="GR-87/24" u="1"/>
        <s v="GR-1197/23" u="1"/>
        <s v="GR-95/24" u="1"/>
        <s v="GR-1077/23" u="1"/>
        <s v="GR-1290/23" u="1"/>
        <s v="GR-1170/23" u="1"/>
        <s v="GR-1078/23" u="1"/>
        <s v="GR-1291/23" u="1"/>
        <s v="GR-1171/23" u="1"/>
        <s v="GR-1292/23" u="1"/>
        <s v="GR-1172/23" u="1"/>
        <s v="GR-1052/23" u="1"/>
        <s v="GR-1293/23" u="1"/>
        <s v="GR-1173/23" u="1"/>
        <s v="GR-1053/23" u="1"/>
        <s v="GR-1174/23" u="1"/>
        <s v="GR-2094/23" u="1"/>
        <s v="GR-1295/23" u="1"/>
        <s v="GR-2095/23" u="1"/>
        <s v="GR-1055/23" u="1"/>
        <s v="GR-1296/23" u="1"/>
        <s v="GR-1176/23" u="1"/>
        <s v="GR-2096/23" u="1"/>
        <s v="GR-88/24" u="1"/>
        <s v="GR-1056/23" u="1"/>
        <s v="GR-1297/23" u="1"/>
        <s v="GR-1490/24" u="1"/>
        <s v="GR-96/24" u="1"/>
        <s v="GR-1177/23" u="1"/>
        <s v="GR-2097/23" u="1"/>
        <s v="GR-1057/23" u="1"/>
        <s v="GR-1298/23" u="1"/>
        <s v="GR-1270/23" u="1"/>
        <s v="GR-1491/24" u="1"/>
        <s v="GR-2170/24" u="1"/>
        <s v="GR-1178/23" u="1"/>
        <s v="GR-1150/23" u="1"/>
        <s v="GR-1391/23" u="1"/>
        <s v="GR-2070/23" u="1"/>
        <s v="GR-1058/23" u="1"/>
        <s v="GR-1299/23" u="1"/>
        <s v="GR-1030/23" u="1"/>
        <s v="GR-1271/23" u="1"/>
        <s v="GR-1492/24" u="1"/>
        <s v="GR-2171/24" u="1"/>
        <s v="GR-1179/23" u="1"/>
        <s v="GR-2099/23" u="1"/>
        <s v="GR-1151/23" u="1"/>
        <s v="GR-1392/23" u="1"/>
        <s v="GR-2071/23" u="1"/>
        <s v="GR-1059/23" u="1"/>
        <s v="GR-1031/23" u="1"/>
        <s v="GR-1272/23" u="1"/>
        <s v="GR-1493/24" u="1"/>
        <s v="GR-2172/24" u="1"/>
        <s v="GR-1152/23" u="1"/>
        <s v="GR-1393/23" u="1"/>
        <s v="GR-2072/23" u="1"/>
        <s v="GR-1032/23" u="1"/>
        <s v="GR-1273/23" u="1"/>
        <s v="GR-1494/24" u="1"/>
        <s v="GR-2173/24" u="1"/>
        <s v="GR-2193/23" u="1"/>
        <s v="GR-1153/23" u="1"/>
        <s v="GR-1394/23" u="1"/>
        <s v="GR-2073/23" u="1"/>
        <s v="GR-1033/23" u="1"/>
        <s v="GR-1274/23" u="1"/>
        <s v="GR-2174/24" u="1"/>
        <s v="GR-2194/23" u="1"/>
        <s v="GR-1154/23" u="1"/>
        <s v="GR-1395/23" u="1"/>
        <s v="GR-2074/23" u="1"/>
        <s v="GR-1034/23" u="1"/>
        <s v="GR-2175/24" u="1"/>
        <s v="GR-2195/23" u="1"/>
        <s v="GR-1155/23" u="1"/>
        <s v="GR-2075/23" u="1"/>
        <s v="GR-1035/23" u="1"/>
        <s v="GR-2176/24" u="1"/>
        <s v="GR-2196/23" u="1"/>
        <s v="GR-89/24" u="1"/>
        <s v="GR-1397/23" u="1"/>
        <s v="GR-2076/23" u="1"/>
        <s v="GR-1590/24" u="1"/>
        <s v="GR-97/24" u="1"/>
        <s v="GR-1036/23" u="1"/>
        <s v="GR-2197/23" u="1"/>
        <s v="GR-1490/23" u="1"/>
        <s v="GR-1398/23" u="1"/>
        <s v="GR-2077/23" u="1"/>
        <s v="GR-2298/24" u="1"/>
        <s v="GR-1370/23" u="1"/>
        <s v="GR-1591/24" u="1"/>
        <s v="GR-2290/23" u="1"/>
        <s v="GR-1037/23" u="1"/>
        <s v="GR-2198/23" u="1"/>
        <s v="GR-1250/23" u="1"/>
        <s v="GR-1491/23" u="1"/>
        <s v="GR-2170/23" u="1"/>
        <s v="GR-3090/23" u="1"/>
        <s v="GR-1158/23" u="1"/>
        <s v="GR-1399/23" u="1"/>
        <s v="GR-1130/23" u="1"/>
        <s v="GR-1371/23" u="1"/>
        <s v="GR-1592/24" u="1"/>
        <s v="GR-2050/23" u="1"/>
        <s v="GR-2291/23" u="1"/>
        <s v="GR-1038/23" u="1"/>
        <s v="GR-2199/23" u="1"/>
        <s v="GR-1010/23" u="1"/>
        <s v="GR-1251/23" u="1"/>
        <s v="GR-1492/23" u="1"/>
        <s v="GR-2171/23" u="1"/>
        <s v="GR-3091/23" u="1"/>
        <s v="GR-1159/23" u="1"/>
        <s v="GR-1131/23" u="1"/>
        <s v="GR-1372/23" u="1"/>
        <s v="GR-1593/24" u="1"/>
        <s v="GR-2051/23" u="1"/>
        <s v="GR-2292/23" u="1"/>
        <s v="GR-1039/23" u="1"/>
        <s v="GR-1011/23" u="1"/>
        <s v="GR-1252/23" u="1"/>
        <s v="GR-1493/23" u="1"/>
        <s v="GR-2172/23" u="1"/>
        <s v="GR-3092/23" u="1"/>
        <s v="GR-1132/23" u="1"/>
        <s v="GR-1373/23" u="1"/>
        <s v="GR-1594/24" u="1"/>
        <s v="GR-2052/23" u="1"/>
        <s v="GR-2293/23" u="1"/>
        <s v="GR-3193/24" u="1"/>
        <s v="GR-1012/23" u="1"/>
        <s v="GR-1253/23" u="1"/>
        <s v="GR-1494/23" u="1"/>
        <s v="GR-2173/23" u="1"/>
        <s v="GR-3093/23" u="1"/>
        <s v="GR-1133/23" u="1"/>
        <s v="GR-1374/23" u="1"/>
        <s v="GR-1595/24" u="1"/>
        <s v="GR-2053/23" u="1"/>
        <s v="GR-2294/23" u="1"/>
        <s v="GR-1013/23" u="1"/>
        <s v="GR-1495/23" u="1"/>
        <s v="GR-2174/23" u="1"/>
        <s v="GR-3094/23" u="1"/>
        <s v="GR-1134/23" u="1"/>
        <s v="GR-1375/23" u="1"/>
        <s v="GR-1596/24" u="1"/>
        <s v="GR-2054/23" u="1"/>
        <s v="GR-2295/23" u="1"/>
        <s v="GR-3195/24" u="1"/>
        <s v="GR-1014/23" u="1"/>
        <s v="GR-1255/23" u="1"/>
        <s v="GR-1496/23" u="1"/>
        <s v="GR-2175/23" u="1"/>
        <s v="GR-3095/23" u="1"/>
        <s v="GR-1135/23" u="1"/>
        <s v="GR-1376/23" u="1"/>
        <s v="GR-1597/24" u="1"/>
        <s v="GR-2055/23" u="1"/>
        <s v="GR-2296/23" u="1"/>
        <s v="GR-3196/24" u="1"/>
        <s v="GR-1015/23" u="1"/>
        <s v="GR-1497/23" u="1"/>
        <s v="GR-2176/23" u="1"/>
        <s v="GR-98/24" u="1"/>
        <s v="GR-1136/23" u="1"/>
        <s v="GR-1598/24" u="1"/>
        <s v="GR-2056/23" u="1"/>
        <s v="GR-2277/24" u="1"/>
        <s v="GR-2297/23" u="1"/>
        <s v="GR-3197/24" u="1"/>
        <s v="GR-1570/24" u="1"/>
        <s v="GR-1016/23" u="1"/>
        <s v="GR-1257/23" u="1"/>
        <s v="GR-2177/23" u="1"/>
        <s v="GR-1490/22" u="1"/>
        <s v="GR-2370/24" u="1"/>
        <s v="GR-1137/23" u="1"/>
        <s v="GR-1378/23" u="1"/>
        <s v="GR-1599/24" u="1"/>
        <s v="GR-2057/23" u="1"/>
        <s v="GR-2278/24" u="1"/>
        <s v="GR-2298/23" u="1"/>
        <s v="GR-3198/24" u="1"/>
        <s v="GR-1350/23" u="1"/>
        <s v="GR-1571/24" u="1"/>
        <s v="GR-1591/23" u="1"/>
        <s v="GR-2270/23" u="1"/>
        <s v="GR-1258/23" u="1"/>
        <s v="GR-2178/23" u="1"/>
        <s v="GR-3098/23" u="1"/>
        <s v="GR-1230/23" u="1"/>
        <s v="GR-1491/22" u="1"/>
        <s v="GR-2150/23" u="1"/>
        <s v="GR-2371/24" u="1"/>
        <s v="GR-3050/24" u="1"/>
        <s v="GR-3070/23" u="1"/>
        <s v="GR-1379/23" u="1"/>
        <s v="GR-2058/23" u="1"/>
        <s v="GR-2279/24" u="1"/>
        <s v="GR-1110/23" u="1"/>
        <s v="GR-1351/23" u="1"/>
        <s v="GR-1592/23" u="1"/>
        <s v="GR-2030/23" u="1"/>
        <s v="GR-2271/23" u="1"/>
        <s v="GR-2179/23" u="1"/>
        <s v="GR-1231/23" u="1"/>
        <s v="GR-1472/23" u="1"/>
        <s v="GR-1492/22" u="1"/>
        <s v="GR-2151/23" u="1"/>
        <s v="GR-3071/23" u="1"/>
        <s v="GR-2059/23" u="1"/>
        <s v="GR-1111/23" u="1"/>
        <s v="GR-1352/23" u="1"/>
        <s v="GR-1593/23" u="1"/>
        <s v="GR-2031/23" u="1"/>
        <s v="GR-2272/23" u="1"/>
        <s v="GR-1232/23" u="1"/>
        <s v="GR-1473/23" u="1"/>
        <s v="GR-1493/22" u="1"/>
        <s v="GR-2152/23" u="1"/>
        <s v="GR-1112/23" u="1"/>
        <s v="GR-1353/23" u="1"/>
        <s v="GR-1574/24" u="1"/>
        <s v="GR-1594/23" u="1"/>
        <s v="GR-2032/23" u="1"/>
        <s v="GR-2273/23" u="1"/>
        <s v="GR-3193/23" u="1"/>
        <s v="GR-1233/23" u="1"/>
        <s v="GR-1474/23" u="1"/>
        <s v="GR-1494/22" u="1"/>
        <s v="GR-2153/23" u="1"/>
        <s v="GR-3073/23" u="1"/>
        <s v="GR-1113/23" u="1"/>
        <s v="GR-1354/23" u="1"/>
        <s v="GR-1575/24" u="1"/>
        <s v="GR-1595/23" u="1"/>
        <s v="GR-2033/23" u="1"/>
        <s v="GR-2274/23" u="1"/>
        <s v="GR-2495/24" u="1"/>
        <s v="GR-1234/23" u="1"/>
        <s v="GR-1475/23" u="1"/>
        <s v="GR-2154/23" u="1"/>
        <s v="GR-1114/23" u="1"/>
        <s v="GR-1576/24" u="1"/>
        <s v="GR-1596/23" u="1"/>
        <s v="GR-2034/23" u="1"/>
        <s v="GR-2275/23" u="1"/>
        <s v="GR-2496/24" u="1"/>
        <s v="GR-1235/23" u="1"/>
        <s v="GR-1476/23" u="1"/>
        <s v="GR-2155/23" u="1"/>
        <s v="GR-1115/23" u="1"/>
        <s v="GR-1356/23" u="1"/>
        <s v="GR-1577/24" u="1"/>
        <s v="GR-1597/23" u="1"/>
        <s v="GR-2035/23" u="1"/>
        <s v="GR-2256/24" u="1"/>
        <s v="GR-2276/23" u="1"/>
        <s v="GR-2497/24" u="1"/>
        <s v="GR-1236/23" u="1"/>
        <s v="GR-1477/23" u="1"/>
        <s v="GR-2156/23" u="1"/>
        <s v="GR-3076/23" u="1"/>
        <s v="GR-1690/23" u="1"/>
        <s v="GR-1116/23" u="1"/>
        <s v="GR-1357/23" u="1"/>
        <s v="GR-1578/24" u="1"/>
        <s v="GR-1598/23" u="1"/>
        <s v="GR-2257/24" u="1"/>
        <s v="GR-2277/23" u="1"/>
        <s v="GR-1570/23" u="1"/>
        <s v="GR-2490/23" u="1"/>
        <s v="GR-1478/23" u="1"/>
        <s v="GR-2157/23" u="1"/>
        <s v="GR-1450/23" u="1"/>
        <s v="GR-1691/23" u="1"/>
        <s v="GR-2370/23" u="1"/>
        <s v="GR-2591/24" u="1"/>
        <s v="GR-3270/24" u="1"/>
        <s v="GR-3290/23" u="1"/>
        <s v="GR-1117/23" u="1"/>
        <s v="GR-1358/23" u="1"/>
        <s v="GR-1579/24" u="1"/>
        <s v="GR-1599/23" u="1"/>
        <s v="GR-2278/23" u="1"/>
        <s v="GR-2499/24" u="1"/>
        <s v="GR-1571/23" u="1"/>
        <s v="GR-2250/23" u="1"/>
        <s v="GR-2491/23" u="1"/>
        <s v="GR-3170/23" u="1"/>
        <s v="GR-1238/23" u="1"/>
        <s v="GR-1479/23" u="1"/>
        <s v="GR-2158/23" u="1"/>
        <s v="GR-3078/23" u="1"/>
        <s v="GR-1210/23" u="1"/>
        <s v="GR-1672/24" u="1"/>
        <s v="GR-1692/23" u="1"/>
        <s v="GR-2110/24" u="1"/>
        <s v="GR-2130/23" u="1"/>
        <s v="GR-2371/23" u="1"/>
        <s v="GR-2592/24" u="1"/>
        <s v="GR-3050/23" u="1"/>
        <s v="GR-3271/24" u="1"/>
        <s v="GR-3291/23" u="1"/>
        <s v="GR-1118/23" u="1"/>
        <s v="GR-1359/23" u="1"/>
        <s v="GR-2259/24" u="1"/>
        <s v="GR-2279/23" u="1"/>
        <s v="GR-1572/23" u="1"/>
        <s v="GR-2010/23" u="1"/>
        <s v="GR-2251/23" u="1"/>
        <s v="GR-2492/23" u="1"/>
        <s v="GR-3171/23" u="1"/>
        <s v="GR-3079/23" u="1"/>
        <s v="GR-1211/23" u="1"/>
        <s v="GR-1452/23" u="1"/>
        <s v="GR-1472/22" u="1"/>
        <s v="GR-1693/23" u="1"/>
        <s v="GR-2131/23" u="1"/>
        <s v="GR-2372/23" u="1"/>
        <s v="GR-2593/24" u="1"/>
        <s v="GR-3031/24" u="1"/>
        <s v="GR-3051/23" u="1"/>
        <s v="GR-3272/24" u="1"/>
        <s v="GR-3292/23" u="1"/>
        <s v="GR-1119/23" u="1"/>
        <s v="GR-1332/23" u="1"/>
        <s v="GR-1553/24" u="1"/>
        <s v="GR-1573/23" u="1"/>
        <s v="GR-2011/23" u="1"/>
        <s v="GR-2252/23" u="1"/>
        <s v="GR-2493/23" u="1"/>
        <s v="GR-3172/23" u="1"/>
        <s v="GR-107/24" u="1"/>
        <s v="GR-1212/23" u="1"/>
        <s v="GR-1453/23" u="1"/>
        <s v="GR-1694/23" u="1"/>
        <s v="GR-2112/24" u="1"/>
        <s v="GR-2132/23" u="1"/>
        <s v="GR-2594/24" u="1"/>
        <s v="GR-3052/23" u="1"/>
        <s v="GR-3273/24" u="1"/>
        <s v="GR-3293/23" u="1"/>
        <s v="GR-1333/23" u="1"/>
        <s v="GR-1554/24" u="1"/>
        <s v="GR-1574/23" u="1"/>
        <s v="GR-2012/23" u="1"/>
        <s v="GR-2253/23" u="1"/>
        <s v="GR-2494/23" u="1"/>
        <s v="GR-1213/23" u="1"/>
        <s v="GR-1454/23" u="1"/>
        <s v="GR-1474/22" u="1"/>
        <s v="GR-1695/23" u="1"/>
        <s v="GR-2113/24" u="1"/>
        <s v="GR-2133/23" u="1"/>
        <s v="GR-2374/23" u="1"/>
        <s v="GR-2595/24" u="1"/>
        <s v="GR-3053/23" u="1"/>
        <s v="GR-3274/24" u="1"/>
        <s v="GR-3294/23" u="1"/>
        <s v="GR-1334/23" u="1"/>
        <s v="GR-1555/24" u="1"/>
        <s v="GR-1575/23" u="1"/>
        <s v="GR-2013/23" u="1"/>
        <s v="GR-2254/23" u="1"/>
        <s v="GR-3174/23" u="1"/>
        <s v="GR-1214/23" u="1"/>
        <s v="GR-1455/23" u="1"/>
        <s v="GR-1475/22" u="1"/>
        <s v="GR-1696/23" u="1"/>
        <s v="GR-2114/24" u="1"/>
        <s v="GR-2134/23" u="1"/>
        <s v="GR-2375/23" u="1"/>
        <s v="GR-3054/23" u="1"/>
        <s v="GR-3275/24" u="1"/>
        <s v="GR-3295/23" u="1"/>
        <s v="GR-1335/23" u="1"/>
        <s v="GR-1556/24" u="1"/>
        <s v="GR-1576/23" u="1"/>
        <s v="GR-2255/23" u="1"/>
        <s v="GR-3175/23" u="1"/>
        <s v="GR-1215/23" u="1"/>
        <s v="GR-1456/23" u="1"/>
        <s v="GR-1476/22" u="1"/>
        <s v="GR-1677/24" u="1"/>
        <s v="GR-1697/23" u="1"/>
        <s v="GR-2115/24" u="1"/>
        <s v="GR-2135/23" u="1"/>
        <s v="GR-3055/23" u="1"/>
        <s v="GR-3276/24" u="1"/>
        <s v="GR-3296/23" u="1"/>
        <s v="GR-1336/23" u="1"/>
        <s v="GR-1557/24" u="1"/>
        <s v="GR-1577/23" u="1"/>
        <s v="GR-2015/23" u="1"/>
        <s v="GR-2256/23" u="1"/>
        <s v="GR-2497/23" u="1"/>
        <s v="GR-3176/23" u="1"/>
        <s v="GR-1216/23" u="1"/>
        <s v="GR-1457/23" u="1"/>
        <s v="GR-1477/22" u="1"/>
        <s v="GR-1698/23" u="1"/>
        <s v="GR-2116/24" u="1"/>
        <s v="GR-2136/23" u="1"/>
        <s v="GR-3056/23" u="1"/>
        <s v="GR-3277/24" u="1"/>
        <s v="GR-3297/23" u="1"/>
        <s v="GR-1670/23" u="1"/>
        <s v="GR-1690/22" u="1"/>
        <s v="GR-2590/23" u="1"/>
        <s v="GR-1337/23" u="1"/>
        <s v="GR-1558/24" u="1"/>
        <s v="GR-1578/23" u="1"/>
        <s v="GR-2016/23" u="1"/>
        <s v="GR-2257/23" u="1"/>
        <s v="GR-2498/23" u="1"/>
        <s v="GR-3177/23" u="1"/>
        <s v="GR-4077/24" u="1"/>
        <s v="GR-1791/23" u="1"/>
        <s v="GR-3370/24" u="1"/>
        <s v="GR-1217/23" u="1"/>
        <s v="GR-1458/23" u="1"/>
        <s v="GR-1478/22" u="1"/>
        <s v="GR-1679/24" u="1"/>
        <s v="GR-1699/23" u="1"/>
        <s v="GR-2117/24" u="1"/>
        <s v="GR-2137/23" u="1"/>
        <s v="GR-2378/23" u="1"/>
        <s v="GR-3057/23" u="1"/>
        <s v="GR-3278/24" u="1"/>
        <s v="GR-3298/23" u="1"/>
        <s v="GR-1430/23" u="1"/>
        <s v="GR-1671/23" u="1"/>
        <s v="GR-1691/22" u="1"/>
        <s v="GR-2350/23" u="1"/>
        <s v="GR-2591/23" u="1"/>
        <s v="GR-3250/24" u="1"/>
        <s v="GR-4190/23" u="1"/>
        <s v="GR-1338/23" u="1"/>
        <s v="GR-1559/24" u="1"/>
        <s v="GR-1579/23" u="1"/>
        <s v="GR-2017/23" u="1"/>
        <s v="GR-2258/23" u="1"/>
        <s v="GR-1310/23" u="1"/>
        <s v="GR-1551/23" u="1"/>
        <s v="GR-1792/23" u="1"/>
        <s v="GR-2230/23" u="1"/>
        <s v="GR-3150/23" u="1"/>
        <s v="GR-4090/22" u="1"/>
        <s v="GR-1218/23" u="1"/>
        <s v="GR-1459/23" u="1"/>
        <s v="GR-1479/22" u="1"/>
        <s v="GR-2118/24" u="1"/>
        <s v="GR-2138/23" u="1"/>
        <s v="GR-2379/23" u="1"/>
        <s v="GR-3058/23" u="1"/>
        <s v="GR-3299/23" u="1"/>
        <s v="GR-1431/23" u="1"/>
        <s v="GR-1451/22" u="1"/>
        <s v="GR-1672/23" u="1"/>
        <s v="GR-1692/22" u="1"/>
        <s v="GR-2110/23" u="1"/>
        <s v="GR-2351/23" u="1"/>
        <s v="GR-2592/23" u="1"/>
        <s v="GR-3010/24" u="1"/>
        <s v="GR-3030/23" u="1"/>
        <s v="GR-3251/24" u="1"/>
        <s v="GR-3271/23" u="1"/>
        <s v="GR-4191/23" u="1"/>
        <s v="GR-3179/23" u="1"/>
        <s v="GR-1311/23" u="1"/>
        <s v="GR-2231/23" u="1"/>
        <s v="GR-2472/23" u="1"/>
        <s v="GR-3151/23" u="1"/>
        <s v="GR-4091/22" u="1"/>
        <s v="GR-1219/23" u="1"/>
        <s v="GR-2119/24" u="1"/>
        <s v="GR-2139/23" u="1"/>
        <s v="GR-3059/23" u="1"/>
        <s v="GR-1432/23" u="1"/>
        <s v="GR-1452/22" u="1"/>
        <s v="GR-1673/23" u="1"/>
        <s v="GR-1693/22" u="1"/>
        <s v="GR-2352/23" u="1"/>
        <s v="GR-2593/23" u="1"/>
        <s v="GR-3011/24" u="1"/>
        <s v="GR-3031/23" u="1"/>
        <s v="GR-3252/24" u="1"/>
        <s v="GR-4192/23" u="1"/>
        <s v="GR-1553/23" u="1"/>
        <s v="GR-1794/23" u="1"/>
        <s v="GR-3152/23" u="1"/>
        <s v="GR-3393/23" u="1"/>
        <s v="GR-4092/22" u="1"/>
        <s v="GR-105/24" u="1"/>
        <s v="GR-1433/23" u="1"/>
        <s v="GR-1453/22" u="1"/>
        <s v="GR-1674/23" u="1"/>
        <s v="GR-1694/22" u="1"/>
        <s v="GR-2353/23" u="1"/>
        <s v="GR-2594/23" u="1"/>
        <s v="GR-3012/24" u="1"/>
        <s v="GR-3032/23" u="1"/>
        <s v="GR-3253/24" u="1"/>
        <s v="GR-3494/24" u="1"/>
        <s v="GR-4193/23" u="1"/>
        <s v="GR-1554/23" u="1"/>
        <s v="GR-1795/23" u="1"/>
        <s v="GR-2233/23" u="1"/>
        <s v="GR-3153/23" u="1"/>
        <s v="GR-3394/23" u="1"/>
        <s v="GR-4093/22" u="1"/>
        <s v="GR-1434/23" u="1"/>
        <s v="GR-1675/23" u="1"/>
        <s v="GR-1695/22" u="1"/>
        <s v="GR-2113/23" u="1"/>
        <s v="GR-2354/23" u="1"/>
        <s v="GR-2595/23" u="1"/>
        <s v="GR-3013/24" u="1"/>
        <s v="GR-3033/23" u="1"/>
        <s v="GR-3254/24" u="1"/>
        <s v="GR-4194/23" u="1"/>
        <s v="GR-1555/23" u="1"/>
        <s v="GR-3154/23" u="1"/>
        <s v="GR-4074/23" u="1"/>
        <s v="GR-4094/22" u="1"/>
        <s v="GR-1435/23" u="1"/>
        <s v="GR-1676/23" u="1"/>
        <s v="GR-1696/22" u="1"/>
        <s v="GR-2114/23" u="1"/>
        <s v="GR-2355/23" u="1"/>
        <s v="GR-2596/23" u="1"/>
        <s v="GR-3014/24" u="1"/>
        <s v="GR-3255/24" u="1"/>
        <s v="GR-3275/23" u="1"/>
        <s v="GR-3496/24" u="1"/>
        <s v="GR-4195/23" u="1"/>
        <s v="GR-1315/23" u="1"/>
        <s v="GR-1556/23" u="1"/>
        <s v="GR-1797/23" u="1"/>
        <s v="GR-3155/23" u="1"/>
        <s v="GR-4075/23" u="1"/>
        <s v="GR-4095/22" u="1"/>
        <s v="GR-1436/23" u="1"/>
        <s v="GR-1677/23" u="1"/>
        <s v="GR-1697/22" u="1"/>
        <s v="GR-2115/23" u="1"/>
        <s v="GR-2356/23" u="1"/>
        <s v="GR-2597/23" u="1"/>
        <s v="GR-3035/23" u="1"/>
        <s v="GR-3256/24" u="1"/>
        <s v="GR-3276/23" u="1"/>
        <s v="GR-3497/24" u="1"/>
        <s v="GR-4196/23" u="1"/>
        <s v="GR-1316/23" u="1"/>
        <s v="GR-1557/23" u="1"/>
        <s v="GR-1798/23" u="1"/>
        <s v="GR-2236/23" u="1"/>
        <s v="GR-2477/23" u="1"/>
        <s v="GR-3156/23" u="1"/>
        <s v="GR-4076/23" u="1"/>
        <s v="GR-4096/22" u="1"/>
        <s v="GR-1770/23" u="1"/>
        <s v="GR-2670/24" u="1"/>
        <s v="GR-1437/23" u="1"/>
        <s v="GR-1678/23" u="1"/>
        <s v="GR-1698/22" u="1"/>
        <s v="GR-2116/23" u="1"/>
        <s v="GR-2357/23" u="1"/>
        <s v="GR-3036/23" u="1"/>
        <s v="GR-3257/24" u="1"/>
        <s v="GR-3277/23" u="1"/>
        <s v="GR-3498/24" u="1"/>
        <s v="GR-4197/23" u="1"/>
        <s v="GR-1891/23" u="1"/>
        <s v="GR-2570/23" u="1"/>
        <s v="GR-1317/23" u="1"/>
        <s v="GR-1538/24" u="1"/>
        <s v="GR-1558/23" u="1"/>
        <s v="GR-1799/23" u="1"/>
        <s v="GR-2237/23" u="1"/>
        <s v="GR-3398/23" u="1"/>
        <s v="GR-4077/23" u="1"/>
        <s v="GR-4097/22" u="1"/>
        <s v="GR-1530/23" u="1"/>
        <s v="GR-1550/22" u="1"/>
        <s v="GR-1771/23" u="1"/>
        <s v="GR-2450/23" u="1"/>
        <s v="GR-3370/23" u="1"/>
        <s v="GR-1438/23" u="1"/>
        <s v="GR-1659/24" u="1"/>
        <s v="GR-1679/23" u="1"/>
        <s v="GR-1699/22" u="1"/>
        <s v="GR-2117/23" u="1"/>
        <s v="GR-2358/23" u="1"/>
        <s v="GR-3037/23" u="1"/>
        <s v="GR-3258/24" u="1"/>
        <s v="GR-3278/23" u="1"/>
        <s v="GR-3499/24" u="1"/>
        <s v="GR-4198/23" u="1"/>
        <s v="GR-1410/23" u="1"/>
        <s v="GR-1651/23" u="1"/>
        <s v="GR-1892/23" u="1"/>
        <s v="GR-2330/23" u="1"/>
        <s v="GR-2571/23" u="1"/>
        <s v="GR-3491/23" u="1"/>
        <s v="GR-4170/23" u="1"/>
        <s v="GR-4190/22" u="1"/>
        <s v="GR-1539/24" u="1"/>
        <s v="GR-1559/23" u="1"/>
        <s v="GR-2479/23" u="1"/>
        <s v="GR-3158/23" u="1"/>
        <s v="GR-4058/24" u="1"/>
        <s v="GR-4098/22" u="1"/>
        <s v="GR-1511/24" u="1"/>
        <s v="GR-1531/23" u="1"/>
        <s v="GR-1772/23" u="1"/>
        <s v="GR-2210/23" u="1"/>
        <s v="GR-2692/23" u="1"/>
        <s v="GR-3130/23" u="1"/>
        <s v="GR-3371/23" u="1"/>
        <s v="GR-4050/23" u="1"/>
        <s v="GR-4070/22" u="1"/>
        <s v="GR-4291/23" u="1"/>
        <s v="GR-1439/23" u="1"/>
        <s v="GR-2118/23" u="1"/>
        <s v="GR-2359/23" u="1"/>
        <s v="GR-3018/24" u="1"/>
        <s v="GR-3038/23" u="1"/>
        <s v="GR-3259/24" u="1"/>
        <s v="GR-3279/23" u="1"/>
        <s v="GR-4199/23" u="1"/>
        <s v="GR-1411/23" u="1"/>
        <s v="GR-1672/22" u="1"/>
        <s v="GR-2331/23" u="1"/>
        <s v="GR-2572/23" u="1"/>
        <s v="GR-3251/23" u="1"/>
        <s v="GR-3492/23" u="1"/>
        <s v="GR-4171/23" u="1"/>
        <s v="GR-4191/22" u="1"/>
        <s v="GR-2239/23" u="1"/>
        <s v="GR-3159/23" u="1"/>
        <s v="GR-4059/24" u="1"/>
        <s v="GR-4079/23" u="1"/>
        <s v="GR-139/24" u="1"/>
        <s v="GR-1512/24" u="1"/>
        <s v="GR-1532/23" u="1"/>
        <s v="GR-1773/23" u="1"/>
        <s v="GR-2693/23" u="1"/>
        <s v="GR-3372/23" u="1"/>
        <s v="GR-2119/23" u="1"/>
        <s v="GR-3039/23" u="1"/>
        <s v="GR-127/24" u="1"/>
        <s v="GR-1412/23" u="1"/>
        <s v="GR-1653/23" u="1"/>
        <s v="GR-1894/23" u="1"/>
        <s v="GR-2332/23" u="1"/>
        <s v="GR-2553/24" u="1"/>
        <s v="GR-2573/23" u="1"/>
        <s v="GR-3011/23" u="1"/>
        <s v="GR-3232/24" u="1"/>
        <s v="GR-3252/23" u="1"/>
        <s v="GR-3493/23" u="1"/>
        <s v="GR-4172/23" u="1"/>
        <s v="GR-4192/22" u="1"/>
        <s v="GR-5092/23" u="1"/>
        <s v="GR-115/24" u="1"/>
        <s v="GR-1513/24" u="1"/>
        <s v="GR-1533/23" u="1"/>
        <s v="GR-2212/23" u="1"/>
        <s v="GR-2694/23" u="1"/>
        <s v="GR-3132/23" u="1"/>
        <s v="GR-3373/23" u="1"/>
        <s v="GR-3393/22" u="1"/>
        <s v="GR-4293/23" u="1"/>
        <s v="GR-1413/23" u="1"/>
        <s v="GR-2333/23" u="1"/>
        <s v="GR-2574/23" u="1"/>
        <s v="GR-3233/24" u="1"/>
        <s v="GR-3494/23" u="1"/>
        <s v="GR-4173/23" u="1"/>
        <s v="GR-4193/22" u="1"/>
        <s v="GR-1534/23" u="1"/>
        <s v="GR-2213/23" u="1"/>
        <s v="GR-2454/23" u="1"/>
        <s v="GR-2695/23" u="1"/>
        <s v="GR-3133/23" u="1"/>
        <s v="GR-3374/23" u="1"/>
        <s v="GR-3394/22" u="1"/>
        <s v="GR-4073/22" u="1"/>
        <s v="GR-4294/23" u="1"/>
        <s v="GR-1414/23" u="1"/>
        <s v="GR-1655/23" u="1"/>
        <s v="GR-2334/23" u="1"/>
        <s v="GR-2575/23" u="1"/>
        <s v="GR-3234/24" u="1"/>
        <s v="GR-3254/23" u="1"/>
        <s v="GR-3495/23" u="1"/>
        <s v="GR-4174/23" u="1"/>
        <s v="GR-4194/22" u="1"/>
        <s v="GR-5094/23" u="1"/>
        <s v="GR-1535/23" u="1"/>
        <s v="GR-2214/23" u="1"/>
        <s v="GR-2455/23" u="1"/>
        <s v="GR-2696/23" u="1"/>
        <s v="GR-3134/23" u="1"/>
        <s v="GR-3375/23" u="1"/>
        <s v="GR-3395/22" u="1"/>
        <s v="GR-4074/22" u="1"/>
        <s v="GR-4295/23" u="1"/>
        <s v="GR-1415/23" u="1"/>
        <s v="GR-1676/22" u="1"/>
        <s v="GR-2335/23" u="1"/>
        <s v="GR-2576/23" u="1"/>
        <s v="GR-3235/24" u="1"/>
        <s v="GR-3255/23" u="1"/>
        <s v="GR-3496/23" u="1"/>
        <s v="GR-4175/23" u="1"/>
        <s v="GR-5095/23" u="1"/>
        <s v="GR-1536/23" u="1"/>
        <s v="GR-1556/22" u="1"/>
        <s v="GR-2215/23" u="1"/>
        <s v="GR-2456/23" u="1"/>
        <s v="GR-2697/23" u="1"/>
        <s v="GR-3376/23" u="1"/>
        <s v="GR-3396/22" u="1"/>
        <s v="GR-4075/22" u="1"/>
        <s v="GR-4296/23" u="1"/>
        <s v="GR-1990/23" u="1"/>
        <s v="GR-1416/23" u="1"/>
        <s v="GR-1657/23" u="1"/>
        <s v="GR-1677/22" u="1"/>
        <s v="GR-2336/23" u="1"/>
        <s v="GR-2577/23" u="1"/>
        <s v="GR-3236/24" u="1"/>
        <s v="GR-3477/24" u="1"/>
        <s v="GR-3497/23" u="1"/>
        <s v="GR-4176/23" u="1"/>
        <s v="GR-1870/23" u="1"/>
        <s v="GR-1537/23" u="1"/>
        <s v="GR-2216/23" u="1"/>
        <s v="GR-2457/23" u="1"/>
        <s v="GR-2698/23" u="1"/>
        <s v="GR-3136/23" u="1"/>
        <s v="GR-3377/23" u="1"/>
        <s v="GR-3397/22" u="1"/>
        <s v="GR-4076/22" u="1"/>
        <s v="GR-5197/24" u="1"/>
        <s v="GR-1991/23" u="1"/>
        <s v="GR-2650/24" u="1"/>
        <s v="GR-1417/23" u="1"/>
        <s v="GR-1658/23" u="1"/>
        <s v="GR-2337/23" u="1"/>
        <s v="GR-2578/23" u="1"/>
        <s v="GR-3237/24" u="1"/>
        <s v="GR-3257/23" u="1"/>
        <s v="GR-3478/24" u="1"/>
        <s v="GR-3498/23" u="1"/>
        <s v="GR-4177/23" u="1"/>
        <s v="GR-5097/23" u="1"/>
        <s v="GR-1610/24" u="1"/>
        <s v="GR-1630/23" u="1"/>
        <s v="GR-2550/23" u="1"/>
        <s v="GR-3490/22" u="1"/>
        <s v="GR-4390/23" u="1"/>
        <s v="GR-1538/23" u="1"/>
        <s v="GR-1558/22" u="1"/>
        <s v="GR-2458/23" u="1"/>
        <s v="GR-2699/23" u="1"/>
        <s v="GR-3137/23" u="1"/>
        <s v="GR-3378/23" u="1"/>
        <s v="GR-3398/22" u="1"/>
        <s v="GR-4077/22" u="1"/>
        <s v="GR-1530/22" u="1"/>
        <s v="GR-1751/23" u="1"/>
        <s v="GR-1992/23" u="1"/>
        <s v="GR-2651/24" u="1"/>
        <s v="GR-3350/23" u="1"/>
        <s v="GR-1438/22" u="1"/>
        <s v="GR-1659/23" u="1"/>
        <s v="GR-2338/23" u="1"/>
        <s v="GR-2579/23" u="1"/>
        <s v="GR-3017/23" u="1"/>
        <s v="GR-3238/24" u="1"/>
        <s v="GR-3258/23" u="1"/>
        <s v="GR-3479/24" u="1"/>
        <s v="GR-3499/23" u="1"/>
        <s v="GR-4178/23" u="1"/>
        <s v="GR-5098/23" u="1"/>
        <s v="GR-1611/24" u="1"/>
        <s v="GR-1631/23" u="1"/>
        <s v="GR-2551/23" u="1"/>
        <s v="GR-3210/24" u="1"/>
        <s v="GR-3230/23" u="1"/>
        <s v="GR-3491/22" u="1"/>
        <s v="GR-4150/23" u="1"/>
        <s v="GR-4170/22" u="1"/>
        <s v="GR-4391/23" u="1"/>
        <s v="GR-5070/23" u="1"/>
        <s v="GR-1539/23" u="1"/>
        <s v="GR-1559/22" u="1"/>
        <s v="GR-2218/23" u="1"/>
        <s v="GR-3138/23" u="1"/>
        <s v="GR-3379/23" u="1"/>
        <s v="GR-3399/22" u="1"/>
        <s v="GR-4078/22" u="1"/>
        <s v="GR-5199/24" u="1"/>
        <s v="GR-1531/22" u="1"/>
        <s v="GR-1993/23" u="1"/>
        <s v="GR-2431/23" u="1"/>
        <s v="GR-2652/24" u="1"/>
        <s v="GR-3110/23" u="1"/>
        <s v="GR-3351/23" u="1"/>
        <s v="GR-4050/22" u="1"/>
        <s v="GR-1419/23" u="1"/>
        <s v="GR-1439/22" u="1"/>
        <s v="GR-2339/23" u="1"/>
        <s v="GR-3239/24" u="1"/>
        <s v="GR-3259/23" u="1"/>
        <s v="GR-4179/23" u="1"/>
        <s v="GR-4199/22" u="1"/>
        <s v="GR-5099/23" u="1"/>
        <s v="GR-149/24" u="1"/>
        <s v="GR-1632/23" u="1"/>
        <s v="GR-2552/23" u="1"/>
        <s v="GR-3452/24" u="1"/>
        <s v="GR-4151/23" u="1"/>
        <s v="GR-4171/22" u="1"/>
        <s v="GR-4392/23" u="1"/>
        <s v="GR-5071/23" u="1"/>
        <s v="GR-2219/23" u="1"/>
        <s v="GR-3139/23" u="1"/>
        <s v="GR-4079/22" u="1"/>
        <s v="GR-137/24" u="1"/>
        <s v="GR-229/24" u="1"/>
        <s v="GR-1512/23" u="1"/>
        <s v="GR-1532/22" u="1"/>
        <s v="GR-1753/23" u="1"/>
        <s v="GR-1994/23" u="1"/>
        <s v="GR-2432/23" u="1"/>
        <s v="GR-2653/24" u="1"/>
        <s v="GR-2693/22" u="1"/>
        <s v="GR-3111/23" u="1"/>
        <s v="GR-3352/23" u="1"/>
        <s v="GR-3573/24" u="1"/>
        <s v="GR-5192/23" u="1"/>
        <s v="GR-3019/23" u="1"/>
        <s v="GR-125/24" u="1"/>
        <s v="GR-1874/23" u="1"/>
        <s v="GR-2553/23" u="1"/>
        <s v="GR-3232/23" u="1"/>
        <s v="GR-3473/23" u="1"/>
        <s v="GR-4152/23" u="1"/>
        <s v="GR-4172/22" u="1"/>
        <s v="GR-4393/23" u="1"/>
        <s v="GR-1513/23" u="1"/>
        <s v="GR-1533/22" u="1"/>
        <s v="GR-1754/23" u="1"/>
        <s v="GR-1995/23" u="1"/>
        <s v="GR-2433/23" u="1"/>
        <s v="GR-3112/23" u="1"/>
        <s v="GR-3353/23" u="1"/>
        <s v="GR-3574/24" u="1"/>
        <s v="GR-101/24" u="1"/>
        <s v="GR-1875/23" u="1"/>
        <s v="GR-2554/23" u="1"/>
        <s v="GR-3454/24" u="1"/>
        <s v="GR-3474/23" u="1"/>
        <s v="GR-3494/22" u="1"/>
        <s v="GR-4153/23" u="1"/>
        <s v="GR-4173/22" u="1"/>
        <s v="GR-4394/23" u="1"/>
        <s v="GR-5073/23" u="1"/>
        <s v="GR-1514/23" u="1"/>
        <s v="GR-1534/22" u="1"/>
        <s v="GR-1755/23" u="1"/>
        <s v="GR-1996/23" u="1"/>
        <s v="GR-2434/23" u="1"/>
        <s v="GR-2655/24" u="1"/>
        <s v="GR-3113/23" u="1"/>
        <s v="GR-3354/23" u="1"/>
        <s v="GR-3575/24" u="1"/>
        <s v="GR-4053/22" u="1"/>
        <s v="GR-4294/22" u="1"/>
        <s v="GR-1876/23" u="1"/>
        <s v="GR-2555/23" u="1"/>
        <s v="GR-3234/23" u="1"/>
        <s v="GR-3475/23" u="1"/>
        <s v="GR-4154/23" u="1"/>
        <s v="GR-4174/22" u="1"/>
        <s v="GR-4395/23" u="1"/>
        <s v="GR-5074/23" u="1"/>
        <s v="GR-5094/22" u="1"/>
        <s v="GR-1515/23" u="1"/>
        <s v="GR-1535/22" u="1"/>
        <s v="GR-1756/23" u="1"/>
        <s v="GR-1997/23" u="1"/>
        <s v="GR-2435/23" u="1"/>
        <s v="GR-2656/24" u="1"/>
        <s v="GR-2897/24" u="1"/>
        <s v="GR-3114/23" u="1"/>
        <s v="GR-3355/23" u="1"/>
        <s v="GR-4034/23" u="1"/>
        <s v="GR-4054/22" u="1"/>
        <s v="GR-4275/23" u="1"/>
        <s v="GR-4295/22" u="1"/>
        <s v="GR-2556/23" u="1"/>
        <s v="GR-3235/23" u="1"/>
        <s v="GR-3456/24" u="1"/>
        <s v="GR-3476/23" u="1"/>
        <s v="GR-3496/22" u="1"/>
        <s v="GR-4155/23" u="1"/>
        <s v="GR-4175/22" u="1"/>
        <s v="GR-4396/23" u="1"/>
        <s v="GR-5075/23" u="1"/>
        <s v="GR-5095/22" u="1"/>
        <s v="GR-1516/23" u="1"/>
        <s v="GR-1536/22" u="1"/>
        <s v="GR-1757/23" u="1"/>
        <s v="GR-1998/23" u="1"/>
        <s v="GR-2215/22" u="1"/>
        <s v="GR-2436/23" u="1"/>
        <s v="GR-2657/24" u="1"/>
        <s v="GR-2898/24" u="1"/>
        <s v="GR-3115/23" u="1"/>
        <s v="GR-3356/23" u="1"/>
        <s v="GR-3577/24" u="1"/>
        <s v="GR-4035/23" u="1"/>
        <s v="GR-4055/22" u="1"/>
        <s v="GR-4296/22" u="1"/>
        <s v="GR-1970/23" u="1"/>
        <s v="GR-2890/23" u="1"/>
        <s v="GR-1617/24" u="1"/>
        <s v="GR-2557/23" u="1"/>
        <s v="GR-3236/23" u="1"/>
        <s v="GR-3497/22" u="1"/>
        <s v="GR-4156/23" u="1"/>
        <s v="GR-4397/23" u="1"/>
        <s v="GR-5076/23" u="1"/>
        <s v="GR-5096/22" u="1"/>
        <s v="GR-1850/23" u="1"/>
        <s v="GR-2770/23" u="1"/>
        <s v="GR-1517/23" u="1"/>
        <s v="GR-1758/23" u="1"/>
        <s v="GR-2437/23" u="1"/>
        <s v="GR-2658/24" u="1"/>
        <s v="GR-3116/23" u="1"/>
        <s v="GR-3357/23" u="1"/>
        <s v="GR-4036/23" u="1"/>
        <s v="GR-4277/23" u="1"/>
        <s v="GR-4297/22" u="1"/>
        <s v="GR-1730/23" u="1"/>
        <s v="GR-1971/23" u="1"/>
        <s v="GR-2650/23" u="1"/>
        <s v="GR-3590/22" u="1"/>
        <s v="GR-4490/23" u="1"/>
        <s v="GR-2558/23" u="1"/>
        <s v="GR-3237/23" u="1"/>
        <s v="GR-3498/22" u="1"/>
        <s v="GR-4157/23" u="1"/>
        <s v="GR-4177/22" u="1"/>
        <s v="GR-4398/23" u="1"/>
        <s v="GR-5077/23" u="1"/>
        <s v="GR-1610/23" u="1"/>
        <s v="GR-2510/24" u="1"/>
        <s v="GR-2530/23" u="1"/>
        <s v="GR-3430/24" u="1"/>
        <s v="GR-3450/23" u="1"/>
        <s v="GR-3470/22" u="1"/>
        <s v="GR-4390/22" u="1"/>
        <s v="GR-5290/23" u="1"/>
        <s v="GR-1518/23" u="1"/>
        <s v="GR-1759/23" u="1"/>
        <s v="GR-2438/23" u="1"/>
        <s v="GR-2679/23" u="1"/>
        <s v="GR-3117/23" u="1"/>
        <s v="GR-3358/23" u="1"/>
        <s v="GR-4037/23" u="1"/>
        <s v="GR-4298/22" u="1"/>
        <s v="GR-1972/23" u="1"/>
        <s v="GR-2410/23" u="1"/>
        <s v="GR-2892/23" u="1"/>
        <s v="GR-3350/22" u="1"/>
        <s v="GR-4491/23" u="1"/>
        <s v="GR-5170/23" u="1"/>
        <s v="GR-5190/22" u="1"/>
        <s v="GR-1639/23" u="1"/>
        <s v="GR-2559/23" u="1"/>
        <s v="GR-3238/23" u="1"/>
        <s v="GR-3459/24" u="1"/>
        <s v="GR-3499/22" u="1"/>
        <s v="GR-4158/23" u="1"/>
        <s v="GR-4399/23" u="1"/>
        <s v="GR-1611/23" u="1"/>
        <s v="GR-1852/23" u="1"/>
        <s v="GR-2511/24" u="1"/>
        <s v="GR-2531/23" u="1"/>
        <s v="GR-3210/23" u="1"/>
        <s v="GR-3431/24" u="1"/>
        <s v="GR-3451/23" u="1"/>
        <s v="GR-4150/22" u="1"/>
        <s v="GR-4371/23" u="1"/>
        <s v="GR-4391/22" u="1"/>
        <s v="GR-5050/23" u="1"/>
        <s v="GR-5291/23" u="1"/>
        <s v="GR-1519/23" u="1"/>
        <s v="GR-2439/23" u="1"/>
        <s v="GR-3118/23" u="1"/>
        <s v="GR-3359/23" u="1"/>
        <s v="GR-4038/23" u="1"/>
        <s v="GR-4299/22" u="1"/>
        <s v="GR-1973/23" u="1"/>
        <s v="GR-2411/23" u="1"/>
        <s v="GR-2893/23" u="1"/>
        <s v="GR-3351/22" u="1"/>
        <s v="GR-3552/24" u="1"/>
        <s v="GR-3572/23" u="1"/>
        <s v="GR-3592/22" u="1"/>
        <s v="GR-3793/24" u="1"/>
        <s v="GR-4251/23" u="1"/>
        <s v="GR-4492/23" u="1"/>
        <s v="GR-5171/23" u="1"/>
        <s v="GR-5191/22" u="1"/>
        <s v="GR-2319/23" u="1"/>
        <s v="GR-3239/23" u="1"/>
        <s v="GR-4159/23" u="1"/>
        <s v="GR-4179/22" u="1"/>
        <s v="GR-5079/23" u="1"/>
        <s v="GR-5099/22" u="1"/>
        <s v="GR-147/24" u="1"/>
        <s v="GR-1612/23" u="1"/>
        <s v="GR-1853/23" u="1"/>
        <s v="GR-2512/24" u="1"/>
        <s v="GR-2532/23" u="1"/>
        <s v="GR-2773/23" u="1"/>
        <s v="GR-2994/24" u="1"/>
        <s v="GR-3211/23" u="1"/>
        <s v="GR-3432/24" u="1"/>
        <s v="GR-3452/23" u="1"/>
        <s v="GR-4131/23" u="1"/>
        <s v="GR-4151/22" u="1"/>
        <s v="GR-4372/23" u="1"/>
        <s v="GR-4392/22" u="1"/>
        <s v="GR-5051/23" u="1"/>
        <s v="GR-5071/22" u="1"/>
        <s v="GR-5292/23" u="1"/>
        <s v="GR-3119/23" u="1"/>
        <s v="GR-4039/23" u="1"/>
        <s v="GR-1733/23" u="1"/>
        <s v="GR-1974/23" u="1"/>
        <s v="GR-2412/23" u="1"/>
        <s v="GR-3332/23" u="1"/>
        <s v="GR-3352/22" u="1"/>
        <s v="GR-3553/24" u="1"/>
        <s v="GR-3573/23" u="1"/>
        <s v="GR-3794/24" u="1"/>
        <s v="GR-4493/23" u="1"/>
        <s v="GR-5192/22" u="1"/>
        <s v="GR-123/24" u="1"/>
        <s v="GR-1613/23" u="1"/>
        <s v="GR-1854/23" u="1"/>
        <s v="GR-2533/23" u="1"/>
        <s v="GR-2774/23" u="1"/>
        <s v="GR-2794/22" u="1"/>
        <s v="GR-2995/24" u="1"/>
        <s v="GR-3212/23" u="1"/>
        <s v="GR-3433/24" u="1"/>
        <s v="GR-3453/23" u="1"/>
        <s v="GR-3473/22" u="1"/>
        <s v="GR-4152/22" u="1"/>
        <s v="GR-4373/23" u="1"/>
        <s v="GR-4393/22" u="1"/>
        <s v="GR-5072/22" u="1"/>
        <s v="GR-5293/23" u="1"/>
        <s v="GR-1734/23" u="1"/>
        <s v="GR-1975/23" u="1"/>
        <s v="GR-2413/23" u="1"/>
        <s v="GR-3333/23" u="1"/>
        <s v="GR-3353/22" u="1"/>
        <s v="GR-3574/23" u="1"/>
        <s v="GR-3594/22" u="1"/>
        <s v="GR-3795/24" u="1"/>
        <s v="GR-4273/22" u="1"/>
        <s v="GR-4494/23" u="1"/>
        <s v="GR-5193/22" u="1"/>
        <s v="GR-6093/23" u="1"/>
        <s v="GR-1614/23" u="1"/>
        <s v="GR-2534/23" u="1"/>
        <s v="GR-2775/23" u="1"/>
        <s v="GR-2996/24" u="1"/>
        <s v="GR-3213/23" u="1"/>
        <s v="GR-3434/24" u="1"/>
        <s v="GR-4153/22" u="1"/>
        <s v="GR-4374/23" u="1"/>
        <s v="GR-4394/22" u="1"/>
        <s v="GR-5053/23" u="1"/>
        <s v="GR-5073/22" u="1"/>
        <s v="GR-5294/23" u="1"/>
        <s v="GR-1735/23" u="1"/>
        <s v="GR-1976/23" u="1"/>
        <s v="GR-2414/23" u="1"/>
        <s v="GR-2896/23" u="1"/>
        <s v="GR-3354/22" u="1"/>
        <s v="GR-3595/22" u="1"/>
        <s v="GR-3796/24" u="1"/>
        <s v="GR-4495/23" u="1"/>
        <s v="GR-5194/22" u="1"/>
        <s v="GR-1615/23" u="1"/>
        <s v="GR-1856/23" u="1"/>
        <s v="GR-2535/23" u="1"/>
        <s v="GR-2776/23" u="1"/>
        <s v="GR-3214/23" u="1"/>
        <s v="GR-4154/22" u="1"/>
        <s v="GR-4375/23" u="1"/>
        <s v="GR-4395/22" u="1"/>
        <s v="GR-5054/23" u="1"/>
        <s v="GR-5295/23" u="1"/>
        <s v="GR-1736/23" u="1"/>
        <s v="GR-1977/23" u="1"/>
        <s v="GR-2415/23" u="1"/>
        <s v="GR-2897/23" u="1"/>
        <s v="GR-3335/23" u="1"/>
        <s v="GR-3355/22" u="1"/>
        <s v="GR-3797/24" u="1"/>
        <s v="GR-5195/22" u="1"/>
        <s v="GR-1616/23" u="1"/>
        <s v="GR-2536/23" u="1"/>
        <s v="GR-2777/23" u="1"/>
        <s v="GR-2998/24" u="1"/>
        <s v="GR-3215/23" u="1"/>
        <s v="GR-4155/22" u="1"/>
        <s v="GR-4376/23" u="1"/>
        <s v="GR-5055/23" u="1"/>
        <s v="GR-5296/23" u="1"/>
        <s v="GR-2990/23" u="1"/>
        <s v="GR-1978/23" u="1"/>
        <s v="GR-2416/23" u="1"/>
        <s v="GR-3336/23" u="1"/>
        <s v="GR-3577/23" u="1"/>
        <s v="GR-3798/24" u="1"/>
        <s v="GR-4497/23" u="1"/>
        <s v="GR-5196/22" u="1"/>
        <s v="GR-3790/23" u="1"/>
        <s v="GR-1617/23" u="1"/>
        <s v="GR-1858/23" u="1"/>
        <s v="GR-2537/23" u="1"/>
        <s v="GR-2778/23" u="1"/>
        <s v="GR-2999/24" u="1"/>
        <s v="GR-3216/23" u="1"/>
        <s v="GR-4156/22" u="1"/>
        <s v="GR-4377/23" u="1"/>
        <s v="GR-5056/23" u="1"/>
        <s v="GR-5297/23" u="1"/>
        <s v="GR-1830/23" u="1"/>
        <s v="GR-2750/23" u="1"/>
        <s v="GR-2770/22" u="1"/>
        <s v="GR-2991/23" u="1"/>
        <s v="GR-3670/23" u="1"/>
        <s v="GR-1979/23" u="1"/>
        <s v="GR-2899/23" u="1"/>
        <s v="GR-4016/23" u="1"/>
        <s v="GR-4498/23" u="1"/>
        <s v="GR-1710/23" u="1"/>
        <s v="GR-2630/23" u="1"/>
        <s v="GR-2650/22" u="1"/>
        <s v="GR-3791/23" u="1"/>
        <s v="GR-5390/23" u="1"/>
        <s v="GR-1618/23" u="1"/>
        <s v="GR-1859/23" u="1"/>
        <s v="GR-2538/23" u="1"/>
        <s v="GR-3217/23" u="1"/>
        <s v="GR-3478/22" u="1"/>
        <s v="GR-4157/22" u="1"/>
        <s v="GR-4378/23" u="1"/>
        <s v="GR-4398/22" u="1"/>
        <s v="GR-5057/23" u="1"/>
        <s v="GR-1831/23" u="1"/>
        <s v="GR-2510/23" u="1"/>
        <s v="GR-2751/23" u="1"/>
        <s v="GR-2771/22" u="1"/>
        <s v="GR-2992/23" u="1"/>
        <s v="GR-3671/23" u="1"/>
        <s v="GR-4350/23" u="1"/>
        <s v="GR-4370/22" u="1"/>
        <s v="GR-5290/22" u="1"/>
        <s v="GR-2418/23" u="1"/>
        <s v="GR-3338/23" u="1"/>
        <s v="GR-3358/22" u="1"/>
        <s v="GR-4017/23" u="1"/>
        <s v="GR-4258/23" u="1"/>
        <s v="GR-4499/23" u="1"/>
        <s v="GR-5198/22" u="1"/>
        <s v="GR-1711/23" u="1"/>
        <s v="GR-2631/23" u="1"/>
        <s v="GR-3310/23" u="1"/>
        <s v="GR-3571/22" u="1"/>
        <s v="GR-3792/23" u="1"/>
        <s v="GR-4250/22" u="1"/>
        <s v="GR-4471/23" u="1"/>
        <s v="GR-5150/23" u="1"/>
        <s v="GR-5170/22" u="1"/>
        <s v="GR-5391/23" u="1"/>
        <s v="GR-1619/23" u="1"/>
        <s v="GR-2539/23" u="1"/>
        <s v="GR-3218/23" u="1"/>
        <s v="GR-3459/23" u="1"/>
        <s v="GR-4158/22" u="1"/>
        <s v="GR-4379/23" u="1"/>
        <s v="GR-4399/22" u="1"/>
        <s v="GR-5058/23" u="1"/>
        <s v="GR-5299/23" u="1"/>
        <s v="GR-1812/24" u="1"/>
        <s v="GR-2511/23" u="1"/>
        <s v="GR-2752/23" u="1"/>
        <s v="GR-2772/22" u="1"/>
        <s v="GR-2993/23" u="1"/>
        <s v="GR-3672/23" u="1"/>
        <s v="GR-4130/22" u="1"/>
        <s v="GR-4351/23" u="1"/>
        <s v="GR-4371/22" u="1"/>
        <s v="GR-5030/23" u="1"/>
        <s v="GR-5271/23" u="1"/>
        <s v="GR-5291/22" u="1"/>
        <s v="GR-3339/23" u="1"/>
        <s v="GR-3359/22" u="1"/>
        <s v="GR-4018/23" u="1"/>
        <s v="GR-4259/23" u="1"/>
        <s v="GR-5199/22" u="1"/>
        <s v="GR-157/24" u="1"/>
        <s v="GR-249/24" u="1"/>
        <s v="GR-1712/23" u="1"/>
        <s v="GR-2632/23" u="1"/>
        <s v="GR-3311/23" u="1"/>
        <s v="GR-3572/22" u="1"/>
        <s v="GR-3793/23" u="1"/>
        <s v="GR-4010/22" u="1"/>
        <s v="GR-4231/23" u="1"/>
        <s v="GR-4472/23" u="1"/>
        <s v="GR-5151/23" u="1"/>
        <s v="GR-5171/22" u="1"/>
        <s v="GR-5392/23" u="1"/>
        <s v="GR-3219/23" u="1"/>
        <s v="GR-4159/22" u="1"/>
        <s v="GR-5059/23" u="1"/>
        <s v="GR-145/24" u="1"/>
        <s v="GR-1813/24" u="1"/>
        <s v="GR-1833/23" u="1"/>
        <s v="GR-2512/23" u="1"/>
        <s v="GR-2753/23" u="1"/>
        <s v="GR-2773/22" u="1"/>
        <s v="GR-2994/23" u="1"/>
        <s v="GR-3452/22" u="1"/>
        <s v="GR-3673/23" u="1"/>
        <s v="GR-4131/22" u="1"/>
        <s v="GR-4352/23" u="1"/>
        <s v="GR-5031/23" u="1"/>
        <s v="GR-5051/22" u="1"/>
        <s v="GR-5272/23" u="1"/>
        <s v="GR-5292/22" u="1"/>
        <s v="GR-6192/23" u="1"/>
        <s v="GR-4019/23" u="1"/>
        <s v="GR-317/24" u="1"/>
        <s v="GR-409/24" u="1"/>
        <s v="GR-1713/23" u="1"/>
        <s v="GR-1954/23" u="1"/>
        <s v="GR-3312/23" u="1"/>
        <s v="GR-3573/22" u="1"/>
        <s v="GR-3794/23" u="1"/>
        <s v="GR-4011/22" u="1"/>
        <s v="GR-4252/22" u="1"/>
        <s v="GR-4473/23" u="1"/>
        <s v="GR-4694/24" u="1"/>
        <s v="GR-5152/23" u="1"/>
        <s v="GR-5172/22" u="1"/>
        <s v="GR-5393/23" u="1"/>
        <s v="GR-1834/23" u="1"/>
        <s v="GR-2513/23" u="1"/>
        <s v="GR-2754/23" u="1"/>
        <s v="GR-2995/23" u="1"/>
        <s v="GR-3674/23" u="1"/>
        <s v="GR-4132/22" u="1"/>
        <s v="GR-4353/23" u="1"/>
        <s v="GR-4373/22" u="1"/>
        <s v="GR-5032/23" u="1"/>
        <s v="GR-5273/23" u="1"/>
        <s v="GR-5293/22" u="1"/>
        <s v="GR-1714/23" u="1"/>
        <s v="GR-1955/23" u="1"/>
        <s v="GR-3313/23" u="1"/>
        <s v="GR-3574/22" u="1"/>
        <s v="GR-3795/23" u="1"/>
        <s v="GR-4012/22" u="1"/>
        <s v="GR-4233/23" u="1"/>
        <s v="GR-4253/22" u="1"/>
        <s v="GR-4474/23" u="1"/>
        <s v="GR-5153/23" u="1"/>
        <s v="GR-5394/23" u="1"/>
        <s v="GR-1835/23" u="1"/>
        <s v="GR-2755/23" u="1"/>
        <s v="GR-2996/23" u="1"/>
        <s v="GR-3454/22" u="1"/>
        <s v="GR-3675/23" u="1"/>
        <s v="GR-4354/23" u="1"/>
        <s v="GR-4374/22" u="1"/>
        <s v="GR-5033/23" u="1"/>
        <s v="GR-5053/22" u="1"/>
        <s v="GR-5274/23" u="1"/>
        <s v="GR-5294/22" u="1"/>
        <s v="GR-1715/23" u="1"/>
        <s v="GR-1956/23" u="1"/>
        <s v="GR-2635/23" u="1"/>
        <s v="GR-3314/23" u="1"/>
        <s v="GR-3575/22" u="1"/>
        <s v="GR-3796/23" u="1"/>
        <s v="GR-4013/22" u="1"/>
        <s v="GR-4234/23" u="1"/>
        <s v="GR-4254/22" u="1"/>
        <s v="GR-4475/23" u="1"/>
        <s v="GR-4696/24" u="1"/>
        <s v="GR-5154/23" u="1"/>
        <s v="GR-5174/22" u="1"/>
        <s v="GR-5395/23" u="1"/>
        <s v="GR-1836/23" u="1"/>
        <s v="GR-2756/23" u="1"/>
        <s v="GR-2997/23" u="1"/>
        <s v="GR-3435/23" u="1"/>
        <s v="GR-3455/22" u="1"/>
        <s v="GR-3897/24" u="1"/>
        <s v="GR-4134/22" u="1"/>
        <s v="GR-4355/23" u="1"/>
        <s v="GR-4375/22" u="1"/>
        <s v="GR-5034/23" u="1"/>
        <s v="GR-5054/22" u="1"/>
        <s v="GR-5275/23" u="1"/>
        <s v="GR-5295/22" u="1"/>
        <s v="GR-1716/23" u="1"/>
        <s v="GR-1957/23" u="1"/>
        <s v="GR-2636/23" u="1"/>
        <s v="GR-3315/23" u="1"/>
        <s v="GR-3797/23" u="1"/>
        <s v="GR-4255/22" u="1"/>
        <s v="GR-4476/23" u="1"/>
        <s v="GR-5155/23" u="1"/>
        <s v="GR-5175/22" u="1"/>
        <s v="GR-5396/23" u="1"/>
        <s v="GR-1837/23" u="1"/>
        <s v="GR-2516/23" u="1"/>
        <s v="GR-2757/23" u="1"/>
        <s v="GR-2998/23" u="1"/>
        <s v="GR-3898/24" u="1"/>
        <s v="GR-4135/22" u="1"/>
        <s v="GR-4356/23" u="1"/>
        <s v="GR-4376/22" u="1"/>
        <s v="GR-5035/23" u="1"/>
        <s v="GR-5055/22" u="1"/>
        <s v="GR-5276/23" u="1"/>
        <s v="GR-5296/22" u="1"/>
        <s v="GR-3890/23" u="1"/>
        <s v="GR-4790/24" u="1"/>
        <s v="GR-1717/23" u="1"/>
        <s v="GR-1958/23" u="1"/>
        <s v="GR-2637/23" u="1"/>
        <s v="GR-3316/23" u="1"/>
        <s v="GR-3798/23" u="1"/>
        <s v="GR-4015/22" u="1"/>
        <s v="GR-4477/23" u="1"/>
        <s v="GR-5156/23" u="1"/>
        <s v="GR-5397/23" u="1"/>
        <s v="GR-2850/23" u="1"/>
        <s v="GR-3770/23" u="1"/>
        <s v="GR-3790/22" u="1"/>
        <s v="GR-4690/23" u="1"/>
        <s v="GR-1838/23" u="1"/>
        <s v="GR-2758/23" u="1"/>
        <s v="GR-2979/24" u="1"/>
        <s v="GR-2999/23" u="1"/>
        <s v="GR-3437/23" u="1"/>
        <s v="GR-3899/24" u="1"/>
        <s v="GR-4136/22" u="1"/>
        <s v="GR-4357/23" u="1"/>
        <s v="GR-4377/22" u="1"/>
        <s v="GR-5036/23" u="1"/>
        <s v="GR-5056/22" u="1"/>
        <s v="GR-5277/23" u="1"/>
        <s v="GR-5297/22" u="1"/>
        <s v="GR-2730/23" u="1"/>
        <s v="GR-2971/23" u="1"/>
        <s v="GR-3650/23" u="1"/>
        <s v="GR-3871/24" u="1"/>
        <s v="GR-3891/23" u="1"/>
        <s v="GR-4570/23" u="1"/>
        <s v="GR-4791/24" u="1"/>
        <s v="GR-1718/23" u="1"/>
        <s v="GR-1959/23" u="1"/>
        <s v="GR-2638/23" u="1"/>
        <s v="GR-3317/23" u="1"/>
        <s v="GR-3558/23" u="1"/>
        <s v="GR-3578/22" u="1"/>
        <s v="GR-3799/23" u="1"/>
        <s v="GR-4016/22" u="1"/>
        <s v="GR-4478/23" u="1"/>
        <s v="GR-4498/22" u="1"/>
        <s v="GR-5157/23" u="1"/>
        <s v="GR-5177/22" u="1"/>
        <s v="GR-5398/23" u="1"/>
        <s v="GR-2610/23" u="1"/>
        <s v="GR-2851/23" u="1"/>
        <s v="GR-3530/23" u="1"/>
        <s v="GR-3550/22" u="1"/>
        <s v="GR-3771/23" u="1"/>
        <s v="GR-3992/24" u="1"/>
        <s v="GR-4691/23" u="1"/>
        <s v="GR-5390/22" u="1"/>
        <s v="GR-1839/23" u="1"/>
        <s v="GR-2518/23" u="1"/>
        <s v="GR-2759/23" u="1"/>
        <s v="GR-3679/23" u="1"/>
        <s v="GR-4137/22" u="1"/>
        <s v="GR-5057/22" u="1"/>
        <s v="GR-5278/23" u="1"/>
        <s v="GR-5298/22" u="1"/>
        <s v="GR-1811/23" u="1"/>
        <s v="GR-3410/23" u="1"/>
        <s v="GR-3651/23" u="1"/>
        <s v="GR-3892/23" u="1"/>
        <s v="GR-4792/24" u="1"/>
        <s v="GR-5250/23" u="1"/>
        <s v="GR-5270/22" u="1"/>
        <s v="GR-1719/23" u="1"/>
        <s v="GR-2639/23" u="1"/>
        <s v="GR-3318/23" u="1"/>
        <s v="GR-3579/22" u="1"/>
        <s v="GR-4479/23" u="1"/>
        <s v="GR-4499/22" u="1"/>
        <s v="GR-5178/22" u="1"/>
        <s v="GR-5399/23" u="1"/>
        <s v="GR-179/24" u="1"/>
        <s v="GR-1932/23" u="1"/>
        <s v="GR-3531/23" u="1"/>
        <s v="GR-3551/22" u="1"/>
        <s v="GR-3772/23" u="1"/>
        <s v="GR-3993/24" u="1"/>
        <s v="GR-4210/23" u="1"/>
        <s v="GR-4471/22" u="1"/>
        <s v="GR-4692/23" u="1"/>
        <s v="GR-5130/23" u="1"/>
        <s v="GR-6050/23" u="1"/>
        <s v="GR-2519/23" u="1"/>
        <s v="GR-3459/22" u="1"/>
        <s v="GR-4138/22" u="1"/>
        <s v="GR-4359/23" u="1"/>
        <s v="GR-4379/22" u="1"/>
        <s v="GR-5038/23" u="1"/>
        <s v="GR-5058/22" u="1"/>
        <s v="GR-5279/23" u="1"/>
        <s v="GR-5299/22" u="1"/>
        <s v="GR-1812/23" u="1"/>
        <s v="GR-2511/22" u="1"/>
        <s v="GR-3652/23" u="1"/>
        <s v="GR-3893/23" u="1"/>
        <s v="GR-4331/23" u="1"/>
        <s v="GR-4793/24" u="1"/>
        <s v="GR-5010/23" u="1"/>
        <s v="GR-5030/22" u="1"/>
        <s v="GR-5251/23" u="1"/>
        <s v="GR-5271/22" u="1"/>
        <s v="GR-7091/23" u="1"/>
        <s v="GR-3319/23" u="1"/>
        <s v="GR-5159/23" u="1"/>
        <s v="GR-5179/22" u="1"/>
        <s v="GR-155/24" u="1"/>
        <s v="GR-1933/23" u="1"/>
        <s v="GR-2612/23" u="1"/>
        <s v="GR-3552/22" u="1"/>
        <s v="GR-3773/23" u="1"/>
        <s v="GR-3793/22" u="1"/>
        <s v="GR-4211/23" u="1"/>
        <s v="GR-4693/23" u="1"/>
        <s v="GR-5131/23" u="1"/>
        <s v="GR-5372/23" u="1"/>
        <s v="GR-5392/22" u="1"/>
        <s v="GR-6051/23" u="1"/>
        <s v="GR-4139/22" u="1"/>
        <s v="GR-5059/22" u="1"/>
        <s v="GR-143/24" u="1"/>
        <s v="GR-419/24" u="1"/>
        <s v="GR-1813/23" u="1"/>
        <s v="GR-2733/23" u="1"/>
        <s v="GR-3412/23" u="1"/>
        <s v="GR-3432/22" u="1"/>
        <s v="GR-3653/23" u="1"/>
        <s v="GR-3673/22" u="1"/>
        <s v="GR-3894/23" u="1"/>
        <s v="GR-4332/23" u="1"/>
        <s v="GR-4794/24" u="1"/>
        <s v="GR-5011/23" u="1"/>
        <s v="GR-5252/23" u="1"/>
        <s v="GR-5272/22" u="1"/>
        <s v="GR-7092/23" u="1"/>
        <s v="GR-131/24" u="1"/>
        <s v="GR-315/24" u="1"/>
        <s v="GR-407/24" u="1"/>
        <s v="GR-2613/23" u="1"/>
        <s v="GR-3774/23" u="1"/>
        <s v="GR-4212/23" u="1"/>
        <s v="GR-5132/23" u="1"/>
        <s v="GR-5373/23" u="1"/>
        <s v="GR-5393/22" u="1"/>
        <s v="GR-303/24" u="1"/>
        <s v="GR-2734/23" u="1"/>
        <s v="GR-3433/22" u="1"/>
        <s v="GR-3654/23" u="1"/>
        <s v="GR-3674/22" u="1"/>
        <s v="GR-3875/24" u="1"/>
        <s v="GR-4795/24" u="1"/>
        <s v="GR-5012/23" u="1"/>
        <s v="GR-5032/22" u="1"/>
        <s v="GR-5253/23" u="1"/>
        <s v="GR-6173/23" u="1"/>
        <s v="GR-2614/23" u="1"/>
        <s v="GR-3514/24" u="1"/>
        <s v="GR-3554/22" u="1"/>
        <s v="GR-3775/23" u="1"/>
        <s v="GR-4213/23" u="1"/>
        <s v="GR-4695/23" u="1"/>
        <s v="GR-5374/23" u="1"/>
        <s v="GR-2715/24" u="1"/>
        <s v="GR-2735/23" u="1"/>
        <s v="GR-3434/22" u="1"/>
        <s v="GR-3655/23" u="1"/>
        <s v="GR-3675/22" u="1"/>
        <s v="GR-3876/24" u="1"/>
        <s v="GR-4113/22" u="1"/>
        <s v="GR-4575/23" u="1"/>
        <s v="GR-4796/24" u="1"/>
        <s v="GR-5013/23" u="1"/>
        <s v="GR-5033/22" u="1"/>
        <s v="GR-5254/23" u="1"/>
        <s v="GR-6174/23" u="1"/>
        <s v="GR-2615/23" u="1"/>
        <s v="GR-3555/22" u="1"/>
        <s v="GR-3776/23" u="1"/>
        <s v="GR-4214/23" u="1"/>
        <s v="GR-5134/23" u="1"/>
        <s v="GR-5375/23" u="1"/>
        <s v="GR-6054/23" u="1"/>
        <s v="GR-2736/23" u="1"/>
        <s v="GR-2977/23" u="1"/>
        <s v="GR-3435/22" u="1"/>
        <s v="GR-3656/23" u="1"/>
        <s v="GR-3676/22" u="1"/>
        <s v="GR-3877/24" u="1"/>
        <s v="GR-4114/22" u="1"/>
        <s v="GR-4335/23" u="1"/>
        <s v="GR-4576/23" u="1"/>
        <s v="GR-4797/24" u="1"/>
        <s v="GR-5014/23" u="1"/>
        <s v="GR-5034/22" u="1"/>
        <s v="GR-5255/23" u="1"/>
        <s v="GR-6175/23" u="1"/>
        <s v="GR-2616/23" u="1"/>
        <s v="GR-3777/23" u="1"/>
        <s v="GR-3797/22" u="1"/>
        <s v="GR-4215/23" u="1"/>
        <s v="GR-5376/23" u="1"/>
        <s v="GR-3990/23" u="1"/>
        <s v="GR-1817/23" u="1"/>
        <s v="GR-2737/23" u="1"/>
        <s v="GR-2978/23" u="1"/>
        <s v="GR-3436/22" u="1"/>
        <s v="GR-3677/22" u="1"/>
        <s v="GR-4336/23" u="1"/>
        <s v="GR-4577/23" u="1"/>
        <s v="GR-4798/24" u="1"/>
        <s v="GR-5015/23" u="1"/>
        <s v="GR-5035/22" u="1"/>
        <s v="GR-5256/23" u="1"/>
        <s v="GR-5276/22" u="1"/>
        <s v="GR-5497/23" u="1"/>
        <s v="GR-6176/23" u="1"/>
        <s v="GR-2970/22" u="1"/>
        <s v="GR-3870/23" u="1"/>
        <s v="GR-2617/23" u="1"/>
        <s v="GR-3758/24" u="1"/>
        <s v="GR-3778/23" u="1"/>
        <s v="GR-3798/22" u="1"/>
        <s v="GR-4216/23" u="1"/>
        <s v="GR-4457/23" u="1"/>
        <s v="GR-4698/23" u="1"/>
        <s v="GR-5377/23" u="1"/>
        <s v="GR-6056/23" u="1"/>
        <s v="GR-1910/23" u="1"/>
        <s v="GR-2830/23" u="1"/>
        <s v="GR-3991/23" u="1"/>
        <s v="GR-4690/22" u="1"/>
        <s v="GR-5590/23" u="1"/>
        <s v="GR-1818/23" u="1"/>
        <s v="GR-2738/23" u="1"/>
        <s v="GR-2979/23" u="1"/>
        <s v="GR-3417/23" u="1"/>
        <s v="GR-3678/22" u="1"/>
        <s v="GR-3879/24" u="1"/>
        <s v="GR-3899/23" u="1"/>
        <s v="GR-4337/23" u="1"/>
        <s v="GR-4799/24" u="1"/>
        <s v="GR-5016/23" u="1"/>
        <s v="GR-5036/22" u="1"/>
        <s v="GR-5257/23" u="1"/>
        <s v="GR-5277/22" u="1"/>
        <s v="GR-2951/23" u="1"/>
        <s v="GR-3851/24" u="1"/>
        <s v="GR-3871/23" u="1"/>
        <s v="GR-4550/23" u="1"/>
        <s v="GR-4791/23" u="1"/>
        <s v="GR-5470/23" u="1"/>
        <s v="GR-5490/22" u="1"/>
        <s v="GR-2618/23" u="1"/>
        <s v="GR-3538/23" u="1"/>
        <s v="GR-3779/23" u="1"/>
        <s v="GR-3799/22" u="1"/>
        <s v="GR-4217/23" u="1"/>
        <s v="GR-4699/23" u="1"/>
        <s v="GR-5137/23" u="1"/>
        <s v="GR-5157/22" u="1"/>
        <s v="GR-5378/23" u="1"/>
        <s v="GR-2831/23" u="1"/>
        <s v="GR-3510/23" u="1"/>
        <s v="GR-3751/23" u="1"/>
        <s v="GR-3992/23" u="1"/>
        <s v="GR-4691/22" u="1"/>
        <s v="GR-5370/22" u="1"/>
        <s v="GR-5591/23" u="1"/>
        <s v="GR-1819/23" u="1"/>
        <s v="GR-3418/23" u="1"/>
        <s v="GR-4117/22" u="1"/>
        <s v="GR-4338/23" u="1"/>
        <s v="GR-4358/22" u="1"/>
        <s v="GR-5017/23" u="1"/>
        <s v="GR-5037/22" u="1"/>
        <s v="GR-5258/23" u="1"/>
        <s v="GR-6178/23" u="1"/>
        <s v="GR-2952/23" u="1"/>
        <s v="GR-3410/22" u="1"/>
        <s v="GR-3872/23" u="1"/>
        <s v="GR-4310/23" u="1"/>
        <s v="GR-4330/22" u="1"/>
        <s v="GR-4551/23" u="1"/>
        <s v="GR-4792/23" u="1"/>
        <s v="GR-5230/23" u="1"/>
        <s v="GR-5250/22" u="1"/>
        <s v="GR-5471/23" u="1"/>
        <s v="GR-5491/22" u="1"/>
        <s v="GR-6150/23" u="1"/>
        <s v="GR-6371/24" u="1"/>
        <s v="GR-2619/23" u="1"/>
        <s v="GR-3539/23" u="1"/>
        <s v="GR-4218/23" u="1"/>
        <s v="GR-4459/23" u="1"/>
        <s v="GR-5138/23" u="1"/>
        <s v="GR-5158/22" u="1"/>
        <s v="GR-5379/23" u="1"/>
        <s v="GR-1912/23" u="1"/>
        <s v="GR-2832/23" u="1"/>
        <s v="GR-3511/23" u="1"/>
        <s v="GR-3752/23" u="1"/>
        <s v="GR-3772/22" u="1"/>
        <s v="GR-3973/24" u="1"/>
        <s v="GR-3993/23" u="1"/>
        <s v="GR-4210/22" u="1"/>
        <s v="GR-4451/22" u="1"/>
        <s v="GR-4692/22" u="1"/>
        <s v="GR-5110/23" u="1"/>
        <s v="GR-5371/22" u="1"/>
        <s v="GR-5592/23" u="1"/>
        <s v="GR-4118/22" u="1"/>
        <s v="GR-4339/23" u="1"/>
        <s v="GR-4359/22" u="1"/>
        <s v="GR-5018/23" u="1"/>
        <s v="GR-5038/22" u="1"/>
        <s v="GR-5259/23" u="1"/>
        <s v="GR-6179/23" u="1"/>
        <s v="GR-2732/22" u="1"/>
        <s v="GR-2953/23" u="1"/>
        <s v="GR-3411/22" u="1"/>
        <s v="GR-3632/23" u="1"/>
        <s v="GR-3873/23" u="1"/>
        <s v="GR-4311/23" u="1"/>
        <s v="GR-4331/22" u="1"/>
        <s v="GR-4552/23" u="1"/>
        <s v="GR-4773/24" u="1"/>
        <s v="GR-4793/23" u="1"/>
        <s v="GR-5010/22" u="1"/>
        <s v="GR-5211/24" u="1"/>
        <s v="GR-5231/23" u="1"/>
        <s v="GR-5251/22" u="1"/>
        <s v="GR-5492/22" u="1"/>
        <s v="GR-6151/23" u="1"/>
        <s v="GR-4219/23" u="1"/>
        <s v="GR-5139/23" u="1"/>
        <s v="GR-5159/22" u="1"/>
        <s v="GR-6059/23" u="1"/>
        <s v="GR-153/24" u="1"/>
        <s v="GR-2833/23" u="1"/>
        <s v="GR-3512/23" u="1"/>
        <s v="GR-3753/23" u="1"/>
        <s v="GR-3773/22" u="1"/>
        <s v="GR-4211/22" u="1"/>
        <s v="GR-4452/22" u="1"/>
        <s v="GR-4693/22" u="1"/>
        <s v="GR-5111/23" u="1"/>
        <s v="GR-5372/22" u="1"/>
        <s v="GR-6031/23" u="1"/>
        <s v="GR-4119/22" u="1"/>
        <s v="GR-5019/23" u="1"/>
        <s v="GR-5039/22" u="1"/>
        <s v="GR-141/24" u="1"/>
        <s v="GR-417/24" u="1"/>
        <s v="GR-509/24" u="1"/>
        <s v="GR-2733/22" u="1"/>
        <s v="GR-2954/23" u="1"/>
        <s v="GR-3412/22" u="1"/>
        <s v="GR-3633/23" u="1"/>
        <s v="GR-3874/23" u="1"/>
        <s v="GR-4312/23" u="1"/>
        <s v="GR-4332/22" u="1"/>
        <s v="GR-4774/24" u="1"/>
        <s v="GR-4794/23" u="1"/>
        <s v="GR-5011/22" u="1"/>
        <s v="GR-5212/24" u="1"/>
        <s v="GR-5232/23" u="1"/>
        <s v="GR-5252/22" u="1"/>
        <s v="GR-5473/23" u="1"/>
        <s v="GR-5493/22" u="1"/>
        <s v="GR-6152/23" u="1"/>
        <s v="GR-405/24" u="1"/>
        <s v="GR-2834/23" u="1"/>
        <s v="GR-3513/23" u="1"/>
        <s v="GR-3754/23" u="1"/>
        <s v="GR-3774/22" u="1"/>
        <s v="GR-3995/23" u="1"/>
        <s v="GR-4212/22" u="1"/>
        <s v="GR-4453/22" u="1"/>
        <s v="GR-5112/23" u="1"/>
        <s v="GR-5373/22" u="1"/>
        <s v="GR-301/24" u="1"/>
        <s v="GR-2955/23" u="1"/>
        <s v="GR-3634/23" u="1"/>
        <s v="GR-4313/23" u="1"/>
        <s v="GR-4333/22" u="1"/>
        <s v="GR-4775/24" u="1"/>
        <s v="GR-5012/22" u="1"/>
        <s v="GR-5213/24" u="1"/>
        <s v="GR-5233/23" u="1"/>
        <s v="GR-5253/22" u="1"/>
        <s v="GR-5474/23" u="1"/>
        <s v="GR-5494/22" u="1"/>
        <s v="GR-6153/23" u="1"/>
        <s v="GR-6374/24" u="1"/>
        <s v="GR-2835/23" u="1"/>
        <s v="GR-3514/23" u="1"/>
        <s v="GR-3755/23" u="1"/>
        <s v="GR-3775/22" u="1"/>
        <s v="GR-3976/24" u="1"/>
        <s v="GR-3996/23" u="1"/>
        <s v="GR-5113/23" u="1"/>
        <s v="GR-5374/22" u="1"/>
        <s v="GR-5595/23" u="1"/>
        <s v="GR-6033/23" u="1"/>
        <s v="GR-2956/23" u="1"/>
        <s v="GR-3414/22" u="1"/>
        <s v="GR-3856/24" u="1"/>
        <s v="GR-3876/23" u="1"/>
        <s v="GR-4314/23" u="1"/>
        <s v="GR-4334/22" u="1"/>
        <s v="GR-4776/24" u="1"/>
        <s v="GR-4796/23" u="1"/>
        <s v="GR-5013/22" u="1"/>
        <s v="GR-5214/24" u="1"/>
        <s v="GR-5234/23" u="1"/>
        <s v="GR-5254/22" u="1"/>
        <s v="GR-5475/23" u="1"/>
        <s v="GR-5495/22" u="1"/>
        <s v="GR-6154/23" u="1"/>
        <s v="GR-2836/23" u="1"/>
        <s v="GR-3515/23" u="1"/>
        <s v="GR-3756/23" u="1"/>
        <s v="GR-3776/22" u="1"/>
        <s v="GR-3977/24" u="1"/>
        <s v="GR-3997/23" u="1"/>
        <s v="GR-4455/22" u="1"/>
        <s v="GR-5114/23" u="1"/>
        <s v="GR-5375/22" u="1"/>
        <s v="GR-5596/23" u="1"/>
        <s v="GR-6034/23" u="1"/>
        <s v="GR-2957/23" u="1"/>
        <s v="GR-3415/22" u="1"/>
        <s v="GR-3857/24" u="1"/>
        <s v="GR-3877/23" u="1"/>
        <s v="GR-3897/22" u="1"/>
        <s v="GR-4556/23" u="1"/>
        <s v="GR-4777/24" u="1"/>
        <s v="GR-5014/22" u="1"/>
        <s v="GR-5235/23" u="1"/>
        <s v="GR-5255/22" u="1"/>
        <s v="GR-5496/22" u="1"/>
        <s v="GR-6155/23" u="1"/>
        <s v="GR-2837/23" u="1"/>
        <s v="GR-3757/23" u="1"/>
        <s v="GR-3777/22" u="1"/>
        <s v="GR-3978/24" u="1"/>
        <s v="GR-4456/22" u="1"/>
        <s v="GR-4677/23" u="1"/>
        <s v="GR-5376/22" u="1"/>
        <s v="GR-5597/23" u="1"/>
        <s v="GR-6035/23" u="1"/>
        <s v="GR-3970/23" u="1"/>
        <s v="GR-4890/23" u="1"/>
        <s v="GR-3416/22" u="1"/>
        <s v="GR-3878/23" u="1"/>
        <s v="GR-3898/22" u="1"/>
        <s v="GR-4336/22" u="1"/>
        <s v="GR-4557/23" u="1"/>
        <s v="GR-4778/24" u="1"/>
        <s v="GR-5015/22" u="1"/>
        <s v="GR-5236/23" u="1"/>
        <s v="GR-5256/22" u="1"/>
        <s v="GR-5477/23" u="1"/>
        <s v="GR-5497/22" u="1"/>
        <s v="GR-6156/23" u="1"/>
        <s v="GR-6377/24" u="1"/>
        <s v="GR-2930/23" u="1"/>
        <s v="GR-2950/22" u="1"/>
        <s v="GR-3830/24" u="1"/>
        <s v="GR-3850/23" u="1"/>
        <s v="GR-5690/23" u="1"/>
        <s v="GR-2838/23" u="1"/>
        <s v="GR-3517/23" u="1"/>
        <s v="GR-3758/23" u="1"/>
        <s v="GR-3778/22" u="1"/>
        <s v="GR-4457/22" u="1"/>
        <s v="GR-4678/23" u="1"/>
        <s v="GR-5116/23" u="1"/>
        <s v="GR-5357/23" u="1"/>
        <s v="GR-5377/22" u="1"/>
        <s v="GR-5598/23" u="1"/>
        <s v="GR-6036/23" u="1"/>
        <s v="GR-2810/23" u="1"/>
        <s v="GR-3730/23" u="1"/>
        <s v="GR-3971/23" u="1"/>
        <s v="GR-3991/22" u="1"/>
        <s v="GR-4891/23" u="1"/>
        <s v="GR-2959/23" u="1"/>
        <s v="GR-3417/22" u="1"/>
        <s v="GR-3638/23" u="1"/>
        <s v="GR-3658/22" u="1"/>
        <s v="GR-3859/24" u="1"/>
        <s v="GR-3899/22" u="1"/>
        <s v="GR-4317/23" u="1"/>
        <s v="GR-4337/22" u="1"/>
        <s v="GR-4558/23" u="1"/>
        <s v="GR-4779/24" u="1"/>
        <s v="GR-4799/23" u="1"/>
        <s v="GR-5016/22" u="1"/>
        <s v="GR-5217/24" u="1"/>
        <s v="GR-5237/23" u="1"/>
        <s v="GR-5257/22" u="1"/>
        <s v="GR-5478/23" u="1"/>
        <s v="GR-5498/22" u="1"/>
        <s v="GR-6157/23" u="1"/>
        <s v="GR-6378/24" u="1"/>
        <s v="GR-2931/23" u="1"/>
        <s v="GR-2951/22" u="1"/>
        <s v="GR-3851/23" u="1"/>
        <s v="GR-3871/22" u="1"/>
        <s v="GR-4530/23" u="1"/>
        <s v="GR-5450/23" u="1"/>
        <s v="GR-2839/23" u="1"/>
        <s v="GR-3759/23" u="1"/>
        <s v="GR-3779/22" u="1"/>
        <s v="GR-4458/22" u="1"/>
        <s v="GR-4679/23" u="1"/>
        <s v="GR-5117/23" u="1"/>
        <s v="GR-5358/23" u="1"/>
        <s v="GR-5378/22" u="1"/>
        <s v="GR-5599/23" u="1"/>
        <s v="GR-6037/23" u="1"/>
        <s v="GR-2811/23" u="1"/>
        <s v="GR-3972/23" u="1"/>
        <s v="GR-3992/22" u="1"/>
        <s v="GR-4651/23" u="1"/>
        <s v="GR-5330/23" u="1"/>
        <s v="GR-3639/23" u="1"/>
        <s v="GR-4318/23" u="1"/>
        <s v="GR-4338/22" u="1"/>
        <s v="GR-4559/23" u="1"/>
        <s v="GR-5017/22" u="1"/>
        <s v="GR-5218/24" u="1"/>
        <s v="GR-5238/23" u="1"/>
        <s v="GR-5258/22" u="1"/>
        <s v="GR-5499/22" u="1"/>
        <s v="GR-6158/23" u="1"/>
        <s v="GR-2932/23" u="1"/>
        <s v="GR-2952/22" u="1"/>
        <s v="GR-3832/24" u="1"/>
        <s v="GR-3852/23" u="1"/>
        <s v="GR-3872/22" u="1"/>
        <s v="GR-4310/22" u="1"/>
        <s v="GR-4531/23" u="1"/>
        <s v="GR-5210/23" u="1"/>
        <s v="GR-5230/22" u="1"/>
        <s v="GR-5451/23" u="1"/>
        <s v="GR-6130/23" u="1"/>
        <s v="GR-7050/23" u="1"/>
        <s v="GR-4459/22" u="1"/>
        <s v="GR-5118/23" u="1"/>
        <s v="GR-5138/22" u="1"/>
        <s v="GR-5359/23" u="1"/>
        <s v="GR-5379/22" u="1"/>
        <s v="GR-6038/23" u="1"/>
        <s v="GR-2812/23" u="1"/>
        <s v="GR-3973/23" u="1"/>
        <s v="GR-5331/23" u="1"/>
        <s v="GR-6010/23" u="1"/>
        <s v="GR-6251/23" u="1"/>
        <s v="GR-3419/22" u="1"/>
        <s v="GR-4319/23" u="1"/>
        <s v="GR-4339/22" u="1"/>
        <s v="GR-5018/22" u="1"/>
        <s v="GR-5239/23" u="1"/>
        <s v="GR-5259/22" u="1"/>
        <s v="GR-6159/23" u="1"/>
        <s v="GR-439/24" u="1"/>
        <s v="GR-2933/23" u="1"/>
        <s v="GR-2953/22" u="1"/>
        <s v="GR-3853/23" u="1"/>
        <s v="GR-3873/22" u="1"/>
        <s v="GR-4311/22" u="1"/>
        <s v="GR-4532/23" u="1"/>
        <s v="GR-4773/23" u="1"/>
        <s v="GR-5211/23" u="1"/>
        <s v="GR-5231/22" u="1"/>
        <s v="GR-5452/23" u="1"/>
        <s v="GR-6131/23" u="1"/>
        <s v="GR-5119/23" u="1"/>
        <s v="GR-6039/23" u="1"/>
        <s v="GR-151/24" u="1"/>
        <s v="GR-427/24" u="1"/>
        <s v="GR-519/24" u="1"/>
        <s v="GR-2813/23" u="1"/>
        <s v="GR-3512/22" u="1"/>
        <s v="GR-3733/23" u="1"/>
        <s v="GR-3974/23" u="1"/>
        <s v="GR-4653/23" u="1"/>
        <s v="GR-4894/23" u="1"/>
        <s v="GR-5332/23" u="1"/>
        <s v="GR-6011/23" u="1"/>
        <s v="GR-5019/22" u="1"/>
        <s v="GR-507/24" u="1"/>
        <s v="GR-2934/23" u="1"/>
        <s v="GR-2954/22" u="1"/>
        <s v="GR-3854/23" u="1"/>
        <s v="GR-3874/22" u="1"/>
        <s v="GR-4312/22" u="1"/>
        <s v="GR-4533/23" u="1"/>
        <s v="GR-4774/23" u="1"/>
        <s v="GR-5212/23" u="1"/>
        <s v="GR-5453/23" u="1"/>
        <s v="GR-6132/23" u="1"/>
        <s v="GR-2814/23" u="1"/>
        <s v="GR-3513/22" u="1"/>
        <s v="GR-3734/23" u="1"/>
        <s v="GR-3975/23" u="1"/>
        <s v="GR-4895/23" u="1"/>
        <s v="GR-5333/23" u="1"/>
        <s v="GR-5353/22" u="1"/>
        <s v="GR-6253/23" u="1"/>
        <s v="GR-2935/23" u="1"/>
        <s v="GR-2955/22" u="1"/>
        <s v="GR-3855/23" u="1"/>
        <s v="GR-3875/22" u="1"/>
        <s v="GR-4313/22" u="1"/>
        <s v="GR-4534/23" u="1"/>
        <s v="GR-4775/23" u="1"/>
        <s v="GR-5454/23" u="1"/>
        <s v="GR-6133/23" u="1"/>
        <s v="GR-3514/22" u="1"/>
        <s v="GR-3735/23" u="1"/>
        <s v="GR-3976/23" u="1"/>
        <s v="GR-4655/23" u="1"/>
        <s v="GR-5113/22" u="1"/>
        <s v="GR-5334/23" u="1"/>
        <s v="GR-5354/22" u="1"/>
        <s v="GR-6013/23" u="1"/>
        <s v="GR-6254/23" u="1"/>
        <s v="GR-2936/23" u="1"/>
        <s v="GR-2956/22" u="1"/>
        <s v="GR-3856/23" u="1"/>
        <s v="GR-4314/22" u="1"/>
        <s v="GR-4535/23" u="1"/>
        <s v="GR-4776/23" u="1"/>
        <s v="GR-5214/23" u="1"/>
        <s v="GR-5234/22" u="1"/>
        <s v="GR-5455/23" u="1"/>
        <s v="GR-6134/23" u="1"/>
        <s v="GR-3515/22" u="1"/>
        <s v="GR-4676/22" u="1"/>
        <s v="GR-5114/22" u="1"/>
        <s v="GR-5335/23" u="1"/>
        <s v="GR-5355/22" u="1"/>
        <s v="GR-6014/23" u="1"/>
        <s v="GR-2937/23" u="1"/>
        <s v="GR-2957/22" u="1"/>
        <s v="GR-3857/23" u="1"/>
        <s v="GR-4315/22" u="1"/>
        <s v="GR-4536/23" u="1"/>
        <s v="GR-4777/23" u="1"/>
        <s v="GR-5215/23" u="1"/>
        <s v="GR-5235/22" u="1"/>
        <s v="GR-5456/23" u="1"/>
        <s v="GR-6135/23" u="1"/>
        <s v="GR-3516/22" u="1"/>
        <s v="GR-3737/23" u="1"/>
        <s v="GR-3998/22" u="1"/>
        <s v="GR-4657/23" u="1"/>
        <s v="GR-5115/22" u="1"/>
        <s v="GR-5336/23" u="1"/>
        <s v="GR-5356/22" u="1"/>
        <s v="GR-3950/23" u="1"/>
        <s v="GR-2938/23" u="1"/>
        <s v="GR-2958/22" u="1"/>
        <s v="GR-3858/23" u="1"/>
        <s v="GR-4316/22" u="1"/>
        <s v="GR-4537/23" u="1"/>
        <s v="GR-4778/23" u="1"/>
        <s v="GR-5216/23" u="1"/>
        <s v="GR-5236/22" u="1"/>
        <s v="GR-5457/23" u="1"/>
        <s v="GR-5698/23" u="1"/>
        <s v="GR-6136/23" u="1"/>
        <s v="GR-2910/23" u="1"/>
        <s v="GR-3810/24" u="1"/>
        <s v="GR-4730/24" u="1"/>
        <s v="GR-4770/22" u="1"/>
        <s v="GR-5670/23" u="1"/>
        <s v="GR-3517/22" u="1"/>
        <s v="GR-3738/23" u="1"/>
        <s v="GR-3979/23" u="1"/>
        <s v="GR-5116/22" u="1"/>
        <s v="GR-5337/23" u="1"/>
        <s v="GR-5357/22" u="1"/>
        <s v="GR-6016/23" u="1"/>
        <s v="GR-2810/22" u="1"/>
        <s v="GR-3730/22" u="1"/>
        <s v="GR-3951/23" u="1"/>
        <s v="GR-4891/22" u="1"/>
        <s v="GR-2939/23" u="1"/>
        <s v="GR-2959/22" u="1"/>
        <s v="GR-3859/23" u="1"/>
        <s v="GR-3879/22" u="1"/>
        <s v="GR-4317/22" u="1"/>
        <s v="GR-4538/23" u="1"/>
        <s v="GR-4779/23" u="1"/>
        <s v="GR-5217/23" u="1"/>
        <s v="GR-5237/22" u="1"/>
        <s v="GR-5458/23" u="1"/>
        <s v="GR-6137/23" u="1"/>
        <s v="GR-2911/23" u="1"/>
        <s v="GR-3610/22" u="1"/>
        <s v="GR-4510/23" u="1"/>
        <s v="GR-4731/24" u="1"/>
        <s v="GR-4751/23" u="1"/>
        <s v="GR-4771/22" u="1"/>
        <s v="GR-5430/23" u="1"/>
        <s v="GR-5671/23" u="1"/>
        <s v="GR-2819/23" u="1"/>
        <s v="GR-3739/23" u="1"/>
        <s v="GR-5117/22" u="1"/>
        <s v="GR-5338/23" u="1"/>
        <s v="GR-5358/22" u="1"/>
        <s v="GR-6017/23" u="1"/>
        <s v="GR-2811/22" u="1"/>
        <s v="GR-3711/23" u="1"/>
        <s v="GR-3731/22" u="1"/>
        <s v="GR-3952/23" u="1"/>
        <s v="GR-4410/22" u="1"/>
        <s v="GR-4631/23" u="1"/>
        <s v="GR-4852/24" u="1"/>
        <s v="GR-4892/22" u="1"/>
        <s v="GR-5310/23" u="1"/>
        <s v="GR-5330/22" u="1"/>
        <s v="GR-5531/24" u="1"/>
        <s v="GR-4318/22" u="1"/>
        <s v="GR-4539/23" u="1"/>
        <s v="GR-5218/23" u="1"/>
        <s v="GR-5238/22" u="1"/>
        <s v="GR-5459/23" u="1"/>
        <s v="GR-6138/23" u="1"/>
        <s v="GR-7299/23" u="1"/>
        <s v="GR-369/24" u="1"/>
        <s v="GR-2912/23" u="1"/>
        <s v="GR-4511/23" u="1"/>
        <s v="GR-4752/23" u="1"/>
        <s v="GR-5210/22" u="1"/>
        <s v="GR-5431/23" u="1"/>
        <s v="GR-5672/23" u="1"/>
        <s v="GR-6110/23" u="1"/>
        <s v="GR-7030/23" u="1"/>
        <s v="GR-5339/23" u="1"/>
        <s v="GR-5359/22" u="1"/>
        <s v="GR-6018/23" u="1"/>
        <s v="GR-449/24" u="1"/>
        <s v="GR-2812/22" u="1"/>
        <s v="GR-3712/23" u="1"/>
        <s v="GR-3732/22" u="1"/>
        <s v="GR-3953/23" u="1"/>
        <s v="GR-3973/22" u="1"/>
        <s v="GR-4411/22" u="1"/>
        <s v="GR-4632/23" u="1"/>
        <s v="GR-5311/23" u="1"/>
        <s v="GR-5331/22" u="1"/>
        <s v="GR-4319/22" u="1"/>
        <s v="GR-5219/23" u="1"/>
        <s v="GR-5239/22" u="1"/>
        <s v="GR-6139/23" u="1"/>
        <s v="GR-161/24" u="1"/>
        <s v="GR-345/24" u="1"/>
        <s v="GR-437/24" u="1"/>
        <s v="GR-529/24" u="1"/>
        <s v="GR-2913/23" u="1"/>
        <s v="GR-3612/22" u="1"/>
        <s v="GR-3833/23" u="1"/>
        <s v="GR-4512/23" u="1"/>
        <s v="GR-4753/23" u="1"/>
        <s v="GR-4773/22" u="1"/>
        <s v="GR-5211/22" u="1"/>
        <s v="GR-5432/23" u="1"/>
        <s v="GR-5673/23" u="1"/>
        <s v="GR-7031/23" u="1"/>
        <s v="GR-6019/23" u="1"/>
        <s v="GR-425/24" u="1"/>
        <s v="GR-609/24" u="1"/>
        <s v="GR-3713/23" u="1"/>
        <s v="GR-3733/22" u="1"/>
        <s v="GR-3974/22" u="1"/>
        <s v="GR-4412/22" u="1"/>
        <s v="GR-4633/23" u="1"/>
        <s v="GR-5312/23" u="1"/>
        <s v="GR-5332/22" u="1"/>
        <s v="GR-5533/24" u="1"/>
        <s v="GR-321/24" u="1"/>
        <s v="GR-2914/23" u="1"/>
        <s v="GR-3834/23" u="1"/>
        <s v="GR-4513/23" u="1"/>
        <s v="GR-5212/22" u="1"/>
        <s v="GR-5433/23" u="1"/>
        <s v="GR-5674/23" u="1"/>
        <s v="GR-7032/23" u="1"/>
        <s v="GR-401/24" u="1"/>
        <s v="GR-2814/22" u="1"/>
        <s v="GR-3734/22" u="1"/>
        <s v="GR-3955/23" u="1"/>
        <s v="GR-3975/22" u="1"/>
        <s v="GR-4634/23" u="1"/>
        <s v="GR-5313/23" u="1"/>
        <s v="GR-5333/22" u="1"/>
        <s v="GR-5534/24" u="1"/>
        <s v="GR-2915/23" u="1"/>
        <s v="GR-2935/22" u="1"/>
        <s v="GR-3614/22" u="1"/>
        <s v="GR-3835/23" u="1"/>
        <s v="GR-4514/23" u="1"/>
        <s v="GR-4755/23" u="1"/>
        <s v="GR-4775/22" u="1"/>
        <s v="GR-5213/22" u="1"/>
        <s v="GR-5434/23" u="1"/>
        <s v="GR-5454/22" u="1"/>
        <s v="GR-5675/23" u="1"/>
        <s v="GR-7033/23" u="1"/>
        <s v="GR-2815/22" u="1"/>
        <s v="GR-3715/23" u="1"/>
        <s v="GR-3956/23" u="1"/>
        <s v="GR-4635/23" u="1"/>
        <s v="GR-4856/24" u="1"/>
        <s v="GR-5314/23" u="1"/>
        <s v="GR-5334/22" u="1"/>
        <s v="GR-3615/22" u="1"/>
        <s v="GR-3836/23" u="1"/>
        <s v="GR-3856/22" u="1"/>
        <s v="GR-4776/22" u="1"/>
        <s v="GR-5435/23" u="1"/>
        <s v="GR-5455/22" u="1"/>
        <s v="GR-5676/23" u="1"/>
        <s v="GR-6114/23" u="1"/>
        <s v="GR-7034/23" u="1"/>
        <s v="GR-2816/22" u="1"/>
        <s v="GR-3716/23" u="1"/>
        <s v="GR-3736/22" u="1"/>
        <s v="GR-3957/23" u="1"/>
        <s v="GR-4636/23" u="1"/>
        <s v="GR-4857/24" u="1"/>
        <s v="GR-5315/23" u="1"/>
        <s v="GR-5335/22" u="1"/>
        <s v="GR-2917/23" u="1"/>
        <s v="GR-2937/22" u="1"/>
        <s v="GR-3616/22" u="1"/>
        <s v="GR-3837/23" u="1"/>
        <s v="GR-3857/22" u="1"/>
        <s v="GR-4777/22" u="1"/>
        <s v="GR-5215/22" u="1"/>
        <s v="GR-5436/23" u="1"/>
        <s v="GR-5456/22" u="1"/>
        <s v="GR-5677/23" u="1"/>
        <s v="GR-6115/23" u="1"/>
        <s v="GR-7035/23" u="1"/>
        <s v="GR-4990/22" u="1"/>
        <s v="GR-3717/23" u="1"/>
        <s v="GR-3737/22" u="1"/>
        <s v="GR-3978/22" u="1"/>
        <s v="GR-4637/23" u="1"/>
        <s v="GR-4858/24" u="1"/>
        <s v="GR-4898/22" u="1"/>
        <s v="GR-5316/23" u="1"/>
        <s v="GR-5336/22" u="1"/>
        <s v="GR-3930/23" u="1"/>
        <s v="GR-4830/24" u="1"/>
        <s v="GR-2918/23" u="1"/>
        <s v="GR-3838/23" u="1"/>
        <s v="GR-3858/22" u="1"/>
        <s v="GR-4778/22" u="1"/>
        <s v="GR-5216/22" u="1"/>
        <s v="GR-5437/23" u="1"/>
        <s v="GR-5457/22" u="1"/>
        <s v="GR-7036/23" u="1"/>
        <s v="GR-3810/23" u="1"/>
        <s v="GR-4991/22" u="1"/>
        <s v="GR-2818/22" u="1"/>
        <s v="GR-3738/22" u="1"/>
        <s v="GR-3959/23" u="1"/>
        <s v="GR-3979/22" u="1"/>
        <s v="GR-4638/23" u="1"/>
        <s v="GR-4859/24" u="1"/>
        <s v="GR-4899/22" u="1"/>
        <s v="GR-5317/23" u="1"/>
        <s v="GR-5337/22" u="1"/>
        <s v="GR-3931/23" u="1"/>
        <s v="GR-4610/23" u="1"/>
        <s v="GR-4831/24" u="1"/>
        <s v="GR-4851/23" u="1"/>
        <s v="GR-4871/22" u="1"/>
        <s v="GR-5550/22" u="1"/>
        <s v="GR-3839/23" u="1"/>
        <s v="GR-4317/21" u="1"/>
        <s v="GR-4779/22" u="1"/>
        <s v="GR-5217/22" u="1"/>
        <s v="GR-5438/23" u="1"/>
        <s v="GR-5458/22" u="1"/>
        <s v="GR-5679/23" u="1"/>
        <s v="GR-7037/23" u="1"/>
        <s v="GR-299/24" u="1"/>
        <s v="GR-2911/22" u="1"/>
        <s v="GR-3811/23" u="1"/>
        <s v="GR-4731/23" u="1"/>
        <s v="GR-4751/22" u="1"/>
        <s v="GR-4992/22" u="1"/>
        <s v="GR-5410/23" u="1"/>
        <s v="GR-5430/22" u="1"/>
        <s v="GR-2819/22" u="1"/>
        <s v="GR-3719/23" u="1"/>
        <s v="GR-3739/22" u="1"/>
        <s v="GR-4418/22" u="1"/>
        <s v="GR-4639/23" u="1"/>
        <s v="GR-5318/23" u="1"/>
        <s v="GR-5338/22" u="1"/>
        <s v="GR-5539/24" u="1"/>
        <s v="GR-4631/22" u="1"/>
        <s v="GR-4852/23" u="1"/>
        <s v="GR-4872/22" u="1"/>
        <s v="GR-5310/22" u="1"/>
        <s v="GR-5551/22" u="1"/>
        <s v="GR-6451/23" u="1"/>
        <s v="GR-3619/22" u="1"/>
        <s v="GR-4519/23" u="1"/>
        <s v="GR-5218/22" u="1"/>
        <s v="GR-5439/23" u="1"/>
        <s v="GR-6118/23" u="1"/>
        <s v="GR-7038/23" u="1"/>
        <s v="GR-183/24" u="1"/>
        <s v="GR-275/24" u="1"/>
        <s v="GR-367/24" u="1"/>
        <s v="GR-459/24" u="1"/>
        <s v="GR-2912/22" u="1"/>
        <s v="GR-4732/23" u="1"/>
        <s v="GR-4993/22" u="1"/>
        <s v="GR-5411/23" u="1"/>
        <s v="GR-5431/22" u="1"/>
        <s v="GR-7010/23" u="1"/>
        <s v="GR-5319/23" u="1"/>
        <s v="GR-5339/22" u="1"/>
        <s v="GR-447/24" u="1"/>
        <s v="GR-3933/23" u="1"/>
        <s v="GR-4833/24" u="1"/>
        <s v="GR-4853/23" u="1"/>
        <s v="GR-4873/22" u="1"/>
        <s v="GR-5311/22" u="1"/>
        <s v="GR-5552/22" u="1"/>
        <s v="GR-6211/23" u="1"/>
        <s v="GR-6452/23" u="1"/>
        <s v="GR-5219/22" u="1"/>
        <s v="GR-7039/23" u="1"/>
        <s v="GR-343/24" u="1"/>
        <s v="GR-435/24" u="1"/>
        <s v="GR-527/24" u="1"/>
        <s v="GR-619/24" u="1"/>
        <s v="GR-2913/22" u="1"/>
        <s v="GR-4733/23" u="1"/>
        <s v="GR-4994/22" u="1"/>
        <s v="GR-5412/23" u="1"/>
        <s v="GR-5432/22" u="1"/>
        <s v="GR-6332/23" u="1"/>
        <s v="GR-7011/23" u="1"/>
        <s v="GR-7493/23" u="1"/>
        <s v="GR-423/24" u="1"/>
        <s v="GR-515/24" u="1"/>
        <s v="GR-4834/24" u="1"/>
        <s v="GR-4854/23" u="1"/>
        <s v="GR-5312/22" u="1"/>
        <s v="GR-5553/22" u="1"/>
        <s v="GR-6453/23" u="1"/>
        <s v="GR-7132/23" u="1"/>
        <s v="GR-2914/22" u="1"/>
        <s v="GR-4513/22" u="1"/>
        <s v="GR-4734/23" u="1"/>
        <s v="GR-4955/24" u="1"/>
        <s v="GR-4995/22" u="1"/>
        <s v="GR-5413/23" u="1"/>
        <s v="GR-5433/22" u="1"/>
        <s v="GR-7012/23" u="1"/>
        <s v="GR-7494/23" u="1"/>
        <s v="GR-3714/22" u="1"/>
        <s v="GR-3935/23" u="1"/>
        <s v="GR-4835/24" u="1"/>
        <s v="GR-4855/23" u="1"/>
        <s v="GR-5313/22" u="1"/>
        <s v="GR-6454/23" u="1"/>
        <s v="GR-7133/23" u="1"/>
        <s v="GR-2915/22" u="1"/>
        <s v="GR-4514/22" u="1"/>
        <s v="GR-4735/23" u="1"/>
        <s v="GR-4956/24" u="1"/>
        <s v="GR-4996/22" u="1"/>
        <s v="GR-5414/23" u="1"/>
        <s v="GR-5434/22" u="1"/>
        <s v="GR-5876/24" u="1"/>
        <s v="GR-6334/23" u="1"/>
        <s v="GR-7013/23" u="1"/>
        <s v="GR-7495/23" u="1"/>
        <s v="GR-3715/22" u="1"/>
        <s v="GR-3936/23" u="1"/>
        <s v="GR-4836/24" u="1"/>
        <s v="GR-4856/23" u="1"/>
        <s v="GR-5314/22" u="1"/>
        <s v="GR-5555/22" u="1"/>
        <s v="GR-6455/23" u="1"/>
        <s v="GR-7134/23" u="1"/>
        <s v="GR-2916/22" u="1"/>
        <s v="GR-4515/22" u="1"/>
        <s v="GR-4736/23" u="1"/>
        <s v="GR-4957/24" u="1"/>
        <s v="GR-4977/23" u="1"/>
        <s v="GR-4997/22" u="1"/>
        <s v="GR-5415/23" u="1"/>
        <s v="GR-6335/23" u="1"/>
        <s v="GR-3716/22" u="1"/>
        <s v="GR-3937/23" u="1"/>
        <s v="GR-4616/23" u="1"/>
        <s v="GR-5315/22" u="1"/>
        <s v="GR-6456/23" u="1"/>
        <s v="GR-6697/23" u="1"/>
        <s v="GR-7135/23" u="1"/>
        <s v="GR-2917/22" u="1"/>
        <s v="GR-4516/22" u="1"/>
        <s v="GR-4737/23" u="1"/>
        <s v="GR-4978/23" u="1"/>
        <s v="GR-4998/22" u="1"/>
        <s v="GR-5416/23" u="1"/>
        <s v="GR-6336/23" u="1"/>
        <s v="GR-4950/23" u="1"/>
        <s v="GR-4970/22" u="1"/>
        <s v="GR-3717/22" u="1"/>
        <s v="GR-3938/23" u="1"/>
        <s v="GR-4617/23" u="1"/>
        <s v="GR-4838/24" u="1"/>
        <s v="GR-4878/22" u="1"/>
        <s v="GR-6216/23" u="1"/>
        <s v="GR-6698/23" u="1"/>
        <s v="GR-7136/23" u="1"/>
        <s v="GR-3910/23" u="1"/>
        <s v="GR-3930/22" u="1"/>
        <s v="GR-4810/24" u="1"/>
        <s v="GR-4830/23" u="1"/>
        <s v="GR-6670/23" u="1"/>
        <s v="GR-2918/22" u="1"/>
        <s v="GR-4517/22" u="1"/>
        <s v="GR-4999/22" u="1"/>
        <s v="GR-5417/23" u="1"/>
        <s v="GR-5899/23" u="1"/>
        <s v="GR-7016/23" u="1"/>
        <s v="GR-3810/22" u="1"/>
        <s v="GR-4710/23" u="1"/>
        <s v="GR-4951/23" u="1"/>
        <s v="GR-5630/23" u="1"/>
        <s v="GR-3718/22" u="1"/>
        <s v="GR-3939/23" u="1"/>
        <s v="GR-4839/24" u="1"/>
        <s v="GR-4859/23" u="1"/>
        <s v="GR-4879/22" u="1"/>
        <s v="GR-5558/22" u="1"/>
        <s v="GR-7137/23" u="1"/>
        <s v="GR-3911/23" u="1"/>
        <s v="GR-4811/24" u="1"/>
        <s v="GR-4831/23" u="1"/>
        <s v="GR-5530/22" u="1"/>
        <s v="GR-2919/22" u="1"/>
        <s v="GR-4518/22" u="1"/>
        <s v="GR-5418/23" u="1"/>
        <s v="GR-5438/22" u="1"/>
        <s v="GR-5659/23" u="1"/>
        <s v="GR-7017/23" u="1"/>
        <s v="GR-297/24" u="1"/>
        <s v="GR-3811/22" u="1"/>
        <s v="GR-4711/23" u="1"/>
        <s v="GR-4952/23" u="1"/>
        <s v="GR-4972/22" u="1"/>
        <s v="GR-5410/22" u="1"/>
        <s v="GR-5631/23" u="1"/>
        <s v="GR-5559/22" u="1"/>
        <s v="GR-469/24" u="1"/>
        <s v="GR-3912/23" u="1"/>
        <s v="GR-3932/22" u="1"/>
        <s v="GR-4611/22" u="1"/>
        <s v="GR-4812/24" u="1"/>
        <s v="GR-5531/22" u="1"/>
        <s v="GR-5993/23" u="1"/>
        <s v="GR-6672/23" u="1"/>
        <s v="GR-7110/23" u="1"/>
        <s v="GR-5419/23" u="1"/>
        <s v="GR-5439/22" u="1"/>
        <s v="GR-7018/23" u="1"/>
        <s v="GR-181/24" u="1"/>
        <s v="GR-365/24" u="1"/>
        <s v="GR-457/24" u="1"/>
        <s v="GR-3812/22" u="1"/>
        <s v="GR-4953/23" u="1"/>
        <s v="GR-4973/22" u="1"/>
        <s v="GR-5411/22" u="1"/>
        <s v="GR-5632/23" u="1"/>
        <s v="GR-7139/23" u="1"/>
        <s v="GR-445/24" u="1"/>
        <s v="GR-4612/22" u="1"/>
        <s v="GR-4833/23" u="1"/>
        <s v="GR-4853/22" u="1"/>
        <s v="GR-5512/23" u="1"/>
        <s v="GR-5532/22" u="1"/>
        <s v="GR-5994/23" u="1"/>
        <s v="GR-7019/23" u="1"/>
        <s v="GR-433/24" u="1"/>
        <s v="GR-3813/22" u="1"/>
        <s v="GR-4733/22" u="1"/>
        <s v="GR-4954/23" u="1"/>
        <s v="GR-4974/22" u="1"/>
        <s v="GR-5633/23" u="1"/>
        <s v="GR-7473/23" u="1"/>
        <s v="GR-421/24" u="1"/>
        <s v="GR-809/23" u="1"/>
        <s v="GR-4814/24" u="1"/>
        <s v="GR-5995/23" u="1"/>
        <s v="GR-7112/23" u="1"/>
        <s v="GR-4734/22" u="1"/>
        <s v="GR-4955/23" u="1"/>
        <s v="GR-5634/23" u="1"/>
        <s v="GR-7474/23" u="1"/>
        <s v="GR-4614/22" u="1"/>
        <s v="GR-4855/22" u="1"/>
        <s v="GR-5514/23" u="1"/>
        <s v="GR-5534/22" u="1"/>
        <s v="GR-5996/23" u="1"/>
        <s v="GR-4715/23" u="1"/>
        <s v="GR-4956/23" u="1"/>
        <s v="GR-5635/23" u="1"/>
        <s v="GR-6796/23" u="1"/>
        <s v="GR-7475/23" u="1"/>
        <s v="GR-3916/23" u="1"/>
        <s v="GR-4615/22" u="1"/>
        <s v="GR-4816/24" u="1"/>
        <s v="GR-5535/22" u="1"/>
        <s v="GR-5997/23" u="1"/>
        <s v="GR-4716/23" u="1"/>
        <s v="GR-4736/22" u="1"/>
        <s v="GR-4957/23" u="1"/>
        <s v="GR-5636/23" u="1"/>
        <s v="GR-6797/23" u="1"/>
        <s v="GR-7476/23" u="1"/>
        <s v="GR-4817/24" u="1"/>
        <s v="GR-4857/22" u="1"/>
        <s v="GR-5516/23" u="1"/>
        <s v="GR-5998/23" u="1"/>
        <s v="GR-7115/23" u="1"/>
        <s v="GR-5970/23" u="1"/>
        <s v="GR-4717/23" u="1"/>
        <s v="GR-4737/22" u="1"/>
        <s v="GR-4958/23" u="1"/>
        <s v="GR-4978/22" u="1"/>
        <s v="GR-5637/23" u="1"/>
        <s v="GR-6798/23" u="1"/>
        <s v="GR-7477/23" u="1"/>
        <s v="GR-4930/23" u="1"/>
        <s v="GR-4950/22" u="1"/>
        <s v="GR-5850/23" u="1"/>
        <s v="GR-3918/23" u="1"/>
        <s v="GR-4818/24" u="1"/>
        <s v="GR-5999/23" u="1"/>
        <s v="GR-7116/23" u="1"/>
        <s v="GR-3910/22" u="1"/>
        <s v="GR-4810/23" u="1"/>
        <s v="GR-4830/22" u="1"/>
        <s v="GR-5971/23" u="1"/>
        <s v="GR-6650/23" u="1"/>
        <s v="GR-4718/23" u="1"/>
        <s v="GR-4959/23" u="1"/>
        <s v="GR-5638/23" u="1"/>
        <s v="GR-6799/23" u="1"/>
        <s v="GR-4951/22" u="1"/>
        <s v="GR-5610/23" u="1"/>
        <s v="GR-4618/22" u="1"/>
        <s v="GR-4819/24" u="1"/>
        <s v="GR-7117/23" u="1"/>
        <s v="GR-4811/23" u="1"/>
        <s v="GR-5510/22" u="1"/>
        <s v="GR-6651/23" u="1"/>
        <s v="GR-5639/23" u="1"/>
        <s v="GR-295/24" u="1"/>
        <s v="GR-479/24" u="1"/>
        <s v="GR-4932/23" u="1"/>
        <s v="GR-5611/23" u="1"/>
        <s v="GR-6772/23" u="1"/>
        <s v="GR-467/24" u="1"/>
        <s v="GR-4812/23" u="1"/>
        <s v="GR-5973/23" u="1"/>
        <s v="GR-6652/23" u="1"/>
        <s v="GR-363/24" u="1"/>
        <s v="GR-455/24" u="1"/>
        <s v="GR-639/24" u="1"/>
        <s v="GR-4933/23" u="1"/>
        <s v="GR-5612/23" u="1"/>
        <s v="GR-6773/23" u="1"/>
        <s v="GR-7119/23" u="1"/>
        <s v="GR-4813/23" u="1"/>
        <s v="GR-5974/23" u="1"/>
        <s v="GR-6653/23" u="1"/>
        <s v="GR-431/24" u="1"/>
        <s v="GR-615/24" u="1"/>
        <s v="GR-4934/23" u="1"/>
        <s v="GR-4954/22" u="1"/>
        <s v="GR-5613/23" u="1"/>
        <s v="GR-6774/23" u="1"/>
        <s v="GR-7212/23" u="1"/>
        <s v="GR-511/24" u="1"/>
        <s v="GR-5975/23" u="1"/>
        <s v="GR-6654/23" u="1"/>
        <s v="GR-4955/22" u="1"/>
        <s v="GR-5614/23" u="1"/>
        <s v="GR-6775/23" u="1"/>
        <s v="GR-7454/23" u="1"/>
        <s v="GR-4815/23" u="1"/>
        <s v="GR-5514/22" u="1"/>
        <s v="GR-5976/23" u="1"/>
        <s v="GR-6655/23" u="1"/>
        <s v="GR-4936/23" u="1"/>
        <s v="GR-5615/23" u="1"/>
        <s v="GR-6776/23" u="1"/>
        <s v="GR-4816/23" u="1"/>
        <s v="GR-5515/22" u="1"/>
        <s v="GR-5736/23" u="1"/>
        <s v="GR-5977/23" u="1"/>
        <s v="GR-4957/22" u="1"/>
        <s v="GR-5616/23" u="1"/>
        <s v="GR-6777/23" u="1"/>
        <s v="GR-4817/23" u="1"/>
        <s v="GR-5516/22" u="1"/>
        <s v="GR-5737/23" u="1"/>
        <s v="GR-5978/23" u="1"/>
        <s v="GR-4938/23" u="1"/>
        <s v="GR-5617/23" u="1"/>
        <s v="GR-6778/23" u="1"/>
        <s v="GR-4930/22" u="1"/>
        <s v="GR-4818/23" u="1"/>
        <s v="GR-5517/22" u="1"/>
        <s v="GR-5738/23" u="1"/>
        <s v="GR-5710/23" u="1"/>
        <s v="GR-5951/23" u="1"/>
        <s v="GR-4939/23" u="1"/>
        <s v="GR-4959/22" u="1"/>
        <s v="GR-5618/23" u="1"/>
        <s v="GR-6779/23" u="1"/>
        <s v="GR-7458/23" u="1"/>
        <s v="GR-4931/22" u="1"/>
        <s v="GR-7430/23" u="1"/>
        <s v="GR-4819/23" u="1"/>
        <s v="GR-5518/22" u="1"/>
        <s v="GR-397/24" u="1"/>
        <s v="GR-489/24" u="1"/>
        <s v="GR-4811/22" u="1"/>
        <s v="GR-5711/23" u="1"/>
        <s v="GR-7310/23" u="1"/>
        <s v="GR-5619/23" u="1"/>
        <s v="GR-293/24" u="1"/>
        <s v="GR-477/24" u="1"/>
        <s v="GR-6993/23" u="1"/>
        <s v="GR-7431/23" u="1"/>
        <s v="GR-5519/22" u="1"/>
        <s v="GR-649/24" u="1"/>
        <s v="GR-5712/23" u="1"/>
        <s v="GR-5953/23" u="1"/>
        <s v="GR-453/24" u="1"/>
        <s v="GR-637/24" u="1"/>
        <s v="GR-729/24" u="1"/>
        <s v="GR-4933/22" u="1"/>
        <s v="GR-6512/23" u="1"/>
        <s v="GR-6994/23" u="1"/>
        <s v="GR-7432/23" u="1"/>
        <s v="GR-533/24" u="1"/>
        <s v="GR-5713/23" u="1"/>
        <s v="GR-521/24" u="1"/>
        <s v="GR-4934/22" u="1"/>
        <s v="GR-6513/23" u="1"/>
        <s v="GR-6995/23" u="1"/>
        <s v="GR-7433/23" u="1"/>
        <s v="GR-4935/22" u="1"/>
        <s v="GR-6996/23" u="1"/>
        <s v="GR-7434/23" u="1"/>
        <s v="GR-4815/22" u="1"/>
        <s v="GR-5956/23" u="1"/>
        <s v="GR-4936/22" u="1"/>
        <s v="GR-6997/23" u="1"/>
        <s v="GR-7435/23" u="1"/>
        <s v="GR-4816/22" u="1"/>
        <s v="GR-5957/23" u="1"/>
        <s v="GR-4937/22" u="1"/>
        <s v="GR-6998/23" u="1"/>
        <s v="GR-7436/23" u="1"/>
        <s v="GR-4817/22" u="1"/>
        <s v="GR-5958/23" u="1"/>
        <s v="GR-5930/23" u="1"/>
        <s v="GR-4938/22" u="1"/>
        <s v="GR-6999/23" u="1"/>
        <s v="GR-7437/23" u="1"/>
        <s v="GR-6971/23" u="1"/>
        <s v="GR-4818/22" u="1"/>
        <s v="GR-5959/23" u="1"/>
        <s v="GR-5931/23" u="1"/>
        <s v="GR-4939/22" u="1"/>
        <s v="GR-7438/23" u="1"/>
        <s v="GR-499/24" u="1"/>
        <s v="GR-6972/23" u="1"/>
        <s v="GR-4819/22" u="1"/>
        <s v="GR-395/24" u="1"/>
        <s v="GR-487/24" u="1"/>
        <s v="GR-5912/24" u="1"/>
        <s v="GR-6519/23" u="1"/>
        <s v="GR-7439/23" u="1"/>
        <s v="GR-291/24" u="1"/>
        <s v="GR-475/24" u="1"/>
        <s v="GR-7411/23" u="1"/>
        <s v="GR-371/24" u="1"/>
        <s v="GR-463/24" u="1"/>
        <s v="GR-647/24" u="1"/>
        <s v="GR-739/24" u="1"/>
        <s v="GR-5933/23" u="1"/>
        <s v="GR-451/24" u="1"/>
        <s v="GR-727/24" u="1"/>
        <s v="GR-747/23" u="1"/>
        <s v="GR-7412/23" u="1"/>
        <s v="GR-531/24" u="1"/>
        <s v="GR-623/24" u="1"/>
        <s v="GR-5934/23" u="1"/>
        <s v="GR-611/24" u="1"/>
        <s v="GR-7413/23" u="1"/>
        <s v="GR-5935/23" u="1"/>
        <s v="GR-7414/23" u="1"/>
        <s v="GR-5936/23" u="1"/>
        <s v="GR-7415/23" u="1"/>
        <s v="GR-6978/23" u="1"/>
        <s v="GR-5910/23" u="1"/>
        <s v="GR-4918/22" u="1"/>
        <s v="GR-6979/23" u="1"/>
        <s v="GR-7417/23" u="1"/>
        <s v="GR-6951/23" u="1"/>
        <s v="GR-4919/22" u="1"/>
        <s v="GR-497/24" u="1"/>
        <s v="GR-393/24" u="1"/>
        <s v="GR-485/24" u="1"/>
        <s v="GR-5912/23" u="1"/>
        <s v="GR-7419/23" u="1"/>
        <s v="GR-473/24" u="1"/>
        <s v="GR-461/24" u="1"/>
        <s v="GR-645/24" u="1"/>
        <s v="GR-737/24" u="1"/>
        <s v="GR-633/24" u="1"/>
        <s v="GR-725/24" u="1"/>
        <s v="GR-745/23" u="1"/>
        <s v="GR-929/23" u="1"/>
        <s v="GR-621/24" u="1"/>
        <s v="GR-813/23" u="1"/>
        <s v="GR-6956/23" u="1"/>
        <s v="GR-6810/23" u="1"/>
        <s v="GR-5919/23" u="1"/>
        <s v="GR-6932/23" u="1"/>
        <s v="GR-391/24" u="1"/>
        <s v="GR-483/24" u="1"/>
        <s v="GR-6812/23" u="1"/>
        <s v="GR-471/24" u="1"/>
        <s v="GR-747/24" u="1"/>
        <s v="GR-735/24" u="1"/>
        <s v="GR-939/23" u="1"/>
        <s v="GR-743/23" u="1"/>
        <s v="GR-927/23" u="1"/>
        <s v="GR-6934/23" u="1"/>
        <s v="GR-803/24" u="1"/>
        <s v="GR-6814/23" u="1"/>
        <s v="GR-811/23" u="1"/>
        <s v="GR-6935/23" u="1"/>
        <s v="GR-6815/23" u="1"/>
        <s v="GR-6816/23" u="1"/>
        <s v="GR-6817/23" u="1"/>
        <s v="GR-493/24" u="1"/>
        <s v="GR-769/24" u="1"/>
        <s v="GR-481/24" u="1"/>
        <s v="GR-949/23" u="1"/>
        <s v="GR-641/24" u="1"/>
        <s v="GR-733/24" u="1"/>
        <s v="GR-937/23" u="1"/>
        <s v="GR-905/24" u="1"/>
        <s v="GR-925/23" u="1"/>
        <s v="GR-801/24" u="1"/>
        <s v="GR-901/23" u="1"/>
        <s v="GR-779/24" u="1"/>
        <s v="GR-491/24" u="1"/>
        <s v="GR-775/23" u="1"/>
        <s v="GR-959/23" u="1"/>
        <s v="GR-947/23" u="1"/>
        <s v="GR-731/24" u="1"/>
        <s v="GR-935/23" u="1"/>
        <s v="GR-903/24" u="1"/>
        <s v="GR-911/23" u="1"/>
        <s v="GR-789/24" u="1"/>
        <s v="GR-777/24" u="1"/>
        <s v="GR-969/23" u="1"/>
        <s v="GR-661/24" u="1"/>
        <s v="GR-957/23" u="1"/>
        <s v="GR-741/24" u="1"/>
        <s v="GR-945/23" u="1"/>
        <s v="GR-921/23" u="1"/>
        <s v="GR-879/24" u="1"/>
        <s v="GR-979/23" u="1"/>
        <s v="GR-967/23" u="1"/>
        <s v="GR-943/23" u="1"/>
        <s v="GR-931/23" u="1"/>
        <s v="GR-889/24" u="1"/>
        <s v="GR-785/24" u="1"/>
        <s v="GR-877/24" u="1"/>
        <s v="GR-897/23" u="1"/>
        <s v="GR-773/24" u="1"/>
        <s v="GR-885/23" u="1"/>
        <s v="GR-977/23" u="1"/>
        <s v="GR-965/23" u="1"/>
        <s v="GR-795/24" u="1"/>
        <s v="GR-895/23" u="1"/>
        <s v="GR-863/24" u="1"/>
        <s v="GR-963/23" u="1"/>
        <s v="GR-897/24" u="1"/>
        <s v="GR-793/24" u="1"/>
        <s v="GR-781/24" u="1"/>
        <s v="GR-873/24" u="1"/>
        <s v="GR-893/23" u="1"/>
        <s v="GR-861/24" u="1"/>
        <s v="GR-973/23" u="1"/>
        <s v="GR-961/23" u="1"/>
        <s v="GR-895/24" u="1"/>
        <s v="GR-995/23" u="1"/>
        <s v="GR-871/24" u="1"/>
        <s v="GR-971/23" u="1"/>
        <s v="GR-893/24" u="1"/>
        <s v="GR-881/24" u="1"/>
        <s v="GR-981/23" u="1"/>
        <s v="GR-891/24" u="1"/>
        <s v="GR-1083/23" u="1"/>
        <s v="GR-1084/23" u="1"/>
        <s v="GR-1085/23" u="1"/>
        <s v="GR-1086/23" u="1"/>
        <s v="GR-1087/23" u="1"/>
        <s v="GR-1180/23" u="1"/>
        <s v="GR-1088/23" u="1"/>
        <s v="GR-1060/23" u="1"/>
        <s v="GR-1181/23" u="1"/>
        <s v="GR-1089/23" u="1"/>
        <s v="GR-1061/23" u="1"/>
        <s v="GR-1182/23" u="1"/>
        <s v="GR-1062/23" u="1"/>
        <s v="GR-1183/23" u="1"/>
        <s v="GR-1063/23" u="1"/>
        <s v="GR-1184/23" u="1"/>
        <s v="GR-1064/23" u="1"/>
        <s v="GR-1185/23" u="1"/>
        <s v="GR-1065/23" u="1"/>
        <s v="GR-1186/23" u="1"/>
        <s v="GR-1066/23" u="1"/>
        <s v="GR-1188/23" u="1"/>
        <s v="GR-1160/23" u="1"/>
        <s v="GR-2080/23" u="1"/>
        <s v="GR-1068/23" u="1"/>
        <s v="GR-1040/23" u="1"/>
        <s v="GR-2181/24" u="1"/>
        <s v="GR-1161/23" u="1"/>
        <s v="GR-2081/23" u="1"/>
        <s v="GR-1069/23" u="1"/>
        <s v="GR-1041/23" u="1"/>
        <s v="GR-1162/23" u="1"/>
        <s v="GR-2082/23" u="1"/>
        <s v="GR-1042/23" u="1"/>
        <s v="GR-1283/23" u="1"/>
        <s v="GR-1163/23" u="1"/>
        <s v="GR-2083/23" u="1"/>
        <s v="GR-1043/23" u="1"/>
        <s v="GR-1284/23" u="1"/>
        <s v="GR-1164/23" u="1"/>
        <s v="GR-1044/23" u="1"/>
        <s v="GR-1285/23" u="1"/>
        <s v="GR-1165/23" u="1"/>
        <s v="GR-2085/23" u="1"/>
        <s v="GR-1045/23" u="1"/>
        <s v="GR-1166/23" u="1"/>
        <s v="GR-2086/23" u="1"/>
        <s v="GR-1046/23" u="1"/>
        <s v="GR-1287/23" u="1"/>
        <s v="GR-1167/23" u="1"/>
        <s v="GR-2087/23" u="1"/>
        <s v="GR-1380/23" u="1"/>
        <s v="GR-2280/24" u="1"/>
        <s v="GR-1047/23" u="1"/>
        <s v="GR-1288/23" u="1"/>
        <s v="GR-1260/23" u="1"/>
        <s v="GR-1481/24" u="1"/>
        <s v="GR-2180/23" u="1"/>
        <s v="GR-1168/23" u="1"/>
        <s v="GR-2088/23" u="1"/>
        <s v="GR-1140/23" u="1"/>
        <s v="GR-1381/23" u="1"/>
        <s v="GR-2281/24" u="1"/>
        <s v="GR-1048/23" u="1"/>
        <s v="GR-1289/23" u="1"/>
        <s v="GR-1261/23" u="1"/>
        <s v="GR-1482/24" u="1"/>
        <s v="GR-2181/23" u="1"/>
        <s v="GR-1169/23" u="1"/>
        <s v="GR-2089/23" u="1"/>
        <s v="GR-1141/23" u="1"/>
        <s v="GR-1382/23" u="1"/>
        <s v="GR-2282/24" u="1"/>
        <s v="GR-1049/23" u="1"/>
        <s v="GR-1262/23" u="1"/>
        <s v="GR-1483/24" u="1"/>
        <s v="GR-2182/23" u="1"/>
        <s v="GR-1142/23" u="1"/>
        <s v="GR-1383/23" u="1"/>
        <s v="GR-1484/24" u="1"/>
        <s v="GR-2183/23" u="1"/>
        <s v="GR-1143/23" u="1"/>
        <s v="GR-1384/23" u="1"/>
        <s v="GR-2063/23" u="1"/>
        <s v="GR-1264/23" u="1"/>
        <s v="GR-1485/24" u="1"/>
        <s v="GR-2184/23" u="1"/>
        <s v="GR-1385/23" u="1"/>
        <s v="GR-2064/23" u="1"/>
        <s v="GR-1265/23" u="1"/>
        <s v="GR-1486/24" u="1"/>
        <s v="GR-2185/23" u="1"/>
        <s v="GR-1145/23" u="1"/>
        <s v="GR-1386/23" u="1"/>
        <s v="GR-2065/23" u="1"/>
        <s v="GR-1266/23" u="1"/>
        <s v="GR-1487/24" u="1"/>
        <s v="GR-1387/23" u="1"/>
        <s v="GR-2066/23" u="1"/>
        <s v="GR-1580/24" u="1"/>
        <s v="GR-1267/23" u="1"/>
        <s v="GR-1488/24" u="1"/>
        <s v="GR-1480/23" u="1"/>
        <s v="GR-1147/23" u="1"/>
        <s v="GR-1388/23" u="1"/>
        <s v="GR-2067/23" u="1"/>
        <s v="GR-1360/23" u="1"/>
        <s v="GR-1581/24" u="1"/>
        <s v="GR-2280/23" u="1"/>
        <s v="GR-1027/23" u="1"/>
        <s v="GR-1489/24" u="1"/>
        <s v="GR-1481/23" u="1"/>
        <s v="GR-2160/23" u="1"/>
        <s v="GR-3080/23" u="1"/>
        <s v="GR-1148/23" u="1"/>
        <s v="GR-2068/23" u="1"/>
        <s v="GR-1120/23" u="1"/>
        <s v="GR-1361/23" u="1"/>
        <s v="GR-2281/23" u="1"/>
        <s v="GR-1028/23" u="1"/>
        <s v="GR-1269/23" u="1"/>
        <s v="GR-2161/23" u="1"/>
        <s v="GR-3081/23" u="1"/>
        <s v="GR-1149/23" u="1"/>
        <s v="GR-2069/23" u="1"/>
        <s v="GR-1121/23" u="1"/>
        <s v="GR-1362/23" u="1"/>
        <s v="GR-2282/23" u="1"/>
        <s v="GR-1029/23" u="1"/>
        <s v="GR-1001/23" u="1"/>
        <s v="GR-1483/23" u="1"/>
        <s v="GR-2162/23" u="1"/>
        <s v="GR-3082/23" u="1"/>
        <s v="GR-1122/23" u="1"/>
        <s v="GR-1363/23" u="1"/>
        <s v="GR-1002/23" u="1"/>
        <s v="GR-1484/23" u="1"/>
        <s v="GR-2163/23" u="1"/>
        <s v="GR-3083/23" u="1"/>
        <s v="GR-1123/23" u="1"/>
        <s v="GR-1364/23" u="1"/>
        <s v="GR-1003/23" u="1"/>
        <s v="GR-1224/24" u="1"/>
        <s v="GR-1485/23" u="1"/>
        <s v="GR-2164/23" u="1"/>
        <s v="GR-3084/23" u="1"/>
        <s v="GR-1124/23" u="1"/>
        <s v="GR-1365/23" u="1"/>
        <s v="GR-1586/24" u="1"/>
        <s v="GR-2044/23" u="1"/>
        <s v="GR-2285/23" u="1"/>
        <s v="GR-1004/23" u="1"/>
        <s v="GR-1486/23" u="1"/>
        <s v="GR-2165/23" u="1"/>
        <s v="GR-3085/23" u="1"/>
        <s v="GR-1125/23" u="1"/>
        <s v="GR-1366/23" u="1"/>
        <s v="GR-1587/24" u="1"/>
        <s v="GR-2045/23" u="1"/>
        <s v="GR-2286/23" u="1"/>
        <s v="GR-1226/24" u="1"/>
        <s v="GR-1487/23" u="1"/>
        <s v="GR-2166/23" u="1"/>
        <s v="GR-3086/23" u="1"/>
        <s v="GR-1680/24" u="1"/>
        <s v="GR-1367/23" u="1"/>
        <s v="GR-1588/24" u="1"/>
        <s v="GR-2046/23" u="1"/>
        <s v="GR-2287/23" u="1"/>
        <s v="GR-1560/24" u="1"/>
        <s v="GR-1580/23" u="1"/>
        <s v="GR-1006/23" u="1"/>
        <s v="GR-1247/23" u="1"/>
        <s v="GR-1488/23" u="1"/>
        <s v="GR-2167/23" u="1"/>
        <s v="GR-3087/23" u="1"/>
        <s v="GR-1460/23" u="1"/>
        <s v="GR-1480/22" u="1"/>
        <s v="GR-2380/23" u="1"/>
        <s v="GR-1368/23" u="1"/>
        <s v="GR-1589/24" u="1"/>
        <s v="GR-2047/23" u="1"/>
        <s v="GR-2288/23" u="1"/>
        <s v="GR-1340/23" u="1"/>
        <s v="GR-1561/24" u="1"/>
        <s v="GR-1581/23" u="1"/>
        <s v="GR-3180/23" u="1"/>
        <s v="GR-1248/23" u="1"/>
        <s v="GR-1489/23" u="1"/>
        <s v="GR-2168/23" u="1"/>
        <s v="GR-3068/24" u="1"/>
        <s v="GR-3088/23" u="1"/>
        <s v="GR-1220/23" u="1"/>
        <s v="GR-1461/23" u="1"/>
        <s v="GR-1481/22" u="1"/>
        <s v="GR-2140/23" u="1"/>
        <s v="GR-2381/23" u="1"/>
        <s v="GR-3060/23" u="1"/>
        <s v="GR-1128/23" u="1"/>
        <s v="GR-1369/23" u="1"/>
        <s v="GR-2048/23" u="1"/>
        <s v="GR-2289/23" u="1"/>
        <s v="GR-1100/23" u="1"/>
        <s v="GR-1341/23" u="1"/>
        <s v="GR-1562/24" u="1"/>
        <s v="GR-1582/23" u="1"/>
        <s v="GR-2020/23" u="1"/>
        <s v="GR-3181/23" u="1"/>
        <s v="GR-1008/23" u="1"/>
        <s v="GR-1249/23" u="1"/>
        <s v="GR-2169/23" u="1"/>
        <s v="GR-3069/24" u="1"/>
        <s v="GR-3089/23" u="1"/>
        <s v="GR-1221/23" u="1"/>
        <s v="GR-1462/23" u="1"/>
        <s v="GR-1482/22" u="1"/>
        <s v="GR-2141/23" u="1"/>
        <s v="GR-2382/23" u="1"/>
        <s v="GR-3061/23" u="1"/>
        <s v="GR-1129/23" u="1"/>
        <s v="GR-2049/23" u="1"/>
        <s v="GR-1101/23" u="1"/>
        <s v="GR-1342/23" u="1"/>
        <s v="GR-1563/24" u="1"/>
        <s v="GR-1583/23" u="1"/>
        <s v="GR-2021/23" u="1"/>
        <s v="GR-3182/23" u="1"/>
        <s v="GR-1009/23" u="1"/>
        <s v="GR-108/24" u="1"/>
        <s v="GR-1222/23" u="1"/>
        <s v="GR-1463/23" u="1"/>
        <s v="GR-1483/22" u="1"/>
        <s v="GR-2142/23" u="1"/>
        <s v="GR-2383/23" u="1"/>
        <s v="GR-3042/24" u="1"/>
        <s v="GR-3062/23" u="1"/>
        <s v="GR-1102/23" u="1"/>
        <s v="GR-1343/23" u="1"/>
        <s v="GR-1564/24" u="1"/>
        <s v="GR-2022/23" u="1"/>
        <s v="GR-3183/23" u="1"/>
        <s v="GR-1223/23" u="1"/>
        <s v="GR-1464/23" u="1"/>
        <s v="GR-1484/22" u="1"/>
        <s v="GR-2143/23" u="1"/>
        <s v="GR-2384/23" u="1"/>
        <s v="GR-3063/23" u="1"/>
        <s v="GR-1103/23" u="1"/>
        <s v="GR-1344/23" u="1"/>
        <s v="GR-1565/24" u="1"/>
        <s v="GR-2023/23" u="1"/>
        <s v="GR-2264/23" u="1"/>
        <s v="GR-3184/23" u="1"/>
        <s v="GR-1224/23" u="1"/>
        <s v="GR-1465/23" u="1"/>
        <s v="GR-1485/22" u="1"/>
        <s v="GR-2144/23" u="1"/>
        <s v="GR-2385/23" u="1"/>
        <s v="GR-3044/24" u="1"/>
        <s v="GR-1104/23" u="1"/>
        <s v="GR-1345/23" u="1"/>
        <s v="GR-1566/24" u="1"/>
        <s v="GR-1586/23" u="1"/>
        <s v="GR-2024/23" u="1"/>
        <s v="GR-2265/23" u="1"/>
        <s v="GR-1225/23" u="1"/>
        <s v="GR-1466/23" u="1"/>
        <s v="GR-1486/22" u="1"/>
        <s v="GR-2145/23" u="1"/>
        <s v="GR-2366/24" u="1"/>
        <s v="GR-3045/24" u="1"/>
        <s v="GR-3065/23" u="1"/>
        <s v="GR-1105/23" u="1"/>
        <s v="GR-1346/23" u="1"/>
        <s v="GR-1567/24" u="1"/>
        <s v="GR-2025/23" u="1"/>
        <s v="GR-2266/23" u="1"/>
        <s v="GR-1226/23" u="1"/>
        <s v="GR-1467/23" u="1"/>
        <s v="GR-1487/22" u="1"/>
        <s v="GR-2146/23" u="1"/>
        <s v="GR-2367/24" u="1"/>
        <s v="GR-2387/23" u="1"/>
        <s v="GR-3046/24" u="1"/>
        <s v="GR-1660/24" u="1"/>
        <s v="GR-1680/23" u="1"/>
        <s v="GR-1106/23" u="1"/>
        <s v="GR-1347/23" u="1"/>
        <s v="GR-1568/24" u="1"/>
        <s v="GR-2026/23" u="1"/>
        <s v="GR-2267/23" u="1"/>
        <s v="GR-1540/24" u="1"/>
        <s v="GR-1560/23" u="1"/>
        <s v="GR-1227/23" u="1"/>
        <s v="GR-1468/23" u="1"/>
        <s v="GR-1488/22" u="1"/>
        <s v="GR-2147/23" u="1"/>
        <s v="GR-2368/24" u="1"/>
        <s v="GR-2388/23" u="1"/>
        <s v="GR-1440/23" u="1"/>
        <s v="GR-1681/23" u="1"/>
        <s v="GR-2360/23" u="1"/>
        <s v="GR-3260/24" u="1"/>
        <s v="GR-3280/23" u="1"/>
        <s v="GR-1107/23" u="1"/>
        <s v="GR-1348/23" u="1"/>
        <s v="GR-1569/24" u="1"/>
        <s v="GR-2027/23" u="1"/>
        <s v="GR-2268/23" u="1"/>
        <s v="GR-1541/24" u="1"/>
        <s v="GR-1561/23" u="1"/>
        <s v="GR-3160/23" u="1"/>
        <s v="GR-4060/24" u="1"/>
        <s v="GR-1228/23" u="1"/>
        <s v="GR-1469/23" u="1"/>
        <s v="GR-1489/22" u="1"/>
        <s v="GR-2148/23" u="1"/>
        <s v="GR-2369/24" u="1"/>
        <s v="GR-3048/24" u="1"/>
        <s v="GR-1441/23" u="1"/>
        <s v="GR-1662/24" u="1"/>
        <s v="GR-1682/23" u="1"/>
        <s v="GR-2120/23" u="1"/>
        <s v="GR-2361/23" u="1"/>
        <s v="GR-3020/24" u="1"/>
        <s v="GR-3040/23" u="1"/>
        <s v="GR-3281/23" u="1"/>
        <s v="GR-1108/23" u="1"/>
        <s v="GR-1349/23" u="1"/>
        <s v="GR-2269/23" u="1"/>
        <s v="GR-1562/23" u="1"/>
        <s v="GR-2000/23" u="1"/>
        <s v="GR-2241/23" u="1"/>
        <s v="GR-3161/23" u="1"/>
        <s v="GR-3181/22" u="1"/>
        <s v="GR-4061/24" u="1"/>
        <s v="GR-1209/24" u="1"/>
        <s v="GR-1229/23" u="1"/>
        <s v="GR-2149/23" u="1"/>
        <s v="GR-3049/24" u="1"/>
        <s v="GR-3069/23" u="1"/>
        <s v="GR-1442/23" u="1"/>
        <s v="GR-1683/23" u="1"/>
        <s v="GR-2121/23" u="1"/>
        <s v="GR-2362/23" u="1"/>
        <s v="GR-3041/23" u="1"/>
        <s v="GR-3282/23" u="1"/>
        <s v="GR-1109/23" u="1"/>
        <s v="GR-2029/23" u="1"/>
        <s v="GR-1563/23" u="1"/>
        <s v="GR-2242/23" u="1"/>
        <s v="GR-3162/23" u="1"/>
        <s v="GR-106/24" u="1"/>
        <s v="GR-1202/23" u="1"/>
        <s v="GR-1443/23" u="1"/>
        <s v="GR-1664/24" u="1"/>
        <s v="GR-1684/23" u="1"/>
        <s v="GR-2122/23" u="1"/>
        <s v="GR-2363/23" u="1"/>
        <s v="GR-3042/23" u="1"/>
        <s v="GR-3283/23" u="1"/>
        <s v="GR-1544/24" u="1"/>
        <s v="GR-1564/23" u="1"/>
        <s v="GR-1584/22" u="1"/>
        <s v="GR-2002/23" u="1"/>
        <s v="GR-2243/23" u="1"/>
        <s v="GR-2484/23" u="1"/>
        <s v="GR-3163/23" u="1"/>
        <s v="GR-1203/23" u="1"/>
        <s v="GR-1444/23" u="1"/>
        <s v="GR-1685/23" u="1"/>
        <s v="GR-2103/24" u="1"/>
        <s v="GR-2123/23" u="1"/>
        <s v="GR-2364/23" u="1"/>
        <s v="GR-3043/23" u="1"/>
        <s v="GR-3284/23" u="1"/>
        <s v="GR-1565/23" u="1"/>
        <s v="GR-2003/23" u="1"/>
        <s v="GR-2244/23" u="1"/>
        <s v="GR-2485/23" u="1"/>
        <s v="GR-3164/23" u="1"/>
        <s v="GR-1204/23" u="1"/>
        <s v="GR-1445/23" u="1"/>
        <s v="GR-1666/24" u="1"/>
        <s v="GR-1686/23" u="1"/>
        <s v="GR-2104/24" u="1"/>
        <s v="GR-2124/23" u="1"/>
        <s v="GR-3044/23" u="1"/>
        <s v="GR-3285/23" u="1"/>
        <s v="GR-1566/23" u="1"/>
        <s v="GR-2004/23" u="1"/>
        <s v="GR-2245/23" u="1"/>
        <s v="GR-2486/23" u="1"/>
        <s v="GR-3165/23" u="1"/>
        <s v="GR-3386/24" u="1"/>
        <s v="GR-4085/23" u="1"/>
        <s v="GR-1205/23" u="1"/>
        <s v="GR-1446/23" u="1"/>
        <s v="GR-1687/23" u="1"/>
        <s v="GR-2105/24" u="1"/>
        <s v="GR-2125/23" u="1"/>
        <s v="GR-2366/23" u="1"/>
        <s v="GR-3045/23" u="1"/>
        <s v="GR-3286/23" u="1"/>
        <s v="GR-1567/23" u="1"/>
        <s v="GR-2246/23" u="1"/>
        <s v="GR-2487/23" u="1"/>
        <s v="GR-4086/23" u="1"/>
        <s v="GR-1206/23" u="1"/>
        <s v="GR-1447/23" u="1"/>
        <s v="GR-1688/23" u="1"/>
        <s v="GR-2106/24" u="1"/>
        <s v="GR-2126/23" u="1"/>
        <s v="GR-3026/24" u="1"/>
        <s v="GR-3046/23" u="1"/>
        <s v="GR-3287/23" u="1"/>
        <s v="GR-1660/23" u="1"/>
        <s v="GR-2580/23" u="1"/>
        <s v="GR-3480/24" u="1"/>
        <s v="GR-1568/23" u="1"/>
        <s v="GR-1588/22" u="1"/>
        <s v="GR-2247/23" u="1"/>
        <s v="GR-2488/23" u="1"/>
        <s v="GR-4087/23" u="1"/>
        <s v="GR-1540/23" u="1"/>
        <s v="GR-3380/23" u="1"/>
        <s v="GR-1448/23" u="1"/>
        <s v="GR-1689/23" u="1"/>
        <s v="GR-2107/24" u="1"/>
        <s v="GR-2127/23" u="1"/>
        <s v="GR-3027/24" u="1"/>
        <s v="GR-3047/23" u="1"/>
        <s v="GR-3288/23" u="1"/>
        <s v="GR-1440/22" u="1"/>
        <s v="GR-1661/23" u="1"/>
        <s v="GR-2340/23" u="1"/>
        <s v="GR-2581/23" u="1"/>
        <s v="GR-3240/24" u="1"/>
        <s v="GR-3260/23" u="1"/>
        <s v="GR-3280/22" u="1"/>
        <s v="GR-3481/24" u="1"/>
        <s v="GR-4180/23" u="1"/>
        <s v="GR-1569/23" u="1"/>
        <s v="GR-2489/23" u="1"/>
        <s v="GR-4088/23" u="1"/>
        <s v="GR-1300/23" u="1"/>
        <s v="GR-1541/23" u="1"/>
        <s v="GR-2461/23" u="1"/>
        <s v="GR-3381/23" u="1"/>
        <s v="GR-4080/22" u="1"/>
        <s v="GR-1208/23" u="1"/>
        <s v="GR-1449/23" u="1"/>
        <s v="GR-2108/24" u="1"/>
        <s v="GR-2128/23" u="1"/>
        <s v="GR-2369/23" u="1"/>
        <s v="GR-3028/24" u="1"/>
        <s v="GR-3048/23" u="1"/>
        <s v="GR-1421/23" u="1"/>
        <s v="GR-1441/22" u="1"/>
        <s v="GR-1662/23" u="1"/>
        <s v="GR-2100/23" u="1"/>
        <s v="GR-2341/23" u="1"/>
        <s v="GR-2582/23" u="1"/>
        <s v="GR-3000/24" u="1"/>
        <s v="GR-3020/23" u="1"/>
        <s v="GR-3241/24" u="1"/>
        <s v="GR-3261/23" u="1"/>
        <s v="GR-3482/24" u="1"/>
        <s v="GR-4181/23" u="1"/>
        <s v="GR-2008/23" u="1"/>
        <s v="GR-2249/23" u="1"/>
        <s v="GR-1301/23" u="1"/>
        <s v="GR-1542/23" u="1"/>
        <s v="GR-1562/22" u="1"/>
        <s v="GR-2221/23" u="1"/>
        <s v="GR-2462/23" u="1"/>
        <s v="GR-3141/23" u="1"/>
        <s v="GR-3382/23" u="1"/>
        <s v="GR-4081/22" u="1"/>
        <s v="GR-1209/23" u="1"/>
        <s v="GR-2109/24" u="1"/>
        <s v="GR-2129/23" u="1"/>
        <s v="GR-3029/24" u="1"/>
        <s v="GR-3049/23" u="1"/>
        <s v="GR-128/24" u="1"/>
        <s v="GR-1422/23" u="1"/>
        <s v="GR-1442/22" u="1"/>
        <s v="GR-1663/23" u="1"/>
        <s v="GR-2101/23" u="1"/>
        <s v="GR-2342/23" u="1"/>
        <s v="GR-2583/23" u="1"/>
        <s v="GR-3001/24" u="1"/>
        <s v="GR-3021/23" u="1"/>
        <s v="GR-3242/24" u="1"/>
        <s v="GR-3262/23" u="1"/>
        <s v="GR-3483/24" u="1"/>
        <s v="GR-4182/23" u="1"/>
        <s v="GR-2009/23" u="1"/>
        <s v="GR-1302/23" u="1"/>
        <s v="GR-1543/23" u="1"/>
        <s v="GR-1563/22" u="1"/>
        <s v="GR-2222/23" u="1"/>
        <s v="GR-2463/23" u="1"/>
        <s v="GR-3383/23" u="1"/>
        <s v="GR-4082/22" u="1"/>
        <s v="GR-1423/23" u="1"/>
        <s v="GR-1443/22" u="1"/>
        <s v="GR-1664/23" u="1"/>
        <s v="GR-2102/23" u="1"/>
        <s v="GR-2343/23" u="1"/>
        <s v="GR-2584/23" u="1"/>
        <s v="GR-3243/24" u="1"/>
        <s v="GR-3263/23" u="1"/>
        <s v="GR-3484/24" u="1"/>
        <s v="GR-4183/23" u="1"/>
        <s v="GR-1303/23" u="1"/>
        <s v="GR-1544/23" u="1"/>
        <s v="GR-1564/22" u="1"/>
        <s v="GR-2223/23" u="1"/>
        <s v="GR-2464/23" u="1"/>
        <s v="GR-3143/23" u="1"/>
        <s v="GR-3384/23" u="1"/>
        <s v="GR-4083/22" u="1"/>
        <s v="GR-1444/22" u="1"/>
        <s v="GR-1665/23" u="1"/>
        <s v="GR-2103/23" u="1"/>
        <s v="GR-2344/23" u="1"/>
        <s v="GR-2585/23" u="1"/>
        <s v="GR-3003/24" u="1"/>
        <s v="GR-3023/23" u="1"/>
        <s v="GR-3244/24" u="1"/>
        <s v="GR-3264/23" u="1"/>
        <s v="GR-3485/24" u="1"/>
        <s v="GR-4184/23" u="1"/>
        <s v="GR-1304/23" u="1"/>
        <s v="GR-1545/23" u="1"/>
        <s v="GR-1565/22" u="1"/>
        <s v="GR-2224/23" u="1"/>
        <s v="GR-2465/23" u="1"/>
        <s v="GR-3144/23" u="1"/>
        <s v="GR-1445/22" u="1"/>
        <s v="GR-1666/23" u="1"/>
        <s v="GR-2104/23" u="1"/>
        <s v="GR-2345/23" u="1"/>
        <s v="GR-2586/23" u="1"/>
        <s v="GR-3004/24" u="1"/>
        <s v="GR-3024/23" u="1"/>
        <s v="GR-3245/24" u="1"/>
        <s v="GR-3265/23" u="1"/>
        <s v="GR-3486/24" u="1"/>
        <s v="GR-4185/23" u="1"/>
        <s v="GR-1305/23" u="1"/>
        <s v="GR-1566/22" u="1"/>
        <s v="GR-2225/23" u="1"/>
        <s v="GR-2466/23" u="1"/>
        <s v="GR-3145/23" u="1"/>
        <s v="GR-3366/24" u="1"/>
        <s v="GR-3386/23" u="1"/>
        <s v="GR-4085/22" u="1"/>
        <s v="GR-1446/22" u="1"/>
        <s v="GR-1667/23" u="1"/>
        <s v="GR-1687/22" u="1"/>
        <s v="GR-2105/23" u="1"/>
        <s v="GR-2587/23" u="1"/>
        <s v="GR-3005/24" u="1"/>
        <s v="GR-3025/23" u="1"/>
        <s v="GR-3246/24" u="1"/>
        <s v="GR-3266/23" u="1"/>
        <s v="GR-3487/24" u="1"/>
        <s v="GR-4186/23" u="1"/>
        <s v="GR-1306/23" u="1"/>
        <s v="GR-3146/23" u="1"/>
        <s v="GR-3367/24" u="1"/>
        <s v="GR-3387/23" u="1"/>
        <s v="GR-4086/22" u="1"/>
        <s v="GR-2680/23" u="1"/>
        <s v="GR-1447/22" u="1"/>
        <s v="GR-1668/23" u="1"/>
        <s v="GR-1688/22" u="1"/>
        <s v="GR-2106/23" u="1"/>
        <s v="GR-2347/23" u="1"/>
        <s v="GR-3006/24" u="1"/>
        <s v="GR-3026/23" u="1"/>
        <s v="GR-3247/24" u="1"/>
        <s v="GR-3267/23" u="1"/>
        <s v="GR-3488/24" u="1"/>
        <s v="GR-4187/23" u="1"/>
        <s v="GR-1640/23" u="1"/>
        <s v="GR-3460/24" u="1"/>
      </sharedItems>
    </cacheField>
    <cacheField name="CARTONS" numFmtId="0">
      <sharedItems containsSemiMixedTypes="0" containsString="0" containsNumber="1" containsInteger="1" minValue="1" maxValue="76"/>
    </cacheField>
    <cacheField name="Fabric Quality" numFmtId="0">
      <sharedItems containsBlank="1" count="217">
        <s v="PC (65:35)"/>
        <s v="CVC (55:45)"/>
        <s v="100% COTTON (WHITE - 134 BOLTS)" u="1"/>
        <m u="1"/>
        <s v="COTTON ELS (99:1)" u="1"/>
        <s v="RECYCLE POLYESTER COTTON (52:48)" u="1"/>
        <s v="FRONT: CVC (55:45 ) / BACK: PC (50:50)" u="1"/>
        <s v="(60:40 CVC)" u="1"/>
        <s v="CVC (62:38)" u="1"/>
        <s v="100% ORG COTTON" u="1"/>
        <s v="100% COTTON (PRINT - 259 BOLTS)" u="1"/>
        <s v="100% COTTON (PRINT - 490 BOLTS)" u="1"/>
        <s v="RECYCLE POLYESTER SORONA POLYESTER COTTON (35:33:32)" u="1"/>
        <s v="PC 50:50" u="1"/>
        <s v="CVC 76:24" u="1"/>
        <s v="PC (50:50)" u="1"/>
        <s v="100% COTTON ORGANIC" u="1"/>
        <s v="100% POLYESTER FILAMENT" u="1"/>
        <s v="COTTON POLY XLANCE (56:42:2)" u="1"/>
        <s v="100% COTTON (WHITE - 65 BOLTS)" u="1"/>
        <s v="100% COTTON (WHITE) (65 BOLTS)" u="1"/>
        <s v="CVC (61:39)" u="1"/>
        <s v="100% POLY (POLYFILL)" u="1"/>
        <s v="PC 65:35" u="1"/>
        <s v="POLYESTER COTTON" u="1"/>
        <s v="50% COTTON/50% POLYESTER" u="1"/>
        <s v="100%CTN" u="1"/>
        <s v="100% POLYESTER" u="1"/>
        <s v="30/30 x 76/68 PC (52:48)" u="1"/>
        <s v="100% COTTON (PRTD) (1223 BOLT)" u="1"/>
        <s v="PC 52:48" u="1"/>
        <s v="99% COTTON + 1% ELS" u="1"/>
        <s v="100% COTTON (WHITE - 131 BOLTS))" u="1"/>
        <s v="ACCESSORIES" u="1"/>
        <s v="100 % Cotton" u="1"/>
        <s v="100% COTTON 50/1" u="1"/>
        <s v="50% Polyester / 50% Cotton" u="1"/>
        <s v="100% Cotton (PRTD - 88 ROLLS)" u="1"/>
        <s v="RECYCLE POLY, POLY, COTTON (35:33:32)" u="1"/>
        <s v="40% MODAL 60% COTTON" u="1"/>
        <s v="100% Cotton (DYED)" u="1"/>
        <s v="PC (80:20)" u="1"/>
        <s v="50% cotton / 50% polyester" u="1"/>
        <s v="COTTON POLYESTER XLANCE (56:42:2)" u="1"/>
        <s v="100%POLY" u="1"/>
        <s v="CVC (56:42:2)" u="1"/>
        <s v="100%COTTON 40/1" u="1"/>
        <s v="RECYCLE POLYESTER TENCEL (50:50)" u="1"/>
        <s v="1005COTTON" u="1"/>
        <s v="COTTON POLYESTER LYCRA (60:37:3)" u="1"/>
        <s v="COTTON RECYCLE POLYESTER (81:19)" u="1"/>
        <s v="CVC (77:23)" u="1"/>
        <s v="100% BCI COTTON" u="1"/>
        <s v="POLYTENCEL 50:50" u="1"/>
        <s v="TENCEL COTTON (60:40)" u="1"/>
        <s v="POLY TENCEL (50:50)" u="1"/>
        <s v="99% COTTON 1% SPANDEX" u="1"/>
        <s v="98% COTTON (Org) + 2% EL" u="1"/>
        <s v="100% COTTON (PRTD - 4423 BOLTS)" u="1"/>
        <s v="100% COTTON (WHITE - 123 BOLTS)" u="1"/>
        <s v="COTTON ORG RECYCLE POLYESTER LYCRA (50:47:3)" u="1"/>
        <s v="Cotton 100%" u="1"/>
        <s v="CVC (76:24)" u="1"/>
        <s v="99% COTTON + 1% EL" u="1"/>
        <s v="CVC (70:30)" u="1"/>
        <s v="POLY COTTON (52:48)" u="1"/>
        <s v="RECYCLE POLYESTER POLYESTER COTTON (35:33:32)" u="1"/>
        <s v="RECYCLE POLYESTER POLYESTER, COTTON (35:33:32)" u="1"/>
        <s v="RECYCLE POLYESTER SORONA POY COTTON (35:33:32)" u="1"/>
        <s v="CVC (75:25)" u="1"/>
        <s v="98% BCI Cotton , 2% Lycra" u="1"/>
        <s v="51% polyester GRS certified, 14% polyester, 35% cotton (BCI)" u="1"/>
        <s v="Ctn" u="1"/>
        <s v="CVC 81:19" u="1"/>
        <s v="CVC (74:26)" u="1"/>
        <s v="ACCESSORIES EMTPY CTN" u="1"/>
        <s v="100% COTTON (PRTD - 5229 BOLTS)" u="1"/>
        <s v="98% BCI COTTON, 2% LYCRA, TWILL" u="1"/>
        <s v="REFIBRA COTTON ORG POLYESTER (57:26:17)" u="1"/>
        <s v="PC 58:42" u="1"/>
        <s v="CVC 67:33" u="1"/>
        <s v="EMPTY CARTONS" u="1"/>
        <s v="100% COTTON 30/1" u="1"/>
        <s v="100% COTTON (PRTD - 3541 BOLTS)" u="1"/>
        <s v="100% COTTON (PRTD - 5441 BOLTS)" u="1"/>
        <s v="100% COTTON (PRINT - 2382 BOLTS)" u="1"/>
        <s v="60/1" u="1"/>
        <s v="(50:50)" u="1"/>
        <s v="Cotton Bamboo (50:50)" u="1"/>
        <s v="100% POLYESTER MICROFIBER" u="1"/>
        <s v="100% COTTON (PRINT - 838 BOLTS)" u="1"/>
        <s v="ACCESSORIES POLY BAG" u="1"/>
        <s v="(58% COTTON, 40 POLY &amp; 2% SPANDEX)" u="1"/>
        <s v="98% cotton, 2% Lycra" u="1"/>
        <s v="50% cotton 47% poly 3% EL" u="1"/>
        <s v="97% Cotton, 03% Lycra Jersey" u="1"/>
        <s v="POLYESTER TENCEL (50:50)" u="1"/>
        <s v="micro fibre" u="1"/>
        <s v="100% COTTON (PRTD) (2175 BOLTS)" u="1"/>
        <s v="POLYESTER COTTON PC MELANGE (51:48:1)" u="1"/>
        <s v="COTTON POLYESTER XLANCE (56:42:2) ." u="1"/>
        <s v="CVC(60:40)" u="1"/>
        <s v="100% COTTON (PRINT)" u="1"/>
        <s v="58% COTTON, 40 POLY &amp; 2% SPANDEX)" u="1"/>
        <s v="100% COTTON 60/1" u="1"/>
        <s v="75% COTTON 25% POLYESTER" u="1"/>
        <s v="58% COTTON, 40% POLY &amp; 2% SPANDEX." u="1"/>
        <s v="98% COTTON 2% SPX." u="1"/>
        <s v="98% COTTON, 2% SPANDEX" u="1"/>
        <s v="65% polyester, 35% cotton" u="1"/>
        <s v="RECLYCLE POLY, POLYESTER,COTTON (35:33:32)" u="1"/>
        <s v="98% BCI COTTON, 2% LYCRA," u="1"/>
        <s v="SUSTAINABLE 98% ORGANIC COTTON, 2% LYCRA," u="1"/>
        <s v="100 % Poly" u="1"/>
        <s v="PC(52 : 48)" u="1"/>
        <s v="40/40 123x72 100% cotton sateen 4/1" u="1"/>
        <s v="98% COTTON, 2% SPX." u="1"/>
        <s v="60% Cotton : 40% Polyester" u="1"/>
        <s v="CVC 55:45" u="1"/>
        <s v="PC(65:35)" u="1"/>
        <s v="58%Organic Cotton /39% rec.polyester /3% stretch" u="1"/>
        <s v="CVC55:45" u="1"/>
        <s v="PC(52:48)" u="1"/>
        <s v="CVC (80:20)" u="1"/>
        <s v="POLY TENCEL 50:50" u="1"/>
        <s v="75% Polyester : 25% Cotton" u="1"/>
        <s v="CMIA POLYESTER COTTON (64:19:17)" u="1"/>
        <s v="CVC 65:35" u="1"/>
        <s v="100% COTTON 24/1" u="1"/>
        <s v="99% COTTON 1% ELAS." u="1"/>
        <s v="(98% COTTON 2% SPANDEX)" u="1"/>
        <s v="100% COTTON (PRINT - 2275 BOLTS)" u="1"/>
        <s v="CVC 58:42" u="1"/>
        <s v="PP POLY BAGS" u="1"/>
        <s v="CVC (80:20) 30/1" u="1"/>
        <s v="73% COTTON 25% POLYESTER 2%SPANDEX" u="1"/>
        <s v="60/1 Cotton" u="1"/>
        <s v="100% poly MJS" u="1"/>
        <s v="99% COTTON 1% SPX. DENIM" u="1"/>
        <s v="CVC 75:25" u="1"/>
        <s v="100% ORGANIC COTTON" u="1"/>
        <s v="`40% Modal 60% Cotton" u="1"/>
        <s v="FRONT: CVC (55:45) / BACK: PC (52:48)" u="1"/>
        <s v="COTTON" u="1"/>
        <s v="65% polyester, 35% cotton (BCI)" u="1"/>
        <s v="58% COTTON, 40% POLY &amp; 2% SPANDEX" u="1"/>
        <s v="PC (52 : 48)" u="1"/>
        <s v="100% COTTON 40/1" u="1"/>
        <s v="PC (52:48) (WHITE)" u="1"/>
        <s v="98% COTTON 2% SPANDEX" u="1"/>
        <s v="100% COTTON (DYED - 199 BOLTS)" u="1"/>
        <s v="100% COTTON (PRTD -4599 BOLTS)" u="1"/>
        <s v="100% COTTON (WHITE - 217 BOLTS)" u="1"/>
        <s v="CVC 78:22" u="1"/>
        <s v="100% COTOTN" u="1"/>
        <s v="52 RECYCLED POLYESTER : 48 BCI COTTON" u="1"/>
        <s v="100% CTN" u="1"/>
        <s v="CVC (81:19)" u="1"/>
        <s v="100%CTN 40/1" u="1"/>
        <s v="100% Polyester MJS" u="1"/>
        <s v="100% COTTON (WHITE)" u="1"/>
        <s v="ACCESSORIES / INLAY CARD" u="1"/>
        <s v="100% COTTON" u="1"/>
        <s v="PC (65:35)`" u="1"/>
        <s v="EMPTY CARTON" u="1"/>
        <s v="100 % Polyester" u="1"/>
        <s v="FRONT CVC (55:45) Reverse: CVC - 60% Cotton : 40% Polyester" u="1"/>
        <s v="CVC 60:40" u="1"/>
        <s v="65% Polyester, 35% BCI Cotton" u="1"/>
        <s v="100%COTTON" u="1"/>
        <s v="CVC 980;20)" u="1"/>
        <s v="100% COTTON (DYED -66 BOLTS)" u="1"/>
        <s v="100% COTTON (PRTD) (1254 BOLTS)" u="1"/>
        <s v="58% COTTON, 40% POLY, 2% SPANDEX" u="1"/>
        <s v="RECYCLE POLYESTER BCI COTTON (65:35)" u="1"/>
        <s v="PC 52:48 Recycle" u="1"/>
        <s v="100% PLYESTER" u="1"/>
        <s v="PC (52:48)" u="1"/>
        <s v="100% COTTON (PRTD - 2735 BOLTS)" u="1"/>
        <s v="100% POLY" u="1"/>
        <s v=" CVC (75:25)" u="1"/>
        <s v="100% COTTON (DYED - 64 BOLTS)" u="1"/>
        <s v="CVC 80:20" u="1"/>
        <s v="100% COTTON (PRTD) (1891 BOLTS)" u="1"/>
        <s v="COTTON POLYESTER LYCRA (50:47:3)" u="1"/>
        <s v="PC 60:40" u="1"/>
        <s v="100% GOTS COTTON" u="1"/>
        <s v="POLYESTER COTTON (52:48)" u="1"/>
        <s v="100% COTTON (DYED - 65 BOLTS)" u="1"/>
        <s v="100% COTTON (WHITE -65 BOLTS)" u="1"/>
        <s v="100% COTTON (PRTD - 4016 BOLTS)" u="1"/>
        <s v="cvc ( 55 COTTON / 45 POLYESTER)" u="1"/>
        <s v="cvc ( 58 COTTON / 42 POLYESTER)" u="1"/>
        <s v="78%PES+17%VISCOSE+5%SPANDEX" u="1"/>
        <s v="CVC (66:34)" u="1"/>
        <s v="100% COTTON (DYED - 66 BOLTS)" u="1"/>
        <s v="100% COTTON (DYED) (66 BOLTS)" u="1"/>
        <s v="58% COTTON, 40% POLY, 2% SPX." u="1"/>
        <s v="CVC (60:40)" u="1"/>
        <s v="60% COTTON 40% MODAL" u="1"/>
        <s v="CVC(54:46)" u="1"/>
        <s v="100% poly MVS" u="1"/>
        <s v="85% COTTON 15% POLYESTER" u="1"/>
        <s v="100% COTTON (WHITE - 66 BOLTS)" u="1"/>
        <s v="100% COTTON (WHITE) (66 BOLTS)" u="1"/>
        <s v="100% COTTON (PRTD - 6697 BOLTS)" u="1"/>
        <s v="POLYCOTTON 50:50" u="1"/>
        <s v="97% Cotton, 03% Elasthan" u="1"/>
        <s v="58% COTTON 40% POLY 2% SPX" u="1"/>
        <s v="100% COTTON 20/1" u="1"/>
        <s v="98% COTTON 2% SPANDEX." u="1"/>
        <s v="52% RECYCLE POLY 48% COTTON" u="1"/>
        <s v="100% COTTON (DYED - 68 BOLTS)" u="1"/>
        <s v="100% COTTON (DYED) (68 BOLTS)" u="1"/>
        <s v="CVC 55/45" u="1"/>
        <s v="20/1 cotton" u="1"/>
        <s v="98% ORGANIC COTTON 2% ELASTANE" u="1"/>
      </sharedItems>
    </cacheField>
    <cacheField name="Quantity" numFmtId="0">
      <sharedItems containsSemiMixedTypes="0" containsString="0" containsNumber="1" containsInteger="1" minValue="24" maxValue="960"/>
    </cacheField>
    <cacheField name="Unit" numFmtId="0">
      <sharedItems/>
    </cacheField>
    <cacheField name="Size" numFmtId="0">
      <sharedItems/>
    </cacheField>
    <cacheField name="Item" numFmtId="0">
      <sharedItems/>
    </cacheField>
    <cacheField name="White" numFmtId="0">
      <sharedItems containsSemiMixedTypes="0" containsString="0" containsNumber="1" containsInteger="1" minValue="0" maxValue="648"/>
    </cacheField>
    <cacheField name="Dyed" numFmtId="0">
      <sharedItems containsSemiMixedTypes="0" containsString="0" containsNumber="1" containsInteger="1" minValue="0" maxValue="960"/>
    </cacheField>
    <cacheField name="Print" numFmtId="0">
      <sharedItems containsSemiMixedTypes="0" containsString="0" containsNumber="1" containsInteger="1" minValue="0" maxValue="0"/>
    </cacheField>
    <cacheField name="G.Wt" numFmtId="0">
      <sharedItems containsSemiMixedTypes="0" containsString="0" containsNumber="1" minValue="12.568" maxValue="274.536"/>
    </cacheField>
    <cacheField name="N.Wt" numFmtId="0">
      <sharedItems containsSemiMixedTypes="0" containsString="0" containsNumber="1" minValue="10.368" maxValue="247.536"/>
    </cacheField>
    <cacheField name="Price" numFmtId="0">
      <sharedItems containsSemiMixedTypes="0" containsString="0" containsNumber="1" minValue="1.91" maxValue="4.22"/>
    </cacheField>
    <cacheField name="Amount" numFmtId="0">
      <sharedItems containsSemiMixedTypes="0" containsString="0" containsNumber="1" minValue="101.28" maxValue="2261.52"/>
    </cacheField>
    <cacheField name="Hscode" numFmtId="0">
      <sharedItems containsSemiMixedTypes="0" containsString="0" containsNumber="1" minValue="5208.22" maxValue="9404.9" count="34">
        <n v="6101.9"/>
        <n v="6109.9089999999997"/>
        <n v="6103.49"/>
        <n v="6303.9110000000001" u="1"/>
        <n v="6302.3149999999996" u="1"/>
        <n v="5208.22" u="1"/>
        <n v="6302.3109999999997" u="1"/>
        <n v="6302.32" u="1"/>
        <n v="6302.5110000000004" u="1"/>
        <n v="6203.29" u="1"/>
        <n v="6101.2" u="1"/>
        <n v="6303.19" u="1"/>
        <n v="6103.42" u="1"/>
        <n v="5513.21" u="1"/>
        <n v="5513.49" u="1"/>
        <n v="5208.51" u="1"/>
        <n v="6302.393" u="1"/>
        <n v="9404.9" u="1"/>
        <n v="6104.69" u="1"/>
        <n v="5513.41" u="1"/>
        <n v="6302.1009999999997" u="1"/>
        <n v="5208.32" u="1"/>
        <n v="6207.29" u="1"/>
        <n v="6303.99" u="1"/>
        <n v="6305.9" u="1"/>
        <n v="6101.3" u="1"/>
        <n v="6203.22" u="1"/>
        <n v="6102.9" u="1"/>
        <n v="5208.5200000000004" u="1"/>
        <n v="6302.59" u="1"/>
        <n v="6302.1019999999999" u="1"/>
        <n v="6304.19" u="1"/>
        <n v="5210.21" u="1"/>
        <n v="6302.3909999999996" u="1"/>
      </sharedItems>
    </cacheField>
    <cacheField name="Faric Cons" numFmtId="0">
      <sharedItems/>
    </cacheField>
    <cacheField name="Delivery From" numFmtId="0">
      <sharedItems containsBlank="1" count="13">
        <s v="LUCKY TEXTILE MILLS # 2"/>
        <m u="1"/>
        <s v="LUCKY TEXTILE MILLS # 4 (FOLDING)" u="1"/>
        <s v="LTM#2 APPAREL DEPARTMENT" u="1"/>
        <s v="LUCKY TEXTILE MILLS # 1" u="1"/>
        <s v="N.A." u="1"/>
        <s v="Bleached" u="1"/>
        <s v="LUCKY TEXTILE MILL 3" u="1"/>
        <s v="LTM-4" u="1"/>
        <s v="GADOON TEXTILE MILLS KATHORE" u="1"/>
        <s v="LTM-3" u="1"/>
        <s v="LUCKY TEXTILE MILLS # 4" u="1"/>
        <s v="NA" u="1"/>
      </sharedItems>
    </cacheField>
    <cacheField name="M3" numFmtId="0">
      <sharedItems containsSemiMixedTypes="0" containsString="0" containsNumber="1" minValue="0.04" maxValue="2.74"/>
    </cacheField>
    <cacheField name="M-3" numFmtId="0">
      <sharedItems containsSemiMixedTypes="0" containsString="0" containsNumber="1" minValue="0" maxValue="2.74"/>
    </cacheField>
    <cacheField name="Process" numFmtId="0">
      <sharedItems containsMixedTypes="1" containsNumber="1" containsInteger="1" minValue="0" maxValue="0" count="3">
        <s v="Bleached"/>
        <s v="Dyed"/>
        <n v="0" u="1"/>
      </sharedItems>
    </cacheField>
    <cacheField name="Items" numFmtId="0">
      <sharedItems containsMixedTypes="1" containsNumber="1" containsInteger="1" minValue="0" maxValue="0" count="4">
        <s v="LAB COAT"/>
        <s v="SCRUB - TOP"/>
        <s v="SCRUB - BOTTOM"/>
        <n v="0" u="1"/>
      </sharedItems>
    </cacheField>
    <cacheField name="SubItem" numFmtId="0">
      <sharedItems containsBlank="1" count="4">
        <s v=""/>
        <m u="1"/>
        <s v="M" u="1"/>
        <s v="W" u="1"/>
      </sharedItems>
    </cacheField>
    <cacheField name="I.name" numFmtId="0">
      <sharedItems/>
    </cacheField>
    <cacheField name="Cons" numFmtId="0">
      <sharedItems/>
    </cacheField>
    <cacheField name="Key" numFmtId="0">
      <sharedItems containsMixedTypes="1" containsNumber="1" containsInteger="1" minValue="0" maxValue="0" count="4">
        <s v="LAB COATBld"/>
        <s v="SCRUB - TOPBld"/>
        <s v="SCRUB - BOTTOMBld"/>
        <n v="0" u="1"/>
      </sharedItems>
    </cacheField>
    <cacheField name="Exp.Hscode" numFmtId="164">
      <sharedItems containsMixedTypes="1" containsNumber="1" minValue="0" maxValue="6109.9089999999997" count="9">
        <e v="#N/A"/>
        <n v="6109.9089999999997"/>
        <n v="6103.49"/>
        <n v="0" u="1"/>
        <n v="6101.9" u="1"/>
        <n v="6101.2" u="1"/>
        <n v="6103.42" u="1"/>
        <n v="6104.69" u="1"/>
        <n v="6102.9" u="1"/>
      </sharedItems>
    </cacheField>
  </cacheFields>
  <extLst>
    <ext xmlns:x14="http://schemas.microsoft.com/office/spreadsheetml/2009/9/main" uri="{725AE2AE-9491-48be-B2B4-4EB974FC3084}">
      <x14:pivotCacheDefinition pivotCacheId="14340084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8"/>
    <x v="0"/>
    <n v="192"/>
    <s v="Pcs"/>
    <s v="32E"/>
    <s v="LAB COAT - - - - - MDT12WHT32E"/>
    <n v="192"/>
    <n v="0"/>
    <n v="0"/>
    <n v="75.584000000000003"/>
    <n v="67.584000000000003"/>
    <n v="3.3"/>
    <n v="633.6"/>
    <x v="0"/>
    <s v="24/S PC 65:35 / 300 Denier -96 Filament (Non Intermingle) 94x53 1/1 Plain Weave"/>
    <x v="0"/>
    <n v="2.74"/>
    <n v="2.74"/>
    <x v="0"/>
    <x v="0"/>
    <x v="0"/>
    <s v="LAB COAT"/>
    <s v="Bld"/>
    <x v="0"/>
    <x v="0"/>
  </r>
  <r>
    <x v="0"/>
    <n v="20"/>
    <x v="0"/>
    <n v="480"/>
    <s v="Pcs"/>
    <s v="34E"/>
    <s v="LAB COAT - - - - - MDT12WHT34E"/>
    <n v="480"/>
    <n v="0"/>
    <n v="0"/>
    <n v="193.76"/>
    <n v="173.76"/>
    <n v="3.33"/>
    <n v="1598.4"/>
    <x v="0"/>
    <s v="24/S PC 65:35 / 300 Denier -96 Filament (Non Intermingle) 94x53 1/1 Plain Weave"/>
    <x v="0"/>
    <n v="2.74"/>
    <n v="0"/>
    <x v="0"/>
    <x v="0"/>
    <x v="0"/>
    <s v="LAB COAT"/>
    <s v="Bld"/>
    <x v="0"/>
    <x v="0"/>
  </r>
  <r>
    <x v="0"/>
    <n v="27"/>
    <x v="0"/>
    <n v="648"/>
    <s v="Pcs"/>
    <s v="38E"/>
    <s v="LAB COAT - - - - - MDT12WHT38E"/>
    <n v="648"/>
    <n v="0"/>
    <n v="0"/>
    <n v="274.536"/>
    <n v="247.536"/>
    <n v="3.49"/>
    <n v="2261.52"/>
    <x v="0"/>
    <s v="24/S PC 65:35 / 300 Denier -96 Filament (Non Intermingle) 94x53 1/1 Plain Weave"/>
    <x v="0"/>
    <n v="2.74"/>
    <n v="0"/>
    <x v="0"/>
    <x v="0"/>
    <x v="0"/>
    <s v="LAB COAT"/>
    <s v="Bld"/>
    <x v="0"/>
    <x v="0"/>
  </r>
  <r>
    <x v="0"/>
    <n v="25"/>
    <x v="0"/>
    <n v="600"/>
    <s v="Pcs"/>
    <s v="40E"/>
    <s v="LAB COAT - - - - - MDT12WHT40E"/>
    <n v="600"/>
    <n v="0"/>
    <n v="0"/>
    <n v="265"/>
    <n v="240"/>
    <n v="3.49"/>
    <n v="2094"/>
    <x v="0"/>
    <s v="24/S PC 65:35 / 300 Denier -96 Filament (Non Intermingle) 94x53 1/1 Plain Weave"/>
    <x v="0"/>
    <n v="2.74"/>
    <n v="0"/>
    <x v="0"/>
    <x v="0"/>
    <x v="0"/>
    <s v="LAB COAT"/>
    <s v="Bld"/>
    <x v="0"/>
    <x v="0"/>
  </r>
  <r>
    <x v="1"/>
    <n v="21"/>
    <x v="1"/>
    <n v="504"/>
    <s v="Pcs"/>
    <s v="XL"/>
    <s v="SCRUB - TOP - XL - STYLE 710"/>
    <n v="0"/>
    <n v="504"/>
    <n v="0"/>
    <n v="97.23"/>
    <n v="85.68"/>
    <n v="2.11"/>
    <n v="1063.44"/>
    <x v="1"/>
    <s v="40/40 110x68 1/1 Plain Weave CVC (55:45) Carded"/>
    <x v="0"/>
    <n v="1.75"/>
    <n v="1.75"/>
    <x v="1"/>
    <x v="1"/>
    <x v="0"/>
    <s v="SCRUB - TOP"/>
    <s v="Bld"/>
    <x v="1"/>
    <x v="1"/>
  </r>
  <r>
    <x v="1"/>
    <n v="40"/>
    <x v="1"/>
    <n v="960"/>
    <s v="Pcs"/>
    <s v="M"/>
    <s v="SCRUB - TOP - M - STYLE 710"/>
    <n v="0"/>
    <n v="960"/>
    <n v="0"/>
    <n v="158.32"/>
    <n v="136.32"/>
    <n v="1.91"/>
    <n v="1833.6"/>
    <x v="1"/>
    <s v="40/40 110x68 1/1 Plain Weave CVC (55:45) Carded"/>
    <x v="0"/>
    <n v="1.75"/>
    <n v="0"/>
    <x v="1"/>
    <x v="1"/>
    <x v="0"/>
    <s v="SCRUB - TOP"/>
    <s v="Bld"/>
    <x v="1"/>
    <x v="1"/>
  </r>
  <r>
    <x v="1"/>
    <n v="76"/>
    <x v="1"/>
    <n v="912"/>
    <s v="Pcs"/>
    <s v="2XL"/>
    <s v="SCRUB - TOP - XXL - STYLE 710"/>
    <n v="0"/>
    <n v="912"/>
    <n v="0"/>
    <n v="215.08"/>
    <n v="173.28"/>
    <n v="2.27"/>
    <n v="2070.2399999999998"/>
    <x v="1"/>
    <s v="40/40 110x68 1/1 Plain Weave CVC (55:45) Carded"/>
    <x v="0"/>
    <n v="1.75"/>
    <n v="0"/>
    <x v="1"/>
    <x v="1"/>
    <x v="0"/>
    <s v="SCRUB - TOP"/>
    <s v="Bld"/>
    <x v="1"/>
    <x v="1"/>
  </r>
  <r>
    <x v="2"/>
    <n v="47"/>
    <x v="1"/>
    <n v="564"/>
    <s v="Pcs"/>
    <s v="3XL"/>
    <s v="SCRUB - BOTTOM - XXXL - STYLE 700"/>
    <n v="0"/>
    <n v="564"/>
    <n v="0"/>
    <n v="157.82599999999999"/>
    <n v="131.976"/>
    <n v="2.61"/>
    <n v="1472.04"/>
    <x v="2"/>
    <s v="40/40 110x68 1/1 Plain Weave CVC (55:45) Carded"/>
    <x v="0"/>
    <n v="1.01"/>
    <n v="1.01"/>
    <x v="1"/>
    <x v="2"/>
    <x v="0"/>
    <s v="SCRUB - BOTTOM"/>
    <s v="Bld"/>
    <x v="2"/>
    <x v="2"/>
  </r>
  <r>
    <x v="2"/>
    <n v="20"/>
    <x v="1"/>
    <n v="480"/>
    <s v="Pcs"/>
    <s v="XL"/>
    <s v="SCRUB - BOTTOM - XL - STYLE 700"/>
    <n v="0"/>
    <n v="480"/>
    <n v="0"/>
    <n v="107"/>
    <n v="96"/>
    <n v="2.41"/>
    <n v="1156.8"/>
    <x v="2"/>
    <s v="40/40 110x68 1/1 Plain Weave CVC (55:45) Carded"/>
    <x v="0"/>
    <n v="1.01"/>
    <n v="0"/>
    <x v="1"/>
    <x v="2"/>
    <x v="0"/>
    <s v="SCRUB - BOTTOM"/>
    <s v="Bld"/>
    <x v="2"/>
    <x v="2"/>
  </r>
  <r>
    <x v="2"/>
    <n v="7"/>
    <x v="1"/>
    <n v="84"/>
    <s v="Pcs"/>
    <s v="XS"/>
    <s v="SCRUB - BOTTOM - - - XS - STYLE 700"/>
    <n v="0"/>
    <n v="84"/>
    <n v="0"/>
    <n v="16.617999999999999"/>
    <n v="12.768000000000001"/>
    <n v="1.94"/>
    <n v="162.96"/>
    <x v="2"/>
    <s v="40/40 110x68 1/1 Plain Weave CVC (55:45) Carded"/>
    <x v="0"/>
    <n v="1.01"/>
    <n v="0"/>
    <x v="1"/>
    <x v="2"/>
    <x v="0"/>
    <s v="SCRUB - BOTTOM"/>
    <s v="Bld"/>
    <x v="2"/>
    <x v="2"/>
  </r>
  <r>
    <x v="2"/>
    <n v="16"/>
    <x v="1"/>
    <n v="192"/>
    <s v="Pcs"/>
    <s v="3XL"/>
    <s v="SCRUB - BOTTOM - XXXL - STYLE 700"/>
    <n v="0"/>
    <n v="192"/>
    <n v="0"/>
    <n v="53.728000000000002"/>
    <n v="44.927999999999997"/>
    <n v="2.61"/>
    <n v="501.12"/>
    <x v="2"/>
    <s v="40/40 110x68 1/1 Plain Weave CVC (55:45) Carded"/>
    <x v="0"/>
    <n v="1.01"/>
    <n v="0"/>
    <x v="1"/>
    <x v="2"/>
    <x v="0"/>
    <s v="SCRUB - BOTTOM"/>
    <s v="Bld"/>
    <x v="2"/>
    <x v="2"/>
  </r>
  <r>
    <x v="3"/>
    <n v="20"/>
    <x v="1"/>
    <n v="240"/>
    <s v="Pcs"/>
    <s v="2XL"/>
    <s v="SCRUB - TOP - XXL - STYLE 710"/>
    <n v="0"/>
    <n v="240"/>
    <n v="0"/>
    <n v="56.6"/>
    <n v="45.6"/>
    <n v="2.27"/>
    <n v="544.79999999999995"/>
    <x v="1"/>
    <s v="40/40 110x68 1/1 Plain Weave CVC (55:45) Carded"/>
    <x v="0"/>
    <n v="0.19"/>
    <n v="0.19"/>
    <x v="1"/>
    <x v="1"/>
    <x v="0"/>
    <s v="SCRUB - TOP"/>
    <s v="Bld"/>
    <x v="1"/>
    <x v="1"/>
  </r>
  <r>
    <x v="4"/>
    <n v="11"/>
    <x v="0"/>
    <n v="264"/>
    <s v="Pcs"/>
    <s v="36E"/>
    <s v="LAB COAT - - - - - MDT14WHT36E"/>
    <n v="264"/>
    <n v="0"/>
    <n v="0"/>
    <n v="109.736"/>
    <n v="98.736000000000004"/>
    <n v="3.48"/>
    <n v="918.72"/>
    <x v="0"/>
    <s v="24/S PC 65:35 / 300 Denier -96 Filament (Non Intermingle) 94x53 1/1 Plain Weave"/>
    <x v="0"/>
    <n v="0.41"/>
    <n v="0.41"/>
    <x v="0"/>
    <x v="0"/>
    <x v="0"/>
    <s v="LAB COAT"/>
    <s v="Bld"/>
    <x v="0"/>
    <x v="0"/>
  </r>
  <r>
    <x v="4"/>
    <n v="1"/>
    <x v="0"/>
    <n v="24"/>
    <s v="Pcs"/>
    <s v="48TE"/>
    <s v="LAB COAT - - - - - MDT14WHT48TE"/>
    <n v="24"/>
    <n v="0"/>
    <n v="0"/>
    <n v="13.288"/>
    <n v="12.288"/>
    <n v="4.22"/>
    <n v="101.28"/>
    <x v="0"/>
    <s v="24/S PC 65:35 / 300 Denier -96 Filament (Non Intermingle) 94x53 1/1 Plain Weave"/>
    <x v="0"/>
    <n v="0.41"/>
    <n v="0"/>
    <x v="0"/>
    <x v="0"/>
    <x v="0"/>
    <s v="LAB COAT"/>
    <s v="Bld"/>
    <x v="0"/>
    <x v="0"/>
  </r>
  <r>
    <x v="5"/>
    <n v="4"/>
    <x v="1"/>
    <n v="48"/>
    <s v="Pcs"/>
    <s v="2XL"/>
    <s v="SCRUB - BOTTOM - XXL - STYLE 700"/>
    <n v="0"/>
    <n v="48"/>
    <n v="0"/>
    <n v="12.568"/>
    <n v="10.368"/>
    <n v="2.5"/>
    <n v="120"/>
    <x v="2"/>
    <s v="40/40 110x68 1/1 Plain Weave CVC (55:45) Carded"/>
    <x v="0"/>
    <n v="0.04"/>
    <n v="0.04"/>
    <x v="1"/>
    <x v="2"/>
    <x v="0"/>
    <s v="SCRUB - BOTTOM"/>
    <s v="Bld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148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>
  <location ref="J3:U9" firstHeaderRow="1" firstDataRow="3" firstDataCol="3"/>
  <pivotFields count="2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 defaultSubtotal="0">
      <items count="217">
        <item m="1" x="162"/>
        <item m="1" x="198"/>
        <item m="1" x="15"/>
        <item m="1" x="137"/>
        <item m="1" x="159"/>
        <item m="1" x="3"/>
        <item m="1" x="69"/>
        <item m="1" x="122"/>
        <item m="1" x="114"/>
        <item m="1" x="177"/>
        <item m="1" x="23"/>
        <item m="1" x="179"/>
        <item m="1" x="118"/>
        <item m="1" x="167"/>
        <item m="1" x="39"/>
        <item m="1" x="123"/>
        <item m="1" x="30"/>
        <item m="1" x="157"/>
        <item x="0"/>
        <item x="1"/>
        <item m="1" x="169"/>
        <item m="1" x="95"/>
        <item m="1" x="33"/>
        <item m="1" x="86"/>
        <item m="1" x="96"/>
        <item m="1" x="202"/>
        <item m="1" x="149"/>
        <item m="1" x="182"/>
        <item m="1" x="139"/>
        <item m="1" x="117"/>
        <item m="1" x="27"/>
        <item m="1" x="125"/>
        <item m="1" x="17"/>
        <item m="1" x="97"/>
        <item m="1" x="146"/>
        <item m="1" x="153"/>
        <item m="1" x="136"/>
        <item m="1" x="215"/>
        <item m="1" x="44"/>
        <item m="1" x="156"/>
        <item m="1" x="165"/>
        <item m="1" x="216"/>
        <item m="1" x="55"/>
        <item m="1" x="73"/>
        <item m="1" x="13"/>
        <item m="1" x="14"/>
        <item m="1" x="72"/>
        <item m="1" x="28"/>
        <item m="1" x="87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20"/>
    <field x="21"/>
  </rowFields>
  <rowItems count="4">
    <i>
      <x v="18"/>
      <x v="1"/>
      <x/>
    </i>
    <i>
      <x v="19"/>
      <x v="2"/>
      <x/>
    </i>
    <i r="1">
      <x v="3"/>
      <x/>
    </i>
    <i t="grand">
      <x/>
    </i>
  </rowItems>
  <colFields count="2">
    <field x="19"/>
    <field x="-2"/>
  </colFields>
  <colItems count="9"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Ctn" fld="1" baseField="0" baseItem="0"/>
    <dataField name="Pcs" fld="3" baseField="0" baseItem="0"/>
    <dataField name="Amt" fld="13" baseField="21" baseItem="0"/>
  </dataFields>
  <formats count="30">
    <format dxfId="100">
      <pivotArea outline="0" collapsedLevelsAreSubtotals="1" fieldPosition="0"/>
    </format>
    <format dxfId="99">
      <pivotArea field="19" type="button" dataOnly="0" labelOnly="1" outline="0" axis="axisCol" fieldPosition="0"/>
    </format>
    <format dxfId="98">
      <pivotArea field="-2" type="button" dataOnly="0" labelOnly="1" outline="0" axis="axisCol" fieldPosition="1"/>
    </format>
    <format dxfId="97">
      <pivotArea type="topRight" dataOnly="0" labelOnly="1" outline="0" fieldPosition="0"/>
    </format>
    <format dxfId="96">
      <pivotArea dataOnly="0" labelOnly="1" outline="0" fieldPosition="0">
        <references count="1">
          <reference field="19" count="0"/>
        </references>
      </pivotArea>
    </format>
    <format dxfId="95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4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3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2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1">
      <pivotArea outline="0" collapsedLevelsAreSubtotals="1" fieldPosition="0"/>
    </format>
    <format dxfId="90">
      <pivotArea field="19" type="button" dataOnly="0" labelOnly="1" outline="0" axis="axisCol" fieldPosition="0"/>
    </format>
    <format dxfId="89">
      <pivotArea field="-2" type="button" dataOnly="0" labelOnly="1" outline="0" axis="axisCol" fieldPosition="1"/>
    </format>
    <format dxfId="88">
      <pivotArea type="topRight" dataOnly="0" labelOnly="1" outline="0" fieldPosition="0"/>
    </format>
    <format dxfId="87">
      <pivotArea dataOnly="0" labelOnly="1" outline="0" fieldPosition="0">
        <references count="1">
          <reference field="19" count="0"/>
        </references>
      </pivotArea>
    </format>
    <format dxfId="86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5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4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3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2">
      <pivotArea dataOnly="0" outline="0" fieldPosition="0">
        <references count="1">
          <reference field="4294967294" count="1">
            <x v="1"/>
          </reference>
        </references>
      </pivotArea>
    </format>
    <format dxfId="81">
      <pivotArea dataOnly="0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21" count="0"/>
        </references>
      </pivotArea>
    </format>
    <format dxfId="79">
      <pivotArea outline="0" collapsedLevelsAreSubtotals="1" fieldPosition="0"/>
    </format>
    <format dxfId="78">
      <pivotArea field="19" type="button" dataOnly="0" labelOnly="1" outline="0" axis="axisCol" fieldPosition="0"/>
    </format>
    <format dxfId="77">
      <pivotArea field="-2" type="button" dataOnly="0" labelOnly="1" outline="0" axis="axisCol" fieldPosition="1"/>
    </format>
    <format dxfId="76">
      <pivotArea type="topRight" dataOnly="0" labelOnly="1" outline="0" fieldPosition="0"/>
    </format>
    <format dxfId="75">
      <pivotArea dataOnly="0" labelOnly="1" outline="0" fieldPosition="0">
        <references count="1">
          <reference field="19" count="0"/>
        </references>
      </pivotArea>
    </format>
    <format dxfId="74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3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2">
      <pivotArea field="1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7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9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48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>
  <location ref="B4:G9" firstHeaderRow="1" firstDataRow="2" firstDataCol="3"/>
  <pivotFields count="2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 defaultSubtotal="0">
      <items count="217">
        <item m="1" x="162"/>
        <item m="1" x="198"/>
        <item m="1" x="15"/>
        <item m="1" x="137"/>
        <item m="1" x="159"/>
        <item m="1" x="3"/>
        <item m="1" x="69"/>
        <item m="1" x="122"/>
        <item m="1" x="114"/>
        <item m="1" x="177"/>
        <item m="1" x="23"/>
        <item m="1" x="179"/>
        <item m="1" x="118"/>
        <item m="1" x="167"/>
        <item m="1" x="39"/>
        <item m="1" x="123"/>
        <item m="1" x="30"/>
        <item m="1" x="139"/>
        <item m="1" x="157"/>
        <item x="0"/>
        <item x="1"/>
        <item m="1" x="169"/>
        <item m="1" x="95"/>
        <item m="1" x="33"/>
        <item m="1" x="86"/>
        <item m="1" x="96"/>
        <item m="1" x="202"/>
        <item m="1" x="149"/>
        <item m="1" x="182"/>
        <item m="1" x="117"/>
        <item m="1" x="27"/>
        <item m="1" x="125"/>
        <item m="1" x="17"/>
        <item m="1" x="97"/>
        <item m="1" x="146"/>
        <item m="1" x="153"/>
        <item m="1" x="136"/>
        <item m="1" x="215"/>
        <item m="1" x="44"/>
        <item m="1" x="156"/>
        <item m="1" x="165"/>
        <item m="1" x="216"/>
        <item m="1" x="55"/>
        <item m="1" x="73"/>
        <item m="1" x="13"/>
        <item m="1" x="14"/>
        <item m="1" x="72"/>
        <item m="1" x="28"/>
        <item m="1" x="87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20"/>
    <field x="21"/>
  </rowFields>
  <rowItems count="4">
    <i>
      <x v="19"/>
      <x v="1"/>
      <x/>
    </i>
    <i>
      <x v="20"/>
      <x v="2"/>
      <x/>
    </i>
    <i r="1">
      <x v="3"/>
      <x/>
    </i>
    <i t="grand">
      <x/>
    </i>
  </rowItems>
  <colFields count="1">
    <field x="19"/>
  </colFields>
  <colItems count="3">
    <i>
      <x v="1"/>
    </i>
    <i>
      <x v="2"/>
    </i>
    <i t="grand">
      <x/>
    </i>
  </colItems>
  <dataFields count="1">
    <dataField name="Sum of N.Wt" fld="11" baseField="2" baseItem="0"/>
  </dataFields>
  <formats count="174">
    <format dxfId="274">
      <pivotArea field="2" type="button" dataOnly="0" labelOnly="1" outline="0" axis="axisRow" fieldPosition="0"/>
    </format>
    <format dxfId="273">
      <pivotArea field="20" type="button" dataOnly="0" labelOnly="1" outline="0" axis="axisRow" fieldPosition="1"/>
    </format>
    <format dxfId="272">
      <pivotArea dataOnly="0" labelOnly="1" outline="0" fieldPosition="0">
        <references count="1">
          <reference field="19" count="0"/>
        </references>
      </pivotArea>
    </format>
    <format dxfId="271">
      <pivotArea dataOnly="0" labelOnly="1" grandCol="1" outline="0" fieldPosition="0"/>
    </format>
    <format dxfId="270">
      <pivotArea dataOnly="0" labelOnly="1" outline="0" offset="IV1" fieldPosition="0">
        <references count="1">
          <reference field="2" count="1">
            <x v="0"/>
          </reference>
        </references>
      </pivotArea>
    </format>
    <format dxfId="269">
      <pivotArea dataOnly="0" labelOnly="1" outline="0" offset="IV256" fieldPosition="0">
        <references count="1">
          <reference field="2" count="1">
            <x v="0"/>
          </reference>
        </references>
      </pivotArea>
    </format>
    <format dxfId="268">
      <pivotArea dataOnly="0" labelOnly="1" outline="0" offset="IV1" fieldPosition="0">
        <references count="1">
          <reference field="2" count="1">
            <x v="2"/>
          </reference>
        </references>
      </pivotArea>
    </format>
    <format dxfId="267">
      <pivotArea dataOnly="0" labelOnly="1" outline="0" offset="IV2" fieldPosition="0">
        <references count="1">
          <reference field="2" count="1">
            <x v="2"/>
          </reference>
        </references>
      </pivotArea>
    </format>
    <format dxfId="266">
      <pivotArea dataOnly="0" labelOnly="1" outline="0" offset="IV3" fieldPosition="0">
        <references count="1">
          <reference field="2" count="1">
            <x v="2"/>
          </reference>
        </references>
      </pivotArea>
    </format>
    <format dxfId="265">
      <pivotArea dataOnly="0" labelOnly="1" outline="0" offset="IV4" fieldPosition="0">
        <references count="1">
          <reference field="2" count="1">
            <x v="2"/>
          </reference>
        </references>
      </pivotArea>
    </format>
    <format dxfId="264">
      <pivotArea dataOnly="0" labelOnly="1" outline="0" offset="IV256" fieldPosition="0">
        <references count="1">
          <reference field="2" count="1">
            <x v="2"/>
          </reference>
        </references>
      </pivotArea>
    </format>
    <format dxfId="263">
      <pivotArea dataOnly="0" labelOnly="1" outline="0" offset="IV1" fieldPosition="0">
        <references count="1">
          <reference field="2" count="1">
            <x v="4"/>
          </reference>
        </references>
      </pivotArea>
    </format>
    <format dxfId="262">
      <pivotArea dataOnly="0" labelOnly="1" outline="0" offset="IV256" fieldPosition="0">
        <references count="1">
          <reference field="2" count="1">
            <x v="4"/>
          </reference>
        </references>
      </pivotArea>
    </format>
    <format dxfId="261">
      <pivotArea dataOnly="0" labelOnly="1" outline="0" offset="IV1" fieldPosition="0">
        <references count="1">
          <reference field="2" count="1">
            <x v="1"/>
          </reference>
        </references>
      </pivotArea>
    </format>
    <format dxfId="260">
      <pivotArea dataOnly="0" labelOnly="1" outline="0" offset="IV2" fieldPosition="0">
        <references count="1">
          <reference field="2" count="1">
            <x v="1"/>
          </reference>
        </references>
      </pivotArea>
    </format>
    <format dxfId="259">
      <pivotArea dataOnly="0" labelOnly="1" outline="0" offset="IV3" fieldPosition="0">
        <references count="1">
          <reference field="2" count="1">
            <x v="1"/>
          </reference>
        </references>
      </pivotArea>
    </format>
    <format dxfId="258">
      <pivotArea dataOnly="0" labelOnly="1" outline="0" offset="IV256" fieldPosition="0">
        <references count="1">
          <reference field="2" count="1">
            <x v="1"/>
          </reference>
        </references>
      </pivotArea>
    </format>
    <format dxfId="257">
      <pivotArea dataOnly="0" labelOnly="1" outline="0" offset="IV1" fieldPosition="0">
        <references count="1">
          <reference field="2" count="1">
            <x v="6"/>
          </reference>
        </references>
      </pivotArea>
    </format>
    <format dxfId="256">
      <pivotArea dataOnly="0" labelOnly="1" outline="0" offset="IV256" fieldPosition="0">
        <references count="1">
          <reference field="2" count="1">
            <x v="6"/>
          </reference>
        </references>
      </pivotArea>
    </format>
    <format dxfId="255">
      <pivotArea dataOnly="0" labelOnly="1" outline="0" offset="IV2" fieldPosition="0">
        <references count="1">
          <reference field="2" count="1">
            <x v="0"/>
          </reference>
        </references>
      </pivotArea>
    </format>
    <format dxfId="254">
      <pivotArea dataOnly="0" labelOnly="1" outline="0" offset="IV3" fieldPosition="0">
        <references count="1">
          <reference field="2" count="1">
            <x v="0"/>
          </reference>
        </references>
      </pivotArea>
    </format>
    <format dxfId="253">
      <pivotArea dataOnly="0" labelOnly="1" outline="0" offset="IV4" fieldPosition="0">
        <references count="1">
          <reference field="2" count="1">
            <x v="0"/>
          </reference>
        </references>
      </pivotArea>
    </format>
    <format dxfId="252">
      <pivotArea dataOnly="0" labelOnly="1" outline="0" offset="IV5" fieldPosition="0">
        <references count="1">
          <reference field="2" count="1">
            <x v="0"/>
          </reference>
        </references>
      </pivotArea>
    </format>
    <format dxfId="251">
      <pivotArea dataOnly="0" labelOnly="1" outline="0" offset="IV1" fieldPosition="0">
        <references count="1">
          <reference field="2" count="1">
            <x v="8"/>
          </reference>
        </references>
      </pivotArea>
    </format>
    <format dxfId="250">
      <pivotArea dataOnly="0" labelOnly="1" outline="0" offset="IV2" fieldPosition="0">
        <references count="1">
          <reference field="2" count="1">
            <x v="8"/>
          </reference>
        </references>
      </pivotArea>
    </format>
    <format dxfId="249">
      <pivotArea dataOnly="0" labelOnly="1" outline="0" offset="IV3" fieldPosition="0">
        <references count="1">
          <reference field="2" count="1">
            <x v="8"/>
          </reference>
        </references>
      </pivotArea>
    </format>
    <format dxfId="248">
      <pivotArea dataOnly="0" labelOnly="1" outline="0" offset="IV4" fieldPosition="0">
        <references count="1">
          <reference field="2" count="1">
            <x v="8"/>
          </reference>
        </references>
      </pivotArea>
    </format>
    <format dxfId="247">
      <pivotArea dataOnly="0" labelOnly="1" outline="0" offset="IV5" fieldPosition="0">
        <references count="1">
          <reference field="2" count="1">
            <x v="8"/>
          </reference>
        </references>
      </pivotArea>
    </format>
    <format dxfId="246">
      <pivotArea dataOnly="0" labelOnly="1" outline="0" offset="IV6" fieldPosition="0">
        <references count="1">
          <reference field="2" count="1">
            <x v="8"/>
          </reference>
        </references>
      </pivotArea>
    </format>
    <format dxfId="245">
      <pivotArea dataOnly="0" labelOnly="1" outline="0" offset="IV256" fieldPosition="0">
        <references count="1">
          <reference field="2" count="1">
            <x v="8"/>
          </reference>
        </references>
      </pivotArea>
    </format>
    <format dxfId="244">
      <pivotArea dataOnly="0" labelOnly="1" outline="0" offset="IV1" fieldPosition="0">
        <references count="1">
          <reference field="2" count="1">
            <x v="9"/>
          </reference>
        </references>
      </pivotArea>
    </format>
    <format dxfId="243">
      <pivotArea dataOnly="0" labelOnly="1" outline="0" offset="IV2" fieldPosition="0">
        <references count="1">
          <reference field="2" count="1">
            <x v="9"/>
          </reference>
        </references>
      </pivotArea>
    </format>
    <format dxfId="242">
      <pivotArea dataOnly="0" labelOnly="1" outline="0" offset="IV256" fieldPosition="0">
        <references count="1">
          <reference field="2" count="1">
            <x v="9"/>
          </reference>
        </references>
      </pivotArea>
    </format>
    <format dxfId="241">
      <pivotArea dataOnly="0" labelOnly="1" outline="0" offset="IV1" fieldPosition="0">
        <references count="1">
          <reference field="2" count="1">
            <x v="11"/>
          </reference>
        </references>
      </pivotArea>
    </format>
    <format dxfId="240">
      <pivotArea dataOnly="0" labelOnly="1" outline="0" offset="IV256" fieldPosition="0">
        <references count="1">
          <reference field="2" count="1">
            <x v="11"/>
          </reference>
        </references>
      </pivotArea>
    </format>
    <format dxfId="239">
      <pivotArea dataOnly="0" labelOnly="1" outline="0" offset="IV1" fieldPosition="0">
        <references count="1">
          <reference field="2" count="1">
            <x v="12"/>
          </reference>
        </references>
      </pivotArea>
    </format>
    <format dxfId="238">
      <pivotArea dataOnly="0" labelOnly="1" outline="0" offset="IV2" fieldPosition="0">
        <references count="1">
          <reference field="2" count="1">
            <x v="12"/>
          </reference>
        </references>
      </pivotArea>
    </format>
    <format dxfId="237">
      <pivotArea dataOnly="0" labelOnly="1" outline="0" offset="IV256" fieldPosition="0">
        <references count="1">
          <reference field="2" count="1">
            <x v="12"/>
          </reference>
        </references>
      </pivotArea>
    </format>
    <format dxfId="236">
      <pivotArea dataOnly="0" labelOnly="1" outline="0" offset="IV1" fieldPosition="0">
        <references count="1">
          <reference field="2" count="1">
            <x v="13"/>
          </reference>
        </references>
      </pivotArea>
    </format>
    <format dxfId="235">
      <pivotArea dataOnly="0" labelOnly="1" outline="0" offset="IV2" fieldPosition="0">
        <references count="1">
          <reference field="2" count="1">
            <x v="13"/>
          </reference>
        </references>
      </pivotArea>
    </format>
    <format dxfId="234">
      <pivotArea dataOnly="0" labelOnly="1" outline="0" offset="IV3" fieldPosition="0">
        <references count="1">
          <reference field="2" count="1">
            <x v="13"/>
          </reference>
        </references>
      </pivotArea>
    </format>
    <format dxfId="233">
      <pivotArea dataOnly="0" labelOnly="1" outline="0" offset="IV256" fieldPosition="0">
        <references count="1">
          <reference field="2" count="1">
            <x v="13"/>
          </reference>
        </references>
      </pivotArea>
    </format>
    <format dxfId="232">
      <pivotArea dataOnly="0" labelOnly="1" outline="0" offset="IV4" fieldPosition="0">
        <references count="1">
          <reference field="2" count="1">
            <x v="13"/>
          </reference>
        </references>
      </pivotArea>
    </format>
    <format dxfId="231">
      <pivotArea dataOnly="0" labelOnly="1" outline="0" offset="IV1" fieldPosition="0">
        <references count="1">
          <reference field="2" count="1">
            <x v="15"/>
          </reference>
        </references>
      </pivotArea>
    </format>
    <format dxfId="230">
      <pivotArea dataOnly="0" labelOnly="1" outline="0" offset="IV256" fieldPosition="0">
        <references count="1">
          <reference field="2" count="1">
            <x v="15"/>
          </reference>
        </references>
      </pivotArea>
    </format>
    <format dxfId="229">
      <pivotArea dataOnly="0" labelOnly="1" outline="0" offset="IV3" fieldPosition="0">
        <references count="1">
          <reference field="2" count="1">
            <x v="9"/>
          </reference>
        </references>
      </pivotArea>
    </format>
    <format dxfId="228">
      <pivotArea dataOnly="0" labelOnly="1" outline="0" offset="IV4" fieldPosition="0">
        <references count="1">
          <reference field="2" count="1">
            <x v="9"/>
          </reference>
        </references>
      </pivotArea>
    </format>
    <format dxfId="227">
      <pivotArea dataOnly="0" labelOnly="1" outline="0" offset="IV6" fieldPosition="0">
        <references count="1">
          <reference field="2" count="1">
            <x v="0"/>
          </reference>
        </references>
      </pivotArea>
    </format>
    <format dxfId="226">
      <pivotArea dataOnly="0" labelOnly="1" outline="0" offset="IV1" fieldPosition="0">
        <references count="1">
          <reference field="2" count="0"/>
        </references>
      </pivotArea>
    </format>
    <format dxfId="225">
      <pivotArea dataOnly="0" labelOnly="1" outline="0" offset="IV2" fieldPosition="0">
        <references count="1">
          <reference field="2" count="0"/>
        </references>
      </pivotArea>
    </format>
    <format dxfId="224">
      <pivotArea dataOnly="0" labelOnly="1" outline="0" offset="IV3" fieldPosition="0">
        <references count="1">
          <reference field="2" count="0"/>
        </references>
      </pivotArea>
    </format>
    <format dxfId="223">
      <pivotArea dataOnly="0" labelOnly="1" outline="0" offset="IV4" fieldPosition="0">
        <references count="1">
          <reference field="2" count="0"/>
        </references>
      </pivotArea>
    </format>
    <format dxfId="222">
      <pivotArea dataOnly="0" labelOnly="1" outline="0" offset="IV256" fieldPosition="0">
        <references count="1">
          <reference field="2" count="0"/>
        </references>
      </pivotArea>
    </format>
    <format dxfId="221">
      <pivotArea dataOnly="0" labelOnly="1" outline="0" offset="IV2" fieldPosition="0">
        <references count="1">
          <reference field="2" count="1">
            <x v="16"/>
          </reference>
        </references>
      </pivotArea>
    </format>
    <format dxfId="220">
      <pivotArea dataOnly="0" labelOnly="1" outline="0" offset="IV1" fieldPosition="0">
        <references count="1">
          <reference field="2" count="1">
            <x v="18"/>
          </reference>
        </references>
      </pivotArea>
    </format>
    <format dxfId="219">
      <pivotArea dataOnly="0" labelOnly="1" outline="0" offset="IV2" fieldPosition="0">
        <references count="1">
          <reference field="2" count="1">
            <x v="18"/>
          </reference>
        </references>
      </pivotArea>
    </format>
    <format dxfId="218">
      <pivotArea dataOnly="0" labelOnly="1" outline="0" offset="IV4" fieldPosition="0">
        <references count="1">
          <reference field="2" count="1">
            <x v="1"/>
          </reference>
        </references>
      </pivotArea>
    </format>
    <format dxfId="217">
      <pivotArea dataOnly="0" labelOnly="1" outline="0" offset="IV1" fieldPosition="0">
        <references count="1">
          <reference field="2" count="1">
            <x v="30"/>
          </reference>
        </references>
      </pivotArea>
    </format>
    <format dxfId="216">
      <pivotArea dataOnly="0" labelOnly="1" outline="0" offset="IV256" fieldPosition="0">
        <references count="1">
          <reference field="2" count="1">
            <x v="30"/>
          </reference>
        </references>
      </pivotArea>
    </format>
    <format dxfId="215">
      <pivotArea dataOnly="0" labelOnly="1" outline="0" offset="IV5" fieldPosition="0">
        <references count="1">
          <reference field="2" count="0"/>
        </references>
      </pivotArea>
    </format>
    <format dxfId="214">
      <pivotArea dataOnly="0" labelOnly="1" outline="0" offset="IV6" fieldPosition="0">
        <references count="1">
          <reference field="2" count="0"/>
        </references>
      </pivotArea>
    </format>
    <format dxfId="213">
      <pivotArea dataOnly="0" labelOnly="1" outline="0" offset="IV1" fieldPosition="0">
        <references count="1">
          <reference field="2" count="1">
            <x v="36"/>
          </reference>
        </references>
      </pivotArea>
    </format>
    <format dxfId="212">
      <pivotArea dataOnly="0" labelOnly="1" outline="0" offset="IV2" fieldPosition="0">
        <references count="1">
          <reference field="2" count="1">
            <x v="36"/>
          </reference>
        </references>
      </pivotArea>
    </format>
    <format dxfId="211">
      <pivotArea dataOnly="0" labelOnly="1" outline="0" offset="IV3" fieldPosition="0">
        <references count="1">
          <reference field="2" count="1">
            <x v="36"/>
          </reference>
        </references>
      </pivotArea>
    </format>
    <format dxfId="210">
      <pivotArea dataOnly="0" labelOnly="1" outline="0" offset="IV256" fieldPosition="0">
        <references count="1">
          <reference field="2" count="1">
            <x v="36"/>
          </reference>
        </references>
      </pivotArea>
    </format>
    <format dxfId="209">
      <pivotArea dataOnly="0" labelOnly="1" outline="0" offset="IV7" fieldPosition="0">
        <references count="1">
          <reference field="2" count="1">
            <x v="0"/>
          </reference>
        </references>
      </pivotArea>
    </format>
    <format dxfId="208">
      <pivotArea dataOnly="0" labelOnly="1" outline="0" offset="IV8" fieldPosition="0">
        <references count="1">
          <reference field="2" count="1">
            <x v="0"/>
          </reference>
        </references>
      </pivotArea>
    </format>
    <format dxfId="207">
      <pivotArea dataOnly="0" labelOnly="1" outline="0" offset="IV5" fieldPosition="0">
        <references count="1">
          <reference field="2" count="1">
            <x v="2"/>
          </reference>
        </references>
      </pivotArea>
    </format>
    <format dxfId="206">
      <pivotArea dataOnly="0" labelOnly="1" outline="0" offset="IV6" fieldPosition="0">
        <references count="1">
          <reference field="2" count="1">
            <x v="2"/>
          </reference>
        </references>
      </pivotArea>
    </format>
    <format dxfId="205">
      <pivotArea dataOnly="0" labelOnly="1" outline="0" offset="IV7" fieldPosition="0">
        <references count="1">
          <reference field="2" count="1">
            <x v="2"/>
          </reference>
        </references>
      </pivotArea>
    </format>
    <format dxfId="204">
      <pivotArea dataOnly="0" labelOnly="1" outline="0" offset="IV8" fieldPosition="0">
        <references count="1">
          <reference field="2" count="1">
            <x v="2"/>
          </reference>
        </references>
      </pivotArea>
    </format>
    <format dxfId="203">
      <pivotArea dataOnly="0" labelOnly="1" outline="0" offset="IV256" fieldPosition="0">
        <references count="1">
          <reference field="2" count="1">
            <x v="28"/>
          </reference>
        </references>
      </pivotArea>
    </format>
    <format dxfId="202">
      <pivotArea dataOnly="0" labelOnly="1" outline="0" offset="IV1" fieldPosition="0">
        <references count="1">
          <reference field="2" count="1">
            <x v="43"/>
          </reference>
        </references>
      </pivotArea>
    </format>
    <format dxfId="201">
      <pivotArea dataOnly="0" labelOnly="1" outline="0" offset="IV7" fieldPosition="0">
        <references count="1">
          <reference field="2" count="0"/>
        </references>
      </pivotArea>
    </format>
    <format dxfId="200">
      <pivotArea dataOnly="0" labelOnly="1" outline="0" offset="IV8" fieldPosition="0">
        <references count="1">
          <reference field="2" count="0"/>
        </references>
      </pivotArea>
    </format>
    <format dxfId="199">
      <pivotArea dataOnly="0" labelOnly="1" outline="0" offset="IV9" fieldPosition="0">
        <references count="1">
          <reference field="2" count="0"/>
        </references>
      </pivotArea>
    </format>
    <format dxfId="198">
      <pivotArea dataOnly="0" labelOnly="1" outline="0" offset="IV10" fieldPosition="0">
        <references count="1">
          <reference field="2" count="0"/>
        </references>
      </pivotArea>
    </format>
    <format dxfId="197">
      <pivotArea dataOnly="0" labelOnly="1" outline="0" fieldPosition="0">
        <references count="1">
          <reference field="21" count="0"/>
        </references>
      </pivotArea>
    </format>
    <format dxfId="196">
      <pivotArea type="origin" dataOnly="0" labelOnly="1" outline="0" offset="B1" fieldPosition="0"/>
    </format>
    <format dxfId="195">
      <pivotArea dataOnly="0" labelOnly="1" grandRow="1" outline="0" offset="B256" fieldPosition="0"/>
    </format>
    <format dxfId="194">
      <pivotArea dataOnly="0" labelOnly="1" outline="0" fieldPosition="0">
        <references count="1">
          <reference field="2" count="0"/>
        </references>
      </pivotArea>
    </format>
    <format dxfId="193">
      <pivotArea dataOnly="0" labelOnly="1" grandRow="1" outline="0" offset="A256:B256" fieldPosition="0"/>
    </format>
    <format dxfId="192">
      <pivotArea dataOnly="0" labelOnly="1" outline="0" fieldPosition="0">
        <references count="2">
          <reference field="2" count="0" selected="0"/>
          <reference field="20" count="0"/>
        </references>
      </pivotArea>
    </format>
    <format dxfId="191">
      <pivotArea dataOnly="0" labelOnly="1" outline="0" offset="IV1" fieldPosition="0">
        <references count="1">
          <reference field="2" count="0"/>
        </references>
      </pivotArea>
    </format>
    <format dxfId="190">
      <pivotArea dataOnly="0" labelOnly="1" outline="0" offset="IV2" fieldPosition="0">
        <references count="1">
          <reference field="2" count="0"/>
        </references>
      </pivotArea>
    </format>
    <format dxfId="189">
      <pivotArea dataOnly="0" labelOnly="1" outline="0" offset="IV3" fieldPosition="0">
        <references count="1">
          <reference field="2" count="0"/>
        </references>
      </pivotArea>
    </format>
    <format dxfId="188">
      <pivotArea dataOnly="0" labelOnly="1" outline="0" offset="IV4" fieldPosition="0">
        <references count="1">
          <reference field="2" count="0"/>
        </references>
      </pivotArea>
    </format>
    <format dxfId="187">
      <pivotArea dataOnly="0" labelOnly="1" outline="0" offset="IV5" fieldPosition="0">
        <references count="1">
          <reference field="2" count="0"/>
        </references>
      </pivotArea>
    </format>
    <format dxfId="186">
      <pivotArea dataOnly="0" labelOnly="1" outline="0" offset="IV6" fieldPosition="0">
        <references count="1">
          <reference field="2" count="0"/>
        </references>
      </pivotArea>
    </format>
    <format dxfId="185">
      <pivotArea dataOnly="0" labelOnly="1" outline="0" offset="IV7" fieldPosition="0">
        <references count="1">
          <reference field="2" count="0"/>
        </references>
      </pivotArea>
    </format>
    <format dxfId="184">
      <pivotArea dataOnly="0" labelOnly="1" outline="0" offset="IV8" fieldPosition="0">
        <references count="1">
          <reference field="2" count="0"/>
        </references>
      </pivotArea>
    </format>
    <format dxfId="183">
      <pivotArea dataOnly="0" labelOnly="1" outline="0" offset="IV9" fieldPosition="0">
        <references count="1">
          <reference field="2" count="0"/>
        </references>
      </pivotArea>
    </format>
    <format dxfId="182">
      <pivotArea dataOnly="0" labelOnly="1" outline="0" offset="IV10" fieldPosition="0">
        <references count="1">
          <reference field="2" count="0"/>
        </references>
      </pivotArea>
    </format>
    <format dxfId="181">
      <pivotArea dataOnly="0" labelOnly="1" outline="0" offset="IV256" fieldPosition="0">
        <references count="1">
          <reference field="2" count="0"/>
        </references>
      </pivotArea>
    </format>
    <format dxfId="180">
      <pivotArea dataOnly="0" labelOnly="1" outline="0" offset="IV2" fieldPosition="0">
        <references count="1">
          <reference field="2" count="1">
            <x v="30"/>
          </reference>
        </references>
      </pivotArea>
    </format>
    <format dxfId="179">
      <pivotArea dataOnly="0" labelOnly="1" outline="0" offset="IV3" fieldPosition="0">
        <references count="1">
          <reference field="2" count="1">
            <x v="12"/>
          </reference>
        </references>
      </pivotArea>
    </format>
    <format dxfId="178">
      <pivotArea dataOnly="0" labelOnly="1" outline="0" offset="IV4" fieldPosition="0">
        <references count="1">
          <reference field="2" count="1">
            <x v="12"/>
          </reference>
        </references>
      </pivotArea>
    </format>
    <format dxfId="177">
      <pivotArea dataOnly="0" labelOnly="1" outline="0" offset="IV5" fieldPosition="0">
        <references count="1">
          <reference field="2" count="1">
            <x v="12"/>
          </reference>
        </references>
      </pivotArea>
    </format>
    <format dxfId="176">
      <pivotArea dataOnly="0" labelOnly="1" outline="0" offset="IV6" fieldPosition="0">
        <references count="1">
          <reference field="2" count="1">
            <x v="12"/>
          </reference>
        </references>
      </pivotArea>
    </format>
    <format dxfId="175">
      <pivotArea dataOnly="0" labelOnly="1" outline="0" offset="IV7" fieldPosition="0">
        <references count="1">
          <reference field="2" count="1">
            <x v="12"/>
          </reference>
        </references>
      </pivotArea>
    </format>
    <format dxfId="174">
      <pivotArea dataOnly="0" labelOnly="1" outline="0" offset="IV8" fieldPosition="0">
        <references count="1">
          <reference field="2" count="1">
            <x v="12"/>
          </reference>
        </references>
      </pivotArea>
    </format>
    <format dxfId="173">
      <pivotArea dataOnly="0" labelOnly="1" outline="0" offset="IV9" fieldPosition="0">
        <references count="1">
          <reference field="2" count="1">
            <x v="12"/>
          </reference>
        </references>
      </pivotArea>
    </format>
    <format dxfId="172">
      <pivotArea dataOnly="0" labelOnly="1" outline="0" offset="IV10" fieldPosition="0">
        <references count="1">
          <reference field="2" count="1">
            <x v="12"/>
          </reference>
        </references>
      </pivotArea>
    </format>
    <format dxfId="171">
      <pivotArea dataOnly="0" labelOnly="1" outline="0" offset="IV256" fieldPosition="0">
        <references count="1">
          <reference field="2" count="1">
            <x v="12"/>
          </reference>
        </references>
      </pivotArea>
    </format>
    <format dxfId="170">
      <pivotArea dataOnly="0" labelOnly="1" outline="0" offset="IV1" fieldPosition="0">
        <references count="1">
          <reference field="2" count="1">
            <x v="54"/>
          </reference>
        </references>
      </pivotArea>
    </format>
    <format dxfId="169">
      <pivotArea dataOnly="0" labelOnly="1" outline="0" offset="IV9" fieldPosition="0">
        <references count="1">
          <reference field="2" count="1">
            <x v="20"/>
          </reference>
        </references>
      </pivotArea>
    </format>
    <format dxfId="168">
      <pivotArea dataOnly="0" labelOnly="1" outline="0" offset="IV10" fieldPosition="0">
        <references count="1">
          <reference field="2" count="1">
            <x v="20"/>
          </reference>
        </references>
      </pivotArea>
    </format>
    <format dxfId="167">
      <pivotArea dataOnly="0" labelOnly="1" outline="0" offset="IV256" fieldPosition="0">
        <references count="1">
          <reference field="2" count="1">
            <x v="20"/>
          </reference>
        </references>
      </pivotArea>
    </format>
    <format dxfId="166">
      <pivotArea dataOnly="0" labelOnly="1" outline="0" offset="IV1" fieldPosition="0">
        <references count="1">
          <reference field="2" count="1">
            <x v="56"/>
          </reference>
        </references>
      </pivotArea>
    </format>
    <format dxfId="165">
      <pivotArea dataOnly="0" labelOnly="1" outline="0" offset="IV256" fieldPosition="0">
        <references count="1">
          <reference field="2" count="1">
            <x v="57"/>
          </reference>
        </references>
      </pivotArea>
    </format>
    <format dxfId="164">
      <pivotArea dataOnly="0" labelOnly="1" outline="0" offset="IV1" fieldPosition="0">
        <references count="1">
          <reference field="2" count="1">
            <x v="58"/>
          </reference>
        </references>
      </pivotArea>
    </format>
    <format dxfId="163">
      <pivotArea dataOnly="0" labelOnly="1" outline="0" offset="IV6" fieldPosition="0">
        <references count="1">
          <reference field="2" count="1">
            <x v="20"/>
          </reference>
        </references>
      </pivotArea>
    </format>
    <format dxfId="162">
      <pivotArea dataOnly="0" labelOnly="1" outline="0" offset="IV7" fieldPosition="0">
        <references count="1">
          <reference field="2" count="1">
            <x v="20"/>
          </reference>
        </references>
      </pivotArea>
    </format>
    <format dxfId="161">
      <pivotArea dataOnly="0" labelOnly="1" outline="0" offset="IV8" fieldPosition="0">
        <references count="1">
          <reference field="2" count="1">
            <x v="20"/>
          </reference>
        </references>
      </pivotArea>
    </format>
    <format dxfId="160">
      <pivotArea type="origin" dataOnly="0" labelOnly="1" outline="0" offset="A1" fieldPosition="0"/>
    </format>
    <format dxfId="159">
      <pivotArea field="2" type="button" dataOnly="0" labelOnly="1" outline="0" axis="axisRow" fieldPosition="0"/>
    </format>
    <format dxfId="158">
      <pivotArea dataOnly="0" labelOnly="1" grandRow="1" outline="0" offset="A256" fieldPosition="0"/>
    </format>
    <format dxfId="157">
      <pivotArea dataOnly="0" labelOnly="1" outline="0" offset="IV1" fieldPosition="0">
        <references count="1">
          <reference field="2" count="1">
            <x v="30"/>
          </reference>
        </references>
      </pivotArea>
    </format>
    <format dxfId="156">
      <pivotArea dataOnly="0" labelOnly="1" outline="0" offset="IV256" fieldPosition="0">
        <references count="1">
          <reference field="2" count="1">
            <x v="10"/>
          </reference>
        </references>
      </pivotArea>
    </format>
    <format dxfId="155">
      <pivotArea dataOnly="0" labelOnly="1" outline="0" offset="IV22" fieldPosition="0">
        <references count="1">
          <reference field="2" count="1">
            <x v="20"/>
          </reference>
        </references>
      </pivotArea>
    </format>
    <format dxfId="154">
      <pivotArea dataOnly="0" labelOnly="1" outline="0" offset="IV23" fieldPosition="0">
        <references count="1">
          <reference field="2" count="1">
            <x v="20"/>
          </reference>
        </references>
      </pivotArea>
    </format>
    <format dxfId="153">
      <pivotArea dataOnly="0" labelOnly="1" outline="0" offset="IV1" fieldPosition="0">
        <references count="1">
          <reference field="2" count="1">
            <x v="81"/>
          </reference>
        </references>
      </pivotArea>
    </format>
    <format dxfId="152">
      <pivotArea dataOnly="0" labelOnly="1" outline="0" offset="IV1" fieldPosition="0">
        <references count="1">
          <reference field="2" count="1">
            <x v="42"/>
          </reference>
        </references>
      </pivotArea>
    </format>
    <format dxfId="151">
      <pivotArea dataOnly="0" labelOnly="1" outline="0" offset="IV256" fieldPosition="0">
        <references count="1">
          <reference field="2" count="1">
            <x v="42"/>
          </reference>
        </references>
      </pivotArea>
    </format>
    <format dxfId="150">
      <pivotArea outline="0" fieldPosition="0">
        <references count="4">
          <reference field="2" count="0" selected="0"/>
          <reference field="19" count="0" selected="0"/>
          <reference field="20" count="0" selected="0"/>
          <reference field="21" count="0" selected="0"/>
        </references>
      </pivotArea>
    </format>
    <format dxfId="149">
      <pivotArea dataOnly="0" labelOnly="1" outline="0" offset="IV11" fieldPosition="0">
        <references count="1">
          <reference field="2" count="0"/>
        </references>
      </pivotArea>
    </format>
    <format dxfId="148">
      <pivotArea dataOnly="0" labelOnly="1" outline="0" offset="IV12" fieldPosition="0">
        <references count="1">
          <reference field="2" count="0"/>
        </references>
      </pivotArea>
    </format>
    <format dxfId="147">
      <pivotArea dataOnly="0" labelOnly="1" outline="0" offset="IV13" fieldPosition="0">
        <references count="1">
          <reference field="2" count="0"/>
        </references>
      </pivotArea>
    </format>
    <format dxfId="146">
      <pivotArea dataOnly="0" labelOnly="1" outline="0" offset="IV14" fieldPosition="0">
        <references count="1">
          <reference field="2" count="0"/>
        </references>
      </pivotArea>
    </format>
    <format dxfId="145">
      <pivotArea dataOnly="0" labelOnly="1" outline="0" offset="IV15" fieldPosition="0">
        <references count="1">
          <reference field="2" count="0"/>
        </references>
      </pivotArea>
    </format>
    <format dxfId="144">
      <pivotArea dataOnly="0" labelOnly="1" outline="0" offset="IV16" fieldPosition="0">
        <references count="1">
          <reference field="2" count="0"/>
        </references>
      </pivotArea>
    </format>
    <format dxfId="143">
      <pivotArea dataOnly="0" labelOnly="1" outline="0" offset="IV17" fieldPosition="0">
        <references count="1">
          <reference field="2" count="0"/>
        </references>
      </pivotArea>
    </format>
    <format dxfId="142">
      <pivotArea dataOnly="0" labelOnly="1" outline="0" offset="IV18" fieldPosition="0">
        <references count="1">
          <reference field="2" count="0"/>
        </references>
      </pivotArea>
    </format>
    <format dxfId="141">
      <pivotArea dataOnly="0" labelOnly="1" outline="0" offset="IV19" fieldPosition="0">
        <references count="1">
          <reference field="2" count="0"/>
        </references>
      </pivotArea>
    </format>
    <format dxfId="140">
      <pivotArea dataOnly="0" labelOnly="1" outline="0" offset="IV20" fieldPosition="0">
        <references count="1">
          <reference field="2" count="0"/>
        </references>
      </pivotArea>
    </format>
    <format dxfId="139">
      <pivotArea dataOnly="0" labelOnly="1" outline="0" offset="IV21" fieldPosition="0">
        <references count="1">
          <reference field="2" count="0"/>
        </references>
      </pivotArea>
    </format>
    <format dxfId="138">
      <pivotArea outline="0" fieldPosition="0">
        <references count="4">
          <reference field="2" count="0" selected="0"/>
          <reference field="19" count="0" selected="0"/>
          <reference field="20" count="0" selected="0"/>
          <reference field="21" count="0" selected="0"/>
        </references>
      </pivotArea>
    </format>
    <format dxfId="137">
      <pivotArea dataOnly="0" labelOnly="1" outline="0" offset="IV21" fieldPosition="0">
        <references count="1">
          <reference field="2" count="1">
            <x v="20"/>
          </reference>
        </references>
      </pivotArea>
    </format>
    <format dxfId="136">
      <pivotArea dataOnly="0" labelOnly="1" outline="0" offset="IV24" fieldPosition="0">
        <references count="1">
          <reference field="2" count="1">
            <x v="20"/>
          </reference>
        </references>
      </pivotArea>
    </format>
    <format dxfId="135">
      <pivotArea dataOnly="0" labelOnly="1" outline="0" offset="IV25" fieldPosition="0">
        <references count="1">
          <reference field="2" count="1">
            <x v="20"/>
          </reference>
        </references>
      </pivotArea>
    </format>
    <format dxfId="134">
      <pivotArea dataOnly="0" labelOnly="1" outline="0" offset="IV26" fieldPosition="0">
        <references count="1">
          <reference field="2" count="1">
            <x v="20"/>
          </reference>
        </references>
      </pivotArea>
    </format>
    <format dxfId="133">
      <pivotArea dataOnly="0" labelOnly="1" outline="0" offset="IV3" fieldPosition="0">
        <references count="1">
          <reference field="2" count="0"/>
        </references>
      </pivotArea>
    </format>
    <format dxfId="132">
      <pivotArea dataOnly="0" labelOnly="1" outline="0" offset="IV4" fieldPosition="0">
        <references count="1">
          <reference field="2" count="1">
            <x v="20"/>
          </reference>
        </references>
      </pivotArea>
    </format>
    <format dxfId="131">
      <pivotArea dataOnly="0" labelOnly="1" outline="0" offset="IV5" fieldPosition="0">
        <references count="1">
          <reference field="2" count="1">
            <x v="20"/>
          </reference>
        </references>
      </pivotArea>
    </format>
    <format dxfId="130">
      <pivotArea dataOnly="0" labelOnly="1" outline="0" offset="IV6" fieldPosition="0">
        <references count="1">
          <reference field="2" count="1">
            <x v="20"/>
          </reference>
        </references>
      </pivotArea>
    </format>
    <format dxfId="129">
      <pivotArea dataOnly="0" labelOnly="1" outline="0" offset="IV7" fieldPosition="0">
        <references count="1">
          <reference field="2" count="1">
            <x v="20"/>
          </reference>
        </references>
      </pivotArea>
    </format>
    <format dxfId="128">
      <pivotArea dataOnly="0" labelOnly="1" outline="0" offset="IV8" fieldPosition="0">
        <references count="1">
          <reference field="2" count="1">
            <x v="20"/>
          </reference>
        </references>
      </pivotArea>
    </format>
    <format dxfId="127">
      <pivotArea dataOnly="0" labelOnly="1" outline="0" offset="IV9" fieldPosition="0">
        <references count="1">
          <reference field="2" count="1">
            <x v="20"/>
          </reference>
        </references>
      </pivotArea>
    </format>
    <format dxfId="126">
      <pivotArea dataOnly="0" labelOnly="1" outline="0" offset="IV10" fieldPosition="0">
        <references count="1">
          <reference field="2" count="1">
            <x v="20"/>
          </reference>
        </references>
      </pivotArea>
    </format>
    <format dxfId="125">
      <pivotArea dataOnly="0" labelOnly="1" outline="0" offset="IV11" fieldPosition="0">
        <references count="1">
          <reference field="2" count="1">
            <x v="20"/>
          </reference>
        </references>
      </pivotArea>
    </format>
    <format dxfId="124">
      <pivotArea dataOnly="0" labelOnly="1" outline="0" offset="IV12" fieldPosition="0">
        <references count="1">
          <reference field="2" count="1">
            <x v="20"/>
          </reference>
        </references>
      </pivotArea>
    </format>
    <format dxfId="123">
      <pivotArea dataOnly="0" labelOnly="1" outline="0" offset="IV13" fieldPosition="0">
        <references count="1">
          <reference field="2" count="1">
            <x v="20"/>
          </reference>
        </references>
      </pivotArea>
    </format>
    <format dxfId="122">
      <pivotArea dataOnly="0" labelOnly="1" outline="0" offset="IV14" fieldPosition="0">
        <references count="1">
          <reference field="2" count="1">
            <x v="20"/>
          </reference>
        </references>
      </pivotArea>
    </format>
    <format dxfId="121">
      <pivotArea dataOnly="0" labelOnly="1" outline="0" offset="IV15" fieldPosition="0">
        <references count="1">
          <reference field="2" count="1">
            <x v="20"/>
          </reference>
        </references>
      </pivotArea>
    </format>
    <format dxfId="120">
      <pivotArea dataOnly="0" labelOnly="1" outline="0" offset="IV16" fieldPosition="0">
        <references count="1">
          <reference field="2" count="1">
            <x v="20"/>
          </reference>
        </references>
      </pivotArea>
    </format>
    <format dxfId="119">
      <pivotArea dataOnly="0" labelOnly="1" outline="0" offset="IV17" fieldPosition="0">
        <references count="1">
          <reference field="2" count="1">
            <x v="20"/>
          </reference>
        </references>
      </pivotArea>
    </format>
    <format dxfId="118">
      <pivotArea dataOnly="0" labelOnly="1" outline="0" offset="IV18" fieldPosition="0">
        <references count="1">
          <reference field="2" count="1">
            <x v="20"/>
          </reference>
        </references>
      </pivotArea>
    </format>
    <format dxfId="117">
      <pivotArea dataOnly="0" labelOnly="1" outline="0" offset="IV19" fieldPosition="0">
        <references count="1">
          <reference field="2" count="1">
            <x v="20"/>
          </reference>
        </references>
      </pivotArea>
    </format>
    <format dxfId="116">
      <pivotArea dataOnly="0" labelOnly="1" outline="0" offset="IV20" fieldPosition="0">
        <references count="1">
          <reference field="2" count="1">
            <x v="20"/>
          </reference>
        </references>
      </pivotArea>
    </format>
    <format dxfId="115">
      <pivotArea dataOnly="0" labelOnly="1" outline="0" offset="IV21" fieldPosition="0">
        <references count="1">
          <reference field="2" count="1">
            <x v="20"/>
          </reference>
        </references>
      </pivotArea>
    </format>
    <format dxfId="114">
      <pivotArea dataOnly="0" labelOnly="1" outline="0" offset="IV22" fieldPosition="0">
        <references count="1">
          <reference field="2" count="1">
            <x v="20"/>
          </reference>
        </references>
      </pivotArea>
    </format>
    <format dxfId="113">
      <pivotArea dataOnly="0" labelOnly="1" outline="0" offset="IV23" fieldPosition="0">
        <references count="1">
          <reference field="2" count="1">
            <x v="20"/>
          </reference>
        </references>
      </pivotArea>
    </format>
    <format dxfId="112">
      <pivotArea dataOnly="0" labelOnly="1" outline="0" offset="IV3" fieldPosition="0">
        <references count="1">
          <reference field="2" count="1">
            <x v="13"/>
          </reference>
        </references>
      </pivotArea>
    </format>
    <format dxfId="111">
      <pivotArea dataOnly="0" labelOnly="1" outline="0" offset="IV4" fieldPosition="0">
        <references count="1">
          <reference field="2" count="1">
            <x v="13"/>
          </reference>
        </references>
      </pivotArea>
    </format>
    <format dxfId="110">
      <pivotArea dataOnly="0" labelOnly="1" outline="0" offset="IV5" fieldPosition="0">
        <references count="1">
          <reference field="2" count="1">
            <x v="13"/>
          </reference>
        </references>
      </pivotArea>
    </format>
    <format dxfId="109">
      <pivotArea dataOnly="0" labelOnly="1" outline="0" offset="IV2" fieldPosition="0">
        <references count="1">
          <reference field="2" count="0"/>
        </references>
      </pivotArea>
    </format>
    <format dxfId="108">
      <pivotArea dataOnly="0" labelOnly="1" outline="0" offset="IV1:IV2" fieldPosition="0">
        <references count="1">
          <reference field="2" count="1">
            <x v="200"/>
          </reference>
        </references>
      </pivotArea>
    </format>
    <format dxfId="107">
      <pivotArea dataOnly="0" labelOnly="1" outline="0" offset="IV2" fieldPosition="0">
        <references count="1">
          <reference field="2" count="1">
            <x v="200"/>
          </reference>
        </references>
      </pivotArea>
    </format>
    <format dxfId="106">
      <pivotArea dataOnly="0" labelOnly="1" outline="0" offset="IV3" fieldPosition="0">
        <references count="1">
          <reference field="2" count="1">
            <x v="200"/>
          </reference>
        </references>
      </pivotArea>
    </format>
    <format dxfId="105">
      <pivotArea dataOnly="0" labelOnly="1" outline="0" offset="IV256" fieldPosition="0">
        <references count="1">
          <reference field="2" count="0"/>
        </references>
      </pivotArea>
    </format>
    <format dxfId="104">
      <pivotArea dataOnly="0" labelOnly="1" outline="0" offset="IV256" fieldPosition="0">
        <references count="1">
          <reference field="2" count="1">
            <x v="200"/>
          </reference>
        </references>
      </pivotArea>
    </format>
    <format dxfId="103">
      <pivotArea outline="0" fieldPosition="0">
        <references count="4">
          <reference field="2" count="0" selected="0"/>
          <reference field="19" count="0" selected="0"/>
          <reference field="20" count="0" selected="0"/>
          <reference field="21" count="0" selected="0"/>
        </references>
      </pivotArea>
    </format>
    <format dxfId="102">
      <pivotArea outline="0" fieldPosition="0">
        <references count="4">
          <reference field="2" count="1" selected="0">
            <x v="1"/>
          </reference>
          <reference field="19" count="0" selected="0"/>
          <reference field="20" count="0" selected="0"/>
          <reference field="21" count="0" selected="0"/>
        </references>
      </pivotArea>
    </format>
    <format dxfId="101">
      <pivotArea outline="0" fieldPosition="0">
        <references count="4">
          <reference field="2" count="1" selected="0">
            <x v="1"/>
          </reference>
          <reference field="19" count="0" selected="0"/>
          <reference field="20" count="0" selected="0"/>
          <reference field="2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48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>
  <location ref="B4:G9" firstHeaderRow="1" firstDataRow="2" firstDataCol="3"/>
  <pivotFields count="2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 defaultSubtotal="0">
      <items count="217">
        <item m="1" x="87"/>
        <item m="1" x="165"/>
        <item m="1" x="162"/>
        <item m="1" x="156"/>
        <item m="1" x="179"/>
        <item m="1" x="137"/>
        <item m="1" x="27"/>
        <item m="1" x="17"/>
        <item m="1" x="159"/>
        <item m="1" x="169"/>
        <item m="1" x="44"/>
        <item m="1" x="215"/>
        <item m="1" x="28"/>
        <item m="1" x="39"/>
        <item m="1" x="117"/>
        <item m="1" x="86"/>
        <item m="1" x="136"/>
        <item m="1" x="125"/>
        <item m="1" x="202"/>
        <item m="1" x="95"/>
        <item m="1" x="149"/>
        <item m="1" x="216"/>
        <item m="1" x="33"/>
        <item m="1" x="72"/>
        <item x="1"/>
        <item m="1" x="198"/>
        <item m="1" x="69"/>
        <item m="1" x="123"/>
        <item m="1" x="157"/>
        <item m="1" x="118"/>
        <item m="1" x="167"/>
        <item m="1" x="139"/>
        <item m="1" x="14"/>
        <item m="1" x="153"/>
        <item m="1" x="182"/>
        <item m="1" x="73"/>
        <item m="1" x="97"/>
        <item m="1" x="15"/>
        <item m="1" x="146"/>
        <item m="1" x="177"/>
        <item x="0"/>
        <item m="1" x="13"/>
        <item m="1" x="30"/>
        <item m="1" x="23"/>
        <item m="1" x="114"/>
        <item m="1" x="122"/>
        <item m="1" x="55"/>
        <item m="1" x="96"/>
        <item m="1" x="3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5"/>
        <item m="1" x="21"/>
        <item m="1" x="15"/>
        <item m="1" x="28"/>
        <item m="1" x="32"/>
        <item m="1" x="13"/>
        <item m="1" x="19"/>
        <item m="1" x="14"/>
        <item m="1" x="10"/>
        <item m="1" x="25"/>
        <item x="0"/>
        <item m="1" x="27"/>
        <item m="1" x="12"/>
        <item x="2"/>
        <item m="1" x="18"/>
        <item x="1"/>
        <item m="1" x="26"/>
        <item m="1" x="9"/>
        <item m="1" x="22"/>
        <item m="1" x="20"/>
        <item m="1" x="30"/>
        <item m="1" x="6"/>
        <item m="1" x="4"/>
        <item m="1" x="7"/>
        <item m="1" x="33"/>
        <item m="1" x="16"/>
        <item m="1" x="8"/>
        <item m="1" x="29"/>
        <item m="1" x="11"/>
        <item m="1" x="3"/>
        <item m="1" x="23"/>
        <item m="1" x="31"/>
        <item m="1" x="24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4"/>
    <field x="24"/>
  </rowFields>
  <rowItems count="4">
    <i>
      <x v="24"/>
      <x v="13"/>
      <x v="2"/>
    </i>
    <i r="1">
      <x v="15"/>
      <x v="3"/>
    </i>
    <i>
      <x v="40"/>
      <x v="10"/>
      <x v="1"/>
    </i>
    <i t="grand">
      <x/>
    </i>
  </rowItems>
  <colFields count="1">
    <field x="19"/>
  </colFields>
  <colItems count="3">
    <i>
      <x v="1"/>
    </i>
    <i>
      <x v="2"/>
    </i>
    <i t="grand">
      <x/>
    </i>
  </colItems>
  <dataFields count="1">
    <dataField name="N-Wt" fld="11" baseField="14" baseItem="3"/>
  </dataFields>
  <formats count="6">
    <format dxfId="47">
      <pivotArea type="origin" dataOnly="0" labelOnly="1" outline="0" offset="B1" fieldPosition="0"/>
    </format>
    <format dxfId="46">
      <pivotArea dataOnly="0" labelOnly="1" grandRow="1" outline="0" offset="B256" fieldPosition="0"/>
    </format>
    <format dxfId="45">
      <pivotArea dataOnly="0" labelOnly="1" outline="0" fieldPosition="0">
        <references count="1">
          <reference field="2" count="0"/>
        </references>
      </pivotArea>
    </format>
    <format dxfId="44">
      <pivotArea dataOnly="0" labelOnly="1" grandRow="1" outline="0" offset="A256" fieldPosition="0"/>
    </format>
    <format dxfId="43">
      <pivotArea dataOnly="0" labelOnly="1" outline="0" offset="IV1" fieldPosition="0">
        <references count="2">
          <reference field="2" count="1" selected="0">
            <x v="25"/>
          </reference>
          <reference field="14" count="1">
            <x v="10"/>
          </reference>
        </references>
      </pivotArea>
    </format>
    <format dxfId="42">
      <pivotArea dataOnly="0" labelOnly="1" outline="0" offset="IV256" fieldPosition="0">
        <references count="2">
          <reference field="2" count="1" selected="0">
            <x v="25"/>
          </reference>
          <reference field="14" count="1">
            <x v="1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148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>
  <location ref="J3:R9" firstHeaderRow="1" firstDataRow="3" firstDataCol="3"/>
  <pivotFields count="2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 defaultSubtotal="0">
      <items count="217">
        <item m="1" x="87"/>
        <item m="1" x="165"/>
        <item m="1" x="162"/>
        <item m="1" x="156"/>
        <item m="1" x="179"/>
        <item m="1" x="137"/>
        <item m="1" x="27"/>
        <item m="1" x="17"/>
        <item m="1" x="159"/>
        <item m="1" x="169"/>
        <item m="1" x="44"/>
        <item m="1" x="215"/>
        <item m="1" x="28"/>
        <item m="1" x="39"/>
        <item m="1" x="117"/>
        <item m="1" x="86"/>
        <item m="1" x="136"/>
        <item m="1" x="125"/>
        <item m="1" x="202"/>
        <item m="1" x="95"/>
        <item m="1" x="149"/>
        <item m="1" x="216"/>
        <item m="1" x="33"/>
        <item m="1" x="72"/>
        <item x="1"/>
        <item m="1" x="198"/>
        <item m="1" x="69"/>
        <item m="1" x="123"/>
        <item m="1" x="157"/>
        <item m="1" x="118"/>
        <item m="1" x="167"/>
        <item m="1" x="139"/>
        <item m="1" x="14"/>
        <item m="1" x="153"/>
        <item m="1" x="182"/>
        <item m="1" x="73"/>
        <item m="1" x="97"/>
        <item m="1" x="15"/>
        <item m="1" x="146"/>
        <item m="1" x="177"/>
        <item x="0"/>
        <item m="1" x="13"/>
        <item m="1" x="30"/>
        <item m="1" x="23"/>
        <item m="1" x="114"/>
        <item m="1" x="122"/>
        <item m="1" x="55"/>
        <item m="1" x="96"/>
        <item m="1" x="3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9">
        <item m="1" x="4"/>
        <item m="1" x="8"/>
        <item x="2"/>
        <item x="1"/>
        <item m="1" x="7"/>
        <item m="1" x="6"/>
        <item m="1" x="5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25"/>
    <field x="24"/>
  </rowFields>
  <rowItems count="4">
    <i>
      <x v="24"/>
      <x v="2"/>
      <x v="2"/>
    </i>
    <i r="1">
      <x v="3"/>
      <x v="3"/>
    </i>
    <i>
      <x v="40"/>
      <x v="8"/>
      <x v="1"/>
    </i>
    <i t="grand">
      <x/>
    </i>
  </rowItems>
  <colFields count="2">
    <field x="19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Ctn" fld="1" baseField="0" baseItem="0"/>
    <dataField name="Pcs" fld="3" baseField="0" baseItem="0"/>
  </dataFields>
  <formats count="23">
    <format dxfId="70">
      <pivotArea outline="0" collapsedLevelsAreSubtotals="1" fieldPosition="0"/>
    </format>
    <format dxfId="69">
      <pivotArea field="19" type="button" dataOnly="0" labelOnly="1" outline="0" axis="axisCol" fieldPosition="0"/>
    </format>
    <format dxfId="68">
      <pivotArea field="-2" type="button" dataOnly="0" labelOnly="1" outline="0" axis="axisCol" fieldPosition="1"/>
    </format>
    <format dxfId="67">
      <pivotArea type="topRight" dataOnly="0" labelOnly="1" outline="0" fieldPosition="0"/>
    </format>
    <format dxfId="66">
      <pivotArea field="19" dataOnly="0" labelOnly="1" outline="0" axis="axisCol" fieldPosition="0">
        <references count="1">
          <reference field="4294967294" count="1" selected="0">
            <x v="0"/>
          </reference>
        </references>
      </pivotArea>
    </format>
    <format dxfId="65">
      <pivotArea field="19" dataOnly="0" labelOnly="1" outline="0" axis="axisCol" fieldPosition="0">
        <references count="1">
          <reference field="4294967294" count="1" selected="0">
            <x v="1"/>
          </reference>
        </references>
      </pivotArea>
    </format>
    <format dxfId="64">
      <pivotArea field="19" dataOnly="0" labelOnly="1" outline="0" axis="axisCol" fieldPosition="0">
        <references count="1">
          <reference field="4294967294" count="1" selected="0">
            <x v="0"/>
          </reference>
        </references>
      </pivotArea>
    </format>
    <format dxfId="63">
      <pivotArea field="19" dataOnly="0" labelOnly="1" outline="0" axis="axisCol" fieldPosition="0">
        <references count="1">
          <reference field="4294967294" count="1" selected="0">
            <x v="1"/>
          </reference>
        </references>
      </pivotArea>
    </format>
    <format dxfId="62">
      <pivotArea outline="0" collapsedLevelsAreSubtotals="1" fieldPosition="0"/>
    </format>
    <format dxfId="61">
      <pivotArea field="19" type="button" dataOnly="0" labelOnly="1" outline="0" axis="axisCol" fieldPosition="0"/>
    </format>
    <format dxfId="60">
      <pivotArea field="-2" type="button" dataOnly="0" labelOnly="1" outline="0" axis="axisCol" fieldPosition="1"/>
    </format>
    <format dxfId="59">
      <pivotArea type="topRight" dataOnly="0" labelOnly="1" outline="0" fieldPosition="0"/>
    </format>
    <format dxfId="58">
      <pivotArea field="19" dataOnly="0" labelOnly="1" outline="0" axis="axisCol" fieldPosition="0">
        <references count="1">
          <reference field="4294967294" count="1" selected="0">
            <x v="0"/>
          </reference>
        </references>
      </pivotArea>
    </format>
    <format dxfId="57">
      <pivotArea field="19" dataOnly="0" labelOnly="1" outline="0" axis="axisCol" fieldPosition="0">
        <references count="1">
          <reference field="4294967294" count="1" selected="0">
            <x v="1"/>
          </reference>
        </references>
      </pivotArea>
    </format>
    <format dxfId="56">
      <pivotArea field="19" dataOnly="0" labelOnly="1" outline="0" axis="axisCol" fieldPosition="0">
        <references count="1">
          <reference field="4294967294" count="1" selected="0">
            <x v="0"/>
          </reference>
        </references>
      </pivotArea>
    </format>
    <format dxfId="55">
      <pivotArea field="19" dataOnly="0" labelOnly="1" outline="0" axis="axisCol" fieldPosition="0">
        <references count="1">
          <reference field="4294967294" count="1" selected="0">
            <x v="1"/>
          </reference>
        </references>
      </pivotArea>
    </format>
    <format dxfId="54">
      <pivotArea dataOnly="0" outline="0" fieldPosition="0">
        <references count="1">
          <reference field="4294967294" count="1">
            <x v="1"/>
          </reference>
        </references>
      </pivotArea>
    </format>
    <format dxfId="53">
      <pivotArea dataOnly="0" outline="0" fieldPosition="0">
        <references count="1">
          <reference field="4294967294" count="1">
            <x v="1"/>
          </reference>
        </references>
      </pivotArea>
    </format>
    <format dxfId="52">
      <pivotArea dataOnly="0" labelOnly="1" outline="0" fieldPosition="0">
        <references count="1">
          <reference field="19" count="0"/>
        </references>
      </pivotArea>
    </format>
    <format dxfId="51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0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">
      <pivotArea field="1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8">
      <pivotArea field="1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148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6" indent="0" compact="0" compactData="0" multipleFieldFilters="0">
  <location ref="B2:J8" firstHeaderRow="0" firstDataRow="1" firstDataCol="3"/>
  <pivotFields count="26">
    <pivotField axis="axisRow" compact="0" outline="0" showAll="0" defaultSubtotal="0">
      <items count="5625">
        <item m="1" x="3019"/>
        <item m="1" x="3056"/>
        <item m="1" x="5469"/>
        <item m="1" x="5494"/>
        <item m="1" x="5522"/>
        <item m="1" x="5542"/>
        <item m="1" x="5559"/>
        <item m="1" x="5576"/>
        <item m="1" x="5595"/>
        <item m="1" x="5612"/>
        <item m="1" x="15"/>
        <item m="1" x="47"/>
        <item m="1" x="2699"/>
        <item m="1" x="2721"/>
        <item m="1" x="2737"/>
        <item m="1" x="2557"/>
        <item m="1" x="2592"/>
        <item m="1" x="2609"/>
        <item m="1" x="2624"/>
        <item m="1" x="2641"/>
        <item m="1" x="2663"/>
        <item m="1" x="2692"/>
        <item m="1" x="5213"/>
        <item m="1" x="5230"/>
        <item m="1" x="5251"/>
        <item m="1" x="5267"/>
        <item m="1" x="5279"/>
        <item m="1" x="5291"/>
        <item m="1" x="5303"/>
        <item m="1" x="5315"/>
        <item m="1" x="5331"/>
        <item m="1" x="5351"/>
        <item m="1" x="2415"/>
        <item m="1" x="2432"/>
        <item m="1" x="2448"/>
        <item m="1" x="2459"/>
        <item m="1" x="2470"/>
        <item m="1" x="3041"/>
        <item m="1" x="3007"/>
        <item m="1" x="2961"/>
        <item m="1" x="2826"/>
        <item m="1" x="171"/>
        <item m="1" x="203"/>
        <item m="1" x="10"/>
        <item m="1" x="208"/>
        <item m="1" x="235"/>
        <item m="1" x="3048"/>
        <item m="1" x="256"/>
        <item m="1" x="294"/>
        <item m="1" x="340"/>
        <item m="1" x="373"/>
        <item m="1" x="412"/>
        <item m="1" x="3014"/>
        <item m="1" x="3077"/>
        <item m="1" x="3097"/>
        <item m="1" x="3115"/>
        <item m="1" x="3135"/>
        <item m="1" x="3158"/>
        <item m="1" x="275"/>
        <item m="1" x="315"/>
        <item m="1" x="5399"/>
        <item m="1" x="2952"/>
        <item m="1" x="5509"/>
        <item m="1" x="5536"/>
        <item m="1" x="5553"/>
        <item m="1" x="5588"/>
        <item m="1" x="5572"/>
        <item m="1" x="2874"/>
        <item m="1" x="5456"/>
        <item m="1" x="2972"/>
        <item m="1" x="17"/>
        <item m="1" x="2755"/>
        <item m="1" x="2769"/>
        <item m="1" x="2649"/>
        <item m="1" x="2674"/>
        <item m="1" x="2701"/>
        <item m="1" x="2723"/>
        <item m="1" x="2739"/>
        <item m="1" x="2786"/>
        <item m="1" x="848"/>
        <item m="1" x="2833"/>
        <item m="1" x="2807"/>
        <item m="1" x="5597"/>
        <item m="1" x="5614"/>
        <item m="1" x="3922"/>
        <item m="1" x="1195"/>
        <item m="1" x="3959"/>
        <item m="1" x="793"/>
        <item m="1" x="676"/>
        <item m="1" x="4507"/>
        <item m="1" x="4435"/>
        <item m="1" x="652"/>
        <item m="1" x="4605"/>
        <item m="1" x="4620"/>
        <item m="1" x="4642"/>
        <item m="1" x="4419"/>
        <item m="1" x="1716"/>
        <item m="1" x="611"/>
        <item m="1" x="774"/>
        <item m="1" x="4352"/>
        <item m="1" x="3405"/>
        <item m="1" x="801"/>
        <item m="1" x="4586"/>
        <item m="1" x="925"/>
        <item m="1" x="850"/>
        <item m="1" x="4321"/>
        <item m="1" x="4292"/>
        <item m="1" x="1670"/>
        <item m="1" x="766"/>
        <item m="1" x="720"/>
        <item m="1" x="699"/>
        <item m="1" x="1244"/>
        <item m="1" x="1279"/>
        <item m="1" x="4476"/>
        <item m="1" x="4663"/>
        <item m="1" x="3304"/>
        <item m="1" x="1477"/>
        <item m="1" x="1447"/>
        <item m="1" x="1318"/>
        <item m="1" x="3082"/>
        <item m="1" x="1559"/>
        <item m="1" x="1542"/>
        <item m="1" x="1576"/>
        <item m="1" x="1605"/>
        <item m="1" x="1592"/>
        <item m="1" x="1511"/>
        <item m="1" x="1252"/>
        <item m="1" x="3821"/>
        <item m="1" x="4200"/>
        <item m="1" x="4236"/>
        <item m="1" x="1377"/>
        <item m="1" x="1137"/>
        <item m="1" x="1018"/>
        <item m="1" x="4252"/>
        <item m="1" x="4297"/>
        <item m="1" x="4444"/>
        <item m="1" x="1584"/>
        <item m="1" x="1335"/>
        <item m="1" x="4174"/>
        <item m="1" x="4112"/>
        <item m="1" x="1417"/>
        <item m="1" x="1662"/>
        <item m="1" x="4072"/>
        <item m="1" x="1760"/>
        <item m="1" x="1302"/>
        <item m="1" x="3455"/>
        <item m="1" x="1438"/>
        <item m="1" x="1732"/>
        <item m="1" x="819"/>
        <item m="1" x="754"/>
        <item m="1" x="3420"/>
        <item m="1" x="3490"/>
        <item m="1" x="1397"/>
        <item m="1" x="1776"/>
        <item m="1" x="4143"/>
        <item m="1" x="1360"/>
        <item m="1" x="4500"/>
        <item m="1" x="4531"/>
        <item m="1" x="4218"/>
        <item m="1" x="1044"/>
        <item m="1" x="4270"/>
        <item m="1" x="1104"/>
        <item m="1" x="1464"/>
        <item m="1" x="1746"/>
        <item m="1" x="781"/>
        <item m="1" x="3396"/>
        <item m="1" x="1230"/>
        <item m="1" x="4570"/>
        <item m="1" x="4554"/>
        <item m="1" x="1796"/>
        <item m="1" x="451"/>
        <item m="1" x="529"/>
        <item m="1" x="3698"/>
        <item m="1" x="421"/>
        <item m="1" x="5370"/>
        <item m="1" x="416"/>
        <item m="1" x="346"/>
        <item m="1" x="321"/>
        <item m="1" x="300"/>
        <item m="1" x="379"/>
        <item m="1" x="3465"/>
        <item m="1" x="3428"/>
        <item m="1" x="242"/>
        <item m="1" x="261"/>
        <item m="1" x="212"/>
        <item m="1" x="182"/>
        <item m="1" x="281"/>
        <item m="1" x="4165"/>
        <item m="1" x="4010"/>
        <item m="1" x="4036"/>
        <item m="1" x="4093"/>
        <item m="1" x="4058"/>
        <item m="1" x="602"/>
        <item m="1" x="643"/>
        <item m="1" x="3223"/>
        <item m="1" x="3293"/>
        <item m="1" x="3319"/>
        <item m="1" x="3363"/>
        <item m="1" x="962"/>
        <item m="1" x="985"/>
        <item m="1" x="1006"/>
        <item m="1" x="3343"/>
        <item m="1" x="3255"/>
        <item m="1" x="3769"/>
        <item m="1" x="3810"/>
        <item m="1" x="3789"/>
        <item m="1" x="3751"/>
        <item m="1" x="3541"/>
        <item m="1" x="3492"/>
        <item m="1" x="3567"/>
        <item m="1" x="1138"/>
        <item m="1" x="1105"/>
        <item m="1" x="3730"/>
        <item m="1" x="1072"/>
        <item m="1" x="3012"/>
        <item m="1" x="2986"/>
        <item m="1" x="2966"/>
        <item m="1" x="2948"/>
        <item m="1" x="2929"/>
        <item m="1" x="2914"/>
        <item m="1" x="3961"/>
        <item m="1" x="3689"/>
        <item m="1" x="370"/>
        <item m="1" x="440"/>
        <item m="1" x="406"/>
        <item m="1" x="3924"/>
        <item m="1" x="3045"/>
        <item m="1" x="1175"/>
        <item m="1" x="1197"/>
        <item m="1" x="1253"/>
        <item m="1" x="1290"/>
        <item m="1" x="1328"/>
        <item m="1" x="1221"/>
        <item m="1" x="3883"/>
        <item m="1" x="309"/>
        <item m="1" x="271"/>
        <item m="1" x="3199"/>
        <item m="1" x="198"/>
        <item m="1" x="3209"/>
        <item m="1" x="331"/>
        <item m="1" x="4261"/>
        <item m="1" x="4285"/>
        <item m="1" x="252"/>
        <item m="1" x="4226"/>
        <item m="1" x="4245"/>
        <item m="1" x="4210"/>
        <item m="1" x="4190"/>
        <item m="1" x="1236"/>
        <item m="1" x="395"/>
        <item m="1" x="3161"/>
        <item m="1" x="1090"/>
        <item m="1" x="3109"/>
        <item m="1" x="3151"/>
        <item m="1" x="3176"/>
        <item m="1" x="3035"/>
        <item m="1" x="3004"/>
        <item m="1" x="1280"/>
        <item m="1" x="3231"/>
        <item m="1" x="1319"/>
        <item m="1" x="1369"/>
        <item m="1" x="1388"/>
        <item m="1" x="1429"/>
        <item m="1" x="1410"/>
        <item m="1" x="1487"/>
        <item m="1" x="5475"/>
        <item m="1" x="359"/>
        <item m="1" x="842"/>
        <item m="1" x="614"/>
        <item m="1" x="653"/>
        <item m="1" x="3714"/>
        <item m="1" x="1050"/>
        <item m="1" x="3649"/>
        <item m="1" x="3680"/>
        <item m="1" x="3412"/>
        <item m="1" x="1122"/>
        <item m="1" x="482"/>
        <item m="1" x="466"/>
        <item m="1" x="1167"/>
        <item m="1" x="1186"/>
        <item m="1" x="1208"/>
        <item m="1" x="3309"/>
        <item m="1" x="1084"/>
        <item m="1" x="745"/>
        <item m="1" x="701"/>
        <item m="1" x="678"/>
        <item m="1" x="3436"/>
        <item m="1" x="3474"/>
        <item m="1" x="3638"/>
        <item m="1" x="723"/>
        <item m="1" x="562"/>
        <item m="1" x="603"/>
        <item m="1" x="3195"/>
        <item m="1" x="3258"/>
        <item m="1" x="3321"/>
        <item m="1" x="3344"/>
        <item m="1" x="352"/>
        <item m="1" x="572"/>
        <item m="1" x="228"/>
        <item m="1" x="167"/>
        <item m="1" x="1478"/>
        <item m="1" x="1512"/>
        <item m="1" x="1683"/>
        <item m="1" x="4308"/>
        <item m="1" x="4521"/>
        <item m="1" x="1266"/>
        <item m="1" x="4370"/>
        <item m="1" x="4445"/>
        <item m="1" x="4426"/>
        <item m="1" x="4409"/>
        <item m="1" x="1291"/>
        <item m="1" x="1740"/>
        <item m="1" x="1811"/>
        <item m="1" x="1770"/>
        <item m="1" x="423"/>
        <item m="1" x="3811"/>
        <item m="1" x="3753"/>
        <item m="1" x="3732"/>
        <item m="1" x="453"/>
        <item m="1" x="3530"/>
        <item m="1" x="3672"/>
        <item m="1" x="1379"/>
        <item m="1" x="475"/>
        <item m="1" x="3507"/>
        <item m="1" x="4399"/>
        <item m="1" x="3762"/>
        <item m="1" x="386"/>
        <item m="1" x="3791"/>
        <item m="1" x="509"/>
        <item m="1" x="1198"/>
        <item m="1" x="3553"/>
        <item m="1" x="531"/>
        <item m="1" x="592"/>
        <item m="1" x="3841"/>
        <item m="1" x="3771"/>
        <item m="1" x="3781"/>
        <item m="1" x="1755"/>
        <item m="1" x="909"/>
        <item m="1" x="4597"/>
        <item m="1" x="4579"/>
        <item m="1" x="1007"/>
        <item m="1" x="4095"/>
        <item m="1" x="1615"/>
        <item m="1" x="1569"/>
        <item m="1" x="4629"/>
        <item m="1" x="4613"/>
        <item m="1" x="4652"/>
        <item m="1" x="4437"/>
        <item m="1" x="4457"/>
        <item m="1" x="4477"/>
        <item m="1" x="1672"/>
        <item m="1" x="4354"/>
        <item m="1" x="4323"/>
        <item m="1" x="4293"/>
        <item m="1" x="4400"/>
        <item m="1" x="4383"/>
        <item m="1" x="894"/>
        <item m="1" x="3611"/>
        <item m="1" x="4509"/>
        <item m="1" x="1246"/>
        <item m="1" x="1282"/>
        <item m="1" x="3716"/>
        <item m="1" x="4707"/>
        <item m="1" x="4692"/>
        <item m="1" x="3826"/>
        <item m="1" x="3860"/>
        <item m="1" x="4002"/>
        <item m="1" x="4049"/>
        <item m="1" x="852"/>
        <item m="1" x="813"/>
        <item m="1" x="776"/>
        <item m="1" x="4079"/>
        <item m="1" x="4027"/>
        <item m="1" x="3979"/>
        <item m="1" x="3946"/>
        <item m="1" x="4670"/>
        <item m="1" x="4648"/>
        <item m="1" x="1900"/>
        <item m="1" x="1912"/>
        <item m="1" x="3906"/>
        <item m="1" x="4119"/>
        <item m="1" x="3803"/>
        <item m="1" x="1890"/>
        <item m="1" x="1861"/>
        <item m="1" x="1872"/>
        <item m="1" x="1828"/>
        <item m="1" x="1805"/>
        <item m="1" x="1847"/>
        <item m="1" x="1448"/>
        <item m="1" x="1513"/>
        <item m="1" x="1479"/>
        <item m="1" x="4114"/>
        <item m="1" x="4146"/>
        <item m="1" x="4202"/>
        <item m="1" x="4220"/>
        <item m="1" x="4176"/>
        <item m="1" x="1909"/>
        <item m="1" x="4468"/>
        <item m="1" x="4097"/>
        <item m="1" x="4060"/>
        <item m="1" x="4039"/>
        <item m="1" x="1979"/>
        <item m="1" x="1693"/>
        <item m="1" x="1988"/>
        <item m="1" x="1955"/>
        <item m="1" x="1999"/>
        <item m="1" x="1971"/>
        <item m="1" x="4763"/>
        <item m="1" x="1962"/>
        <item m="1" x="4492"/>
        <item m="1" x="4447"/>
        <item m="1" x="4428"/>
        <item m="1" x="4679"/>
        <item m="1" x="1895"/>
        <item m="1" x="1921"/>
        <item m="1" x="4638"/>
        <item m="1" x="1886"/>
        <item m="1" x="1218"/>
        <item m="1" x="1617"/>
        <item m="1" x="1641"/>
        <item m="1" x="4263"/>
        <item m="1" x="4479"/>
        <item m="1" x="1248"/>
        <item m="1" x="1284"/>
        <item m="1" x="4402"/>
        <item m="1" x="4458"/>
        <item m="1" x="4356"/>
        <item m="1" x="4384"/>
        <item m="1" x="3605"/>
        <item m="1" x="3555"/>
        <item m="1" x="3532"/>
        <item m="1" x="3509"/>
        <item m="1" x="3476"/>
        <item m="1" x="921"/>
        <item m="1" x="3640"/>
        <item m="1" x="843"/>
        <item m="1" x="887"/>
        <item m="1" x="804"/>
        <item m="1" x="1390"/>
        <item m="1" x="1351"/>
        <item m="1" x="1412"/>
        <item m="1" x="1431"/>
        <item m="1" x="1372"/>
        <item m="1" x="1322"/>
        <item m="1" x="1452"/>
        <item m="1" x="4090"/>
        <item m="1" x="4129"/>
        <item m="1" x="454"/>
        <item m="1" x="3169"/>
        <item m="1" x="3123"/>
        <item m="1" x="3054"/>
        <item m="1" x="3144"/>
        <item m="1" x="2987"/>
        <item m="1" x="3013"/>
        <item m="1" x="3046"/>
        <item m="1" x="5514"/>
        <item m="1" x="5485"/>
        <item m="1" x="177"/>
        <item m="1" x="151"/>
        <item m="1" x="135"/>
        <item m="1" x="2783"/>
        <item m="1" x="2766"/>
        <item m="1" x="67"/>
        <item m="1" x="3875"/>
        <item m="1" x="5594"/>
        <item m="1" x="2752"/>
        <item m="1" x="3793"/>
        <item m="1" x="3458"/>
        <item m="1" x="821"/>
        <item m="1" x="3073"/>
        <item m="1" x="3773"/>
        <item m="1" x="2949"/>
        <item m="1" x="2930"/>
        <item m="1" x="38"/>
        <item m="1" x="2824"/>
        <item m="1" x="2967"/>
        <item m="1" x="667"/>
        <item m="1" x="3953"/>
        <item m="1" x="2734"/>
        <item m="1" x="862"/>
        <item m="1" x="734"/>
        <item m="1" x="691"/>
        <item m="1" x="3494"/>
        <item m="1" x="713"/>
        <item m="1" x="901"/>
        <item m="1" x="3521"/>
        <item m="1" x="785"/>
        <item m="1" x="634"/>
        <item m="1" x="5610"/>
        <item m="1" x="2802"/>
        <item m="1" x="5558"/>
        <item m="1" x="9"/>
        <item m="1" x="5540"/>
        <item m="1" x="2689"/>
        <item m="1" x="2715"/>
        <item m="1" x="2854"/>
        <item m="1" x="756"/>
        <item m="1" x="3111"/>
        <item m="1" x="3310"/>
        <item m="1" x="3333"/>
        <item m="1" x="3413"/>
        <item m="1" x="3390"/>
        <item m="1" x="272"/>
        <item m="1" x="290"/>
        <item m="1" x="361"/>
        <item m="1" x="333"/>
        <item m="1" x="397"/>
        <item m="1" x="429"/>
        <item m="1" x="3723"/>
        <item m="1" x="442"/>
        <item m="1" x="467"/>
        <item m="1" x="408"/>
        <item m="1" x="483"/>
        <item m="1" x="499"/>
        <item m="1" x="517"/>
        <item m="1" x="548"/>
        <item m="1" x="582"/>
        <item m="1" x="625"/>
        <item m="1" x="660"/>
        <item m="1" x="3241"/>
        <item m="1" x="207"/>
        <item m="1" x="234"/>
        <item m="1" x="2863"/>
        <item m="1" x="3569"/>
        <item m="1" x="3591"/>
        <item m="1" x="3619"/>
        <item m="1" x="3658"/>
        <item m="1" x="3690"/>
        <item m="1" x="3281"/>
        <item m="1" x="3353"/>
        <item m="1" x="3371"/>
        <item m="1" x="3447"/>
        <item m="1" x="3483"/>
        <item m="1" x="199"/>
        <item m="1" x="253"/>
        <item m="1" x="3037"/>
        <item m="1" x="3068"/>
        <item m="1" x="3094"/>
        <item m="1" x="3915"/>
        <item m="1" x="3201"/>
        <item m="1" x="3153"/>
        <item m="1" x="3267"/>
        <item m="1" x="161"/>
        <item m="1" x="189"/>
        <item m="1" x="2848"/>
        <item m="1" x="2880"/>
        <item m="1" x="3130"/>
        <item m="1" x="219"/>
        <item m="1" x="2905"/>
        <item m="1" x="2940"/>
        <item m="1" x="1344"/>
        <item m="1" x="3909"/>
        <item m="1" x="1273"/>
        <item m="1" x="1314"/>
        <item m="1" x="3947"/>
        <item m="1" x="3981"/>
        <item m="1" x="2922"/>
        <item m="1" x="3510"/>
        <item m="1" x="3534"/>
        <item m="1" x="3581"/>
        <item m="1" x="3557"/>
        <item m="1" x="455"/>
        <item m="1" x="534"/>
        <item m="1" x="491"/>
        <item m="1" x="3438"/>
        <item m="1" x="303"/>
        <item m="1" x="323"/>
        <item m="1" x="129"/>
        <item m="1" x="143"/>
        <item m="1" x="117"/>
        <item m="1" x="86"/>
        <item m="1" x="102"/>
        <item m="1" x="31"/>
        <item m="1" x="62"/>
        <item m="1" x="1200"/>
        <item m="1" x="1076"/>
        <item m="1" x="1257"/>
        <item m="1" x="1223"/>
        <item m="1" x="1501"/>
        <item m="1" x="1467"/>
        <item m="1" x="348"/>
        <item m="1" x="1533"/>
        <item m="1" x="4177"/>
        <item m="1" x="3124"/>
        <item m="1" x="3170"/>
        <item m="1" x="3219"/>
        <item m="1" x="1338"/>
        <item m="1" x="1305"/>
        <item m="1" x="1363"/>
        <item m="1" x="1401"/>
        <item m="1" x="1177"/>
        <item m="1" x="3191"/>
        <item m="1" x="3146"/>
        <item m="1" x="3251"/>
        <item m="1" x="1381"/>
        <item m="1" x="1440"/>
        <item m="1" x="1419"/>
        <item m="1" x="1140"/>
        <item m="1" x="1108"/>
        <item m="1" x="4361"/>
        <item m="1" x="4272"/>
        <item m="1" x="4238"/>
        <item m="1" x="4203"/>
        <item m="1" x="4221"/>
        <item m="1" x="4254"/>
        <item m="1" x="4300"/>
        <item m="1" x="4332"/>
        <item m="1" x="3965"/>
        <item m="1" x="3989"/>
        <item m="1" x="3886"/>
        <item m="1" x="3928"/>
        <item m="1" x="4014"/>
        <item m="1" x="4134"/>
        <item m="1" x="878"/>
        <item m="1" x="3323"/>
        <item m="1" x="4167"/>
        <item m="1" x="834"/>
        <item m="1" x="4061"/>
        <item m="1" x="4099"/>
        <item m="1" x="986"/>
        <item m="1" x="965"/>
        <item m="1" x="942"/>
        <item m="1" x="913"/>
        <item m="1" x="636"/>
        <item m="1" x="669"/>
        <item m="1" x="758"/>
        <item m="1" x="787"/>
        <item m="1" x="594"/>
        <item m="1" x="693"/>
        <item m="1" x="714"/>
        <item m="1" x="736"/>
        <item m="1" x="823"/>
        <item m="1" x="864"/>
        <item m="1" x="3424"/>
        <item m="1" x="3460"/>
        <item m="1" x="3593"/>
        <item m="1" x="3523"/>
        <item m="1" x="3544"/>
        <item m="1" x="3621"/>
        <item m="1" x="3571"/>
        <item m="1" x="1680"/>
        <item m="1" x="371"/>
        <item m="1" x="3917"/>
        <item m="1" x="3692"/>
        <item m="1" x="3877"/>
        <item m="1" x="3335"/>
        <item m="1" x="3243"/>
        <item m="1" x="3283"/>
        <item m="1" x="3312"/>
        <item m="1" x="485"/>
        <item m="1" x="3355"/>
        <item m="1" x="3210"/>
        <item m="1" x="3415"/>
        <item m="1" x="627"/>
        <item m="1" x="519"/>
        <item m="1" x="550"/>
        <item m="1" x="584"/>
        <item m="1" x="3449"/>
        <item m="1" x="1673"/>
        <item m="1" x="1700"/>
        <item m="1" x="4325"/>
        <item m="1" x="4357"/>
        <item m="1" x="4385"/>
        <item m="1" x="1391"/>
        <item m="1" x="4147"/>
        <item m="1" x="1353"/>
        <item m="1" x="1373"/>
        <item m="1" x="1413"/>
        <item m="1" x="1432"/>
        <item m="1" x="1453"/>
        <item m="1" x="1489"/>
        <item m="1" x="4510"/>
        <item m="1" x="1324"/>
        <item m="1" x="1286"/>
        <item m="1" x="3948"/>
        <item m="1" x="3910"/>
        <item m="1" x="3982"/>
        <item m="1" x="854"/>
        <item m="1" x="4030"/>
        <item m="1" x="4051"/>
        <item m="1" x="4120"/>
        <item m="1" x="4154"/>
        <item m="1" x="814"/>
        <item m="1" x="4080"/>
        <item m="1" x="1748"/>
        <item m="1" x="1762"/>
        <item m="1" x="1734"/>
        <item m="1" x="1821"/>
        <item m="1" x="1718"/>
        <item m="1" x="1577"/>
        <item m="1" x="1560"/>
        <item m="1" x="1543"/>
        <item m="1" x="1515"/>
        <item m="1" x="4571"/>
        <item m="1" x="4606"/>
        <item m="1" x="4621"/>
        <item m="1" x="4587"/>
        <item m="1" x="896"/>
        <item m="1" x="3684"/>
        <item m="1" x="3674"/>
        <item m="1" x="1663"/>
        <item m="1" x="3642"/>
        <item m="1" x="1626"/>
        <item m="1" x="4664"/>
        <item m="1" x="4643"/>
        <item m="1" x="3061"/>
        <item m="1" x="3911"/>
        <item m="1" x="3835"/>
        <item m="1" x="1275"/>
        <item m="1" x="3949"/>
        <item m="1" x="4246"/>
        <item m="1" x="3870"/>
        <item m="1" x="1238"/>
        <item m="1" x="4515"/>
        <item m="1" x="4708"/>
        <item m="1" x="1927"/>
        <item m="1" x="4750"/>
        <item m="1" x="4738"/>
        <item m="1" x="4718"/>
        <item m="1" x="4503"/>
        <item m="1" x="1666"/>
        <item m="1" x="1578"/>
        <item m="1" x="1593"/>
        <item m="1" x="1544"/>
        <item m="1" x="1562"/>
        <item m="1" x="1517"/>
        <item m="1" x="1608"/>
        <item m="1" x="1627"/>
        <item m="1" x="4283"/>
        <item m="1" x="1653"/>
        <item m="1" x="2033"/>
        <item m="1" x="1750"/>
        <item m="1" x="1765"/>
        <item m="1" x="1636"/>
        <item m="1" x="1696"/>
        <item m="1" x="1735"/>
        <item m="1" x="1879"/>
        <item m="1" x="4905"/>
        <item m="1" x="4886"/>
        <item m="1" x="4408"/>
        <item m="1" x="4881"/>
        <item m="1" x="4898"/>
        <item m="1" x="4891"/>
        <item m="1" x="1972"/>
        <item m="1" x="1963"/>
        <item m="1" x="4852"/>
        <item m="1" x="1058"/>
        <item m="1" x="4765"/>
        <item m="1" x="1980"/>
        <item m="1" x="1092"/>
        <item m="1" x="4429"/>
        <item m="1" x="2001"/>
        <item m="1" x="1990"/>
        <item m="1" x="4312"/>
        <item m="1" x="4448"/>
        <item m="1" x="1268"/>
        <item m="1" x="4469"/>
        <item m="1" x="1468"/>
        <item m="1" x="4493"/>
        <item m="1" x="4413"/>
        <item m="1" x="1124"/>
        <item m="1" x="4374"/>
        <item m="1" x="4489"/>
        <item m="1" x="4543"/>
        <item m="1" x="4744"/>
        <item m="1" x="4723"/>
        <item m="1" x="4701"/>
        <item m="1" x="1791"/>
        <item m="1" x="1498"/>
        <item m="1" x="1531"/>
        <item m="1" x="1556"/>
        <item m="1" x="1572"/>
        <item m="1" x="1462"/>
        <item m="1" x="1436"/>
        <item m="1" x="4656"/>
        <item m="1" x="4633"/>
        <item m="1" x="4295"/>
        <item m="1" x="1619"/>
        <item m="1" x="4461"/>
        <item m="1" x="4482"/>
        <item m="1" x="1602"/>
        <item m="1" x="4733"/>
        <item m="1" x="4722"/>
        <item m="1" x="4774"/>
        <item m="1" x="2049"/>
        <item m="1" x="1588"/>
        <item m="1" x="4328"/>
        <item m="1" x="4680"/>
        <item m="1" x="2063"/>
        <item m="1" x="2054"/>
        <item m="1" x="4699"/>
        <item m="1" x="2031"/>
        <item m="1" x="4934"/>
        <item m="1" x="2010"/>
        <item m="1" x="4938"/>
        <item m="1" x="2023"/>
        <item m="1" x="4835"/>
        <item m="1" x="2039"/>
        <item m="1" x="2035"/>
        <item m="1" x="4846"/>
        <item m="1" x="4517"/>
        <item m="1" x="2047"/>
        <item m="1" x="2052"/>
        <item m="1" x="2042"/>
        <item m="1" x="1994"/>
        <item m="1" x="1982"/>
        <item m="1" x="1721"/>
        <item m="1" x="4803"/>
        <item m="1" x="4757"/>
        <item m="1" x="4772"/>
        <item m="1" x="4825"/>
        <item m="1" x="4810"/>
        <item m="1" x="4901"/>
        <item m="1" x="1951"/>
        <item m="1" x="1944"/>
        <item m="1" x="1933"/>
        <item m="1" x="1918"/>
        <item m="1" x="1785"/>
        <item m="1" x="1959"/>
        <item m="1" x="1966"/>
        <item m="1" x="1975"/>
        <item m="1" x="1904"/>
        <item m="1" x="4842"/>
        <item m="1" x="1863"/>
        <item m="1" x="1850"/>
        <item m="1" x="1882"/>
        <item m="1" x="1830"/>
        <item m="1" x="1874"/>
        <item m="1" x="4752"/>
        <item m="1" x="4673"/>
        <item m="1" x="4694"/>
        <item m="1" x="1737"/>
        <item m="1" x="1723"/>
        <item m="1" x="1751"/>
        <item m="1" x="1637"/>
        <item m="1" x="1667"/>
        <item m="1" x="1697"/>
        <item m="1" x="4455"/>
        <item m="1" x="4504"/>
        <item m="1" x="4475"/>
        <item m="1" x="1799"/>
        <item m="1" x="1779"/>
        <item m="1" x="1110"/>
        <item m="1" x="4590"/>
        <item m="1" x="4574"/>
        <item m="1" x="4628"/>
        <item m="1" x="4710"/>
        <item m="1" x="4533"/>
        <item m="1" x="4556"/>
        <item m="1" x="4610"/>
        <item m="1" x="4644"/>
        <item m="1" x="4624"/>
        <item m="1" x="4064"/>
        <item m="1" x="4042"/>
        <item m="1" x="4103"/>
        <item m="1" x="4136"/>
        <item m="1" x="4168"/>
        <item m="1" x="882"/>
        <item m="1" x="946"/>
        <item m="1" x="989"/>
        <item m="1" x="1012"/>
        <item m="1" x="1131"/>
        <item m="1" x="3777"/>
        <item m="1" x="3816"/>
        <item m="1" x="738"/>
        <item m="1" x="825"/>
        <item m="1" x="866"/>
        <item m="1" x="789"/>
        <item m="1" x="760"/>
        <item m="1" x="3847"/>
        <item m="1" x="3879"/>
        <item m="1" x="3798"/>
        <item m="1" x="3757"/>
        <item m="1" x="3704"/>
        <item m="1" x="1098"/>
        <item m="1" x="1066"/>
        <item m="1" x="969"/>
        <item m="1" x="917"/>
        <item m="1" x="4197"/>
        <item m="1" x="3497"/>
        <item m="1" x="1225"/>
        <item m="1" x="3991"/>
        <item m="1" x="1294"/>
        <item m="1" x="3932"/>
        <item m="1" x="3968"/>
        <item m="1" x="4017"/>
        <item m="1" x="3919"/>
        <item m="1" x="638"/>
        <item m="1" x="1330"/>
        <item m="1" x="1357"/>
        <item m="1" x="1039"/>
        <item m="1" x="3955"/>
        <item m="1" x="3337"/>
        <item m="1" x="3313"/>
        <item m="1" x="3285"/>
        <item m="1" x="3659"/>
        <item m="1" x="3724"/>
        <item m="1" x="3694"/>
        <item m="1" x="3623"/>
        <item m="1" x="410"/>
        <item m="1" x="3573"/>
        <item m="1" x="1259"/>
        <item m="1" x="3595"/>
        <item m="1" x="3546"/>
        <item m="1" x="431"/>
        <item m="1" x="336"/>
        <item m="1" x="364"/>
        <item m="1" x="400"/>
        <item m="1" x="3156"/>
        <item m="1" x="3133"/>
        <item m="1" x="3180"/>
        <item m="1" x="1354"/>
        <item m="1" x="1325"/>
        <item m="1" x="3269"/>
        <item m="1" x="1374"/>
        <item m="1" x="1393"/>
        <item m="1" x="1490"/>
        <item m="1" x="1455"/>
        <item m="1" x="470"/>
        <item m="1" x="444"/>
        <item m="1" x="4265"/>
        <item m="1" x="4288"/>
        <item m="1" x="1213"/>
        <item m="1" x="1240"/>
        <item m="1" x="4156"/>
        <item m="1" x="4247"/>
        <item m="1" x="4317"/>
        <item m="1" x="4230"/>
        <item m="1" x="657"/>
        <item m="1" x="618"/>
        <item m="1" x="3940"/>
        <item m="1" x="683"/>
        <item m="1" x="3900"/>
        <item m="1" x="772"/>
        <item m="1" x="807"/>
        <item m="1" x="750"/>
        <item m="1" x="3710"/>
        <item m="1" x="389"/>
        <item m="1" x="3864"/>
        <item m="1" x="3441"/>
        <item m="1" x="3561"/>
        <item m="1" x="845"/>
        <item m="1" x="3644"/>
        <item m="1" x="3584"/>
        <item m="1" x="3675"/>
        <item m="1" x="889"/>
        <item m="1" x="1422"/>
        <item m="1" x="1405"/>
        <item m="1" x="1383"/>
        <item m="1" x="706"/>
        <item m="1" x="728"/>
        <item m="1" x="1470"/>
        <item m="1" x="1504"/>
        <item m="1" x="1535"/>
        <item m="1" x="1112"/>
        <item m="1" x="1161"/>
        <item m="1" x="1144"/>
        <item m="1" x="4363"/>
        <item m="1" x="1080"/>
        <item m="1" x="4335"/>
        <item m="1" x="3480"/>
        <item m="1" x="3514"/>
        <item m="1" x="1262"/>
        <item m="1" x="1297"/>
        <item m="1" x="1228"/>
        <item m="1" x="1332"/>
        <item m="1" x="3890"/>
        <item m="1" x="3935"/>
        <item m="1" x="4242"/>
        <item m="1" x="4258"/>
        <item m="1" x="4304"/>
        <item m="1" x="4276"/>
        <item m="1" x="3971"/>
        <item m="1" x="3994"/>
        <item m="1" x="4020"/>
        <item m="1" x="4170"/>
        <item m="1" x="4044"/>
        <item m="1" x="4139"/>
        <item m="1" x="919"/>
        <item m="1" x="838"/>
        <item m="1" x="4066"/>
        <item m="1" x="991"/>
        <item m="1" x="948"/>
        <item m="1" x="1041"/>
        <item m="1" x="884"/>
        <item m="1" x="1015"/>
        <item m="1" x="4106"/>
        <item m="1" x="1204"/>
        <item m="1" x="4181"/>
        <item m="1" x="1182"/>
        <item m="1" x="4150"/>
        <item m="1" x="3849"/>
        <item m="1" x="3818"/>
        <item m="1" x="4867"/>
        <item m="1" x="4878"/>
        <item m="1" x="4888"/>
        <item m="1" x="4894"/>
        <item m="1" x="4874"/>
        <item m="1" x="4883"/>
        <item m="1" x="597"/>
        <item m="1" x="641"/>
        <item m="1" x="537"/>
        <item m="1" x="566"/>
        <item m="1" x="608"/>
        <item m="1" x="647"/>
        <item m="1" x="3263"/>
        <item m="1" x="3226"/>
        <item m="1" x="3298"/>
        <item m="1" x="3325"/>
        <item m="1" x="3347"/>
        <item m="1" x="3382"/>
        <item m="1" x="3365"/>
        <item m="1" x="4470"/>
        <item m="1" x="4494"/>
        <item m="1" x="4523"/>
        <item m="1" x="1579"/>
        <item m="1" x="1594"/>
        <item m="1" x="1710"/>
        <item m="1" x="4449"/>
        <item m="1" x="4548"/>
        <item m="1" x="1308"/>
        <item m="1" x="3432"/>
        <item m="1" x="3468"/>
        <item m="1" x="1518"/>
        <item m="1" x="1545"/>
        <item m="1" x="1563"/>
        <item m="1" x="1609"/>
        <item m="1" x="1654"/>
        <item m="1" x="1628"/>
        <item m="1" x="1685"/>
        <item m="1" x="4343"/>
        <item m="1" x="4375"/>
        <item m="1" x="4394"/>
        <item m="1" x="4414"/>
        <item m="1" x="671"/>
        <item m="1" x="696"/>
        <item m="1" x="3738"/>
        <item m="1" x="3668"/>
        <item m="1" x="3706"/>
        <item m="1" x="4513"/>
        <item m="1" x="4463"/>
        <item m="1" x="4425"/>
        <item m="1" x="4388"/>
        <item m="1" x="4330"/>
        <item m="1" x="1702"/>
        <item m="1" x="4583"/>
        <item m="1" x="4566"/>
        <item m="1" x="4518"/>
        <item m="1" x="1836"/>
        <item m="1" x="1792"/>
        <item m="1" x="1758"/>
        <item m="1" x="1729"/>
        <item m="1" x="3696"/>
        <item m="1" x="3597"/>
        <item m="1" x="3575"/>
        <item m="1" x="3463"/>
        <item m="1" x="827"/>
        <item m="1" x="791"/>
        <item m="1" x="740"/>
        <item m="1" x="761"/>
        <item m="1" x="868"/>
        <item m="1" x="3425"/>
        <item m="1" x="3499"/>
        <item m="1" x="3548"/>
        <item m="1" x="3625"/>
        <item m="1" x="1707"/>
        <item m="1" x="1743"/>
        <item m="1" x="1773"/>
        <item m="1" x="1814"/>
        <item m="1" x="1854"/>
        <item m="1" x="4544"/>
        <item m="1" x="4601"/>
        <item m="1" x="1590"/>
        <item m="1" x="1603"/>
        <item m="1" x="1621"/>
        <item m="1" x="1645"/>
        <item m="1" x="1676"/>
        <item m="1" x="4360"/>
        <item m="1" x="4405"/>
        <item m="1" x="4442"/>
        <item m="1" x="4484"/>
        <item m="1" x="4538"/>
        <item m="1" x="717"/>
        <item m="1" x="1001"/>
        <item m="1" x="1029"/>
        <item m="1" x="1088"/>
        <item m="1" x="3653"/>
        <item m="1" x="1055"/>
        <item m="1" x="1492"/>
        <item m="1" x="1457"/>
        <item m="1" x="1875"/>
        <item m="1" x="4535"/>
        <item m="1" x="4558"/>
        <item m="1" x="4576"/>
        <item m="1" x="4592"/>
        <item m="1" x="1928"/>
        <item m="1" x="1902"/>
        <item m="1" x="1883"/>
        <item m="1" x="4695"/>
        <item m="1" x="1915"/>
        <item m="1" x="1892"/>
        <item m="1" x="4674"/>
        <item m="1" x="1939"/>
        <item m="1" x="4506"/>
        <item m="1" x="1843"/>
        <item m="1" x="1823"/>
        <item m="1" x="1801"/>
        <item m="1" x="1781"/>
        <item m="1" x="1767"/>
        <item m="1" x="1752"/>
        <item m="1" x="932"/>
        <item m="1" x="956"/>
        <item m="1" x="858"/>
        <item m="1" x="4158"/>
        <item m="1" x="4084"/>
        <item m="1" x="4032"/>
        <item m="1" x="3984"/>
        <item m="1" x="3913"/>
        <item m="1" x="3871"/>
        <item m="1" x="1278"/>
        <item m="1" x="1242"/>
        <item m="1" x="1172"/>
        <item m="1" x="1128"/>
        <item m="1" x="4349"/>
        <item m="1" x="4319"/>
        <item m="1" x="899"/>
        <item m="1" x="816"/>
        <item m="1" x="4124"/>
        <item m="1" x="4053"/>
        <item m="1" x="4006"/>
        <item m="1" x="3951"/>
        <item m="1" x="1317"/>
        <item m="1" x="1215"/>
        <item m="1" x="1192"/>
        <item m="1" x="1151"/>
        <item m="1" x="1096"/>
        <item m="1" x="1062"/>
        <item m="1" x="4290"/>
        <item m="1" x="4267"/>
        <item m="1" x="4249"/>
        <item m="1" x="4232"/>
        <item m="1" x="4215"/>
        <item m="1" x="980"/>
        <item m="1" x="3748"/>
        <item m="1" x="3721"/>
        <item m="1" x="1520"/>
        <item m="1" x="4687"/>
        <item m="1" x="4666"/>
        <item m="1" x="4416"/>
        <item m="1" x="4431"/>
        <item m="1" x="4451"/>
        <item m="1" x="1738"/>
        <item m="1" x="4472"/>
        <item m="1" x="1656"/>
        <item m="1" x="4496"/>
        <item m="1" x="1069"/>
        <item m="1" x="1100"/>
        <item m="1" x="1506"/>
        <item m="1" x="1341"/>
        <item m="1" x="1366"/>
        <item m="1" x="1385"/>
        <item m="1" x="1424"/>
        <item m="1" x="1472"/>
        <item m="1" x="1310"/>
        <item m="1" x="3661"/>
        <item m="1" x="3526"/>
        <item m="1" x="1964"/>
        <item m="1" x="2002"/>
        <item m="1" x="4829"/>
        <item m="1" x="2012"/>
        <item m="1" x="4616"/>
        <item m="1" x="1973"/>
        <item m="1" x="4849"/>
        <item m="1" x="4860"/>
        <item m="1" x="4822"/>
        <item m="1" x="1956"/>
        <item m="1" x="1925"/>
        <item m="1" x="4140"/>
        <item m="1" x="4108"/>
        <item m="1" x="4778"/>
        <item m="1" x="4837"/>
        <item m="1" x="3892"/>
        <item m="1" x="4815"/>
        <item m="1" x="1708"/>
        <item m="1" x="1730"/>
        <item m="1" x="1818"/>
        <item m="1" x="3996"/>
        <item m="1" x="4022"/>
        <item m="1" x="1264"/>
        <item m="1" x="3856"/>
        <item m="1" x="1299"/>
        <item m="1" x="3973"/>
        <item m="1" x="3936"/>
        <item m="1" x="4068"/>
        <item m="1" x="1840"/>
        <item m="1" x="1681"/>
        <item m="1" x="4045"/>
        <item m="1" x="4519"/>
        <item m="1" x="4567"/>
        <item m="1" x="4602"/>
        <item m="1" x="4545"/>
        <item m="1" x="1759"/>
        <item m="1" x="4490"/>
        <item m="1" x="1793"/>
        <item m="1" x="1774"/>
        <item m="1" x="1744"/>
        <item m="1" x="1837"/>
        <item m="1" x="1547"/>
        <item m="1" x="1483"/>
        <item m="1" x="4657"/>
        <item m="1" x="4676"/>
        <item m="1" x="1857"/>
        <item m="1" x="1870"/>
        <item m="1" x="1937"/>
        <item m="1" x="4662"/>
        <item m="1" x="4682"/>
        <item m="1" x="4703"/>
        <item m="1" x="1898"/>
        <item m="1" x="1908"/>
        <item m="1" x="1923"/>
        <item m="1" x="1880"/>
        <item m="1" x="1888"/>
        <item m="1" x="4735"/>
        <item m="1" x="4725"/>
        <item m="1" x="2174"/>
        <item m="1" x="2163"/>
        <item m="1" x="4989"/>
        <item m="1" x="5027"/>
        <item m="1" x="5019"/>
        <item m="1" x="5015"/>
        <item m="1" x="2185"/>
        <item m="1" x="5005"/>
        <item m="1" x="5007"/>
        <item m="1" x="2186"/>
        <item m="1" x="4951"/>
        <item m="1" x="2214"/>
        <item m="1" x="4997"/>
        <item m="1" x="2208"/>
        <item m="1" x="5031"/>
        <item m="1" x="5026"/>
        <item m="1" x="2191"/>
        <item m="1" x="5002"/>
        <item m="1" x="4950"/>
        <item m="1" x="2176"/>
        <item m="1" x="4921"/>
        <item m="1" x="2167"/>
        <item m="1" x="4965"/>
        <item m="1" x="2184"/>
        <item m="1" x="5001"/>
        <item m="1" x="2165"/>
        <item m="1" x="5034"/>
        <item m="1" x="5006"/>
        <item m="1" x="2213"/>
        <item m="1" x="4714"/>
        <item m="1" x="4970"/>
        <item m="1" x="2109"/>
        <item m="1" x="4953"/>
        <item m="1" x="2078"/>
        <item m="1" x="5029"/>
        <item m="1" x="2136"/>
        <item m="1" x="2168"/>
        <item m="1" x="2110"/>
        <item m="1" x="4994"/>
        <item m="1" x="2156"/>
        <item m="1" x="5165"/>
        <item m="1" x="5207"/>
        <item m="1" x="5263"/>
        <item m="1" x="2347"/>
        <item m="1" x="2359"/>
        <item m="1" x="5244"/>
        <item m="1" x="2370"/>
        <item m="1" x="2380"/>
        <item m="1" x="2390"/>
        <item m="1" x="2401"/>
        <item m="1" x="2204"/>
        <item m="1" x="5083"/>
        <item m="1" x="2261"/>
        <item m="1" x="5109"/>
        <item m="1" x="5089"/>
        <item m="1" x="2251"/>
        <item m="1" x="2248"/>
        <item m="1" x="5099"/>
        <item m="1" x="5145"/>
        <item m="1" x="5155"/>
        <item m="1" x="2267"/>
        <item m="1" x="4988"/>
        <item m="1" x="2015"/>
        <item m="1" x="1942"/>
        <item m="1" x="2172"/>
        <item m="1" x="2199"/>
        <item m="1" x="5017"/>
        <item m="1" x="2198"/>
        <item m="1" x="5024"/>
        <item m="1" x="2207"/>
        <item m="1" x="2079"/>
        <item m="1" x="5013"/>
        <item m="1" x="2183"/>
        <item m="1" x="4985"/>
        <item m="1" x="4966"/>
        <item m="1" x="2105"/>
        <item m="1" x="4983"/>
        <item m="1" x="2135"/>
        <item m="1" x="4992"/>
        <item m="1" x="4981"/>
        <item m="1" x="2132"/>
        <item m="1" x="4964"/>
        <item m="1" x="2193"/>
        <item m="1" x="2189"/>
        <item m="1" x="5011"/>
        <item m="1" x="2152"/>
        <item m="1" x="2310"/>
        <item m="1" x="2303"/>
        <item m="1" x="2243"/>
        <item m="1" x="4999"/>
        <item m="1" x="2026"/>
        <item m="1" x="2209"/>
        <item m="1" x="2128"/>
        <item m="1" x="4990"/>
        <item m="1" x="5014"/>
        <item m="1" x="2192"/>
        <item m="1" x="2221"/>
        <item m="1" x="4978"/>
        <item m="1" x="5004"/>
        <item m="1" x="2148"/>
        <item m="1" x="2240"/>
        <item m="1" x="2234"/>
        <item m="1" x="2236"/>
        <item m="1" x="2231"/>
        <item m="1" x="2233"/>
        <item m="1" x="2232"/>
        <item m="1" x="2230"/>
        <item m="1" x="5036"/>
        <item m="1" x="5037"/>
        <item m="1" x="5040"/>
        <item m="1" x="2218"/>
        <item m="1" x="2224"/>
        <item m="1" x="2225"/>
        <item m="1" x="2483"/>
        <item m="1" x="2492"/>
        <item m="1" x="2505"/>
        <item m="1" x="2521"/>
        <item m="1" x="5363"/>
        <item m="1" x="5383"/>
        <item m="1" x="2440"/>
        <item m="1" x="2452"/>
        <item m="1" x="2226"/>
        <item m="1" x="2227"/>
        <item m="1" x="5283"/>
        <item m="1" x="5295"/>
        <item m="1" x="5322"/>
        <item m="1" x="5340"/>
        <item m="1" x="5308"/>
        <item m="1" x="5182"/>
        <item m="1" x="2332"/>
        <item m="1" x="5191"/>
        <item m="1" x="5175"/>
        <item m="1" x="5169"/>
        <item m="1" x="5061"/>
        <item m="1" x="5066"/>
        <item m="1" x="5069"/>
        <item m="1" x="5076"/>
        <item m="1" x="2223"/>
        <item m="1" x="2219"/>
        <item m="1" x="2222"/>
        <item m="1" x="5039"/>
        <item m="1" x="5050"/>
        <item m="1" x="5052"/>
        <item m="1" x="5056"/>
        <item m="1" x="5048"/>
        <item m="1" x="5042"/>
        <item m="1" x="2323"/>
        <item m="1" x="5045"/>
        <item m="1" x="2287"/>
        <item m="1" x="2315"/>
        <item m="1" x="5073"/>
        <item m="1" x="5054"/>
        <item m="1" x="5046"/>
        <item m="1" x="5038"/>
        <item m="1" x="2358"/>
        <item m="1" x="2345"/>
        <item m="1" x="2295"/>
        <item m="1" x="5080"/>
        <item m="1" x="2353"/>
        <item m="1" x="2364"/>
        <item m="1" x="2473"/>
        <item m="1" x="5272"/>
        <item m="1" x="2461"/>
        <item m="1" x="2545"/>
        <item m="1" x="2566"/>
        <item m="1" x="5152"/>
        <item m="1" x="5161"/>
        <item m="1" x="2375"/>
        <item m="1" x="2384"/>
        <item m="1" x="2395"/>
        <item m="1" x="2405"/>
        <item m="1" x="5234"/>
        <item m="1" x="2340"/>
        <item m="1" x="5238"/>
        <item m="1" x="5257"/>
        <item m="1" x="2417"/>
        <item m="1" x="5255"/>
        <item m="1" x="5106"/>
        <item m="1" x="5096"/>
        <item m="1" x="5113"/>
        <item m="1" x="5159"/>
        <item m="1" x="5128"/>
        <item m="1" x="5117"/>
        <item m="1" x="5067"/>
        <item m="1" x="5071"/>
        <item m="1" x="5078"/>
        <item m="1" x="5075"/>
        <item m="1" x="5081"/>
        <item m="1" x="5063"/>
        <item m="1" x="5058"/>
        <item m="1" x="2338"/>
        <item m="1" x="2352"/>
        <item m="1" x="5139"/>
        <item m="1" x="2242"/>
        <item m="1" x="5085"/>
        <item m="1" x="5094"/>
        <item m="1" x="5104"/>
        <item m="1" x="5171"/>
        <item m="1" x="5043"/>
        <item m="1" x="5187"/>
        <item m="1" x="2278"/>
        <item m="1" x="5065"/>
        <item m="1" x="2412"/>
        <item m="1" x="2288"/>
        <item m="1" x="2256"/>
        <item m="1" x="2229"/>
        <item m="1" x="5177"/>
        <item m="1" x="5164"/>
        <item m="1" x="2276"/>
        <item m="1" x="5060"/>
        <item m="1" x="2273"/>
        <item m="1" x="2292"/>
        <item m="1" x="2300"/>
        <item m="1" x="2307"/>
        <item m="1" x="2313"/>
        <item m="1" x="2284"/>
        <item m="1" x="2235"/>
        <item m="1" x="5057"/>
        <item m="1" x="2265"/>
        <item m="1" x="2272"/>
        <item m="1" x="2282"/>
        <item m="1" x="5041"/>
        <item m="1" x="5150"/>
        <item m="1" x="2238"/>
        <item m="1" x="5417"/>
        <item m="1" x="5404"/>
        <item m="1" x="5389"/>
        <item m="1" x="5432"/>
        <item m="1" x="5515"/>
        <item m="1" x="2535"/>
        <item m="1" x="2575"/>
        <item m="1" x="2555"/>
        <item m="1" x="2590"/>
        <item m="1" x="5486"/>
        <item m="1" x="5444"/>
        <item m="1" x="2607"/>
        <item m="1" x="2622"/>
        <item m="1" x="5373"/>
        <item m="1" x="2431"/>
        <item m="1" x="2446"/>
        <item m="1" x="5349"/>
        <item m="1" x="5329"/>
        <item m="1" x="2661"/>
        <item m="1" x="2716"/>
        <item m="1" x="2639"/>
        <item m="1" x="2690"/>
        <item m="1" x="5249"/>
        <item m="1" x="5228"/>
        <item m="1" x="5301"/>
        <item m="1" x="5289"/>
        <item m="1" x="5313"/>
        <item m="1" x="5277"/>
        <item m="1" x="5265"/>
        <item m="1" x="2457"/>
        <item m="1" x="2468"/>
        <item m="1" x="2480"/>
        <item m="1" x="5047"/>
        <item m="1" x="5049"/>
        <item m="1" x="5051"/>
        <item m="1" x="2489"/>
        <item m="1" x="5053"/>
        <item m="1" x="5055"/>
        <item m="1" x="2258"/>
        <item m="1" x="2245"/>
        <item m="1" x="2252"/>
        <item m="1" x="5044"/>
        <item m="1" x="2247"/>
        <item m="1" x="2250"/>
        <item m="1" x="2348"/>
        <item m="1" x="2500"/>
        <item m="1" x="2391"/>
        <item m="1" x="2413"/>
        <item m="1" x="5125"/>
        <item m="1" x="5120"/>
        <item m="1" x="2531"/>
        <item m="1" x="5077"/>
        <item m="1" x="5070"/>
        <item m="1" x="5074"/>
        <item m="1" x="2244"/>
        <item m="1" x="2241"/>
        <item m="1" x="5100"/>
        <item m="1" x="5090"/>
        <item m="1" x="5084"/>
        <item m="1" x="2246"/>
        <item m="1" x="2262"/>
        <item m="1" x="2257"/>
        <item m="1" x="2711"/>
        <item m="1" x="2778"/>
        <item m="1" x="2249"/>
        <item m="1" x="2817"/>
        <item m="1" x="2795"/>
        <item m="1" x="2684"/>
        <item m="1" x="64"/>
        <item m="1" x="5606"/>
        <item m="1" x="5587"/>
        <item m="1" x="2254"/>
        <item m="1" x="5481"/>
        <item m="1" x="5507"/>
        <item m="1" x="5534"/>
        <item m="1" x="5551"/>
        <item m="1" x="2268"/>
        <item m="1" x="2277"/>
        <item m="1" x="5570"/>
        <item m="1" x="5219"/>
        <item m="1" x="5239"/>
        <item m="1" x="5258"/>
        <item m="1" x="5273"/>
        <item m="1" x="5284"/>
        <item m="1" x="5296"/>
        <item m="1" x="5364"/>
        <item m="1" x="2441"/>
        <item m="1" x="2424"/>
        <item m="1" x="5341"/>
        <item m="1" x="5309"/>
        <item m="1" x="5323"/>
        <item m="1" x="2617"/>
        <item m="1" x="2679"/>
        <item m="1" x="2632"/>
        <item m="1" x="2651"/>
        <item m="1" x="2601"/>
        <item m="1" x="2584"/>
        <item m="1" x="2567"/>
        <item m="1" x="5183"/>
        <item m="1" x="5170"/>
        <item m="1" x="5192"/>
        <item m="1" x="5176"/>
        <item m="1" x="2329"/>
        <item m="1" x="5162"/>
        <item m="1" x="2396"/>
        <item m="1" x="5235"/>
        <item m="1" x="2341"/>
        <item m="1" x="2354"/>
        <item m="1" x="2365"/>
        <item m="1" x="2376"/>
        <item m="1" x="2385"/>
        <item m="1" x="2493"/>
        <item m="1" x="2453"/>
        <item m="1" x="5153"/>
        <item m="1" x="2506"/>
        <item m="1" x="2474"/>
        <item m="1" x="2462"/>
        <item m="1" x="5142"/>
        <item m="1" x="2546"/>
        <item m="1" x="2522"/>
        <item m="1" x="2319"/>
        <item m="1" x="5118"/>
        <item m="1" x="24"/>
        <item m="1" x="2339"/>
        <item m="1" x="5087"/>
        <item m="1" x="5097"/>
        <item m="1" x="2437"/>
        <item m="1" x="2418"/>
        <item m="1" x="2326"/>
        <item m="1" x="5107"/>
        <item m="1" x="5114"/>
        <item m="1" x="5123"/>
        <item m="1" x="5133"/>
        <item m="1" x="5129"/>
        <item m="1" x="110"/>
        <item m="1" x="5201"/>
        <item m="1" x="2970"/>
        <item m="1" x="2991"/>
        <item m="1" x="2301"/>
        <item m="1" x="2293"/>
        <item m="1" x="2285"/>
        <item m="1" x="2274"/>
        <item m="1" x="5215"/>
        <item m="1" x="5541"/>
        <item m="1" x="5493"/>
        <item m="1" x="5521"/>
        <item m="1" x="5140"/>
        <item m="1" x="14"/>
        <item m="1" x="2308"/>
        <item m="1" x="79"/>
        <item m="1" x="54"/>
        <item m="1" x="2865"/>
        <item m="1" x="2830"/>
        <item m="1" x="5355"/>
        <item m="1" x="5335"/>
        <item m="1" x="2720"/>
        <item m="1" x="2736"/>
        <item m="1" x="2753"/>
        <item m="1" x="2767"/>
        <item m="1" x="2784"/>
        <item m="1" x="2805"/>
        <item m="1" x="3055"/>
        <item m="1" x="2672"/>
        <item m="1" x="46"/>
        <item m="1" x="2515"/>
        <item m="1" x="5462"/>
        <item m="1" x="5487"/>
        <item m="1" x="93"/>
        <item m="1" x="2698"/>
        <item m="1" x="5445"/>
        <item m="1" x="5433"/>
        <item m="1" x="2428"/>
        <item m="1" x="5179"/>
        <item m="1" x="5172"/>
        <item m="1" x="5166"/>
        <item m="1" x="5188"/>
        <item m="1" x="3212"/>
        <item m="1" x="3183"/>
        <item m="1" x="3246"/>
        <item m="1" x="11"/>
        <item m="1" x="5208"/>
        <item m="1" x="5223"/>
        <item m="1" x="5245"/>
        <item m="1" x="2334"/>
        <item m="1" x="2360"/>
        <item m="1" x="2371"/>
        <item m="1" x="5091"/>
        <item m="1" x="5101"/>
        <item m="1" x="5110"/>
        <item m="1" x="5131"/>
        <item m="1" x="5136"/>
        <item m="1" x="5156"/>
        <item m="1" x="2269"/>
        <item m="1" x="2279"/>
        <item m="1" x="2289"/>
        <item m="1" x="2296"/>
        <item m="1" x="2304"/>
        <item m="1" x="215"/>
        <item m="1" x="2841"/>
        <item m="1" x="2873"/>
        <item m="1" x="2932"/>
        <item m="1" x="2951"/>
        <item m="1" x="2894"/>
        <item m="1" x="2916"/>
        <item m="1" x="3096"/>
        <item m="1" x="2402"/>
        <item m="1" x="314"/>
        <item m="1" x="293"/>
        <item m="1" x="2856"/>
        <item m="1" x="170"/>
        <item m="1" x="2392"/>
        <item m="1" x="2685"/>
        <item m="1" x="2381"/>
        <item m="1" x="2556"/>
        <item m="1" x="2576"/>
        <item m="1" x="2591"/>
        <item m="1" x="2608"/>
        <item m="1" x="2623"/>
        <item m="1" x="2640"/>
        <item m="1" x="2662"/>
        <item m="1" x="2691"/>
        <item m="1" x="5212"/>
        <item m="1" x="5229"/>
        <item m="1" x="5250"/>
        <item m="1" x="5266"/>
        <item m="1" x="2447"/>
        <item m="1" x="2458"/>
        <item m="1" x="2469"/>
        <item m="1" x="2490"/>
        <item m="1" x="2501"/>
        <item m="1" x="2513"/>
        <item m="1" x="2532"/>
        <item m="1" x="5138"/>
        <item m="1" x="5147"/>
        <item m="1" x="5209"/>
        <item m="1" x="2325"/>
        <item m="1" x="2335"/>
        <item m="1" x="2349"/>
        <item m="1" x="2361"/>
        <item m="1" x="2372"/>
        <item m="1" x="3076"/>
        <item m="1" x="3114"/>
        <item m="1" x="3134"/>
        <item m="1" x="3157"/>
        <item m="1" x="39"/>
        <item m="1" x="69"/>
        <item m="1" x="89"/>
        <item m="1" x="105"/>
        <item m="1" x="5278"/>
        <item m="1" x="5290"/>
        <item m="1" x="5302"/>
        <item m="1" x="5314"/>
        <item m="1" x="5330"/>
        <item m="1" x="5350"/>
        <item m="1" x="2481"/>
        <item m="1" x="5197"/>
        <item m="1" x="5224"/>
        <item m="1" x="33"/>
        <item m="1" x="5328"/>
        <item m="1" x="5346"/>
        <item m="1" x="2796"/>
        <item m="1" x="2850"/>
        <item m="1" x="2569"/>
        <item m="1" x="2619"/>
        <item m="1" x="5298"/>
        <item m="1" x="2603"/>
        <item m="1" x="5377"/>
        <item m="1" x="3040"/>
        <item m="1" x="5508"/>
        <item m="1" x="2779"/>
        <item m="1" x="5425"/>
        <item m="1" x="2634"/>
        <item m="1" x="2527"/>
        <item m="1" x="2511"/>
        <item m="1" x="5478"/>
        <item m="1" x="5455"/>
        <item m="1" x="5440"/>
        <item m="1" x="2763"/>
        <item m="1" x="2747"/>
        <item m="1" x="5552"/>
        <item m="1" x="5482"/>
        <item m="1" x="5460"/>
        <item m="1" x="5412"/>
        <item m="1" x="5418"/>
        <item m="1" x="2730"/>
        <item m="1" x="5405"/>
        <item m="1" x="5390"/>
        <item m="1" x="2549"/>
        <item m="1" x="2586"/>
        <item m="1" x="2681"/>
        <item m="1" x="2653"/>
        <item m="1" x="5221"/>
        <item m="1" x="5206"/>
        <item m="1" x="5385"/>
        <item m="1" x="5398"/>
        <item m="1" x="2819"/>
        <item m="1" x="5571"/>
        <item m="1" x="5241"/>
        <item m="1" x="5260"/>
        <item m="1" x="2980"/>
        <item m="1" x="3006"/>
        <item m="1" x="5535"/>
        <item m="1" x="2960"/>
        <item m="1" x="2887"/>
        <item m="1" x="2825"/>
        <item m="1" x="2909"/>
        <item m="1" x="2942"/>
        <item m="1" x="2923"/>
        <item m="1" x="2426"/>
        <item m="1" x="2442"/>
        <item m="1" x="2454"/>
        <item m="1" x="2464"/>
        <item m="1" x="2476"/>
        <item m="1" x="2495"/>
        <item m="1" x="2485"/>
        <item m="1" x="365"/>
        <item m="1" x="2524"/>
        <item m="1" x="401"/>
        <item m="1" x="2508"/>
        <item m="1" x="5366"/>
        <item m="1" x="3443"/>
        <item m="1" x="3408"/>
        <item m="1" x="3384"/>
        <item m="1" x="3366"/>
        <item m="1" x="477"/>
        <item m="1" x="192"/>
        <item m="1" x="433"/>
        <item m="1" x="460"/>
        <item m="1" x="514"/>
        <item m="1" x="495"/>
        <item m="1" x="542"/>
        <item m="1" x="575"/>
        <item m="1" x="3204"/>
        <item m="1" x="620"/>
        <item m="1" x="3234"/>
        <item m="1" x="3271"/>
        <item m="1" x="3300"/>
        <item m="1" x="3327"/>
        <item m="1" x="3348"/>
        <item m="1" x="3064"/>
        <item m="1" x="3031"/>
        <item m="1" x="391"/>
        <item m="1" x="3002"/>
        <item m="1" x="2895"/>
        <item m="1" x="2842"/>
        <item m="1" x="3227"/>
        <item m="1" x="5623"/>
        <item m="1" x="56"/>
        <item m="1" x="81"/>
        <item m="1" x="2971"/>
        <item m="1" x="2933"/>
        <item m="1" x="2722"/>
        <item m="1" x="2673"/>
        <item m="1" x="16"/>
        <item m="1" x="2700"/>
        <item m="1" x="5613"/>
        <item m="1" x="2648"/>
        <item m="1" x="5596"/>
        <item m="1" x="5495"/>
        <item m="1" x="5470"/>
        <item m="1" x="5543"/>
        <item m="1" x="5577"/>
        <item m="1" x="3020"/>
        <item m="1" x="5560"/>
        <item m="1" x="5523"/>
        <item m="1" x="5452"/>
        <item m="1" x="2992"/>
        <item m="1" x="568"/>
        <item m="1" x="674"/>
        <item m="1" x="697"/>
        <item m="1" x="718"/>
        <item m="1" x="138"/>
        <item m="1" x="2516"/>
        <item m="1" x="5446"/>
        <item m="1" x="799"/>
        <item m="1" x="95"/>
        <item m="1" x="2558"/>
        <item m="1" x="2610"/>
        <item m="1" x="2577"/>
        <item m="1" x="2593"/>
        <item m="1" x="2626"/>
        <item m="1" x="3433"/>
        <item m="1" x="5434"/>
        <item m="1" x="5420"/>
        <item m="1" x="2504"/>
        <item m="1" x="2537"/>
        <item m="1" x="5463"/>
        <item m="1" x="764"/>
        <item m="1" x="741"/>
        <item m="1" x="380"/>
        <item m="1" x="3600"/>
        <item m="1" x="3549"/>
        <item m="1" x="3576"/>
        <item m="1" x="3527"/>
        <item m="1" x="3669"/>
        <item m="1" x="3633"/>
        <item m="1" x="3471"/>
        <item m="1" x="3403"/>
        <item m="1" x="3504"/>
        <item m="1" x="2642"/>
        <item m="1" x="2665"/>
        <item m="1" x="610"/>
        <item m="1" x="5406"/>
        <item m="1" x="3192"/>
        <item m="1" x="598"/>
        <item m="1" x="557"/>
        <item m="1" x="3289"/>
        <item m="1" x="3315"/>
        <item m="1" x="840"/>
        <item m="1" x="2754"/>
        <item m="1" x="2768"/>
        <item m="1" x="2785"/>
        <item m="1" x="2806"/>
        <item m="1" x="5321"/>
        <item m="1" x="5336"/>
        <item m="1" x="5357"/>
        <item m="1" x="5392"/>
        <item m="1" x="2738"/>
        <item m="1" x="2832"/>
        <item m="1" x="5378"/>
        <item m="1" x="418"/>
        <item m="1" x="3358"/>
        <item m="1" x="3339"/>
        <item m="1" x="448"/>
        <item m="1" x="285"/>
        <item m="1" x="295"/>
        <item m="1" x="316"/>
        <item m="1" x="257"/>
        <item m="1" x="236"/>
        <item m="1" x="178"/>
        <item m="1" x="3098"/>
        <item m="1" x="3213"/>
        <item m="1" x="3184"/>
        <item m="1" x="3159"/>
        <item m="1" x="3116"/>
        <item m="1" x="3136"/>
        <item m="1" x="2827"/>
        <item m="1" x="2803"/>
        <item m="1" x="2857"/>
        <item m="1" x="2888"/>
        <item m="1" x="2686"/>
        <item m="1" x="2659"/>
        <item m="1" x="3727"/>
        <item m="1" x="3662"/>
        <item m="1" x="3697"/>
        <item m="1" x="686"/>
        <item m="1" x="553"/>
        <item m="1" x="3873"/>
        <item m="1" x="587"/>
        <item m="1" x="3837"/>
        <item m="1" x="663"/>
        <item m="1" x="337"/>
        <item m="1" x="3613"/>
        <item m="1" x="3417"/>
        <item m="1" x="629"/>
        <item m="1" x="708"/>
        <item m="1" x="461"/>
        <item m="1" x="778"/>
        <item m="1" x="730"/>
        <item m="1" x="751"/>
        <item m="1" x="366"/>
        <item m="1" x="276"/>
        <item m="1" x="3807"/>
        <item m="1" x="3349"/>
        <item m="1" x="958"/>
        <item m="1" x="981"/>
        <item m="1" x="1002"/>
        <item m="1" x="935"/>
        <item m="1" x="3181"/>
        <item m="1" x="2896"/>
        <item m="1" x="3678"/>
        <item m="1" x="3712"/>
        <item m="1" x="3394"/>
        <item m="1" x="3516"/>
        <item m="1" x="3563"/>
        <item m="1" x="3586"/>
        <item m="1" x="2843"/>
        <item m="1" x="111"/>
        <item m="1" x="96"/>
        <item m="1" x="3015"/>
        <item m="1" x="2815"/>
        <item m="1" x="849"/>
        <item m="1" x="3832"/>
        <item m="1" x="1233"/>
        <item m="1" x="3902"/>
        <item m="1" x="1120"/>
        <item m="1" x="539"/>
        <item m="1" x="1164"/>
        <item m="1" x="305"/>
        <item m="1" x="651"/>
        <item m="1" x="3078"/>
        <item m="1" x="172"/>
        <item m="1" x="3340"/>
        <item m="1" x="3601"/>
        <item m="1" x="3550"/>
        <item m="1" x="3577"/>
        <item m="1" x="419"/>
        <item m="1" x="472"/>
        <item m="1" x="179"/>
        <item m="1" x="209"/>
        <item m="1" x="237"/>
        <item m="1" x="3399"/>
        <item m="1" x="449"/>
        <item m="1" x="324"/>
        <item m="1" x="3505"/>
        <item m="1" x="3528"/>
        <item m="1" x="349"/>
        <item m="1" x="3634"/>
        <item m="1" x="487"/>
        <item m="1" x="152"/>
        <item m="1" x="2682"/>
        <item m="1" x="5286"/>
        <item m="1" x="5533"/>
        <item m="1" x="5261"/>
        <item m="1" x="5299"/>
        <item m="1" x="2570"/>
        <item m="1" x="2604"/>
        <item m="1" x="2587"/>
        <item m="1" x="2635"/>
        <item m="1" x="381"/>
        <item m="1" x="2550"/>
        <item m="1" x="5311"/>
        <item m="1" x="5242"/>
        <item m="1" x="2486"/>
        <item m="1" x="2496"/>
        <item m="1" x="5384"/>
        <item m="1" x="5343"/>
        <item m="1" x="5275"/>
        <item m="1" x="2465"/>
        <item m="1" x="5325"/>
        <item m="1" x="2443"/>
        <item m="1" x="2455"/>
        <item m="1" x="2477"/>
        <item m="1" x="3376"/>
        <item m="1" x="317"/>
        <item m="1" x="5185"/>
        <item m="1" x="5203"/>
        <item m="1" x="5194"/>
        <item m="1" x="5217"/>
        <item m="1" x="3654"/>
        <item m="1" x="478"/>
        <item m="1" x="496"/>
        <item m="1" x="792"/>
        <item m="1" x="905"/>
        <item m="1" x="2780"/>
        <item m="1" x="402"/>
        <item m="1" x="3487"/>
        <item m="1" x="2731"/>
        <item m="1" x="828"/>
        <item m="1" x="2797"/>
        <item m="1" x="2820"/>
        <item m="1" x="870"/>
        <item m="1" x="2748"/>
        <item m="1" x="543"/>
        <item m="1" x="434"/>
        <item m="1" x="3538"/>
        <item m="1" x="3125"/>
        <item m="1" x="3105"/>
        <item m="1" x="3089"/>
        <item m="1" x="2979"/>
        <item m="1" x="354"/>
        <item m="1" x="326"/>
        <item m="1" x="286"/>
        <item m="1" x="265"/>
        <item m="1" x="247"/>
        <item m="1" x="221"/>
        <item m="1" x="193"/>
        <item m="1" x="164"/>
        <item m="1" x="3409"/>
        <item m="1" x="145"/>
        <item m="1" x="3301"/>
        <item m="1" x="524"/>
        <item m="1" x="558"/>
        <item m="1" x="3171"/>
        <item m="1" x="3193"/>
        <item m="1" x="3220"/>
        <item m="1" x="3252"/>
        <item m="1" x="3290"/>
        <item m="1" x="3316"/>
        <item m="1" x="3359"/>
        <item m="1" x="503"/>
        <item m="1" x="3385"/>
        <item m="1" x="2367"/>
        <item m="1" x="2343"/>
        <item m="1" x="2356"/>
        <item m="1" x="5256"/>
        <item m="1" x="5236"/>
        <item m="1" x="2438"/>
        <item m="1" x="2378"/>
        <item m="1" x="2387"/>
        <item m="1" x="2398"/>
        <item m="1" x="2407"/>
        <item m="1" x="2451"/>
        <item m="1" x="5160"/>
        <item m="1" x="2286"/>
        <item m="1" x="2275"/>
        <item m="1" x="2314"/>
        <item m="1" x="2309"/>
        <item m="1" x="2294"/>
        <item m="1" x="2302"/>
        <item m="1" x="2320"/>
        <item m="1" x="2327"/>
        <item m="1" x="5151"/>
        <item m="1" x="5141"/>
        <item m="1" x="5134"/>
        <item m="1" x="5130"/>
        <item m="1" x="3235"/>
        <item m="1" x="3272"/>
        <item m="1" x="5124"/>
        <item m="1" x="2420"/>
        <item m="1" x="5119"/>
        <item m="1" x="5082"/>
        <item m="1" x="5059"/>
        <item m="1" x="5064"/>
        <item m="1" x="5068"/>
        <item m="1" x="5072"/>
        <item m="1" x="5086"/>
        <item m="1" x="5544"/>
        <item m="1" x="2266"/>
        <item m="1" x="5524"/>
        <item m="1" x="5578"/>
        <item m="1" x="5561"/>
        <item m="1" x="18"/>
        <item m="1" x="5615"/>
        <item m="1" x="5598"/>
        <item m="1" x="2283"/>
        <item m="1" x="2255"/>
        <item m="1" x="2253"/>
        <item m="1" x="5496"/>
        <item m="1" x="2259"/>
        <item m="1" x="2702"/>
        <item m="1" x="75"/>
        <item m="1" x="5517"/>
        <item m="1" x="2787"/>
        <item m="1" x="2866"/>
        <item m="1" x="5408"/>
        <item m="1" x="2756"/>
        <item m="1" x="2834"/>
        <item m="1" x="2770"/>
        <item m="1" x="5465"/>
        <item m="1" x="5448"/>
        <item m="1" x="5436"/>
        <item m="1" x="5422"/>
        <item m="1" x="5393"/>
        <item m="1" x="2891"/>
        <item m="1" x="5379"/>
        <item m="1" x="2808"/>
        <item m="1" x="5489"/>
        <item m="1" x="5358"/>
        <item m="1" x="2644"/>
        <item m="1" x="2612"/>
        <item m="1" x="2579"/>
        <item m="1" x="2595"/>
        <item m="1" x="2628"/>
        <item m="1" x="5079"/>
        <item m="1" x="2667"/>
        <item m="1" x="2718"/>
        <item m="1" x="2694"/>
        <item m="1" x="5231"/>
        <item m="1" x="341"/>
        <item m="1" x="2969"/>
        <item m="1" x="2989"/>
        <item m="1" x="3016"/>
        <item m="1" x="3049"/>
        <item m="1" x="3079"/>
        <item m="1" x="3099"/>
        <item m="1" x="3160"/>
        <item m="1" x="3117"/>
        <item m="1" x="3137"/>
        <item m="1" x="5367"/>
        <item m="1" x="5400"/>
        <item m="1" x="5413"/>
        <item m="1" x="5426"/>
        <item m="1" x="48"/>
        <item m="1" x="2559"/>
        <item m="1" x="5252"/>
        <item m="1" x="5268"/>
        <item m="1" x="5280"/>
        <item m="1" x="5292"/>
        <item m="1" x="5304"/>
        <item m="1" x="5332"/>
        <item m="1" x="5374"/>
        <item m="1" x="2449"/>
        <item m="1" x="2433"/>
        <item m="1" x="2460"/>
        <item m="1" x="2539"/>
        <item m="1" x="5316"/>
        <item m="1" x="5352"/>
        <item m="1" x="2514"/>
        <item m="1" x="2491"/>
        <item m="1" x="2482"/>
        <item m="1" x="2471"/>
        <item m="1" x="2533"/>
        <item m="1" x="5103"/>
        <item m="1" x="5122"/>
        <item m="1" x="5112"/>
        <item m="1" x="5116"/>
        <item m="1" x="5127"/>
        <item m="1" x="2654"/>
        <item m="1" x="2382"/>
        <item m="1" x="2393"/>
        <item m="1" x="2414"/>
        <item m="1" x="2429"/>
        <item m="1" x="2445"/>
        <item m="1" x="2403"/>
        <item m="1" x="5093"/>
        <item m="1" x="2502"/>
        <item m="1" x="40"/>
        <item m="1" x="2346"/>
        <item m="1" x="2333"/>
        <item m="1" x="70"/>
        <item m="1" x="2910"/>
        <item m="1" x="2962"/>
        <item m="1" x="2981"/>
        <item m="1" x="2943"/>
        <item m="1" x="231"/>
        <item m="1" x="3042"/>
        <item m="1" x="204"/>
        <item m="1" x="2924"/>
        <item m="1" x="5537"/>
        <item m="1" x="5554"/>
        <item m="1" x="3071"/>
        <item m="1" x="5573"/>
        <item m="1" x="34"/>
        <item m="1" x="5368"/>
        <item m="1" x="5414"/>
        <item m="1" x="5427"/>
        <item m="1" x="5401"/>
        <item m="1" x="5386"/>
        <item m="1" x="5441"/>
        <item m="1" x="2821"/>
        <item m="1" x="2881"/>
        <item m="1" x="2798"/>
        <item m="1" x="2687"/>
        <item m="1" x="2712"/>
        <item m="1" x="65"/>
        <item m="1" x="2749"/>
        <item m="1" x="5510"/>
        <item m="1" x="6"/>
        <item m="1" x="2312"/>
        <item m="1" x="2306"/>
        <item m="1" x="5105"/>
        <item m="1" x="5589"/>
        <item m="1" x="5148"/>
        <item m="1" x="5157"/>
        <item m="1" x="5167"/>
        <item m="1" x="5173"/>
        <item m="1" x="5180"/>
        <item m="1" x="5189"/>
        <item m="1" x="5198"/>
        <item m="1" x="5210"/>
        <item m="1" x="5225"/>
        <item m="1" x="5246"/>
        <item m="1" x="106"/>
        <item m="1" x="119"/>
        <item m="1" x="132"/>
        <item m="1" x="148"/>
        <item m="1" x="2336"/>
        <item m="1" x="2350"/>
        <item m="1" x="2362"/>
        <item m="1" x="2373"/>
        <item m="1" x="5287"/>
        <item m="1" x="5300"/>
        <item m="1" x="5312"/>
        <item m="1" x="5326"/>
        <item m="1" x="5344"/>
        <item m="1" x="5365"/>
        <item m="1" x="2427"/>
        <item m="1" x="2444"/>
        <item m="1" x="2456"/>
        <item m="1" x="2466"/>
        <item m="1" x="2478"/>
        <item m="1" x="2487"/>
        <item m="1" x="2498"/>
        <item m="1" x="2510"/>
        <item m="1" x="2525"/>
        <item m="1" x="2548"/>
        <item m="1" x="2655"/>
        <item m="1" x="2683"/>
        <item m="1" x="5204"/>
        <item m="1" x="5218"/>
        <item m="1" x="2344"/>
        <item m="1" x="2636"/>
        <item m="1" x="2605"/>
        <item m="1" x="2588"/>
        <item m="1" x="2528"/>
        <item m="1" x="5506"/>
        <item m="1" x="2620"/>
        <item m="1" x="2551"/>
        <item m="1" x="2571"/>
        <item m="1" x="266"/>
        <item m="1" x="222"/>
        <item m="1" x="2299"/>
        <item m="1" x="5095"/>
        <item m="1" x="5437"/>
        <item m="1" x="5409"/>
        <item m="1" x="5394"/>
        <item m="1" x="5380"/>
        <item m="1" x="5359"/>
        <item m="1" x="5337"/>
        <item m="1" x="2867"/>
        <item m="1" x="2835"/>
        <item m="1" x="2809"/>
        <item m="1" x="2788"/>
        <item m="1" x="2757"/>
        <item m="1" x="2703"/>
        <item m="1" x="2675"/>
        <item m="1" x="2740"/>
        <item m="1" x="2724"/>
        <item m="1" x="327"/>
        <item m="1" x="355"/>
        <item m="1" x="392"/>
        <item m="1" x="426"/>
        <item m="1" x="5525"/>
        <item m="1" x="5545"/>
        <item m="1" x="5579"/>
        <item m="1" x="5562"/>
        <item m="1" x="2596"/>
        <item m="1" x="3021"/>
        <item m="1" x="2993"/>
        <item m="1" x="2897"/>
        <item m="1" x="2917"/>
        <item m="1" x="2560"/>
        <item m="1" x="2973"/>
        <item m="1" x="2934"/>
        <item m="1" x="2875"/>
        <item m="1" x="2953"/>
        <item m="1" x="2771"/>
        <item m="1" x="49"/>
        <item m="1" x="19"/>
        <item m="1" x="5616"/>
        <item m="1" x="5497"/>
        <item m="1" x="5471"/>
        <item m="1" x="3057"/>
        <item m="1" x="2844"/>
        <item m="1" x="216"/>
        <item m="1" x="184"/>
        <item m="1" x="2613"/>
        <item m="1" x="155"/>
        <item m="1" x="2858"/>
        <item m="1" x="2517"/>
        <item m="1" x="2668"/>
        <item m="1" x="5490"/>
        <item m="1" x="2540"/>
        <item m="1" x="2695"/>
        <item m="1" x="5214"/>
        <item m="1" x="3377"/>
        <item m="1" x="3253"/>
        <item m="1" x="504"/>
        <item m="1" x="525"/>
        <item m="1" x="3291"/>
        <item m="1" x="3317"/>
        <item m="1" x="3360"/>
        <item m="1" x="3341"/>
        <item m="1" x="5144"/>
        <item m="1" x="5154"/>
        <item m="1" x="2388"/>
        <item m="1" x="2422"/>
        <item m="1" x="2409"/>
        <item m="1" x="2399"/>
        <item m="1" x="248"/>
        <item m="1" x="2379"/>
        <item m="1" x="71"/>
        <item m="1" x="12"/>
        <item m="1" x="318"/>
        <item m="1" x="342"/>
        <item m="1" x="296"/>
        <item m="1" x="258"/>
        <item m="1" x="277"/>
        <item m="1" x="41"/>
        <item m="1" x="3100"/>
        <item m="1" x="3118"/>
        <item m="1" x="3138"/>
        <item m="1" x="2828"/>
        <item m="1" x="3426"/>
        <item m="1" x="5590"/>
        <item m="1" x="2944"/>
        <item m="1" x="2925"/>
        <item m="1" x="2963"/>
        <item m="1" x="2982"/>
        <item m="1" x="3008"/>
        <item m="1" x="2324"/>
        <item m="1" x="238"/>
        <item m="1" x="2317"/>
        <item m="1" x="5232"/>
        <item m="1" x="642"/>
        <item m="1" x="5253"/>
        <item m="1" x="3221"/>
        <item m="1" x="5269"/>
        <item m="1" x="5281"/>
        <item m="1" x="5318"/>
        <item m="1" x="5334"/>
        <item m="1" x="5293"/>
        <item m="1" x="35"/>
        <item m="1" x="2851"/>
        <item m="1" x="2637"/>
        <item m="1" x="630"/>
        <item m="1" x="2656"/>
        <item m="1" x="2572"/>
        <item m="1" x="5402"/>
        <item m="1" x="5415"/>
        <item m="1" x="5442"/>
        <item m="1" x="5479"/>
        <item m="1" x="2512"/>
        <item m="1" x="2552"/>
        <item m="1" x="5428"/>
        <item m="1" x="860"/>
        <item m="1" x="3418"/>
        <item m="1" x="3453"/>
        <item m="1" x="3488"/>
        <item m="1" x="3517"/>
        <item m="1" x="3655"/>
        <item m="1" x="3587"/>
        <item m="1" x="779"/>
        <item m="1" x="752"/>
        <item m="1" x="731"/>
        <item m="1" x="709"/>
        <item m="1" x="687"/>
        <item m="1" x="817"/>
        <item m="1" x="497"/>
        <item m="1" x="480"/>
        <item m="1" x="463"/>
        <item m="1" x="577"/>
        <item m="1" x="3264"/>
        <item m="1" x="368"/>
        <item m="1" x="404"/>
        <item m="1" x="436"/>
        <item m="1" x="515"/>
        <item m="1" x="545"/>
        <item m="1" x="195"/>
        <item m="1" x="224"/>
        <item m="1" x="3206"/>
        <item m="1" x="3302"/>
        <item m="1" x="3126"/>
        <item m="1" x="156"/>
        <item m="1" x="185"/>
        <item m="1" x="82"/>
        <item m="1" x="3237"/>
        <item m="1" x="3106"/>
        <item m="1" x="3328"/>
        <item m="1" x="3350"/>
        <item m="1" x="166"/>
        <item m="1" x="3065"/>
        <item m="1" x="3274"/>
        <item m="1" x="306"/>
        <item m="1" x="3032"/>
        <item m="1" x="3444"/>
        <item m="1" x="3386"/>
        <item m="1" x="3367"/>
        <item m="1" x="2816"/>
        <item m="1" x="2845"/>
        <item m="1" x="3410"/>
        <item m="1" x="125"/>
        <item m="1" x="112"/>
        <item m="1" x="328"/>
        <item m="1" x="3003"/>
        <item m="1" x="356"/>
        <item m="1" x="3147"/>
        <item m="1" x="3174"/>
        <item m="1" x="3197"/>
        <item m="1" x="3228"/>
        <item m="1" x="27"/>
        <item m="1" x="249"/>
        <item m="1" x="268"/>
        <item m="1" x="2789"/>
        <item m="1" x="2772"/>
        <item m="1" x="2741"/>
        <item m="1" x="2676"/>
        <item m="1" x="20"/>
        <item m="1" x="2704"/>
        <item m="1" x="2725"/>
        <item m="1" x="139"/>
        <item m="1" x="58"/>
        <item m="1" x="98"/>
        <item m="1" x="5546"/>
        <item m="1" x="5563"/>
        <item m="1" x="2758"/>
        <item m="1" x="559"/>
        <item m="1" x="599"/>
        <item m="1" x="2974"/>
        <item m="1" x="2994"/>
        <item m="1" x="3713"/>
        <item m="1" x="675"/>
        <item m="1" x="569"/>
        <item m="1" x="413"/>
        <item m="1" x="3857"/>
        <item m="1" x="3823"/>
        <item m="1" x="3895"/>
        <item m="1" x="810"/>
        <item m="1" x="2935"/>
        <item m="1" x="3022"/>
        <item m="1" x="5498"/>
        <item m="1" x="5453"/>
        <item m="1" x="2954"/>
        <item m="1" x="5472"/>
        <item m="1" x="5526"/>
        <item m="1" x="3760"/>
        <item m="1" x="3743"/>
        <item m="1" x="382"/>
        <item m="1" x="374"/>
        <item m="1" x="3551"/>
        <item m="1" x="3578"/>
        <item m="1" x="3602"/>
        <item m="1" x="3635"/>
        <item m="1" x="3670"/>
        <item m="1" x="350"/>
        <item m="1" x="3194"/>
        <item m="1" x="600"/>
        <item m="1" x="560"/>
        <item m="1" x="719"/>
        <item m="1" x="2589"/>
        <item m="1" x="2529"/>
        <item m="1" x="3404"/>
        <item m="1" x="3090"/>
        <item m="1" x="97"/>
        <item m="1" x="3050"/>
        <item m="1" x="5186"/>
        <item m="1" x="5195"/>
        <item m="1" x="5237"/>
        <item m="1" x="2331"/>
        <item m="1" x="2368"/>
        <item m="1" x="2357"/>
        <item m="1" x="5163"/>
        <item m="1" x="5483"/>
        <item m="1" x="5511"/>
        <item m="1" x="5538"/>
        <item m="1" x="5555"/>
        <item m="1" x="5574"/>
        <item m="1" x="3688"/>
        <item m="1" x="3162"/>
        <item m="1" x="3185"/>
        <item m="1" x="3214"/>
        <item m="1" x="3247"/>
        <item m="1" x="2799"/>
        <item m="1" x="180"/>
        <item m="1" x="153"/>
        <item m="1" x="90"/>
        <item m="1" x="5611"/>
        <item m="1" x="259"/>
        <item m="1" x="239"/>
        <item m="1" x="13"/>
        <item m="1" x="42"/>
        <item m="1" x="278"/>
        <item m="1" x="297"/>
        <item m="1" x="3215"/>
        <item m="1" x="120"/>
        <item m="1" x="2859"/>
        <item m="1" x="936"/>
        <item m="1" x="906"/>
        <item m="1" x="982"/>
        <item m="1" x="2911"/>
        <item m="1" x="3808"/>
        <item m="1" x="3787"/>
        <item m="1" x="3626"/>
        <item m="1" x="3768"/>
        <item m="1" x="3728"/>
        <item m="1" x="1063"/>
        <item m="1" x="3750"/>
        <item m="1" x="2889"/>
        <item m="1" x="2926"/>
        <item m="1" x="554"/>
        <item m="1" x="3838"/>
        <item m="1" x="588"/>
        <item m="1" x="319"/>
        <item m="1" x="343"/>
        <item m="1" x="376"/>
        <item m="1" x="5505"/>
        <item m="1" x="5599"/>
        <item m="1" x="3646"/>
        <item m="1" x="742"/>
        <item m="1" x="3434"/>
        <item m="1" x="2650"/>
        <item m="1" x="3801"/>
        <item m="1" x="765"/>
        <item m="1" x="3472"/>
        <item m="1" x="3080"/>
        <item m="1" x="5458"/>
        <item m="1" x="688"/>
        <item m="1" x="405"/>
        <item m="1" x="732"/>
        <item m="1" x="753"/>
        <item m="1" x="780"/>
        <item m="1" x="818"/>
        <item m="1" x="3518"/>
        <item m="1" x="3539"/>
        <item m="1" x="3564"/>
        <item m="1" x="3588"/>
        <item m="1" x="3614"/>
        <item m="1" x="1194"/>
        <item m="1" x="871"/>
        <item m="1" x="2964"/>
        <item m="1" x="2983"/>
        <item m="1" x="3009"/>
        <item m="1" x="1042"/>
        <item m="1" x="1070"/>
        <item m="1" x="1136"/>
        <item m="1" x="2945"/>
        <item m="1" x="1102"/>
        <item m="1" x="2876"/>
        <item m="1" x="578"/>
        <item m="1" x="3395"/>
        <item m="1" x="3419"/>
        <item m="1" x="3454"/>
        <item m="1" x="2899"/>
        <item m="1" x="2918"/>
        <item m="1" x="710"/>
        <item m="1" x="3656"/>
        <item m="1" x="1154"/>
        <item m="1" x="3182"/>
        <item m="1" x="3489"/>
        <item m="1" x="3275"/>
        <item m="1" x="3303"/>
        <item m="1" x="481"/>
        <item m="1" x="498"/>
        <item m="1" x="369"/>
        <item m="1" x="464"/>
        <item m="1" x="437"/>
        <item m="1" x="338"/>
        <item m="1" x="526"/>
        <item m="1" x="488"/>
        <item m="1" x="505"/>
        <item m="1" x="698"/>
        <item m="1" x="3329"/>
        <item m="1" x="5580"/>
        <item m="1" x="3780"/>
        <item m="1" x="800"/>
        <item m="1" x="173"/>
        <item m="1" x="546"/>
        <item m="1" x="269"/>
        <item m="1" x="196"/>
        <item m="1" x="225"/>
        <item m="1" x="250"/>
        <item m="1" x="2713"/>
        <item m="1" x="1220"/>
        <item m="1" x="516"/>
        <item m="1" x="1451"/>
        <item m="1" x="3351"/>
        <item m="1" x="3368"/>
        <item m="1" x="3387"/>
        <item m="1" x="4127"/>
        <item m="1" x="4160"/>
        <item m="1" x="4189"/>
        <item m="1" x="1486"/>
        <item m="1" x="4087"/>
        <item m="1" x="1271"/>
        <item m="1" x="1234"/>
        <item m="1" x="3833"/>
        <item m="1" x="3943"/>
        <item m="1" x="4209"/>
        <item m="1" x="1056"/>
        <item m="1" x="4315"/>
        <item m="1" x="1165"/>
        <item m="1" x="1184"/>
        <item m="1" x="1206"/>
        <item m="1" x="1147"/>
        <item m="1" x="959"/>
        <item m="1" x="1428"/>
        <item m="1" x="1032"/>
        <item m="1" x="1003"/>
        <item m="1" x="540"/>
        <item m="1" x="570"/>
        <item m="1" x="527"/>
        <item m="1" x="3172"/>
        <item m="1" x="4340"/>
        <item m="1" x="1623"/>
        <item m="1" x="4369"/>
        <item m="1" x="1649"/>
        <item m="1" x="4280"/>
        <item m="1" x="4407"/>
        <item m="1" x="4391"/>
        <item m="1" x="4307"/>
        <item m="1" x="3400"/>
        <item m="1" x="3342"/>
        <item m="1" x="1541"/>
        <item m="1" x="3254"/>
        <item m="1" x="1476"/>
        <item m="1" x="3222"/>
        <item m="1" x="3361"/>
        <item m="1" x="1103"/>
        <item m="1" x="4235"/>
        <item m="1" x="4251"/>
        <item m="1" x="4296"/>
        <item m="1" x="4269"/>
        <item m="1" x="1017"/>
        <item m="1" x="1071"/>
        <item m="1" x="1043"/>
        <item m="1" x="3850"/>
        <item m="1" x="3960"/>
        <item m="1" x="4009"/>
        <item m="1" x="3882"/>
        <item m="1" x="3923"/>
        <item m="1" x="3986"/>
        <item m="1" x="972"/>
        <item m="1" x="993"/>
        <item m="1" x="1022"/>
        <item m="1" x="1048"/>
        <item m="1" x="3609"/>
        <item m="1" x="3647"/>
        <item m="1" x="4092"/>
        <item m="1" x="1416"/>
        <item m="1" x="1396"/>
        <item m="1" x="1196"/>
        <item m="1" x="1174"/>
        <item m="1" x="4443"/>
        <item m="1" x="4142"/>
        <item m="1" x="1376"/>
        <item m="1" x="4466"/>
        <item m="1" x="1301"/>
        <item m="1" x="4173"/>
        <item m="1" x="4217"/>
        <item m="1" x="1359"/>
        <item m="1" x="4071"/>
        <item m="1" x="4199"/>
        <item m="1" x="3788"/>
        <item m="1" x="3627"/>
        <item m="1" x="872"/>
        <item m="1" x="589"/>
        <item m="1" x="631"/>
        <item m="1" x="829"/>
        <item m="1" x="983"/>
        <item m="1" x="960"/>
        <item m="1" x="1004"/>
        <item m="1" x="794"/>
        <item m="1" x="664"/>
        <item m="1" x="77"/>
        <item m="1" x="3839"/>
        <item m="1" x="4035"/>
        <item m="1" x="51"/>
        <item m="1" x="2836"/>
        <item m="1" x="2869"/>
        <item m="1" x="2810"/>
        <item m="1" x="5395"/>
        <item m="1" x="5361"/>
        <item m="1" x="2892"/>
        <item m="1" x="3589"/>
        <item m="1" x="3616"/>
        <item m="1" x="3809"/>
        <item m="1" x="3421"/>
        <item m="1" x="3565"/>
        <item m="1" x="3540"/>
        <item m="1" x="3519"/>
        <item m="1" x="3491"/>
        <item m="1" x="3456"/>
        <item m="1" x="3397"/>
        <item m="1" x="157"/>
        <item m="1" x="140"/>
        <item m="1" x="113"/>
        <item m="1" x="99"/>
        <item m="1" x="2727"/>
        <item m="1" x="3375"/>
        <item m="1" x="522"/>
        <item m="1" x="555"/>
        <item m="1" x="689"/>
        <item m="1" x="711"/>
        <item m="1" x="733"/>
        <item m="1" x="755"/>
        <item m="1" x="782"/>
        <item m="1" x="59"/>
        <item m="1" x="5271"/>
        <item m="1" x="2719"/>
        <item m="1" x="2696"/>
        <item m="1" x="2629"/>
        <item m="1" x="5233"/>
        <item m="1" x="5254"/>
        <item m="1" x="2645"/>
        <item m="1" x="2669"/>
        <item m="1" x="5381"/>
        <item m="1" x="5492"/>
        <item m="1" x="5450"/>
        <item m="1" x="2337"/>
        <item m="1" x="2563"/>
        <item m="1" x="2581"/>
        <item m="1" x="5519"/>
        <item m="1" x="2542"/>
        <item m="1" x="2554"/>
        <item m="1" x="5149"/>
        <item m="1" x="5168"/>
        <item m="1" x="2912"/>
        <item m="1" x="174"/>
        <item m="1" x="5403"/>
        <item m="1" x="5429"/>
        <item m="1" x="5416"/>
        <item m="1" x="217"/>
        <item m="1" x="83"/>
        <item m="1" x="126"/>
        <item m="1" x="186"/>
        <item m="1" x="3010"/>
        <item m="1" x="2706"/>
        <item m="1" x="5410"/>
        <item m="1" x="5512"/>
        <item m="1" x="2573"/>
        <item m="1" x="5591"/>
        <item m="1" x="2530"/>
        <item m="1" x="72"/>
        <item m="1" x="3187"/>
        <item m="1" x="3120"/>
        <item m="1" x="3248"/>
        <item m="1" x="3165"/>
        <item m="1" x="3101"/>
        <item m="1" x="1437"/>
        <item m="1" x="5423"/>
        <item m="1" x="3072"/>
        <item m="1" x="121"/>
        <item m="1" x="133"/>
        <item m="1" x="149"/>
        <item m="1" x="232"/>
        <item m="1" x="2946"/>
        <item m="1" x="3043"/>
        <item m="1" x="2860"/>
        <item m="1" x="2927"/>
        <item m="1" x="2984"/>
        <item m="1" x="5575"/>
        <item m="1" x="5556"/>
        <item m="1" x="5158"/>
        <item m="1" x="5211"/>
        <item m="1" x="2383"/>
        <item m="1" x="414"/>
        <item m="1" x="3052"/>
        <item m="1" x="3083"/>
        <item m="1" x="2534"/>
        <item m="1" x="5190"/>
        <item m="1" x="5227"/>
        <item m="1" x="5248"/>
        <item m="1" x="2351"/>
        <item m="1" x="2363"/>
        <item m="1" x="5174"/>
        <item m="1" x="5181"/>
        <item m="1" x="5199"/>
        <item m="1" x="298"/>
        <item m="1" x="344"/>
        <item m="1" x="2472"/>
        <item m="1" x="2503"/>
        <item m="1" x="5607"/>
        <item m="1" x="2430"/>
        <item m="1" x="279"/>
        <item m="1" x="377"/>
        <item m="1" x="446"/>
        <item m="1" x="3141"/>
        <item m="1" x="2394"/>
        <item m="1" x="210"/>
        <item m="1" x="240"/>
        <item m="1" x="7"/>
        <item m="1" x="36"/>
        <item m="1" x="2374"/>
        <item m="1" x="2900"/>
        <item m="1" x="3023"/>
        <item m="1" x="5582"/>
        <item m="1" x="2606"/>
        <item m="1" x="66"/>
        <item m="1" x="2688"/>
        <item m="1" x="2750"/>
        <item m="1" x="2764"/>
        <item m="1" x="2800"/>
        <item m="1" x="2781"/>
        <item m="1" x="2882"/>
        <item m="1" x="3287"/>
        <item m="1" x="3216"/>
        <item m="1" x="107"/>
        <item m="1" x="91"/>
        <item m="1" x="5618"/>
        <item m="1" x="5601"/>
        <item m="1" x="5565"/>
        <item m="1" x="5528"/>
        <item m="1" x="5500"/>
        <item m="1" x="2852"/>
        <item m="1" x="43"/>
        <item m="1" x="5369"/>
        <item m="1" x="5347"/>
        <item m="1" x="2621"/>
        <item m="1" x="2714"/>
        <item m="1" x="2732"/>
        <item m="1" x="5288"/>
        <item m="1" x="5276"/>
        <item m="1" x="4111"/>
        <item m="1" x="2790"/>
        <item m="1" x="1463"/>
        <item m="1" x="2614"/>
        <item m="1" x="2598"/>
        <item m="1" x="3277"/>
        <item m="1" x="307"/>
        <item m="1" x="329"/>
        <item m="1" x="288"/>
        <item m="1" x="3306"/>
        <item m="1" x="270"/>
        <item m="1" x="3331"/>
        <item m="1" x="393"/>
        <item m="1" x="251"/>
        <item m="1" x="226"/>
        <item m="1" x="357"/>
        <item m="1" x="3352"/>
        <item m="1" x="3370"/>
        <item m="1" x="427"/>
        <item m="1" x="3034"/>
        <item m="1" x="3389"/>
        <item m="1" x="3445"/>
        <item m="1" x="197"/>
        <item m="1" x="3482"/>
        <item m="1" x="3411"/>
        <item m="1" x="622"/>
        <item m="1" x="579"/>
        <item m="1" x="3238"/>
        <item m="1" x="659"/>
        <item m="1" x="506"/>
        <item m="1" x="383"/>
        <item m="1" x="2760"/>
        <item m="1" x="2553"/>
        <item m="1" x="4117"/>
        <item m="1" x="4076"/>
        <item m="1" x="4047"/>
        <item m="1" x="4024"/>
        <item m="1" x="3999"/>
        <item m="1" x="3976"/>
        <item m="1" x="3903"/>
        <item m="1" x="3866"/>
        <item m="1" x="2638"/>
        <item m="1" x="2657"/>
        <item m="1" x="5438"/>
        <item m="1" x="5282"/>
        <item m="1" x="5222"/>
        <item m="1" x="5467"/>
        <item m="1" x="5307"/>
        <item m="1" x="5243"/>
        <item m="1" x="1033"/>
        <item m="1" x="2467"/>
        <item m="1" x="5376"/>
        <item m="1" x="2436"/>
        <item m="1" x="2743"/>
        <item m="1" x="3087"/>
        <item m="1" x="158"/>
        <item m="1" x="2877"/>
        <item m="1" x="2937"/>
        <item m="1" x="2902"/>
        <item m="1" x="2956"/>
        <item m="1" x="5584"/>
        <item m="1" x="5502"/>
        <item m="1" x="5567"/>
        <item m="1" x="2708"/>
        <item m="1" x="2792"/>
        <item m="1" x="5603"/>
        <item m="1" x="5620"/>
        <item m="1" x="2775"/>
        <item m="1" x="5439"/>
        <item m="1" x="5451"/>
        <item m="1" x="5424"/>
        <item m="1" x="5411"/>
        <item m="1" x="2631"/>
        <item m="1" x="2671"/>
        <item m="1" x="2647"/>
        <item m="1" x="2616"/>
        <item m="1" x="5396"/>
        <item m="1" x="5382"/>
        <item m="1" x="3059"/>
        <item m="1" x="5474"/>
        <item m="1" x="3025"/>
        <item m="1" x="2871"/>
        <item m="1" x="5339"/>
        <item m="1" x="5362"/>
        <item m="1" x="5548"/>
        <item m="1" x="5530"/>
        <item m="1" x="2996"/>
        <item m="1" x="2838"/>
        <item m="1" x="5468"/>
        <item m="1" x="2520"/>
        <item m="1" x="2544"/>
        <item m="1" x="2697"/>
        <item m="1" x="384"/>
        <item m="1" x="2565"/>
        <item m="1" x="2583"/>
        <item m="1" x="886"/>
        <item m="1" x="3435"/>
        <item m="1" x="3506"/>
        <item m="1" x="3552"/>
        <item m="1" x="3603"/>
        <item m="1" x="3671"/>
        <item m="1" x="3636"/>
        <item m="1" x="3708"/>
        <item m="1" x="3579"/>
        <item m="1" x="3529"/>
        <item m="1" x="3473"/>
        <item m="1" x="841"/>
        <item m="1" x="802"/>
        <item m="1" x="2600"/>
        <item m="1" x="489"/>
        <item m="1" x="473"/>
        <item m="1" x="450"/>
        <item m="1" x="507"/>
        <item m="1" x="420"/>
        <item m="1" x="2812"/>
        <item m="1" x="3292"/>
        <item m="1" x="743"/>
        <item m="1" x="721"/>
        <item m="1" x="378"/>
        <item m="1" x="3127"/>
        <item m="1" x="3148"/>
        <item m="1" x="3175"/>
        <item m="1" x="3198"/>
        <item m="1" x="2450"/>
        <item m="1" x="612"/>
        <item m="1" x="3229"/>
        <item m="1" x="3265"/>
        <item m="1" x="465"/>
        <item m="1" x="438"/>
        <item m="1" x="146"/>
        <item m="1" x="3091"/>
        <item m="1" x="528"/>
        <item m="1" x="601"/>
        <item m="1" x="3217"/>
        <item m="1" x="3188"/>
        <item m="1" x="44"/>
        <item m="1" x="73"/>
        <item m="1" x="415"/>
        <item m="1" x="3102"/>
        <item m="1" x="3166"/>
        <item m="1" x="3084"/>
        <item m="1" x="3018"/>
        <item m="1" x="3142"/>
        <item m="1" x="3053"/>
        <item m="1" x="3121"/>
        <item m="1" x="2751"/>
        <item m="1" x="2733"/>
        <item m="1" x="5609"/>
        <item m="1" x="5593"/>
        <item m="1" x="8"/>
        <item m="1" x="37"/>
        <item m="1" x="22"/>
        <item m="1" x="2710"/>
        <item m="1" x="873"/>
        <item m="1" x="830"/>
        <item m="1" x="907"/>
        <item m="1" x="937"/>
        <item m="1" x="961"/>
        <item m="1" x="984"/>
        <item m="1" x="1005"/>
        <item m="1" x="632"/>
        <item m="1" x="1064"/>
        <item m="1" x="590"/>
        <item m="1" x="1097"/>
        <item m="1" x="3663"/>
        <item m="1" x="3729"/>
        <item m="1" x="3362"/>
        <item m="1" x="260"/>
        <item m="1" x="3318"/>
        <item m="1" x="3378"/>
        <item m="1" x="280"/>
        <item m="1" x="3427"/>
        <item m="1" x="211"/>
        <item m="1" x="345"/>
        <item m="1" x="3249"/>
        <item m="1" x="241"/>
        <item m="1" x="320"/>
        <item m="1" x="175"/>
        <item m="1" x="205"/>
        <item m="1" x="2913"/>
        <item m="1" x="2928"/>
        <item m="1" x="2947"/>
        <item m="1" x="5461"/>
        <item m="1" x="5484"/>
        <item m="1" x="299"/>
        <item m="1" x="5387"/>
        <item m="1" x="3566"/>
        <item m="1" x="3464"/>
        <item m="1" x="181"/>
        <item m="1" x="2822"/>
        <item m="1" x="2985"/>
        <item m="1" x="2829"/>
        <item m="1" x="2861"/>
        <item m="1" x="2890"/>
        <item m="1" x="3617"/>
        <item m="1" x="3011"/>
        <item m="1" x="115"/>
        <item m="1" x="187"/>
        <item m="1" x="5557"/>
        <item m="1" x="84"/>
        <item m="1" x="100"/>
        <item m="1" x="127"/>
        <item m="1" x="141"/>
        <item m="1" x="29"/>
        <item m="1" x="159"/>
        <item m="1" x="3840"/>
        <item m="1" x="3874"/>
        <item m="1" x="3150"/>
        <item m="1" x="3128"/>
        <item m="1" x="3108"/>
        <item m="1" x="3092"/>
        <item m="1" x="150"/>
        <item m="1" x="665"/>
        <item m="1" x="690"/>
        <item m="1" x="712"/>
        <item m="1" x="783"/>
        <item m="1" x="581"/>
        <item m="1" x="624"/>
        <item m="1" x="3208"/>
        <item m="1" x="3240"/>
        <item m="1" x="2977"/>
        <item m="1" x="2846"/>
        <item m="1" x="2957"/>
        <item m="1" x="2938"/>
        <item m="1" x="2878"/>
        <item m="1" x="2920"/>
        <item m="1" x="3027"/>
        <item m="1" x="2998"/>
        <item m="1" x="2903"/>
        <item m="1" x="951"/>
        <item m="1" x="927"/>
        <item m="1" x="974"/>
        <item m="1" x="4077"/>
        <item m="1" x="4025"/>
        <item m="1" x="1024"/>
        <item m="1" x="995"/>
        <item m="1" x="3648"/>
        <item m="1" x="3679"/>
        <item m="1" x="1049"/>
        <item m="1" x="1083"/>
        <item m="1" x="5513"/>
        <item m="1" x="1148"/>
        <item m="1" x="1166"/>
        <item m="1" x="1185"/>
        <item m="1" x="1207"/>
        <item m="1" x="1235"/>
        <item m="1" x="1272"/>
        <item m="1" x="1313"/>
        <item m="1" x="3904"/>
        <item m="1" x="3944"/>
        <item m="1" x="3977"/>
        <item m="1" x="4000"/>
        <item m="1" x="3867"/>
        <item m="1" x="3257"/>
        <item m="1" x="508"/>
        <item m="1" x="530"/>
        <item m="1" x="561"/>
        <item m="1" x="3295"/>
        <item m="1" x="3320"/>
        <item m="1" x="3637"/>
        <item m="1" x="385"/>
        <item m="1" x="490"/>
        <item m="1" x="3044"/>
        <item m="1" x="2965"/>
        <item m="1" x="5539"/>
        <item m="1" x="351"/>
        <item m="1" x="474"/>
        <item m="1" x="1089"/>
        <item m="1" x="3446"/>
        <item m="1" x="3279"/>
        <item m="1" x="3308"/>
        <item m="1" x="1121"/>
        <item m="1" x="227"/>
        <item m="1" x="1303"/>
        <item m="1" x="1378"/>
        <item m="1" x="1398"/>
        <item m="1" x="1361"/>
        <item m="1" x="1336"/>
        <item m="1" x="3379"/>
        <item m="1" x="963"/>
        <item m="1" x="4132"/>
        <item m="1" x="795"/>
        <item m="1" x="874"/>
        <item m="1" x="831"/>
        <item m="1" x="938"/>
        <item m="1" x="908"/>
        <item m="1" x="4094"/>
        <item m="1" x="1034"/>
        <item m="1" x="1065"/>
        <item m="1" x="3628"/>
        <item m="1" x="3664"/>
        <item m="1" x="3790"/>
        <item m="1" x="633"/>
        <item m="1" x="591"/>
        <item m="1" x="108"/>
        <item m="1" x="122"/>
        <item m="1" x="5457"/>
        <item m="1" x="134"/>
        <item m="1" x="339"/>
        <item m="1" x="3657"/>
        <item m="1" x="441"/>
        <item m="1" x="1370"/>
        <item m="1" x="4353"/>
        <item m="1" x="1349"/>
        <item m="1" x="4382"/>
        <item m="1" x="4456"/>
        <item m="1" x="1245"/>
        <item m="1" x="1320"/>
        <item m="1" x="3868"/>
        <item m="1" x="3905"/>
        <item m="1" x="4322"/>
        <item m="1" x="4420"/>
        <item m="1" x="1614"/>
        <item m="1" x="1187"/>
        <item m="1" x="4508"/>
        <item m="1" x="1281"/>
        <item m="1" x="4436"/>
        <item m="1" x="812"/>
        <item m="1" x="1761"/>
        <item m="1" x="1747"/>
        <item m="1" x="4474"/>
        <item m="1" x="4501"/>
        <item m="1" x="784"/>
        <item m="1" x="1488"/>
        <item m="1" x="1057"/>
        <item m="1" x="4088"/>
        <item m="1" x="4286"/>
        <item m="1" x="775"/>
        <item m="1" x="4118"/>
        <item m="1" x="4026"/>
        <item m="1" x="4001"/>
        <item m="1" x="4316"/>
        <item m="1" x="4262"/>
        <item m="1" x="4227"/>
        <item m="1" x="3542"/>
        <item m="1" x="3520"/>
        <item m="1" x="3457"/>
        <item m="1" x="820"/>
        <item m="1" x="4078"/>
        <item m="1" x="3493"/>
        <item m="1" x="4048"/>
        <item m="1" x="3422"/>
        <item m="1" x="3398"/>
        <item m="1" x="3978"/>
        <item m="1" x="3945"/>
        <item m="1" x="4191"/>
        <item m="1" x="4211"/>
        <item m="1" x="3650"/>
        <item m="1" x="893"/>
        <item m="1" x="928"/>
        <item m="1" x="975"/>
        <item m="1" x="3554"/>
        <item m="1" x="1025"/>
        <item m="1" x="952"/>
        <item m="1" x="996"/>
        <item m="1" x="1051"/>
        <item m="1" x="3610"/>
        <item m="1" x="3782"/>
        <item m="1" x="3802"/>
        <item m="1" x="3859"/>
        <item m="1" x="541"/>
        <item m="1" x="573"/>
        <item m="1" x="615"/>
        <item m="1" x="654"/>
        <item m="1" x="679"/>
        <item m="1" x="702"/>
        <item m="1" x="3383"/>
        <item m="1" x="3406"/>
        <item m="1" x="3437"/>
        <item m="1" x="3475"/>
        <item m="1" x="3508"/>
        <item m="1" x="3531"/>
        <item m="1" x="3580"/>
        <item m="1" x="3604"/>
        <item m="1" x="3639"/>
        <item m="1" x="1633"/>
        <item m="1" x="1692"/>
        <item m="1" x="1717"/>
        <item m="1" x="1733"/>
        <item m="1" x="1797"/>
        <item m="1" x="1820"/>
        <item m="1" x="3825"/>
        <item m="1" x="3763"/>
        <item m="1" x="3744"/>
        <item m="1" x="3715"/>
        <item m="1" x="3681"/>
        <item m="1" x="1639"/>
        <item m="1" x="1671"/>
        <item m="1" x="1606"/>
        <item m="1" x="1624"/>
        <item m="1" x="1651"/>
        <item m="1" x="1045"/>
        <item m="1" x="4410"/>
        <item m="1" x="4371"/>
        <item m="1" x="4392"/>
        <item m="1" x="1255"/>
        <item m="1" x="1222"/>
        <item m="1" x="3822"/>
        <item m="1" x="4427"/>
        <item m="1" x="4446"/>
        <item m="1" x="4467"/>
        <item m="1" x="4491"/>
        <item m="1" x="1231"/>
        <item m="1" x="1304"/>
        <item m="1" x="1337"/>
        <item m="1" x="1380"/>
        <item m="1" x="1400"/>
        <item m="1" x="1019"/>
        <item m="1" x="1073"/>
        <item m="1" x="1106"/>
        <item m="1" x="1176"/>
        <item m="1" x="4012"/>
        <item m="1" x="4038"/>
        <item m="1" x="4059"/>
        <item m="1" x="1418"/>
        <item m="1" x="1439"/>
        <item m="1" x="1466"/>
        <item m="1" x="4074"/>
        <item m="1" x="4113"/>
        <item m="1" x="4145"/>
        <item m="1" x="4175"/>
        <item m="1" x="4201"/>
        <item m="1" x="4219"/>
        <item m="1" x="4237"/>
        <item m="1" x="4253"/>
        <item m="1" x="4271"/>
        <item m="1" x="4298"/>
        <item m="1" x="964"/>
        <item m="1" x="911"/>
        <item m="1" x="876"/>
        <item m="1" x="1139"/>
        <item m="1" x="3884"/>
        <item m="1" x="3926"/>
        <item m="1" x="3963"/>
        <item m="1" x="3852"/>
        <item m="1" x="1894"/>
        <item m="1" x="4732"/>
        <item m="1" x="4759"/>
        <item m="1" x="1622"/>
        <item m="1" x="1646"/>
        <item m="1" x="1905"/>
        <item m="1" x="1869"/>
        <item m="1" x="4637"/>
        <item m="1" x="1678"/>
        <item m="1" x="1706"/>
        <item m="1" x="4659"/>
        <item m="1" x="1878"/>
        <item m="1" x="1728"/>
        <item m="1" x="1741"/>
        <item m="1" x="1885"/>
        <item m="1" x="4678"/>
        <item m="1" x="1788"/>
        <item m="1" x="1812"/>
        <item m="1" x="1771"/>
        <item m="1" x="1756"/>
        <item m="1" x="3925"/>
        <item m="1" x="3987"/>
        <item m="1" x="3843"/>
        <item m="1" x="4464"/>
        <item m="1" x="3700"/>
        <item m="1" x="4485"/>
        <item m="1" x="3733"/>
        <item m="1" x="1254"/>
        <item m="1" x="3962"/>
        <item m="1" x="5262"/>
        <item m="1" x="4268"/>
        <item m="1" x="1091"/>
        <item m="1" x="1123"/>
        <item m="1" x="4294"/>
        <item m="1" x="1008"/>
        <item m="1" x="1035"/>
        <item m="1" x="4324"/>
        <item m="1" x="4540"/>
        <item m="1" x="1585"/>
        <item m="1" x="1434"/>
        <item m="1" x="1527"/>
        <item m="1" x="1459"/>
        <item m="1" x="4653"/>
        <item m="1" x="1494"/>
        <item m="1" x="4630"/>
        <item m="1" x="1616"/>
        <item m="1" x="4355"/>
        <item m="1" x="1553"/>
        <item m="1" x="1570"/>
        <item m="1" x="1599"/>
        <item m="1" x="1640"/>
        <item m="1" x="4401"/>
        <item m="1" x="1389"/>
        <item m="1" x="4421"/>
        <item m="1" x="4438"/>
        <item m="1" x="1247"/>
        <item m="1" x="1217"/>
        <item m="1" x="1350"/>
        <item m="1" x="1371"/>
        <item m="1" x="1321"/>
        <item m="1" x="1283"/>
        <item m="1" x="4478"/>
        <item m="1" x="1411"/>
        <item m="1" x="1430"/>
        <item m="1" x="1362"/>
        <item m="1" x="3665"/>
        <item m="1" x="940"/>
        <item m="1" x="861"/>
        <item m="1" x="3630"/>
        <item m="1" x="3598"/>
        <item m="1" x="1168"/>
        <item m="1" x="4056"/>
        <item m="1" x="4161"/>
        <item m="1" x="4212"/>
        <item m="1" x="4228"/>
        <item m="1" x="4192"/>
        <item m="1" x="4128"/>
        <item m="1" x="4089"/>
        <item m="1" x="571"/>
        <item m="1" x="3858"/>
        <item m="1" x="3896"/>
        <item m="1" x="677"/>
        <item m="1" x="700"/>
        <item m="1" x="422"/>
        <item m="1" x="452"/>
        <item m="1" x="3699"/>
        <item m="1" x="3752"/>
        <item m="1" x="3770"/>
        <item m="1" x="407"/>
        <item m="1" x="724"/>
        <item m="1" x="746"/>
        <item m="1" x="768"/>
        <item m="1" x="803"/>
        <item m="1" x="613"/>
        <item m="1" x="3731"/>
        <item m="1" x="1199"/>
        <item m="1" x="1155"/>
        <item m="1" x="4287"/>
        <item m="1" x="510"/>
        <item m="1" x="532"/>
        <item m="1" x="604"/>
        <item m="1" x="644"/>
        <item m="1" x="4580"/>
        <item m="1" x="4598"/>
        <item m="1" x="4614"/>
        <item m="1" x="282"/>
        <item m="1" x="262"/>
        <item m="1" x="213"/>
        <item m="1" x="3501"/>
        <item m="1" x="243"/>
        <item m="1" x="3466"/>
        <item m="1" x="3429"/>
        <item m="1" x="3401"/>
        <item m="1" x="301"/>
        <item m="1" x="3189"/>
        <item m="1" x="3143"/>
        <item m="1" x="3250"/>
        <item m="1" x="3168"/>
        <item m="1" x="3218"/>
        <item m="1" x="322"/>
        <item m="1" x="3288"/>
        <item m="1" x="206"/>
        <item m="1" x="2862"/>
        <item m="1" x="233"/>
        <item m="1" x="176"/>
        <item m="1" x="2801"/>
        <item m="1" x="2765"/>
        <item m="1" x="2782"/>
        <item m="1" x="1031"/>
        <item m="1" x="3980"/>
        <item m="1" x="4004"/>
        <item m="1" x="1060"/>
        <item m="1" x="1210"/>
        <item m="1" x="1188"/>
        <item m="1" x="4029"/>
        <item m="1" x="2823"/>
        <item m="1" x="2884"/>
        <item m="1" x="3280"/>
        <item m="1" x="666"/>
        <item m="1" x="85"/>
        <item m="1" x="61"/>
        <item m="1" x="30"/>
        <item m="1" x="3266"/>
        <item m="1" x="101"/>
        <item m="1" x="2847"/>
        <item m="1" x="2999"/>
        <item m="1" x="5532"/>
        <item m="1" x="2879"/>
        <item m="1" x="218"/>
        <item m="1" x="188"/>
        <item m="1" x="160"/>
        <item m="1" x="5550"/>
        <item m="1" x="2921"/>
        <item m="1" x="53"/>
        <item m="1" x="2762"/>
        <item m="1" x="2777"/>
        <item m="1" x="2794"/>
        <item m="1" x="2746"/>
        <item m="1" x="2904"/>
        <item m="1" x="2939"/>
        <item m="1" x="2958"/>
        <item m="1" x="2978"/>
        <item m="1" x="3028"/>
        <item m="1" x="3060"/>
        <item m="1" x="5477"/>
        <item m="1" x="5504"/>
        <item m="1" x="5569"/>
        <item m="1" x="5586"/>
        <item m="1" x="5605"/>
        <item m="1" x="5622"/>
        <item m="1" x="23"/>
        <item m="1" x="2678"/>
        <item m="1" x="2709"/>
        <item m="1" x="2729"/>
        <item m="1" x="895"/>
        <item m="1" x="2814"/>
        <item m="1" x="2840"/>
        <item m="1" x="2872"/>
        <item m="1" x="853"/>
        <item m="1" x="725"/>
        <item m="1" x="680"/>
        <item m="1" x="655"/>
        <item m="1" x="616"/>
        <item m="1" x="3938"/>
        <item m="1" x="3897"/>
        <item m="1" x="703"/>
        <item m="1" x="3861"/>
        <item m="1" x="289"/>
        <item m="1" x="3683"/>
        <item m="1" x="3717"/>
        <item m="1" x="3745"/>
        <item m="1" x="3764"/>
        <item m="1" x="3783"/>
        <item m="1" x="3804"/>
        <item m="1" x="3827"/>
        <item m="1" x="997"/>
        <item m="1" x="976"/>
        <item m="1" x="953"/>
        <item m="1" x="929"/>
        <item m="1" x="1115"/>
        <item m="1" x="1085"/>
        <item m="1" x="332"/>
        <item m="1" x="360"/>
        <item m="1" x="116"/>
        <item m="1" x="128"/>
        <item m="1" x="142"/>
        <item m="1" x="396"/>
        <item m="1" x="310"/>
        <item m="1" x="747"/>
        <item m="1" x="769"/>
        <item m="1" x="3533"/>
        <item m="1" x="5459"/>
        <item m="1" x="5443"/>
        <item m="1" x="5431"/>
        <item m="1" x="5480"/>
        <item m="1" x="3260"/>
        <item m="1" x="645"/>
        <item m="1" x="3232"/>
        <item m="1" x="3200"/>
        <item m="1" x="3177"/>
        <item m="1" x="3190"/>
        <item m="1" x="563"/>
        <item m="1" x="533"/>
        <item m="1" x="605"/>
        <item m="1" x="347"/>
        <item m="1" x="302"/>
        <item m="1" x="283"/>
        <item m="1" x="263"/>
        <item m="1" x="1237"/>
        <item m="1" x="3806"/>
        <item m="1" x="3834"/>
        <item m="1" x="3869"/>
        <item m="1" x="3908"/>
        <item m="1" x="3145"/>
        <item m="1" x="109"/>
        <item m="1" x="123"/>
        <item m="1" x="136"/>
        <item m="1" x="4098"/>
        <item m="1" x="4166"/>
        <item m="1" x="4133"/>
        <item m="1" x="3067"/>
        <item m="1" x="3036"/>
        <item m="1" x="3093"/>
        <item m="1" x="3110"/>
        <item m="1" x="3129"/>
        <item m="1" x="3152"/>
        <item m="1" x="428"/>
        <item m="1" x="1156"/>
        <item m="1" x="4013"/>
        <item m="1" x="3556"/>
        <item m="1" x="3734"/>
        <item m="1" x="3701"/>
        <item m="1" x="3964"/>
        <item m="1" x="1075"/>
        <item m="1" x="2864"/>
        <item m="1" x="3988"/>
        <item m="1" x="2915"/>
        <item m="1" x="2950"/>
        <item m="1" x="1107"/>
        <item m="1" x="2968"/>
        <item m="1" x="2931"/>
        <item m="1" x="3927"/>
        <item m="1" x="3885"/>
        <item m="1" x="1329"/>
        <item m="1" x="1256"/>
        <item m="1" x="1292"/>
        <item m="1" x="833"/>
        <item m="1" x="912"/>
        <item m="1" x="877"/>
        <item m="1" x="941"/>
        <item m="1" x="3430"/>
        <item m="1" x="3812"/>
        <item m="1" x="3844"/>
        <item m="1" x="3876"/>
        <item m="1" x="3794"/>
        <item m="1" x="822"/>
        <item m="1" x="786"/>
        <item m="1" x="3570"/>
        <item m="1" x="863"/>
        <item m="1" x="3423"/>
        <item m="1" x="3459"/>
        <item m="1" x="3592"/>
        <item m="1" x="3620"/>
        <item m="1" x="3543"/>
        <item m="1" x="3522"/>
        <item m="1" x="3495"/>
        <item m="1" x="583"/>
        <item m="1" x="500"/>
        <item m="1" x="484"/>
        <item m="1" x="468"/>
        <item m="1" x="518"/>
        <item m="1" x="549"/>
        <item m="1" x="3477"/>
        <item m="1" x="3467"/>
        <item m="1" x="183"/>
        <item m="1" x="3178"/>
        <item m="1" x="200"/>
        <item m="1" x="168"/>
        <item m="1" x="3354"/>
        <item m="1" x="3334"/>
        <item m="1" x="3372"/>
        <item m="1" x="1285"/>
        <item m="1" x="3448"/>
        <item m="1" x="3391"/>
        <item m="1" x="3414"/>
        <item m="1" x="311"/>
        <item m="1" x="3069"/>
        <item m="1" x="3095"/>
        <item m="1" x="3154"/>
        <item m="1" x="3282"/>
        <item m="1" x="3311"/>
        <item m="1" x="254"/>
        <item m="1" x="229"/>
        <item m="1" x="362"/>
        <item m="1" x="398"/>
        <item m="1" x="291"/>
        <item m="1" x="3131"/>
        <item m="1" x="273"/>
        <item m="1" x="3112"/>
        <item m="1" x="3233"/>
        <item m="1" x="3242"/>
        <item m="1" x="3038"/>
        <item m="1" x="3005"/>
        <item m="1" x="3202"/>
        <item m="1" x="334"/>
        <item m="1" x="3828"/>
        <item m="1" x="3898"/>
        <item m="1" x="3439"/>
        <item m="1" x="726"/>
        <item m="1" x="704"/>
        <item m="1" x="681"/>
        <item m="1" x="564"/>
        <item m="1" x="535"/>
        <item m="1" x="3196"/>
        <item m="1" x="511"/>
        <item m="1" x="492"/>
        <item m="1" x="3558"/>
        <item m="1" x="3224"/>
        <item m="1" x="3297"/>
        <item m="1" x="3324"/>
        <item m="1" x="3346"/>
        <item m="1" x="3261"/>
        <item m="1" x="606"/>
        <item m="1" x="1514"/>
        <item m="1" x="3606"/>
        <item m="1" x="3431"/>
        <item m="1" x="656"/>
        <item m="1" x="3641"/>
        <item m="1" x="424"/>
        <item m="1" x="456"/>
        <item m="1" x="3673"/>
        <item m="1" x="353"/>
        <item m="1" x="1480"/>
        <item m="1" x="3381"/>
        <item m="1" x="387"/>
        <item m="1" x="3402"/>
        <item m="1" x="3582"/>
        <item m="1" x="748"/>
        <item m="1" x="770"/>
        <item m="1" x="805"/>
        <item m="1" x="3535"/>
        <item m="1" x="3511"/>
        <item m="1" x="3478"/>
        <item m="1" x="4522"/>
        <item m="1" x="1267"/>
        <item m="1" x="4204"/>
        <item m="1" x="1502"/>
        <item m="1" x="4115"/>
        <item m="1" x="4178"/>
        <item m="1" x="4255"/>
        <item m="1" x="4273"/>
        <item m="1" x="244"/>
        <item m="1" x="214"/>
        <item m="1" x="1036"/>
        <item m="1" x="3631"/>
        <item m="1" x="835"/>
        <item m="1" x="914"/>
        <item m="1" x="1224"/>
        <item m="1" x="1201"/>
        <item m="1" x="1109"/>
        <item m="1" x="1077"/>
        <item m="1" x="4239"/>
        <item m="1" x="4222"/>
        <item m="1" x="1178"/>
        <item m="1" x="1157"/>
        <item m="1" x="1141"/>
        <item m="1" x="4333"/>
        <item m="1" x="4301"/>
        <item m="1" x="4135"/>
        <item m="1" x="797"/>
        <item m="1" x="879"/>
        <item m="1" x="943"/>
        <item m="1" x="966"/>
        <item m="1" x="1009"/>
        <item m="1" x="3795"/>
        <item m="1" x="3774"/>
        <item m="1" x="1625"/>
        <item m="1" x="1652"/>
        <item m="1" x="1684"/>
        <item m="1" x="4411"/>
        <item m="1" x="4393"/>
        <item m="1" x="4372"/>
        <item m="1" x="4341"/>
        <item m="1" x="4309"/>
        <item m="1" x="1306"/>
        <item m="1" x="1339"/>
        <item m="1" x="1364"/>
        <item m="1" x="1382"/>
        <item m="1" x="1402"/>
        <item m="1" x="4040"/>
        <item m="1" x="4062"/>
        <item m="1" x="4100"/>
        <item m="1" x="4299"/>
        <item m="1" x="1020"/>
        <item m="1" x="1074"/>
        <item m="1" x="1046"/>
        <item m="1" x="3853"/>
        <item m="1" x="3887"/>
        <item m="1" x="1293"/>
        <item m="1" x="1258"/>
        <item m="1" x="3929"/>
        <item m="1" x="626"/>
        <item m="1" x="1772"/>
        <item m="1" x="1757"/>
        <item m="1" x="1742"/>
        <item m="1" x="4148"/>
        <item m="1" x="3813"/>
        <item m="1" x="987"/>
        <item m="1" x="1789"/>
        <item m="1" x="4486"/>
        <item m="1" x="1618"/>
        <item m="1" x="1642"/>
        <item m="1" x="1674"/>
        <item m="1" x="1495"/>
        <item m="1" x="1554"/>
        <item m="1" x="4631"/>
        <item m="1" x="1586"/>
        <item m="1" x="757"/>
        <item m="1" x="1835"/>
        <item m="1" x="1528"/>
        <item m="1" x="692"/>
        <item m="1" x="4615"/>
        <item m="1" x="735"/>
        <item m="1" x="3916"/>
        <item m="1" x="668"/>
        <item m="1" x="635"/>
        <item m="1" x="593"/>
        <item m="1" x="4130"/>
        <item m="1" x="4193"/>
        <item m="1" x="1149"/>
        <item m="1" x="1211"/>
        <item m="1" x="3691"/>
        <item m="1" x="1093"/>
        <item m="1" x="1169"/>
        <item m="1" x="4229"/>
        <item m="1" x="1189"/>
        <item m="1" x="4737"/>
        <item m="1" x="4727"/>
        <item m="1" x="4749"/>
        <item m="1" x="4768"/>
        <item m="1" x="1125"/>
        <item m="1" x="4081"/>
        <item m="1" x="4121"/>
        <item m="1" x="777"/>
        <item m="1" x="1829"/>
        <item m="1" x="1848"/>
        <item m="1" x="1913"/>
        <item m="1" x="4671"/>
        <item m="1" x="4649"/>
        <item m="1" x="3685"/>
        <item m="1" x="855"/>
        <item m="1" x="897"/>
        <item m="1" x="930"/>
        <item m="1" x="954"/>
        <item m="1" x="977"/>
        <item m="1" x="1026"/>
        <item m="1" x="998"/>
        <item m="1" x="1052"/>
        <item m="1" x="3612"/>
        <item m="1" x="1798"/>
        <item m="1" x="1778"/>
        <item m="1" x="1764"/>
        <item m="1" x="1635"/>
        <item m="1" x="1352"/>
        <item m="1" x="1323"/>
        <item m="1" x="4439"/>
        <item m="1" x="4459"/>
        <item m="1" x="4480"/>
        <item m="1" x="4511"/>
        <item m="1" x="1249"/>
        <item m="1" x="1287"/>
        <item m="1" x="4052"/>
        <item m="1" x="4412"/>
        <item m="1" x="4302"/>
        <item m="1" x="4274"/>
        <item m="1" x="4256"/>
        <item m="1" x="4240"/>
        <item m="1" x="4205"/>
        <item m="1" x="4179"/>
        <item m="1" x="1441"/>
        <item m="1" x="4607"/>
        <item m="1" x="1516"/>
        <item m="1" x="1481"/>
        <item m="1" x="4572"/>
        <item m="1" x="4532"/>
        <item m="1" x="4555"/>
        <item m="1" x="4342"/>
        <item m="1" x="4622"/>
        <item m="1" x="4502"/>
        <item m="1" x="1607"/>
        <item m="1" x="4311"/>
        <item m="1" x="1665"/>
        <item m="1" x="1695"/>
        <item m="1" x="1720"/>
        <item m="1" x="1561"/>
        <item m="1" x="4588"/>
        <item m="1" x="4264"/>
        <item m="1" x="1274"/>
        <item m="1" x="4386"/>
        <item m="1" x="4403"/>
        <item m="1" x="4326"/>
        <item m="1" x="4422"/>
        <item m="1" x="4358"/>
        <item m="1" x="1420"/>
        <item m="1" x="1047"/>
        <item m="1" x="1021"/>
        <item m="1" x="4016"/>
        <item m="1" x="1403"/>
        <item m="1" x="1910"/>
        <item m="1" x="4102"/>
        <item m="1" x="4373"/>
        <item m="1" x="1907"/>
        <item m="1" x="1897"/>
        <item m="1" x="1855"/>
        <item m="1" x="4640"/>
        <item m="1" x="4661"/>
        <item m="1" x="4700"/>
        <item m="1" x="1806"/>
        <item m="1" x="3862"/>
        <item m="1" x="3829"/>
        <item m="1" x="3765"/>
        <item m="1" x="2000"/>
        <item m="1" x="4764"/>
        <item m="1" x="4777"/>
        <item m="1" x="1817"/>
        <item m="1" x="1839"/>
        <item m="1" x="1392"/>
        <item m="1" x="4516"/>
        <item m="1" x="4057"/>
        <item m="1" x="1461"/>
        <item m="1" x="1497"/>
        <item m="1" x="4542"/>
        <item m="1" x="4091"/>
        <item m="1" x="4565"/>
        <item m="1" x="1555"/>
        <item m="1" x="1530"/>
        <item m="1" x="4582"/>
        <item m="1" x="1435"/>
        <item m="1" x="4655"/>
        <item m="1" x="1454"/>
        <item m="1" x="1601"/>
        <item m="1" x="4600"/>
        <item m="1" x="4213"/>
        <item m="1" x="4194"/>
        <item m="1" x="1958"/>
        <item m="1" x="1950"/>
        <item m="1" x="1807"/>
        <item m="1" x="1784"/>
        <item m="1" x="4832"/>
        <item m="1" x="4818"/>
        <item m="1" x="4756"/>
        <item m="1" x="4841"/>
        <item m="1" x="2046"/>
        <item m="1" x="3967"/>
        <item m="1" x="3931"/>
        <item m="1" x="3718"/>
        <item m="1" x="3888"/>
        <item m="1" x="3854"/>
        <item m="1" x="3652"/>
        <item m="1" x="1849"/>
        <item m="1" x="4802"/>
        <item m="1" x="1722"/>
        <item m="1" x="1736"/>
        <item m="1" x="4783"/>
        <item m="1" x="4793"/>
        <item m="1" x="1917"/>
        <item m="1" x="1932"/>
        <item m="1" x="1989"/>
        <item m="1" x="4814"/>
        <item m="1" x="4821"/>
        <item m="1" x="4828"/>
        <item m="1" x="4797"/>
        <item m="1" x="4787"/>
        <item m="1" x="4836"/>
        <item m="1" x="1795"/>
        <item m="1" x="4848"/>
        <item m="1" x="4223"/>
        <item m="1" x="1142"/>
        <item m="1" x="1158"/>
        <item m="1" x="1179"/>
        <item m="1" x="4488"/>
        <item m="1" x="3524"/>
        <item m="1" x="737"/>
        <item m="1" x="3918"/>
        <item m="1" x="3954"/>
        <item m="1" x="637"/>
        <item m="1" x="3545"/>
        <item m="1" x="3878"/>
        <item m="1" x="3846"/>
        <item m="1" x="3703"/>
        <item m="1" x="3736"/>
        <item m="1" x="3776"/>
        <item m="1" x="3756"/>
        <item m="1" x="3797"/>
        <item m="1" x="3815"/>
        <item m="1" x="501"/>
        <item m="1" x="486"/>
        <item m="1" x="585"/>
        <item m="1" x="628"/>
        <item m="1" x="520"/>
        <item m="1" x="551"/>
        <item m="1" x="1862"/>
        <item m="1" x="3461"/>
        <item m="1" x="1901"/>
        <item m="1" x="1914"/>
        <item m="1" x="4627"/>
        <item m="1" x="4650"/>
        <item m="1" x="4709"/>
        <item m="1" x="670"/>
        <item m="1" x="4693"/>
        <item m="1" x="4672"/>
        <item m="1" x="694"/>
        <item m="1" x="4719"/>
        <item m="1" x="4728"/>
        <item m="1" x="4739"/>
        <item m="1" x="4769"/>
        <item m="1" x="1613"/>
        <item m="1" x="759"/>
        <item m="1" x="788"/>
        <item m="1" x="824"/>
        <item m="1" x="865"/>
        <item m="1" x="902"/>
        <item m="1" x="3496"/>
        <item m="1" x="715"/>
        <item m="1" x="1891"/>
        <item m="1" x="1881"/>
        <item m="1" x="1873"/>
        <item m="1" x="661"/>
        <item m="1" x="4751"/>
        <item m="1" x="3373"/>
        <item m="1" x="3244"/>
        <item m="1" x="3336"/>
        <item m="1" x="3356"/>
        <item m="1" x="4623"/>
        <item m="1" x="3392"/>
        <item m="1" x="3284"/>
        <item m="1" x="443"/>
        <item m="1" x="469"/>
        <item m="1" x="363"/>
        <item m="1" x="274"/>
        <item m="1" x="312"/>
        <item m="1" x="255"/>
        <item m="1" x="292"/>
        <item m="1" x="335"/>
        <item m="1" x="3484"/>
        <item m="1" x="230"/>
        <item m="1" x="3450"/>
        <item m="1" x="201"/>
        <item m="1" x="3572"/>
        <item m="1" x="3594"/>
        <item m="1" x="3693"/>
        <item m="1" x="430"/>
        <item m="1" x="3070"/>
        <item m="1" x="3113"/>
        <item m="1" x="3132"/>
        <item m="1" x="3039"/>
        <item m="1" x="399"/>
        <item m="1" x="162"/>
        <item m="1" x="144"/>
        <item m="1" x="130"/>
        <item m="1" x="190"/>
        <item m="1" x="4609"/>
        <item m="1" x="968"/>
        <item m="1" x="916"/>
        <item m="1" x="1038"/>
        <item m="1" x="881"/>
        <item m="1" x="1011"/>
        <item m="1" x="945"/>
        <item m="1" x="2941"/>
        <item m="1" x="2906"/>
        <item m="1" x="2959"/>
        <item m="1" x="3000"/>
        <item m="1" x="1053"/>
        <item m="1" x="3719"/>
        <item m="1" x="3746"/>
        <item m="1" x="409"/>
        <item m="1" x="3029"/>
        <item m="1" x="3416"/>
        <item m="1" x="888"/>
        <item m="1" x="536"/>
        <item m="1" x="493"/>
        <item m="1" x="3440"/>
        <item m="1" x="771"/>
        <item m="1" x="3709"/>
        <item m="1" x="3607"/>
        <item m="1" x="3225"/>
        <item m="1" x="3536"/>
        <item m="1" x="3262"/>
        <item m="1" x="457"/>
        <item m="1" x="844"/>
        <item m="1" x="3479"/>
        <item m="1" x="806"/>
        <item m="1" x="425"/>
        <item m="1" x="749"/>
        <item m="1" x="682"/>
        <item m="1" x="388"/>
        <item m="1" x="512"/>
        <item m="1" x="705"/>
        <item m="1" x="727"/>
        <item m="1" x="476"/>
        <item m="1" x="3899"/>
        <item m="1" x="3643"/>
        <item m="1" x="3583"/>
        <item m="1" x="607"/>
        <item m="1" x="565"/>
        <item m="1" x="3513"/>
        <item m="1" x="4005"/>
        <item m="1" x="856"/>
        <item m="1" x="1212"/>
        <item m="1" x="1170"/>
        <item m="1" x="1190"/>
        <item m="1" x="4155"/>
        <item m="1" x="3939"/>
        <item m="1" x="3863"/>
        <item m="1" x="617"/>
        <item m="1" x="3560"/>
        <item m="1" x="3912"/>
        <item m="1" x="1239"/>
        <item m="1" x="646"/>
        <item m="1" x="4031"/>
        <item m="1" x="1276"/>
        <item m="1" x="4184"/>
        <item m="1" x="4082"/>
        <item m="1" x="1126"/>
        <item m="1" x="3950"/>
        <item m="1" x="3062"/>
        <item m="1" x="1345"/>
        <item m="1" x="1027"/>
        <item m="1" x="978"/>
        <item m="1" x="999"/>
        <item m="1" x="3622"/>
        <item m="1" x="3086"/>
        <item m="1" x="1307"/>
        <item m="1" x="3784"/>
        <item m="1" x="3970"/>
        <item m="1" x="4019"/>
        <item m="1" x="3993"/>
        <item m="1" x="3934"/>
        <item m="1" x="1203"/>
        <item m="1" x="1227"/>
        <item m="1" x="1296"/>
        <item m="1" x="4206"/>
        <item m="1" x="1160"/>
        <item m="1" x="1143"/>
        <item m="1" x="1111"/>
        <item m="1" x="1503"/>
        <item m="1" x="1442"/>
        <item m="1" x="1534"/>
        <item m="1" x="4149"/>
        <item m="1" x="4043"/>
        <item m="1" x="1469"/>
        <item m="1" x="1421"/>
        <item m="1" x="1404"/>
        <item m="1" x="4241"/>
        <item m="1" x="4257"/>
        <item m="1" x="4275"/>
        <item m="1" x="4303"/>
        <item m="1" x="4362"/>
        <item m="1" x="1079"/>
        <item m="1" x="4065"/>
        <item m="1" x="4169"/>
        <item m="1" x="837"/>
        <item m="1" x="4138"/>
        <item m="1" x="883"/>
        <item m="1" x="1068"/>
        <item m="1" x="1099"/>
        <item m="1" x="947"/>
        <item m="1" x="1014"/>
        <item m="1" x="1040"/>
        <item m="1" x="4105"/>
        <item m="1" x="4334"/>
        <item m="1" x="4180"/>
        <item m="1" x="1331"/>
        <item m="1" x="3889"/>
        <item m="1" x="1181"/>
        <item m="1" x="1261"/>
        <item m="1" x="695"/>
        <item m="1" x="716"/>
        <item m="1" x="739"/>
        <item m="1" x="3778"/>
        <item m="1" x="502"/>
        <item m="1" x="521"/>
        <item m="1" x="867"/>
        <item m="1" x="3983"/>
        <item m="1" x="3596"/>
        <item m="1" x="3498"/>
        <item m="1" x="1315"/>
        <item m="1" x="4122"/>
        <item m="1" x="3660"/>
        <item m="1" x="3695"/>
        <item m="1" x="3211"/>
        <item m="1" x="586"/>
        <item m="1" x="552"/>
        <item m="1" x="1094"/>
        <item m="1" x="1456"/>
        <item m="1" x="1524"/>
        <item m="1" x="4214"/>
        <item m="1" x="4248"/>
        <item m="1" x="1414"/>
        <item m="1" x="1375"/>
        <item m="1" x="1326"/>
        <item m="1" x="3357"/>
        <item m="1" x="3338"/>
        <item m="1" x="3286"/>
        <item m="1" x="3314"/>
        <item m="1" x="1491"/>
        <item m="1" x="4404"/>
        <item m="1" x="4537"/>
        <item m="1" x="1355"/>
        <item m="1" x="4131"/>
        <item m="1" x="4441"/>
        <item m="1" x="1701"/>
        <item m="1" x="4359"/>
        <item m="1" x="1675"/>
        <item m="1" x="1433"/>
        <item m="1" x="1061"/>
        <item m="1" x="4348"/>
        <item m="1" x="1288"/>
        <item m="1" x="1394"/>
        <item m="1" x="4318"/>
        <item m="1" x="3374"/>
        <item m="1" x="4195"/>
        <item m="1" x="4231"/>
        <item m="1" x="4266"/>
        <item m="1" x="4289"/>
        <item m="1" x="1589"/>
        <item m="1" x="1620"/>
        <item m="1" x="4329"/>
        <item m="1" x="4387"/>
        <item m="1" x="4424"/>
        <item m="1" x="4462"/>
        <item m="1" x="3451"/>
        <item m="1" x="1499"/>
        <item m="1" x="1573"/>
        <item m="1" x="1095"/>
        <item m="1" x="3393"/>
        <item m="1" x="3203"/>
        <item m="1" x="3686"/>
        <item m="1" x="1086"/>
        <item m="1" x="1116"/>
        <item m="1" x="103"/>
        <item m="1" x="63"/>
        <item m="1" x="3268"/>
        <item m="1" x="3179"/>
        <item m="1" x="3155"/>
        <item m="1" x="32"/>
        <item m="1" x="87"/>
        <item m="1" x="1214"/>
        <item m="1" x="1241"/>
        <item m="1" x="1277"/>
        <item m="1" x="1171"/>
        <item m="1" x="1191"/>
        <item m="1" x="1127"/>
        <item m="1" x="1150"/>
        <item m="1" x="857"/>
        <item m="1" x="898"/>
        <item m="1" x="3720"/>
        <item m="1" x="3747"/>
        <item m="1" x="4157"/>
        <item m="1" x="4123"/>
        <item m="1" x="815"/>
        <item m="1" x="4083"/>
        <item m="1" x="684"/>
        <item m="1" x="1087"/>
        <item m="1" x="1644"/>
        <item m="1" x="931"/>
        <item m="1" x="979"/>
        <item m="1" x="1000"/>
        <item m="1" x="955"/>
        <item m="1" x="1028"/>
        <item m="1" x="1054"/>
        <item m="1" x="4505"/>
        <item m="1" x="4534"/>
        <item m="1" x="4557"/>
        <item m="1" x="4575"/>
        <item m="1" x="4591"/>
        <item m="1" x="4611"/>
        <item m="1" x="445"/>
        <item m="1" x="411"/>
        <item m="1" x="372"/>
        <item m="1" x="3624"/>
        <item m="1" x="3574"/>
        <item m="1" x="3442"/>
        <item m="1" x="3245"/>
        <item m="1" x="3785"/>
        <item m="1" x="3805"/>
        <item m="1" x="3830"/>
        <item m="1" x="3462"/>
        <item m="1" x="3407"/>
        <item m="1" x="3865"/>
        <item m="1" x="3766"/>
        <item m="1" x="3901"/>
        <item m="1" x="574"/>
        <item m="1" x="619"/>
        <item m="1" x="658"/>
        <item m="1" x="3481"/>
        <item m="1" x="3515"/>
        <item m="1" x="3562"/>
        <item m="1" x="3585"/>
        <item m="1" x="3537"/>
        <item m="1" x="3608"/>
        <item m="1" x="3645"/>
        <item m="1" x="3676"/>
        <item m="1" x="1668"/>
        <item m="1" x="1724"/>
        <item m="1" x="1698"/>
        <item m="1" x="790"/>
        <item m="1" x="3758"/>
        <item m="1" x="826"/>
        <item m="1" x="970"/>
        <item m="1" x="990"/>
        <item m="1" x="3667"/>
        <item m="1" x="3705"/>
        <item m="1" x="3737"/>
        <item m="1" x="918"/>
        <item m="1" x="1780"/>
        <item m="1" x="1800"/>
        <item m="1" x="1822"/>
        <item m="1" x="1842"/>
        <item m="1" x="1629"/>
        <item m="1" x="1655"/>
        <item m="1" x="1686"/>
        <item m="1" x="4313"/>
        <item m="1" x="773"/>
        <item m="1" x="808"/>
        <item m="1" x="846"/>
        <item m="1" x="1564"/>
        <item m="1" x="1580"/>
        <item m="1" x="1595"/>
        <item m="1" x="1610"/>
        <item m="1" x="729"/>
        <item m="1" x="4415"/>
        <item m="1" x="4430"/>
        <item m="1" x="4450"/>
        <item m="1" x="1309"/>
        <item m="1" x="1340"/>
        <item m="1" x="1365"/>
        <item m="1" x="4395"/>
        <item m="1" x="4376"/>
        <item m="1" x="4495"/>
        <item m="1" x="4524"/>
        <item m="1" x="1269"/>
        <item m="1" x="4344"/>
        <item m="1" x="4471"/>
        <item m="1" x="1384"/>
        <item m="1" x="707"/>
        <item m="1" x="1766"/>
        <item m="1" x="1519"/>
        <item m="1" x="4665"/>
        <item m="1" x="4625"/>
        <item m="1" x="4686"/>
        <item m="1" x="4645"/>
        <item m="1" x="1546"/>
        <item m="1" x="1482"/>
        <item m="1" x="3848"/>
        <item m="1" x="3880"/>
        <item m="1" x="3799"/>
        <item m="1" x="3817"/>
        <item m="1" x="596"/>
        <item m="1" x="640"/>
        <item m="1" x="3920"/>
        <item m="1" x="1532"/>
        <item m="1" x="1557"/>
        <item m="1" x="1298"/>
        <item m="1" x="4305"/>
        <item m="1" x="1406"/>
        <item m="1" x="1423"/>
        <item m="1" x="4224"/>
        <item m="1" x="4151"/>
        <item m="1" x="4182"/>
        <item m="1" x="1443"/>
        <item m="1" x="4243"/>
        <item m="1" x="4259"/>
        <item m="1" x="1145"/>
        <item m="1" x="1113"/>
        <item m="1" x="4277"/>
        <item m="1" x="4336"/>
        <item m="1" x="1081"/>
        <item m="1" x="4107"/>
        <item m="1" x="4021"/>
        <item m="1" x="1263"/>
        <item m="1" x="3855"/>
        <item m="1" x="3891"/>
        <item m="1" x="1471"/>
        <item m="1" x="3995"/>
        <item m="1" x="3972"/>
        <item m="1" x="4067"/>
        <item m="1" x="992"/>
        <item m="1" x="1016"/>
        <item m="1" x="1162"/>
        <item m="1" x="3819"/>
        <item m="1" x="1856"/>
        <item m="1" x="4207"/>
        <item m="1" x="3525"/>
        <item m="1" x="3547"/>
        <item m="1" x="4702"/>
        <item m="1" x="4724"/>
        <item m="1" x="4745"/>
        <item m="1" x="1243"/>
        <item m="1" x="1316"/>
        <item m="1" x="4483"/>
        <item m="1" x="1952"/>
        <item m="1" x="1967"/>
        <item m="1" x="1173"/>
        <item m="1" x="1216"/>
        <item m="1" x="1193"/>
        <item m="1" x="1129"/>
        <item m="1" x="3872"/>
        <item m="1" x="3914"/>
        <item m="1" x="4007"/>
        <item m="1" x="4033"/>
        <item m="1" x="4054"/>
        <item m="1" x="4085"/>
        <item m="1" x="4125"/>
        <item m="1" x="1919"/>
        <item m="1" x="1934"/>
        <item m="1" x="1945"/>
        <item m="1" x="1960"/>
        <item m="1" x="1976"/>
        <item m="1" x="1983"/>
        <item m="1" x="1851"/>
        <item m="1" x="1864"/>
        <item m="1" x="1876"/>
        <item m="1" x="1884"/>
        <item m="1" x="1893"/>
        <item m="1" x="1903"/>
        <item m="1" x="1916"/>
        <item m="1" x="1929"/>
        <item m="1" x="4651"/>
        <item m="1" x="4675"/>
        <item m="1" x="4696"/>
        <item m="1" x="4711"/>
        <item m="1" x="4720"/>
        <item m="1" x="4729"/>
        <item m="1" x="4740"/>
        <item m="1" x="4753"/>
        <item m="1" x="4770"/>
        <item m="1" x="4780"/>
        <item m="1" x="1638"/>
        <item m="1" x="1995"/>
        <item m="1" x="2007"/>
        <item m="1" x="4773"/>
        <item m="1" x="4784"/>
        <item m="1" x="4794"/>
        <item m="1" x="4804"/>
        <item m="1" x="4811"/>
        <item m="1" x="4819"/>
        <item m="1" x="4826"/>
        <item m="1" x="4833"/>
        <item m="1" x="4843"/>
        <item m="1" x="4855"/>
        <item m="1" x="1808"/>
        <item m="1" x="1831"/>
        <item m="1" x="4162"/>
        <item m="1" x="4512"/>
        <item m="1" x="3836"/>
        <item m="1" x="1657"/>
        <item m="1" x="4377"/>
        <item m="1" x="1311"/>
        <item m="1" x="1270"/>
        <item m="1" x="1232"/>
        <item m="1" x="4497"/>
        <item m="1" x="4667"/>
        <item m="1" x="1484"/>
        <item m="1" x="1521"/>
        <item m="1" x="1548"/>
        <item m="1" x="1449"/>
        <item m="1" x="1565"/>
        <item m="1" x="1611"/>
        <item m="1" x="1581"/>
        <item m="1" x="1596"/>
        <item m="1" x="1630"/>
        <item m="1" x="4284"/>
        <item m="1" x="4314"/>
        <item m="1" x="4345"/>
        <item m="1" x="4396"/>
        <item m="1" x="4417"/>
        <item m="1" x="4452"/>
        <item m="1" x="4432"/>
        <item m="1" x="1342"/>
        <item m="1" x="1367"/>
        <item m="1" x="1386"/>
        <item m="1" x="4075"/>
        <item m="1" x="1473"/>
        <item m="1" x="1425"/>
        <item m="1" x="1444"/>
        <item m="1" x="1407"/>
        <item m="1" x="4278"/>
        <item m="1" x="2055"/>
        <item m="1" x="2038"/>
        <item m="1" x="2028"/>
        <item m="1" x="2017"/>
        <item m="1" x="4839"/>
        <item m="1" x="2006"/>
        <item m="1" x="4872"/>
        <item m="1" x="4862"/>
        <item m="1" x="1911"/>
        <item m="1" x="4823"/>
        <item m="1" x="1819"/>
        <item m="1" x="4830"/>
        <item m="1" x="4838"/>
        <item m="1" x="4116"/>
        <item m="1" x="1505"/>
        <item m="1" x="1926"/>
        <item m="1" x="4853"/>
        <item m="1" x="1648"/>
        <item m="1" x="1993"/>
        <item m="1" x="1745"/>
        <item m="1" x="1786"/>
        <item m="1" x="1832"/>
        <item m="1" x="1809"/>
        <item m="1" x="1852"/>
        <item m="1" x="4646"/>
        <item m="1" x="4942"/>
        <item m="1" x="4933"/>
        <item m="1" x="2116"/>
        <item m="1" x="2093"/>
        <item m="1" x="2104"/>
        <item m="1" x="2124"/>
        <item m="1" x="2111"/>
        <item m="1" x="2119"/>
        <item m="1" x="2114"/>
        <item m="1" x="2108"/>
        <item m="1" x="4683"/>
        <item m="1" x="1981"/>
        <item m="1" x="4748"/>
        <item m="1" x="4766"/>
        <item m="1" x="1991"/>
        <item m="1" x="1974"/>
        <item m="1" x="1965"/>
        <item m="1" x="1957"/>
        <item m="1" x="1858"/>
        <item m="1" x="1841"/>
        <item m="1" x="4892"/>
        <item m="1" x="4831"/>
        <item m="1" x="4899"/>
        <item m="1" x="4824"/>
        <item m="1" x="2044"/>
        <item m="1" x="4840"/>
        <item m="1" x="1899"/>
        <item m="1" x="4798"/>
        <item m="1" x="4788"/>
        <item m="1" x="2034"/>
        <item m="1" x="4816"/>
        <item m="1" x="2041"/>
        <item m="1" x="4887"/>
        <item m="1" x="4863"/>
        <item m="1" x="4882"/>
        <item m="1" x="4808"/>
        <item m="1" x="1935"/>
        <item m="1" x="4758"/>
        <item m="1" x="1984"/>
        <item m="1" x="2018"/>
        <item m="1" x="4761"/>
        <item m="1" x="2083"/>
        <item m="1" x="2091"/>
        <item m="1" x="4704"/>
        <item m="1" x="2045"/>
        <item m="1" x="4726"/>
        <item m="1" x="2085"/>
        <item m="1" x="2051"/>
        <item m="1" x="4716"/>
        <item m="1" x="2081"/>
        <item m="1" x="2087"/>
        <item m="1" x="4930"/>
        <item m="1" x="4956"/>
        <item m="1" x="1968"/>
        <item m="1" x="1877"/>
        <item m="1" x="1865"/>
        <item m="1" x="2077"/>
        <item m="1" x="4196"/>
        <item m="1" x="4893"/>
        <item m="1" x="1550"/>
        <item m="1" x="4925"/>
        <item m="1" x="1493"/>
        <item m="1" x="1395"/>
        <item m="1" x="2060"/>
        <item m="1" x="4918"/>
        <item m="1" x="1525"/>
        <item m="1" x="4900"/>
        <item m="1" x="4163"/>
        <item m="1" x="4928"/>
        <item m="1" x="1458"/>
        <item m="1" x="2068"/>
        <item m="1" x="4250"/>
        <item m="1" x="4233"/>
        <item m="1" x="4320"/>
        <item m="1" x="4291"/>
        <item m="1" x="4379"/>
        <item m="1" x="4350"/>
        <item m="1" x="4736"/>
        <item m="1" x="4746"/>
        <item m="1" x="1152"/>
        <item m="1" x="1130"/>
        <item m="1" x="4034"/>
        <item m="1" x="900"/>
        <item m="1" x="859"/>
        <item m="1" x="4185"/>
        <item m="1" x="4159"/>
        <item m="1" x="4086"/>
        <item m="1" x="4126"/>
        <item m="1" x="4055"/>
        <item m="1" x="1117"/>
        <item m="1" x="1030"/>
        <item m="1" x="3687"/>
        <item m="1" x="3722"/>
        <item m="1" x="957"/>
        <item m="1" x="933"/>
        <item m="1" x="4008"/>
        <item m="1" x="3952"/>
        <item m="1" x="538"/>
        <item m="1" x="3941"/>
        <item m="1" x="513"/>
        <item m="1" x="494"/>
        <item m="1" x="3831"/>
        <item m="1" x="648"/>
        <item m="1" x="1356"/>
        <item m="1" x="1415"/>
        <item m="1" x="3326"/>
        <item m="1" x="1114"/>
        <item m="1" x="4260"/>
        <item m="1" x="4225"/>
        <item m="1" x="4244"/>
        <item m="1" x="4364"/>
        <item m="1" x="1082"/>
        <item m="1" x="1146"/>
        <item m="1" x="1183"/>
        <item m="1" x="1333"/>
        <item m="1" x="3937"/>
        <item m="1" x="3974"/>
        <item m="1" x="4069"/>
        <item m="1" x="4109"/>
        <item m="1" x="4141"/>
        <item m="1" x="3997"/>
        <item m="1" x="4023"/>
        <item m="1" x="4046"/>
        <item m="1" x="3893"/>
        <item m="1" x="1265"/>
        <item m="1" x="1300"/>
        <item m="1" x="1229"/>
        <item m="1" x="1205"/>
        <item m="1" x="4337"/>
        <item m="1" x="1408"/>
        <item m="1" x="1445"/>
        <item m="1" x="1507"/>
        <item m="1" x="4208"/>
        <item m="1" x="4183"/>
        <item m="1" x="4279"/>
        <item m="1" x="4152"/>
        <item m="1" x="4306"/>
        <item m="1" x="1163"/>
        <item m="1" x="949"/>
        <item m="1" x="4171"/>
        <item m="1" x="839"/>
        <item m="1" x="920"/>
        <item m="1" x="971"/>
        <item m="1" x="885"/>
        <item m="1" x="4525"/>
        <item m="1" x="847"/>
        <item m="1" x="890"/>
        <item m="1" x="809"/>
        <item m="1" x="3820"/>
        <item m="1" x="1474"/>
        <item m="1" x="1536"/>
        <item m="1" x="1426"/>
        <item m="1" x="3800"/>
        <item m="1" x="3759"/>
        <item m="1" x="3881"/>
        <item m="1" x="3921"/>
        <item m="1" x="3779"/>
        <item m="1" x="1631"/>
        <item m="1" x="1658"/>
        <item m="1" x="4346"/>
        <item m="1" x="1687"/>
        <item m="1" x="1711"/>
        <item m="1" x="609"/>
        <item m="1" x="3786"/>
        <item m="1" x="3500"/>
        <item m="1" x="4234"/>
        <item m="1" x="4216"/>
        <item m="1" x="4164"/>
        <item m="1" x="4433"/>
        <item m="1" x="567"/>
        <item m="1" x="4453"/>
        <item m="1" x="1522"/>
        <item m="1" x="1632"/>
        <item m="1" x="1566"/>
        <item m="1" x="1582"/>
        <item m="1" x="1597"/>
        <item m="1" x="1612"/>
        <item m="1" x="4612"/>
        <item m="1" x="1844"/>
        <item m="1" x="4594"/>
        <item m="1" x="4626"/>
        <item m="1" x="1485"/>
        <item m="1" x="1824"/>
        <item m="1" x="1802"/>
        <item m="1" x="4559"/>
        <item m="1" x="1659"/>
        <item m="1" x="4547"/>
        <item m="1" x="4584"/>
        <item m="1" x="4568"/>
        <item m="1" x="4603"/>
        <item m="1" x="4520"/>
        <item m="1" x="2036"/>
        <item m="1" x="1775"/>
        <item m="1" x="1815"/>
        <item m="1" x="4617"/>
        <item m="1" x="4875"/>
        <item m="1" x="4868"/>
        <item m="1" x="4909"/>
        <item m="1" x="1920"/>
        <item m="1" x="1946"/>
        <item m="1" x="1992"/>
        <item m="1" x="2003"/>
        <item m="1" x="4767"/>
        <item m="1" x="4799"/>
        <item m="1" x="4789"/>
        <item m="1" x="4779"/>
        <item m="1" x="4684"/>
        <item m="1" x="4641"/>
        <item m="1" x="1889"/>
        <item m="1" x="4618"/>
        <item m="1" x="4635"/>
        <item m="1" x="2106"/>
        <item m="1" x="2122"/>
        <item m="1" x="2084"/>
        <item m="1" x="2082"/>
        <item m="1" x="2080"/>
        <item m="1" x="4817"/>
        <item m="1" x="2072"/>
        <item m="1" x="4809"/>
        <item m="1" x="4937"/>
        <item m="1" x="4546"/>
        <item m="1" x="1368"/>
        <item m="1" x="1343"/>
        <item m="1" x="2113"/>
        <item m="1" x="4730"/>
        <item m="1" x="4741"/>
        <item m="1" x="4754"/>
        <item m="1" x="4771"/>
        <item m="1" x="2121"/>
        <item m="1" x="2125"/>
        <item m="1" x="2129"/>
        <item m="1" x="2133"/>
        <item m="1" x="4820"/>
        <item m="1" x="4827"/>
        <item m="1" x="4805"/>
        <item m="1" x="4812"/>
        <item m="1" x="4834"/>
        <item m="1" x="4844"/>
        <item m="1" x="1787"/>
        <item m="1" x="1833"/>
        <item m="1" x="1853"/>
        <item m="1" x="1810"/>
        <item m="1" x="1866"/>
        <item m="1" x="4785"/>
        <item m="1" x="4795"/>
        <item m="1" x="2144"/>
        <item m="1" x="4955"/>
        <item m="1" x="4960"/>
        <item m="1" x="4969"/>
        <item m="1" x="4972"/>
        <item m="1" x="4973"/>
        <item m="1" x="4974"/>
        <item m="1" x="2115"/>
        <item m="1" x="2112"/>
        <item m="1" x="2120"/>
        <item m="1" x="2117"/>
        <item m="1" x="1838"/>
        <item m="1" x="4954"/>
        <item m="1" x="4634"/>
        <item m="1" x="1598"/>
        <item m="1" x="4858"/>
        <item m="1" x="4869"/>
        <item m="1" x="4876"/>
        <item m="1" x="4879"/>
        <item m="1" x="4884"/>
        <item m="1" x="4889"/>
        <item m="1" x="4895"/>
        <item m="1" x="1859"/>
        <item m="1" x="4536"/>
        <item m="1" x="4560"/>
        <item m="1" x="4688"/>
        <item m="1" x="4705"/>
        <item m="1" x="1523"/>
        <item m="1" x="1549"/>
        <item m="1" x="1567"/>
        <item m="1" x="1583"/>
        <item m="1" x="4397"/>
        <item m="1" x="4378"/>
        <item m="1" x="4347"/>
        <item m="1" x="1712"/>
        <item m="1" x="1688"/>
        <item m="1" x="1660"/>
        <item m="1" x="4498"/>
        <item m="1" x="4473"/>
        <item m="1" x="4454"/>
        <item m="1" x="4434"/>
        <item m="1" x="4418"/>
        <item m="1" x="1446"/>
        <item m="1" x="1312"/>
        <item m="1" x="1387"/>
        <item m="1" x="1409"/>
        <item m="1" x="4549"/>
        <item m="1" x="4526"/>
        <item m="1" x="1427"/>
        <item m="1" x="1508"/>
        <item m="1" x="4971"/>
        <item m="1" x="4935"/>
        <item m="1" x="1803"/>
        <item m="1" x="4932"/>
        <item m="1" x="2157"/>
        <item m="1" x="4897"/>
        <item m="1" x="1574"/>
        <item m="1" x="1753"/>
        <item m="1" x="1782"/>
        <item m="1" x="1768"/>
        <item m="1" x="4595"/>
        <item m="1" x="4577"/>
        <item m="1" x="2143"/>
        <item m="1" x="4904"/>
        <item m="1" x="4647"/>
        <item m="1" x="4668"/>
        <item m="1" x="1739"/>
        <item m="1" x="2149"/>
        <item m="1" x="2147"/>
        <item m="1" x="2139"/>
        <item m="1" x="2141"/>
        <item m="1" x="1725"/>
        <item m="1" x="2158"/>
        <item m="1" x="2138"/>
        <item m="1" x="2154"/>
        <item m="1" x="1699"/>
        <item m="1" x="2160"/>
        <item m="1" x="2073"/>
        <item m="1" x="1475"/>
        <item m="1" x="2137"/>
        <item m="1" x="4967"/>
        <item m="1" x="4957"/>
        <item m="1" x="4153"/>
        <item m="1" x="1591"/>
        <item m="1" x="1703"/>
        <item m="1" x="1948"/>
        <item m="1" x="4685"/>
        <item m="1" x="4697"/>
        <item m="1" x="4604"/>
        <item m="1" x="1709"/>
        <item m="1" x="1682"/>
        <item m="1" x="4762"/>
        <item m="1" x="4717"/>
        <item m="1" x="3707"/>
        <item m="1" x="1101"/>
        <item m="1" x="3739"/>
        <item m="1" x="4747"/>
        <item m="1" x="4776"/>
        <item m="1" x="4796"/>
        <item m="1" x="4569"/>
        <item m="1" x="4585"/>
        <item m="1" x="4619"/>
        <item m="1" x="4658"/>
        <item m="1" x="1500"/>
        <item m="1" x="1558"/>
        <item m="1" x="4636"/>
        <item m="1" x="4806"/>
        <item m="1" x="1977"/>
        <item m="1" x="1996"/>
        <item m="1" x="1969"/>
        <item m="1" x="1985"/>
        <item m="1" x="4854"/>
        <item m="1" x="2056"/>
        <item m="1" x="2040"/>
        <item m="1" x="2043"/>
        <item m="1" x="2053"/>
        <item m="1" x="4847"/>
        <item m="1" x="4859"/>
        <item m="1" x="4870"/>
        <item m="1" x="4936"/>
        <item m="1" x="4929"/>
        <item m="1" x="4931"/>
        <item m="1" x="4927"/>
        <item m="1" x="4922"/>
        <item m="1" x="2089"/>
        <item m="1" x="2094"/>
        <item m="1" x="4913"/>
        <item m="1" x="4943"/>
        <item m="1" x="1604"/>
        <item m="1" x="1575"/>
        <item m="1" x="2011"/>
        <item m="1" x="1998"/>
        <item m="1" x="2032"/>
        <item m="1" x="2098"/>
        <item m="1" x="2037"/>
        <item m="1" x="2024"/>
        <item m="1" x="2086"/>
        <item m="1" x="2048"/>
        <item m="1" x="1804"/>
        <item m="1" x="1783"/>
        <item m="1" x="1769"/>
        <item m="1" x="1970"/>
        <item m="1" x="1986"/>
        <item m="1" x="1978"/>
        <item m="1" x="4845"/>
        <item m="1" x="4712"/>
        <item m="1" x="1961"/>
        <item m="1" x="4813"/>
        <item m="1" x="4721"/>
        <item m="1" x="4877"/>
        <item m="1" x="1936"/>
        <item m="1" x="4910"/>
        <item m="1" x="4902"/>
        <item m="1" x="4885"/>
        <item m="1" x="4880"/>
        <item m="1" x="4731"/>
        <item m="1" x="4742"/>
        <item m="1" x="4755"/>
        <item m="1" x="1947"/>
        <item m="1" x="1825"/>
        <item m="1" x="1754"/>
        <item m="1" x="1953"/>
        <item m="1" x="4578"/>
        <item m="1" x="4596"/>
        <item m="1" x="4561"/>
        <item m="1" x="2090"/>
        <item m="1" x="1826"/>
        <item m="1" x="1924"/>
        <item m="1" x="2050"/>
        <item m="1" x="2088"/>
        <item m="1" x="1677"/>
        <item m="1" x="2118"/>
        <item m="1" x="2140"/>
        <item m="1" x="1997"/>
        <item m="1" x="78"/>
        <item m="1" x="3088"/>
        <item m="1" x="3740"/>
        <item m="1" x="672"/>
        <item m="1" x="922"/>
        <item m="1" x="5520"/>
        <item m="1" x="2893"/>
        <item m="1" x="245"/>
        <item m="1" x="3299"/>
        <item m="1" x="3074"/>
        <item m="1" x="2318"/>
        <item m="1" x="2260"/>
        <item m="1" x="3469"/>
        <item m="1" x="649"/>
        <item m="1" x="1118"/>
        <item m="1" x="1346"/>
        <item m="1" x="662"/>
        <item m="1" x="3725"/>
        <item m="1" x="903"/>
        <item m="1" x="3956"/>
        <item m="1" x="1132"/>
        <item m="1" x="2195"/>
        <item m="1" x="417"/>
        <item m="1" x="891"/>
        <item m="1" x="3711"/>
        <item m="1" x="3942"/>
        <item m="1" x="4186"/>
        <item m="1" x="3063"/>
        <item m="1" x="3270"/>
        <item m="1" x="432"/>
        <item m="1" x="2885"/>
        <item m="1" x="68"/>
        <item m="1" x="3485"/>
        <item m="1" x="685"/>
        <item m="1" x="2907"/>
        <item m="1" x="458"/>
        <item m="1" x="1537"/>
        <item m="1" x="4365"/>
        <item m="1" x="2200"/>
        <item m="1" x="2178"/>
        <item m="1" x="2177"/>
        <item m="1" x="3677"/>
        <item m="1" x="4689"/>
        <item m="1" x="1845"/>
        <item m="1" x="1987"/>
        <item m="1" x="2216"/>
        <item m="1" x="4896"/>
        <item m="1" x="2092"/>
        <item m="1" x="2123"/>
        <item m="1" x="2142"/>
        <item m="1" x="2159"/>
        <item m="1" x="2169"/>
        <item m="1" x="2057"/>
        <item m="1" x="2201"/>
        <item m="1" x="2210"/>
        <item m="1" x="2215"/>
        <item m="1" x="2211"/>
        <item m="1" x="2217"/>
        <item m="1" x="2228"/>
        <item m="1" x="2239"/>
        <item m="1" x="2237"/>
        <item m="1" x="2264"/>
        <item m="1" x="2322"/>
        <item m="1" x="2404"/>
        <item m="1" x="3104"/>
        <item m="1" x="2735"/>
        <item m="1" x="5388"/>
        <item m="1" x="2574"/>
        <item m="1" x="5264"/>
        <item m="1" x="471"/>
        <item m="1" x="4527"/>
        <item m="1" x="3470"/>
        <item m="1" x="1133"/>
        <item m="1" x="650"/>
        <item m="1" x="1509"/>
        <item m="1" x="2064"/>
        <item m="1" x="4339"/>
        <item m="1" x="1940"/>
        <item m="1" x="4850"/>
        <item m="1" x="1690"/>
        <item m="1" x="3742"/>
        <item m="1" x="4690"/>
        <item m="1" x="1510"/>
        <item m="1" x="4790"/>
        <item m="1" x="4529"/>
        <item m="1" x="4914"/>
        <item m="1" x="2013"/>
        <item m="1" x="459"/>
        <item m="1" x="869"/>
        <item m="1" x="4338"/>
        <item m="1" x="4528"/>
        <item m="1" x="4390"/>
        <item m="1" x="3075"/>
        <item m="1" x="1358"/>
        <item m="1" x="2069"/>
        <item m="1" x="2019"/>
        <item m="1" x="1941"/>
        <item m="1" x="447"/>
        <item m="1" x="2096"/>
        <item m="1" x="4958"/>
        <item m="1" x="4940"/>
        <item m="1" x="2058"/>
        <item m="1" x="4906"/>
        <item m="1" x="2004"/>
        <item m="1" x="1568"/>
        <item m="1" x="4398"/>
        <item m="1" x="3975"/>
        <item m="1" x="924"/>
        <item m="1" x="1134"/>
        <item m="1" x="3957"/>
        <item m="1" x="904"/>
        <item m="1" x="3726"/>
        <item m="1" x="1867"/>
        <item m="1" x="4713"/>
        <item m="1" x="4562"/>
        <item m="1" x="1551"/>
        <item m="1" x="4380"/>
        <item m="1" x="1347"/>
        <item m="1" x="4187"/>
        <item m="1" x="1119"/>
        <item m="1" x="4800"/>
        <item m="1" x="1860"/>
        <item m="1" x="4706"/>
        <item m="1" x="1714"/>
        <item m="1" x="4551"/>
        <item m="1" x="1539"/>
        <item m="1" x="4367"/>
        <item m="1" x="1334"/>
        <item m="1" x="4172"/>
        <item m="1" x="4698"/>
        <item m="1" x="1704"/>
        <item m="1" x="4539"/>
        <item m="1" x="1526"/>
        <item m="1" x="4351"/>
        <item m="1" x="4919"/>
        <item m="1" x="4864"/>
        <item m="1" x="4791"/>
        <item m="1" x="1846"/>
        <item m="1" x="4691"/>
        <item m="1" x="1691"/>
        <item m="1" x="4530"/>
        <item m="1" x="2101"/>
        <item m="1" x="4945"/>
        <item m="1" x="1726"/>
        <item m="1" x="4563"/>
        <item m="1" x="1931"/>
        <item m="1" x="4782"/>
        <item m="1" x="4915"/>
        <item m="1" x="2065"/>
        <item m="1" x="4944"/>
        <item m="1" x="1552"/>
        <item m="1" x="2099"/>
        <item m="1" x="2014"/>
        <item m="1" x="4786"/>
        <item m="1" x="1938"/>
        <item m="1" x="4857"/>
        <item m="1" x="2009"/>
        <item m="1" x="4912"/>
        <item m="1" x="2062"/>
        <item m="1" x="4677"/>
        <item m="1" x="2130"/>
        <item m="1" x="4961"/>
        <item m="1" x="1871"/>
        <item m="1" x="1731"/>
        <item m="1" x="3958"/>
        <item m="1" x="1954"/>
        <item m="1" x="4807"/>
        <item m="1" x="1868"/>
        <item m="1" x="4198"/>
        <item m="1" x="1135"/>
        <item m="1" x="2162"/>
        <item m="1" x="2020"/>
        <item m="1" x="2126"/>
        <item m="1" x="4851"/>
        <item m="1" x="2005"/>
        <item m="1" x="2097"/>
        <item m="1" x="4959"/>
        <item m="1" x="2127"/>
        <item m="1" x="4987"/>
        <item m="1" x="2029"/>
        <item m="1" x="4939"/>
        <item m="1" x="4941"/>
        <item m="1" x="4977"/>
        <item m="1" x="4873"/>
        <item m="1" x="2059"/>
        <item m="1" x="4975"/>
        <item m="1" x="4188"/>
        <item m="1" x="1949"/>
        <item m="1" x="4907"/>
        <item m="1" x="2095"/>
        <item m="1" x="1348"/>
        <item m="1" x="2145"/>
        <item m="1" x="2025"/>
        <item m="1" x="4923"/>
        <item m="1" x="2074"/>
        <item m="1" x="4368"/>
        <item m="1" x="1540"/>
        <item m="1" x="4552"/>
        <item m="1" x="1715"/>
        <item m="1" x="3502"/>
        <item m="1" x="4856"/>
        <item m="1" x="1930"/>
        <item m="1" x="934"/>
        <item m="1" x="3985"/>
        <item m="1" x="1713"/>
        <item m="1" x="4781"/>
        <item m="1" x="4669"/>
        <item m="1" x="4499"/>
        <item m="1" x="4911"/>
        <item m="1" x="923"/>
        <item m="1" x="4381"/>
        <item m="1" x="4801"/>
        <item m="1" x="4903"/>
        <item m="1" x="1827"/>
        <item m="1" x="1661"/>
        <item m="1" x="1153"/>
        <item m="1" x="2008"/>
        <item m="1" x="3749"/>
        <item m="1" x="3741"/>
        <item m="1" x="4550"/>
        <item m="1" x="2061"/>
        <item m="1" x="673"/>
        <item m="1" x="4366"/>
        <item m="1" x="1538"/>
        <item m="1" x="1669"/>
        <item m="1" x="4890"/>
        <item m="1" x="1834"/>
        <item m="1" x="4865"/>
        <item m="1" x="1943"/>
        <item m="1" x="2150"/>
        <item m="1" x="4792"/>
        <item m="1" x="4979"/>
        <item m="1" x="2027"/>
        <item m="1" x="4924"/>
        <item m="1" x="4952"/>
        <item m="1" x="2075"/>
        <item m="1" x="2030"/>
        <item m="1" x="4553"/>
        <item m="1" x="4948"/>
        <item m="1" x="4926"/>
        <item m="1" x="2107"/>
        <item m="1" x="2070"/>
        <item m="1" x="2021"/>
        <item m="1" x="4861"/>
        <item m="1" x="2102"/>
        <item m="1" x="2066"/>
        <item m="1" x="4946"/>
        <item m="1" x="4998"/>
        <item m="1" x="2173"/>
        <item m="1" x="2131"/>
        <item m="1" x="4980"/>
        <item m="1" x="2100"/>
        <item m="1" x="2151"/>
        <item m="1" x="2071"/>
        <item m="1" x="4920"/>
        <item m="1" x="2103"/>
        <item m="1" x="4963"/>
        <item m="1" x="2067"/>
        <item m="1" x="2175"/>
        <item m="1" x="4949"/>
        <item m="1" x="4991"/>
        <item m="1" x="4947"/>
        <item m="1" x="4917"/>
        <item m="1" x="2022"/>
        <item m="1" x="4962"/>
        <item m="1" x="2164"/>
        <item m="1" x="2166"/>
        <item m="1" x="5000"/>
        <item m="1" x="4866"/>
        <item m="1" x="2182"/>
        <item m="1" x="2171"/>
        <item m="1" x="2155"/>
        <item m="1" x="4984"/>
        <item m="1" x="5016"/>
        <item m="1" x="1727"/>
        <item m="1" x="3503"/>
        <item m="1" x="2170"/>
        <item m="1" x="5009"/>
        <item m="1" x="2180"/>
        <item m="1" x="5022"/>
        <item m="1" x="2161"/>
        <item m="1" x="2146"/>
        <item m="1" x="4976"/>
        <item m="1" x="2179"/>
        <item m="1" x="4995"/>
        <item m="1" x="4996"/>
        <item m="1" x="4986"/>
        <item m="1" x="2205"/>
        <item m="1" x="4968"/>
        <item m="1" x="2076"/>
        <item m="1" x="2190"/>
        <item m="1" x="5012"/>
        <item m="1" x="2181"/>
        <item m="1" x="5033"/>
        <item m="1" x="5010"/>
        <item m="1" x="5025"/>
        <item m="1" x="5018"/>
        <item m="1" x="1689"/>
        <item m="1" x="4871"/>
        <item m="1" x="2206"/>
        <item m="1" x="2220"/>
        <item m="1" x="5008"/>
        <item m="1" x="2153"/>
        <item m="1" x="4993"/>
        <item m="1" x="2194"/>
        <item m="1" x="5020"/>
        <item m="1" x="2202"/>
        <item m="1" x="2187"/>
        <item m="1" x="5028"/>
        <item m="1" x="2212"/>
        <item m="1" x="2196"/>
        <item m="1" x="5003"/>
        <item m="1" x="2203"/>
        <item m="1" x="5035"/>
        <item m="1" x="4982"/>
        <item m="1" x="2134"/>
        <item m="1" x="2197"/>
        <item m="1" x="2188"/>
        <item m="1" x="2016"/>
        <item m="1" x="4916"/>
        <item m="1" x="5030"/>
        <item m="1" x="5023"/>
        <item m="1" x="5021"/>
        <item m="1" x="5032"/>
        <item m="1" x="5372"/>
        <item m="1" x="5196"/>
        <item m="1" x="5178"/>
        <item m="1" x="2818"/>
        <item m="1" x="2849"/>
        <item m="1" x="5327"/>
        <item m="1" x="5345"/>
        <item m="1" x="2411"/>
        <item m="1" x="5274"/>
        <item m="1" x="5310"/>
        <item m="1" x="5324"/>
        <item m="1" x="5342"/>
        <item m="1" x="5297"/>
        <item m="1" x="5205"/>
        <item m="1" x="2680"/>
        <item m="1" x="2652"/>
        <item m="1" x="2602"/>
        <item m="1" x="2585"/>
        <item m="1" x="2633"/>
        <item m="1" x="5397"/>
        <item m="1" x="5220"/>
        <item m="1" x="2568"/>
        <item m="1" x="5240"/>
        <item m="1" x="2270"/>
        <item m="1" x="2280"/>
        <item m="1" x="2290"/>
        <item m="1" x="2297"/>
        <item m="1" x="2618"/>
        <item m="1" x="5259"/>
        <item m="1" x="5285"/>
        <item m="1" x="2425"/>
        <item m="1" x="5111"/>
        <item m="1" x="5115"/>
        <item m="1" x="5121"/>
        <item m="1" x="5126"/>
        <item m="1" x="5132"/>
        <item m="1" x="5137"/>
        <item m="1" x="5146"/>
        <item m="1" x="2263"/>
        <item m="1" x="2494"/>
        <item m="1" x="5092"/>
        <item m="1" x="5102"/>
        <item m="1" x="2484"/>
        <item m="1" x="2475"/>
        <item m="1" x="2463"/>
        <item m="1" x="2507"/>
        <item m="1" x="2523"/>
        <item m="1" x="5135"/>
        <item m="1" x="5143"/>
        <item m="1" x="5184"/>
        <item m="1" x="5193"/>
        <item m="1" x="5202"/>
        <item m="1" x="5216"/>
        <item m="1" x="2321"/>
        <item m="1" x="2330"/>
        <item m="1" x="88"/>
        <item m="1" x="104"/>
        <item m="1" x="118"/>
        <item m="1" x="131"/>
        <item m="1" x="147"/>
        <item m="1" x="169"/>
        <item m="1" x="202"/>
        <item m="1" x="2855"/>
        <item m="1" x="2886"/>
        <item m="1" x="2908"/>
        <item m="1" x="2342"/>
        <item m="1" x="2355"/>
        <item m="1" x="2366"/>
        <item m="1" x="2377"/>
        <item m="1" x="2386"/>
        <item m="1" x="2397"/>
        <item m="1" x="2406"/>
        <item m="1" x="2419"/>
        <item m="1" x="163"/>
        <item m="1" x="191"/>
        <item m="1" x="220"/>
        <item m="1" x="246"/>
        <item m="1" x="264"/>
        <item m="1" x="284"/>
        <item m="1" x="304"/>
        <item m="1" x="325"/>
        <item m="1" x="3173"/>
        <item m="1" x="3030"/>
        <item m="1" x="390"/>
        <item m="1" x="3001"/>
        <item m="1" x="94"/>
        <item m="1" x="137"/>
        <item m="1" x="124"/>
        <item m="1" x="154"/>
        <item m="1" x="80"/>
        <item m="1" x="25"/>
        <item m="1" x="55"/>
        <item m="1" x="5419"/>
        <item m="1" x="5320"/>
        <item m="1" x="5200"/>
        <item m="1" x="2664"/>
        <item m="1" x="2625"/>
        <item m="1" x="2536"/>
        <item m="1" x="5391"/>
        <item m="1" x="5356"/>
        <item m="1" x="2831"/>
        <item m="1" x="3452"/>
        <item m="1" x="3486"/>
        <item m="1" x="2594"/>
        <item m="1" x="2578"/>
        <item m="1" x="2611"/>
        <item m="1" x="2627"/>
        <item m="1" x="2643"/>
        <item m="1" x="2666"/>
        <item m="1" x="2693"/>
        <item m="1" x="2717"/>
        <item m="1" x="2538"/>
        <item m="1" x="5488"/>
        <item m="1" x="5435"/>
        <item m="1" x="5516"/>
        <item m="1" x="5464"/>
        <item m="1" x="5407"/>
        <item m="1" x="5421"/>
        <item m="1" x="5447"/>
        <item m="1" x="57"/>
        <item m="1" x="2328"/>
        <item m="1" x="26"/>
        <item m="1" x="2497"/>
        <item m="1" x="2316"/>
        <item m="1" x="2439"/>
        <item m="1" x="2298"/>
        <item m="1" x="2408"/>
        <item m="1" x="2547"/>
        <item m="1" x="2421"/>
        <item m="1" x="5088"/>
        <item m="1" x="5098"/>
        <item m="1" x="5108"/>
        <item m="1" x="2509"/>
        <item m="1" x="5062"/>
        <item m="1" x="2311"/>
        <item m="1" x="2281"/>
        <item m="1" x="2305"/>
        <item m="1" x="2271"/>
        <item m="1" x="2291"/>
        <item m="1" x="5317"/>
        <item m="1" x="5305"/>
        <item m="1" x="2434"/>
        <item m="1" x="2416"/>
        <item m="1" x="5333"/>
        <item m="1" x="5353"/>
        <item m="1" x="479"/>
        <item m="1" x="462"/>
        <item m="1" x="435"/>
        <item m="1" x="544"/>
        <item m="1" x="576"/>
        <item m="1" x="621"/>
        <item m="1" x="2479"/>
        <item m="1" x="2499"/>
        <item m="1" x="367"/>
        <item m="1" x="2488"/>
        <item m="1" x="2526"/>
        <item m="1" x="403"/>
        <item m="1" x="3236"/>
        <item m="1" x="3273"/>
        <item m="1" x="3205"/>
        <item m="1" x="267"/>
        <item m="1" x="165"/>
        <item m="1" x="2518"/>
        <item m="1" x="2580"/>
        <item m="1" x="2561"/>
        <item m="1" x="2597"/>
        <item m="1" x="2541"/>
        <item m="1" x="2898"/>
        <item m="1" x="194"/>
        <item m="1" x="223"/>
        <item m="1" x="3051"/>
        <item m="1" x="3081"/>
        <item m="1" x="375"/>
        <item m="1" x="3017"/>
        <item m="1" x="2990"/>
        <item m="1" x="3186"/>
        <item m="1" x="3163"/>
        <item m="1" x="3119"/>
        <item m="1" x="2804"/>
        <item m="1" x="3139"/>
        <item m="1" x="3388"/>
        <item m="1" x="2562"/>
        <item m="1" x="2705"/>
        <item m="1" x="5270"/>
        <item m="1" x="3615"/>
        <item m="1" x="3369"/>
        <item m="1" x="5617"/>
        <item m="1" x="5294"/>
        <item m="1" x="76"/>
        <item m="1" x="3330"/>
        <item m="1" x="3767"/>
        <item m="1" x="5581"/>
        <item m="1" x="5527"/>
        <item m="1" x="5499"/>
        <item m="1" x="3305"/>
        <item m="1" x="50"/>
        <item m="1" x="21"/>
        <item m="1" x="5600"/>
        <item m="1" x="313"/>
        <item m="1" x="2742"/>
        <item m="1" x="2726"/>
        <item m="1" x="5564"/>
        <item m="1" x="3276"/>
        <item m="1" x="2773"/>
        <item m="1" x="5360"/>
        <item m="1" x="2868"/>
        <item m="1" x="2759"/>
        <item m="1" x="3164"/>
        <item m="1" x="3140"/>
        <item m="1" x="2435"/>
        <item m="1" x="5354"/>
        <item m="1" x="5375"/>
        <item m="1" x="5449"/>
        <item m="1" x="5466"/>
        <item m="1" x="5491"/>
        <item m="1" x="5518"/>
        <item m="1" x="5306"/>
        <item m="1" x="5319"/>
        <item m="1" x="5226"/>
        <item m="1" x="5247"/>
        <item m="1" x="5619"/>
        <item m="1" x="2901"/>
        <item m="1" x="5529"/>
        <item m="1" x="2919"/>
        <item m="1" x="2936"/>
        <item m="1" x="2975"/>
        <item m="1" x="2955"/>
        <item m="1" x="3058"/>
        <item m="1" x="5338"/>
        <item m="1" x="2837"/>
        <item m="1" x="5602"/>
        <item m="1" x="2728"/>
        <item m="1" x="2707"/>
        <item m="1" x="5501"/>
        <item m="1" x="5566"/>
        <item m="1" x="3024"/>
        <item m="1" x="52"/>
        <item m="1" x="5473"/>
        <item m="1" x="2995"/>
        <item m="1" x="5583"/>
        <item m="1" x="2677"/>
        <item m="1" x="2744"/>
        <item m="1" x="2761"/>
        <item m="1" x="2791"/>
        <item m="1" x="2811"/>
        <item m="1" x="2870"/>
        <item m="1" x="2774"/>
        <item m="1" x="5547"/>
        <item m="1" x="2519"/>
        <item m="1" x="2543"/>
        <item m="1" x="2564"/>
        <item m="1" x="2582"/>
        <item m="1" x="2599"/>
        <item m="1" x="2630"/>
        <item m="1" x="2615"/>
        <item m="1" x="2670"/>
        <item m="1" x="2646"/>
        <item m="1" x="5608"/>
        <item m="1" x="2660"/>
        <item m="1" x="5592"/>
        <item m="1" x="394"/>
        <item m="1" x="308"/>
        <item m="1" x="3149"/>
        <item m="1" x="330"/>
        <item m="1" x="358"/>
        <item m="1" x="3066"/>
        <item m="1" x="2389"/>
        <item m="1" x="114"/>
        <item m="1" x="2410"/>
        <item m="1" x="2400"/>
        <item m="1" x="5430"/>
        <item m="1" x="3107"/>
        <item m="1" x="3033"/>
        <item m="1" x="2369"/>
        <item m="1" x="2423"/>
        <item m="1" x="287"/>
        <item m="1" x="3761"/>
        <item m="1" x="811"/>
        <item m="1" x="1023"/>
        <item m="1" x="851"/>
        <item m="1" x="892"/>
        <item m="1" x="2839"/>
        <item m="1" x="2813"/>
        <item m="1" x="2793"/>
        <item m="1" x="2776"/>
        <item m="1" x="2745"/>
        <item m="1" x="5621"/>
        <item m="1" x="926"/>
        <item m="1" x="950"/>
        <item m="1" x="973"/>
        <item m="1" x="994"/>
        <item m="1" x="5624"/>
        <item m="1" x="3230"/>
        <item m="1" x="767"/>
        <item m="1" x="5531"/>
        <item m="1" x="5476"/>
        <item m="1" x="5503"/>
        <item m="1" x="3026"/>
        <item m="1" x="5454"/>
        <item m="1" x="5568"/>
        <item m="1" x="5585"/>
        <item m="1" x="5604"/>
        <item m="1" x="5549"/>
        <item m="1" x="60"/>
        <item m="1" x="28"/>
        <item m="1" x="2976"/>
        <item m="1" x="2997"/>
        <item m="1" x="722"/>
        <item m="1" x="744"/>
        <item m="1" x="580"/>
        <item m="1" x="439"/>
        <item m="1" x="3207"/>
        <item m="1" x="623"/>
        <item m="1" x="547"/>
        <item m="1" x="3239"/>
        <item m="1" x="3278"/>
        <item m="1" x="3332"/>
        <item m="1" x="3307"/>
        <item m="1" x="3167"/>
        <item m="1" x="3256"/>
        <item m="1" x="3294"/>
        <item m="1" x="3103"/>
        <item m="1" x="3085"/>
        <item m="1" x="3122"/>
        <item m="1" x="4144"/>
        <item m="1" x="3824"/>
        <item m="1" x="3629"/>
        <item m="1" x="3851"/>
        <item m="1" x="1650"/>
        <item m="1" x="3380"/>
        <item m="1" x="3259"/>
        <item m="1" x="3296"/>
        <item m="1" x="3322"/>
        <item m="1" x="3772"/>
        <item m="1" x="523"/>
        <item m="1" x="556"/>
        <item m="1" x="910"/>
        <item m="1" x="796"/>
        <item m="1" x="4037"/>
        <item m="1" x="875"/>
        <item m="1" x="832"/>
        <item m="1" x="762"/>
        <item m="1" x="4096"/>
        <item m="1" x="4011"/>
        <item m="1" x="4281"/>
        <item m="1" x="3345"/>
        <item m="1" x="3364"/>
        <item m="1" x="3754"/>
        <item m="1" x="3618"/>
        <item m="1" x="3792"/>
        <item m="1" x="3842"/>
        <item m="1" x="3568"/>
        <item m="1" x="3590"/>
        <item m="1" x="4073"/>
        <item m="1" x="1399"/>
        <item m="1" x="1465"/>
        <item m="1" x="939"/>
        <item m="1" x="1705"/>
        <item m="1" x="1209"/>
        <item m="1" x="1059"/>
        <item m="1" x="4050"/>
        <item m="1" x="3907"/>
        <item m="1" x="4003"/>
        <item m="1" x="3682"/>
        <item m="1" x="4028"/>
        <item m="1" x="3651"/>
        <item m="1" x="2658"/>
        <item m="1" x="2883"/>
        <item m="1" x="2853"/>
        <item m="1" x="5348"/>
        <item m="1" x="5371"/>
        <item m="1" x="944"/>
        <item m="1" x="1010"/>
        <item m="1" x="4465"/>
        <item m="1" x="1790"/>
        <item m="1" x="1813"/>
        <item m="1" x="4487"/>
        <item m="1" x="4541"/>
        <item m="1" x="4660"/>
        <item m="1" x="4639"/>
        <item m="1" x="1906"/>
        <item m="1" x="1896"/>
        <item m="1" x="1887"/>
        <item m="1" x="4775"/>
        <item m="1" x="3796"/>
        <item m="1" x="3845"/>
        <item m="1" x="1794"/>
        <item m="1" x="836"/>
        <item m="1" x="798"/>
        <item m="1" x="763"/>
        <item m="1" x="4101"/>
        <item m="1" x="4063"/>
        <item m="1" x="4041"/>
        <item m="1" x="4015"/>
        <item m="1" x="3966"/>
        <item m="1" x="3775"/>
        <item m="1" x="1816"/>
        <item m="1" x="988"/>
        <item m="1" x="967"/>
        <item m="1" x="915"/>
        <item m="1" x="880"/>
        <item m="1" x="3755"/>
        <item m="1" x="4599"/>
        <item m="1" x="4581"/>
        <item m="1" x="4734"/>
        <item m="1" x="1647"/>
        <item m="1" x="3702"/>
        <item m="1" x="1922"/>
        <item m="1" x="4681"/>
        <item m="1" x="3735"/>
        <item m="1" x="1679"/>
        <item m="1" x="4715"/>
        <item m="1" x="3599"/>
        <item m="1" x="3632"/>
        <item m="1" x="3666"/>
        <item m="1" x="3930"/>
        <item m="1" x="3990"/>
        <item m="1" x="3814"/>
        <item m="1" x="4743"/>
        <item m="1" x="4760"/>
        <item m="1" x="4564"/>
        <item m="1" x="1037"/>
        <item m="1" x="4423"/>
        <item m="1" x="1643"/>
        <item m="1" x="4440"/>
        <item m="1" x="4327"/>
        <item m="1" x="1219"/>
        <item m="1" x="4481"/>
        <item m="1" x="1250"/>
        <item m="1" x="4632"/>
        <item m="1" x="4654"/>
        <item m="1" x="1460"/>
        <item m="1" x="1496"/>
        <item m="1" x="1529"/>
        <item m="1" x="1571"/>
        <item m="1" x="1587"/>
        <item m="1" x="1600"/>
        <item m="1" x="4460"/>
        <item m="1" x="4573"/>
        <item m="1" x="4589"/>
        <item m="1" x="4608"/>
        <item m="1" x="1159"/>
        <item m="1" x="2988"/>
        <item m="1" x="1202"/>
        <item m="1" x="1226"/>
        <item m="1" x="1180"/>
        <item m="1" x="3047"/>
        <item m="1" x="1078"/>
        <item m="1" x="92"/>
        <item m="1" x="45"/>
        <item m="1" x="74"/>
        <item m="1" x="4282"/>
        <item m="1" x="4310"/>
        <item m="1" x="4104"/>
        <item m="1" x="3933"/>
        <item m="1" x="1295"/>
        <item m="1" x="1260"/>
        <item m="1" x="3992"/>
        <item m="1" x="3969"/>
        <item m="1" x="4018"/>
        <item m="1" x="639"/>
        <item m="1" x="595"/>
        <item m="1" x="1749"/>
        <item m="1" x="1763"/>
        <item m="1" x="1777"/>
        <item m="1" x="3512"/>
        <item m="1" x="3559"/>
        <item m="1" x="1634"/>
        <item m="1" x="1664"/>
        <item m="1" x="1694"/>
        <item m="1" x="1719"/>
        <item m="1" x="1289"/>
        <item m="1" x="1327"/>
        <item m="1" x="1251"/>
        <item m="1" x="4514"/>
        <item m="1" x="4331"/>
        <item m="1" x="4389"/>
        <item m="1" x="4406"/>
        <item m="1" x="4137"/>
        <item m="1" x="1067"/>
        <item m="1" x="1013"/>
        <item m="1" x="4593"/>
        <item m="1" x="1450"/>
        <item m="1" x="4908"/>
        <item m="1" x="4070"/>
        <item m="1" x="4110"/>
        <item m="1" x="3998"/>
        <item m="1" x="3894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 defaultSubtotal="0">
      <items count="217">
        <item m="1" x="162"/>
        <item m="1" x="198"/>
        <item m="1" x="15"/>
        <item m="1" x="137"/>
        <item m="1" x="159"/>
        <item m="1" x="3"/>
        <item m="1" x="69"/>
        <item m="1" x="122"/>
        <item m="1" x="114"/>
        <item m="1" x="177"/>
        <item m="1" x="23"/>
        <item m="1" x="179"/>
        <item m="1" x="118"/>
        <item m="1" x="167"/>
        <item m="1" x="39"/>
        <item m="1" x="123"/>
        <item m="1" x="30"/>
        <item m="1" x="157"/>
        <item x="0"/>
        <item x="1"/>
        <item m="1" x="169"/>
        <item m="1" x="95"/>
        <item m="1" x="33"/>
        <item m="1" x="86"/>
        <item m="1" x="96"/>
        <item m="1" x="202"/>
        <item m="1" x="149"/>
        <item m="1" x="182"/>
        <item m="1" x="139"/>
        <item m="1" x="117"/>
        <item m="1" x="27"/>
        <item m="1" x="125"/>
        <item m="1" x="17"/>
        <item m="1" x="97"/>
        <item m="1" x="146"/>
        <item m="1" x="153"/>
        <item m="1" x="136"/>
        <item m="1" x="215"/>
        <item m="1" x="44"/>
        <item m="1" x="156"/>
        <item m="1" x="165"/>
        <item m="1" x="216"/>
        <item m="1" x="55"/>
        <item m="1" x="73"/>
        <item m="1" x="13"/>
        <item m="1" x="14"/>
        <item m="1" x="72"/>
        <item m="1" x="28"/>
        <item m="1" x="87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0"/>
        <item m="1" x="8"/>
        <item n="-" m="1" x="1"/>
        <item m="1" x="2"/>
        <item m="1" x="4"/>
        <item m="1" x="11"/>
        <item m="1" x="3"/>
        <item x="0"/>
        <item m="1" x="6"/>
        <item m="1" x="12"/>
        <item m="1" x="5"/>
        <item m="1" x="9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0"/>
    <field x="16"/>
  </rowFields>
  <rowItems count="6">
    <i>
      <x v="18"/>
      <x v="5619"/>
      <x v="7"/>
    </i>
    <i r="1">
      <x v="5623"/>
      <x v="7"/>
    </i>
    <i>
      <x v="19"/>
      <x v="5620"/>
      <x v="7"/>
    </i>
    <i r="1">
      <x v="5621"/>
      <x v="7"/>
    </i>
    <i r="1">
      <x v="5622"/>
      <x v="7"/>
    </i>
    <i r="1">
      <x v="5624"/>
      <x v="7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tn" fld="1" baseField="0" baseItem="0"/>
    <dataField name="Pcs" fld="3" baseField="0" baseItem="0"/>
    <dataField name="(M-3)" fld="18" baseField="16" baseItem="7"/>
    <dataField name="Net Weight" fld="11" baseField="2" baseItem="0"/>
    <dataField name="Gross Weight" fld="10" baseField="0" baseItem="0"/>
    <dataField name="Inv Amount" fld="13" baseField="0" baseItem="0"/>
  </dataFields>
  <formats count="19">
    <format dxfId="41">
      <pivotArea field="2" type="button" dataOnly="0" labelOnly="1" outline="0" axis="axisRow" fieldPosition="0"/>
    </format>
    <format dxfId="40">
      <pivotArea field="20" type="button" dataOnly="0" labelOnly="1" outline="0"/>
    </format>
    <format dxfId="39">
      <pivotArea dataOnly="0" labelOnly="1" grandCol="1" outline="0" fieldPosition="0"/>
    </format>
    <format dxfId="3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dataOnly="0" outline="0" fieldPosition="0">
        <references count="1">
          <reference field="4294967294" count="2">
            <x v="3"/>
            <x v="4"/>
          </reference>
        </references>
      </pivotArea>
    </format>
    <format dxfId="36">
      <pivotArea dataOnly="0" outline="0" fieldPosition="0">
        <references count="1">
          <reference field="4294967294" count="1">
            <x v="5"/>
          </reference>
        </references>
      </pivotArea>
    </format>
    <format dxfId="35">
      <pivotArea field="2" type="button" dataOnly="0" labelOnly="1" outline="0" axis="axisRow" fieldPosition="0"/>
    </format>
    <format dxfId="34">
      <pivotArea field="0" type="button" dataOnly="0" labelOnly="1" outline="0" axis="axisRow" fieldPosition="1"/>
    </format>
    <format dxfId="33">
      <pivotArea dataOnly="0" labelOnly="1" outline="0" fieldPosition="0">
        <references count="1">
          <reference field="4294967294" count="5">
            <x v="0"/>
            <x v="1"/>
            <x v="3"/>
            <x v="4"/>
            <x v="5"/>
          </reference>
        </references>
      </pivotArea>
    </format>
    <format dxfId="32">
      <pivotArea dataOnly="0" outline="0" fieldPosition="0">
        <references count="1">
          <reference field="4294967294" count="1">
            <x v="5"/>
          </reference>
        </references>
      </pivotArea>
    </format>
    <format dxfId="31">
      <pivotArea field="2" type="button" dataOnly="0" labelOnly="1" outline="0" axis="axisRow" fieldPosition="0"/>
    </format>
    <format dxfId="30">
      <pivotArea field="0" type="button" dataOnly="0" labelOnly="1" outline="0" axis="axisRow" fieldPosition="1"/>
    </format>
    <format dxfId="29">
      <pivotArea field="16" type="button" dataOnly="0" labelOnly="1" outline="0" axis="axisRow" fieldPosition="2"/>
    </format>
    <format dxfId="28">
      <pivotArea dataOnly="0" labelOnly="1" outline="0" fieldPosition="0">
        <references count="1">
          <reference field="4294967294" count="5">
            <x v="0"/>
            <x v="1"/>
            <x v="3"/>
            <x v="4"/>
            <x v="5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6">
      <pivotArea outline="0" fieldPosition="0">
        <references count="1">
          <reference field="4294967294" count="1" selected="0"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">
      <pivotArea outline="0" fieldPosition="0">
        <references count="1">
          <reference field="4294967294" count="1" selected="0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2" cacheId="148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6" indent="0" compact="0" compactData="0" multipleFieldFilters="0">
  <location ref="B2:F5" firstHeaderRow="0" firstDataRow="1" firstDataCol="1"/>
  <pivotFields count="26">
    <pivotField compact="0" outline="0" showAll="0" defaultSubtotal="0">
      <items count="5625">
        <item m="1" x="3019"/>
        <item m="1" x="3056"/>
        <item m="1" x="5469"/>
        <item m="1" x="5494"/>
        <item m="1" x="5522"/>
        <item m="1" x="5542"/>
        <item m="1" x="5559"/>
        <item m="1" x="5576"/>
        <item m="1" x="5595"/>
        <item m="1" x="5612"/>
        <item m="1" x="15"/>
        <item m="1" x="47"/>
        <item m="1" x="2699"/>
        <item m="1" x="2721"/>
        <item m="1" x="2737"/>
        <item m="1" x="2557"/>
        <item m="1" x="2592"/>
        <item m="1" x="2609"/>
        <item m="1" x="2624"/>
        <item m="1" x="2641"/>
        <item m="1" x="2663"/>
        <item m="1" x="2692"/>
        <item m="1" x="5213"/>
        <item m="1" x="5230"/>
        <item m="1" x="5251"/>
        <item m="1" x="5267"/>
        <item m="1" x="5279"/>
        <item m="1" x="5291"/>
        <item m="1" x="5303"/>
        <item m="1" x="5315"/>
        <item m="1" x="5331"/>
        <item m="1" x="5351"/>
        <item m="1" x="2415"/>
        <item m="1" x="2432"/>
        <item m="1" x="2448"/>
        <item m="1" x="2459"/>
        <item m="1" x="2470"/>
        <item m="1" x="3041"/>
        <item m="1" x="3007"/>
        <item m="1" x="2961"/>
        <item m="1" x="2826"/>
        <item m="1" x="171"/>
        <item m="1" x="203"/>
        <item m="1" x="10"/>
        <item m="1" x="208"/>
        <item m="1" x="235"/>
        <item m="1" x="3048"/>
        <item m="1" x="256"/>
        <item m="1" x="294"/>
        <item m="1" x="340"/>
        <item m="1" x="373"/>
        <item m="1" x="412"/>
        <item m="1" x="3014"/>
        <item m="1" x="3077"/>
        <item m="1" x="3097"/>
        <item m="1" x="3115"/>
        <item m="1" x="3135"/>
        <item m="1" x="3158"/>
        <item m="1" x="275"/>
        <item m="1" x="315"/>
        <item m="1" x="5399"/>
        <item m="1" x="2952"/>
        <item m="1" x="5509"/>
        <item m="1" x="5536"/>
        <item m="1" x="5553"/>
        <item m="1" x="5588"/>
        <item m="1" x="5572"/>
        <item m="1" x="2874"/>
        <item m="1" x="5456"/>
        <item m="1" x="2972"/>
        <item m="1" x="17"/>
        <item m="1" x="2755"/>
        <item m="1" x="2769"/>
        <item m="1" x="2649"/>
        <item m="1" x="2674"/>
        <item m="1" x="2701"/>
        <item m="1" x="2723"/>
        <item m="1" x="2739"/>
        <item m="1" x="2786"/>
        <item m="1" x="848"/>
        <item m="1" x="2833"/>
        <item m="1" x="2807"/>
        <item m="1" x="5597"/>
        <item m="1" x="5614"/>
        <item m="1" x="3922"/>
        <item m="1" x="1195"/>
        <item m="1" x="3959"/>
        <item m="1" x="793"/>
        <item m="1" x="676"/>
        <item m="1" x="4507"/>
        <item m="1" x="4435"/>
        <item m="1" x="652"/>
        <item m="1" x="4605"/>
        <item m="1" x="4620"/>
        <item m="1" x="4642"/>
        <item m="1" x="4419"/>
        <item m="1" x="1716"/>
        <item m="1" x="611"/>
        <item m="1" x="774"/>
        <item m="1" x="4352"/>
        <item m="1" x="3405"/>
        <item m="1" x="801"/>
        <item m="1" x="4586"/>
        <item m="1" x="925"/>
        <item m="1" x="850"/>
        <item m="1" x="4321"/>
        <item m="1" x="4292"/>
        <item m="1" x="1670"/>
        <item m="1" x="766"/>
        <item m="1" x="720"/>
        <item m="1" x="699"/>
        <item m="1" x="1244"/>
        <item m="1" x="1279"/>
        <item m="1" x="4476"/>
        <item m="1" x="4663"/>
        <item m="1" x="3304"/>
        <item m="1" x="1477"/>
        <item m="1" x="1447"/>
        <item m="1" x="1318"/>
        <item m="1" x="3082"/>
        <item m="1" x="1559"/>
        <item m="1" x="1542"/>
        <item m="1" x="1576"/>
        <item m="1" x="1605"/>
        <item m="1" x="1592"/>
        <item m="1" x="1511"/>
        <item m="1" x="1252"/>
        <item m="1" x="3821"/>
        <item m="1" x="4200"/>
        <item m="1" x="4236"/>
        <item m="1" x="1377"/>
        <item m="1" x="1137"/>
        <item m="1" x="1018"/>
        <item m="1" x="4252"/>
        <item m="1" x="4297"/>
        <item m="1" x="4444"/>
        <item m="1" x="1584"/>
        <item m="1" x="1335"/>
        <item m="1" x="4174"/>
        <item m="1" x="4112"/>
        <item m="1" x="1417"/>
        <item m="1" x="1662"/>
        <item m="1" x="4072"/>
        <item m="1" x="1760"/>
        <item m="1" x="1302"/>
        <item m="1" x="3455"/>
        <item m="1" x="1438"/>
        <item m="1" x="1732"/>
        <item m="1" x="819"/>
        <item m="1" x="754"/>
        <item m="1" x="3420"/>
        <item m="1" x="3490"/>
        <item m="1" x="1397"/>
        <item m="1" x="1776"/>
        <item m="1" x="4143"/>
        <item m="1" x="1360"/>
        <item m="1" x="4500"/>
        <item m="1" x="4531"/>
        <item m="1" x="4218"/>
        <item m="1" x="1044"/>
        <item m="1" x="4270"/>
        <item m="1" x="1104"/>
        <item m="1" x="1464"/>
        <item m="1" x="1746"/>
        <item m="1" x="781"/>
        <item m="1" x="3396"/>
        <item m="1" x="1230"/>
        <item m="1" x="4570"/>
        <item m="1" x="4554"/>
        <item m="1" x="1796"/>
        <item m="1" x="451"/>
        <item m="1" x="529"/>
        <item m="1" x="3698"/>
        <item m="1" x="421"/>
        <item m="1" x="5370"/>
        <item m="1" x="416"/>
        <item m="1" x="346"/>
        <item m="1" x="321"/>
        <item m="1" x="300"/>
        <item m="1" x="379"/>
        <item m="1" x="3465"/>
        <item m="1" x="3428"/>
        <item m="1" x="242"/>
        <item m="1" x="261"/>
        <item m="1" x="212"/>
        <item m="1" x="182"/>
        <item m="1" x="281"/>
        <item m="1" x="4165"/>
        <item m="1" x="4010"/>
        <item m="1" x="4036"/>
        <item m="1" x="4093"/>
        <item m="1" x="4058"/>
        <item m="1" x="602"/>
        <item m="1" x="643"/>
        <item m="1" x="3223"/>
        <item m="1" x="3293"/>
        <item m="1" x="3319"/>
        <item m="1" x="3363"/>
        <item m="1" x="962"/>
        <item m="1" x="985"/>
        <item m="1" x="1006"/>
        <item m="1" x="3343"/>
        <item m="1" x="3255"/>
        <item m="1" x="3769"/>
        <item m="1" x="3810"/>
        <item m="1" x="3789"/>
        <item m="1" x="3751"/>
        <item m="1" x="3541"/>
        <item m="1" x="3492"/>
        <item m="1" x="3567"/>
        <item m="1" x="1138"/>
        <item m="1" x="1105"/>
        <item m="1" x="3730"/>
        <item m="1" x="1072"/>
        <item m="1" x="3012"/>
        <item m="1" x="2986"/>
        <item m="1" x="2966"/>
        <item m="1" x="2948"/>
        <item m="1" x="2929"/>
        <item m="1" x="2914"/>
        <item m="1" x="3961"/>
        <item m="1" x="3689"/>
        <item m="1" x="370"/>
        <item m="1" x="440"/>
        <item m="1" x="406"/>
        <item m="1" x="3924"/>
        <item m="1" x="3045"/>
        <item m="1" x="1175"/>
        <item m="1" x="1197"/>
        <item m="1" x="1253"/>
        <item m="1" x="1290"/>
        <item m="1" x="1328"/>
        <item m="1" x="1221"/>
        <item m="1" x="3883"/>
        <item m="1" x="309"/>
        <item m="1" x="271"/>
        <item m="1" x="3199"/>
        <item m="1" x="198"/>
        <item m="1" x="3209"/>
        <item m="1" x="331"/>
        <item m="1" x="4261"/>
        <item m="1" x="4285"/>
        <item m="1" x="252"/>
        <item m="1" x="4226"/>
        <item m="1" x="4245"/>
        <item m="1" x="4210"/>
        <item m="1" x="4190"/>
        <item m="1" x="1236"/>
        <item m="1" x="395"/>
        <item m="1" x="3161"/>
        <item m="1" x="1090"/>
        <item m="1" x="3109"/>
        <item m="1" x="3151"/>
        <item m="1" x="3176"/>
        <item m="1" x="3035"/>
        <item m="1" x="3004"/>
        <item m="1" x="1280"/>
        <item m="1" x="3231"/>
        <item m="1" x="1319"/>
        <item m="1" x="1369"/>
        <item m="1" x="1388"/>
        <item m="1" x="1429"/>
        <item m="1" x="1410"/>
        <item m="1" x="1487"/>
        <item m="1" x="5475"/>
        <item m="1" x="359"/>
        <item m="1" x="842"/>
        <item m="1" x="614"/>
        <item m="1" x="653"/>
        <item m="1" x="3714"/>
        <item m="1" x="1050"/>
        <item m="1" x="3649"/>
        <item m="1" x="3680"/>
        <item m="1" x="3412"/>
        <item m="1" x="1122"/>
        <item m="1" x="482"/>
        <item m="1" x="466"/>
        <item m="1" x="1167"/>
        <item m="1" x="1186"/>
        <item m="1" x="1208"/>
        <item m="1" x="3309"/>
        <item m="1" x="1084"/>
        <item m="1" x="745"/>
        <item m="1" x="701"/>
        <item m="1" x="678"/>
        <item m="1" x="3436"/>
        <item m="1" x="3474"/>
        <item m="1" x="3638"/>
        <item m="1" x="723"/>
        <item m="1" x="562"/>
        <item m="1" x="603"/>
        <item m="1" x="3195"/>
        <item m="1" x="3258"/>
        <item m="1" x="3321"/>
        <item m="1" x="3344"/>
        <item m="1" x="352"/>
        <item m="1" x="572"/>
        <item m="1" x="228"/>
        <item m="1" x="167"/>
        <item m="1" x="1478"/>
        <item m="1" x="1512"/>
        <item m="1" x="1683"/>
        <item m="1" x="4308"/>
        <item m="1" x="4521"/>
        <item m="1" x="1266"/>
        <item m="1" x="4370"/>
        <item m="1" x="4445"/>
        <item m="1" x="4426"/>
        <item m="1" x="4409"/>
        <item m="1" x="1291"/>
        <item m="1" x="1740"/>
        <item m="1" x="1811"/>
        <item m="1" x="1770"/>
        <item m="1" x="423"/>
        <item m="1" x="3811"/>
        <item m="1" x="3753"/>
        <item m="1" x="3732"/>
        <item m="1" x="453"/>
        <item m="1" x="3530"/>
        <item m="1" x="3672"/>
        <item m="1" x="1379"/>
        <item m="1" x="475"/>
        <item m="1" x="3507"/>
        <item m="1" x="4399"/>
        <item m="1" x="3762"/>
        <item m="1" x="386"/>
        <item m="1" x="3791"/>
        <item m="1" x="509"/>
        <item m="1" x="1198"/>
        <item m="1" x="3553"/>
        <item m="1" x="531"/>
        <item m="1" x="592"/>
        <item m="1" x="3841"/>
        <item m="1" x="3771"/>
        <item m="1" x="3781"/>
        <item m="1" x="1755"/>
        <item m="1" x="909"/>
        <item m="1" x="4597"/>
        <item m="1" x="4579"/>
        <item m="1" x="1007"/>
        <item m="1" x="4095"/>
        <item m="1" x="1615"/>
        <item m="1" x="1569"/>
        <item m="1" x="4629"/>
        <item m="1" x="4613"/>
        <item m="1" x="4652"/>
        <item m="1" x="4437"/>
        <item m="1" x="4457"/>
        <item m="1" x="4477"/>
        <item m="1" x="1672"/>
        <item m="1" x="4354"/>
        <item m="1" x="4323"/>
        <item m="1" x="4293"/>
        <item m="1" x="4400"/>
        <item m="1" x="4383"/>
        <item m="1" x="894"/>
        <item m="1" x="3611"/>
        <item m="1" x="4509"/>
        <item m="1" x="1246"/>
        <item m="1" x="1282"/>
        <item m="1" x="3716"/>
        <item m="1" x="4707"/>
        <item m="1" x="4692"/>
        <item m="1" x="3826"/>
        <item m="1" x="3860"/>
        <item m="1" x="4002"/>
        <item m="1" x="4049"/>
        <item m="1" x="852"/>
        <item m="1" x="813"/>
        <item m="1" x="776"/>
        <item m="1" x="4079"/>
        <item m="1" x="4027"/>
        <item m="1" x="3979"/>
        <item m="1" x="3946"/>
        <item m="1" x="4670"/>
        <item m="1" x="4648"/>
        <item m="1" x="1900"/>
        <item m="1" x="1912"/>
        <item m="1" x="3906"/>
        <item m="1" x="4119"/>
        <item m="1" x="3803"/>
        <item m="1" x="1890"/>
        <item m="1" x="1861"/>
        <item m="1" x="1872"/>
        <item m="1" x="1828"/>
        <item m="1" x="1805"/>
        <item m="1" x="1847"/>
        <item m="1" x="1448"/>
        <item m="1" x="1513"/>
        <item m="1" x="1479"/>
        <item m="1" x="4114"/>
        <item m="1" x="4146"/>
        <item m="1" x="4202"/>
        <item m="1" x="4220"/>
        <item m="1" x="4176"/>
        <item m="1" x="1909"/>
        <item m="1" x="4468"/>
        <item m="1" x="4097"/>
        <item m="1" x="4060"/>
        <item m="1" x="4039"/>
        <item m="1" x="1979"/>
        <item m="1" x="1693"/>
        <item m="1" x="1988"/>
        <item m="1" x="1955"/>
        <item m="1" x="1999"/>
        <item m="1" x="1971"/>
        <item m="1" x="4763"/>
        <item m="1" x="1962"/>
        <item m="1" x="4492"/>
        <item m="1" x="4447"/>
        <item m="1" x="4428"/>
        <item m="1" x="4679"/>
        <item m="1" x="1895"/>
        <item m="1" x="1921"/>
        <item m="1" x="4638"/>
        <item m="1" x="1886"/>
        <item m="1" x="1218"/>
        <item m="1" x="1617"/>
        <item m="1" x="1641"/>
        <item m="1" x="4263"/>
        <item m="1" x="4479"/>
        <item m="1" x="1248"/>
        <item m="1" x="1284"/>
        <item m="1" x="4402"/>
        <item m="1" x="4458"/>
        <item m="1" x="4356"/>
        <item m="1" x="4384"/>
        <item m="1" x="3605"/>
        <item m="1" x="3555"/>
        <item m="1" x="3532"/>
        <item m="1" x="3509"/>
        <item m="1" x="3476"/>
        <item m="1" x="921"/>
        <item m="1" x="3640"/>
        <item m="1" x="843"/>
        <item m="1" x="887"/>
        <item m="1" x="804"/>
        <item m="1" x="1390"/>
        <item m="1" x="1351"/>
        <item m="1" x="1412"/>
        <item m="1" x="1431"/>
        <item m="1" x="1372"/>
        <item m="1" x="1322"/>
        <item m="1" x="1452"/>
        <item m="1" x="4090"/>
        <item m="1" x="4129"/>
        <item m="1" x="454"/>
        <item m="1" x="3169"/>
        <item m="1" x="3123"/>
        <item m="1" x="3054"/>
        <item m="1" x="3144"/>
        <item m="1" x="2987"/>
        <item m="1" x="3013"/>
        <item m="1" x="3046"/>
        <item m="1" x="5514"/>
        <item m="1" x="5485"/>
        <item m="1" x="177"/>
        <item m="1" x="151"/>
        <item m="1" x="135"/>
        <item m="1" x="2783"/>
        <item m="1" x="2766"/>
        <item m="1" x="67"/>
        <item m="1" x="3875"/>
        <item m="1" x="5594"/>
        <item m="1" x="2752"/>
        <item m="1" x="3793"/>
        <item m="1" x="3458"/>
        <item m="1" x="821"/>
        <item m="1" x="3073"/>
        <item m="1" x="3773"/>
        <item m="1" x="2949"/>
        <item m="1" x="2930"/>
        <item m="1" x="38"/>
        <item m="1" x="2824"/>
        <item m="1" x="2967"/>
        <item m="1" x="667"/>
        <item m="1" x="3953"/>
        <item m="1" x="2734"/>
        <item m="1" x="862"/>
        <item m="1" x="734"/>
        <item m="1" x="691"/>
        <item m="1" x="3494"/>
        <item m="1" x="713"/>
        <item m="1" x="901"/>
        <item m="1" x="3521"/>
        <item m="1" x="785"/>
        <item m="1" x="634"/>
        <item m="1" x="5610"/>
        <item m="1" x="2802"/>
        <item m="1" x="5558"/>
        <item m="1" x="9"/>
        <item m="1" x="5540"/>
        <item m="1" x="2689"/>
        <item m="1" x="2715"/>
        <item m="1" x="2854"/>
        <item m="1" x="756"/>
        <item m="1" x="3111"/>
        <item m="1" x="3310"/>
        <item m="1" x="3333"/>
        <item m="1" x="3413"/>
        <item m="1" x="3390"/>
        <item m="1" x="272"/>
        <item m="1" x="290"/>
        <item m="1" x="361"/>
        <item m="1" x="333"/>
        <item m="1" x="397"/>
        <item m="1" x="429"/>
        <item m="1" x="3723"/>
        <item m="1" x="442"/>
        <item m="1" x="467"/>
        <item m="1" x="408"/>
        <item m="1" x="483"/>
        <item m="1" x="499"/>
        <item m="1" x="517"/>
        <item m="1" x="548"/>
        <item m="1" x="582"/>
        <item m="1" x="625"/>
        <item m="1" x="660"/>
        <item m="1" x="3241"/>
        <item m="1" x="207"/>
        <item m="1" x="234"/>
        <item m="1" x="2863"/>
        <item m="1" x="3569"/>
        <item m="1" x="3591"/>
        <item m="1" x="3619"/>
        <item m="1" x="3658"/>
        <item m="1" x="3690"/>
        <item m="1" x="3281"/>
        <item m="1" x="3353"/>
        <item m="1" x="3371"/>
        <item m="1" x="3447"/>
        <item m="1" x="3483"/>
        <item m="1" x="199"/>
        <item m="1" x="253"/>
        <item m="1" x="3037"/>
        <item m="1" x="3068"/>
        <item m="1" x="3094"/>
        <item m="1" x="3915"/>
        <item m="1" x="3201"/>
        <item m="1" x="3153"/>
        <item m="1" x="3267"/>
        <item m="1" x="161"/>
        <item m="1" x="189"/>
        <item m="1" x="2848"/>
        <item m="1" x="2880"/>
        <item m="1" x="3130"/>
        <item m="1" x="219"/>
        <item m="1" x="2905"/>
        <item m="1" x="2940"/>
        <item m="1" x="1344"/>
        <item m="1" x="3909"/>
        <item m="1" x="1273"/>
        <item m="1" x="1314"/>
        <item m="1" x="3947"/>
        <item m="1" x="3981"/>
        <item m="1" x="2922"/>
        <item m="1" x="3510"/>
        <item m="1" x="3534"/>
        <item m="1" x="3581"/>
        <item m="1" x="3557"/>
        <item m="1" x="455"/>
        <item m="1" x="534"/>
        <item m="1" x="491"/>
        <item m="1" x="3438"/>
        <item m="1" x="303"/>
        <item m="1" x="323"/>
        <item m="1" x="129"/>
        <item m="1" x="143"/>
        <item m="1" x="117"/>
        <item m="1" x="86"/>
        <item m="1" x="102"/>
        <item m="1" x="31"/>
        <item m="1" x="62"/>
        <item m="1" x="1200"/>
        <item m="1" x="1076"/>
        <item m="1" x="1257"/>
        <item m="1" x="1223"/>
        <item m="1" x="1501"/>
        <item m="1" x="1467"/>
        <item m="1" x="348"/>
        <item m="1" x="1533"/>
        <item m="1" x="4177"/>
        <item m="1" x="3124"/>
        <item m="1" x="3170"/>
        <item m="1" x="3219"/>
        <item m="1" x="1338"/>
        <item m="1" x="1305"/>
        <item m="1" x="1363"/>
        <item m="1" x="1401"/>
        <item m="1" x="1177"/>
        <item m="1" x="3191"/>
        <item m="1" x="3146"/>
        <item m="1" x="3251"/>
        <item m="1" x="1381"/>
        <item m="1" x="1440"/>
        <item m="1" x="1419"/>
        <item m="1" x="1140"/>
        <item m="1" x="1108"/>
        <item m="1" x="4361"/>
        <item m="1" x="4272"/>
        <item m="1" x="4238"/>
        <item m="1" x="4203"/>
        <item m="1" x="4221"/>
        <item m="1" x="4254"/>
        <item m="1" x="4300"/>
        <item m="1" x="4332"/>
        <item m="1" x="3965"/>
        <item m="1" x="3989"/>
        <item m="1" x="3886"/>
        <item m="1" x="3928"/>
        <item m="1" x="4014"/>
        <item m="1" x="4134"/>
        <item m="1" x="878"/>
        <item m="1" x="3323"/>
        <item m="1" x="4167"/>
        <item m="1" x="834"/>
        <item m="1" x="4061"/>
        <item m="1" x="4099"/>
        <item m="1" x="986"/>
        <item m="1" x="965"/>
        <item m="1" x="942"/>
        <item m="1" x="913"/>
        <item m="1" x="636"/>
        <item m="1" x="669"/>
        <item m="1" x="758"/>
        <item m="1" x="787"/>
        <item m="1" x="594"/>
        <item m="1" x="693"/>
        <item m="1" x="714"/>
        <item m="1" x="736"/>
        <item m="1" x="823"/>
        <item m="1" x="864"/>
        <item m="1" x="3424"/>
        <item m="1" x="3460"/>
        <item m="1" x="3593"/>
        <item m="1" x="3523"/>
        <item m="1" x="3544"/>
        <item m="1" x="3621"/>
        <item m="1" x="3571"/>
        <item m="1" x="1680"/>
        <item m="1" x="371"/>
        <item m="1" x="3917"/>
        <item m="1" x="3692"/>
        <item m="1" x="3877"/>
        <item m="1" x="3335"/>
        <item m="1" x="3243"/>
        <item m="1" x="3283"/>
        <item m="1" x="3312"/>
        <item m="1" x="485"/>
        <item m="1" x="3355"/>
        <item m="1" x="3210"/>
        <item m="1" x="3415"/>
        <item m="1" x="627"/>
        <item m="1" x="519"/>
        <item m="1" x="550"/>
        <item m="1" x="584"/>
        <item m="1" x="3449"/>
        <item m="1" x="1673"/>
        <item m="1" x="1700"/>
        <item m="1" x="4325"/>
        <item m="1" x="4357"/>
        <item m="1" x="4385"/>
        <item m="1" x="1391"/>
        <item m="1" x="4147"/>
        <item m="1" x="1353"/>
        <item m="1" x="1373"/>
        <item m="1" x="1413"/>
        <item m="1" x="1432"/>
        <item m="1" x="1453"/>
        <item m="1" x="1489"/>
        <item m="1" x="4510"/>
        <item m="1" x="1324"/>
        <item m="1" x="1286"/>
        <item m="1" x="3948"/>
        <item m="1" x="3910"/>
        <item m="1" x="3982"/>
        <item m="1" x="854"/>
        <item m="1" x="4030"/>
        <item m="1" x="4051"/>
        <item m="1" x="4120"/>
        <item m="1" x="4154"/>
        <item m="1" x="814"/>
        <item m="1" x="4080"/>
        <item m="1" x="1748"/>
        <item m="1" x="1762"/>
        <item m="1" x="1734"/>
        <item m="1" x="1821"/>
        <item m="1" x="1718"/>
        <item m="1" x="1577"/>
        <item m="1" x="1560"/>
        <item m="1" x="1543"/>
        <item m="1" x="1515"/>
        <item m="1" x="4571"/>
        <item m="1" x="4606"/>
        <item m="1" x="4621"/>
        <item m="1" x="4587"/>
        <item m="1" x="896"/>
        <item m="1" x="3684"/>
        <item m="1" x="3674"/>
        <item m="1" x="1663"/>
        <item m="1" x="3642"/>
        <item m="1" x="1626"/>
        <item m="1" x="4664"/>
        <item m="1" x="4643"/>
        <item m="1" x="3061"/>
        <item m="1" x="3911"/>
        <item m="1" x="3835"/>
        <item m="1" x="1275"/>
        <item m="1" x="3949"/>
        <item m="1" x="4246"/>
        <item m="1" x="3870"/>
        <item m="1" x="1238"/>
        <item m="1" x="4515"/>
        <item m="1" x="4708"/>
        <item m="1" x="1927"/>
        <item m="1" x="4750"/>
        <item m="1" x="4738"/>
        <item m="1" x="4718"/>
        <item m="1" x="4503"/>
        <item m="1" x="1666"/>
        <item m="1" x="1578"/>
        <item m="1" x="1593"/>
        <item m="1" x="1544"/>
        <item m="1" x="1562"/>
        <item m="1" x="1517"/>
        <item m="1" x="1608"/>
        <item m="1" x="1627"/>
        <item m="1" x="4283"/>
        <item m="1" x="1653"/>
        <item m="1" x="2033"/>
        <item m="1" x="1750"/>
        <item m="1" x="1765"/>
        <item m="1" x="1636"/>
        <item m="1" x="1696"/>
        <item m="1" x="1735"/>
        <item m="1" x="1879"/>
        <item m="1" x="4905"/>
        <item m="1" x="4886"/>
        <item m="1" x="4408"/>
        <item m="1" x="4881"/>
        <item m="1" x="4898"/>
        <item m="1" x="4891"/>
        <item m="1" x="1972"/>
        <item m="1" x="1963"/>
        <item m="1" x="4852"/>
        <item m="1" x="1058"/>
        <item m="1" x="4765"/>
        <item m="1" x="1980"/>
        <item m="1" x="1092"/>
        <item m="1" x="4429"/>
        <item m="1" x="2001"/>
        <item m="1" x="1990"/>
        <item m="1" x="4312"/>
        <item m="1" x="4448"/>
        <item m="1" x="1268"/>
        <item m="1" x="4469"/>
        <item m="1" x="1468"/>
        <item m="1" x="4493"/>
        <item m="1" x="4413"/>
        <item m="1" x="1124"/>
        <item m="1" x="4374"/>
        <item m="1" x="4489"/>
        <item m="1" x="4543"/>
        <item m="1" x="4744"/>
        <item m="1" x="4723"/>
        <item m="1" x="4701"/>
        <item m="1" x="1791"/>
        <item m="1" x="1498"/>
        <item m="1" x="1531"/>
        <item m="1" x="1556"/>
        <item m="1" x="1572"/>
        <item m="1" x="1462"/>
        <item m="1" x="1436"/>
        <item m="1" x="4656"/>
        <item m="1" x="4633"/>
        <item m="1" x="4295"/>
        <item m="1" x="1619"/>
        <item m="1" x="4461"/>
        <item m="1" x="4482"/>
        <item m="1" x="1602"/>
        <item m="1" x="4733"/>
        <item m="1" x="4722"/>
        <item m="1" x="4774"/>
        <item m="1" x="2049"/>
        <item m="1" x="1588"/>
        <item m="1" x="4328"/>
        <item m="1" x="4680"/>
        <item m="1" x="2063"/>
        <item m="1" x="2054"/>
        <item m="1" x="4699"/>
        <item m="1" x="2031"/>
        <item m="1" x="4934"/>
        <item m="1" x="2010"/>
        <item m="1" x="4938"/>
        <item m="1" x="2023"/>
        <item m="1" x="4835"/>
        <item m="1" x="2039"/>
        <item m="1" x="2035"/>
        <item m="1" x="4846"/>
        <item m="1" x="4517"/>
        <item m="1" x="2047"/>
        <item m="1" x="2052"/>
        <item m="1" x="2042"/>
        <item m="1" x="1994"/>
        <item m="1" x="1982"/>
        <item m="1" x="1721"/>
        <item m="1" x="4803"/>
        <item m="1" x="4757"/>
        <item m="1" x="4772"/>
        <item m="1" x="4825"/>
        <item m="1" x="4810"/>
        <item m="1" x="4901"/>
        <item m="1" x="1951"/>
        <item m="1" x="1944"/>
        <item m="1" x="1933"/>
        <item m="1" x="1918"/>
        <item m="1" x="1785"/>
        <item m="1" x="1959"/>
        <item m="1" x="1966"/>
        <item m="1" x="1975"/>
        <item m="1" x="1904"/>
        <item m="1" x="4842"/>
        <item m="1" x="1863"/>
        <item m="1" x="1850"/>
        <item m="1" x="1882"/>
        <item m="1" x="1830"/>
        <item m="1" x="1874"/>
        <item m="1" x="4752"/>
        <item m="1" x="4673"/>
        <item m="1" x="4694"/>
        <item m="1" x="1737"/>
        <item m="1" x="1723"/>
        <item m="1" x="1751"/>
        <item m="1" x="1637"/>
        <item m="1" x="1667"/>
        <item m="1" x="1697"/>
        <item m="1" x="4455"/>
        <item m="1" x="4504"/>
        <item m="1" x="4475"/>
        <item m="1" x="1799"/>
        <item m="1" x="1779"/>
        <item m="1" x="1110"/>
        <item m="1" x="4590"/>
        <item m="1" x="4574"/>
        <item m="1" x="4628"/>
        <item m="1" x="4710"/>
        <item m="1" x="4533"/>
        <item m="1" x="4556"/>
        <item m="1" x="4610"/>
        <item m="1" x="4644"/>
        <item m="1" x="4624"/>
        <item m="1" x="4064"/>
        <item m="1" x="4042"/>
        <item m="1" x="4103"/>
        <item m="1" x="4136"/>
        <item m="1" x="4168"/>
        <item m="1" x="882"/>
        <item m="1" x="946"/>
        <item m="1" x="989"/>
        <item m="1" x="1012"/>
        <item m="1" x="1131"/>
        <item m="1" x="3777"/>
        <item m="1" x="3816"/>
        <item m="1" x="738"/>
        <item m="1" x="825"/>
        <item m="1" x="866"/>
        <item m="1" x="789"/>
        <item m="1" x="760"/>
        <item m="1" x="3847"/>
        <item m="1" x="3879"/>
        <item m="1" x="3798"/>
        <item m="1" x="3757"/>
        <item m="1" x="3704"/>
        <item m="1" x="1098"/>
        <item m="1" x="1066"/>
        <item m="1" x="969"/>
        <item m="1" x="917"/>
        <item m="1" x="4197"/>
        <item m="1" x="3497"/>
        <item m="1" x="1225"/>
        <item m="1" x="3991"/>
        <item m="1" x="1294"/>
        <item m="1" x="3932"/>
        <item m="1" x="3968"/>
        <item m="1" x="4017"/>
        <item m="1" x="3919"/>
        <item m="1" x="638"/>
        <item m="1" x="1330"/>
        <item m="1" x="1357"/>
        <item m="1" x="1039"/>
        <item m="1" x="3955"/>
        <item m="1" x="3337"/>
        <item m="1" x="3313"/>
        <item m="1" x="3285"/>
        <item m="1" x="3659"/>
        <item m="1" x="3724"/>
        <item m="1" x="3694"/>
        <item m="1" x="3623"/>
        <item m="1" x="410"/>
        <item m="1" x="3573"/>
        <item m="1" x="1259"/>
        <item m="1" x="3595"/>
        <item m="1" x="3546"/>
        <item m="1" x="431"/>
        <item m="1" x="336"/>
        <item m="1" x="364"/>
        <item m="1" x="400"/>
        <item m="1" x="3156"/>
        <item m="1" x="3133"/>
        <item m="1" x="3180"/>
        <item m="1" x="1354"/>
        <item m="1" x="1325"/>
        <item m="1" x="3269"/>
        <item m="1" x="1374"/>
        <item m="1" x="1393"/>
        <item m="1" x="1490"/>
        <item m="1" x="1455"/>
        <item m="1" x="470"/>
        <item m="1" x="444"/>
        <item m="1" x="4265"/>
        <item m="1" x="4288"/>
        <item m="1" x="1213"/>
        <item m="1" x="1240"/>
        <item m="1" x="4156"/>
        <item m="1" x="4247"/>
        <item m="1" x="4317"/>
        <item m="1" x="4230"/>
        <item m="1" x="657"/>
        <item m="1" x="618"/>
        <item m="1" x="3940"/>
        <item m="1" x="683"/>
        <item m="1" x="3900"/>
        <item m="1" x="772"/>
        <item m="1" x="807"/>
        <item m="1" x="750"/>
        <item m="1" x="3710"/>
        <item m="1" x="389"/>
        <item m="1" x="3864"/>
        <item m="1" x="3441"/>
        <item m="1" x="3561"/>
        <item m="1" x="845"/>
        <item m="1" x="3644"/>
        <item m="1" x="3584"/>
        <item m="1" x="3675"/>
        <item m="1" x="889"/>
        <item m="1" x="1422"/>
        <item m="1" x="1405"/>
        <item m="1" x="1383"/>
        <item m="1" x="706"/>
        <item m="1" x="728"/>
        <item m="1" x="1470"/>
        <item m="1" x="1504"/>
        <item m="1" x="1535"/>
        <item m="1" x="1112"/>
        <item m="1" x="1161"/>
        <item m="1" x="1144"/>
        <item m="1" x="4363"/>
        <item m="1" x="1080"/>
        <item m="1" x="4335"/>
        <item m="1" x="3480"/>
        <item m="1" x="3514"/>
        <item m="1" x="1262"/>
        <item m="1" x="1297"/>
        <item m="1" x="1228"/>
        <item m="1" x="1332"/>
        <item m="1" x="3890"/>
        <item m="1" x="3935"/>
        <item m="1" x="4242"/>
        <item m="1" x="4258"/>
        <item m="1" x="4304"/>
        <item m="1" x="4276"/>
        <item m="1" x="3971"/>
        <item m="1" x="3994"/>
        <item m="1" x="4020"/>
        <item m="1" x="4170"/>
        <item m="1" x="4044"/>
        <item m="1" x="4139"/>
        <item m="1" x="919"/>
        <item m="1" x="838"/>
        <item m="1" x="4066"/>
        <item m="1" x="991"/>
        <item m="1" x="948"/>
        <item m="1" x="1041"/>
        <item m="1" x="884"/>
        <item m="1" x="1015"/>
        <item m="1" x="4106"/>
        <item m="1" x="1204"/>
        <item m="1" x="4181"/>
        <item m="1" x="1182"/>
        <item m="1" x="4150"/>
        <item m="1" x="3849"/>
        <item m="1" x="3818"/>
        <item m="1" x="4867"/>
        <item m="1" x="4878"/>
        <item m="1" x="4888"/>
        <item m="1" x="4894"/>
        <item m="1" x="4874"/>
        <item m="1" x="4883"/>
        <item m="1" x="597"/>
        <item m="1" x="641"/>
        <item m="1" x="537"/>
        <item m="1" x="566"/>
        <item m="1" x="608"/>
        <item m="1" x="647"/>
        <item m="1" x="3263"/>
        <item m="1" x="3226"/>
        <item m="1" x="3298"/>
        <item m="1" x="3325"/>
        <item m="1" x="3347"/>
        <item m="1" x="3382"/>
        <item m="1" x="3365"/>
        <item m="1" x="4470"/>
        <item m="1" x="4494"/>
        <item m="1" x="4523"/>
        <item m="1" x="1579"/>
        <item m="1" x="1594"/>
        <item m="1" x="1710"/>
        <item m="1" x="4449"/>
        <item m="1" x="4548"/>
        <item m="1" x="1308"/>
        <item m="1" x="3432"/>
        <item m="1" x="3468"/>
        <item m="1" x="1518"/>
        <item m="1" x="1545"/>
        <item m="1" x="1563"/>
        <item m="1" x="1609"/>
        <item m="1" x="1654"/>
        <item m="1" x="1628"/>
        <item m="1" x="1685"/>
        <item m="1" x="4343"/>
        <item m="1" x="4375"/>
        <item m="1" x="4394"/>
        <item m="1" x="4414"/>
        <item m="1" x="671"/>
        <item m="1" x="696"/>
        <item m="1" x="3738"/>
        <item m="1" x="3668"/>
        <item m="1" x="3706"/>
        <item m="1" x="4513"/>
        <item m="1" x="4463"/>
        <item m="1" x="4425"/>
        <item m="1" x="4388"/>
        <item m="1" x="4330"/>
        <item m="1" x="1702"/>
        <item m="1" x="4583"/>
        <item m="1" x="4566"/>
        <item m="1" x="4518"/>
        <item m="1" x="1836"/>
        <item m="1" x="1792"/>
        <item m="1" x="1758"/>
        <item m="1" x="1729"/>
        <item m="1" x="3696"/>
        <item m="1" x="3597"/>
        <item m="1" x="3575"/>
        <item m="1" x="3463"/>
        <item m="1" x="827"/>
        <item m="1" x="791"/>
        <item m="1" x="740"/>
        <item m="1" x="761"/>
        <item m="1" x="868"/>
        <item m="1" x="3425"/>
        <item m="1" x="3499"/>
        <item m="1" x="3548"/>
        <item m="1" x="3625"/>
        <item m="1" x="1707"/>
        <item m="1" x="1743"/>
        <item m="1" x="1773"/>
        <item m="1" x="1814"/>
        <item m="1" x="1854"/>
        <item m="1" x="4544"/>
        <item m="1" x="4601"/>
        <item m="1" x="1590"/>
        <item m="1" x="1603"/>
        <item m="1" x="1621"/>
        <item m="1" x="1645"/>
        <item m="1" x="1676"/>
        <item m="1" x="4360"/>
        <item m="1" x="4405"/>
        <item m="1" x="4442"/>
        <item m="1" x="4484"/>
        <item m="1" x="4538"/>
        <item m="1" x="717"/>
        <item m="1" x="1001"/>
        <item m="1" x="1029"/>
        <item m="1" x="1088"/>
        <item m="1" x="3653"/>
        <item m="1" x="1055"/>
        <item m="1" x="1492"/>
        <item m="1" x="1457"/>
        <item m="1" x="1875"/>
        <item m="1" x="4535"/>
        <item m="1" x="4558"/>
        <item m="1" x="4576"/>
        <item m="1" x="4592"/>
        <item m="1" x="1928"/>
        <item m="1" x="1902"/>
        <item m="1" x="1883"/>
        <item m="1" x="4695"/>
        <item m="1" x="1915"/>
        <item m="1" x="1892"/>
        <item m="1" x="4674"/>
        <item m="1" x="1939"/>
        <item m="1" x="4506"/>
        <item m="1" x="1843"/>
        <item m="1" x="1823"/>
        <item m="1" x="1801"/>
        <item m="1" x="1781"/>
        <item m="1" x="1767"/>
        <item m="1" x="1752"/>
        <item m="1" x="932"/>
        <item m="1" x="956"/>
        <item m="1" x="858"/>
        <item m="1" x="4158"/>
        <item m="1" x="4084"/>
        <item m="1" x="4032"/>
        <item m="1" x="3984"/>
        <item m="1" x="3913"/>
        <item m="1" x="3871"/>
        <item m="1" x="1278"/>
        <item m="1" x="1242"/>
        <item m="1" x="1172"/>
        <item m="1" x="1128"/>
        <item m="1" x="4349"/>
        <item m="1" x="4319"/>
        <item m="1" x="899"/>
        <item m="1" x="816"/>
        <item m="1" x="4124"/>
        <item m="1" x="4053"/>
        <item m="1" x="4006"/>
        <item m="1" x="3951"/>
        <item m="1" x="1317"/>
        <item m="1" x="1215"/>
        <item m="1" x="1192"/>
        <item m="1" x="1151"/>
        <item m="1" x="1096"/>
        <item m="1" x="1062"/>
        <item m="1" x="4290"/>
        <item m="1" x="4267"/>
        <item m="1" x="4249"/>
        <item m="1" x="4232"/>
        <item m="1" x="4215"/>
        <item m="1" x="980"/>
        <item m="1" x="3748"/>
        <item m="1" x="3721"/>
        <item m="1" x="1520"/>
        <item m="1" x="4687"/>
        <item m="1" x="4666"/>
        <item m="1" x="4416"/>
        <item m="1" x="4431"/>
        <item m="1" x="4451"/>
        <item m="1" x="1738"/>
        <item m="1" x="4472"/>
        <item m="1" x="1656"/>
        <item m="1" x="4496"/>
        <item m="1" x="1069"/>
        <item m="1" x="1100"/>
        <item m="1" x="1506"/>
        <item m="1" x="1341"/>
        <item m="1" x="1366"/>
        <item m="1" x="1385"/>
        <item m="1" x="1424"/>
        <item m="1" x="1472"/>
        <item m="1" x="1310"/>
        <item m="1" x="3661"/>
        <item m="1" x="3526"/>
        <item m="1" x="1964"/>
        <item m="1" x="2002"/>
        <item m="1" x="4829"/>
        <item m="1" x="2012"/>
        <item m="1" x="4616"/>
        <item m="1" x="1973"/>
        <item m="1" x="4849"/>
        <item m="1" x="4860"/>
        <item m="1" x="4822"/>
        <item m="1" x="1956"/>
        <item m="1" x="1925"/>
        <item m="1" x="4140"/>
        <item m="1" x="4108"/>
        <item m="1" x="4778"/>
        <item m="1" x="4837"/>
        <item m="1" x="3892"/>
        <item m="1" x="4815"/>
        <item m="1" x="1708"/>
        <item m="1" x="1730"/>
        <item m="1" x="1818"/>
        <item m="1" x="3996"/>
        <item m="1" x="4022"/>
        <item m="1" x="1264"/>
        <item m="1" x="3856"/>
        <item m="1" x="1299"/>
        <item m="1" x="3973"/>
        <item m="1" x="3936"/>
        <item m="1" x="4068"/>
        <item m="1" x="1840"/>
        <item m="1" x="1681"/>
        <item m="1" x="4045"/>
        <item m="1" x="4519"/>
        <item m="1" x="4567"/>
        <item m="1" x="4602"/>
        <item m="1" x="4545"/>
        <item m="1" x="1759"/>
        <item m="1" x="4490"/>
        <item m="1" x="1793"/>
        <item m="1" x="1774"/>
        <item m="1" x="1744"/>
        <item m="1" x="1837"/>
        <item m="1" x="1547"/>
        <item m="1" x="1483"/>
        <item m="1" x="4657"/>
        <item m="1" x="4676"/>
        <item m="1" x="1857"/>
        <item m="1" x="1870"/>
        <item m="1" x="1937"/>
        <item m="1" x="4662"/>
        <item m="1" x="4682"/>
        <item m="1" x="4703"/>
        <item m="1" x="1898"/>
        <item m="1" x="1908"/>
        <item m="1" x="1923"/>
        <item m="1" x="1880"/>
        <item m="1" x="1888"/>
        <item m="1" x="4735"/>
        <item m="1" x="4725"/>
        <item m="1" x="2174"/>
        <item m="1" x="2163"/>
        <item m="1" x="4989"/>
        <item m="1" x="5027"/>
        <item m="1" x="5019"/>
        <item m="1" x="5015"/>
        <item m="1" x="2185"/>
        <item m="1" x="5005"/>
        <item m="1" x="5007"/>
        <item m="1" x="2186"/>
        <item m="1" x="4951"/>
        <item m="1" x="2214"/>
        <item m="1" x="4997"/>
        <item m="1" x="2208"/>
        <item m="1" x="5031"/>
        <item m="1" x="5026"/>
        <item m="1" x="2191"/>
        <item m="1" x="5002"/>
        <item m="1" x="4950"/>
        <item m="1" x="2176"/>
        <item m="1" x="4921"/>
        <item m="1" x="2167"/>
        <item m="1" x="4965"/>
        <item m="1" x="2184"/>
        <item m="1" x="5001"/>
        <item m="1" x="2165"/>
        <item m="1" x="5034"/>
        <item m="1" x="5006"/>
        <item m="1" x="2213"/>
        <item m="1" x="4714"/>
        <item m="1" x="4970"/>
        <item m="1" x="2109"/>
        <item m="1" x="4953"/>
        <item m="1" x="2078"/>
        <item m="1" x="5029"/>
        <item m="1" x="2136"/>
        <item m="1" x="2168"/>
        <item m="1" x="2110"/>
        <item m="1" x="4994"/>
        <item m="1" x="2156"/>
        <item m="1" x="5165"/>
        <item m="1" x="5207"/>
        <item m="1" x="5263"/>
        <item m="1" x="2347"/>
        <item m="1" x="2359"/>
        <item m="1" x="5244"/>
        <item m="1" x="2370"/>
        <item m="1" x="2380"/>
        <item m="1" x="2390"/>
        <item m="1" x="2401"/>
        <item m="1" x="2204"/>
        <item m="1" x="5083"/>
        <item m="1" x="2261"/>
        <item m="1" x="5109"/>
        <item m="1" x="5089"/>
        <item m="1" x="2251"/>
        <item m="1" x="2248"/>
        <item m="1" x="5099"/>
        <item m="1" x="5145"/>
        <item m="1" x="5155"/>
        <item m="1" x="2267"/>
        <item m="1" x="4988"/>
        <item m="1" x="2015"/>
        <item m="1" x="1942"/>
        <item m="1" x="2172"/>
        <item m="1" x="2199"/>
        <item m="1" x="5017"/>
        <item m="1" x="2198"/>
        <item m="1" x="5024"/>
        <item m="1" x="2207"/>
        <item m="1" x="2079"/>
        <item m="1" x="5013"/>
        <item m="1" x="2183"/>
        <item m="1" x="4985"/>
        <item m="1" x="4966"/>
        <item m="1" x="2105"/>
        <item m="1" x="4983"/>
        <item m="1" x="2135"/>
        <item m="1" x="4992"/>
        <item m="1" x="4981"/>
        <item m="1" x="2132"/>
        <item m="1" x="4964"/>
        <item m="1" x="2193"/>
        <item m="1" x="2189"/>
        <item m="1" x="5011"/>
        <item m="1" x="2152"/>
        <item m="1" x="2310"/>
        <item m="1" x="2303"/>
        <item m="1" x="2243"/>
        <item m="1" x="4999"/>
        <item m="1" x="2026"/>
        <item m="1" x="2209"/>
        <item m="1" x="2128"/>
        <item m="1" x="4990"/>
        <item m="1" x="5014"/>
        <item m="1" x="2192"/>
        <item m="1" x="2221"/>
        <item m="1" x="4978"/>
        <item m="1" x="5004"/>
        <item m="1" x="2148"/>
        <item m="1" x="2240"/>
        <item m="1" x="2234"/>
        <item m="1" x="2236"/>
        <item m="1" x="2231"/>
        <item m="1" x="2233"/>
        <item m="1" x="2232"/>
        <item m="1" x="2230"/>
        <item m="1" x="5036"/>
        <item m="1" x="5037"/>
        <item m="1" x="5040"/>
        <item m="1" x="2218"/>
        <item m="1" x="2224"/>
        <item m="1" x="2225"/>
        <item m="1" x="2483"/>
        <item m="1" x="2492"/>
        <item m="1" x="2505"/>
        <item m="1" x="2521"/>
        <item m="1" x="5363"/>
        <item m="1" x="5383"/>
        <item m="1" x="2440"/>
        <item m="1" x="2452"/>
        <item m="1" x="2226"/>
        <item m="1" x="2227"/>
        <item m="1" x="5283"/>
        <item m="1" x="5295"/>
        <item m="1" x="5322"/>
        <item m="1" x="5340"/>
        <item m="1" x="5308"/>
        <item m="1" x="5182"/>
        <item m="1" x="2332"/>
        <item m="1" x="5191"/>
        <item m="1" x="5175"/>
        <item m="1" x="5169"/>
        <item m="1" x="5061"/>
        <item m="1" x="5066"/>
        <item m="1" x="5069"/>
        <item m="1" x="5076"/>
        <item m="1" x="2223"/>
        <item m="1" x="2219"/>
        <item m="1" x="2222"/>
        <item m="1" x="5039"/>
        <item m="1" x="5050"/>
        <item m="1" x="5052"/>
        <item m="1" x="5056"/>
        <item m="1" x="5048"/>
        <item m="1" x="5042"/>
        <item m="1" x="2323"/>
        <item m="1" x="5045"/>
        <item m="1" x="2287"/>
        <item m="1" x="2315"/>
        <item m="1" x="5073"/>
        <item m="1" x="5054"/>
        <item m="1" x="5046"/>
        <item m="1" x="5038"/>
        <item m="1" x="2358"/>
        <item m="1" x="2345"/>
        <item m="1" x="2295"/>
        <item m="1" x="5080"/>
        <item m="1" x="2353"/>
        <item m="1" x="2364"/>
        <item m="1" x="2473"/>
        <item m="1" x="5272"/>
        <item m="1" x="2461"/>
        <item m="1" x="2545"/>
        <item m="1" x="2566"/>
        <item m="1" x="5152"/>
        <item m="1" x="5161"/>
        <item m="1" x="2375"/>
        <item m="1" x="2384"/>
        <item m="1" x="2395"/>
        <item m="1" x="2405"/>
        <item m="1" x="5234"/>
        <item m="1" x="2340"/>
        <item m="1" x="5238"/>
        <item m="1" x="5257"/>
        <item m="1" x="2417"/>
        <item m="1" x="5255"/>
        <item m="1" x="5106"/>
        <item m="1" x="5096"/>
        <item m="1" x="5113"/>
        <item m="1" x="5159"/>
        <item m="1" x="5128"/>
        <item m="1" x="5117"/>
        <item m="1" x="5067"/>
        <item m="1" x="5071"/>
        <item m="1" x="5078"/>
        <item m="1" x="5075"/>
        <item m="1" x="5081"/>
        <item m="1" x="5063"/>
        <item m="1" x="5058"/>
        <item m="1" x="2338"/>
        <item m="1" x="2352"/>
        <item m="1" x="5139"/>
        <item m="1" x="2242"/>
        <item m="1" x="5085"/>
        <item m="1" x="5094"/>
        <item m="1" x="5104"/>
        <item m="1" x="5171"/>
        <item m="1" x="5043"/>
        <item m="1" x="5187"/>
        <item m="1" x="2278"/>
        <item m="1" x="5065"/>
        <item m="1" x="2412"/>
        <item m="1" x="2288"/>
        <item m="1" x="2256"/>
        <item m="1" x="2229"/>
        <item m="1" x="5177"/>
        <item m="1" x="5164"/>
        <item m="1" x="2276"/>
        <item m="1" x="5060"/>
        <item m="1" x="2273"/>
        <item m="1" x="2292"/>
        <item m="1" x="2300"/>
        <item m="1" x="2307"/>
        <item m="1" x="2313"/>
        <item m="1" x="2284"/>
        <item m="1" x="2235"/>
        <item m="1" x="5057"/>
        <item m="1" x="2265"/>
        <item m="1" x="2272"/>
        <item m="1" x="2282"/>
        <item m="1" x="5041"/>
        <item m="1" x="5150"/>
        <item m="1" x="2238"/>
        <item m="1" x="5417"/>
        <item m="1" x="5404"/>
        <item m="1" x="5389"/>
        <item m="1" x="5432"/>
        <item m="1" x="5515"/>
        <item m="1" x="2535"/>
        <item m="1" x="2575"/>
        <item m="1" x="2555"/>
        <item m="1" x="2590"/>
        <item m="1" x="5486"/>
        <item m="1" x="5444"/>
        <item m="1" x="2607"/>
        <item m="1" x="2622"/>
        <item m="1" x="5373"/>
        <item m="1" x="2431"/>
        <item m="1" x="2446"/>
        <item m="1" x="5349"/>
        <item m="1" x="5329"/>
        <item m="1" x="2661"/>
        <item m="1" x="2716"/>
        <item m="1" x="2639"/>
        <item m="1" x="2690"/>
        <item m="1" x="5249"/>
        <item m="1" x="5228"/>
        <item m="1" x="5301"/>
        <item m="1" x="5289"/>
        <item m="1" x="5313"/>
        <item m="1" x="5277"/>
        <item m="1" x="5265"/>
        <item m="1" x="2457"/>
        <item m="1" x="2468"/>
        <item m="1" x="2480"/>
        <item m="1" x="5047"/>
        <item m="1" x="5049"/>
        <item m="1" x="5051"/>
        <item m="1" x="2489"/>
        <item m="1" x="5053"/>
        <item m="1" x="5055"/>
        <item m="1" x="2258"/>
        <item m="1" x="2245"/>
        <item m="1" x="2252"/>
        <item m="1" x="5044"/>
        <item m="1" x="2247"/>
        <item m="1" x="2250"/>
        <item m="1" x="2348"/>
        <item m="1" x="2500"/>
        <item m="1" x="2391"/>
        <item m="1" x="2413"/>
        <item m="1" x="5125"/>
        <item m="1" x="5120"/>
        <item m="1" x="2531"/>
        <item m="1" x="5077"/>
        <item m="1" x="5070"/>
        <item m="1" x="5074"/>
        <item m="1" x="2244"/>
        <item m="1" x="2241"/>
        <item m="1" x="5100"/>
        <item m="1" x="5090"/>
        <item m="1" x="5084"/>
        <item m="1" x="2246"/>
        <item m="1" x="2262"/>
        <item m="1" x="2257"/>
        <item m="1" x="2711"/>
        <item m="1" x="2778"/>
        <item m="1" x="2249"/>
        <item m="1" x="2817"/>
        <item m="1" x="2795"/>
        <item m="1" x="2684"/>
        <item m="1" x="64"/>
        <item m="1" x="5606"/>
        <item m="1" x="5587"/>
        <item m="1" x="2254"/>
        <item m="1" x="5481"/>
        <item m="1" x="5507"/>
        <item m="1" x="5534"/>
        <item m="1" x="5551"/>
        <item m="1" x="2268"/>
        <item m="1" x="2277"/>
        <item m="1" x="5570"/>
        <item m="1" x="5219"/>
        <item m="1" x="5239"/>
        <item m="1" x="5258"/>
        <item m="1" x="5273"/>
        <item m="1" x="5284"/>
        <item m="1" x="5296"/>
        <item m="1" x="5364"/>
        <item m="1" x="2441"/>
        <item m="1" x="2424"/>
        <item m="1" x="5341"/>
        <item m="1" x="5309"/>
        <item m="1" x="5323"/>
        <item m="1" x="2617"/>
        <item m="1" x="2679"/>
        <item m="1" x="2632"/>
        <item m="1" x="2651"/>
        <item m="1" x="2601"/>
        <item m="1" x="2584"/>
        <item m="1" x="2567"/>
        <item m="1" x="5183"/>
        <item m="1" x="5170"/>
        <item m="1" x="5192"/>
        <item m="1" x="5176"/>
        <item m="1" x="2329"/>
        <item m="1" x="5162"/>
        <item m="1" x="2396"/>
        <item m="1" x="5235"/>
        <item m="1" x="2341"/>
        <item m="1" x="2354"/>
        <item m="1" x="2365"/>
        <item m="1" x="2376"/>
        <item m="1" x="2385"/>
        <item m="1" x="2493"/>
        <item m="1" x="2453"/>
        <item m="1" x="5153"/>
        <item m="1" x="2506"/>
        <item m="1" x="2474"/>
        <item m="1" x="2462"/>
        <item m="1" x="5142"/>
        <item m="1" x="2546"/>
        <item m="1" x="2522"/>
        <item m="1" x="2319"/>
        <item m="1" x="5118"/>
        <item m="1" x="24"/>
        <item m="1" x="2339"/>
        <item m="1" x="5087"/>
        <item m="1" x="5097"/>
        <item m="1" x="2437"/>
        <item m="1" x="2418"/>
        <item m="1" x="2326"/>
        <item m="1" x="5107"/>
        <item m="1" x="5114"/>
        <item m="1" x="5123"/>
        <item m="1" x="5133"/>
        <item m="1" x="5129"/>
        <item m="1" x="110"/>
        <item m="1" x="5201"/>
        <item m="1" x="2970"/>
        <item m="1" x="2991"/>
        <item m="1" x="2301"/>
        <item m="1" x="2293"/>
        <item m="1" x="2285"/>
        <item m="1" x="2274"/>
        <item m="1" x="5215"/>
        <item m="1" x="5541"/>
        <item m="1" x="5493"/>
        <item m="1" x="5521"/>
        <item m="1" x="5140"/>
        <item m="1" x="14"/>
        <item m="1" x="2308"/>
        <item m="1" x="79"/>
        <item m="1" x="54"/>
        <item m="1" x="2865"/>
        <item m="1" x="2830"/>
        <item m="1" x="5355"/>
        <item m="1" x="5335"/>
        <item m="1" x="2720"/>
        <item m="1" x="2736"/>
        <item m="1" x="2753"/>
        <item m="1" x="2767"/>
        <item m="1" x="2784"/>
        <item m="1" x="2805"/>
        <item m="1" x="3055"/>
        <item m="1" x="2672"/>
        <item m="1" x="46"/>
        <item m="1" x="2515"/>
        <item m="1" x="5462"/>
        <item m="1" x="5487"/>
        <item m="1" x="93"/>
        <item m="1" x="2698"/>
        <item m="1" x="5445"/>
        <item m="1" x="5433"/>
        <item m="1" x="2428"/>
        <item m="1" x="5179"/>
        <item m="1" x="5172"/>
        <item m="1" x="5166"/>
        <item m="1" x="5188"/>
        <item m="1" x="3212"/>
        <item m="1" x="3183"/>
        <item m="1" x="3246"/>
        <item m="1" x="11"/>
        <item m="1" x="5208"/>
        <item m="1" x="5223"/>
        <item m="1" x="5245"/>
        <item m="1" x="2334"/>
        <item m="1" x="2360"/>
        <item m="1" x="2371"/>
        <item m="1" x="5091"/>
        <item m="1" x="5101"/>
        <item m="1" x="5110"/>
        <item m="1" x="5131"/>
        <item m="1" x="5136"/>
        <item m="1" x="5156"/>
        <item m="1" x="2269"/>
        <item m="1" x="2279"/>
        <item m="1" x="2289"/>
        <item m="1" x="2296"/>
        <item m="1" x="2304"/>
        <item m="1" x="215"/>
        <item m="1" x="2841"/>
        <item m="1" x="2873"/>
        <item m="1" x="2932"/>
        <item m="1" x="2951"/>
        <item m="1" x="2894"/>
        <item m="1" x="2916"/>
        <item m="1" x="3096"/>
        <item m="1" x="2402"/>
        <item m="1" x="314"/>
        <item m="1" x="293"/>
        <item m="1" x="2856"/>
        <item m="1" x="170"/>
        <item m="1" x="2392"/>
        <item m="1" x="2685"/>
        <item m="1" x="2381"/>
        <item m="1" x="2556"/>
        <item m="1" x="2576"/>
        <item m="1" x="2591"/>
        <item m="1" x="2608"/>
        <item m="1" x="2623"/>
        <item m="1" x="2640"/>
        <item m="1" x="2662"/>
        <item m="1" x="2691"/>
        <item m="1" x="5212"/>
        <item m="1" x="5229"/>
        <item m="1" x="5250"/>
        <item m="1" x="5266"/>
        <item m="1" x="2447"/>
        <item m="1" x="2458"/>
        <item m="1" x="2469"/>
        <item m="1" x="2490"/>
        <item m="1" x="2501"/>
        <item m="1" x="2513"/>
        <item m="1" x="2532"/>
        <item m="1" x="5138"/>
        <item m="1" x="5147"/>
        <item m="1" x="5209"/>
        <item m="1" x="2325"/>
        <item m="1" x="2335"/>
        <item m="1" x="2349"/>
        <item m="1" x="2361"/>
        <item m="1" x="2372"/>
        <item m="1" x="3076"/>
        <item m="1" x="3114"/>
        <item m="1" x="3134"/>
        <item m="1" x="3157"/>
        <item m="1" x="39"/>
        <item m="1" x="69"/>
        <item m="1" x="89"/>
        <item m="1" x="105"/>
        <item m="1" x="5278"/>
        <item m="1" x="5290"/>
        <item m="1" x="5302"/>
        <item m="1" x="5314"/>
        <item m="1" x="5330"/>
        <item m="1" x="5350"/>
        <item m="1" x="2481"/>
        <item m="1" x="5197"/>
        <item m="1" x="5224"/>
        <item m="1" x="33"/>
        <item m="1" x="5328"/>
        <item m="1" x="5346"/>
        <item m="1" x="2796"/>
        <item m="1" x="2850"/>
        <item m="1" x="2569"/>
        <item m="1" x="2619"/>
        <item m="1" x="5298"/>
        <item m="1" x="2603"/>
        <item m="1" x="5377"/>
        <item m="1" x="3040"/>
        <item m="1" x="5508"/>
        <item m="1" x="2779"/>
        <item m="1" x="5425"/>
        <item m="1" x="2634"/>
        <item m="1" x="2527"/>
        <item m="1" x="2511"/>
        <item m="1" x="5478"/>
        <item m="1" x="5455"/>
        <item m="1" x="5440"/>
        <item m="1" x="2763"/>
        <item m="1" x="2747"/>
        <item m="1" x="5552"/>
        <item m="1" x="5482"/>
        <item m="1" x="5460"/>
        <item m="1" x="5412"/>
        <item m="1" x="5418"/>
        <item m="1" x="2730"/>
        <item m="1" x="5405"/>
        <item m="1" x="5390"/>
        <item m="1" x="2549"/>
        <item m="1" x="2586"/>
        <item m="1" x="2681"/>
        <item m="1" x="2653"/>
        <item m="1" x="5221"/>
        <item m="1" x="5206"/>
        <item m="1" x="5385"/>
        <item m="1" x="5398"/>
        <item m="1" x="2819"/>
        <item m="1" x="5571"/>
        <item m="1" x="5241"/>
        <item m="1" x="5260"/>
        <item m="1" x="2980"/>
        <item m="1" x="3006"/>
        <item m="1" x="5535"/>
        <item m="1" x="2960"/>
        <item m="1" x="2887"/>
        <item m="1" x="2825"/>
        <item m="1" x="2909"/>
        <item m="1" x="2942"/>
        <item m="1" x="2923"/>
        <item m="1" x="2426"/>
        <item m="1" x="2442"/>
        <item m="1" x="2454"/>
        <item m="1" x="2464"/>
        <item m="1" x="2476"/>
        <item m="1" x="2495"/>
        <item m="1" x="2485"/>
        <item m="1" x="365"/>
        <item m="1" x="2524"/>
        <item m="1" x="401"/>
        <item m="1" x="2508"/>
        <item m="1" x="5366"/>
        <item m="1" x="3443"/>
        <item m="1" x="3408"/>
        <item m="1" x="3384"/>
        <item m="1" x="3366"/>
        <item m="1" x="477"/>
        <item m="1" x="192"/>
        <item m="1" x="433"/>
        <item m="1" x="460"/>
        <item m="1" x="514"/>
        <item m="1" x="495"/>
        <item m="1" x="542"/>
        <item m="1" x="575"/>
        <item m="1" x="3204"/>
        <item m="1" x="620"/>
        <item m="1" x="3234"/>
        <item m="1" x="3271"/>
        <item m="1" x="3300"/>
        <item m="1" x="3327"/>
        <item m="1" x="3348"/>
        <item m="1" x="3064"/>
        <item m="1" x="3031"/>
        <item m="1" x="391"/>
        <item m="1" x="3002"/>
        <item m="1" x="2895"/>
        <item m="1" x="2842"/>
        <item m="1" x="3227"/>
        <item m="1" x="5623"/>
        <item m="1" x="56"/>
        <item m="1" x="81"/>
        <item m="1" x="2971"/>
        <item m="1" x="2933"/>
        <item m="1" x="2722"/>
        <item m="1" x="2673"/>
        <item m="1" x="16"/>
        <item m="1" x="2700"/>
        <item m="1" x="5613"/>
        <item m="1" x="2648"/>
        <item m="1" x="5596"/>
        <item m="1" x="5495"/>
        <item m="1" x="5470"/>
        <item m="1" x="5543"/>
        <item m="1" x="5577"/>
        <item m="1" x="3020"/>
        <item m="1" x="5560"/>
        <item m="1" x="5523"/>
        <item m="1" x="5452"/>
        <item m="1" x="2992"/>
        <item m="1" x="568"/>
        <item m="1" x="674"/>
        <item m="1" x="697"/>
        <item m="1" x="718"/>
        <item m="1" x="138"/>
        <item m="1" x="2516"/>
        <item m="1" x="5446"/>
        <item m="1" x="799"/>
        <item m="1" x="95"/>
        <item m="1" x="2558"/>
        <item m="1" x="2610"/>
        <item m="1" x="2577"/>
        <item m="1" x="2593"/>
        <item m="1" x="2626"/>
        <item m="1" x="3433"/>
        <item m="1" x="5434"/>
        <item m="1" x="5420"/>
        <item m="1" x="2504"/>
        <item m="1" x="2537"/>
        <item m="1" x="5463"/>
        <item m="1" x="764"/>
        <item m="1" x="741"/>
        <item m="1" x="380"/>
        <item m="1" x="3600"/>
        <item m="1" x="3549"/>
        <item m="1" x="3576"/>
        <item m="1" x="3527"/>
        <item m="1" x="3669"/>
        <item m="1" x="3633"/>
        <item m="1" x="3471"/>
        <item m="1" x="3403"/>
        <item m="1" x="3504"/>
        <item m="1" x="2642"/>
        <item m="1" x="2665"/>
        <item m="1" x="610"/>
        <item m="1" x="5406"/>
        <item m="1" x="3192"/>
        <item m="1" x="598"/>
        <item m="1" x="557"/>
        <item m="1" x="3289"/>
        <item m="1" x="3315"/>
        <item m="1" x="840"/>
        <item m="1" x="2754"/>
        <item m="1" x="2768"/>
        <item m="1" x="2785"/>
        <item m="1" x="2806"/>
        <item m="1" x="5321"/>
        <item m="1" x="5336"/>
        <item m="1" x="5357"/>
        <item m="1" x="5392"/>
        <item m="1" x="2738"/>
        <item m="1" x="2832"/>
        <item m="1" x="5378"/>
        <item m="1" x="418"/>
        <item m="1" x="3358"/>
        <item m="1" x="3339"/>
        <item m="1" x="448"/>
        <item m="1" x="285"/>
        <item m="1" x="295"/>
        <item m="1" x="316"/>
        <item m="1" x="257"/>
        <item m="1" x="236"/>
        <item m="1" x="178"/>
        <item m="1" x="3098"/>
        <item m="1" x="3213"/>
        <item m="1" x="3184"/>
        <item m="1" x="3159"/>
        <item m="1" x="3116"/>
        <item m="1" x="3136"/>
        <item m="1" x="2827"/>
        <item m="1" x="2803"/>
        <item m="1" x="2857"/>
        <item m="1" x="2888"/>
        <item m="1" x="2686"/>
        <item m="1" x="2659"/>
        <item m="1" x="3727"/>
        <item m="1" x="3662"/>
        <item m="1" x="3697"/>
        <item m="1" x="686"/>
        <item m="1" x="553"/>
        <item m="1" x="3873"/>
        <item m="1" x="587"/>
        <item m="1" x="3837"/>
        <item m="1" x="663"/>
        <item m="1" x="337"/>
        <item m="1" x="3613"/>
        <item m="1" x="3417"/>
        <item m="1" x="629"/>
        <item m="1" x="708"/>
        <item m="1" x="461"/>
        <item m="1" x="778"/>
        <item m="1" x="730"/>
        <item m="1" x="751"/>
        <item m="1" x="366"/>
        <item m="1" x="276"/>
        <item m="1" x="3807"/>
        <item m="1" x="3349"/>
        <item m="1" x="958"/>
        <item m="1" x="981"/>
        <item m="1" x="1002"/>
        <item m="1" x="935"/>
        <item m="1" x="3181"/>
        <item m="1" x="2896"/>
        <item m="1" x="3678"/>
        <item m="1" x="3712"/>
        <item m="1" x="3394"/>
        <item m="1" x="3516"/>
        <item m="1" x="3563"/>
        <item m="1" x="3586"/>
        <item m="1" x="2843"/>
        <item m="1" x="111"/>
        <item m="1" x="96"/>
        <item m="1" x="3015"/>
        <item m="1" x="2815"/>
        <item m="1" x="849"/>
        <item m="1" x="3832"/>
        <item m="1" x="1233"/>
        <item m="1" x="3902"/>
        <item m="1" x="1120"/>
        <item m="1" x="539"/>
        <item m="1" x="1164"/>
        <item m="1" x="305"/>
        <item m="1" x="651"/>
        <item m="1" x="3078"/>
        <item m="1" x="172"/>
        <item m="1" x="3340"/>
        <item m="1" x="3601"/>
        <item m="1" x="3550"/>
        <item m="1" x="3577"/>
        <item m="1" x="419"/>
        <item m="1" x="472"/>
        <item m="1" x="179"/>
        <item m="1" x="209"/>
        <item m="1" x="237"/>
        <item m="1" x="3399"/>
        <item m="1" x="449"/>
        <item m="1" x="324"/>
        <item m="1" x="3505"/>
        <item m="1" x="3528"/>
        <item m="1" x="349"/>
        <item m="1" x="3634"/>
        <item m="1" x="487"/>
        <item m="1" x="152"/>
        <item m="1" x="2682"/>
        <item m="1" x="5286"/>
        <item m="1" x="5533"/>
        <item m="1" x="5261"/>
        <item m="1" x="5299"/>
        <item m="1" x="2570"/>
        <item m="1" x="2604"/>
        <item m="1" x="2587"/>
        <item m="1" x="2635"/>
        <item m="1" x="381"/>
        <item m="1" x="2550"/>
        <item m="1" x="5311"/>
        <item m="1" x="5242"/>
        <item m="1" x="2486"/>
        <item m="1" x="2496"/>
        <item m="1" x="5384"/>
        <item m="1" x="5343"/>
        <item m="1" x="5275"/>
        <item m="1" x="2465"/>
        <item m="1" x="5325"/>
        <item m="1" x="2443"/>
        <item m="1" x="2455"/>
        <item m="1" x="2477"/>
        <item m="1" x="3376"/>
        <item m="1" x="317"/>
        <item m="1" x="5185"/>
        <item m="1" x="5203"/>
        <item m="1" x="5194"/>
        <item m="1" x="5217"/>
        <item m="1" x="3654"/>
        <item m="1" x="478"/>
        <item m="1" x="496"/>
        <item m="1" x="792"/>
        <item m="1" x="905"/>
        <item m="1" x="2780"/>
        <item m="1" x="402"/>
        <item m="1" x="3487"/>
        <item m="1" x="2731"/>
        <item m="1" x="828"/>
        <item m="1" x="2797"/>
        <item m="1" x="2820"/>
        <item m="1" x="870"/>
        <item m="1" x="2748"/>
        <item m="1" x="543"/>
        <item m="1" x="434"/>
        <item m="1" x="3538"/>
        <item m="1" x="3125"/>
        <item m="1" x="3105"/>
        <item m="1" x="3089"/>
        <item m="1" x="2979"/>
        <item m="1" x="354"/>
        <item m="1" x="326"/>
        <item m="1" x="286"/>
        <item m="1" x="265"/>
        <item m="1" x="247"/>
        <item m="1" x="221"/>
        <item m="1" x="193"/>
        <item m="1" x="164"/>
        <item m="1" x="3409"/>
        <item m="1" x="145"/>
        <item m="1" x="3301"/>
        <item m="1" x="524"/>
        <item m="1" x="558"/>
        <item m="1" x="3171"/>
        <item m="1" x="3193"/>
        <item m="1" x="3220"/>
        <item m="1" x="3252"/>
        <item m="1" x="3290"/>
        <item m="1" x="3316"/>
        <item m="1" x="3359"/>
        <item m="1" x="503"/>
        <item m="1" x="3385"/>
        <item m="1" x="2367"/>
        <item m="1" x="2343"/>
        <item m="1" x="2356"/>
        <item m="1" x="5256"/>
        <item m="1" x="5236"/>
        <item m="1" x="2438"/>
        <item m="1" x="2378"/>
        <item m="1" x="2387"/>
        <item m="1" x="2398"/>
        <item m="1" x="2407"/>
        <item m="1" x="2451"/>
        <item m="1" x="5160"/>
        <item m="1" x="2286"/>
        <item m="1" x="2275"/>
        <item m="1" x="2314"/>
        <item m="1" x="2309"/>
        <item m="1" x="2294"/>
        <item m="1" x="2302"/>
        <item m="1" x="2320"/>
        <item m="1" x="2327"/>
        <item m="1" x="5151"/>
        <item m="1" x="5141"/>
        <item m="1" x="5134"/>
        <item m="1" x="5130"/>
        <item m="1" x="3235"/>
        <item m="1" x="3272"/>
        <item m="1" x="5124"/>
        <item m="1" x="2420"/>
        <item m="1" x="5119"/>
        <item m="1" x="5082"/>
        <item m="1" x="5059"/>
        <item m="1" x="5064"/>
        <item m="1" x="5068"/>
        <item m="1" x="5072"/>
        <item m="1" x="5086"/>
        <item m="1" x="5544"/>
        <item m="1" x="2266"/>
        <item m="1" x="5524"/>
        <item m="1" x="5578"/>
        <item m="1" x="5561"/>
        <item m="1" x="18"/>
        <item m="1" x="5615"/>
        <item m="1" x="5598"/>
        <item m="1" x="2283"/>
        <item m="1" x="2255"/>
        <item m="1" x="2253"/>
        <item m="1" x="5496"/>
        <item m="1" x="2259"/>
        <item m="1" x="2702"/>
        <item m="1" x="75"/>
        <item m="1" x="5517"/>
        <item m="1" x="2787"/>
        <item m="1" x="2866"/>
        <item m="1" x="5408"/>
        <item m="1" x="2756"/>
        <item m="1" x="2834"/>
        <item m="1" x="2770"/>
        <item m="1" x="5465"/>
        <item m="1" x="5448"/>
        <item m="1" x="5436"/>
        <item m="1" x="5422"/>
        <item m="1" x="5393"/>
        <item m="1" x="2891"/>
        <item m="1" x="5379"/>
        <item m="1" x="2808"/>
        <item m="1" x="5489"/>
        <item m="1" x="5358"/>
        <item m="1" x="2644"/>
        <item m="1" x="2612"/>
        <item m="1" x="2579"/>
        <item m="1" x="2595"/>
        <item m="1" x="2628"/>
        <item m="1" x="5079"/>
        <item m="1" x="2667"/>
        <item m="1" x="2718"/>
        <item m="1" x="2694"/>
        <item m="1" x="5231"/>
        <item m="1" x="341"/>
        <item m="1" x="2969"/>
        <item m="1" x="2989"/>
        <item m="1" x="3016"/>
        <item m="1" x="3049"/>
        <item m="1" x="3079"/>
        <item m="1" x="3099"/>
        <item m="1" x="3160"/>
        <item m="1" x="3117"/>
        <item m="1" x="3137"/>
        <item m="1" x="5367"/>
        <item m="1" x="5400"/>
        <item m="1" x="5413"/>
        <item m="1" x="5426"/>
        <item m="1" x="48"/>
        <item m="1" x="2559"/>
        <item m="1" x="5252"/>
        <item m="1" x="5268"/>
        <item m="1" x="5280"/>
        <item m="1" x="5292"/>
        <item m="1" x="5304"/>
        <item m="1" x="5332"/>
        <item m="1" x="5374"/>
        <item m="1" x="2449"/>
        <item m="1" x="2433"/>
        <item m="1" x="2460"/>
        <item m="1" x="2539"/>
        <item m="1" x="5316"/>
        <item m="1" x="5352"/>
        <item m="1" x="2514"/>
        <item m="1" x="2491"/>
        <item m="1" x="2482"/>
        <item m="1" x="2471"/>
        <item m="1" x="2533"/>
        <item m="1" x="5103"/>
        <item m="1" x="5122"/>
        <item m="1" x="5112"/>
        <item m="1" x="5116"/>
        <item m="1" x="5127"/>
        <item m="1" x="2654"/>
        <item m="1" x="2382"/>
        <item m="1" x="2393"/>
        <item m="1" x="2414"/>
        <item m="1" x="2429"/>
        <item m="1" x="2445"/>
        <item m="1" x="2403"/>
        <item m="1" x="5093"/>
        <item m="1" x="2502"/>
        <item m="1" x="40"/>
        <item m="1" x="2346"/>
        <item m="1" x="2333"/>
        <item m="1" x="70"/>
        <item m="1" x="2910"/>
        <item m="1" x="2962"/>
        <item m="1" x="2981"/>
        <item m="1" x="2943"/>
        <item m="1" x="231"/>
        <item m="1" x="3042"/>
        <item m="1" x="204"/>
        <item m="1" x="2924"/>
        <item m="1" x="5537"/>
        <item m="1" x="5554"/>
        <item m="1" x="3071"/>
        <item m="1" x="5573"/>
        <item m="1" x="34"/>
        <item m="1" x="5368"/>
        <item m="1" x="5414"/>
        <item m="1" x="5427"/>
        <item m="1" x="5401"/>
        <item m="1" x="5386"/>
        <item m="1" x="5441"/>
        <item m="1" x="2821"/>
        <item m="1" x="2881"/>
        <item m="1" x="2798"/>
        <item m="1" x="2687"/>
        <item m="1" x="2712"/>
        <item m="1" x="65"/>
        <item m="1" x="2749"/>
        <item m="1" x="5510"/>
        <item m="1" x="6"/>
        <item m="1" x="2312"/>
        <item m="1" x="2306"/>
        <item m="1" x="5105"/>
        <item m="1" x="5589"/>
        <item m="1" x="5148"/>
        <item m="1" x="5157"/>
        <item m="1" x="5167"/>
        <item m="1" x="5173"/>
        <item m="1" x="5180"/>
        <item m="1" x="5189"/>
        <item m="1" x="5198"/>
        <item m="1" x="5210"/>
        <item m="1" x="5225"/>
        <item m="1" x="5246"/>
        <item m="1" x="106"/>
        <item m="1" x="119"/>
        <item m="1" x="132"/>
        <item m="1" x="148"/>
        <item m="1" x="2336"/>
        <item m="1" x="2350"/>
        <item m="1" x="2362"/>
        <item m="1" x="2373"/>
        <item m="1" x="5287"/>
        <item m="1" x="5300"/>
        <item m="1" x="5312"/>
        <item m="1" x="5326"/>
        <item m="1" x="5344"/>
        <item m="1" x="5365"/>
        <item m="1" x="2427"/>
        <item m="1" x="2444"/>
        <item m="1" x="2456"/>
        <item m="1" x="2466"/>
        <item m="1" x="2478"/>
        <item m="1" x="2487"/>
        <item m="1" x="2498"/>
        <item m="1" x="2510"/>
        <item m="1" x="2525"/>
        <item m="1" x="2548"/>
        <item m="1" x="2655"/>
        <item m="1" x="2683"/>
        <item m="1" x="5204"/>
        <item m="1" x="5218"/>
        <item m="1" x="2344"/>
        <item m="1" x="2636"/>
        <item m="1" x="2605"/>
        <item m="1" x="2588"/>
        <item m="1" x="2528"/>
        <item m="1" x="5506"/>
        <item m="1" x="2620"/>
        <item m="1" x="2551"/>
        <item m="1" x="2571"/>
        <item m="1" x="266"/>
        <item m="1" x="222"/>
        <item m="1" x="2299"/>
        <item m="1" x="5095"/>
        <item m="1" x="5437"/>
        <item m="1" x="5409"/>
        <item m="1" x="5394"/>
        <item m="1" x="5380"/>
        <item m="1" x="5359"/>
        <item m="1" x="5337"/>
        <item m="1" x="2867"/>
        <item m="1" x="2835"/>
        <item m="1" x="2809"/>
        <item m="1" x="2788"/>
        <item m="1" x="2757"/>
        <item m="1" x="2703"/>
        <item m="1" x="2675"/>
        <item m="1" x="2740"/>
        <item m="1" x="2724"/>
        <item m="1" x="327"/>
        <item m="1" x="355"/>
        <item m="1" x="392"/>
        <item m="1" x="426"/>
        <item m="1" x="5525"/>
        <item m="1" x="5545"/>
        <item m="1" x="5579"/>
        <item m="1" x="5562"/>
        <item m="1" x="2596"/>
        <item m="1" x="3021"/>
        <item m="1" x="2993"/>
        <item m="1" x="2897"/>
        <item m="1" x="2917"/>
        <item m="1" x="2560"/>
        <item m="1" x="2973"/>
        <item m="1" x="2934"/>
        <item m="1" x="2875"/>
        <item m="1" x="2953"/>
        <item m="1" x="2771"/>
        <item m="1" x="49"/>
        <item m="1" x="19"/>
        <item m="1" x="5616"/>
        <item m="1" x="5497"/>
        <item m="1" x="5471"/>
        <item m="1" x="3057"/>
        <item m="1" x="2844"/>
        <item m="1" x="216"/>
        <item m="1" x="184"/>
        <item m="1" x="2613"/>
        <item m="1" x="155"/>
        <item m="1" x="2858"/>
        <item m="1" x="2517"/>
        <item m="1" x="2668"/>
        <item m="1" x="5490"/>
        <item m="1" x="2540"/>
        <item m="1" x="2695"/>
        <item m="1" x="5214"/>
        <item m="1" x="3377"/>
        <item m="1" x="3253"/>
        <item m="1" x="504"/>
        <item m="1" x="525"/>
        <item m="1" x="3291"/>
        <item m="1" x="3317"/>
        <item m="1" x="3360"/>
        <item m="1" x="3341"/>
        <item m="1" x="5144"/>
        <item m="1" x="5154"/>
        <item m="1" x="2388"/>
        <item m="1" x="2422"/>
        <item m="1" x="2409"/>
        <item m="1" x="2399"/>
        <item m="1" x="248"/>
        <item m="1" x="2379"/>
        <item m="1" x="71"/>
        <item m="1" x="12"/>
        <item m="1" x="318"/>
        <item m="1" x="342"/>
        <item m="1" x="296"/>
        <item m="1" x="258"/>
        <item m="1" x="277"/>
        <item m="1" x="41"/>
        <item m="1" x="3100"/>
        <item m="1" x="3118"/>
        <item m="1" x="3138"/>
        <item m="1" x="2828"/>
        <item m="1" x="3426"/>
        <item m="1" x="5590"/>
        <item m="1" x="2944"/>
        <item m="1" x="2925"/>
        <item m="1" x="2963"/>
        <item m="1" x="2982"/>
        <item m="1" x="3008"/>
        <item m="1" x="2324"/>
        <item m="1" x="238"/>
        <item m="1" x="2317"/>
        <item m="1" x="5232"/>
        <item m="1" x="642"/>
        <item m="1" x="5253"/>
        <item m="1" x="3221"/>
        <item m="1" x="5269"/>
        <item m="1" x="5281"/>
        <item m="1" x="5318"/>
        <item m="1" x="5334"/>
        <item m="1" x="5293"/>
        <item m="1" x="35"/>
        <item m="1" x="2851"/>
        <item m="1" x="2637"/>
        <item m="1" x="630"/>
        <item m="1" x="2656"/>
        <item m="1" x="2572"/>
        <item m="1" x="5402"/>
        <item m="1" x="5415"/>
        <item m="1" x="5442"/>
        <item m="1" x="5479"/>
        <item m="1" x="2512"/>
        <item m="1" x="2552"/>
        <item m="1" x="5428"/>
        <item m="1" x="860"/>
        <item m="1" x="3418"/>
        <item m="1" x="3453"/>
        <item m="1" x="3488"/>
        <item m="1" x="3517"/>
        <item m="1" x="3655"/>
        <item m="1" x="3587"/>
        <item m="1" x="779"/>
        <item m="1" x="752"/>
        <item m="1" x="731"/>
        <item m="1" x="709"/>
        <item m="1" x="687"/>
        <item m="1" x="817"/>
        <item m="1" x="497"/>
        <item m="1" x="480"/>
        <item m="1" x="463"/>
        <item m="1" x="577"/>
        <item m="1" x="3264"/>
        <item m="1" x="368"/>
        <item m="1" x="404"/>
        <item m="1" x="436"/>
        <item m="1" x="515"/>
        <item m="1" x="545"/>
        <item m="1" x="195"/>
        <item m="1" x="224"/>
        <item m="1" x="3206"/>
        <item m="1" x="3302"/>
        <item m="1" x="3126"/>
        <item m="1" x="156"/>
        <item m="1" x="185"/>
        <item m="1" x="82"/>
        <item m="1" x="3237"/>
        <item m="1" x="3106"/>
        <item m="1" x="3328"/>
        <item m="1" x="3350"/>
        <item m="1" x="166"/>
        <item m="1" x="3065"/>
        <item m="1" x="3274"/>
        <item m="1" x="306"/>
        <item m="1" x="3032"/>
        <item m="1" x="3444"/>
        <item m="1" x="3386"/>
        <item m="1" x="3367"/>
        <item m="1" x="2816"/>
        <item m="1" x="2845"/>
        <item m="1" x="3410"/>
        <item m="1" x="125"/>
        <item m="1" x="112"/>
        <item m="1" x="328"/>
        <item m="1" x="3003"/>
        <item m="1" x="356"/>
        <item m="1" x="3147"/>
        <item m="1" x="3174"/>
        <item m="1" x="3197"/>
        <item m="1" x="3228"/>
        <item m="1" x="27"/>
        <item m="1" x="249"/>
        <item m="1" x="268"/>
        <item m="1" x="2789"/>
        <item m="1" x="2772"/>
        <item m="1" x="2741"/>
        <item m="1" x="2676"/>
        <item m="1" x="20"/>
        <item m="1" x="2704"/>
        <item m="1" x="2725"/>
        <item m="1" x="139"/>
        <item m="1" x="58"/>
        <item m="1" x="98"/>
        <item m="1" x="5546"/>
        <item m="1" x="5563"/>
        <item m="1" x="2758"/>
        <item m="1" x="559"/>
        <item m="1" x="599"/>
        <item m="1" x="2974"/>
        <item m="1" x="2994"/>
        <item m="1" x="3713"/>
        <item m="1" x="675"/>
        <item m="1" x="569"/>
        <item m="1" x="413"/>
        <item m="1" x="3857"/>
        <item m="1" x="3823"/>
        <item m="1" x="3895"/>
        <item m="1" x="810"/>
        <item m="1" x="2935"/>
        <item m="1" x="3022"/>
        <item m="1" x="5498"/>
        <item m="1" x="5453"/>
        <item m="1" x="2954"/>
        <item m="1" x="5472"/>
        <item m="1" x="5526"/>
        <item m="1" x="3760"/>
        <item m="1" x="3743"/>
        <item m="1" x="382"/>
        <item m="1" x="374"/>
        <item m="1" x="3551"/>
        <item m="1" x="3578"/>
        <item m="1" x="3602"/>
        <item m="1" x="3635"/>
        <item m="1" x="3670"/>
        <item m="1" x="350"/>
        <item m="1" x="3194"/>
        <item m="1" x="600"/>
        <item m="1" x="560"/>
        <item m="1" x="719"/>
        <item m="1" x="2589"/>
        <item m="1" x="2529"/>
        <item m="1" x="3404"/>
        <item m="1" x="3090"/>
        <item m="1" x="97"/>
        <item m="1" x="3050"/>
        <item m="1" x="5186"/>
        <item m="1" x="5195"/>
        <item m="1" x="5237"/>
        <item m="1" x="2331"/>
        <item m="1" x="2368"/>
        <item m="1" x="2357"/>
        <item m="1" x="5163"/>
        <item m="1" x="5483"/>
        <item m="1" x="5511"/>
        <item m="1" x="5538"/>
        <item m="1" x="5555"/>
        <item m="1" x="5574"/>
        <item m="1" x="3688"/>
        <item m="1" x="3162"/>
        <item m="1" x="3185"/>
        <item m="1" x="3214"/>
        <item m="1" x="3247"/>
        <item m="1" x="2799"/>
        <item m="1" x="180"/>
        <item m="1" x="153"/>
        <item m="1" x="90"/>
        <item m="1" x="5611"/>
        <item m="1" x="259"/>
        <item m="1" x="239"/>
        <item m="1" x="13"/>
        <item m="1" x="42"/>
        <item m="1" x="278"/>
        <item m="1" x="297"/>
        <item m="1" x="3215"/>
        <item m="1" x="120"/>
        <item m="1" x="2859"/>
        <item m="1" x="936"/>
        <item m="1" x="906"/>
        <item m="1" x="982"/>
        <item m="1" x="2911"/>
        <item m="1" x="3808"/>
        <item m="1" x="3787"/>
        <item m="1" x="3626"/>
        <item m="1" x="3768"/>
        <item m="1" x="3728"/>
        <item m="1" x="1063"/>
        <item m="1" x="3750"/>
        <item m="1" x="2889"/>
        <item m="1" x="2926"/>
        <item m="1" x="554"/>
        <item m="1" x="3838"/>
        <item m="1" x="588"/>
        <item m="1" x="319"/>
        <item m="1" x="343"/>
        <item m="1" x="376"/>
        <item m="1" x="5505"/>
        <item m="1" x="5599"/>
        <item m="1" x="3646"/>
        <item m="1" x="742"/>
        <item m="1" x="3434"/>
        <item m="1" x="2650"/>
        <item m="1" x="3801"/>
        <item m="1" x="765"/>
        <item m="1" x="3472"/>
        <item m="1" x="3080"/>
        <item m="1" x="5458"/>
        <item m="1" x="688"/>
        <item m="1" x="405"/>
        <item m="1" x="732"/>
        <item m="1" x="753"/>
        <item m="1" x="780"/>
        <item m="1" x="818"/>
        <item m="1" x="3518"/>
        <item m="1" x="3539"/>
        <item m="1" x="3564"/>
        <item m="1" x="3588"/>
        <item m="1" x="3614"/>
        <item m="1" x="1194"/>
        <item m="1" x="871"/>
        <item m="1" x="2964"/>
        <item m="1" x="2983"/>
        <item m="1" x="3009"/>
        <item m="1" x="1042"/>
        <item m="1" x="1070"/>
        <item m="1" x="1136"/>
        <item m="1" x="2945"/>
        <item m="1" x="1102"/>
        <item m="1" x="2876"/>
        <item m="1" x="578"/>
        <item m="1" x="3395"/>
        <item m="1" x="3419"/>
        <item m="1" x="3454"/>
        <item m="1" x="2899"/>
        <item m="1" x="2918"/>
        <item m="1" x="710"/>
        <item m="1" x="3656"/>
        <item m="1" x="1154"/>
        <item m="1" x="3182"/>
        <item m="1" x="3489"/>
        <item m="1" x="3275"/>
        <item m="1" x="3303"/>
        <item m="1" x="481"/>
        <item m="1" x="498"/>
        <item m="1" x="369"/>
        <item m="1" x="464"/>
        <item m="1" x="437"/>
        <item m="1" x="338"/>
        <item m="1" x="526"/>
        <item m="1" x="488"/>
        <item m="1" x="505"/>
        <item m="1" x="698"/>
        <item m="1" x="3329"/>
        <item m="1" x="5580"/>
        <item m="1" x="3780"/>
        <item m="1" x="800"/>
        <item m="1" x="173"/>
        <item m="1" x="546"/>
        <item m="1" x="269"/>
        <item m="1" x="196"/>
        <item m="1" x="225"/>
        <item m="1" x="250"/>
        <item m="1" x="2713"/>
        <item m="1" x="1220"/>
        <item m="1" x="516"/>
        <item m="1" x="1451"/>
        <item m="1" x="3351"/>
        <item m="1" x="3368"/>
        <item m="1" x="3387"/>
        <item m="1" x="4127"/>
        <item m="1" x="4160"/>
        <item m="1" x="4189"/>
        <item m="1" x="1486"/>
        <item m="1" x="4087"/>
        <item m="1" x="1271"/>
        <item m="1" x="1234"/>
        <item m="1" x="3833"/>
        <item m="1" x="3943"/>
        <item m="1" x="4209"/>
        <item m="1" x="1056"/>
        <item m="1" x="4315"/>
        <item m="1" x="1165"/>
        <item m="1" x="1184"/>
        <item m="1" x="1206"/>
        <item m="1" x="1147"/>
        <item m="1" x="959"/>
        <item m="1" x="1428"/>
        <item m="1" x="1032"/>
        <item m="1" x="1003"/>
        <item m="1" x="540"/>
        <item m="1" x="570"/>
        <item m="1" x="527"/>
        <item m="1" x="3172"/>
        <item m="1" x="4340"/>
        <item m="1" x="1623"/>
        <item m="1" x="4369"/>
        <item m="1" x="1649"/>
        <item m="1" x="4280"/>
        <item m="1" x="4407"/>
        <item m="1" x="4391"/>
        <item m="1" x="4307"/>
        <item m="1" x="3400"/>
        <item m="1" x="3342"/>
        <item m="1" x="1541"/>
        <item m="1" x="3254"/>
        <item m="1" x="1476"/>
        <item m="1" x="3222"/>
        <item m="1" x="3361"/>
        <item m="1" x="1103"/>
        <item m="1" x="4235"/>
        <item m="1" x="4251"/>
        <item m="1" x="4296"/>
        <item m="1" x="4269"/>
        <item m="1" x="1017"/>
        <item m="1" x="1071"/>
        <item m="1" x="1043"/>
        <item m="1" x="3850"/>
        <item m="1" x="3960"/>
        <item m="1" x="4009"/>
        <item m="1" x="3882"/>
        <item m="1" x="3923"/>
        <item m="1" x="3986"/>
        <item m="1" x="972"/>
        <item m="1" x="993"/>
        <item m="1" x="1022"/>
        <item m="1" x="1048"/>
        <item m="1" x="3609"/>
        <item m="1" x="3647"/>
        <item m="1" x="4092"/>
        <item m="1" x="1416"/>
        <item m="1" x="1396"/>
        <item m="1" x="1196"/>
        <item m="1" x="1174"/>
        <item m="1" x="4443"/>
        <item m="1" x="4142"/>
        <item m="1" x="1376"/>
        <item m="1" x="4466"/>
        <item m="1" x="1301"/>
        <item m="1" x="4173"/>
        <item m="1" x="4217"/>
        <item m="1" x="1359"/>
        <item m="1" x="4071"/>
        <item m="1" x="4199"/>
        <item m="1" x="3788"/>
        <item m="1" x="3627"/>
        <item m="1" x="872"/>
        <item m="1" x="589"/>
        <item m="1" x="631"/>
        <item m="1" x="829"/>
        <item m="1" x="983"/>
        <item m="1" x="960"/>
        <item m="1" x="1004"/>
        <item m="1" x="794"/>
        <item m="1" x="664"/>
        <item m="1" x="77"/>
        <item m="1" x="3839"/>
        <item m="1" x="4035"/>
        <item m="1" x="51"/>
        <item m="1" x="2836"/>
        <item m="1" x="2869"/>
        <item m="1" x="2810"/>
        <item m="1" x="5395"/>
        <item m="1" x="5361"/>
        <item m="1" x="2892"/>
        <item m="1" x="3589"/>
        <item m="1" x="3616"/>
        <item m="1" x="3809"/>
        <item m="1" x="3421"/>
        <item m="1" x="3565"/>
        <item m="1" x="3540"/>
        <item m="1" x="3519"/>
        <item m="1" x="3491"/>
        <item m="1" x="3456"/>
        <item m="1" x="3397"/>
        <item m="1" x="157"/>
        <item m="1" x="140"/>
        <item m="1" x="113"/>
        <item m="1" x="99"/>
        <item m="1" x="2727"/>
        <item m="1" x="3375"/>
        <item m="1" x="522"/>
        <item m="1" x="555"/>
        <item m="1" x="689"/>
        <item m="1" x="711"/>
        <item m="1" x="733"/>
        <item m="1" x="755"/>
        <item m="1" x="782"/>
        <item m="1" x="59"/>
        <item m="1" x="5271"/>
        <item m="1" x="2719"/>
        <item m="1" x="2696"/>
        <item m="1" x="2629"/>
        <item m="1" x="5233"/>
        <item m="1" x="5254"/>
        <item m="1" x="2645"/>
        <item m="1" x="2669"/>
        <item m="1" x="5381"/>
        <item m="1" x="5492"/>
        <item m="1" x="5450"/>
        <item m="1" x="2337"/>
        <item m="1" x="2563"/>
        <item m="1" x="2581"/>
        <item m="1" x="5519"/>
        <item m="1" x="2542"/>
        <item m="1" x="2554"/>
        <item m="1" x="5149"/>
        <item m="1" x="5168"/>
        <item m="1" x="2912"/>
        <item m="1" x="174"/>
        <item m="1" x="5403"/>
        <item m="1" x="5429"/>
        <item m="1" x="5416"/>
        <item m="1" x="217"/>
        <item m="1" x="83"/>
        <item m="1" x="126"/>
        <item m="1" x="186"/>
        <item m="1" x="3010"/>
        <item m="1" x="2706"/>
        <item m="1" x="5410"/>
        <item m="1" x="5512"/>
        <item m="1" x="2573"/>
        <item m="1" x="5591"/>
        <item m="1" x="2530"/>
        <item m="1" x="72"/>
        <item m="1" x="3187"/>
        <item m="1" x="3120"/>
        <item m="1" x="3248"/>
        <item m="1" x="3165"/>
        <item m="1" x="3101"/>
        <item m="1" x="1437"/>
        <item m="1" x="5423"/>
        <item m="1" x="3072"/>
        <item m="1" x="121"/>
        <item m="1" x="133"/>
        <item m="1" x="149"/>
        <item m="1" x="232"/>
        <item m="1" x="2946"/>
        <item m="1" x="3043"/>
        <item m="1" x="2860"/>
        <item m="1" x="2927"/>
        <item m="1" x="2984"/>
        <item m="1" x="5575"/>
        <item m="1" x="5556"/>
        <item m="1" x="5158"/>
        <item m="1" x="5211"/>
        <item m="1" x="2383"/>
        <item m="1" x="414"/>
        <item m="1" x="3052"/>
        <item m="1" x="3083"/>
        <item m="1" x="2534"/>
        <item m="1" x="5190"/>
        <item m="1" x="5227"/>
        <item m="1" x="5248"/>
        <item m="1" x="2351"/>
        <item m="1" x="2363"/>
        <item m="1" x="5174"/>
        <item m="1" x="5181"/>
        <item m="1" x="5199"/>
        <item m="1" x="298"/>
        <item m="1" x="344"/>
        <item m="1" x="2472"/>
        <item m="1" x="2503"/>
        <item m="1" x="5607"/>
        <item m="1" x="2430"/>
        <item m="1" x="279"/>
        <item m="1" x="377"/>
        <item m="1" x="446"/>
        <item m="1" x="3141"/>
        <item m="1" x="2394"/>
        <item m="1" x="210"/>
        <item m="1" x="240"/>
        <item m="1" x="7"/>
        <item m="1" x="36"/>
        <item m="1" x="2374"/>
        <item m="1" x="2900"/>
        <item m="1" x="3023"/>
        <item m="1" x="5582"/>
        <item m="1" x="2606"/>
        <item m="1" x="66"/>
        <item m="1" x="2688"/>
        <item m="1" x="2750"/>
        <item m="1" x="2764"/>
        <item m="1" x="2800"/>
        <item m="1" x="2781"/>
        <item m="1" x="2882"/>
        <item m="1" x="3287"/>
        <item m="1" x="3216"/>
        <item m="1" x="107"/>
        <item m="1" x="91"/>
        <item m="1" x="5618"/>
        <item m="1" x="5601"/>
        <item m="1" x="5565"/>
        <item m="1" x="5528"/>
        <item m="1" x="5500"/>
        <item m="1" x="2852"/>
        <item m="1" x="43"/>
        <item m="1" x="5369"/>
        <item m="1" x="5347"/>
        <item m="1" x="2621"/>
        <item m="1" x="2714"/>
        <item m="1" x="2732"/>
        <item m="1" x="5288"/>
        <item m="1" x="5276"/>
        <item m="1" x="4111"/>
        <item m="1" x="2790"/>
        <item m="1" x="1463"/>
        <item m="1" x="2614"/>
        <item m="1" x="2598"/>
        <item m="1" x="3277"/>
        <item m="1" x="307"/>
        <item m="1" x="329"/>
        <item m="1" x="288"/>
        <item m="1" x="3306"/>
        <item m="1" x="270"/>
        <item m="1" x="3331"/>
        <item m="1" x="393"/>
        <item m="1" x="251"/>
        <item m="1" x="226"/>
        <item m="1" x="357"/>
        <item m="1" x="3352"/>
        <item m="1" x="3370"/>
        <item m="1" x="427"/>
        <item m="1" x="3034"/>
        <item m="1" x="3389"/>
        <item m="1" x="3445"/>
        <item m="1" x="197"/>
        <item m="1" x="3482"/>
        <item m="1" x="3411"/>
        <item m="1" x="622"/>
        <item m="1" x="579"/>
        <item m="1" x="3238"/>
        <item m="1" x="659"/>
        <item m="1" x="506"/>
        <item m="1" x="383"/>
        <item m="1" x="2760"/>
        <item m="1" x="2553"/>
        <item m="1" x="4117"/>
        <item m="1" x="4076"/>
        <item m="1" x="4047"/>
        <item m="1" x="4024"/>
        <item m="1" x="3999"/>
        <item m="1" x="3976"/>
        <item m="1" x="3903"/>
        <item m="1" x="3866"/>
        <item m="1" x="2638"/>
        <item m="1" x="2657"/>
        <item m="1" x="5438"/>
        <item m="1" x="5282"/>
        <item m="1" x="5222"/>
        <item m="1" x="5467"/>
        <item m="1" x="5307"/>
        <item m="1" x="5243"/>
        <item m="1" x="1033"/>
        <item m="1" x="2467"/>
        <item m="1" x="5376"/>
        <item m="1" x="2436"/>
        <item m="1" x="2743"/>
        <item m="1" x="3087"/>
        <item m="1" x="158"/>
        <item m="1" x="2877"/>
        <item m="1" x="2937"/>
        <item m="1" x="2902"/>
        <item m="1" x="2956"/>
        <item m="1" x="5584"/>
        <item m="1" x="5502"/>
        <item m="1" x="5567"/>
        <item m="1" x="2708"/>
        <item m="1" x="2792"/>
        <item m="1" x="5603"/>
        <item m="1" x="5620"/>
        <item m="1" x="2775"/>
        <item m="1" x="5439"/>
        <item m="1" x="5451"/>
        <item m="1" x="5424"/>
        <item m="1" x="5411"/>
        <item m="1" x="2631"/>
        <item m="1" x="2671"/>
        <item m="1" x="2647"/>
        <item m="1" x="2616"/>
        <item m="1" x="5396"/>
        <item m="1" x="5382"/>
        <item m="1" x="3059"/>
        <item m="1" x="5474"/>
        <item m="1" x="3025"/>
        <item m="1" x="2871"/>
        <item m="1" x="5339"/>
        <item m="1" x="5362"/>
        <item m="1" x="5548"/>
        <item m="1" x="5530"/>
        <item m="1" x="2996"/>
        <item m="1" x="2838"/>
        <item m="1" x="5468"/>
        <item m="1" x="2520"/>
        <item m="1" x="2544"/>
        <item m="1" x="2697"/>
        <item m="1" x="384"/>
        <item m="1" x="2565"/>
        <item m="1" x="2583"/>
        <item m="1" x="886"/>
        <item m="1" x="3435"/>
        <item m="1" x="3506"/>
        <item m="1" x="3552"/>
        <item m="1" x="3603"/>
        <item m="1" x="3671"/>
        <item m="1" x="3636"/>
        <item m="1" x="3708"/>
        <item m="1" x="3579"/>
        <item m="1" x="3529"/>
        <item m="1" x="3473"/>
        <item m="1" x="841"/>
        <item m="1" x="802"/>
        <item m="1" x="2600"/>
        <item m="1" x="489"/>
        <item m="1" x="473"/>
        <item m="1" x="450"/>
        <item m="1" x="507"/>
        <item m="1" x="420"/>
        <item m="1" x="2812"/>
        <item m="1" x="3292"/>
        <item m="1" x="743"/>
        <item m="1" x="721"/>
        <item m="1" x="378"/>
        <item m="1" x="3127"/>
        <item m="1" x="3148"/>
        <item m="1" x="3175"/>
        <item m="1" x="3198"/>
        <item m="1" x="2450"/>
        <item m="1" x="612"/>
        <item m="1" x="3229"/>
        <item m="1" x="3265"/>
        <item m="1" x="465"/>
        <item m="1" x="438"/>
        <item m="1" x="146"/>
        <item m="1" x="3091"/>
        <item m="1" x="528"/>
        <item m="1" x="601"/>
        <item m="1" x="3217"/>
        <item m="1" x="3188"/>
        <item m="1" x="44"/>
        <item m="1" x="73"/>
        <item m="1" x="415"/>
        <item m="1" x="3102"/>
        <item m="1" x="3166"/>
        <item m="1" x="3084"/>
        <item m="1" x="3018"/>
        <item m="1" x="3142"/>
        <item m="1" x="3053"/>
        <item m="1" x="3121"/>
        <item m="1" x="2751"/>
        <item m="1" x="2733"/>
        <item m="1" x="5609"/>
        <item m="1" x="5593"/>
        <item m="1" x="8"/>
        <item m="1" x="37"/>
        <item m="1" x="22"/>
        <item m="1" x="2710"/>
        <item m="1" x="873"/>
        <item m="1" x="830"/>
        <item m="1" x="907"/>
        <item m="1" x="937"/>
        <item m="1" x="961"/>
        <item m="1" x="984"/>
        <item m="1" x="1005"/>
        <item m="1" x="632"/>
        <item m="1" x="1064"/>
        <item m="1" x="590"/>
        <item m="1" x="1097"/>
        <item m="1" x="3663"/>
        <item m="1" x="3729"/>
        <item m="1" x="3362"/>
        <item m="1" x="260"/>
        <item m="1" x="3318"/>
        <item m="1" x="3378"/>
        <item m="1" x="280"/>
        <item m="1" x="3427"/>
        <item m="1" x="211"/>
        <item m="1" x="345"/>
        <item m="1" x="3249"/>
        <item m="1" x="241"/>
        <item m="1" x="320"/>
        <item m="1" x="175"/>
        <item m="1" x="205"/>
        <item m="1" x="2913"/>
        <item m="1" x="2928"/>
        <item m="1" x="2947"/>
        <item m="1" x="5461"/>
        <item m="1" x="5484"/>
        <item m="1" x="299"/>
        <item m="1" x="5387"/>
        <item m="1" x="3566"/>
        <item m="1" x="3464"/>
        <item m="1" x="181"/>
        <item m="1" x="2822"/>
        <item m="1" x="2985"/>
        <item m="1" x="2829"/>
        <item m="1" x="2861"/>
        <item m="1" x="2890"/>
        <item m="1" x="3617"/>
        <item m="1" x="3011"/>
        <item m="1" x="115"/>
        <item m="1" x="187"/>
        <item m="1" x="5557"/>
        <item m="1" x="84"/>
        <item m="1" x="100"/>
        <item m="1" x="127"/>
        <item m="1" x="141"/>
        <item m="1" x="29"/>
        <item m="1" x="159"/>
        <item m="1" x="3840"/>
        <item m="1" x="3874"/>
        <item m="1" x="3150"/>
        <item m="1" x="3128"/>
        <item m="1" x="3108"/>
        <item m="1" x="3092"/>
        <item m="1" x="150"/>
        <item m="1" x="665"/>
        <item m="1" x="690"/>
        <item m="1" x="712"/>
        <item m="1" x="783"/>
        <item m="1" x="581"/>
        <item m="1" x="624"/>
        <item m="1" x="3208"/>
        <item m="1" x="3240"/>
        <item m="1" x="2977"/>
        <item m="1" x="2846"/>
        <item m="1" x="2957"/>
        <item m="1" x="2938"/>
        <item m="1" x="2878"/>
        <item m="1" x="2920"/>
        <item m="1" x="3027"/>
        <item m="1" x="2998"/>
        <item m="1" x="2903"/>
        <item m="1" x="951"/>
        <item m="1" x="927"/>
        <item m="1" x="974"/>
        <item m="1" x="4077"/>
        <item m="1" x="4025"/>
        <item m="1" x="1024"/>
        <item m="1" x="995"/>
        <item m="1" x="3648"/>
        <item m="1" x="3679"/>
        <item m="1" x="1049"/>
        <item m="1" x="1083"/>
        <item m="1" x="5513"/>
        <item m="1" x="1148"/>
        <item m="1" x="1166"/>
        <item m="1" x="1185"/>
        <item m="1" x="1207"/>
        <item m="1" x="1235"/>
        <item m="1" x="1272"/>
        <item m="1" x="1313"/>
        <item m="1" x="3904"/>
        <item m="1" x="3944"/>
        <item m="1" x="3977"/>
        <item m="1" x="4000"/>
        <item m="1" x="3867"/>
        <item m="1" x="3257"/>
        <item m="1" x="508"/>
        <item m="1" x="530"/>
        <item m="1" x="561"/>
        <item m="1" x="3295"/>
        <item m="1" x="3320"/>
        <item m="1" x="3637"/>
        <item m="1" x="385"/>
        <item m="1" x="490"/>
        <item m="1" x="3044"/>
        <item m="1" x="2965"/>
        <item m="1" x="5539"/>
        <item m="1" x="351"/>
        <item m="1" x="474"/>
        <item m="1" x="1089"/>
        <item m="1" x="3446"/>
        <item m="1" x="3279"/>
        <item m="1" x="3308"/>
        <item m="1" x="1121"/>
        <item m="1" x="227"/>
        <item m="1" x="1303"/>
        <item m="1" x="1378"/>
        <item m="1" x="1398"/>
        <item m="1" x="1361"/>
        <item m="1" x="1336"/>
        <item m="1" x="3379"/>
        <item m="1" x="963"/>
        <item m="1" x="4132"/>
        <item m="1" x="795"/>
        <item m="1" x="874"/>
        <item m="1" x="831"/>
        <item m="1" x="938"/>
        <item m="1" x="908"/>
        <item m="1" x="4094"/>
        <item m="1" x="1034"/>
        <item m="1" x="1065"/>
        <item m="1" x="3628"/>
        <item m="1" x="3664"/>
        <item m="1" x="3790"/>
        <item m="1" x="633"/>
        <item m="1" x="591"/>
        <item m="1" x="108"/>
        <item m="1" x="122"/>
        <item m="1" x="5457"/>
        <item m="1" x="134"/>
        <item m="1" x="339"/>
        <item m="1" x="3657"/>
        <item m="1" x="441"/>
        <item m="1" x="1370"/>
        <item m="1" x="4353"/>
        <item m="1" x="1349"/>
        <item m="1" x="4382"/>
        <item m="1" x="4456"/>
        <item m="1" x="1245"/>
        <item m="1" x="1320"/>
        <item m="1" x="3868"/>
        <item m="1" x="3905"/>
        <item m="1" x="4322"/>
        <item m="1" x="4420"/>
        <item m="1" x="1614"/>
        <item m="1" x="1187"/>
        <item m="1" x="4508"/>
        <item m="1" x="1281"/>
        <item m="1" x="4436"/>
        <item m="1" x="812"/>
        <item m="1" x="1761"/>
        <item m="1" x="1747"/>
        <item m="1" x="4474"/>
        <item m="1" x="4501"/>
        <item m="1" x="784"/>
        <item m="1" x="1488"/>
        <item m="1" x="1057"/>
        <item m="1" x="4088"/>
        <item m="1" x="4286"/>
        <item m="1" x="775"/>
        <item m="1" x="4118"/>
        <item m="1" x="4026"/>
        <item m="1" x="4001"/>
        <item m="1" x="4316"/>
        <item m="1" x="4262"/>
        <item m="1" x="4227"/>
        <item m="1" x="3542"/>
        <item m="1" x="3520"/>
        <item m="1" x="3457"/>
        <item m="1" x="820"/>
        <item m="1" x="4078"/>
        <item m="1" x="3493"/>
        <item m="1" x="4048"/>
        <item m="1" x="3422"/>
        <item m="1" x="3398"/>
        <item m="1" x="3978"/>
        <item m="1" x="3945"/>
        <item m="1" x="4191"/>
        <item m="1" x="4211"/>
        <item m="1" x="3650"/>
        <item m="1" x="893"/>
        <item m="1" x="928"/>
        <item m="1" x="975"/>
        <item m="1" x="3554"/>
        <item m="1" x="1025"/>
        <item m="1" x="952"/>
        <item m="1" x="996"/>
        <item m="1" x="1051"/>
        <item m="1" x="3610"/>
        <item m="1" x="3782"/>
        <item m="1" x="3802"/>
        <item m="1" x="3859"/>
        <item m="1" x="541"/>
        <item m="1" x="573"/>
        <item m="1" x="615"/>
        <item m="1" x="654"/>
        <item m="1" x="679"/>
        <item m="1" x="702"/>
        <item m="1" x="3383"/>
        <item m="1" x="3406"/>
        <item m="1" x="3437"/>
        <item m="1" x="3475"/>
        <item m="1" x="3508"/>
        <item m="1" x="3531"/>
        <item m="1" x="3580"/>
        <item m="1" x="3604"/>
        <item m="1" x="3639"/>
        <item m="1" x="1633"/>
        <item m="1" x="1692"/>
        <item m="1" x="1717"/>
        <item m="1" x="1733"/>
        <item m="1" x="1797"/>
        <item m="1" x="1820"/>
        <item m="1" x="3825"/>
        <item m="1" x="3763"/>
        <item m="1" x="3744"/>
        <item m="1" x="3715"/>
        <item m="1" x="3681"/>
        <item m="1" x="1639"/>
        <item m="1" x="1671"/>
        <item m="1" x="1606"/>
        <item m="1" x="1624"/>
        <item m="1" x="1651"/>
        <item m="1" x="1045"/>
        <item m="1" x="4410"/>
        <item m="1" x="4371"/>
        <item m="1" x="4392"/>
        <item m="1" x="1255"/>
        <item m="1" x="1222"/>
        <item m="1" x="3822"/>
        <item m="1" x="4427"/>
        <item m="1" x="4446"/>
        <item m="1" x="4467"/>
        <item m="1" x="4491"/>
        <item m="1" x="1231"/>
        <item m="1" x="1304"/>
        <item m="1" x="1337"/>
        <item m="1" x="1380"/>
        <item m="1" x="1400"/>
        <item m="1" x="1019"/>
        <item m="1" x="1073"/>
        <item m="1" x="1106"/>
        <item m="1" x="1176"/>
        <item m="1" x="4012"/>
        <item m="1" x="4038"/>
        <item m="1" x="4059"/>
        <item m="1" x="1418"/>
        <item m="1" x="1439"/>
        <item m="1" x="1466"/>
        <item m="1" x="4074"/>
        <item m="1" x="4113"/>
        <item m="1" x="4145"/>
        <item m="1" x="4175"/>
        <item m="1" x="4201"/>
        <item m="1" x="4219"/>
        <item m="1" x="4237"/>
        <item m="1" x="4253"/>
        <item m="1" x="4271"/>
        <item m="1" x="4298"/>
        <item m="1" x="964"/>
        <item m="1" x="911"/>
        <item m="1" x="876"/>
        <item m="1" x="1139"/>
        <item m="1" x="3884"/>
        <item m="1" x="3926"/>
        <item m="1" x="3963"/>
        <item m="1" x="3852"/>
        <item m="1" x="1894"/>
        <item m="1" x="4732"/>
        <item m="1" x="4759"/>
        <item m="1" x="1622"/>
        <item m="1" x="1646"/>
        <item m="1" x="1905"/>
        <item m="1" x="1869"/>
        <item m="1" x="4637"/>
        <item m="1" x="1678"/>
        <item m="1" x="1706"/>
        <item m="1" x="4659"/>
        <item m="1" x="1878"/>
        <item m="1" x="1728"/>
        <item m="1" x="1741"/>
        <item m="1" x="1885"/>
        <item m="1" x="4678"/>
        <item m="1" x="1788"/>
        <item m="1" x="1812"/>
        <item m="1" x="1771"/>
        <item m="1" x="1756"/>
        <item m="1" x="3925"/>
        <item m="1" x="3987"/>
        <item m="1" x="3843"/>
        <item m="1" x="4464"/>
        <item m="1" x="3700"/>
        <item m="1" x="4485"/>
        <item m="1" x="3733"/>
        <item m="1" x="1254"/>
        <item m="1" x="3962"/>
        <item m="1" x="5262"/>
        <item m="1" x="4268"/>
        <item m="1" x="1091"/>
        <item m="1" x="1123"/>
        <item m="1" x="4294"/>
        <item m="1" x="1008"/>
        <item m="1" x="1035"/>
        <item m="1" x="4324"/>
        <item m="1" x="4540"/>
        <item m="1" x="1585"/>
        <item m="1" x="1434"/>
        <item m="1" x="1527"/>
        <item m="1" x="1459"/>
        <item m="1" x="4653"/>
        <item m="1" x="1494"/>
        <item m="1" x="4630"/>
        <item m="1" x="1616"/>
        <item m="1" x="4355"/>
        <item m="1" x="1553"/>
        <item m="1" x="1570"/>
        <item m="1" x="1599"/>
        <item m="1" x="1640"/>
        <item m="1" x="4401"/>
        <item m="1" x="1389"/>
        <item m="1" x="4421"/>
        <item m="1" x="4438"/>
        <item m="1" x="1247"/>
        <item m="1" x="1217"/>
        <item m="1" x="1350"/>
        <item m="1" x="1371"/>
        <item m="1" x="1321"/>
        <item m="1" x="1283"/>
        <item m="1" x="4478"/>
        <item m="1" x="1411"/>
        <item m="1" x="1430"/>
        <item m="1" x="1362"/>
        <item m="1" x="3665"/>
        <item m="1" x="940"/>
        <item m="1" x="861"/>
        <item m="1" x="3630"/>
        <item m="1" x="3598"/>
        <item m="1" x="1168"/>
        <item m="1" x="4056"/>
        <item m="1" x="4161"/>
        <item m="1" x="4212"/>
        <item m="1" x="4228"/>
        <item m="1" x="4192"/>
        <item m="1" x="4128"/>
        <item m="1" x="4089"/>
        <item m="1" x="571"/>
        <item m="1" x="3858"/>
        <item m="1" x="3896"/>
        <item m="1" x="677"/>
        <item m="1" x="700"/>
        <item m="1" x="422"/>
        <item m="1" x="452"/>
        <item m="1" x="3699"/>
        <item m="1" x="3752"/>
        <item m="1" x="3770"/>
        <item m="1" x="407"/>
        <item m="1" x="724"/>
        <item m="1" x="746"/>
        <item m="1" x="768"/>
        <item m="1" x="803"/>
        <item m="1" x="613"/>
        <item m="1" x="3731"/>
        <item m="1" x="1199"/>
        <item m="1" x="1155"/>
        <item m="1" x="4287"/>
        <item m="1" x="510"/>
        <item m="1" x="532"/>
        <item m="1" x="604"/>
        <item m="1" x="644"/>
        <item m="1" x="4580"/>
        <item m="1" x="4598"/>
        <item m="1" x="4614"/>
        <item m="1" x="282"/>
        <item m="1" x="262"/>
        <item m="1" x="213"/>
        <item m="1" x="3501"/>
        <item m="1" x="243"/>
        <item m="1" x="3466"/>
        <item m="1" x="3429"/>
        <item m="1" x="3401"/>
        <item m="1" x="301"/>
        <item m="1" x="3189"/>
        <item m="1" x="3143"/>
        <item m="1" x="3250"/>
        <item m="1" x="3168"/>
        <item m="1" x="3218"/>
        <item m="1" x="322"/>
        <item m="1" x="3288"/>
        <item m="1" x="206"/>
        <item m="1" x="2862"/>
        <item m="1" x="233"/>
        <item m="1" x="176"/>
        <item m="1" x="2801"/>
        <item m="1" x="2765"/>
        <item m="1" x="2782"/>
        <item m="1" x="1031"/>
        <item m="1" x="3980"/>
        <item m="1" x="4004"/>
        <item m="1" x="1060"/>
        <item m="1" x="1210"/>
        <item m="1" x="1188"/>
        <item m="1" x="4029"/>
        <item m="1" x="2823"/>
        <item m="1" x="2884"/>
        <item m="1" x="3280"/>
        <item m="1" x="666"/>
        <item m="1" x="85"/>
        <item m="1" x="61"/>
        <item m="1" x="30"/>
        <item m="1" x="3266"/>
        <item m="1" x="101"/>
        <item m="1" x="2847"/>
        <item m="1" x="2999"/>
        <item m="1" x="5532"/>
        <item m="1" x="2879"/>
        <item m="1" x="218"/>
        <item m="1" x="188"/>
        <item m="1" x="160"/>
        <item m="1" x="5550"/>
        <item m="1" x="2921"/>
        <item m="1" x="53"/>
        <item m="1" x="2762"/>
        <item m="1" x="2777"/>
        <item m="1" x="2794"/>
        <item m="1" x="2746"/>
        <item m="1" x="2904"/>
        <item m="1" x="2939"/>
        <item m="1" x="2958"/>
        <item m="1" x="2978"/>
        <item m="1" x="3028"/>
        <item m="1" x="3060"/>
        <item m="1" x="5477"/>
        <item m="1" x="5504"/>
        <item m="1" x="5569"/>
        <item m="1" x="5586"/>
        <item m="1" x="5605"/>
        <item m="1" x="5622"/>
        <item m="1" x="23"/>
        <item m="1" x="2678"/>
        <item m="1" x="2709"/>
        <item m="1" x="2729"/>
        <item m="1" x="895"/>
        <item m="1" x="2814"/>
        <item m="1" x="2840"/>
        <item m="1" x="2872"/>
        <item m="1" x="853"/>
        <item m="1" x="725"/>
        <item m="1" x="680"/>
        <item m="1" x="655"/>
        <item m="1" x="616"/>
        <item m="1" x="3938"/>
        <item m="1" x="3897"/>
        <item m="1" x="703"/>
        <item m="1" x="3861"/>
        <item m="1" x="289"/>
        <item m="1" x="3683"/>
        <item m="1" x="3717"/>
        <item m="1" x="3745"/>
        <item m="1" x="3764"/>
        <item m="1" x="3783"/>
        <item m="1" x="3804"/>
        <item m="1" x="3827"/>
        <item m="1" x="997"/>
        <item m="1" x="976"/>
        <item m="1" x="953"/>
        <item m="1" x="929"/>
        <item m="1" x="1115"/>
        <item m="1" x="1085"/>
        <item m="1" x="332"/>
        <item m="1" x="360"/>
        <item m="1" x="116"/>
        <item m="1" x="128"/>
        <item m="1" x="142"/>
        <item m="1" x="396"/>
        <item m="1" x="310"/>
        <item m="1" x="747"/>
        <item m="1" x="769"/>
        <item m="1" x="3533"/>
        <item m="1" x="5459"/>
        <item m="1" x="5443"/>
        <item m="1" x="5431"/>
        <item m="1" x="5480"/>
        <item m="1" x="3260"/>
        <item m="1" x="645"/>
        <item m="1" x="3232"/>
        <item m="1" x="3200"/>
        <item m="1" x="3177"/>
        <item m="1" x="3190"/>
        <item m="1" x="563"/>
        <item m="1" x="533"/>
        <item m="1" x="605"/>
        <item m="1" x="347"/>
        <item m="1" x="302"/>
        <item m="1" x="283"/>
        <item m="1" x="263"/>
        <item m="1" x="1237"/>
        <item m="1" x="3806"/>
        <item m="1" x="3834"/>
        <item m="1" x="3869"/>
        <item m="1" x="3908"/>
        <item m="1" x="3145"/>
        <item m="1" x="109"/>
        <item m="1" x="123"/>
        <item m="1" x="136"/>
        <item m="1" x="4098"/>
        <item m="1" x="4166"/>
        <item m="1" x="4133"/>
        <item m="1" x="3067"/>
        <item m="1" x="3036"/>
        <item m="1" x="3093"/>
        <item m="1" x="3110"/>
        <item m="1" x="3129"/>
        <item m="1" x="3152"/>
        <item m="1" x="428"/>
        <item m="1" x="1156"/>
        <item m="1" x="4013"/>
        <item m="1" x="3556"/>
        <item m="1" x="3734"/>
        <item m="1" x="3701"/>
        <item m="1" x="3964"/>
        <item m="1" x="1075"/>
        <item m="1" x="2864"/>
        <item m="1" x="3988"/>
        <item m="1" x="2915"/>
        <item m="1" x="2950"/>
        <item m="1" x="1107"/>
        <item m="1" x="2968"/>
        <item m="1" x="2931"/>
        <item m="1" x="3927"/>
        <item m="1" x="3885"/>
        <item m="1" x="1329"/>
        <item m="1" x="1256"/>
        <item m="1" x="1292"/>
        <item m="1" x="833"/>
        <item m="1" x="912"/>
        <item m="1" x="877"/>
        <item m="1" x="941"/>
        <item m="1" x="3430"/>
        <item m="1" x="3812"/>
        <item m="1" x="3844"/>
        <item m="1" x="3876"/>
        <item m="1" x="3794"/>
        <item m="1" x="822"/>
        <item m="1" x="786"/>
        <item m="1" x="3570"/>
        <item m="1" x="863"/>
        <item m="1" x="3423"/>
        <item m="1" x="3459"/>
        <item m="1" x="3592"/>
        <item m="1" x="3620"/>
        <item m="1" x="3543"/>
        <item m="1" x="3522"/>
        <item m="1" x="3495"/>
        <item m="1" x="583"/>
        <item m="1" x="500"/>
        <item m="1" x="484"/>
        <item m="1" x="468"/>
        <item m="1" x="518"/>
        <item m="1" x="549"/>
        <item m="1" x="3477"/>
        <item m="1" x="3467"/>
        <item m="1" x="183"/>
        <item m="1" x="3178"/>
        <item m="1" x="200"/>
        <item m="1" x="168"/>
        <item m="1" x="3354"/>
        <item m="1" x="3334"/>
        <item m="1" x="3372"/>
        <item m="1" x="1285"/>
        <item m="1" x="3448"/>
        <item m="1" x="3391"/>
        <item m="1" x="3414"/>
        <item m="1" x="311"/>
        <item m="1" x="3069"/>
        <item m="1" x="3095"/>
        <item m="1" x="3154"/>
        <item m="1" x="3282"/>
        <item m="1" x="3311"/>
        <item m="1" x="254"/>
        <item m="1" x="229"/>
        <item m="1" x="362"/>
        <item m="1" x="398"/>
        <item m="1" x="291"/>
        <item m="1" x="3131"/>
        <item m="1" x="273"/>
        <item m="1" x="3112"/>
        <item m="1" x="3233"/>
        <item m="1" x="3242"/>
        <item m="1" x="3038"/>
        <item m="1" x="3005"/>
        <item m="1" x="3202"/>
        <item m="1" x="334"/>
        <item m="1" x="3828"/>
        <item m="1" x="3898"/>
        <item m="1" x="3439"/>
        <item m="1" x="726"/>
        <item m="1" x="704"/>
        <item m="1" x="681"/>
        <item m="1" x="564"/>
        <item m="1" x="535"/>
        <item m="1" x="3196"/>
        <item m="1" x="511"/>
        <item m="1" x="492"/>
        <item m="1" x="3558"/>
        <item m="1" x="3224"/>
        <item m="1" x="3297"/>
        <item m="1" x="3324"/>
        <item m="1" x="3346"/>
        <item m="1" x="3261"/>
        <item m="1" x="606"/>
        <item m="1" x="1514"/>
        <item m="1" x="3606"/>
        <item m="1" x="3431"/>
        <item m="1" x="656"/>
        <item m="1" x="3641"/>
        <item m="1" x="424"/>
        <item m="1" x="456"/>
        <item m="1" x="3673"/>
        <item m="1" x="353"/>
        <item m="1" x="1480"/>
        <item m="1" x="3381"/>
        <item m="1" x="387"/>
        <item m="1" x="3402"/>
        <item m="1" x="3582"/>
        <item m="1" x="748"/>
        <item m="1" x="770"/>
        <item m="1" x="805"/>
        <item m="1" x="3535"/>
        <item m="1" x="3511"/>
        <item m="1" x="3478"/>
        <item m="1" x="4522"/>
        <item m="1" x="1267"/>
        <item m="1" x="4204"/>
        <item m="1" x="1502"/>
        <item m="1" x="4115"/>
        <item m="1" x="4178"/>
        <item m="1" x="4255"/>
        <item m="1" x="4273"/>
        <item m="1" x="244"/>
        <item m="1" x="214"/>
        <item m="1" x="1036"/>
        <item m="1" x="3631"/>
        <item m="1" x="835"/>
        <item m="1" x="914"/>
        <item m="1" x="1224"/>
        <item m="1" x="1201"/>
        <item m="1" x="1109"/>
        <item m="1" x="1077"/>
        <item m="1" x="4239"/>
        <item m="1" x="4222"/>
        <item m="1" x="1178"/>
        <item m="1" x="1157"/>
        <item m="1" x="1141"/>
        <item m="1" x="4333"/>
        <item m="1" x="4301"/>
        <item m="1" x="4135"/>
        <item m="1" x="797"/>
        <item m="1" x="879"/>
        <item m="1" x="943"/>
        <item m="1" x="966"/>
        <item m="1" x="1009"/>
        <item m="1" x="3795"/>
        <item m="1" x="3774"/>
        <item m="1" x="1625"/>
        <item m="1" x="1652"/>
        <item m="1" x="1684"/>
        <item m="1" x="4411"/>
        <item m="1" x="4393"/>
        <item m="1" x="4372"/>
        <item m="1" x="4341"/>
        <item m="1" x="4309"/>
        <item m="1" x="1306"/>
        <item m="1" x="1339"/>
        <item m="1" x="1364"/>
        <item m="1" x="1382"/>
        <item m="1" x="1402"/>
        <item m="1" x="4040"/>
        <item m="1" x="4062"/>
        <item m="1" x="4100"/>
        <item m="1" x="4299"/>
        <item m="1" x="1020"/>
        <item m="1" x="1074"/>
        <item m="1" x="1046"/>
        <item m="1" x="3853"/>
        <item m="1" x="3887"/>
        <item m="1" x="1293"/>
        <item m="1" x="1258"/>
        <item m="1" x="3929"/>
        <item m="1" x="626"/>
        <item m="1" x="1772"/>
        <item m="1" x="1757"/>
        <item m="1" x="1742"/>
        <item m="1" x="4148"/>
        <item m="1" x="3813"/>
        <item m="1" x="987"/>
        <item m="1" x="1789"/>
        <item m="1" x="4486"/>
        <item m="1" x="1618"/>
        <item m="1" x="1642"/>
        <item m="1" x="1674"/>
        <item m="1" x="1495"/>
        <item m="1" x="1554"/>
        <item m="1" x="4631"/>
        <item m="1" x="1586"/>
        <item m="1" x="757"/>
        <item m="1" x="1835"/>
        <item m="1" x="1528"/>
        <item m="1" x="692"/>
        <item m="1" x="4615"/>
        <item m="1" x="735"/>
        <item m="1" x="3916"/>
        <item m="1" x="668"/>
        <item m="1" x="635"/>
        <item m="1" x="593"/>
        <item m="1" x="4130"/>
        <item m="1" x="4193"/>
        <item m="1" x="1149"/>
        <item m="1" x="1211"/>
        <item m="1" x="3691"/>
        <item m="1" x="1093"/>
        <item m="1" x="1169"/>
        <item m="1" x="4229"/>
        <item m="1" x="1189"/>
        <item m="1" x="4737"/>
        <item m="1" x="4727"/>
        <item m="1" x="4749"/>
        <item m="1" x="4768"/>
        <item m="1" x="1125"/>
        <item m="1" x="4081"/>
        <item m="1" x="4121"/>
        <item m="1" x="777"/>
        <item m="1" x="1829"/>
        <item m="1" x="1848"/>
        <item m="1" x="1913"/>
        <item m="1" x="4671"/>
        <item m="1" x="4649"/>
        <item m="1" x="3685"/>
        <item m="1" x="855"/>
        <item m="1" x="897"/>
        <item m="1" x="930"/>
        <item m="1" x="954"/>
        <item m="1" x="977"/>
        <item m="1" x="1026"/>
        <item m="1" x="998"/>
        <item m="1" x="1052"/>
        <item m="1" x="3612"/>
        <item m="1" x="1798"/>
        <item m="1" x="1778"/>
        <item m="1" x="1764"/>
        <item m="1" x="1635"/>
        <item m="1" x="1352"/>
        <item m="1" x="1323"/>
        <item m="1" x="4439"/>
        <item m="1" x="4459"/>
        <item m="1" x="4480"/>
        <item m="1" x="4511"/>
        <item m="1" x="1249"/>
        <item m="1" x="1287"/>
        <item m="1" x="4052"/>
        <item m="1" x="4412"/>
        <item m="1" x="4302"/>
        <item m="1" x="4274"/>
        <item m="1" x="4256"/>
        <item m="1" x="4240"/>
        <item m="1" x="4205"/>
        <item m="1" x="4179"/>
        <item m="1" x="1441"/>
        <item m="1" x="4607"/>
        <item m="1" x="1516"/>
        <item m="1" x="1481"/>
        <item m="1" x="4572"/>
        <item m="1" x="4532"/>
        <item m="1" x="4555"/>
        <item m="1" x="4342"/>
        <item m="1" x="4622"/>
        <item m="1" x="4502"/>
        <item m="1" x="1607"/>
        <item m="1" x="4311"/>
        <item m="1" x="1665"/>
        <item m="1" x="1695"/>
        <item m="1" x="1720"/>
        <item m="1" x="1561"/>
        <item m="1" x="4588"/>
        <item m="1" x="4264"/>
        <item m="1" x="1274"/>
        <item m="1" x="4386"/>
        <item m="1" x="4403"/>
        <item m="1" x="4326"/>
        <item m="1" x="4422"/>
        <item m="1" x="4358"/>
        <item m="1" x="1420"/>
        <item m="1" x="1047"/>
        <item m="1" x="1021"/>
        <item m="1" x="4016"/>
        <item m="1" x="1403"/>
        <item m="1" x="1910"/>
        <item m="1" x="4102"/>
        <item m="1" x="4373"/>
        <item m="1" x="1907"/>
        <item m="1" x="1897"/>
        <item m="1" x="1855"/>
        <item m="1" x="4640"/>
        <item m="1" x="4661"/>
        <item m="1" x="4700"/>
        <item m="1" x="1806"/>
        <item m="1" x="3862"/>
        <item m="1" x="3829"/>
        <item m="1" x="3765"/>
        <item m="1" x="2000"/>
        <item m="1" x="4764"/>
        <item m="1" x="4777"/>
        <item m="1" x="1817"/>
        <item m="1" x="1839"/>
        <item m="1" x="1392"/>
        <item m="1" x="4516"/>
        <item m="1" x="4057"/>
        <item m="1" x="1461"/>
        <item m="1" x="1497"/>
        <item m="1" x="4542"/>
        <item m="1" x="4091"/>
        <item m="1" x="4565"/>
        <item m="1" x="1555"/>
        <item m="1" x="1530"/>
        <item m="1" x="4582"/>
        <item m="1" x="1435"/>
        <item m="1" x="4655"/>
        <item m="1" x="1454"/>
        <item m="1" x="1601"/>
        <item m="1" x="4600"/>
        <item m="1" x="4213"/>
        <item m="1" x="4194"/>
        <item m="1" x="1958"/>
        <item m="1" x="1950"/>
        <item m="1" x="1807"/>
        <item m="1" x="1784"/>
        <item m="1" x="4832"/>
        <item m="1" x="4818"/>
        <item m="1" x="4756"/>
        <item m="1" x="4841"/>
        <item m="1" x="2046"/>
        <item m="1" x="3967"/>
        <item m="1" x="3931"/>
        <item m="1" x="3718"/>
        <item m="1" x="3888"/>
        <item m="1" x="3854"/>
        <item m="1" x="3652"/>
        <item m="1" x="1849"/>
        <item m="1" x="4802"/>
        <item m="1" x="1722"/>
        <item m="1" x="1736"/>
        <item m="1" x="4783"/>
        <item m="1" x="4793"/>
        <item m="1" x="1917"/>
        <item m="1" x="1932"/>
        <item m="1" x="1989"/>
        <item m="1" x="4814"/>
        <item m="1" x="4821"/>
        <item m="1" x="4828"/>
        <item m="1" x="4797"/>
        <item m="1" x="4787"/>
        <item m="1" x="4836"/>
        <item m="1" x="1795"/>
        <item m="1" x="4848"/>
        <item m="1" x="4223"/>
        <item m="1" x="1142"/>
        <item m="1" x="1158"/>
        <item m="1" x="1179"/>
        <item m="1" x="4488"/>
        <item m="1" x="3524"/>
        <item m="1" x="737"/>
        <item m="1" x="3918"/>
        <item m="1" x="3954"/>
        <item m="1" x="637"/>
        <item m="1" x="3545"/>
        <item m="1" x="3878"/>
        <item m="1" x="3846"/>
        <item m="1" x="3703"/>
        <item m="1" x="3736"/>
        <item m="1" x="3776"/>
        <item m="1" x="3756"/>
        <item m="1" x="3797"/>
        <item m="1" x="3815"/>
        <item m="1" x="501"/>
        <item m="1" x="486"/>
        <item m="1" x="585"/>
        <item m="1" x="628"/>
        <item m="1" x="520"/>
        <item m="1" x="551"/>
        <item m="1" x="1862"/>
        <item m="1" x="3461"/>
        <item m="1" x="1901"/>
        <item m="1" x="1914"/>
        <item m="1" x="4627"/>
        <item m="1" x="4650"/>
        <item m="1" x="4709"/>
        <item m="1" x="670"/>
        <item m="1" x="4693"/>
        <item m="1" x="4672"/>
        <item m="1" x="694"/>
        <item m="1" x="4719"/>
        <item m="1" x="4728"/>
        <item m="1" x="4739"/>
        <item m="1" x="4769"/>
        <item m="1" x="1613"/>
        <item m="1" x="759"/>
        <item m="1" x="788"/>
        <item m="1" x="824"/>
        <item m="1" x="865"/>
        <item m="1" x="902"/>
        <item m="1" x="3496"/>
        <item m="1" x="715"/>
        <item m="1" x="1891"/>
        <item m="1" x="1881"/>
        <item m="1" x="1873"/>
        <item m="1" x="661"/>
        <item m="1" x="4751"/>
        <item m="1" x="3373"/>
        <item m="1" x="3244"/>
        <item m="1" x="3336"/>
        <item m="1" x="3356"/>
        <item m="1" x="4623"/>
        <item m="1" x="3392"/>
        <item m="1" x="3284"/>
        <item m="1" x="443"/>
        <item m="1" x="469"/>
        <item m="1" x="363"/>
        <item m="1" x="274"/>
        <item m="1" x="312"/>
        <item m="1" x="255"/>
        <item m="1" x="292"/>
        <item m="1" x="335"/>
        <item m="1" x="3484"/>
        <item m="1" x="230"/>
        <item m="1" x="3450"/>
        <item m="1" x="201"/>
        <item m="1" x="3572"/>
        <item m="1" x="3594"/>
        <item m="1" x="3693"/>
        <item m="1" x="430"/>
        <item m="1" x="3070"/>
        <item m="1" x="3113"/>
        <item m="1" x="3132"/>
        <item m="1" x="3039"/>
        <item m="1" x="399"/>
        <item m="1" x="162"/>
        <item m="1" x="144"/>
        <item m="1" x="130"/>
        <item m="1" x="190"/>
        <item m="1" x="4609"/>
        <item m="1" x="968"/>
        <item m="1" x="916"/>
        <item m="1" x="1038"/>
        <item m="1" x="881"/>
        <item m="1" x="1011"/>
        <item m="1" x="945"/>
        <item m="1" x="2941"/>
        <item m="1" x="2906"/>
        <item m="1" x="2959"/>
        <item m="1" x="3000"/>
        <item m="1" x="1053"/>
        <item m="1" x="3719"/>
        <item m="1" x="3746"/>
        <item m="1" x="409"/>
        <item m="1" x="3029"/>
        <item m="1" x="3416"/>
        <item m="1" x="888"/>
        <item m="1" x="536"/>
        <item m="1" x="493"/>
        <item m="1" x="3440"/>
        <item m="1" x="771"/>
        <item m="1" x="3709"/>
        <item m="1" x="3607"/>
        <item m="1" x="3225"/>
        <item m="1" x="3536"/>
        <item m="1" x="3262"/>
        <item m="1" x="457"/>
        <item m="1" x="844"/>
        <item m="1" x="3479"/>
        <item m="1" x="806"/>
        <item m="1" x="425"/>
        <item m="1" x="749"/>
        <item m="1" x="682"/>
        <item m="1" x="388"/>
        <item m="1" x="512"/>
        <item m="1" x="705"/>
        <item m="1" x="727"/>
        <item m="1" x="476"/>
        <item m="1" x="3899"/>
        <item m="1" x="3643"/>
        <item m="1" x="3583"/>
        <item m="1" x="607"/>
        <item m="1" x="565"/>
        <item m="1" x="3513"/>
        <item m="1" x="4005"/>
        <item m="1" x="856"/>
        <item m="1" x="1212"/>
        <item m="1" x="1170"/>
        <item m="1" x="1190"/>
        <item m="1" x="4155"/>
        <item m="1" x="3939"/>
        <item m="1" x="3863"/>
        <item m="1" x="617"/>
        <item m="1" x="3560"/>
        <item m="1" x="3912"/>
        <item m="1" x="1239"/>
        <item m="1" x="646"/>
        <item m="1" x="4031"/>
        <item m="1" x="1276"/>
        <item m="1" x="4184"/>
        <item m="1" x="4082"/>
        <item m="1" x="1126"/>
        <item m="1" x="3950"/>
        <item m="1" x="3062"/>
        <item m="1" x="1345"/>
        <item m="1" x="1027"/>
        <item m="1" x="978"/>
        <item m="1" x="999"/>
        <item m="1" x="3622"/>
        <item m="1" x="3086"/>
        <item m="1" x="1307"/>
        <item m="1" x="3784"/>
        <item m="1" x="3970"/>
        <item m="1" x="4019"/>
        <item m="1" x="3993"/>
        <item m="1" x="3934"/>
        <item m="1" x="1203"/>
        <item m="1" x="1227"/>
        <item m="1" x="1296"/>
        <item m="1" x="4206"/>
        <item m="1" x="1160"/>
        <item m="1" x="1143"/>
        <item m="1" x="1111"/>
        <item m="1" x="1503"/>
        <item m="1" x="1442"/>
        <item m="1" x="1534"/>
        <item m="1" x="4149"/>
        <item m="1" x="4043"/>
        <item m="1" x="1469"/>
        <item m="1" x="1421"/>
        <item m="1" x="1404"/>
        <item m="1" x="4241"/>
        <item m="1" x="4257"/>
        <item m="1" x="4275"/>
        <item m="1" x="4303"/>
        <item m="1" x="4362"/>
        <item m="1" x="1079"/>
        <item m="1" x="4065"/>
        <item m="1" x="4169"/>
        <item m="1" x="837"/>
        <item m="1" x="4138"/>
        <item m="1" x="883"/>
        <item m="1" x="1068"/>
        <item m="1" x="1099"/>
        <item m="1" x="947"/>
        <item m="1" x="1014"/>
        <item m="1" x="1040"/>
        <item m="1" x="4105"/>
        <item m="1" x="4334"/>
        <item m="1" x="4180"/>
        <item m="1" x="1331"/>
        <item m="1" x="3889"/>
        <item m="1" x="1181"/>
        <item m="1" x="1261"/>
        <item m="1" x="695"/>
        <item m="1" x="716"/>
        <item m="1" x="739"/>
        <item m="1" x="3778"/>
        <item m="1" x="502"/>
        <item m="1" x="521"/>
        <item m="1" x="867"/>
        <item m="1" x="3983"/>
        <item m="1" x="3596"/>
        <item m="1" x="3498"/>
        <item m="1" x="1315"/>
        <item m="1" x="4122"/>
        <item m="1" x="3660"/>
        <item m="1" x="3695"/>
        <item m="1" x="3211"/>
        <item m="1" x="586"/>
        <item m="1" x="552"/>
        <item m="1" x="1094"/>
        <item m="1" x="1456"/>
        <item m="1" x="1524"/>
        <item m="1" x="4214"/>
        <item m="1" x="4248"/>
        <item m="1" x="1414"/>
        <item m="1" x="1375"/>
        <item m="1" x="1326"/>
        <item m="1" x="3357"/>
        <item m="1" x="3338"/>
        <item m="1" x="3286"/>
        <item m="1" x="3314"/>
        <item m="1" x="1491"/>
        <item m="1" x="4404"/>
        <item m="1" x="4537"/>
        <item m="1" x="1355"/>
        <item m="1" x="4131"/>
        <item m="1" x="4441"/>
        <item m="1" x="1701"/>
        <item m="1" x="4359"/>
        <item m="1" x="1675"/>
        <item m="1" x="1433"/>
        <item m="1" x="1061"/>
        <item m="1" x="4348"/>
        <item m="1" x="1288"/>
        <item m="1" x="1394"/>
        <item m="1" x="4318"/>
        <item m="1" x="3374"/>
        <item m="1" x="4195"/>
        <item m="1" x="4231"/>
        <item m="1" x="4266"/>
        <item m="1" x="4289"/>
        <item m="1" x="1589"/>
        <item m="1" x="1620"/>
        <item m="1" x="4329"/>
        <item m="1" x="4387"/>
        <item m="1" x="4424"/>
        <item m="1" x="4462"/>
        <item m="1" x="3451"/>
        <item m="1" x="1499"/>
        <item m="1" x="1573"/>
        <item m="1" x="1095"/>
        <item m="1" x="3393"/>
        <item m="1" x="3203"/>
        <item m="1" x="3686"/>
        <item m="1" x="1086"/>
        <item m="1" x="1116"/>
        <item m="1" x="103"/>
        <item m="1" x="63"/>
        <item m="1" x="3268"/>
        <item m="1" x="3179"/>
        <item m="1" x="3155"/>
        <item m="1" x="32"/>
        <item m="1" x="87"/>
        <item m="1" x="1214"/>
        <item m="1" x="1241"/>
        <item m="1" x="1277"/>
        <item m="1" x="1171"/>
        <item m="1" x="1191"/>
        <item m="1" x="1127"/>
        <item m="1" x="1150"/>
        <item m="1" x="857"/>
        <item m="1" x="898"/>
        <item m="1" x="3720"/>
        <item m="1" x="3747"/>
        <item m="1" x="4157"/>
        <item m="1" x="4123"/>
        <item m="1" x="815"/>
        <item m="1" x="4083"/>
        <item m="1" x="684"/>
        <item m="1" x="1087"/>
        <item m="1" x="1644"/>
        <item m="1" x="931"/>
        <item m="1" x="979"/>
        <item m="1" x="1000"/>
        <item m="1" x="955"/>
        <item m="1" x="1028"/>
        <item m="1" x="1054"/>
        <item m="1" x="4505"/>
        <item m="1" x="4534"/>
        <item m="1" x="4557"/>
        <item m="1" x="4575"/>
        <item m="1" x="4591"/>
        <item m="1" x="4611"/>
        <item m="1" x="445"/>
        <item m="1" x="411"/>
        <item m="1" x="372"/>
        <item m="1" x="3624"/>
        <item m="1" x="3574"/>
        <item m="1" x="3442"/>
        <item m="1" x="3245"/>
        <item m="1" x="3785"/>
        <item m="1" x="3805"/>
        <item m="1" x="3830"/>
        <item m="1" x="3462"/>
        <item m="1" x="3407"/>
        <item m="1" x="3865"/>
        <item m="1" x="3766"/>
        <item m="1" x="3901"/>
        <item m="1" x="574"/>
        <item m="1" x="619"/>
        <item m="1" x="658"/>
        <item m="1" x="3481"/>
        <item m="1" x="3515"/>
        <item m="1" x="3562"/>
        <item m="1" x="3585"/>
        <item m="1" x="3537"/>
        <item m="1" x="3608"/>
        <item m="1" x="3645"/>
        <item m="1" x="3676"/>
        <item m="1" x="1668"/>
        <item m="1" x="1724"/>
        <item m="1" x="1698"/>
        <item m="1" x="790"/>
        <item m="1" x="3758"/>
        <item m="1" x="826"/>
        <item m="1" x="970"/>
        <item m="1" x="990"/>
        <item m="1" x="3667"/>
        <item m="1" x="3705"/>
        <item m="1" x="3737"/>
        <item m="1" x="918"/>
        <item m="1" x="1780"/>
        <item m="1" x="1800"/>
        <item m="1" x="1822"/>
        <item m="1" x="1842"/>
        <item m="1" x="1629"/>
        <item m="1" x="1655"/>
        <item m="1" x="1686"/>
        <item m="1" x="4313"/>
        <item m="1" x="773"/>
        <item m="1" x="808"/>
        <item m="1" x="846"/>
        <item m="1" x="1564"/>
        <item m="1" x="1580"/>
        <item m="1" x="1595"/>
        <item m="1" x="1610"/>
        <item m="1" x="729"/>
        <item m="1" x="4415"/>
        <item m="1" x="4430"/>
        <item m="1" x="4450"/>
        <item m="1" x="1309"/>
        <item m="1" x="1340"/>
        <item m="1" x="1365"/>
        <item m="1" x="4395"/>
        <item m="1" x="4376"/>
        <item m="1" x="4495"/>
        <item m="1" x="4524"/>
        <item m="1" x="1269"/>
        <item m="1" x="4344"/>
        <item m="1" x="4471"/>
        <item m="1" x="1384"/>
        <item m="1" x="707"/>
        <item m="1" x="1766"/>
        <item m="1" x="1519"/>
        <item m="1" x="4665"/>
        <item m="1" x="4625"/>
        <item m="1" x="4686"/>
        <item m="1" x="4645"/>
        <item m="1" x="1546"/>
        <item m="1" x="1482"/>
        <item m="1" x="3848"/>
        <item m="1" x="3880"/>
        <item m="1" x="3799"/>
        <item m="1" x="3817"/>
        <item m="1" x="596"/>
        <item m="1" x="640"/>
        <item m="1" x="3920"/>
        <item m="1" x="1532"/>
        <item m="1" x="1557"/>
        <item m="1" x="1298"/>
        <item m="1" x="4305"/>
        <item m="1" x="1406"/>
        <item m="1" x="1423"/>
        <item m="1" x="4224"/>
        <item m="1" x="4151"/>
        <item m="1" x="4182"/>
        <item m="1" x="1443"/>
        <item m="1" x="4243"/>
        <item m="1" x="4259"/>
        <item m="1" x="1145"/>
        <item m="1" x="1113"/>
        <item m="1" x="4277"/>
        <item m="1" x="4336"/>
        <item m="1" x="1081"/>
        <item m="1" x="4107"/>
        <item m="1" x="4021"/>
        <item m="1" x="1263"/>
        <item m="1" x="3855"/>
        <item m="1" x="3891"/>
        <item m="1" x="1471"/>
        <item m="1" x="3995"/>
        <item m="1" x="3972"/>
        <item m="1" x="4067"/>
        <item m="1" x="992"/>
        <item m="1" x="1016"/>
        <item m="1" x="1162"/>
        <item m="1" x="3819"/>
        <item m="1" x="1856"/>
        <item m="1" x="4207"/>
        <item m="1" x="3525"/>
        <item m="1" x="3547"/>
        <item m="1" x="4702"/>
        <item m="1" x="4724"/>
        <item m="1" x="4745"/>
        <item m="1" x="1243"/>
        <item m="1" x="1316"/>
        <item m="1" x="4483"/>
        <item m="1" x="1952"/>
        <item m="1" x="1967"/>
        <item m="1" x="1173"/>
        <item m="1" x="1216"/>
        <item m="1" x="1193"/>
        <item m="1" x="1129"/>
        <item m="1" x="3872"/>
        <item m="1" x="3914"/>
        <item m="1" x="4007"/>
        <item m="1" x="4033"/>
        <item m="1" x="4054"/>
        <item m="1" x="4085"/>
        <item m="1" x="4125"/>
        <item m="1" x="1919"/>
        <item m="1" x="1934"/>
        <item m="1" x="1945"/>
        <item m="1" x="1960"/>
        <item m="1" x="1976"/>
        <item m="1" x="1983"/>
        <item m="1" x="1851"/>
        <item m="1" x="1864"/>
        <item m="1" x="1876"/>
        <item m="1" x="1884"/>
        <item m="1" x="1893"/>
        <item m="1" x="1903"/>
        <item m="1" x="1916"/>
        <item m="1" x="1929"/>
        <item m="1" x="4651"/>
        <item m="1" x="4675"/>
        <item m="1" x="4696"/>
        <item m="1" x="4711"/>
        <item m="1" x="4720"/>
        <item m="1" x="4729"/>
        <item m="1" x="4740"/>
        <item m="1" x="4753"/>
        <item m="1" x="4770"/>
        <item m="1" x="4780"/>
        <item m="1" x="1638"/>
        <item m="1" x="1995"/>
        <item m="1" x="2007"/>
        <item m="1" x="4773"/>
        <item m="1" x="4784"/>
        <item m="1" x="4794"/>
        <item m="1" x="4804"/>
        <item m="1" x="4811"/>
        <item m="1" x="4819"/>
        <item m="1" x="4826"/>
        <item m="1" x="4833"/>
        <item m="1" x="4843"/>
        <item m="1" x="4855"/>
        <item m="1" x="1808"/>
        <item m="1" x="1831"/>
        <item m="1" x="4162"/>
        <item m="1" x="4512"/>
        <item m="1" x="3836"/>
        <item m="1" x="1657"/>
        <item m="1" x="4377"/>
        <item m="1" x="1311"/>
        <item m="1" x="1270"/>
        <item m="1" x="1232"/>
        <item m="1" x="4497"/>
        <item m="1" x="4667"/>
        <item m="1" x="1484"/>
        <item m="1" x="1521"/>
        <item m="1" x="1548"/>
        <item m="1" x="1449"/>
        <item m="1" x="1565"/>
        <item m="1" x="1611"/>
        <item m="1" x="1581"/>
        <item m="1" x="1596"/>
        <item m="1" x="1630"/>
        <item m="1" x="4284"/>
        <item m="1" x="4314"/>
        <item m="1" x="4345"/>
        <item m="1" x="4396"/>
        <item m="1" x="4417"/>
        <item m="1" x="4452"/>
        <item m="1" x="4432"/>
        <item m="1" x="1342"/>
        <item m="1" x="1367"/>
        <item m="1" x="1386"/>
        <item m="1" x="4075"/>
        <item m="1" x="1473"/>
        <item m="1" x="1425"/>
        <item m="1" x="1444"/>
        <item m="1" x="1407"/>
        <item m="1" x="4278"/>
        <item m="1" x="2055"/>
        <item m="1" x="2038"/>
        <item m="1" x="2028"/>
        <item m="1" x="2017"/>
        <item m="1" x="4839"/>
        <item m="1" x="2006"/>
        <item m="1" x="4872"/>
        <item m="1" x="4862"/>
        <item m="1" x="1911"/>
        <item m="1" x="4823"/>
        <item m="1" x="1819"/>
        <item m="1" x="4830"/>
        <item m="1" x="4838"/>
        <item m="1" x="4116"/>
        <item m="1" x="1505"/>
        <item m="1" x="1926"/>
        <item m="1" x="4853"/>
        <item m="1" x="1648"/>
        <item m="1" x="1993"/>
        <item m="1" x="1745"/>
        <item m="1" x="1786"/>
        <item m="1" x="1832"/>
        <item m="1" x="1809"/>
        <item m="1" x="1852"/>
        <item m="1" x="4646"/>
        <item m="1" x="4942"/>
        <item m="1" x="4933"/>
        <item m="1" x="2116"/>
        <item m="1" x="2093"/>
        <item m="1" x="2104"/>
        <item m="1" x="2124"/>
        <item m="1" x="2111"/>
        <item m="1" x="2119"/>
        <item m="1" x="2114"/>
        <item m="1" x="2108"/>
        <item m="1" x="4683"/>
        <item m="1" x="1981"/>
        <item m="1" x="4748"/>
        <item m="1" x="4766"/>
        <item m="1" x="1991"/>
        <item m="1" x="1974"/>
        <item m="1" x="1965"/>
        <item m="1" x="1957"/>
        <item m="1" x="1858"/>
        <item m="1" x="1841"/>
        <item m="1" x="4892"/>
        <item m="1" x="4831"/>
        <item m="1" x="4899"/>
        <item m="1" x="4824"/>
        <item m="1" x="2044"/>
        <item m="1" x="4840"/>
        <item m="1" x="1899"/>
        <item m="1" x="4798"/>
        <item m="1" x="4788"/>
        <item m="1" x="2034"/>
        <item m="1" x="4816"/>
        <item m="1" x="2041"/>
        <item m="1" x="4887"/>
        <item m="1" x="4863"/>
        <item m="1" x="4882"/>
        <item m="1" x="4808"/>
        <item m="1" x="1935"/>
        <item m="1" x="4758"/>
        <item m="1" x="1984"/>
        <item m="1" x="2018"/>
        <item m="1" x="4761"/>
        <item m="1" x="2083"/>
        <item m="1" x="2091"/>
        <item m="1" x="4704"/>
        <item m="1" x="2045"/>
        <item m="1" x="4726"/>
        <item m="1" x="2085"/>
        <item m="1" x="2051"/>
        <item m="1" x="4716"/>
        <item m="1" x="2081"/>
        <item m="1" x="2087"/>
        <item m="1" x="4930"/>
        <item m="1" x="4956"/>
        <item m="1" x="1968"/>
        <item m="1" x="1877"/>
        <item m="1" x="1865"/>
        <item m="1" x="2077"/>
        <item m="1" x="4196"/>
        <item m="1" x="4893"/>
        <item m="1" x="1550"/>
        <item m="1" x="4925"/>
        <item m="1" x="1493"/>
        <item m="1" x="1395"/>
        <item m="1" x="2060"/>
        <item m="1" x="4918"/>
        <item m="1" x="1525"/>
        <item m="1" x="4900"/>
        <item m="1" x="4163"/>
        <item m="1" x="4928"/>
        <item m="1" x="1458"/>
        <item m="1" x="2068"/>
        <item m="1" x="4250"/>
        <item m="1" x="4233"/>
        <item m="1" x="4320"/>
        <item m="1" x="4291"/>
        <item m="1" x="4379"/>
        <item m="1" x="4350"/>
        <item m="1" x="4736"/>
        <item m="1" x="4746"/>
        <item m="1" x="1152"/>
        <item m="1" x="1130"/>
        <item m="1" x="4034"/>
        <item m="1" x="900"/>
        <item m="1" x="859"/>
        <item m="1" x="4185"/>
        <item m="1" x="4159"/>
        <item m="1" x="4086"/>
        <item m="1" x="4126"/>
        <item m="1" x="4055"/>
        <item m="1" x="1117"/>
        <item m="1" x="1030"/>
        <item m="1" x="3687"/>
        <item m="1" x="3722"/>
        <item m="1" x="957"/>
        <item m="1" x="933"/>
        <item m="1" x="4008"/>
        <item m="1" x="3952"/>
        <item m="1" x="538"/>
        <item m="1" x="3941"/>
        <item m="1" x="513"/>
        <item m="1" x="494"/>
        <item m="1" x="3831"/>
        <item m="1" x="648"/>
        <item m="1" x="1356"/>
        <item m="1" x="1415"/>
        <item m="1" x="3326"/>
        <item m="1" x="1114"/>
        <item m="1" x="4260"/>
        <item m="1" x="4225"/>
        <item m="1" x="4244"/>
        <item m="1" x="4364"/>
        <item m="1" x="1082"/>
        <item m="1" x="1146"/>
        <item m="1" x="1183"/>
        <item m="1" x="1333"/>
        <item m="1" x="3937"/>
        <item m="1" x="3974"/>
        <item m="1" x="4069"/>
        <item m="1" x="4109"/>
        <item m="1" x="4141"/>
        <item m="1" x="3997"/>
        <item m="1" x="4023"/>
        <item m="1" x="4046"/>
        <item m="1" x="3893"/>
        <item m="1" x="1265"/>
        <item m="1" x="1300"/>
        <item m="1" x="1229"/>
        <item m="1" x="1205"/>
        <item m="1" x="4337"/>
        <item m="1" x="1408"/>
        <item m="1" x="1445"/>
        <item m="1" x="1507"/>
        <item m="1" x="4208"/>
        <item m="1" x="4183"/>
        <item m="1" x="4279"/>
        <item m="1" x="4152"/>
        <item m="1" x="4306"/>
        <item m="1" x="1163"/>
        <item m="1" x="949"/>
        <item m="1" x="4171"/>
        <item m="1" x="839"/>
        <item m="1" x="920"/>
        <item m="1" x="971"/>
        <item m="1" x="885"/>
        <item m="1" x="4525"/>
        <item m="1" x="847"/>
        <item m="1" x="890"/>
        <item m="1" x="809"/>
        <item m="1" x="3820"/>
        <item m="1" x="1474"/>
        <item m="1" x="1536"/>
        <item m="1" x="1426"/>
        <item m="1" x="3800"/>
        <item m="1" x="3759"/>
        <item m="1" x="3881"/>
        <item m="1" x="3921"/>
        <item m="1" x="3779"/>
        <item m="1" x="1631"/>
        <item m="1" x="1658"/>
        <item m="1" x="4346"/>
        <item m="1" x="1687"/>
        <item m="1" x="1711"/>
        <item m="1" x="609"/>
        <item m="1" x="3786"/>
        <item m="1" x="3500"/>
        <item m="1" x="4234"/>
        <item m="1" x="4216"/>
        <item m="1" x="4164"/>
        <item m="1" x="4433"/>
        <item m="1" x="567"/>
        <item m="1" x="4453"/>
        <item m="1" x="1522"/>
        <item m="1" x="1632"/>
        <item m="1" x="1566"/>
        <item m="1" x="1582"/>
        <item m="1" x="1597"/>
        <item m="1" x="1612"/>
        <item m="1" x="4612"/>
        <item m="1" x="1844"/>
        <item m="1" x="4594"/>
        <item m="1" x="4626"/>
        <item m="1" x="1485"/>
        <item m="1" x="1824"/>
        <item m="1" x="1802"/>
        <item m="1" x="4559"/>
        <item m="1" x="1659"/>
        <item m="1" x="4547"/>
        <item m="1" x="4584"/>
        <item m="1" x="4568"/>
        <item m="1" x="4603"/>
        <item m="1" x="4520"/>
        <item m="1" x="2036"/>
        <item m="1" x="1775"/>
        <item m="1" x="1815"/>
        <item m="1" x="4617"/>
        <item m="1" x="4875"/>
        <item m="1" x="4868"/>
        <item m="1" x="4909"/>
        <item m="1" x="1920"/>
        <item m="1" x="1946"/>
        <item m="1" x="1992"/>
        <item m="1" x="2003"/>
        <item m="1" x="4767"/>
        <item m="1" x="4799"/>
        <item m="1" x="4789"/>
        <item m="1" x="4779"/>
        <item m="1" x="4684"/>
        <item m="1" x="4641"/>
        <item m="1" x="1889"/>
        <item m="1" x="4618"/>
        <item m="1" x="4635"/>
        <item m="1" x="2106"/>
        <item m="1" x="2122"/>
        <item m="1" x="2084"/>
        <item m="1" x="2082"/>
        <item m="1" x="2080"/>
        <item m="1" x="4817"/>
        <item m="1" x="2072"/>
        <item m="1" x="4809"/>
        <item m="1" x="4937"/>
        <item m="1" x="4546"/>
        <item m="1" x="1368"/>
        <item m="1" x="1343"/>
        <item m="1" x="2113"/>
        <item m="1" x="4730"/>
        <item m="1" x="4741"/>
        <item m="1" x="4754"/>
        <item m="1" x="4771"/>
        <item m="1" x="2121"/>
        <item m="1" x="2125"/>
        <item m="1" x="2129"/>
        <item m="1" x="2133"/>
        <item m="1" x="4820"/>
        <item m="1" x="4827"/>
        <item m="1" x="4805"/>
        <item m="1" x="4812"/>
        <item m="1" x="4834"/>
        <item m="1" x="4844"/>
        <item m="1" x="1787"/>
        <item m="1" x="1833"/>
        <item m="1" x="1853"/>
        <item m="1" x="1810"/>
        <item m="1" x="1866"/>
        <item m="1" x="4785"/>
        <item m="1" x="4795"/>
        <item m="1" x="2144"/>
        <item m="1" x="4955"/>
        <item m="1" x="4960"/>
        <item m="1" x="4969"/>
        <item m="1" x="4972"/>
        <item m="1" x="4973"/>
        <item m="1" x="4974"/>
        <item m="1" x="2115"/>
        <item m="1" x="2112"/>
        <item m="1" x="2120"/>
        <item m="1" x="2117"/>
        <item m="1" x="1838"/>
        <item m="1" x="4954"/>
        <item m="1" x="4634"/>
        <item m="1" x="1598"/>
        <item m="1" x="4858"/>
        <item m="1" x="4869"/>
        <item m="1" x="4876"/>
        <item m="1" x="4879"/>
        <item m="1" x="4884"/>
        <item m="1" x="4889"/>
        <item m="1" x="4895"/>
        <item m="1" x="1859"/>
        <item m="1" x="4536"/>
        <item m="1" x="4560"/>
        <item m="1" x="4688"/>
        <item m="1" x="4705"/>
        <item m="1" x="1523"/>
        <item m="1" x="1549"/>
        <item m="1" x="1567"/>
        <item m="1" x="1583"/>
        <item m="1" x="4397"/>
        <item m="1" x="4378"/>
        <item m="1" x="4347"/>
        <item m="1" x="1712"/>
        <item m="1" x="1688"/>
        <item m="1" x="1660"/>
        <item m="1" x="4498"/>
        <item m="1" x="4473"/>
        <item m="1" x="4454"/>
        <item m="1" x="4434"/>
        <item m="1" x="4418"/>
        <item m="1" x="1446"/>
        <item m="1" x="1312"/>
        <item m="1" x="1387"/>
        <item m="1" x="1409"/>
        <item m="1" x="4549"/>
        <item m="1" x="4526"/>
        <item m="1" x="1427"/>
        <item m="1" x="1508"/>
        <item m="1" x="4971"/>
        <item m="1" x="4935"/>
        <item m="1" x="1803"/>
        <item m="1" x="4932"/>
        <item m="1" x="2157"/>
        <item m="1" x="4897"/>
        <item m="1" x="1574"/>
        <item m="1" x="1753"/>
        <item m="1" x="1782"/>
        <item m="1" x="1768"/>
        <item m="1" x="4595"/>
        <item m="1" x="4577"/>
        <item m="1" x="2143"/>
        <item m="1" x="4904"/>
        <item m="1" x="4647"/>
        <item m="1" x="4668"/>
        <item m="1" x="1739"/>
        <item m="1" x="2149"/>
        <item m="1" x="2147"/>
        <item m="1" x="2139"/>
        <item m="1" x="2141"/>
        <item m="1" x="1725"/>
        <item m="1" x="2158"/>
        <item m="1" x="2138"/>
        <item m="1" x="2154"/>
        <item m="1" x="1699"/>
        <item m="1" x="2160"/>
        <item m="1" x="2073"/>
        <item m="1" x="1475"/>
        <item m="1" x="2137"/>
        <item m="1" x="4967"/>
        <item m="1" x="4957"/>
        <item m="1" x="4153"/>
        <item m="1" x="1591"/>
        <item m="1" x="1703"/>
        <item m="1" x="1948"/>
        <item m="1" x="4685"/>
        <item m="1" x="4697"/>
        <item m="1" x="4604"/>
        <item m="1" x="1709"/>
        <item m="1" x="1682"/>
        <item m="1" x="4762"/>
        <item m="1" x="4717"/>
        <item m="1" x="3707"/>
        <item m="1" x="1101"/>
        <item m="1" x="3739"/>
        <item m="1" x="4747"/>
        <item m="1" x="4776"/>
        <item m="1" x="4796"/>
        <item m="1" x="4569"/>
        <item m="1" x="4585"/>
        <item m="1" x="4619"/>
        <item m="1" x="4658"/>
        <item m="1" x="1500"/>
        <item m="1" x="1558"/>
        <item m="1" x="4636"/>
        <item m="1" x="4806"/>
        <item m="1" x="1977"/>
        <item m="1" x="1996"/>
        <item m="1" x="1969"/>
        <item m="1" x="1985"/>
        <item m="1" x="4854"/>
        <item m="1" x="2056"/>
        <item m="1" x="2040"/>
        <item m="1" x="2043"/>
        <item m="1" x="2053"/>
        <item m="1" x="4847"/>
        <item m="1" x="4859"/>
        <item m="1" x="4870"/>
        <item m="1" x="4936"/>
        <item m="1" x="4929"/>
        <item m="1" x="4931"/>
        <item m="1" x="4927"/>
        <item m="1" x="4922"/>
        <item m="1" x="2089"/>
        <item m="1" x="2094"/>
        <item m="1" x="4913"/>
        <item m="1" x="4943"/>
        <item m="1" x="1604"/>
        <item m="1" x="1575"/>
        <item m="1" x="2011"/>
        <item m="1" x="1998"/>
        <item m="1" x="2032"/>
        <item m="1" x="2098"/>
        <item m="1" x="2037"/>
        <item m="1" x="2024"/>
        <item m="1" x="2086"/>
        <item m="1" x="2048"/>
        <item m="1" x="1804"/>
        <item m="1" x="1783"/>
        <item m="1" x="1769"/>
        <item m="1" x="1970"/>
        <item m="1" x="1986"/>
        <item m="1" x="1978"/>
        <item m="1" x="4845"/>
        <item m="1" x="4712"/>
        <item m="1" x="1961"/>
        <item m="1" x="4813"/>
        <item m="1" x="4721"/>
        <item m="1" x="4877"/>
        <item m="1" x="1936"/>
        <item m="1" x="4910"/>
        <item m="1" x="4902"/>
        <item m="1" x="4885"/>
        <item m="1" x="4880"/>
        <item m="1" x="4731"/>
        <item m="1" x="4742"/>
        <item m="1" x="4755"/>
        <item m="1" x="1947"/>
        <item m="1" x="1825"/>
        <item m="1" x="1754"/>
        <item m="1" x="1953"/>
        <item m="1" x="4578"/>
        <item m="1" x="4596"/>
        <item m="1" x="4561"/>
        <item m="1" x="2090"/>
        <item m="1" x="1826"/>
        <item m="1" x="1924"/>
        <item m="1" x="2050"/>
        <item m="1" x="2088"/>
        <item m="1" x="1677"/>
        <item m="1" x="2118"/>
        <item m="1" x="2140"/>
        <item m="1" x="1997"/>
        <item m="1" x="78"/>
        <item m="1" x="3088"/>
        <item m="1" x="3740"/>
        <item m="1" x="672"/>
        <item m="1" x="922"/>
        <item m="1" x="5520"/>
        <item m="1" x="2893"/>
        <item m="1" x="245"/>
        <item m="1" x="3299"/>
        <item m="1" x="3074"/>
        <item m="1" x="2318"/>
        <item m="1" x="2260"/>
        <item m="1" x="3469"/>
        <item m="1" x="649"/>
        <item m="1" x="1118"/>
        <item m="1" x="1346"/>
        <item m="1" x="662"/>
        <item m="1" x="3725"/>
        <item m="1" x="903"/>
        <item m="1" x="3956"/>
        <item m="1" x="1132"/>
        <item m="1" x="2195"/>
        <item m="1" x="417"/>
        <item m="1" x="891"/>
        <item m="1" x="3711"/>
        <item m="1" x="3942"/>
        <item m="1" x="4186"/>
        <item m="1" x="3063"/>
        <item m="1" x="3270"/>
        <item m="1" x="432"/>
        <item m="1" x="2885"/>
        <item m="1" x="68"/>
        <item m="1" x="3485"/>
        <item m="1" x="685"/>
        <item m="1" x="2907"/>
        <item m="1" x="458"/>
        <item m="1" x="1537"/>
        <item m="1" x="4365"/>
        <item m="1" x="2200"/>
        <item m="1" x="2178"/>
        <item m="1" x="2177"/>
        <item m="1" x="3677"/>
        <item m="1" x="4689"/>
        <item m="1" x="1845"/>
        <item m="1" x="1987"/>
        <item m="1" x="2216"/>
        <item m="1" x="4896"/>
        <item m="1" x="2092"/>
        <item m="1" x="2123"/>
        <item m="1" x="2142"/>
        <item m="1" x="2159"/>
        <item m="1" x="2169"/>
        <item m="1" x="2057"/>
        <item m="1" x="2201"/>
        <item m="1" x="2210"/>
        <item m="1" x="2215"/>
        <item m="1" x="2211"/>
        <item m="1" x="2217"/>
        <item m="1" x="2228"/>
        <item m="1" x="2239"/>
        <item m="1" x="2237"/>
        <item m="1" x="2264"/>
        <item m="1" x="2322"/>
        <item m="1" x="2404"/>
        <item m="1" x="3104"/>
        <item m="1" x="2735"/>
        <item m="1" x="5388"/>
        <item m="1" x="2574"/>
        <item m="1" x="5264"/>
        <item m="1" x="471"/>
        <item m="1" x="4527"/>
        <item m="1" x="3470"/>
        <item m="1" x="1133"/>
        <item m="1" x="650"/>
        <item m="1" x="1509"/>
        <item m="1" x="2064"/>
        <item m="1" x="4339"/>
        <item m="1" x="1940"/>
        <item m="1" x="4850"/>
        <item m="1" x="1690"/>
        <item m="1" x="3742"/>
        <item m="1" x="4690"/>
        <item m="1" x="1510"/>
        <item m="1" x="4790"/>
        <item m="1" x="4529"/>
        <item m="1" x="4914"/>
        <item m="1" x="2013"/>
        <item m="1" x="459"/>
        <item m="1" x="869"/>
        <item m="1" x="4338"/>
        <item m="1" x="4528"/>
        <item m="1" x="4390"/>
        <item m="1" x="3075"/>
        <item m="1" x="1358"/>
        <item m="1" x="2069"/>
        <item m="1" x="2019"/>
        <item m="1" x="1941"/>
        <item m="1" x="447"/>
        <item m="1" x="2096"/>
        <item m="1" x="4958"/>
        <item m="1" x="4940"/>
        <item m="1" x="2058"/>
        <item m="1" x="4906"/>
        <item m="1" x="2004"/>
        <item m="1" x="1568"/>
        <item m="1" x="4398"/>
        <item m="1" x="3975"/>
        <item m="1" x="924"/>
        <item m="1" x="1134"/>
        <item m="1" x="3957"/>
        <item m="1" x="904"/>
        <item m="1" x="3726"/>
        <item m="1" x="1867"/>
        <item m="1" x="4713"/>
        <item m="1" x="4562"/>
        <item m="1" x="1551"/>
        <item m="1" x="4380"/>
        <item m="1" x="1347"/>
        <item m="1" x="4187"/>
        <item m="1" x="1119"/>
        <item m="1" x="4800"/>
        <item m="1" x="1860"/>
        <item m="1" x="4706"/>
        <item m="1" x="1714"/>
        <item m="1" x="4551"/>
        <item m="1" x="1539"/>
        <item m="1" x="4367"/>
        <item m="1" x="1334"/>
        <item m="1" x="4172"/>
        <item m="1" x="4698"/>
        <item m="1" x="1704"/>
        <item m="1" x="4539"/>
        <item m="1" x="1526"/>
        <item m="1" x="4351"/>
        <item m="1" x="4919"/>
        <item m="1" x="4864"/>
        <item m="1" x="4791"/>
        <item m="1" x="1846"/>
        <item m="1" x="4691"/>
        <item m="1" x="1691"/>
        <item m="1" x="4530"/>
        <item m="1" x="2101"/>
        <item m="1" x="4945"/>
        <item m="1" x="1726"/>
        <item m="1" x="4563"/>
        <item m="1" x="1931"/>
        <item m="1" x="4782"/>
        <item m="1" x="4915"/>
        <item m="1" x="2065"/>
        <item m="1" x="4944"/>
        <item m="1" x="1552"/>
        <item m="1" x="2099"/>
        <item m="1" x="2014"/>
        <item m="1" x="4786"/>
        <item m="1" x="1938"/>
        <item m="1" x="4857"/>
        <item m="1" x="2009"/>
        <item m="1" x="4912"/>
        <item m="1" x="2062"/>
        <item m="1" x="4677"/>
        <item m="1" x="2130"/>
        <item m="1" x="4961"/>
        <item m="1" x="1871"/>
        <item m="1" x="1731"/>
        <item m="1" x="3958"/>
        <item m="1" x="1954"/>
        <item m="1" x="4807"/>
        <item m="1" x="1868"/>
        <item m="1" x="4198"/>
        <item m="1" x="1135"/>
        <item m="1" x="2162"/>
        <item m="1" x="2020"/>
        <item m="1" x="2126"/>
        <item m="1" x="4851"/>
        <item m="1" x="2005"/>
        <item m="1" x="2097"/>
        <item m="1" x="4959"/>
        <item m="1" x="2127"/>
        <item m="1" x="4987"/>
        <item m="1" x="2029"/>
        <item m="1" x="4939"/>
        <item m="1" x="4941"/>
        <item m="1" x="4977"/>
        <item m="1" x="4873"/>
        <item m="1" x="2059"/>
        <item m="1" x="4975"/>
        <item m="1" x="4188"/>
        <item m="1" x="1949"/>
        <item m="1" x="4907"/>
        <item m="1" x="2095"/>
        <item m="1" x="1348"/>
        <item m="1" x="2145"/>
        <item m="1" x="2025"/>
        <item m="1" x="4923"/>
        <item m="1" x="2074"/>
        <item m="1" x="4368"/>
        <item m="1" x="1540"/>
        <item m="1" x="4552"/>
        <item m="1" x="1715"/>
        <item m="1" x="3502"/>
        <item m="1" x="4856"/>
        <item m="1" x="1930"/>
        <item m="1" x="934"/>
        <item m="1" x="3985"/>
        <item m="1" x="1713"/>
        <item m="1" x="4781"/>
        <item m="1" x="4669"/>
        <item m="1" x="4499"/>
        <item m="1" x="4911"/>
        <item m="1" x="923"/>
        <item m="1" x="4381"/>
        <item m="1" x="4801"/>
        <item m="1" x="4903"/>
        <item m="1" x="1827"/>
        <item m="1" x="1661"/>
        <item m="1" x="1153"/>
        <item m="1" x="2008"/>
        <item m="1" x="3749"/>
        <item m="1" x="3741"/>
        <item m="1" x="4550"/>
        <item m="1" x="2061"/>
        <item m="1" x="673"/>
        <item m="1" x="4366"/>
        <item m="1" x="1538"/>
        <item m="1" x="1669"/>
        <item m="1" x="4890"/>
        <item m="1" x="1834"/>
        <item m="1" x="4865"/>
        <item m="1" x="1943"/>
        <item m="1" x="2150"/>
        <item m="1" x="4792"/>
        <item m="1" x="4979"/>
        <item m="1" x="2027"/>
        <item m="1" x="4924"/>
        <item m="1" x="4952"/>
        <item m="1" x="2075"/>
        <item m="1" x="2030"/>
        <item m="1" x="4553"/>
        <item m="1" x="4948"/>
        <item m="1" x="4926"/>
        <item m="1" x="2107"/>
        <item m="1" x="2070"/>
        <item m="1" x="2021"/>
        <item m="1" x="4861"/>
        <item m="1" x="2102"/>
        <item m="1" x="2066"/>
        <item m="1" x="4946"/>
        <item m="1" x="4998"/>
        <item m="1" x="2173"/>
        <item m="1" x="2131"/>
        <item m="1" x="4980"/>
        <item m="1" x="2100"/>
        <item m="1" x="2151"/>
        <item m="1" x="2071"/>
        <item m="1" x="4920"/>
        <item m="1" x="2103"/>
        <item m="1" x="4963"/>
        <item m="1" x="2067"/>
        <item m="1" x="2175"/>
        <item m="1" x="4949"/>
        <item m="1" x="4991"/>
        <item m="1" x="4947"/>
        <item m="1" x="4917"/>
        <item m="1" x="2022"/>
        <item m="1" x="4962"/>
        <item m="1" x="2164"/>
        <item m="1" x="2166"/>
        <item m="1" x="5000"/>
        <item m="1" x="4866"/>
        <item m="1" x="2182"/>
        <item m="1" x="2171"/>
        <item m="1" x="2155"/>
        <item m="1" x="4984"/>
        <item m="1" x="5016"/>
        <item m="1" x="1727"/>
        <item m="1" x="3503"/>
        <item m="1" x="2170"/>
        <item m="1" x="5009"/>
        <item m="1" x="2180"/>
        <item m="1" x="5022"/>
        <item m="1" x="2161"/>
        <item m="1" x="2146"/>
        <item m="1" x="4976"/>
        <item m="1" x="2179"/>
        <item m="1" x="4995"/>
        <item m="1" x="4996"/>
        <item m="1" x="4986"/>
        <item m="1" x="2205"/>
        <item m="1" x="4968"/>
        <item m="1" x="2076"/>
        <item m="1" x="2190"/>
        <item m="1" x="5012"/>
        <item m="1" x="2181"/>
        <item m="1" x="5033"/>
        <item m="1" x="5010"/>
        <item m="1" x="5025"/>
        <item m="1" x="5018"/>
        <item m="1" x="1689"/>
        <item m="1" x="4871"/>
        <item m="1" x="2206"/>
        <item m="1" x="2220"/>
        <item m="1" x="5008"/>
        <item m="1" x="2153"/>
        <item m="1" x="4993"/>
        <item m="1" x="2194"/>
        <item m="1" x="5020"/>
        <item m="1" x="2202"/>
        <item m="1" x="2187"/>
        <item m="1" x="5028"/>
        <item m="1" x="2212"/>
        <item m="1" x="2196"/>
        <item m="1" x="5003"/>
        <item m="1" x="2203"/>
        <item m="1" x="5035"/>
        <item m="1" x="4982"/>
        <item m="1" x="2134"/>
        <item m="1" x="2197"/>
        <item m="1" x="2188"/>
        <item m="1" x="2016"/>
        <item m="1" x="4916"/>
        <item m="1" x="5030"/>
        <item m="1" x="5023"/>
        <item m="1" x="5021"/>
        <item m="1" x="5032"/>
        <item m="1" x="5372"/>
        <item m="1" x="5196"/>
        <item m="1" x="5178"/>
        <item m="1" x="2818"/>
        <item m="1" x="2849"/>
        <item m="1" x="5327"/>
        <item m="1" x="5345"/>
        <item m="1" x="2411"/>
        <item m="1" x="5274"/>
        <item m="1" x="5310"/>
        <item m="1" x="5324"/>
        <item m="1" x="5342"/>
        <item m="1" x="5297"/>
        <item m="1" x="5205"/>
        <item m="1" x="2680"/>
        <item m="1" x="2652"/>
        <item m="1" x="2602"/>
        <item m="1" x="2585"/>
        <item m="1" x="2633"/>
        <item m="1" x="5397"/>
        <item m="1" x="5220"/>
        <item m="1" x="2568"/>
        <item m="1" x="5240"/>
        <item m="1" x="2270"/>
        <item m="1" x="2280"/>
        <item m="1" x="2290"/>
        <item m="1" x="2297"/>
        <item m="1" x="2618"/>
        <item m="1" x="5259"/>
        <item m="1" x="5285"/>
        <item m="1" x="2425"/>
        <item m="1" x="5111"/>
        <item m="1" x="5115"/>
        <item m="1" x="5121"/>
        <item m="1" x="5126"/>
        <item m="1" x="5132"/>
        <item m="1" x="5137"/>
        <item m="1" x="5146"/>
        <item m="1" x="2263"/>
        <item m="1" x="2494"/>
        <item m="1" x="5092"/>
        <item m="1" x="5102"/>
        <item m="1" x="2484"/>
        <item m="1" x="2475"/>
        <item m="1" x="2463"/>
        <item m="1" x="2507"/>
        <item m="1" x="2523"/>
        <item m="1" x="5135"/>
        <item m="1" x="5143"/>
        <item m="1" x="5184"/>
        <item m="1" x="5193"/>
        <item m="1" x="5202"/>
        <item m="1" x="5216"/>
        <item m="1" x="2321"/>
        <item m="1" x="2330"/>
        <item m="1" x="88"/>
        <item m="1" x="104"/>
        <item m="1" x="118"/>
        <item m="1" x="131"/>
        <item m="1" x="147"/>
        <item m="1" x="169"/>
        <item m="1" x="202"/>
        <item m="1" x="2855"/>
        <item m="1" x="2886"/>
        <item m="1" x="2908"/>
        <item m="1" x="2342"/>
        <item m="1" x="2355"/>
        <item m="1" x="2366"/>
        <item m="1" x="2377"/>
        <item m="1" x="2386"/>
        <item m="1" x="2397"/>
        <item m="1" x="2406"/>
        <item m="1" x="2419"/>
        <item m="1" x="163"/>
        <item m="1" x="191"/>
        <item m="1" x="220"/>
        <item m="1" x="246"/>
        <item m="1" x="264"/>
        <item m="1" x="284"/>
        <item m="1" x="304"/>
        <item m="1" x="325"/>
        <item m="1" x="3173"/>
        <item m="1" x="3030"/>
        <item m="1" x="390"/>
        <item m="1" x="3001"/>
        <item m="1" x="94"/>
        <item m="1" x="137"/>
        <item m="1" x="124"/>
        <item m="1" x="154"/>
        <item m="1" x="80"/>
        <item m="1" x="25"/>
        <item m="1" x="55"/>
        <item m="1" x="5419"/>
        <item m="1" x="5320"/>
        <item m="1" x="5200"/>
        <item m="1" x="2664"/>
        <item m="1" x="2625"/>
        <item m="1" x="2536"/>
        <item m="1" x="5391"/>
        <item m="1" x="5356"/>
        <item m="1" x="2831"/>
        <item m="1" x="3452"/>
        <item m="1" x="3486"/>
        <item m="1" x="2594"/>
        <item m="1" x="2578"/>
        <item m="1" x="2611"/>
        <item m="1" x="2627"/>
        <item m="1" x="2643"/>
        <item m="1" x="2666"/>
        <item m="1" x="2693"/>
        <item m="1" x="2717"/>
        <item m="1" x="2538"/>
        <item m="1" x="5488"/>
        <item m="1" x="5435"/>
        <item m="1" x="5516"/>
        <item m="1" x="5464"/>
        <item m="1" x="5407"/>
        <item m="1" x="5421"/>
        <item m="1" x="5447"/>
        <item m="1" x="57"/>
        <item m="1" x="2328"/>
        <item m="1" x="26"/>
        <item m="1" x="2497"/>
        <item m="1" x="2316"/>
        <item m="1" x="2439"/>
        <item m="1" x="2298"/>
        <item m="1" x="2408"/>
        <item m="1" x="2547"/>
        <item m="1" x="2421"/>
        <item m="1" x="5088"/>
        <item m="1" x="5098"/>
        <item m="1" x="5108"/>
        <item m="1" x="2509"/>
        <item m="1" x="5062"/>
        <item m="1" x="2311"/>
        <item m="1" x="2281"/>
        <item m="1" x="2305"/>
        <item m="1" x="2271"/>
        <item m="1" x="2291"/>
        <item m="1" x="5317"/>
        <item m="1" x="5305"/>
        <item m="1" x="2434"/>
        <item m="1" x="2416"/>
        <item m="1" x="5333"/>
        <item m="1" x="5353"/>
        <item m="1" x="479"/>
        <item m="1" x="462"/>
        <item m="1" x="435"/>
        <item m="1" x="544"/>
        <item m="1" x="576"/>
        <item m="1" x="621"/>
        <item m="1" x="2479"/>
        <item m="1" x="2499"/>
        <item m="1" x="367"/>
        <item m="1" x="2488"/>
        <item m="1" x="2526"/>
        <item m="1" x="403"/>
        <item m="1" x="3236"/>
        <item m="1" x="3273"/>
        <item m="1" x="3205"/>
        <item m="1" x="267"/>
        <item m="1" x="165"/>
        <item m="1" x="2518"/>
        <item m="1" x="2580"/>
        <item m="1" x="2561"/>
        <item m="1" x="2597"/>
        <item m="1" x="2541"/>
        <item m="1" x="2898"/>
        <item m="1" x="194"/>
        <item m="1" x="223"/>
        <item m="1" x="3051"/>
        <item m="1" x="3081"/>
        <item m="1" x="375"/>
        <item m="1" x="3017"/>
        <item m="1" x="2990"/>
        <item m="1" x="3186"/>
        <item m="1" x="3163"/>
        <item m="1" x="3119"/>
        <item m="1" x="2804"/>
        <item m="1" x="3139"/>
        <item m="1" x="3388"/>
        <item m="1" x="2562"/>
        <item m="1" x="2705"/>
        <item m="1" x="5270"/>
        <item m="1" x="3615"/>
        <item m="1" x="3369"/>
        <item m="1" x="5617"/>
        <item m="1" x="5294"/>
        <item m="1" x="76"/>
        <item m="1" x="3330"/>
        <item m="1" x="3767"/>
        <item m="1" x="5581"/>
        <item m="1" x="5527"/>
        <item m="1" x="5499"/>
        <item m="1" x="3305"/>
        <item m="1" x="50"/>
        <item m="1" x="21"/>
        <item m="1" x="5600"/>
        <item m="1" x="313"/>
        <item m="1" x="2742"/>
        <item m="1" x="2726"/>
        <item m="1" x="5564"/>
        <item m="1" x="3276"/>
        <item m="1" x="2773"/>
        <item m="1" x="5360"/>
        <item m="1" x="2868"/>
        <item m="1" x="2759"/>
        <item m="1" x="3164"/>
        <item m="1" x="3140"/>
        <item m="1" x="2435"/>
        <item m="1" x="5354"/>
        <item m="1" x="5375"/>
        <item m="1" x="5449"/>
        <item m="1" x="5466"/>
        <item m="1" x="5491"/>
        <item m="1" x="5518"/>
        <item m="1" x="5306"/>
        <item m="1" x="5319"/>
        <item m="1" x="5226"/>
        <item m="1" x="5247"/>
        <item m="1" x="5619"/>
        <item m="1" x="2901"/>
        <item m="1" x="5529"/>
        <item m="1" x="2919"/>
        <item m="1" x="2936"/>
        <item m="1" x="2975"/>
        <item m="1" x="2955"/>
        <item m="1" x="3058"/>
        <item m="1" x="5338"/>
        <item m="1" x="2837"/>
        <item m="1" x="5602"/>
        <item m="1" x="2728"/>
        <item m="1" x="2707"/>
        <item m="1" x="5501"/>
        <item m="1" x="5566"/>
        <item m="1" x="3024"/>
        <item m="1" x="52"/>
        <item m="1" x="5473"/>
        <item m="1" x="2995"/>
        <item m="1" x="5583"/>
        <item m="1" x="2677"/>
        <item m="1" x="2744"/>
        <item m="1" x="2761"/>
        <item m="1" x="2791"/>
        <item m="1" x="2811"/>
        <item m="1" x="2870"/>
        <item m="1" x="2774"/>
        <item m="1" x="5547"/>
        <item m="1" x="2519"/>
        <item m="1" x="2543"/>
        <item m="1" x="2564"/>
        <item m="1" x="2582"/>
        <item m="1" x="2599"/>
        <item m="1" x="2630"/>
        <item m="1" x="2615"/>
        <item m="1" x="2670"/>
        <item m="1" x="2646"/>
        <item m="1" x="5608"/>
        <item m="1" x="2660"/>
        <item m="1" x="5592"/>
        <item m="1" x="394"/>
        <item m="1" x="308"/>
        <item m="1" x="3149"/>
        <item m="1" x="330"/>
        <item m="1" x="358"/>
        <item m="1" x="3066"/>
        <item m="1" x="2389"/>
        <item m="1" x="114"/>
        <item m="1" x="2410"/>
        <item m="1" x="2400"/>
        <item m="1" x="5430"/>
        <item m="1" x="3107"/>
        <item m="1" x="3033"/>
        <item m="1" x="2369"/>
        <item m="1" x="2423"/>
        <item m="1" x="287"/>
        <item m="1" x="3761"/>
        <item m="1" x="811"/>
        <item m="1" x="1023"/>
        <item m="1" x="851"/>
        <item m="1" x="892"/>
        <item m="1" x="2839"/>
        <item m="1" x="2813"/>
        <item m="1" x="2793"/>
        <item m="1" x="2776"/>
        <item m="1" x="2745"/>
        <item m="1" x="5621"/>
        <item m="1" x="926"/>
        <item m="1" x="950"/>
        <item m="1" x="973"/>
        <item m="1" x="994"/>
        <item m="1" x="5624"/>
        <item m="1" x="3230"/>
        <item m="1" x="767"/>
        <item m="1" x="5531"/>
        <item m="1" x="5476"/>
        <item m="1" x="5503"/>
        <item m="1" x="3026"/>
        <item m="1" x="5454"/>
        <item m="1" x="5568"/>
        <item m="1" x="5585"/>
        <item m="1" x="5604"/>
        <item m="1" x="5549"/>
        <item m="1" x="60"/>
        <item m="1" x="28"/>
        <item m="1" x="2976"/>
        <item m="1" x="2997"/>
        <item m="1" x="722"/>
        <item m="1" x="744"/>
        <item m="1" x="580"/>
        <item m="1" x="439"/>
        <item m="1" x="3207"/>
        <item m="1" x="623"/>
        <item m="1" x="547"/>
        <item m="1" x="3239"/>
        <item m="1" x="3278"/>
        <item m="1" x="3332"/>
        <item m="1" x="3307"/>
        <item m="1" x="3167"/>
        <item m="1" x="3256"/>
        <item m="1" x="3294"/>
        <item m="1" x="3103"/>
        <item m="1" x="3085"/>
        <item m="1" x="3122"/>
        <item m="1" x="4144"/>
        <item m="1" x="3824"/>
        <item m="1" x="3629"/>
        <item m="1" x="3851"/>
        <item m="1" x="1650"/>
        <item m="1" x="3380"/>
        <item m="1" x="3259"/>
        <item m="1" x="3296"/>
        <item m="1" x="3322"/>
        <item m="1" x="3772"/>
        <item m="1" x="523"/>
        <item m="1" x="556"/>
        <item m="1" x="910"/>
        <item m="1" x="796"/>
        <item m="1" x="4037"/>
        <item m="1" x="875"/>
        <item m="1" x="832"/>
        <item m="1" x="762"/>
        <item m="1" x="4096"/>
        <item m="1" x="4011"/>
        <item m="1" x="4281"/>
        <item m="1" x="3345"/>
        <item m="1" x="3364"/>
        <item m="1" x="3754"/>
        <item m="1" x="3618"/>
        <item m="1" x="3792"/>
        <item m="1" x="3842"/>
        <item m="1" x="3568"/>
        <item m="1" x="3590"/>
        <item m="1" x="4073"/>
        <item m="1" x="1399"/>
        <item m="1" x="1465"/>
        <item m="1" x="939"/>
        <item m="1" x="1705"/>
        <item m="1" x="1209"/>
        <item m="1" x="1059"/>
        <item m="1" x="4050"/>
        <item m="1" x="3907"/>
        <item m="1" x="4003"/>
        <item m="1" x="3682"/>
        <item m="1" x="4028"/>
        <item m="1" x="3651"/>
        <item m="1" x="2658"/>
        <item m="1" x="2883"/>
        <item m="1" x="2853"/>
        <item m="1" x="5348"/>
        <item m="1" x="5371"/>
        <item m="1" x="944"/>
        <item m="1" x="1010"/>
        <item m="1" x="4465"/>
        <item m="1" x="1790"/>
        <item m="1" x="1813"/>
        <item m="1" x="4487"/>
        <item m="1" x="4541"/>
        <item m="1" x="4660"/>
        <item m="1" x="4639"/>
        <item m="1" x="1906"/>
        <item m="1" x="1896"/>
        <item m="1" x="1887"/>
        <item m="1" x="4775"/>
        <item m="1" x="3796"/>
        <item m="1" x="3845"/>
        <item m="1" x="1794"/>
        <item m="1" x="836"/>
        <item m="1" x="798"/>
        <item m="1" x="763"/>
        <item m="1" x="4101"/>
        <item m="1" x="4063"/>
        <item m="1" x="4041"/>
        <item m="1" x="4015"/>
        <item m="1" x="3966"/>
        <item m="1" x="3775"/>
        <item m="1" x="1816"/>
        <item m="1" x="988"/>
        <item m="1" x="967"/>
        <item m="1" x="915"/>
        <item m="1" x="880"/>
        <item m="1" x="3755"/>
        <item m="1" x="4599"/>
        <item m="1" x="4581"/>
        <item m="1" x="4734"/>
        <item m="1" x="1647"/>
        <item m="1" x="3702"/>
        <item m="1" x="1922"/>
        <item m="1" x="4681"/>
        <item m="1" x="3735"/>
        <item m="1" x="1679"/>
        <item m="1" x="4715"/>
        <item m="1" x="3599"/>
        <item m="1" x="3632"/>
        <item m="1" x="3666"/>
        <item m="1" x="3930"/>
        <item m="1" x="3990"/>
        <item m="1" x="3814"/>
        <item m="1" x="4743"/>
        <item m="1" x="4760"/>
        <item m="1" x="4564"/>
        <item m="1" x="1037"/>
        <item m="1" x="4423"/>
        <item m="1" x="1643"/>
        <item m="1" x="4440"/>
        <item m="1" x="4327"/>
        <item m="1" x="1219"/>
        <item m="1" x="4481"/>
        <item m="1" x="1250"/>
        <item m="1" x="4632"/>
        <item m="1" x="4654"/>
        <item m="1" x="1460"/>
        <item m="1" x="1496"/>
        <item m="1" x="1529"/>
        <item m="1" x="1571"/>
        <item m="1" x="1587"/>
        <item m="1" x="1600"/>
        <item m="1" x="4460"/>
        <item m="1" x="4573"/>
        <item m="1" x="4589"/>
        <item m="1" x="4608"/>
        <item m="1" x="1159"/>
        <item m="1" x="2988"/>
        <item m="1" x="1202"/>
        <item m="1" x="1226"/>
        <item m="1" x="1180"/>
        <item m="1" x="3047"/>
        <item m="1" x="1078"/>
        <item m="1" x="92"/>
        <item m="1" x="45"/>
        <item m="1" x="74"/>
        <item m="1" x="4282"/>
        <item m="1" x="4310"/>
        <item m="1" x="4104"/>
        <item m="1" x="3933"/>
        <item m="1" x="1295"/>
        <item m="1" x="1260"/>
        <item m="1" x="3992"/>
        <item m="1" x="3969"/>
        <item m="1" x="4018"/>
        <item m="1" x="639"/>
        <item m="1" x="595"/>
        <item m="1" x="1749"/>
        <item m="1" x="1763"/>
        <item m="1" x="1777"/>
        <item m="1" x="3512"/>
        <item m="1" x="3559"/>
        <item m="1" x="1634"/>
        <item m="1" x="1664"/>
        <item m="1" x="1694"/>
        <item m="1" x="1719"/>
        <item m="1" x="1289"/>
        <item m="1" x="1327"/>
        <item m="1" x="1251"/>
        <item m="1" x="4514"/>
        <item m="1" x="4331"/>
        <item m="1" x="4389"/>
        <item m="1" x="4406"/>
        <item m="1" x="4137"/>
        <item m="1" x="1067"/>
        <item m="1" x="1013"/>
        <item m="1" x="4593"/>
        <item m="1" x="1450"/>
        <item m="1" x="4908"/>
        <item m="1" x="4070"/>
        <item m="1" x="4110"/>
        <item m="1" x="3998"/>
        <item m="1" x="3894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Caption="Total" compact="0" outline="0" showAll="0" defaultSubtotal="0">
      <items count="217">
        <item m="1" x="162"/>
        <item m="1" x="198"/>
        <item m="1" x="15"/>
        <item m="1" x="137"/>
        <item m="1" x="159"/>
        <item m="1" x="3"/>
        <item m="1" x="69"/>
        <item m="1" x="122"/>
        <item m="1" x="114"/>
        <item m="1" x="177"/>
        <item m="1" x="23"/>
        <item m="1" x="179"/>
        <item m="1" x="118"/>
        <item m="1" x="167"/>
        <item m="1" x="39"/>
        <item m="1" x="123"/>
        <item m="1" x="30"/>
        <item m="1" x="157"/>
        <item x="0"/>
        <item x="1"/>
        <item m="1" x="169"/>
        <item m="1" x="95"/>
        <item m="1" x="33"/>
        <item m="1" x="86"/>
        <item m="1" x="96"/>
        <item m="1" x="202"/>
        <item m="1" x="149"/>
        <item m="1" x="182"/>
        <item m="1" x="139"/>
        <item m="1" x="117"/>
        <item m="1" x="27"/>
        <item m="1" x="125"/>
        <item m="1" x="17"/>
        <item m="1" x="97"/>
        <item m="1" x="146"/>
        <item m="1" x="153"/>
        <item m="1" x="136"/>
        <item m="1" x="215"/>
        <item m="1" x="44"/>
        <item m="1" x="156"/>
        <item m="1" x="165"/>
        <item m="1" x="216"/>
        <item m="1" x="55"/>
        <item m="1" x="73"/>
        <item m="1" x="13"/>
        <item m="1" x="14"/>
        <item m="1" x="72"/>
        <item m="1" x="28"/>
        <item m="1" x="87"/>
        <item m="1" x="185"/>
        <item m="1" x="75"/>
        <item m="1" x="91"/>
        <item m="1" x="5"/>
        <item m="1" x="47"/>
        <item m="1" x="18"/>
        <item m="1" x="161"/>
        <item m="1" x="43"/>
        <item m="1" x="140"/>
        <item m="1" x="124"/>
        <item m="1" x="175"/>
        <item m="1" x="93"/>
        <item m="1" x="82"/>
        <item m="1" x="109"/>
        <item m="1" x="65"/>
        <item m="1" x="119"/>
        <item m="1" x="113"/>
        <item m="1" x="4"/>
        <item m="1" x="53"/>
        <item m="1" x="214"/>
        <item m="1" x="64"/>
        <item m="1" x="120"/>
        <item m="1" x="102"/>
        <item m="1" x="160"/>
        <item m="1" x="90"/>
        <item m="1" x="11"/>
        <item m="1" x="19"/>
        <item m="1" x="10"/>
        <item m="1" x="6"/>
        <item m="1" x="79"/>
        <item m="1" x="31"/>
        <item m="1" x="21"/>
        <item m="1" x="45"/>
        <item m="1" x="206"/>
        <item m="1" x="127"/>
        <item m="1" x="176"/>
        <item m="1" x="193"/>
        <item m="1" x="40"/>
        <item m="1" x="148"/>
        <item m="1" x="62"/>
        <item m="1" x="24"/>
        <item m="1" x="57"/>
        <item m="1" x="142"/>
        <item m="1" x="63"/>
        <item m="1" x="41"/>
        <item m="1" x="163"/>
        <item m="1" x="164"/>
        <item m="1" x="34"/>
        <item m="1" x="145"/>
        <item m="1" x="7"/>
        <item m="1" x="173"/>
        <item m="1" x="66"/>
        <item m="1" x="94"/>
        <item m="1" x="135"/>
        <item m="1" x="100"/>
        <item m="1" x="210"/>
        <item m="1" x="106"/>
        <item m="1" x="121"/>
        <item m="1" x="194"/>
        <item m="1" x="12"/>
        <item m="1" x="132"/>
        <item m="1" x="172"/>
        <item m="1" x="20"/>
        <item m="1" x="29"/>
        <item m="1" x="213"/>
        <item m="1" x="98"/>
        <item m="1" x="61"/>
        <item m="1" x="68"/>
        <item m="1" x="143"/>
        <item m="1" x="129"/>
        <item m="1" x="115"/>
        <item m="1" x="196"/>
        <item m="1" x="204"/>
        <item m="1" x="183"/>
        <item m="1" x="80"/>
        <item m="1" x="133"/>
        <item m="1" x="81"/>
        <item m="1" x="192"/>
        <item m="1" x="191"/>
        <item m="1" x="71"/>
        <item m="1" x="105"/>
        <item m="1" x="130"/>
        <item m="1" x="92"/>
        <item m="1" x="103"/>
        <item m="1" x="67"/>
        <item m="1" x="200"/>
        <item m="1" x="147"/>
        <item m="1" x="51"/>
        <item m="1" x="108"/>
        <item m="1" x="104"/>
        <item m="1" x="134"/>
        <item m="1" x="110"/>
        <item m="1" x="207"/>
        <item m="1" x="184"/>
        <item m="1" x="209"/>
        <item m="1" x="112"/>
        <item m="1" x="16"/>
        <item m="1" x="187"/>
        <item m="1" x="128"/>
        <item m="1" x="166"/>
        <item m="1" x="141"/>
        <item m="1" x="56"/>
        <item m="1" x="46"/>
        <item m="1" x="181"/>
        <item m="1" x="84"/>
        <item m="1" x="171"/>
        <item m="1" x="189"/>
        <item m="1" x="151"/>
        <item m="1" x="26"/>
        <item m="1" x="138"/>
        <item m="1" x="101"/>
        <item m="1" x="37"/>
        <item m="1" x="212"/>
        <item m="1" x="178"/>
        <item m="1" x="25"/>
        <item m="1" x="42"/>
        <item m="1" x="36"/>
        <item m="1" x="211"/>
        <item m="1" x="74"/>
        <item m="1" x="158"/>
        <item m="1" x="150"/>
        <item m="1" x="8"/>
        <item m="1" x="78"/>
        <item m="1" x="85"/>
        <item m="1" x="188"/>
        <item m="1" x="203"/>
        <item m="1" x="131"/>
        <item m="1" x="83"/>
        <item m="1" x="195"/>
        <item m="1" x="168"/>
        <item m="1" x="59"/>
        <item m="1" x="76"/>
        <item m="1" x="152"/>
        <item m="1" x="58"/>
        <item m="1" x="48"/>
        <item m="1" x="111"/>
        <item m="1" x="197"/>
        <item m="1" x="116"/>
        <item m="1" x="70"/>
        <item m="1" x="107"/>
        <item m="1" x="208"/>
        <item m="1" x="32"/>
        <item m="1" x="205"/>
        <item m="1" x="2"/>
        <item m="1" x="190"/>
        <item m="1" x="199"/>
        <item m="1" x="35"/>
        <item m="1" x="38"/>
        <item m="1" x="170"/>
        <item m="1" x="89"/>
        <item m="1" x="201"/>
        <item m="1" x="155"/>
        <item m="1" x="144"/>
        <item m="1" x="77"/>
        <item m="1" x="52"/>
        <item m="1" x="60"/>
        <item m="1" x="186"/>
        <item m="1" x="88"/>
        <item m="1" x="49"/>
        <item m="1" x="180"/>
        <item m="1" x="99"/>
        <item m="1" x="50"/>
        <item m="1" x="126"/>
        <item m="1" x="9"/>
        <item m="1" x="174"/>
        <item m="1" x="154"/>
        <item m="1" x="54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5"/>
        <item m="1" x="15"/>
        <item m="1" x="28"/>
        <item m="1" x="32"/>
        <item m="1" x="13"/>
        <item m="1" x="19"/>
        <item m="1" x="10"/>
        <item m="1" x="25"/>
        <item x="0"/>
        <item m="1" x="27"/>
        <item m="1" x="12"/>
        <item x="2"/>
        <item m="1" x="18"/>
        <item x="1"/>
        <item m="1" x="26"/>
        <item m="1" x="22"/>
        <item m="1" x="20"/>
        <item m="1" x="30"/>
        <item m="1" x="6"/>
        <item m="1" x="4"/>
        <item m="1" x="7"/>
        <item m="1" x="33"/>
        <item m="1" x="11"/>
        <item m="1" x="3"/>
        <item m="1" x="31"/>
        <item m="1" x="16"/>
        <item m="1" x="17"/>
        <item m="1" x="23"/>
        <item m="1" x="21"/>
        <item m="1" x="14"/>
        <item m="1" x="9"/>
        <item m="1" x="29"/>
        <item m="1" x="8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m="1" x="10"/>
        <item m="1" x="8"/>
        <item n="-" m="1" x="1"/>
        <item m="1" x="2"/>
        <item m="1" x="4"/>
        <item m="1" x="11"/>
        <item m="1" x="3"/>
        <item x="0"/>
        <item m="1" x="6"/>
        <item m="1" x="12"/>
        <item m="1" x="5"/>
        <item m="1" x="9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3">
    <i>
      <x v="8"/>
    </i>
    <i>
      <x v="11"/>
    </i>
    <i>
      <x v="1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Gross Weight" fld="10" baseField="0" baseItem="0"/>
    <dataField name="Net Weight" fld="11" baseField="2" baseItem="0"/>
    <dataField name="Qty" fld="3" baseField="0" baseItem="0"/>
    <dataField name="Inv Amount" fld="13" baseField="0" baseItem="0"/>
  </dataFields>
  <formats count="20">
    <format dxfId="22">
      <pivotArea field="2" type="button" dataOnly="0" labelOnly="1" outline="0"/>
    </format>
    <format dxfId="21">
      <pivotArea field="20" type="button" dataOnly="0" labelOnly="1" outline="0"/>
    </format>
    <format dxfId="20">
      <pivotArea dataOnly="0" labelOnly="1" grandCol="1" outline="0" fieldPosition="0"/>
    </format>
    <format dxfId="1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dataOnly="0" outline="0" fieldPosition="0">
        <references count="1">
          <reference field="4294967294" count="1">
            <x v="3"/>
          </reference>
        </references>
      </pivotArea>
    </format>
    <format dxfId="17">
      <pivotArea field="2" type="button" dataOnly="0" labelOnly="1" outline="0"/>
    </format>
    <format dxfId="16">
      <pivotArea field="0" type="button" dataOnly="0" labelOnly="1" outline="0"/>
    </format>
    <format dxfId="15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14">
      <pivotArea dataOnly="0" outline="0" fieldPosition="0">
        <references count="1">
          <reference field="4294967294" count="1">
            <x v="3"/>
          </reference>
        </references>
      </pivotArea>
    </format>
    <format dxfId="13">
      <pivotArea field="2" type="button" dataOnly="0" labelOnly="1" outline="0"/>
    </format>
    <format dxfId="12">
      <pivotArea field="0" type="button" dataOnly="0" labelOnly="1" outline="0"/>
    </format>
    <format dxfId="11">
      <pivotArea field="16" type="button" dataOnly="0" labelOnly="1" outline="0"/>
    </format>
    <format dxfId="10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9">
      <pivotArea field="14" type="button" dataOnly="0" labelOnly="1" outline="0" axis="axisRow" fieldPosition="0"/>
    </format>
    <format dxfId="8">
      <pivotArea dataOnly="0" labelOnly="1" outline="0" fieldPosition="0">
        <references count="1">
          <reference field="14" count="0"/>
        </references>
      </pivotArea>
    </format>
    <format dxfId="7">
      <pivotArea field="14" type="button" dataOnly="0" labelOnly="1" outline="0" axis="axisRow" fieldPosition="0"/>
    </format>
    <format dxfId="6">
      <pivotArea dataOnly="0" labelOnly="1" outline="0" fieldPosition="0">
        <references count="1">
          <reference field="14" count="0"/>
        </references>
      </pivotArea>
    </format>
    <format dxfId="5">
      <pivotArea outline="0" fieldPosition="0">
        <references count="1">
          <reference field="4294967294" count="1" selected="0">
            <x v="2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  <format dxfId="3">
      <pivotArea field="14" type="button" dataOnly="0" labelOnly="1" outline="0" axis="axisRow" fieldPosition="0"/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17" totalsRowShown="0" headerRowDxfId="305" dataDxfId="303" headerRowBorderDxfId="304" tableBorderDxfId="302" totalsRowBorderDxfId="301">
  <autoFilter ref="A2:Z17" xr:uid="{00000000-000C-0000-FFFF-FFFF00000000}"/>
  <sortState xmlns:xlrd2="http://schemas.microsoft.com/office/spreadsheetml/2017/richdata2" ref="A3:Z3">
    <sortCondition ref="C2:C3"/>
  </sortState>
  <tableColumns count="26">
    <tableColumn id="1" xr3:uid="{00000000-0010-0000-0000-000001000000}" name="GRN#" dataDxfId="300"/>
    <tableColumn id="2" xr3:uid="{00000000-0010-0000-0000-000002000000}" name="CARTONS" dataDxfId="299"/>
    <tableColumn id="3" xr3:uid="{00000000-0010-0000-0000-000003000000}" name="Fabric Quality" dataDxfId="298"/>
    <tableColumn id="4" xr3:uid="{00000000-0010-0000-0000-000004000000}" name="Quantity" dataDxfId="297"/>
    <tableColumn id="5" xr3:uid="{00000000-0010-0000-0000-000005000000}" name="Unit" dataDxfId="296"/>
    <tableColumn id="6" xr3:uid="{00000000-0010-0000-0000-000006000000}" name="Size" dataDxfId="295"/>
    <tableColumn id="7" xr3:uid="{00000000-0010-0000-0000-000007000000}" name="Item" dataDxfId="294"/>
    <tableColumn id="8" xr3:uid="{00000000-0010-0000-0000-000008000000}" name="White" dataDxfId="293"/>
    <tableColumn id="9" xr3:uid="{00000000-0010-0000-0000-000009000000}" name="Dyed" dataDxfId="292"/>
    <tableColumn id="10" xr3:uid="{00000000-0010-0000-0000-00000A000000}" name="Print" dataDxfId="291"/>
    <tableColumn id="11" xr3:uid="{00000000-0010-0000-0000-00000B000000}" name="G.Wt" dataDxfId="290"/>
    <tableColumn id="12" xr3:uid="{00000000-0010-0000-0000-00000C000000}" name="N.Wt" dataDxfId="289"/>
    <tableColumn id="13" xr3:uid="{00000000-0010-0000-0000-00000D000000}" name="Price" dataDxfId="288"/>
    <tableColumn id="14" xr3:uid="{00000000-0010-0000-0000-00000E000000}" name="Amount" dataDxfId="287"/>
    <tableColumn id="17" xr3:uid="{00000000-0010-0000-0000-000011000000}" name="Hscode" dataDxfId="286"/>
    <tableColumn id="18" xr3:uid="{00000000-0010-0000-0000-000012000000}" name="Faric Cons" dataDxfId="285"/>
    <tableColumn id="19" xr3:uid="{00000000-0010-0000-0000-000013000000}" name="Delivery From" dataDxfId="284"/>
    <tableColumn id="20" xr3:uid="{00000000-0010-0000-0000-000014000000}" name="M3" dataDxfId="283"/>
    <tableColumn id="21" xr3:uid="{00000000-0010-0000-0000-000015000000}" name="M-3" dataDxfId="282">
      <calculatedColumnFormula>IF(A2=A3,0,Table2[[#This Row],[M3]])</calculatedColumnFormula>
    </tableColumn>
    <tableColumn id="15" xr3:uid="{00000000-0010-0000-0000-00000F000000}" name="Process" dataDxfId="281">
      <calculatedColumnFormula>IF(Table2[[#This Row],[White]]&lt;&gt;0,"Bleached",
IF(Table2[[#This Row],[Dyed]]&lt;&gt;0,"Dyed",
IF(Table2[[#This Row],[Print]]&lt;&gt;0,"Printed",
(IF(AND(Table2[White]=0,Table2[Dyed]=0,Table2[Print]=0),IF(Table2[M-3]&lt;&gt;"",Table2[M-3],"Bleached"),"")))))</calculatedColumnFormula>
    </tableColumn>
    <tableColumn id="16" xr3:uid="{00000000-0010-0000-0000-000010000000}" name="Items" dataDxfId="280">
      <calculatedColumnFormula>IFERROR(LEFT(Table2[[#This Row],[Item]],(FIND(IF($C$1="Garment","- -","-"),Table2[[#This Row],[Item]])-2)),Table2[[#This Row],[Item]])</calculatedColumnFormula>
    </tableColumn>
    <tableColumn id="22" xr3:uid="{00000000-0010-0000-0000-000016000000}" name="SubItem" dataDxfId="279">
      <calculatedColumnFormula>IF($C$1="Garment",IF(ISNUMBER(FIND("LADIES",Table2[[#This Row],[Item]])),"W",IF(ISNUMBER(FIND("FEMALE",Table2[[#This Row],[Item]])),"W",IF(ISNUMBER(FIND(" MALE",Table2[[#This Row],[Item]])),"M",IF(ISNUMBER(FIND("MEN",Table2[[#This Row],[Item]])),"M","")))),"")</calculatedColumnFormula>
    </tableColumn>
    <tableColumn id="25" xr3:uid="{00000000-0010-0000-0000-000019000000}" name="I.name" dataDxfId="278">
      <calculatedColumnFormula>CONCATENATE(Table2[[#This Row],[Items]]&amp;IF(Table2[[#This Row],[SubItem]]&lt;&gt;""," - "&amp;Table2[[#This Row],[SubItem]],""))</calculatedColumnFormula>
    </tableColumn>
    <tableColumn id="24" xr3:uid="{00000000-0010-0000-0000-000018000000}" name="Cons" dataDxfId="277">
      <calculatedColumnFormula>IF(ISNUMBER(FIND(":",Table2[[#This Row],[Fabric Quality]])),"Bld",IF(ISNUMBER(FIND("pol",LOWER(Table2[[#This Row],[Fabric Quality]]))),"Pol","Ctn"))</calculatedColumnFormula>
    </tableColumn>
    <tableColumn id="26" xr3:uid="{00000000-0010-0000-0000-00001A000000}" name="Key" dataDxfId="276">
      <calculatedColumnFormula>CONCATENATE(Table2[[#This Row],[Items]],Table2[[#This Row],[Cons]],Table2[[#This Row],[SubItem]])</calculatedColumnFormula>
    </tableColumn>
    <tableColumn id="23" xr3:uid="{00000000-0010-0000-0000-000017000000}" name="Exp.Hscode" dataDxfId="275">
      <calculatedColumnFormula>VLOOKUP(Table2[[#This Row],[Key]],Gmtdata[#All],5,0)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Gmtdata" displayName="Gmtdata" ref="A3:F60" totalsRowShown="0">
  <autoFilter ref="A3:F60" xr:uid="{00000000-0009-0000-0100-000001000000}"/>
  <tableColumns count="6">
    <tableColumn id="1" xr3:uid="{00000000-0010-0000-0100-000001000000}" name="Key" dataDxfId="2">
      <calculatedColumnFormula>TRIM(CONCATENATE(B4,D4,C4))</calculatedColumnFormula>
    </tableColumn>
    <tableColumn id="7" xr3:uid="{00000000-0010-0000-0100-000007000000}" name="Item"/>
    <tableColumn id="2" xr3:uid="{00000000-0010-0000-0100-000002000000}" name="S.Item"/>
    <tableColumn id="3" xr3:uid="{00000000-0010-0000-0100-000003000000}" name="Con.Key"/>
    <tableColumn id="5" xr3:uid="{00000000-0010-0000-0100-000005000000}" name="HS.Code" dataDxfId="1"/>
    <tableColumn id="6" xr3:uid="{00000000-0010-0000-0100-000006000000}" name="Constru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7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13.140625" customWidth="1"/>
    <col min="2" max="2" width="11.5703125" customWidth="1"/>
    <col min="3" max="3" width="14.140625" customWidth="1"/>
    <col min="4" max="4" width="7.85546875" customWidth="1"/>
    <col min="5" max="5" width="7" customWidth="1"/>
    <col min="6" max="6" width="11.42578125" bestFit="1" customWidth="1"/>
    <col min="7" max="7" width="11.140625" customWidth="1"/>
    <col min="8" max="8" width="7.7109375" bestFit="1" customWidth="1"/>
    <col min="9" max="9" width="6.7109375" bestFit="1" customWidth="1"/>
    <col min="10" max="10" width="7.5703125" bestFit="1" customWidth="1"/>
    <col min="11" max="13" width="7.85546875" customWidth="1"/>
    <col min="14" max="14" width="10.28515625" customWidth="1"/>
    <col min="15" max="15" width="10.140625" customWidth="1"/>
    <col min="16" max="17" width="13.140625" customWidth="1"/>
    <col min="18" max="18" width="6.140625" customWidth="1"/>
    <col min="19" max="19" width="9" customWidth="1"/>
    <col min="20" max="20" width="9.7109375" style="5" customWidth="1"/>
    <col min="21" max="21" width="29.140625" customWidth="1"/>
    <col min="22" max="23" width="10.7109375" customWidth="1"/>
    <col min="24" max="24" width="7.5703125" customWidth="1"/>
    <col min="25" max="25" width="14.42578125" customWidth="1"/>
    <col min="26" max="26" width="13.42578125" customWidth="1"/>
  </cols>
  <sheetData>
    <row r="1" spans="1:28" ht="23.25" customHeight="1" x14ac:dyDescent="0.25">
      <c r="B1" s="46">
        <v>401</v>
      </c>
      <c r="C1" s="51"/>
      <c r="V1" s="45"/>
      <c r="AB1" s="45" t="s">
        <v>73</v>
      </c>
    </row>
    <row r="2" spans="1:28" ht="30.75" thickBot="1" x14ac:dyDescent="0.3">
      <c r="A2" s="12" t="s">
        <v>0</v>
      </c>
      <c r="B2" s="13" t="s">
        <v>1</v>
      </c>
      <c r="C2" s="13" t="s">
        <v>2</v>
      </c>
      <c r="D2" s="13" t="s">
        <v>3</v>
      </c>
      <c r="E2" s="13" t="s">
        <v>4</v>
      </c>
      <c r="F2" s="13" t="s">
        <v>5</v>
      </c>
      <c r="G2" s="13" t="s">
        <v>6</v>
      </c>
      <c r="H2" s="13" t="s">
        <v>7</v>
      </c>
      <c r="I2" s="13" t="s">
        <v>8</v>
      </c>
      <c r="J2" s="13" t="s">
        <v>9</v>
      </c>
      <c r="K2" s="13" t="s">
        <v>10</v>
      </c>
      <c r="L2" s="13" t="s">
        <v>11</v>
      </c>
      <c r="M2" s="13" t="s">
        <v>12</v>
      </c>
      <c r="N2" s="14" t="s">
        <v>13</v>
      </c>
      <c r="O2" s="14" t="s">
        <v>29</v>
      </c>
      <c r="P2" s="14" t="s">
        <v>31</v>
      </c>
      <c r="Q2" s="14" t="s">
        <v>32</v>
      </c>
      <c r="R2" s="14" t="s">
        <v>30</v>
      </c>
      <c r="S2" s="14" t="s">
        <v>77</v>
      </c>
      <c r="T2" s="15" t="s">
        <v>16</v>
      </c>
      <c r="U2" s="13" t="s">
        <v>18</v>
      </c>
      <c r="V2" s="13" t="s">
        <v>34</v>
      </c>
      <c r="W2" s="13" t="s">
        <v>71</v>
      </c>
      <c r="X2" s="13" t="s">
        <v>51</v>
      </c>
      <c r="Y2" s="13" t="s">
        <v>52</v>
      </c>
      <c r="Z2" s="44" t="s">
        <v>70</v>
      </c>
    </row>
    <row r="3" spans="1:28" ht="105.75" thickBot="1" x14ac:dyDescent="0.3">
      <c r="A3" s="85" t="s">
        <v>84</v>
      </c>
      <c r="B3" s="85">
        <v>8</v>
      </c>
      <c r="C3" s="85" t="s">
        <v>85</v>
      </c>
      <c r="D3" s="85">
        <v>192</v>
      </c>
      <c r="E3" s="85" t="s">
        <v>14</v>
      </c>
      <c r="F3" s="85" t="s">
        <v>86</v>
      </c>
      <c r="G3" s="85" t="s">
        <v>87</v>
      </c>
      <c r="H3" s="85">
        <v>192</v>
      </c>
      <c r="I3" s="85">
        <v>0</v>
      </c>
      <c r="J3" s="86">
        <v>0</v>
      </c>
      <c r="K3" s="85">
        <v>75.584000000000003</v>
      </c>
      <c r="L3" s="85">
        <v>67.584000000000003</v>
      </c>
      <c r="M3" s="85">
        <v>3.3</v>
      </c>
      <c r="N3" s="85">
        <v>633.6</v>
      </c>
      <c r="O3" s="85">
        <v>6101.9</v>
      </c>
      <c r="P3" s="85" t="s">
        <v>88</v>
      </c>
      <c r="Q3" s="85" t="s">
        <v>89</v>
      </c>
      <c r="R3" s="85">
        <v>2.74</v>
      </c>
      <c r="S3" s="87">
        <f>IF(A2=A3,0,Table2[[#This Row],[M3]])</f>
        <v>2.74</v>
      </c>
      <c r="T3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3" s="90" t="str">
        <f>IFERROR(LEFT(Table2[[#This Row],[Item]],(FIND(IF($C$1="Garment","- -","-"),Table2[[#This Row],[Item]])-2)),Table2[[#This Row],[Item]])</f>
        <v>LAB COAT</v>
      </c>
      <c r="V3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3" s="89" t="str">
        <f>CONCATENATE(Table2[[#This Row],[Items]]&amp;IF(Table2[[#This Row],[SubItem]]&lt;&gt;""," - "&amp;Table2[[#This Row],[SubItem]],""))</f>
        <v>LAB COAT</v>
      </c>
      <c r="X3" s="89" t="str">
        <f>IF(ISNUMBER(FIND(":",Table2[[#This Row],[Fabric Quality]])),"Bld",IF(ISNUMBER(FIND("pol",LOWER(Table2[[#This Row],[Fabric Quality]]))),"Pol","Ctn"))</f>
        <v>Bld</v>
      </c>
      <c r="Y3" s="89" t="str">
        <f>CONCATENATE(Table2[[#This Row],[Items]],Table2[[#This Row],[Cons]],Table2[[#This Row],[SubItem]])</f>
        <v>LAB COATBld</v>
      </c>
      <c r="Z3" s="52" t="e">
        <f>VLOOKUP(Table2[[#This Row],[Key]],Gmtdata[#All],5,0)</f>
        <v>#N/A</v>
      </c>
    </row>
    <row r="4" spans="1:28" ht="105.75" thickBot="1" x14ac:dyDescent="0.3">
      <c r="A4" s="85" t="s">
        <v>84</v>
      </c>
      <c r="B4" s="85">
        <v>20</v>
      </c>
      <c r="C4" s="85" t="s">
        <v>85</v>
      </c>
      <c r="D4" s="85">
        <v>480</v>
      </c>
      <c r="E4" s="85" t="s">
        <v>14</v>
      </c>
      <c r="F4" s="85" t="s">
        <v>90</v>
      </c>
      <c r="G4" s="85" t="s">
        <v>91</v>
      </c>
      <c r="H4" s="85">
        <v>480</v>
      </c>
      <c r="I4" s="85">
        <v>0</v>
      </c>
      <c r="J4" s="86">
        <v>0</v>
      </c>
      <c r="K4" s="85">
        <v>193.76</v>
      </c>
      <c r="L4" s="85">
        <v>173.76</v>
      </c>
      <c r="M4" s="85">
        <v>3.33</v>
      </c>
      <c r="N4" s="85">
        <v>1598.4</v>
      </c>
      <c r="O4" s="85">
        <v>6101.9</v>
      </c>
      <c r="P4" s="85" t="s">
        <v>88</v>
      </c>
      <c r="Q4" s="85" t="s">
        <v>89</v>
      </c>
      <c r="R4" s="85">
        <v>2.74</v>
      </c>
      <c r="S4" s="87">
        <f>IF(A3=A4,0,Table2[[#This Row],[M3]])</f>
        <v>0</v>
      </c>
      <c r="T4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4" s="92" t="str">
        <f>IFERROR(LEFT(Table2[[#This Row],[Item]],(FIND(IF($C$1="Garment","- -","-"),Table2[[#This Row],[Item]])-2)),Table2[[#This Row],[Item]])</f>
        <v>LAB COAT</v>
      </c>
      <c r="V4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4" s="89" t="str">
        <f>CONCATENATE(Table2[[#This Row],[Items]]&amp;IF(Table2[[#This Row],[SubItem]]&lt;&gt;""," - "&amp;Table2[[#This Row],[SubItem]],""))</f>
        <v>LAB COAT</v>
      </c>
      <c r="X4" s="89" t="str">
        <f>IF(ISNUMBER(FIND(":",Table2[[#This Row],[Fabric Quality]])),"Bld",IF(ISNUMBER(FIND("pol",LOWER(Table2[[#This Row],[Fabric Quality]]))),"Pol","Ctn"))</f>
        <v>Bld</v>
      </c>
      <c r="Y4" s="89" t="str">
        <f>CONCATENATE(Table2[[#This Row],[Items]],Table2[[#This Row],[Cons]],Table2[[#This Row],[SubItem]])</f>
        <v>LAB COATBld</v>
      </c>
      <c r="Z4" s="52" t="e">
        <f>VLOOKUP(Table2[[#This Row],[Key]],Gmtdata[#All],5,0)</f>
        <v>#N/A</v>
      </c>
    </row>
    <row r="5" spans="1:28" ht="105.75" thickBot="1" x14ac:dyDescent="0.3">
      <c r="A5" s="85" t="s">
        <v>84</v>
      </c>
      <c r="B5" s="85">
        <v>27</v>
      </c>
      <c r="C5" s="85" t="s">
        <v>85</v>
      </c>
      <c r="D5" s="85">
        <v>648</v>
      </c>
      <c r="E5" s="85" t="s">
        <v>14</v>
      </c>
      <c r="F5" s="85" t="s">
        <v>92</v>
      </c>
      <c r="G5" s="85" t="s">
        <v>93</v>
      </c>
      <c r="H5" s="85">
        <v>648</v>
      </c>
      <c r="I5" s="85">
        <v>0</v>
      </c>
      <c r="J5" s="86">
        <v>0</v>
      </c>
      <c r="K5" s="85">
        <v>274.536</v>
      </c>
      <c r="L5" s="85">
        <v>247.536</v>
      </c>
      <c r="M5" s="85">
        <v>3.49</v>
      </c>
      <c r="N5" s="85">
        <v>2261.52</v>
      </c>
      <c r="O5" s="85">
        <v>6101.9</v>
      </c>
      <c r="P5" s="85" t="s">
        <v>88</v>
      </c>
      <c r="Q5" s="85" t="s">
        <v>89</v>
      </c>
      <c r="R5" s="85">
        <v>2.74</v>
      </c>
      <c r="S5" s="87">
        <f>IF(A4=A5,0,Table2[[#This Row],[M3]])</f>
        <v>0</v>
      </c>
      <c r="T5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5" s="92" t="str">
        <f>IFERROR(LEFT(Table2[[#This Row],[Item]],(FIND(IF($C$1="Garment","- -","-"),Table2[[#This Row],[Item]])-2)),Table2[[#This Row],[Item]])</f>
        <v>LAB COAT</v>
      </c>
      <c r="V5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5" s="89" t="str">
        <f>CONCATENATE(Table2[[#This Row],[Items]]&amp;IF(Table2[[#This Row],[SubItem]]&lt;&gt;""," - "&amp;Table2[[#This Row],[SubItem]],""))</f>
        <v>LAB COAT</v>
      </c>
      <c r="X5" s="89" t="str">
        <f>IF(ISNUMBER(FIND(":",Table2[[#This Row],[Fabric Quality]])),"Bld",IF(ISNUMBER(FIND("pol",LOWER(Table2[[#This Row],[Fabric Quality]]))),"Pol","Ctn"))</f>
        <v>Bld</v>
      </c>
      <c r="Y5" s="89" t="str">
        <f>CONCATENATE(Table2[[#This Row],[Items]],Table2[[#This Row],[Cons]],Table2[[#This Row],[SubItem]])</f>
        <v>LAB COATBld</v>
      </c>
      <c r="Z5" s="52" t="e">
        <f>VLOOKUP(Table2[[#This Row],[Key]],Gmtdata[#All],5,0)</f>
        <v>#N/A</v>
      </c>
    </row>
    <row r="6" spans="1:28" ht="105.75" thickBot="1" x14ac:dyDescent="0.3">
      <c r="A6" s="85" t="s">
        <v>84</v>
      </c>
      <c r="B6" s="85">
        <v>25</v>
      </c>
      <c r="C6" s="85" t="s">
        <v>85</v>
      </c>
      <c r="D6" s="85">
        <v>600</v>
      </c>
      <c r="E6" s="85" t="s">
        <v>14</v>
      </c>
      <c r="F6" s="85" t="s">
        <v>94</v>
      </c>
      <c r="G6" s="85" t="s">
        <v>95</v>
      </c>
      <c r="H6" s="85">
        <v>600</v>
      </c>
      <c r="I6" s="85">
        <v>0</v>
      </c>
      <c r="J6" s="86">
        <v>0</v>
      </c>
      <c r="K6" s="85">
        <v>265</v>
      </c>
      <c r="L6" s="85">
        <v>240</v>
      </c>
      <c r="M6" s="85">
        <v>3.49</v>
      </c>
      <c r="N6" s="85">
        <v>2094</v>
      </c>
      <c r="O6" s="85">
        <v>6101.9</v>
      </c>
      <c r="P6" s="85" t="s">
        <v>88</v>
      </c>
      <c r="Q6" s="85" t="s">
        <v>89</v>
      </c>
      <c r="R6" s="85">
        <v>2.74</v>
      </c>
      <c r="S6" s="87">
        <f>IF(A5=A6,0,Table2[[#This Row],[M3]])</f>
        <v>0</v>
      </c>
      <c r="T6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6" s="92" t="str">
        <f>IFERROR(LEFT(Table2[[#This Row],[Item]],(FIND(IF($C$1="Garment","- -","-"),Table2[[#This Row],[Item]])-2)),Table2[[#This Row],[Item]])</f>
        <v>LAB COAT</v>
      </c>
      <c r="V6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6" s="89" t="str">
        <f>CONCATENATE(Table2[[#This Row],[Items]]&amp;IF(Table2[[#This Row],[SubItem]]&lt;&gt;""," - "&amp;Table2[[#This Row],[SubItem]],""))</f>
        <v>LAB COAT</v>
      </c>
      <c r="X6" s="89" t="str">
        <f>IF(ISNUMBER(FIND(":",Table2[[#This Row],[Fabric Quality]])),"Bld",IF(ISNUMBER(FIND("pol",LOWER(Table2[[#This Row],[Fabric Quality]]))),"Pol","Ctn"))</f>
        <v>Bld</v>
      </c>
      <c r="Y6" s="89" t="str">
        <f>CONCATENATE(Table2[[#This Row],[Items]],Table2[[#This Row],[Cons]],Table2[[#This Row],[SubItem]])</f>
        <v>LAB COATBld</v>
      </c>
      <c r="Z6" s="52" t="e">
        <f>VLOOKUP(Table2[[#This Row],[Key]],Gmtdata[#All],5,0)</f>
        <v>#N/A</v>
      </c>
    </row>
    <row r="7" spans="1:28" ht="75.75" thickBot="1" x14ac:dyDescent="0.3">
      <c r="A7" s="85" t="s">
        <v>96</v>
      </c>
      <c r="B7" s="85">
        <v>21</v>
      </c>
      <c r="C7" s="85" t="s">
        <v>97</v>
      </c>
      <c r="D7" s="85">
        <v>504</v>
      </c>
      <c r="E7" s="85" t="s">
        <v>14</v>
      </c>
      <c r="F7" s="85" t="s">
        <v>98</v>
      </c>
      <c r="G7" s="85" t="s">
        <v>99</v>
      </c>
      <c r="H7" s="85">
        <v>0</v>
      </c>
      <c r="I7" s="85">
        <v>504</v>
      </c>
      <c r="J7" s="86">
        <v>0</v>
      </c>
      <c r="K7" s="85">
        <v>97.23</v>
      </c>
      <c r="L7" s="85">
        <v>85.68</v>
      </c>
      <c r="M7" s="85">
        <v>2.11</v>
      </c>
      <c r="N7" s="85">
        <v>1063.44</v>
      </c>
      <c r="O7" s="85">
        <v>6109.9089999999997</v>
      </c>
      <c r="P7" s="85" t="s">
        <v>100</v>
      </c>
      <c r="Q7" s="85" t="s">
        <v>89</v>
      </c>
      <c r="R7" s="85">
        <v>1.75</v>
      </c>
      <c r="S7" s="87">
        <f>IF(A6=A7,0,Table2[[#This Row],[M3]])</f>
        <v>1.75</v>
      </c>
      <c r="T7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7" s="92" t="s">
        <v>37</v>
      </c>
      <c r="V7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7" s="89" t="str">
        <f>CONCATENATE(Table2[[#This Row],[Items]]&amp;IF(Table2[[#This Row],[SubItem]]&lt;&gt;""," - "&amp;Table2[[#This Row],[SubItem]],""))</f>
        <v>SCRUB - TOP</v>
      </c>
      <c r="X7" s="89" t="str">
        <f>IF(ISNUMBER(FIND(":",Table2[[#This Row],[Fabric Quality]])),"Bld",IF(ISNUMBER(FIND("pol",LOWER(Table2[[#This Row],[Fabric Quality]]))),"Pol","Ctn"))</f>
        <v>Bld</v>
      </c>
      <c r="Y7" s="89" t="str">
        <f>CONCATENATE(Table2[[#This Row],[Items]],Table2[[#This Row],[Cons]],Table2[[#This Row],[SubItem]])</f>
        <v>SCRUB - TOPBld</v>
      </c>
      <c r="Z7" s="52">
        <f>VLOOKUP(Table2[[#This Row],[Key]],Gmtdata[#All],5,0)</f>
        <v>6109.9089999999997</v>
      </c>
    </row>
    <row r="8" spans="1:28" ht="75.75" thickBot="1" x14ac:dyDescent="0.3">
      <c r="A8" s="85" t="s">
        <v>96</v>
      </c>
      <c r="B8" s="85">
        <v>40</v>
      </c>
      <c r="C8" s="85" t="s">
        <v>97</v>
      </c>
      <c r="D8" s="85">
        <v>960</v>
      </c>
      <c r="E8" s="85" t="s">
        <v>14</v>
      </c>
      <c r="F8" s="85" t="s">
        <v>41</v>
      </c>
      <c r="G8" s="85" t="s">
        <v>101</v>
      </c>
      <c r="H8" s="85">
        <v>0</v>
      </c>
      <c r="I8" s="85">
        <v>960</v>
      </c>
      <c r="J8" s="86">
        <v>0</v>
      </c>
      <c r="K8" s="85">
        <v>158.32</v>
      </c>
      <c r="L8" s="85">
        <v>136.32</v>
      </c>
      <c r="M8" s="85">
        <v>1.91</v>
      </c>
      <c r="N8" s="85">
        <v>1833.6</v>
      </c>
      <c r="O8" s="85">
        <v>6109.9089999999997</v>
      </c>
      <c r="P8" s="85" t="s">
        <v>100</v>
      </c>
      <c r="Q8" s="85" t="s">
        <v>89</v>
      </c>
      <c r="R8" s="85">
        <v>1.75</v>
      </c>
      <c r="S8" s="87">
        <f>IF(A7=A8,0,Table2[[#This Row],[M3]])</f>
        <v>0</v>
      </c>
      <c r="T8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8" s="92" t="s">
        <v>37</v>
      </c>
      <c r="V8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8" s="89" t="str">
        <f>CONCATENATE(Table2[[#This Row],[Items]]&amp;IF(Table2[[#This Row],[SubItem]]&lt;&gt;""," - "&amp;Table2[[#This Row],[SubItem]],""))</f>
        <v>SCRUB - TOP</v>
      </c>
      <c r="X8" s="89" t="str">
        <f>IF(ISNUMBER(FIND(":",Table2[[#This Row],[Fabric Quality]])),"Bld",IF(ISNUMBER(FIND("pol",LOWER(Table2[[#This Row],[Fabric Quality]]))),"Pol","Ctn"))</f>
        <v>Bld</v>
      </c>
      <c r="Y8" s="89" t="str">
        <f>CONCATENATE(Table2[[#This Row],[Items]],Table2[[#This Row],[Cons]],Table2[[#This Row],[SubItem]])</f>
        <v>SCRUB - TOPBld</v>
      </c>
      <c r="Z8" s="52">
        <f>VLOOKUP(Table2[[#This Row],[Key]],Gmtdata[#All],5,0)</f>
        <v>6109.9089999999997</v>
      </c>
    </row>
    <row r="9" spans="1:28" ht="75.75" thickBot="1" x14ac:dyDescent="0.3">
      <c r="A9" s="85" t="s">
        <v>96</v>
      </c>
      <c r="B9" s="85">
        <v>76</v>
      </c>
      <c r="C9" s="85" t="s">
        <v>97</v>
      </c>
      <c r="D9" s="85">
        <v>912</v>
      </c>
      <c r="E9" s="85" t="s">
        <v>14</v>
      </c>
      <c r="F9" s="85" t="s">
        <v>102</v>
      </c>
      <c r="G9" s="85" t="s">
        <v>103</v>
      </c>
      <c r="H9" s="85">
        <v>0</v>
      </c>
      <c r="I9" s="85">
        <v>912</v>
      </c>
      <c r="J9" s="86">
        <v>0</v>
      </c>
      <c r="K9" s="85">
        <v>215.08</v>
      </c>
      <c r="L9" s="85">
        <v>173.28</v>
      </c>
      <c r="M9" s="85">
        <v>2.27</v>
      </c>
      <c r="N9" s="85">
        <v>2070.2399999999998</v>
      </c>
      <c r="O9" s="85">
        <v>6109.9089999999997</v>
      </c>
      <c r="P9" s="85" t="s">
        <v>100</v>
      </c>
      <c r="Q9" s="85" t="s">
        <v>89</v>
      </c>
      <c r="R9" s="85">
        <v>1.75</v>
      </c>
      <c r="S9" s="87">
        <f>IF(A8=A9,0,Table2[[#This Row],[M3]])</f>
        <v>0</v>
      </c>
      <c r="T9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9" s="92" t="s">
        <v>37</v>
      </c>
      <c r="V9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9" s="89" t="str">
        <f>CONCATENATE(Table2[[#This Row],[Items]]&amp;IF(Table2[[#This Row],[SubItem]]&lt;&gt;""," - "&amp;Table2[[#This Row],[SubItem]],""))</f>
        <v>SCRUB - TOP</v>
      </c>
      <c r="X9" s="89" t="str">
        <f>IF(ISNUMBER(FIND(":",Table2[[#This Row],[Fabric Quality]])),"Bld",IF(ISNUMBER(FIND("pol",LOWER(Table2[[#This Row],[Fabric Quality]]))),"Pol","Ctn"))</f>
        <v>Bld</v>
      </c>
      <c r="Y9" s="89" t="str">
        <f>CONCATENATE(Table2[[#This Row],[Items]],Table2[[#This Row],[Cons]],Table2[[#This Row],[SubItem]])</f>
        <v>SCRUB - TOPBld</v>
      </c>
      <c r="Z9" s="52">
        <f>VLOOKUP(Table2[[#This Row],[Key]],Gmtdata[#All],5,0)</f>
        <v>6109.9089999999997</v>
      </c>
    </row>
    <row r="10" spans="1:28" ht="75.75" thickBot="1" x14ac:dyDescent="0.3">
      <c r="A10" s="85" t="s">
        <v>104</v>
      </c>
      <c r="B10" s="85">
        <v>47</v>
      </c>
      <c r="C10" s="85" t="s">
        <v>97</v>
      </c>
      <c r="D10" s="85">
        <v>564</v>
      </c>
      <c r="E10" s="85" t="s">
        <v>14</v>
      </c>
      <c r="F10" s="85" t="s">
        <v>105</v>
      </c>
      <c r="G10" s="85" t="s">
        <v>106</v>
      </c>
      <c r="H10" s="85">
        <v>0</v>
      </c>
      <c r="I10" s="85">
        <v>564</v>
      </c>
      <c r="J10" s="86">
        <v>0</v>
      </c>
      <c r="K10" s="85">
        <v>157.82599999999999</v>
      </c>
      <c r="L10" s="85">
        <v>131.976</v>
      </c>
      <c r="M10" s="85">
        <v>2.61</v>
      </c>
      <c r="N10" s="85">
        <v>1472.04</v>
      </c>
      <c r="O10" s="85">
        <v>6103.49</v>
      </c>
      <c r="P10" s="85" t="s">
        <v>100</v>
      </c>
      <c r="Q10" s="85" t="s">
        <v>89</v>
      </c>
      <c r="R10" s="85">
        <v>1.01</v>
      </c>
      <c r="S10" s="87">
        <f>IF(A9=A10,0,Table2[[#This Row],[M3]])</f>
        <v>1.01</v>
      </c>
      <c r="T10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0" s="92" t="s">
        <v>40</v>
      </c>
      <c r="V10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0" s="89" t="str">
        <f>CONCATENATE(Table2[[#This Row],[Items]]&amp;IF(Table2[[#This Row],[SubItem]]&lt;&gt;""," - "&amp;Table2[[#This Row],[SubItem]],""))</f>
        <v>SCRUB - BOTTOM</v>
      </c>
      <c r="X10" s="89" t="str">
        <f>IF(ISNUMBER(FIND(":",Table2[[#This Row],[Fabric Quality]])),"Bld",IF(ISNUMBER(FIND("pol",LOWER(Table2[[#This Row],[Fabric Quality]]))),"Pol","Ctn"))</f>
        <v>Bld</v>
      </c>
      <c r="Y10" s="89" t="str">
        <f>CONCATENATE(Table2[[#This Row],[Items]],Table2[[#This Row],[Cons]],Table2[[#This Row],[SubItem]])</f>
        <v>SCRUB - BOTTOMBld</v>
      </c>
      <c r="Z10" s="52">
        <f>VLOOKUP(Table2[[#This Row],[Key]],Gmtdata[#All],5,0)</f>
        <v>6103.49</v>
      </c>
    </row>
    <row r="11" spans="1:28" ht="75.75" thickBot="1" x14ac:dyDescent="0.3">
      <c r="A11" s="85" t="s">
        <v>104</v>
      </c>
      <c r="B11" s="85">
        <v>20</v>
      </c>
      <c r="C11" s="85" t="s">
        <v>97</v>
      </c>
      <c r="D11" s="85">
        <v>480</v>
      </c>
      <c r="E11" s="85" t="s">
        <v>14</v>
      </c>
      <c r="F11" s="85" t="s">
        <v>98</v>
      </c>
      <c r="G11" s="85" t="s">
        <v>107</v>
      </c>
      <c r="H11" s="85">
        <v>0</v>
      </c>
      <c r="I11" s="85">
        <v>480</v>
      </c>
      <c r="J11" s="86">
        <v>0</v>
      </c>
      <c r="K11" s="85">
        <v>107</v>
      </c>
      <c r="L11" s="85">
        <v>96</v>
      </c>
      <c r="M11" s="85">
        <v>2.41</v>
      </c>
      <c r="N11" s="85">
        <v>1156.8</v>
      </c>
      <c r="O11" s="85">
        <v>6103.49</v>
      </c>
      <c r="P11" s="85" t="s">
        <v>100</v>
      </c>
      <c r="Q11" s="85" t="s">
        <v>89</v>
      </c>
      <c r="R11" s="85">
        <v>1.01</v>
      </c>
      <c r="S11" s="87">
        <f>IF(A10=A11,0,Table2[[#This Row],[M3]])</f>
        <v>0</v>
      </c>
      <c r="T11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1" s="92" t="s">
        <v>40</v>
      </c>
      <c r="V11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1" s="89" t="str">
        <f>CONCATENATE(Table2[[#This Row],[Items]]&amp;IF(Table2[[#This Row],[SubItem]]&lt;&gt;""," - "&amp;Table2[[#This Row],[SubItem]],""))</f>
        <v>SCRUB - BOTTOM</v>
      </c>
      <c r="X11" s="89" t="str">
        <f>IF(ISNUMBER(FIND(":",Table2[[#This Row],[Fabric Quality]])),"Bld",IF(ISNUMBER(FIND("pol",LOWER(Table2[[#This Row],[Fabric Quality]]))),"Pol","Ctn"))</f>
        <v>Bld</v>
      </c>
      <c r="Y11" s="89" t="str">
        <f>CONCATENATE(Table2[[#This Row],[Items]],Table2[[#This Row],[Cons]],Table2[[#This Row],[SubItem]])</f>
        <v>SCRUB - BOTTOMBld</v>
      </c>
      <c r="Z11" s="52">
        <f>VLOOKUP(Table2[[#This Row],[Key]],Gmtdata[#All],5,0)</f>
        <v>6103.49</v>
      </c>
    </row>
    <row r="12" spans="1:28" ht="75.75" thickBot="1" x14ac:dyDescent="0.3">
      <c r="A12" s="85" t="s">
        <v>104</v>
      </c>
      <c r="B12" s="85">
        <v>7</v>
      </c>
      <c r="C12" s="85" t="s">
        <v>97</v>
      </c>
      <c r="D12" s="85">
        <v>84</v>
      </c>
      <c r="E12" s="85" t="s">
        <v>14</v>
      </c>
      <c r="F12" s="85" t="s">
        <v>108</v>
      </c>
      <c r="G12" s="85" t="s">
        <v>109</v>
      </c>
      <c r="H12" s="85">
        <v>0</v>
      </c>
      <c r="I12" s="85">
        <v>84</v>
      </c>
      <c r="J12" s="86">
        <v>0</v>
      </c>
      <c r="K12" s="85">
        <v>16.617999999999999</v>
      </c>
      <c r="L12" s="85">
        <v>12.768000000000001</v>
      </c>
      <c r="M12" s="85">
        <v>1.94</v>
      </c>
      <c r="N12" s="85">
        <v>162.96</v>
      </c>
      <c r="O12" s="85">
        <v>6103.49</v>
      </c>
      <c r="P12" s="85" t="s">
        <v>100</v>
      </c>
      <c r="Q12" s="85" t="s">
        <v>89</v>
      </c>
      <c r="R12" s="85">
        <v>1.01</v>
      </c>
      <c r="S12" s="87">
        <f>IF(A11=A12,0,Table2[[#This Row],[M3]])</f>
        <v>0</v>
      </c>
      <c r="T12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2" s="92" t="s">
        <v>40</v>
      </c>
      <c r="V12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2" s="89" t="str">
        <f>CONCATENATE(Table2[[#This Row],[Items]]&amp;IF(Table2[[#This Row],[SubItem]]&lt;&gt;""," - "&amp;Table2[[#This Row],[SubItem]],""))</f>
        <v>SCRUB - BOTTOM</v>
      </c>
      <c r="X12" s="89" t="str">
        <f>IF(ISNUMBER(FIND(":",Table2[[#This Row],[Fabric Quality]])),"Bld",IF(ISNUMBER(FIND("pol",LOWER(Table2[[#This Row],[Fabric Quality]]))),"Pol","Ctn"))</f>
        <v>Bld</v>
      </c>
      <c r="Y12" s="89" t="str">
        <f>CONCATENATE(Table2[[#This Row],[Items]],Table2[[#This Row],[Cons]],Table2[[#This Row],[SubItem]])</f>
        <v>SCRUB - BOTTOMBld</v>
      </c>
      <c r="Z12" s="52">
        <f>VLOOKUP(Table2[[#This Row],[Key]],Gmtdata[#All],5,0)</f>
        <v>6103.49</v>
      </c>
    </row>
    <row r="13" spans="1:28" ht="75.75" thickBot="1" x14ac:dyDescent="0.3">
      <c r="A13" s="85" t="s">
        <v>104</v>
      </c>
      <c r="B13" s="85">
        <v>16</v>
      </c>
      <c r="C13" s="85" t="s">
        <v>97</v>
      </c>
      <c r="D13" s="85">
        <v>192</v>
      </c>
      <c r="E13" s="85" t="s">
        <v>14</v>
      </c>
      <c r="F13" s="85" t="s">
        <v>105</v>
      </c>
      <c r="G13" s="85" t="s">
        <v>106</v>
      </c>
      <c r="H13" s="85">
        <v>0</v>
      </c>
      <c r="I13" s="85">
        <v>192</v>
      </c>
      <c r="J13" s="86">
        <v>0</v>
      </c>
      <c r="K13" s="85">
        <v>53.728000000000002</v>
      </c>
      <c r="L13" s="85">
        <v>44.927999999999997</v>
      </c>
      <c r="M13" s="85">
        <v>2.61</v>
      </c>
      <c r="N13" s="85">
        <v>501.12</v>
      </c>
      <c r="O13" s="85">
        <v>6103.49</v>
      </c>
      <c r="P13" s="85" t="s">
        <v>100</v>
      </c>
      <c r="Q13" s="85" t="s">
        <v>89</v>
      </c>
      <c r="R13" s="85">
        <v>1.01</v>
      </c>
      <c r="S13" s="87">
        <f>IF(A12=A13,0,Table2[[#This Row],[M3]])</f>
        <v>0</v>
      </c>
      <c r="T13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3" s="92" t="s">
        <v>40</v>
      </c>
      <c r="V13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3" s="89" t="str">
        <f>CONCATENATE(Table2[[#This Row],[Items]]&amp;IF(Table2[[#This Row],[SubItem]]&lt;&gt;""," - "&amp;Table2[[#This Row],[SubItem]],""))</f>
        <v>SCRUB - BOTTOM</v>
      </c>
      <c r="X13" s="89" t="str">
        <f>IF(ISNUMBER(FIND(":",Table2[[#This Row],[Fabric Quality]])),"Bld",IF(ISNUMBER(FIND("pol",LOWER(Table2[[#This Row],[Fabric Quality]]))),"Pol","Ctn"))</f>
        <v>Bld</v>
      </c>
      <c r="Y13" s="89" t="str">
        <f>CONCATENATE(Table2[[#This Row],[Items]],Table2[[#This Row],[Cons]],Table2[[#This Row],[SubItem]])</f>
        <v>SCRUB - BOTTOMBld</v>
      </c>
      <c r="Z13" s="52">
        <f>VLOOKUP(Table2[[#This Row],[Key]],Gmtdata[#All],5,0)</f>
        <v>6103.49</v>
      </c>
    </row>
    <row r="14" spans="1:28" ht="75.75" thickBot="1" x14ac:dyDescent="0.3">
      <c r="A14" s="85" t="s">
        <v>110</v>
      </c>
      <c r="B14" s="85">
        <v>20</v>
      </c>
      <c r="C14" s="85" t="s">
        <v>97</v>
      </c>
      <c r="D14" s="85">
        <v>240</v>
      </c>
      <c r="E14" s="85" t="s">
        <v>14</v>
      </c>
      <c r="F14" s="85" t="s">
        <v>102</v>
      </c>
      <c r="G14" s="85" t="s">
        <v>103</v>
      </c>
      <c r="H14" s="85">
        <v>0</v>
      </c>
      <c r="I14" s="85">
        <v>240</v>
      </c>
      <c r="J14" s="86">
        <v>0</v>
      </c>
      <c r="K14" s="85">
        <v>56.6</v>
      </c>
      <c r="L14" s="85">
        <v>45.6</v>
      </c>
      <c r="M14" s="85">
        <v>2.27</v>
      </c>
      <c r="N14" s="85">
        <v>544.79999999999995</v>
      </c>
      <c r="O14" s="85">
        <v>6109.9089999999997</v>
      </c>
      <c r="P14" s="85" t="s">
        <v>100</v>
      </c>
      <c r="Q14" s="85" t="s">
        <v>89</v>
      </c>
      <c r="R14" s="85">
        <v>0.19</v>
      </c>
      <c r="S14" s="87">
        <f>IF(A13=A14,0,Table2[[#This Row],[M3]])</f>
        <v>0.19</v>
      </c>
      <c r="T14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4" s="92" t="s">
        <v>37</v>
      </c>
      <c r="V14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4" s="89" t="str">
        <f>CONCATENATE(Table2[[#This Row],[Items]]&amp;IF(Table2[[#This Row],[SubItem]]&lt;&gt;""," - "&amp;Table2[[#This Row],[SubItem]],""))</f>
        <v>SCRUB - TOP</v>
      </c>
      <c r="X14" s="89" t="str">
        <f>IF(ISNUMBER(FIND(":",Table2[[#This Row],[Fabric Quality]])),"Bld",IF(ISNUMBER(FIND("pol",LOWER(Table2[[#This Row],[Fabric Quality]]))),"Pol","Ctn"))</f>
        <v>Bld</v>
      </c>
      <c r="Y14" s="89" t="str">
        <f>CONCATENATE(Table2[[#This Row],[Items]],Table2[[#This Row],[Cons]],Table2[[#This Row],[SubItem]])</f>
        <v>SCRUB - TOPBld</v>
      </c>
      <c r="Z14" s="52">
        <f>VLOOKUP(Table2[[#This Row],[Key]],Gmtdata[#All],5,0)</f>
        <v>6109.9089999999997</v>
      </c>
    </row>
    <row r="15" spans="1:28" ht="105.75" thickBot="1" x14ac:dyDescent="0.3">
      <c r="A15" s="85" t="s">
        <v>111</v>
      </c>
      <c r="B15" s="85">
        <v>11</v>
      </c>
      <c r="C15" s="85" t="s">
        <v>85</v>
      </c>
      <c r="D15" s="85">
        <v>264</v>
      </c>
      <c r="E15" s="85" t="s">
        <v>14</v>
      </c>
      <c r="F15" s="85" t="s">
        <v>112</v>
      </c>
      <c r="G15" s="85" t="s">
        <v>113</v>
      </c>
      <c r="H15" s="85">
        <v>264</v>
      </c>
      <c r="I15" s="85">
        <v>0</v>
      </c>
      <c r="J15" s="86">
        <v>0</v>
      </c>
      <c r="K15" s="85">
        <v>109.736</v>
      </c>
      <c r="L15" s="85">
        <v>98.736000000000004</v>
      </c>
      <c r="M15" s="85">
        <v>3.48</v>
      </c>
      <c r="N15" s="85">
        <v>918.72</v>
      </c>
      <c r="O15" s="85">
        <v>6101.9</v>
      </c>
      <c r="P15" s="85" t="s">
        <v>88</v>
      </c>
      <c r="Q15" s="85" t="s">
        <v>89</v>
      </c>
      <c r="R15" s="85">
        <v>0.41</v>
      </c>
      <c r="S15" s="87">
        <f>IF(A14=A15,0,Table2[[#This Row],[M3]])</f>
        <v>0.41</v>
      </c>
      <c r="T15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15" s="92" t="str">
        <f>IFERROR(LEFT(Table2[[#This Row],[Item]],(FIND(IF($C$1="Garment","- -","-"),Table2[[#This Row],[Item]])-2)),Table2[[#This Row],[Item]])</f>
        <v>LAB COAT</v>
      </c>
      <c r="V15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5" s="89" t="str">
        <f>CONCATENATE(Table2[[#This Row],[Items]]&amp;IF(Table2[[#This Row],[SubItem]]&lt;&gt;""," - "&amp;Table2[[#This Row],[SubItem]],""))</f>
        <v>LAB COAT</v>
      </c>
      <c r="X15" s="89" t="str">
        <f>IF(ISNUMBER(FIND(":",Table2[[#This Row],[Fabric Quality]])),"Bld",IF(ISNUMBER(FIND("pol",LOWER(Table2[[#This Row],[Fabric Quality]]))),"Pol","Ctn"))</f>
        <v>Bld</v>
      </c>
      <c r="Y15" s="89" t="str">
        <f>CONCATENATE(Table2[[#This Row],[Items]],Table2[[#This Row],[Cons]],Table2[[#This Row],[SubItem]])</f>
        <v>LAB COATBld</v>
      </c>
      <c r="Z15" s="52" t="e">
        <f>VLOOKUP(Table2[[#This Row],[Key]],Gmtdata[#All],5,0)</f>
        <v>#N/A</v>
      </c>
    </row>
    <row r="16" spans="1:28" ht="105.75" thickBot="1" x14ac:dyDescent="0.3">
      <c r="A16" s="85" t="s">
        <v>111</v>
      </c>
      <c r="B16" s="85">
        <v>1</v>
      </c>
      <c r="C16" s="85" t="s">
        <v>85</v>
      </c>
      <c r="D16" s="85">
        <v>24</v>
      </c>
      <c r="E16" s="85" t="s">
        <v>14</v>
      </c>
      <c r="F16" s="85" t="s">
        <v>114</v>
      </c>
      <c r="G16" s="85" t="s">
        <v>115</v>
      </c>
      <c r="H16" s="85">
        <v>24</v>
      </c>
      <c r="I16" s="85">
        <v>0</v>
      </c>
      <c r="J16" s="86">
        <v>0</v>
      </c>
      <c r="K16" s="85">
        <v>13.288</v>
      </c>
      <c r="L16" s="85">
        <v>12.288</v>
      </c>
      <c r="M16" s="85">
        <v>4.22</v>
      </c>
      <c r="N16" s="85">
        <v>101.28</v>
      </c>
      <c r="O16" s="85">
        <v>6101.9</v>
      </c>
      <c r="P16" s="85" t="s">
        <v>88</v>
      </c>
      <c r="Q16" s="85" t="s">
        <v>89</v>
      </c>
      <c r="R16" s="85">
        <v>0.41</v>
      </c>
      <c r="S16" s="87">
        <f>IF(A15=A16,0,Table2[[#This Row],[M3]])</f>
        <v>0</v>
      </c>
      <c r="T16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Bleached</v>
      </c>
      <c r="U16" s="92" t="str">
        <f>IFERROR(LEFT(Table2[[#This Row],[Item]],(FIND(IF($C$1="Garment","- -","-"),Table2[[#This Row],[Item]])-2)),Table2[[#This Row],[Item]])</f>
        <v>LAB COAT</v>
      </c>
      <c r="V16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6" s="89" t="str">
        <f>CONCATENATE(Table2[[#This Row],[Items]]&amp;IF(Table2[[#This Row],[SubItem]]&lt;&gt;""," - "&amp;Table2[[#This Row],[SubItem]],""))</f>
        <v>LAB COAT</v>
      </c>
      <c r="X16" s="89" t="str">
        <f>IF(ISNUMBER(FIND(":",Table2[[#This Row],[Fabric Quality]])),"Bld",IF(ISNUMBER(FIND("pol",LOWER(Table2[[#This Row],[Fabric Quality]]))),"Pol","Ctn"))</f>
        <v>Bld</v>
      </c>
      <c r="Y16" s="89" t="str">
        <f>CONCATENATE(Table2[[#This Row],[Items]],Table2[[#This Row],[Cons]],Table2[[#This Row],[SubItem]])</f>
        <v>LAB COATBld</v>
      </c>
      <c r="Z16" s="52" t="e">
        <f>VLOOKUP(Table2[[#This Row],[Key]],Gmtdata[#All],5,0)</f>
        <v>#N/A</v>
      </c>
    </row>
    <row r="17" spans="1:26" ht="75.75" thickBot="1" x14ac:dyDescent="0.3">
      <c r="A17" s="85" t="s">
        <v>116</v>
      </c>
      <c r="B17" s="85">
        <v>4</v>
      </c>
      <c r="C17" s="85" t="s">
        <v>97</v>
      </c>
      <c r="D17" s="85">
        <v>48</v>
      </c>
      <c r="E17" s="85" t="s">
        <v>14</v>
      </c>
      <c r="F17" s="85" t="s">
        <v>102</v>
      </c>
      <c r="G17" s="85" t="s">
        <v>117</v>
      </c>
      <c r="H17" s="85">
        <v>0</v>
      </c>
      <c r="I17" s="85">
        <v>48</v>
      </c>
      <c r="J17" s="86">
        <v>0</v>
      </c>
      <c r="K17" s="85">
        <v>12.568</v>
      </c>
      <c r="L17" s="85">
        <v>10.368</v>
      </c>
      <c r="M17" s="85">
        <v>2.5</v>
      </c>
      <c r="N17" s="85">
        <v>120</v>
      </c>
      <c r="O17" s="85">
        <v>6103.49</v>
      </c>
      <c r="P17" s="85" t="s">
        <v>100</v>
      </c>
      <c r="Q17" s="85" t="s">
        <v>89</v>
      </c>
      <c r="R17" s="85">
        <v>0.04</v>
      </c>
      <c r="S17" s="87">
        <f>IF(A16=A17,0,Table2[[#This Row],[M3]])</f>
        <v>0.04</v>
      </c>
      <c r="T17" s="29" t="str">
        <f>IF(Table2[[#This Row],[White]]&lt;&gt;0,"Bleached",
IF(Table2[[#This Row],[Dyed]]&lt;&gt;0,"Dyed",
IF(Table2[[#This Row],[Print]]&lt;&gt;0,"Printed",
(IF(AND(Table2[White]=0,Table2[Dyed]=0,Table2[Print]=0),IF(Table2[M-3]&lt;&gt;"",Table2[M-3],"Bleached"),"")))))</f>
        <v>Dyed</v>
      </c>
      <c r="U17" s="92" t="s">
        <v>40</v>
      </c>
      <c r="V17" s="88" t="str">
        <f>IF($C$1="Garment",IF(ISNUMBER(FIND("LADIES",Table2[[#This Row],[Item]])),"W",IF(ISNUMBER(FIND("FEMALE",Table2[[#This Row],[Item]])),"W",IF(ISNUMBER(FIND(" MALE",Table2[[#This Row],[Item]])),"M",IF(ISNUMBER(FIND("MEN",Table2[[#This Row],[Item]])),"M","")))),"")</f>
        <v/>
      </c>
      <c r="W17" s="89" t="str">
        <f>CONCATENATE(Table2[[#This Row],[Items]]&amp;IF(Table2[[#This Row],[SubItem]]&lt;&gt;""," - "&amp;Table2[[#This Row],[SubItem]],""))</f>
        <v>SCRUB - BOTTOM</v>
      </c>
      <c r="X17" s="89" t="str">
        <f>IF(ISNUMBER(FIND(":",Table2[[#This Row],[Fabric Quality]])),"Bld",IF(ISNUMBER(FIND("pol",LOWER(Table2[[#This Row],[Fabric Quality]]))),"Pol","Ctn"))</f>
        <v>Bld</v>
      </c>
      <c r="Y17" s="89" t="str">
        <f>CONCATENATE(Table2[[#This Row],[Items]],Table2[[#This Row],[Cons]],Table2[[#This Row],[SubItem]])</f>
        <v>SCRUB - BOTTOMBld</v>
      </c>
      <c r="Z17" s="52">
        <f>VLOOKUP(Table2[[#This Row],[Key]],Gmtdata[#All],5,0)</f>
        <v>6103.49</v>
      </c>
    </row>
  </sheetData>
  <pageMargins left="0.75" right="0.75" top="1" bottom="1" header="0.5" footer="0.5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Pict="0" macro="[0]!ClearData">
                <anchor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0</xdr:col>
                    <xdr:colOff>847725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Gmt_tbl!$F$1:$F$2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50"/>
  <sheetViews>
    <sheetView tabSelected="1" zoomScale="90" zoomScaleNormal="90" workbookViewId="0">
      <selection activeCell="E13" sqref="E13"/>
    </sheetView>
  </sheetViews>
  <sheetFormatPr defaultRowHeight="15" x14ac:dyDescent="0.25"/>
  <cols>
    <col min="2" max="2" width="38.85546875" style="48" customWidth="1"/>
    <col min="3" max="3" width="20.7109375" style="49" customWidth="1"/>
    <col min="4" max="4" width="3.7109375" style="3" customWidth="1"/>
    <col min="5" max="6" width="12.7109375" style="3" customWidth="1"/>
    <col min="7" max="8" width="12.7109375" customWidth="1"/>
    <col min="9" max="9" width="2.7109375" customWidth="1"/>
    <col min="10" max="10" width="20.7109375" hidden="1" customWidth="1"/>
    <col min="11" max="11" width="20.7109375" style="3" hidden="1" customWidth="1"/>
    <col min="12" max="12" width="3.7109375" style="10" hidden="1" customWidth="1"/>
    <col min="13" max="14" width="9.140625" style="79" customWidth="1"/>
    <col min="15" max="23" width="9.140625" style="80" customWidth="1"/>
    <col min="24" max="24" width="9.7109375" style="5" bestFit="1" customWidth="1"/>
    <col min="25" max="25" width="10.7109375" style="40" customWidth="1"/>
    <col min="26" max="26" width="19.5703125" bestFit="1" customWidth="1"/>
    <col min="27" max="64" width="4" customWidth="1"/>
    <col min="65" max="66" width="5" customWidth="1"/>
    <col min="67" max="67" width="7.28515625" customWidth="1"/>
    <col min="68" max="68" width="11.28515625" bestFit="1" customWidth="1"/>
  </cols>
  <sheetData>
    <row r="1" spans="1:26" ht="24.95" customHeight="1" thickBot="1" x14ac:dyDescent="0.3">
      <c r="B1"/>
      <c r="C1" s="26">
        <f>Data!B1</f>
        <v>401</v>
      </c>
      <c r="E1" s="27" t="s">
        <v>28</v>
      </c>
      <c r="F1" s="28">
        <f>COUNTA(Report2!C:C)-1</f>
        <v>6</v>
      </c>
    </row>
    <row r="2" spans="1:26" ht="31.5" thickTop="1" thickBot="1" x14ac:dyDescent="0.3">
      <c r="A2" s="18" t="s">
        <v>23</v>
      </c>
      <c r="B2" s="18" t="s">
        <v>24</v>
      </c>
      <c r="C2" s="18" t="s">
        <v>18</v>
      </c>
      <c r="D2" s="18" t="s">
        <v>65</v>
      </c>
      <c r="E2" s="18" t="str">
        <f>PROPER(IF(E5&lt;&gt;"",E5,""))</f>
        <v>Bleached</v>
      </c>
      <c r="F2" s="18" t="str">
        <f>PROPER(IF(F5&lt;&gt;"",F5,""))</f>
        <v>Dyed</v>
      </c>
      <c r="G2" s="18" t="str">
        <f>PROPER(IF(G5&lt;&gt;"",G5,""))</f>
        <v>Grand Total</v>
      </c>
      <c r="H2" s="18" t="str">
        <f>PROPER(IF(H5&lt;&gt;"",H5,""))</f>
        <v/>
      </c>
      <c r="I2" s="43"/>
      <c r="J2" s="18" t="s">
        <v>63</v>
      </c>
      <c r="K2" s="18" t="s">
        <v>64</v>
      </c>
      <c r="L2" s="18" t="s">
        <v>66</v>
      </c>
      <c r="M2" s="81" t="str">
        <f t="shared" ref="M2:X2" si="0">PROPER(IF(M4&lt;&gt;"",M4&amp;" "&amp;M5,""))</f>
        <v>Bleached Ctn</v>
      </c>
      <c r="N2" s="81" t="str">
        <f t="shared" si="0"/>
        <v>Bleached Pcs</v>
      </c>
      <c r="O2" s="81" t="str">
        <f t="shared" si="0"/>
        <v>Bleached Amt</v>
      </c>
      <c r="P2" s="81" t="str">
        <f t="shared" si="0"/>
        <v>Dyed Ctn</v>
      </c>
      <c r="Q2" s="81" t="str">
        <f t="shared" si="0"/>
        <v>Dyed Pcs</v>
      </c>
      <c r="R2" s="81" t="str">
        <f t="shared" si="0"/>
        <v>Dyed Amt</v>
      </c>
      <c r="S2" s="81" t="str">
        <f t="shared" si="0"/>
        <v xml:space="preserve">Total Ctn </v>
      </c>
      <c r="T2" s="81" t="str">
        <f t="shared" si="0"/>
        <v xml:space="preserve">Total Pcs </v>
      </c>
      <c r="U2" s="81" t="str">
        <f t="shared" si="0"/>
        <v xml:space="preserve">Total Amt </v>
      </c>
      <c r="V2" s="81" t="str">
        <f t="shared" si="0"/>
        <v/>
      </c>
      <c r="W2" s="81" t="str">
        <f t="shared" si="0"/>
        <v/>
      </c>
      <c r="X2" s="81" t="str">
        <f t="shared" si="0"/>
        <v/>
      </c>
      <c r="Y2" s="17" t="s">
        <v>62</v>
      </c>
      <c r="Z2" s="17" t="s">
        <v>67</v>
      </c>
    </row>
    <row r="3" spans="1:26" ht="15.75" hidden="1" thickTop="1" x14ac:dyDescent="0.25">
      <c r="B3" s="19"/>
      <c r="C3" s="47"/>
      <c r="K3"/>
      <c r="L3"/>
      <c r="M3" s="82" t="s">
        <v>16</v>
      </c>
      <c r="N3" s="82" t="s">
        <v>19</v>
      </c>
      <c r="V3"/>
      <c r="W3"/>
      <c r="X3"/>
      <c r="Y3"/>
    </row>
    <row r="4" spans="1:26" hidden="1" x14ac:dyDescent="0.25">
      <c r="A4" t="s">
        <v>23</v>
      </c>
      <c r="B4" s="74" t="s">
        <v>17</v>
      </c>
      <c r="C4" s="37"/>
      <c r="D4"/>
      <c r="E4" s="1" t="s">
        <v>16</v>
      </c>
      <c r="F4"/>
      <c r="K4"/>
      <c r="L4"/>
      <c r="M4" s="80" t="s">
        <v>83</v>
      </c>
      <c r="N4" s="80" t="s">
        <v>83</v>
      </c>
      <c r="O4" s="80" t="s">
        <v>83</v>
      </c>
      <c r="P4" s="80" t="s">
        <v>8</v>
      </c>
      <c r="Q4" s="80" t="s">
        <v>8</v>
      </c>
      <c r="R4" s="80" t="s">
        <v>8</v>
      </c>
      <c r="S4" s="80" t="s">
        <v>20</v>
      </c>
      <c r="T4" s="80" t="s">
        <v>22</v>
      </c>
      <c r="U4" s="38" t="s">
        <v>80</v>
      </c>
      <c r="V4"/>
      <c r="W4"/>
      <c r="X4"/>
      <c r="Y4"/>
    </row>
    <row r="5" spans="1:26" hidden="1" x14ac:dyDescent="0.25">
      <c r="B5" s="75" t="s">
        <v>2</v>
      </c>
      <c r="C5" s="4" t="s">
        <v>18</v>
      </c>
      <c r="D5" s="1" t="s">
        <v>34</v>
      </c>
      <c r="E5" s="5" t="s">
        <v>83</v>
      </c>
      <c r="F5" s="5" t="s">
        <v>8</v>
      </c>
      <c r="G5" s="5" t="s">
        <v>15</v>
      </c>
      <c r="J5" s="1" t="s">
        <v>2</v>
      </c>
      <c r="K5" s="1" t="s">
        <v>18</v>
      </c>
      <c r="L5" s="1" t="s">
        <v>34</v>
      </c>
      <c r="M5" s="38" t="s">
        <v>21</v>
      </c>
      <c r="N5" s="83" t="s">
        <v>14</v>
      </c>
      <c r="O5" s="38" t="s">
        <v>81</v>
      </c>
      <c r="P5" s="38" t="s">
        <v>21</v>
      </c>
      <c r="Q5" s="83" t="s">
        <v>14</v>
      </c>
      <c r="R5" s="38" t="s">
        <v>81</v>
      </c>
      <c r="U5" s="38"/>
      <c r="V5"/>
      <c r="W5"/>
      <c r="X5"/>
      <c r="Y5"/>
    </row>
    <row r="6" spans="1:26" ht="15.75" thickTop="1" x14ac:dyDescent="0.25">
      <c r="A6" s="16">
        <v>1</v>
      </c>
      <c r="B6" s="37" t="s">
        <v>85</v>
      </c>
      <c r="C6" s="48" t="s">
        <v>35</v>
      </c>
      <c r="D6" s="5"/>
      <c r="E6" s="91">
        <v>839.904</v>
      </c>
      <c r="F6" s="91"/>
      <c r="G6" s="2">
        <v>839.904</v>
      </c>
      <c r="J6" t="s">
        <v>85</v>
      </c>
      <c r="K6" t="s">
        <v>35</v>
      </c>
      <c r="L6" s="5"/>
      <c r="M6" s="80">
        <v>92</v>
      </c>
      <c r="N6" s="84">
        <v>2208</v>
      </c>
      <c r="O6" s="80">
        <v>7607.52</v>
      </c>
      <c r="Q6" s="84"/>
      <c r="S6" s="80">
        <v>92</v>
      </c>
      <c r="T6" s="84">
        <v>2208</v>
      </c>
      <c r="U6" s="80">
        <v>7607.52</v>
      </c>
      <c r="V6"/>
      <c r="W6"/>
      <c r="X6"/>
      <c r="Y6"/>
    </row>
    <row r="7" spans="1:26" x14ac:dyDescent="0.25">
      <c r="A7" s="16">
        <f t="shared" ref="A7:A19" si="1">IF(AND(B7&lt;&gt;"",B7&lt;&gt;"Grand Total"),IF(EXACT(B6,B7),A6,A6+1),"")</f>
        <v>2</v>
      </c>
      <c r="B7" s="37" t="s">
        <v>97</v>
      </c>
      <c r="C7" s="48" t="s">
        <v>40</v>
      </c>
      <c r="D7" s="5"/>
      <c r="E7" s="91"/>
      <c r="F7" s="91">
        <v>296.04000000000002</v>
      </c>
      <c r="G7" s="2">
        <v>296.04000000000002</v>
      </c>
      <c r="J7" t="s">
        <v>97</v>
      </c>
      <c r="K7" t="s">
        <v>40</v>
      </c>
      <c r="L7" s="5"/>
      <c r="M7" s="80"/>
      <c r="N7" s="84"/>
      <c r="P7" s="80">
        <v>94</v>
      </c>
      <c r="Q7" s="84">
        <v>1368</v>
      </c>
      <c r="R7" s="80">
        <v>3412.92</v>
      </c>
      <c r="S7" s="80">
        <v>94</v>
      </c>
      <c r="T7" s="84">
        <v>1368</v>
      </c>
      <c r="U7" s="80">
        <v>3412.92</v>
      </c>
      <c r="V7"/>
      <c r="W7"/>
      <c r="X7"/>
      <c r="Y7"/>
    </row>
    <row r="8" spans="1:26" x14ac:dyDescent="0.25">
      <c r="A8" s="16">
        <f t="shared" si="1"/>
        <v>2</v>
      </c>
      <c r="B8" s="37" t="s">
        <v>97</v>
      </c>
      <c r="C8" s="48" t="s">
        <v>37</v>
      </c>
      <c r="D8" s="5"/>
      <c r="E8" s="91"/>
      <c r="F8" s="91">
        <v>440.88</v>
      </c>
      <c r="G8" s="2">
        <v>440.88</v>
      </c>
      <c r="J8" t="s">
        <v>97</v>
      </c>
      <c r="K8" t="s">
        <v>37</v>
      </c>
      <c r="L8" s="5"/>
      <c r="M8" s="80"/>
      <c r="N8" s="84"/>
      <c r="P8" s="80">
        <v>157</v>
      </c>
      <c r="Q8" s="84">
        <v>2616</v>
      </c>
      <c r="R8" s="80">
        <v>5512.08</v>
      </c>
      <c r="S8" s="80">
        <v>157</v>
      </c>
      <c r="T8" s="84">
        <v>2616</v>
      </c>
      <c r="U8" s="80">
        <v>5512.08</v>
      </c>
      <c r="V8"/>
      <c r="W8"/>
      <c r="X8"/>
      <c r="Y8"/>
    </row>
    <row r="9" spans="1:26" x14ac:dyDescent="0.25">
      <c r="A9" s="16" t="str">
        <f t="shared" si="1"/>
        <v/>
      </c>
      <c r="B9" s="76" t="s">
        <v>15</v>
      </c>
      <c r="C9" s="48"/>
      <c r="D9"/>
      <c r="E9" s="2">
        <v>839.904</v>
      </c>
      <c r="F9" s="2">
        <v>736.92000000000007</v>
      </c>
      <c r="G9" s="2">
        <v>1576.8240000000001</v>
      </c>
      <c r="J9" t="s">
        <v>15</v>
      </c>
      <c r="K9"/>
      <c r="L9"/>
      <c r="M9" s="80">
        <v>92</v>
      </c>
      <c r="N9" s="84">
        <v>2208</v>
      </c>
      <c r="O9" s="80">
        <v>7607.52</v>
      </c>
      <c r="P9" s="80">
        <v>251</v>
      </c>
      <c r="Q9" s="84">
        <v>3984</v>
      </c>
      <c r="R9" s="80">
        <v>8925</v>
      </c>
      <c r="S9" s="80">
        <v>343</v>
      </c>
      <c r="T9" s="84">
        <v>6192</v>
      </c>
      <c r="U9" s="80">
        <v>16532.52</v>
      </c>
      <c r="V9"/>
      <c r="W9"/>
      <c r="X9"/>
      <c r="Y9"/>
    </row>
    <row r="10" spans="1:26" x14ac:dyDescent="0.25">
      <c r="A10" s="16" t="str">
        <f t="shared" si="1"/>
        <v/>
      </c>
      <c r="B10" s="19"/>
      <c r="C10"/>
      <c r="D10"/>
      <c r="E10"/>
      <c r="F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6" x14ac:dyDescent="0.25">
      <c r="A11" s="16" t="str">
        <f t="shared" si="1"/>
        <v/>
      </c>
      <c r="B11" s="19"/>
      <c r="C11"/>
      <c r="D11"/>
      <c r="E11"/>
      <c r="F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6" x14ac:dyDescent="0.25">
      <c r="A12" s="16" t="str">
        <f t="shared" si="1"/>
        <v/>
      </c>
      <c r="B12" s="19"/>
      <c r="C12"/>
      <c r="D12"/>
      <c r="E12"/>
      <c r="F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 s="32" t="str">
        <f t="shared" ref="Z12:Z16" si="2">CONCATENATE(C12&amp;X12&amp;IF(D12&lt;&gt;"",D12,""))</f>
        <v/>
      </c>
    </row>
    <row r="13" spans="1:26" x14ac:dyDescent="0.25">
      <c r="A13" s="16" t="str">
        <f t="shared" si="1"/>
        <v/>
      </c>
      <c r="B13" s="19"/>
      <c r="C13"/>
      <c r="D13"/>
      <c r="E13"/>
      <c r="F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78"/>
      <c r="Z13" s="32" t="str">
        <f t="shared" si="2"/>
        <v/>
      </c>
    </row>
    <row r="14" spans="1:26" x14ac:dyDescent="0.25">
      <c r="A14" s="16" t="str">
        <f t="shared" si="1"/>
        <v/>
      </c>
      <c r="B14" s="19"/>
      <c r="C14"/>
      <c r="D14"/>
      <c r="E14"/>
      <c r="F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78"/>
      <c r="Z14" s="32" t="str">
        <f t="shared" si="2"/>
        <v/>
      </c>
    </row>
    <row r="15" spans="1:26" x14ac:dyDescent="0.25">
      <c r="A15" s="16" t="str">
        <f t="shared" si="1"/>
        <v/>
      </c>
      <c r="B15" s="19"/>
      <c r="C15"/>
      <c r="D15"/>
      <c r="E15"/>
      <c r="F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42" t="str">
        <f>IF(ISERROR(VLOOKUP(TRIM(C15&amp;D15&amp;X15),Gmtdata[#All],5,0)),"",VLOOKUP(TRIM(C15&amp;D15&amp;X15),Gmtdata[#All],5,0))</f>
        <v/>
      </c>
      <c r="Z15" s="32" t="str">
        <f t="shared" si="2"/>
        <v/>
      </c>
    </row>
    <row r="16" spans="1:26" x14ac:dyDescent="0.25">
      <c r="A16" s="16" t="str">
        <f t="shared" si="1"/>
        <v/>
      </c>
      <c r="B16" s="19"/>
      <c r="C16"/>
      <c r="D16"/>
      <c r="E16"/>
      <c r="F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42" t="str">
        <f>IF(ISERROR(VLOOKUP(TRIM(C16&amp;D16&amp;X16),Gmtdata[#All],5,0)),"",VLOOKUP(TRIM(C16&amp;D16&amp;X16),Gmtdata[#All],5,0))</f>
        <v/>
      </c>
      <c r="Z16" s="32" t="str">
        <f t="shared" si="2"/>
        <v/>
      </c>
    </row>
    <row r="17" spans="1:24" x14ac:dyDescent="0.25">
      <c r="A17" s="16" t="str">
        <f t="shared" si="1"/>
        <v/>
      </c>
      <c r="B17" s="19"/>
      <c r="C17"/>
      <c r="D17"/>
      <c r="E17"/>
      <c r="F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 s="16" t="str">
        <f t="shared" si="1"/>
        <v/>
      </c>
      <c r="B18" s="19"/>
      <c r="C18"/>
      <c r="D18"/>
      <c r="E18"/>
      <c r="F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 s="16" t="str">
        <f t="shared" si="1"/>
        <v/>
      </c>
      <c r="B19" s="19"/>
      <c r="C19"/>
      <c r="D19"/>
      <c r="E19"/>
      <c r="F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B20" s="19"/>
      <c r="C20"/>
      <c r="D20"/>
      <c r="E20"/>
      <c r="F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B21" s="19"/>
      <c r="C21"/>
      <c r="D21"/>
      <c r="E21"/>
      <c r="F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B22" s="19"/>
      <c r="C22"/>
      <c r="D22"/>
      <c r="E22"/>
      <c r="F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B23" s="19"/>
      <c r="C23"/>
      <c r="D23"/>
      <c r="E23"/>
      <c r="F23"/>
      <c r="K23"/>
      <c r="L23"/>
      <c r="M23"/>
      <c r="N23"/>
      <c r="O23"/>
      <c r="P23"/>
      <c r="Q23"/>
      <c r="R23"/>
      <c r="S23"/>
      <c r="T23"/>
      <c r="U23"/>
      <c r="V23" s="38"/>
      <c r="W23" s="38"/>
      <c r="X23"/>
    </row>
    <row r="24" spans="1:24" x14ac:dyDescent="0.25">
      <c r="B24" s="19"/>
      <c r="C24"/>
      <c r="D24"/>
      <c r="E24"/>
      <c r="F24"/>
      <c r="K24"/>
      <c r="L24"/>
      <c r="M24"/>
      <c r="N24"/>
      <c r="O24"/>
      <c r="P24"/>
      <c r="Q24"/>
      <c r="R24"/>
      <c r="S24"/>
      <c r="T24"/>
      <c r="U24"/>
      <c r="V24" s="38"/>
      <c r="W24" s="38"/>
      <c r="X24"/>
    </row>
    <row r="25" spans="1:24" x14ac:dyDescent="0.25">
      <c r="B25" s="19"/>
      <c r="C25"/>
      <c r="D25"/>
      <c r="E25"/>
      <c r="F25"/>
      <c r="K25"/>
      <c r="L25"/>
      <c r="M25"/>
      <c r="N25"/>
      <c r="O25"/>
      <c r="P25"/>
      <c r="Q25"/>
      <c r="R25"/>
      <c r="S25"/>
      <c r="T25"/>
      <c r="U25"/>
      <c r="X25"/>
    </row>
    <row r="26" spans="1:24" x14ac:dyDescent="0.25">
      <c r="B26" s="19"/>
      <c r="C26"/>
      <c r="D26"/>
      <c r="E26"/>
      <c r="F26"/>
      <c r="K26"/>
      <c r="L26"/>
      <c r="M26"/>
      <c r="N26"/>
      <c r="O26"/>
      <c r="P26"/>
      <c r="Q26"/>
      <c r="R26"/>
      <c r="S26"/>
      <c r="T26"/>
      <c r="U26"/>
      <c r="X26"/>
    </row>
    <row r="27" spans="1:24" x14ac:dyDescent="0.25">
      <c r="B27" s="19"/>
      <c r="C27"/>
      <c r="D27"/>
      <c r="E27"/>
      <c r="F27"/>
      <c r="K27"/>
      <c r="L27"/>
      <c r="M27"/>
      <c r="N27"/>
      <c r="O27"/>
      <c r="P27"/>
      <c r="Q27"/>
      <c r="R27"/>
      <c r="S27"/>
      <c r="T27"/>
      <c r="U27"/>
      <c r="X27"/>
    </row>
    <row r="28" spans="1:24" x14ac:dyDescent="0.25">
      <c r="B28" s="19"/>
      <c r="C28"/>
      <c r="D28"/>
      <c r="E28"/>
      <c r="F28"/>
      <c r="K28"/>
      <c r="L28"/>
      <c r="M28"/>
      <c r="N28"/>
      <c r="O28"/>
      <c r="P28"/>
      <c r="Q28"/>
      <c r="R28"/>
      <c r="S28"/>
      <c r="T28"/>
      <c r="U28"/>
      <c r="X28"/>
    </row>
    <row r="29" spans="1:24" x14ac:dyDescent="0.25">
      <c r="B29" s="19"/>
      <c r="C29"/>
      <c r="D29"/>
      <c r="E29"/>
      <c r="F29"/>
      <c r="K29"/>
      <c r="L29"/>
      <c r="M29"/>
      <c r="N29"/>
      <c r="O29"/>
      <c r="P29"/>
      <c r="Q29"/>
      <c r="R29"/>
      <c r="S29"/>
      <c r="T29"/>
      <c r="U29"/>
      <c r="X29"/>
    </row>
    <row r="30" spans="1:24" x14ac:dyDescent="0.25">
      <c r="B30" s="19"/>
      <c r="C30"/>
      <c r="D30"/>
      <c r="E30"/>
      <c r="F30"/>
      <c r="K30"/>
      <c r="L30"/>
      <c r="M30"/>
      <c r="N30"/>
      <c r="O30"/>
      <c r="P30"/>
      <c r="Q30"/>
      <c r="R30"/>
      <c r="S30"/>
      <c r="T30"/>
      <c r="U30"/>
      <c r="V30" s="38"/>
      <c r="W30" s="38"/>
      <c r="X30"/>
    </row>
    <row r="31" spans="1:24" x14ac:dyDescent="0.25">
      <c r="B31" s="19"/>
      <c r="C31"/>
      <c r="D31"/>
      <c r="E31"/>
      <c r="F31"/>
      <c r="K31"/>
      <c r="L31"/>
      <c r="M31"/>
      <c r="N31"/>
      <c r="O31"/>
      <c r="P31"/>
      <c r="Q31"/>
      <c r="R31"/>
      <c r="S31"/>
      <c r="T31"/>
      <c r="U31"/>
      <c r="V31" s="38"/>
      <c r="W31" s="38"/>
      <c r="X31"/>
    </row>
    <row r="32" spans="1:24" x14ac:dyDescent="0.25">
      <c r="B32" s="19"/>
      <c r="C32"/>
      <c r="D32"/>
      <c r="E32"/>
      <c r="F32"/>
      <c r="K32"/>
      <c r="L32"/>
      <c r="M32"/>
      <c r="N32"/>
      <c r="O32"/>
      <c r="P32"/>
      <c r="Q32"/>
      <c r="R32"/>
      <c r="S32"/>
      <c r="T32"/>
      <c r="U32"/>
    </row>
    <row r="33" spans="2:23" x14ac:dyDescent="0.25">
      <c r="B33" s="19"/>
      <c r="C33"/>
      <c r="D33"/>
      <c r="E33"/>
      <c r="F33"/>
      <c r="K33"/>
      <c r="L33"/>
      <c r="M33"/>
      <c r="N33"/>
      <c r="O33"/>
      <c r="P33"/>
      <c r="Q33"/>
      <c r="R33"/>
      <c r="S33"/>
      <c r="T33"/>
      <c r="U33"/>
      <c r="V33" s="38"/>
      <c r="W33" s="38"/>
    </row>
    <row r="34" spans="2:23" x14ac:dyDescent="0.25">
      <c r="B34" s="19"/>
      <c r="C34"/>
      <c r="D34"/>
      <c r="E34"/>
      <c r="F34"/>
      <c r="K34"/>
      <c r="L34"/>
      <c r="M34"/>
      <c r="N34"/>
      <c r="O34"/>
      <c r="P34"/>
      <c r="Q34"/>
      <c r="R34"/>
      <c r="S34"/>
      <c r="T34"/>
      <c r="U34"/>
      <c r="V34" s="38"/>
      <c r="W34" s="38"/>
    </row>
    <row r="35" spans="2:23" x14ac:dyDescent="0.25">
      <c r="B35" s="19"/>
      <c r="C35"/>
      <c r="D35"/>
      <c r="E35"/>
      <c r="F35"/>
      <c r="K35"/>
      <c r="L35"/>
      <c r="M35"/>
      <c r="N35"/>
      <c r="O35"/>
      <c r="P35"/>
      <c r="Q35"/>
      <c r="R35"/>
      <c r="S35"/>
      <c r="T35"/>
      <c r="U35"/>
      <c r="V35" s="38"/>
      <c r="W35" s="38"/>
    </row>
    <row r="36" spans="2:23" x14ac:dyDescent="0.25">
      <c r="B36" s="19"/>
      <c r="C36"/>
      <c r="D36"/>
      <c r="E36"/>
      <c r="F36"/>
      <c r="K36"/>
      <c r="L36"/>
      <c r="M36"/>
      <c r="N36"/>
      <c r="O36"/>
      <c r="P36"/>
      <c r="Q36"/>
      <c r="R36"/>
      <c r="S36"/>
      <c r="T36"/>
      <c r="U36"/>
    </row>
    <row r="37" spans="2:23" x14ac:dyDescent="0.25">
      <c r="B37" s="19"/>
      <c r="C37"/>
      <c r="D37"/>
      <c r="E37"/>
      <c r="F37"/>
      <c r="K37"/>
      <c r="L37"/>
      <c r="M37"/>
      <c r="N37"/>
      <c r="O37"/>
      <c r="P37"/>
      <c r="Q37"/>
      <c r="R37"/>
      <c r="S37"/>
      <c r="T37"/>
      <c r="U37"/>
    </row>
    <row r="38" spans="2:23" x14ac:dyDescent="0.25">
      <c r="B38" s="19"/>
      <c r="C38"/>
      <c r="D38"/>
      <c r="E38"/>
      <c r="F38"/>
      <c r="K38"/>
      <c r="L38"/>
      <c r="M38"/>
      <c r="N38"/>
      <c r="O38"/>
      <c r="P38"/>
      <c r="Q38"/>
      <c r="R38"/>
      <c r="S38"/>
      <c r="T38"/>
      <c r="U38"/>
    </row>
    <row r="39" spans="2:23" x14ac:dyDescent="0.25">
      <c r="B39" s="19"/>
      <c r="C39"/>
      <c r="D39"/>
      <c r="E39"/>
      <c r="F39"/>
      <c r="K39"/>
      <c r="L39"/>
      <c r="M39"/>
      <c r="N39"/>
      <c r="O39"/>
      <c r="P39"/>
      <c r="Q39"/>
      <c r="R39"/>
      <c r="S39"/>
      <c r="T39"/>
      <c r="U39"/>
    </row>
    <row r="40" spans="2:23" x14ac:dyDescent="0.25">
      <c r="B40" s="19"/>
      <c r="C40"/>
      <c r="D40"/>
      <c r="E40"/>
      <c r="F40"/>
      <c r="K40"/>
      <c r="L40"/>
      <c r="M40"/>
      <c r="N40"/>
      <c r="O40"/>
      <c r="P40"/>
      <c r="Q40"/>
      <c r="R40"/>
      <c r="S40"/>
      <c r="T40"/>
      <c r="U40"/>
    </row>
    <row r="41" spans="2:23" x14ac:dyDescent="0.25">
      <c r="B41" s="19"/>
      <c r="C41"/>
      <c r="D41"/>
      <c r="E41"/>
      <c r="F41"/>
      <c r="K41"/>
      <c r="L41"/>
      <c r="M41"/>
      <c r="N41"/>
      <c r="O41"/>
      <c r="P41"/>
      <c r="Q41"/>
      <c r="R41"/>
      <c r="S41"/>
      <c r="T41"/>
      <c r="U41"/>
    </row>
    <row r="42" spans="2:23" x14ac:dyDescent="0.25">
      <c r="B42" s="19"/>
      <c r="C42"/>
      <c r="D42"/>
      <c r="E42"/>
      <c r="F42"/>
      <c r="K42"/>
      <c r="L42"/>
      <c r="M42"/>
      <c r="N42"/>
      <c r="O42"/>
      <c r="P42"/>
      <c r="Q42"/>
      <c r="R42"/>
      <c r="S42"/>
      <c r="T42"/>
      <c r="U42"/>
    </row>
    <row r="43" spans="2:23" x14ac:dyDescent="0.25">
      <c r="B43" s="19"/>
      <c r="C43"/>
      <c r="D43"/>
      <c r="E43"/>
      <c r="F43"/>
      <c r="K43"/>
      <c r="L43"/>
      <c r="M43"/>
      <c r="N43"/>
      <c r="O43"/>
      <c r="P43"/>
      <c r="Q43"/>
      <c r="R43"/>
      <c r="S43"/>
      <c r="T43"/>
      <c r="U43"/>
    </row>
    <row r="44" spans="2:23" x14ac:dyDescent="0.25">
      <c r="B44" s="19"/>
      <c r="C44"/>
      <c r="D44"/>
      <c r="E44"/>
      <c r="F44"/>
      <c r="K44"/>
      <c r="L44"/>
      <c r="M44"/>
      <c r="N44"/>
      <c r="O44"/>
      <c r="P44"/>
      <c r="Q44"/>
      <c r="R44"/>
      <c r="S44"/>
      <c r="T44"/>
      <c r="U44"/>
    </row>
    <row r="45" spans="2:23" x14ac:dyDescent="0.25">
      <c r="B45" s="19"/>
      <c r="C45"/>
      <c r="D45"/>
      <c r="E45"/>
      <c r="F45"/>
      <c r="K45"/>
      <c r="L45"/>
      <c r="M45"/>
      <c r="N45"/>
      <c r="O45"/>
      <c r="P45"/>
      <c r="Q45"/>
      <c r="R45"/>
      <c r="S45"/>
      <c r="T45"/>
      <c r="U45"/>
    </row>
    <row r="46" spans="2:23" x14ac:dyDescent="0.25">
      <c r="B46" s="19"/>
      <c r="C46"/>
      <c r="D46"/>
      <c r="E46"/>
      <c r="F46"/>
      <c r="K46"/>
      <c r="L46"/>
      <c r="M46"/>
      <c r="N46"/>
      <c r="O46"/>
      <c r="P46"/>
      <c r="Q46"/>
      <c r="R46"/>
      <c r="S46"/>
      <c r="T46"/>
      <c r="U46"/>
    </row>
    <row r="47" spans="2:23" x14ac:dyDescent="0.25">
      <c r="B47" s="19"/>
      <c r="C47"/>
      <c r="D47"/>
      <c r="E47"/>
      <c r="F47"/>
      <c r="K47"/>
      <c r="L47"/>
      <c r="M47"/>
      <c r="N47"/>
      <c r="O47"/>
      <c r="P47"/>
      <c r="Q47"/>
      <c r="R47"/>
      <c r="S47"/>
      <c r="T47"/>
      <c r="U47"/>
    </row>
    <row r="48" spans="2:23" x14ac:dyDescent="0.25">
      <c r="B48" s="19"/>
      <c r="C48"/>
      <c r="D48"/>
      <c r="E48"/>
      <c r="F48"/>
      <c r="K48"/>
      <c r="L48"/>
      <c r="M48"/>
      <c r="N48"/>
      <c r="O48"/>
      <c r="P48"/>
      <c r="Q48"/>
      <c r="R48"/>
      <c r="S48"/>
      <c r="T48"/>
      <c r="U48"/>
    </row>
    <row r="49" spans="2:21" x14ac:dyDescent="0.25">
      <c r="B49" s="19"/>
      <c r="C49"/>
      <c r="D49"/>
      <c r="E49"/>
      <c r="F49"/>
      <c r="K49"/>
      <c r="L49"/>
      <c r="M49"/>
      <c r="N49"/>
      <c r="O49"/>
      <c r="P49"/>
      <c r="Q49"/>
      <c r="R49"/>
      <c r="S49"/>
      <c r="T49"/>
      <c r="U49"/>
    </row>
    <row r="50" spans="2:21" x14ac:dyDescent="0.25">
      <c r="B50" s="19"/>
    </row>
  </sheetData>
  <conditionalFormatting sqref="Y15:Y5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rintOptions horizontalCentered="1"/>
  <pageMargins left="0.25" right="0.25" top="0.5" bottom="0.5" header="0.3" footer="0.3"/>
  <pageSetup paperSize="9" scale="38" fitToHeight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autoFill="0" autoPict="0" macro="[0]!ItemColorsDuplicates">
                <anchor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1</xdr:col>
                    <xdr:colOff>1343025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T173"/>
  <sheetViews>
    <sheetView zoomScale="90" zoomScaleNormal="90" workbookViewId="0">
      <selection activeCell="E18" sqref="E18"/>
    </sheetView>
  </sheetViews>
  <sheetFormatPr defaultRowHeight="15" x14ac:dyDescent="0.25"/>
  <cols>
    <col min="2" max="2" width="11.85546875" customWidth="1"/>
    <col min="3" max="3" width="13.42578125" style="55" customWidth="1"/>
    <col min="4" max="4" width="25.85546875" style="3" bestFit="1" customWidth="1"/>
    <col min="5" max="5" width="16.140625" style="3" bestFit="1" customWidth="1"/>
    <col min="6" max="6" width="12.7109375" style="3" customWidth="1"/>
    <col min="7" max="8" width="12.7109375" customWidth="1"/>
    <col min="9" max="9" width="2.7109375" customWidth="1"/>
    <col min="10" max="10" width="13.42578125" hidden="1" customWidth="1"/>
    <col min="11" max="11" width="12.7109375" style="55" hidden="1" customWidth="1"/>
    <col min="12" max="12" width="19.140625" style="10" hidden="1" customWidth="1"/>
    <col min="13" max="14" width="8.28515625" style="10" customWidth="1"/>
    <col min="15" max="19" width="8.28515625" style="8" customWidth="1"/>
    <col min="20" max="26" width="42" customWidth="1"/>
    <col min="27" max="54" width="4" customWidth="1"/>
    <col min="55" max="56" width="5" customWidth="1"/>
    <col min="57" max="57" width="7.28515625" customWidth="1"/>
    <col min="58" max="58" width="11.28515625" bestFit="1" customWidth="1"/>
  </cols>
  <sheetData>
    <row r="1" spans="1:20" ht="24.95" customHeight="1" thickBot="1" x14ac:dyDescent="0.3">
      <c r="C1" s="54"/>
      <c r="D1" s="26">
        <f>Data!B1</f>
        <v>401</v>
      </c>
      <c r="E1" s="27" t="s">
        <v>28</v>
      </c>
      <c r="F1" s="28">
        <f>COUNTA(Report2!C:C)-1</f>
        <v>6</v>
      </c>
    </row>
    <row r="2" spans="1:20" ht="31.5" thickTop="1" thickBot="1" x14ac:dyDescent="0.3">
      <c r="A2" s="18" t="s">
        <v>23</v>
      </c>
      <c r="B2" s="18" t="s">
        <v>24</v>
      </c>
      <c r="C2" s="53" t="s">
        <v>72</v>
      </c>
      <c r="D2" s="18" t="str">
        <f t="shared" ref="D2" si="0">PROPER(IF(D5&lt;&gt;"",D5,""))</f>
        <v>Key</v>
      </c>
      <c r="E2" s="18" t="str">
        <f>PROPER(IF(E5&lt;&gt;"",E5,""))</f>
        <v>Bleached</v>
      </c>
      <c r="F2" s="18" t="str">
        <f t="shared" ref="F2:H2" si="1">PROPER(IF(F5&lt;&gt;"",F5,""))</f>
        <v>Dyed</v>
      </c>
      <c r="G2" s="18" t="str">
        <f t="shared" si="1"/>
        <v>Grand Total</v>
      </c>
      <c r="H2" s="18" t="str">
        <f t="shared" si="1"/>
        <v/>
      </c>
      <c r="I2" s="43"/>
      <c r="J2" s="18" t="s">
        <v>63</v>
      </c>
      <c r="K2" s="53" t="s">
        <v>72</v>
      </c>
      <c r="L2" s="17" t="str">
        <f t="shared" ref="L2:S2" si="2">PROPER(IF(L4&lt;&gt;"",L4&amp;" "&amp;L5,""))</f>
        <v/>
      </c>
      <c r="M2" s="17" t="str">
        <f t="shared" si="2"/>
        <v>Bleached Ctn</v>
      </c>
      <c r="N2" s="17" t="str">
        <f t="shared" si="2"/>
        <v>Bleached Pcs</v>
      </c>
      <c r="O2" s="17" t="str">
        <f t="shared" si="2"/>
        <v>Dyed Ctn</v>
      </c>
      <c r="P2" s="17" t="str">
        <f t="shared" si="2"/>
        <v>Dyed Pcs</v>
      </c>
      <c r="Q2" s="17" t="str">
        <f t="shared" si="2"/>
        <v xml:space="preserve">Total Ctn </v>
      </c>
      <c r="R2" s="17" t="str">
        <f t="shared" si="2"/>
        <v xml:space="preserve">Total Pcs </v>
      </c>
      <c r="S2" s="17" t="str">
        <f t="shared" si="2"/>
        <v/>
      </c>
      <c r="T2" s="17" t="s">
        <v>68</v>
      </c>
    </row>
    <row r="3" spans="1:20" ht="15.75" hidden="1" thickTop="1" x14ac:dyDescent="0.25">
      <c r="B3" s="48"/>
      <c r="C3" s="56"/>
      <c r="K3"/>
      <c r="L3"/>
      <c r="M3" s="7" t="s">
        <v>16</v>
      </c>
      <c r="N3" s="7" t="s">
        <v>19</v>
      </c>
      <c r="S3"/>
    </row>
    <row r="4" spans="1:20" hidden="1" x14ac:dyDescent="0.25">
      <c r="A4" t="s">
        <v>23</v>
      </c>
      <c r="B4" s="1" t="s">
        <v>74</v>
      </c>
      <c r="C4" s="37"/>
      <c r="D4"/>
      <c r="E4" s="1" t="s">
        <v>16</v>
      </c>
      <c r="F4"/>
      <c r="K4"/>
      <c r="L4"/>
      <c r="M4" s="5" t="s">
        <v>83</v>
      </c>
      <c r="N4" s="5" t="s">
        <v>83</v>
      </c>
      <c r="O4" s="5" t="s">
        <v>8</v>
      </c>
      <c r="P4" s="5" t="s">
        <v>8</v>
      </c>
      <c r="Q4" s="5" t="s">
        <v>20</v>
      </c>
      <c r="R4" s="5" t="s">
        <v>22</v>
      </c>
      <c r="S4"/>
    </row>
    <row r="5" spans="1:20" hidden="1" x14ac:dyDescent="0.25">
      <c r="B5" s="1" t="s">
        <v>2</v>
      </c>
      <c r="C5" s="1" t="s">
        <v>29</v>
      </c>
      <c r="D5" s="1" t="s">
        <v>52</v>
      </c>
      <c r="E5" t="s">
        <v>83</v>
      </c>
      <c r="F5" t="s">
        <v>8</v>
      </c>
      <c r="G5" t="s">
        <v>15</v>
      </c>
      <c r="J5" s="1" t="s">
        <v>2</v>
      </c>
      <c r="K5" s="1" t="s">
        <v>70</v>
      </c>
      <c r="L5" s="1" t="s">
        <v>52</v>
      </c>
      <c r="M5" t="s">
        <v>21</v>
      </c>
      <c r="N5" s="32" t="s">
        <v>14</v>
      </c>
      <c r="O5" t="s">
        <v>21</v>
      </c>
      <c r="P5" s="32" t="s">
        <v>14</v>
      </c>
      <c r="Q5" s="5"/>
      <c r="R5" s="5"/>
      <c r="S5"/>
    </row>
    <row r="6" spans="1:20" ht="15.75" thickTop="1" x14ac:dyDescent="0.25">
      <c r="A6" s="16">
        <v>1</v>
      </c>
      <c r="B6" s="48" t="s">
        <v>97</v>
      </c>
      <c r="C6">
        <v>6103.49</v>
      </c>
      <c r="D6" t="s">
        <v>118</v>
      </c>
      <c r="E6" s="2"/>
      <c r="F6" s="2">
        <v>296.04000000000002</v>
      </c>
      <c r="G6" s="2">
        <v>296.04000000000002</v>
      </c>
      <c r="J6" t="s">
        <v>97</v>
      </c>
      <c r="K6" s="78">
        <v>6103.49</v>
      </c>
      <c r="L6" t="s">
        <v>118</v>
      </c>
      <c r="M6" s="9"/>
      <c r="N6" s="11"/>
      <c r="O6" s="9">
        <v>94</v>
      </c>
      <c r="P6" s="11">
        <v>1368</v>
      </c>
      <c r="Q6" s="9">
        <v>94</v>
      </c>
      <c r="R6" s="11">
        <v>1368</v>
      </c>
      <c r="S6"/>
    </row>
    <row r="7" spans="1:20" x14ac:dyDescent="0.25">
      <c r="A7" s="16">
        <f t="shared" ref="A7:A19" si="3">IF(AND(B7&lt;&gt;"",B7&lt;&gt;"Grand Total"),IF(EXACT(B6,B7),A6,A6+1),"")</f>
        <v>1</v>
      </c>
      <c r="B7" s="48" t="s">
        <v>97</v>
      </c>
      <c r="C7">
        <v>6109.9089999999997</v>
      </c>
      <c r="D7" t="s">
        <v>120</v>
      </c>
      <c r="E7" s="2"/>
      <c r="F7" s="2">
        <v>440.88</v>
      </c>
      <c r="G7" s="2">
        <v>440.88</v>
      </c>
      <c r="J7" t="s">
        <v>97</v>
      </c>
      <c r="K7" s="78">
        <v>6109.9089999999997</v>
      </c>
      <c r="L7" t="s">
        <v>120</v>
      </c>
      <c r="M7" s="9"/>
      <c r="N7" s="11"/>
      <c r="O7" s="9">
        <v>157</v>
      </c>
      <c r="P7" s="11">
        <v>2616</v>
      </c>
      <c r="Q7" s="9">
        <v>157</v>
      </c>
      <c r="R7" s="11">
        <v>2616</v>
      </c>
      <c r="S7"/>
    </row>
    <row r="8" spans="1:20" x14ac:dyDescent="0.25">
      <c r="A8" s="16">
        <f t="shared" si="3"/>
        <v>2</v>
      </c>
      <c r="B8" s="48" t="s">
        <v>85</v>
      </c>
      <c r="C8">
        <v>6101.9</v>
      </c>
      <c r="D8" t="s">
        <v>119</v>
      </c>
      <c r="E8" s="2">
        <v>839.904</v>
      </c>
      <c r="F8" s="2"/>
      <c r="G8" s="2">
        <v>839.904</v>
      </c>
      <c r="J8" t="s">
        <v>85</v>
      </c>
      <c r="K8" s="78" t="s">
        <v>82</v>
      </c>
      <c r="L8" t="s">
        <v>119</v>
      </c>
      <c r="M8" s="9">
        <v>92</v>
      </c>
      <c r="N8" s="11">
        <v>2208</v>
      </c>
      <c r="O8" s="9"/>
      <c r="P8" s="11"/>
      <c r="Q8" s="9">
        <v>92</v>
      </c>
      <c r="R8" s="11">
        <v>2208</v>
      </c>
      <c r="S8"/>
    </row>
    <row r="9" spans="1:20" x14ac:dyDescent="0.25">
      <c r="A9" s="16" t="str">
        <f t="shared" si="3"/>
        <v/>
      </c>
      <c r="B9" s="48" t="s">
        <v>15</v>
      </c>
      <c r="C9" s="37"/>
      <c r="D9"/>
      <c r="E9" s="2">
        <v>839.904</v>
      </c>
      <c r="F9" s="2">
        <v>736.92000000000007</v>
      </c>
      <c r="G9" s="2">
        <v>1576.8240000000001</v>
      </c>
      <c r="J9" t="s">
        <v>15</v>
      </c>
      <c r="K9"/>
      <c r="L9"/>
      <c r="M9" s="9">
        <v>92</v>
      </c>
      <c r="N9" s="11">
        <v>2208</v>
      </c>
      <c r="O9" s="9">
        <v>251</v>
      </c>
      <c r="P9" s="11">
        <v>3984</v>
      </c>
      <c r="Q9" s="9">
        <v>343</v>
      </c>
      <c r="R9" s="11">
        <v>6192</v>
      </c>
      <c r="S9"/>
    </row>
    <row r="10" spans="1:20" x14ac:dyDescent="0.25">
      <c r="A10" s="16" t="str">
        <f t="shared" si="3"/>
        <v/>
      </c>
      <c r="C10"/>
      <c r="D10"/>
      <c r="E10"/>
      <c r="F10"/>
      <c r="K10"/>
      <c r="L10"/>
      <c r="M10"/>
      <c r="N10"/>
      <c r="O10"/>
      <c r="P10"/>
      <c r="Q10"/>
      <c r="R10"/>
      <c r="S10"/>
    </row>
    <row r="11" spans="1:20" x14ac:dyDescent="0.25">
      <c r="A11" s="16" t="str">
        <f t="shared" si="3"/>
        <v/>
      </c>
      <c r="C11"/>
      <c r="D11"/>
      <c r="E11"/>
      <c r="F11"/>
      <c r="K11"/>
      <c r="L11"/>
      <c r="M11"/>
      <c r="N11"/>
      <c r="O11"/>
      <c r="P11"/>
      <c r="Q11"/>
      <c r="R11"/>
      <c r="S11"/>
    </row>
    <row r="12" spans="1:20" x14ac:dyDescent="0.25">
      <c r="A12" s="16" t="str">
        <f t="shared" si="3"/>
        <v/>
      </c>
      <c r="C12"/>
      <c r="D12"/>
      <c r="E12"/>
      <c r="F12"/>
      <c r="K12"/>
      <c r="L12"/>
      <c r="M12"/>
      <c r="N12"/>
      <c r="O12"/>
      <c r="P12"/>
      <c r="Q12"/>
      <c r="R12"/>
      <c r="S12"/>
    </row>
    <row r="13" spans="1:20" x14ac:dyDescent="0.25">
      <c r="A13" s="16" t="str">
        <f t="shared" si="3"/>
        <v/>
      </c>
      <c r="C13"/>
      <c r="D13"/>
      <c r="E13"/>
      <c r="F13"/>
      <c r="K13"/>
      <c r="L13"/>
      <c r="M13"/>
      <c r="N13"/>
      <c r="O13"/>
      <c r="P13"/>
      <c r="Q13"/>
      <c r="R13"/>
      <c r="S13"/>
    </row>
    <row r="14" spans="1:20" x14ac:dyDescent="0.25">
      <c r="A14" s="16" t="str">
        <f t="shared" si="3"/>
        <v/>
      </c>
      <c r="C14"/>
      <c r="D14"/>
      <c r="E14"/>
      <c r="F14"/>
      <c r="K14"/>
      <c r="L14"/>
      <c r="M14"/>
      <c r="N14"/>
      <c r="O14"/>
      <c r="P14"/>
      <c r="Q14"/>
      <c r="R14"/>
      <c r="S14"/>
    </row>
    <row r="15" spans="1:20" x14ac:dyDescent="0.25">
      <c r="A15" s="16" t="str">
        <f t="shared" si="3"/>
        <v/>
      </c>
      <c r="C15" s="37"/>
      <c r="D15"/>
      <c r="E15"/>
      <c r="F15"/>
      <c r="K15"/>
      <c r="L15"/>
      <c r="M15"/>
      <c r="N15"/>
      <c r="O15"/>
      <c r="P15"/>
      <c r="Q15"/>
      <c r="R15"/>
      <c r="S15"/>
    </row>
    <row r="16" spans="1:20" x14ac:dyDescent="0.25">
      <c r="A16" s="16" t="str">
        <f t="shared" si="3"/>
        <v/>
      </c>
      <c r="C16" s="37"/>
      <c r="D16"/>
      <c r="E16"/>
      <c r="F16"/>
      <c r="K16"/>
      <c r="L16"/>
      <c r="M16"/>
      <c r="N16"/>
      <c r="O16"/>
      <c r="P16"/>
      <c r="Q16"/>
      <c r="R16"/>
      <c r="S16"/>
    </row>
    <row r="17" spans="1:19" x14ac:dyDescent="0.25">
      <c r="A17" s="16" t="str">
        <f t="shared" si="3"/>
        <v/>
      </c>
      <c r="C17" s="37"/>
      <c r="D17"/>
      <c r="E17"/>
      <c r="F17"/>
      <c r="K17"/>
      <c r="L17"/>
      <c r="M17"/>
      <c r="N17"/>
      <c r="O17"/>
      <c r="P17"/>
      <c r="Q17"/>
      <c r="R17"/>
      <c r="S17"/>
    </row>
    <row r="18" spans="1:19" x14ac:dyDescent="0.25">
      <c r="A18" s="16" t="str">
        <f t="shared" si="3"/>
        <v/>
      </c>
      <c r="C18" s="37"/>
      <c r="D18"/>
      <c r="E18"/>
      <c r="F18"/>
      <c r="K18"/>
      <c r="L18"/>
      <c r="M18"/>
      <c r="N18"/>
      <c r="O18"/>
      <c r="P18"/>
      <c r="Q18"/>
      <c r="R18"/>
      <c r="S18"/>
    </row>
    <row r="19" spans="1:19" x14ac:dyDescent="0.25">
      <c r="A19" s="16" t="str">
        <f t="shared" si="3"/>
        <v/>
      </c>
      <c r="C19" s="37"/>
      <c r="D19"/>
      <c r="E19"/>
      <c r="F19"/>
      <c r="K19"/>
      <c r="L19"/>
      <c r="M19"/>
      <c r="N19"/>
      <c r="O19"/>
      <c r="P19"/>
      <c r="Q19"/>
      <c r="R19"/>
      <c r="S19"/>
    </row>
    <row r="20" spans="1:19" x14ac:dyDescent="0.25">
      <c r="C20" s="37"/>
      <c r="D20"/>
      <c r="E20"/>
      <c r="F20"/>
      <c r="K20"/>
      <c r="L20"/>
      <c r="M20"/>
      <c r="N20"/>
      <c r="O20"/>
      <c r="P20"/>
      <c r="Q20"/>
      <c r="R20"/>
      <c r="S20"/>
    </row>
    <row r="21" spans="1:19" x14ac:dyDescent="0.25">
      <c r="C21" s="37"/>
      <c r="D21"/>
      <c r="E21"/>
      <c r="F21"/>
      <c r="K21"/>
      <c r="L21"/>
      <c r="M21"/>
      <c r="N21"/>
      <c r="O21"/>
      <c r="P21"/>
      <c r="Q21"/>
      <c r="R21"/>
      <c r="S21"/>
    </row>
    <row r="22" spans="1:19" x14ac:dyDescent="0.25">
      <c r="C22" s="37"/>
      <c r="D22"/>
      <c r="E22"/>
      <c r="F22"/>
      <c r="K22"/>
      <c r="L22"/>
      <c r="M22"/>
      <c r="N22"/>
      <c r="O22"/>
      <c r="P22"/>
      <c r="Q22"/>
      <c r="R22"/>
      <c r="S22"/>
    </row>
    <row r="23" spans="1:19" x14ac:dyDescent="0.25">
      <c r="C23" s="37"/>
      <c r="D23"/>
      <c r="E23"/>
      <c r="F23"/>
      <c r="K23"/>
      <c r="L23"/>
      <c r="M23"/>
      <c r="N23"/>
      <c r="O23"/>
      <c r="P23"/>
      <c r="Q23"/>
      <c r="R23"/>
      <c r="S23"/>
    </row>
    <row r="24" spans="1:19" x14ac:dyDescent="0.25">
      <c r="C24" s="37"/>
      <c r="D24"/>
      <c r="E24"/>
      <c r="F24"/>
      <c r="K24"/>
      <c r="L24"/>
      <c r="M24"/>
      <c r="N24"/>
      <c r="O24"/>
      <c r="P24"/>
      <c r="Q24"/>
      <c r="R24"/>
      <c r="S24"/>
    </row>
    <row r="25" spans="1:19" x14ac:dyDescent="0.25">
      <c r="C25" s="37"/>
      <c r="D25"/>
      <c r="E25"/>
      <c r="F25"/>
      <c r="H25" s="3"/>
      <c r="K25"/>
      <c r="L25"/>
      <c r="M25"/>
      <c r="N25"/>
      <c r="O25"/>
      <c r="P25"/>
      <c r="Q25"/>
      <c r="R25"/>
    </row>
    <row r="26" spans="1:19" x14ac:dyDescent="0.25">
      <c r="C26" s="37"/>
      <c r="D26"/>
      <c r="E26"/>
      <c r="F26"/>
      <c r="H26" s="3"/>
      <c r="K26"/>
      <c r="L26"/>
      <c r="M26"/>
      <c r="N26"/>
      <c r="O26"/>
      <c r="P26"/>
      <c r="Q26"/>
      <c r="R26"/>
    </row>
    <row r="27" spans="1:19" x14ac:dyDescent="0.25">
      <c r="C27" s="37"/>
      <c r="D27"/>
      <c r="E27"/>
      <c r="F27"/>
      <c r="H27" s="3"/>
      <c r="K27"/>
      <c r="L27"/>
      <c r="M27"/>
      <c r="N27"/>
      <c r="O27"/>
      <c r="P27"/>
      <c r="Q27"/>
      <c r="R27"/>
    </row>
    <row r="28" spans="1:19" x14ac:dyDescent="0.25">
      <c r="C28" s="37"/>
      <c r="D28"/>
      <c r="E28"/>
      <c r="F28"/>
      <c r="H28" s="3"/>
      <c r="I28" s="38"/>
      <c r="K28"/>
      <c r="L28"/>
      <c r="M28"/>
      <c r="N28"/>
      <c r="O28"/>
      <c r="P28"/>
      <c r="Q28"/>
      <c r="R28"/>
    </row>
    <row r="29" spans="1:19" x14ac:dyDescent="0.25">
      <c r="C29" s="37"/>
      <c r="D29"/>
      <c r="E29"/>
      <c r="F29"/>
      <c r="H29" s="3"/>
      <c r="I29" s="38"/>
      <c r="K29"/>
      <c r="L29"/>
      <c r="M29"/>
      <c r="N29"/>
      <c r="O29"/>
      <c r="P29"/>
      <c r="Q29"/>
      <c r="R29"/>
    </row>
    <row r="30" spans="1:19" x14ac:dyDescent="0.25">
      <c r="C30" s="37"/>
      <c r="D30"/>
      <c r="E30"/>
      <c r="F30"/>
      <c r="I30" s="38"/>
      <c r="K30"/>
      <c r="L30"/>
      <c r="M30"/>
      <c r="N30"/>
      <c r="O30"/>
      <c r="P30"/>
      <c r="Q30"/>
      <c r="R30"/>
    </row>
    <row r="31" spans="1:19" x14ac:dyDescent="0.25">
      <c r="C31" s="37"/>
      <c r="D31"/>
      <c r="E31"/>
      <c r="F31"/>
      <c r="I31" s="38"/>
      <c r="K31"/>
      <c r="L31"/>
      <c r="M31"/>
      <c r="N31"/>
      <c r="O31"/>
      <c r="P31"/>
      <c r="Q31"/>
      <c r="R31"/>
    </row>
    <row r="32" spans="1:19" x14ac:dyDescent="0.25">
      <c r="C32" s="37"/>
      <c r="D32"/>
      <c r="E32"/>
      <c r="F32"/>
      <c r="I32" s="38"/>
      <c r="K32"/>
      <c r="L32"/>
      <c r="M32"/>
      <c r="N32"/>
      <c r="O32"/>
      <c r="P32"/>
      <c r="Q32"/>
      <c r="R32"/>
    </row>
    <row r="33" spans="3:18" x14ac:dyDescent="0.25">
      <c r="C33" s="37"/>
      <c r="D33"/>
      <c r="E33"/>
      <c r="F33"/>
      <c r="I33" s="38"/>
      <c r="K33"/>
      <c r="L33"/>
      <c r="M33"/>
      <c r="N33"/>
      <c r="O33"/>
      <c r="P33"/>
      <c r="Q33"/>
      <c r="R33"/>
    </row>
    <row r="34" spans="3:18" x14ac:dyDescent="0.25">
      <c r="C34" s="37"/>
      <c r="D34"/>
      <c r="E34"/>
      <c r="F34"/>
      <c r="K34"/>
      <c r="L34"/>
      <c r="M34"/>
      <c r="N34"/>
      <c r="O34"/>
      <c r="P34"/>
      <c r="Q34"/>
      <c r="R34"/>
    </row>
    <row r="35" spans="3:18" x14ac:dyDescent="0.25">
      <c r="C35" s="37"/>
      <c r="D35"/>
      <c r="E35"/>
      <c r="F35"/>
      <c r="K35"/>
      <c r="L35"/>
      <c r="M35"/>
      <c r="N35"/>
      <c r="O35"/>
      <c r="P35"/>
      <c r="Q35"/>
      <c r="R35"/>
    </row>
    <row r="36" spans="3:18" x14ac:dyDescent="0.25">
      <c r="C36" s="37"/>
      <c r="D36"/>
      <c r="E36"/>
      <c r="F36"/>
      <c r="K36"/>
      <c r="L36"/>
      <c r="M36"/>
      <c r="N36"/>
      <c r="O36"/>
      <c r="P36"/>
      <c r="Q36"/>
      <c r="R36"/>
    </row>
    <row r="37" spans="3:18" x14ac:dyDescent="0.25">
      <c r="C37" s="37"/>
      <c r="D37"/>
      <c r="E37"/>
      <c r="F37"/>
      <c r="K37"/>
      <c r="L37"/>
      <c r="M37"/>
      <c r="N37"/>
      <c r="O37"/>
      <c r="P37"/>
      <c r="Q37"/>
      <c r="R37"/>
    </row>
    <row r="38" spans="3:18" x14ac:dyDescent="0.25">
      <c r="C38" s="37"/>
      <c r="D38"/>
      <c r="E38"/>
      <c r="F38"/>
      <c r="K38"/>
      <c r="L38"/>
      <c r="M38"/>
      <c r="N38"/>
      <c r="O38"/>
      <c r="P38"/>
      <c r="Q38"/>
      <c r="R38"/>
    </row>
    <row r="39" spans="3:18" x14ac:dyDescent="0.25">
      <c r="C39" s="37"/>
      <c r="D39"/>
      <c r="E39"/>
      <c r="F39"/>
      <c r="K39"/>
      <c r="L39"/>
      <c r="M39"/>
      <c r="N39"/>
      <c r="O39"/>
      <c r="P39"/>
      <c r="Q39"/>
      <c r="R39"/>
    </row>
    <row r="40" spans="3:18" x14ac:dyDescent="0.25">
      <c r="C40" s="37"/>
      <c r="D40"/>
      <c r="E40"/>
      <c r="F40"/>
      <c r="K40"/>
      <c r="L40"/>
      <c r="M40"/>
      <c r="N40"/>
      <c r="O40"/>
      <c r="P40"/>
      <c r="Q40"/>
      <c r="R40"/>
    </row>
    <row r="41" spans="3:18" x14ac:dyDescent="0.25">
      <c r="C41" s="37"/>
      <c r="D41"/>
      <c r="E41"/>
      <c r="F41"/>
      <c r="K41"/>
      <c r="L41"/>
      <c r="M41"/>
      <c r="N41"/>
      <c r="O41"/>
      <c r="P41"/>
      <c r="Q41"/>
      <c r="R41"/>
    </row>
    <row r="42" spans="3:18" x14ac:dyDescent="0.25">
      <c r="C42" s="37"/>
      <c r="D42"/>
      <c r="E42"/>
      <c r="F42"/>
      <c r="K42"/>
      <c r="L42"/>
      <c r="M42"/>
      <c r="N42"/>
      <c r="O42"/>
      <c r="P42"/>
      <c r="Q42"/>
      <c r="R42"/>
    </row>
    <row r="43" spans="3:18" x14ac:dyDescent="0.25">
      <c r="C43" s="37"/>
      <c r="D43"/>
      <c r="E43"/>
      <c r="F43"/>
      <c r="K43"/>
      <c r="L43"/>
      <c r="M43"/>
      <c r="N43"/>
      <c r="O43"/>
      <c r="P43"/>
      <c r="Q43"/>
      <c r="R43"/>
    </row>
    <row r="44" spans="3:18" x14ac:dyDescent="0.25">
      <c r="C44" s="37"/>
      <c r="D44"/>
      <c r="E44"/>
      <c r="F44"/>
      <c r="K44"/>
      <c r="L44"/>
      <c r="M44"/>
      <c r="N44"/>
      <c r="O44"/>
      <c r="P44"/>
      <c r="Q44"/>
      <c r="R44"/>
    </row>
    <row r="45" spans="3:18" x14ac:dyDescent="0.25">
      <c r="C45" s="37"/>
      <c r="D45"/>
      <c r="E45"/>
      <c r="F45"/>
      <c r="K45"/>
      <c r="L45"/>
      <c r="M45"/>
      <c r="N45"/>
      <c r="O45"/>
      <c r="P45"/>
      <c r="Q45"/>
      <c r="R45"/>
    </row>
    <row r="46" spans="3:18" x14ac:dyDescent="0.25">
      <c r="C46" s="37"/>
      <c r="D46"/>
      <c r="E46"/>
      <c r="F46"/>
      <c r="K46"/>
      <c r="L46"/>
      <c r="M46"/>
      <c r="N46"/>
      <c r="O46"/>
      <c r="P46"/>
      <c r="Q46"/>
      <c r="R46"/>
    </row>
    <row r="47" spans="3:18" x14ac:dyDescent="0.25">
      <c r="C47" s="37"/>
      <c r="D47"/>
      <c r="E47"/>
      <c r="F47"/>
      <c r="K47"/>
      <c r="L47"/>
      <c r="M47"/>
      <c r="N47"/>
      <c r="O47"/>
      <c r="P47"/>
      <c r="Q47"/>
      <c r="R47"/>
    </row>
    <row r="48" spans="3:18" x14ac:dyDescent="0.25">
      <c r="C48" s="37"/>
      <c r="D48"/>
      <c r="E48"/>
      <c r="F48"/>
      <c r="K48"/>
      <c r="L48"/>
      <c r="M48"/>
      <c r="N48"/>
      <c r="O48"/>
      <c r="P48"/>
      <c r="Q48"/>
      <c r="R48"/>
    </row>
    <row r="49" spans="2:18" x14ac:dyDescent="0.25">
      <c r="C49" s="37"/>
      <c r="D49"/>
      <c r="E49"/>
      <c r="F49"/>
      <c r="K49"/>
      <c r="L49"/>
      <c r="M49"/>
      <c r="N49"/>
      <c r="O49"/>
      <c r="P49"/>
      <c r="Q49"/>
      <c r="R49"/>
    </row>
    <row r="50" spans="2:18" x14ac:dyDescent="0.25">
      <c r="B50" s="48"/>
      <c r="C50" s="37"/>
      <c r="D50"/>
      <c r="E50"/>
      <c r="F50"/>
    </row>
    <row r="51" spans="2:18" x14ac:dyDescent="0.25">
      <c r="B51" s="48"/>
      <c r="C51"/>
      <c r="D51"/>
      <c r="E51"/>
      <c r="F51"/>
    </row>
    <row r="52" spans="2:18" x14ac:dyDescent="0.25">
      <c r="B52" s="48"/>
      <c r="C52"/>
      <c r="D52"/>
      <c r="E52"/>
      <c r="F52"/>
    </row>
    <row r="53" spans="2:18" x14ac:dyDescent="0.25">
      <c r="B53" s="48"/>
      <c r="C53"/>
      <c r="D53"/>
      <c r="E53"/>
      <c r="F53"/>
    </row>
    <row r="54" spans="2:18" x14ac:dyDescent="0.25">
      <c r="C54"/>
      <c r="D54"/>
      <c r="E54"/>
      <c r="F54"/>
    </row>
    <row r="55" spans="2:18" x14ac:dyDescent="0.25">
      <c r="C55"/>
      <c r="D55"/>
      <c r="E55"/>
      <c r="F55"/>
    </row>
    <row r="56" spans="2:18" x14ac:dyDescent="0.25">
      <c r="C56"/>
      <c r="D56"/>
      <c r="E56"/>
      <c r="F56"/>
    </row>
    <row r="57" spans="2:18" x14ac:dyDescent="0.25">
      <c r="C57"/>
      <c r="D57"/>
      <c r="E57"/>
      <c r="F57"/>
    </row>
    <row r="58" spans="2:18" x14ac:dyDescent="0.25">
      <c r="C58"/>
      <c r="D58"/>
      <c r="E58"/>
      <c r="F58"/>
    </row>
    <row r="59" spans="2:18" x14ac:dyDescent="0.25">
      <c r="C59"/>
      <c r="D59"/>
      <c r="E59"/>
      <c r="F59"/>
    </row>
    <row r="60" spans="2:18" x14ac:dyDescent="0.25">
      <c r="C60"/>
      <c r="D60"/>
      <c r="E60"/>
      <c r="F60"/>
    </row>
    <row r="61" spans="2:18" x14ac:dyDescent="0.25">
      <c r="C61"/>
      <c r="D61"/>
      <c r="E61"/>
      <c r="F61"/>
    </row>
    <row r="62" spans="2:18" x14ac:dyDescent="0.25">
      <c r="C62"/>
      <c r="D62"/>
      <c r="E62"/>
      <c r="F62"/>
    </row>
    <row r="63" spans="2:18" x14ac:dyDescent="0.25">
      <c r="C63"/>
      <c r="D63"/>
      <c r="E63"/>
      <c r="F63"/>
    </row>
    <row r="64" spans="2:18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</sheetData>
  <conditionalFormatting sqref="C11:C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rintOptions horizontalCentered="1"/>
  <pageMargins left="0.25" right="0.25" top="0.5" bottom="0.5" header="0.3" footer="0.3"/>
  <pageSetup paperSize="9" scale="54" fitToHeight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autoFill="0" autoPict="0" macro="[0]!ItemColorsDuplicatesGtm">
                <anchor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552450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J1000"/>
  <sheetViews>
    <sheetView topLeftCell="A34" workbookViewId="0">
      <selection activeCell="C53" sqref="C53"/>
    </sheetView>
  </sheetViews>
  <sheetFormatPr defaultRowHeight="15" x14ac:dyDescent="0.25"/>
  <cols>
    <col min="1" max="1" width="8.7109375" customWidth="1"/>
    <col min="2" max="2" width="20.7109375" customWidth="1"/>
    <col min="3" max="3" width="15.28515625" style="3" customWidth="1"/>
    <col min="4" max="4" width="32.140625" style="3" bestFit="1" customWidth="1"/>
    <col min="5" max="6" width="10.140625" style="3" customWidth="1"/>
    <col min="7" max="7" width="14.5703125" style="5" customWidth="1"/>
    <col min="8" max="10" width="14.5703125" customWidth="1"/>
  </cols>
  <sheetData>
    <row r="1" spans="1:10" ht="22.5" customHeight="1" thickBot="1" x14ac:dyDescent="0.3">
      <c r="D1" s="34" t="s">
        <v>33</v>
      </c>
      <c r="E1" s="35">
        <f>Ctn</f>
        <v>343</v>
      </c>
      <c r="F1" s="35">
        <f>Pcs</f>
        <v>6192</v>
      </c>
      <c r="G1" s="35">
        <f>Cbm</f>
        <v>6.1400000000000006</v>
      </c>
      <c r="H1" s="35">
        <f>NW</f>
        <v>1576.8239999999998</v>
      </c>
      <c r="I1" s="35">
        <f>GW</f>
        <v>1806.874</v>
      </c>
      <c r="J1" s="36">
        <f>Amt</f>
        <v>16532.52</v>
      </c>
    </row>
    <row r="2" spans="1:10" ht="16.5" thickTop="1" thickBot="1" x14ac:dyDescent="0.3">
      <c r="A2" s="23" t="s">
        <v>23</v>
      </c>
      <c r="B2" s="20" t="s">
        <v>2</v>
      </c>
      <c r="C2" s="21" t="s">
        <v>0</v>
      </c>
      <c r="D2" s="33" t="s">
        <v>32</v>
      </c>
      <c r="E2" s="22" t="s">
        <v>21</v>
      </c>
      <c r="F2" s="22" t="s">
        <v>14</v>
      </c>
      <c r="G2" s="5" t="s">
        <v>78</v>
      </c>
      <c r="H2" s="22" t="s">
        <v>26</v>
      </c>
      <c r="I2" s="22" t="s">
        <v>25</v>
      </c>
      <c r="J2" s="30" t="s">
        <v>27</v>
      </c>
    </row>
    <row r="3" spans="1:10" ht="15.75" thickTop="1" x14ac:dyDescent="0.25">
      <c r="A3" s="24">
        <v>1</v>
      </c>
      <c r="B3" t="s">
        <v>85</v>
      </c>
      <c r="C3" t="s">
        <v>84</v>
      </c>
      <c r="D3" t="s">
        <v>89</v>
      </c>
      <c r="E3" s="6">
        <v>80</v>
      </c>
      <c r="F3" s="6">
        <v>1920</v>
      </c>
      <c r="G3" s="6">
        <v>2.74</v>
      </c>
      <c r="H3" s="6">
        <v>728.88</v>
      </c>
      <c r="I3" s="6">
        <v>808.88</v>
      </c>
      <c r="J3" s="31">
        <v>6587.52</v>
      </c>
    </row>
    <row r="4" spans="1:10" x14ac:dyDescent="0.25">
      <c r="A4" s="25">
        <f>IF(AND(C4&lt;&gt;"",C4&lt;&gt;"Grand Total"),IF(EXACT(C3,C4),A3,A3+1),"")</f>
        <v>2</v>
      </c>
      <c r="B4" t="s">
        <v>85</v>
      </c>
      <c r="C4" t="s">
        <v>111</v>
      </c>
      <c r="D4" t="s">
        <v>89</v>
      </c>
      <c r="E4" s="6">
        <v>12</v>
      </c>
      <c r="F4" s="6">
        <v>288</v>
      </c>
      <c r="G4" s="6">
        <v>0.41</v>
      </c>
      <c r="H4" s="6">
        <v>111.024</v>
      </c>
      <c r="I4" s="6">
        <v>123.024</v>
      </c>
      <c r="J4" s="31">
        <v>1020</v>
      </c>
    </row>
    <row r="5" spans="1:10" x14ac:dyDescent="0.25">
      <c r="A5" s="25">
        <f t="shared" ref="A5:A68" si="0">IF(AND(C5&lt;&gt;"",C5&lt;&gt;"Grand Total"),IF(EXACT(C4,C5),A4,A4+1),"")</f>
        <v>3</v>
      </c>
      <c r="B5" t="s">
        <v>97</v>
      </c>
      <c r="C5" t="s">
        <v>96</v>
      </c>
      <c r="D5" t="s">
        <v>89</v>
      </c>
      <c r="E5" s="6">
        <v>137</v>
      </c>
      <c r="F5" s="6">
        <v>2376</v>
      </c>
      <c r="G5" s="6">
        <v>1.75</v>
      </c>
      <c r="H5" s="6">
        <v>395.28</v>
      </c>
      <c r="I5" s="6">
        <v>470.63</v>
      </c>
      <c r="J5" s="31">
        <v>4967.28</v>
      </c>
    </row>
    <row r="6" spans="1:10" x14ac:dyDescent="0.25">
      <c r="A6" s="25">
        <f t="shared" si="0"/>
        <v>4</v>
      </c>
      <c r="B6" t="s">
        <v>97</v>
      </c>
      <c r="C6" t="s">
        <v>104</v>
      </c>
      <c r="D6" t="s">
        <v>89</v>
      </c>
      <c r="E6" s="6">
        <v>90</v>
      </c>
      <c r="F6" s="6">
        <v>1320</v>
      </c>
      <c r="G6" s="6">
        <v>1.01</v>
      </c>
      <c r="H6" s="6">
        <v>285.67200000000003</v>
      </c>
      <c r="I6" s="6">
        <v>335.17200000000003</v>
      </c>
      <c r="J6" s="31">
        <v>3292.92</v>
      </c>
    </row>
    <row r="7" spans="1:10" x14ac:dyDescent="0.25">
      <c r="A7" s="25">
        <f t="shared" si="0"/>
        <v>5</v>
      </c>
      <c r="B7" t="s">
        <v>97</v>
      </c>
      <c r="C7" t="s">
        <v>110</v>
      </c>
      <c r="D7" t="s">
        <v>89</v>
      </c>
      <c r="E7" s="6">
        <v>20</v>
      </c>
      <c r="F7" s="6">
        <v>240</v>
      </c>
      <c r="G7" s="6">
        <v>0.19</v>
      </c>
      <c r="H7" s="6">
        <v>45.6</v>
      </c>
      <c r="I7" s="6">
        <v>56.6</v>
      </c>
      <c r="J7" s="31">
        <v>544.79999999999995</v>
      </c>
    </row>
    <row r="8" spans="1:10" x14ac:dyDescent="0.25">
      <c r="A8" s="25">
        <f t="shared" si="0"/>
        <v>6</v>
      </c>
      <c r="B8" t="s">
        <v>97</v>
      </c>
      <c r="C8" t="s">
        <v>116</v>
      </c>
      <c r="D8" t="s">
        <v>89</v>
      </c>
      <c r="E8" s="6">
        <v>4</v>
      </c>
      <c r="F8" s="6">
        <v>48</v>
      </c>
      <c r="G8" s="6">
        <v>0.04</v>
      </c>
      <c r="H8" s="6">
        <v>10.368</v>
      </c>
      <c r="I8" s="6">
        <v>12.568</v>
      </c>
      <c r="J8" s="31">
        <v>120</v>
      </c>
    </row>
    <row r="9" spans="1:10" x14ac:dyDescent="0.25">
      <c r="A9" s="25" t="str">
        <f t="shared" si="0"/>
        <v/>
      </c>
      <c r="C9"/>
      <c r="D9"/>
      <c r="E9"/>
      <c r="F9"/>
      <c r="G9"/>
    </row>
    <row r="10" spans="1:10" x14ac:dyDescent="0.25">
      <c r="A10" s="25" t="str">
        <f t="shared" si="0"/>
        <v/>
      </c>
      <c r="C10"/>
      <c r="D10"/>
      <c r="E10"/>
      <c r="F10"/>
      <c r="G10"/>
    </row>
    <row r="11" spans="1:10" x14ac:dyDescent="0.25">
      <c r="A11" s="25" t="str">
        <f t="shared" si="0"/>
        <v/>
      </c>
      <c r="C11"/>
      <c r="D11"/>
      <c r="E11"/>
      <c r="F11"/>
      <c r="G11"/>
    </row>
    <row r="12" spans="1:10" x14ac:dyDescent="0.25">
      <c r="A12" s="25" t="str">
        <f t="shared" si="0"/>
        <v/>
      </c>
      <c r="C12"/>
      <c r="D12"/>
      <c r="E12"/>
      <c r="F12"/>
      <c r="G12"/>
    </row>
    <row r="13" spans="1:10" x14ac:dyDescent="0.25">
      <c r="A13" s="25" t="str">
        <f t="shared" si="0"/>
        <v/>
      </c>
      <c r="C13"/>
      <c r="D13"/>
      <c r="E13"/>
      <c r="F13"/>
      <c r="G13"/>
    </row>
    <row r="14" spans="1:10" x14ac:dyDescent="0.25">
      <c r="A14" s="25" t="str">
        <f t="shared" si="0"/>
        <v/>
      </c>
      <c r="C14"/>
      <c r="D14"/>
      <c r="E14"/>
      <c r="F14"/>
      <c r="G14"/>
    </row>
    <row r="15" spans="1:10" x14ac:dyDescent="0.25">
      <c r="A15" s="25" t="str">
        <f t="shared" si="0"/>
        <v/>
      </c>
      <c r="C15"/>
      <c r="D15"/>
      <c r="E15"/>
      <c r="F15"/>
      <c r="G15"/>
    </row>
    <row r="16" spans="1:10" x14ac:dyDescent="0.25">
      <c r="A16" s="25" t="str">
        <f t="shared" si="0"/>
        <v/>
      </c>
      <c r="C16"/>
      <c r="D16"/>
      <c r="E16"/>
      <c r="F16"/>
      <c r="G16"/>
    </row>
    <row r="17" spans="1:7" x14ac:dyDescent="0.25">
      <c r="A17" s="25" t="str">
        <f t="shared" si="0"/>
        <v/>
      </c>
      <c r="C17"/>
      <c r="D17"/>
      <c r="E17"/>
      <c r="F17"/>
      <c r="G17"/>
    </row>
    <row r="18" spans="1:7" x14ac:dyDescent="0.25">
      <c r="A18" s="25" t="str">
        <f t="shared" si="0"/>
        <v/>
      </c>
      <c r="C18"/>
      <c r="D18"/>
      <c r="E18"/>
      <c r="F18"/>
      <c r="G18"/>
    </row>
    <row r="19" spans="1:7" x14ac:dyDescent="0.25">
      <c r="A19" s="25" t="str">
        <f t="shared" si="0"/>
        <v/>
      </c>
      <c r="C19"/>
      <c r="D19"/>
      <c r="E19"/>
      <c r="F19"/>
      <c r="G19"/>
    </row>
    <row r="20" spans="1:7" x14ac:dyDescent="0.25">
      <c r="A20" s="25" t="str">
        <f t="shared" si="0"/>
        <v/>
      </c>
      <c r="C20"/>
      <c r="D20"/>
      <c r="E20"/>
      <c r="F20"/>
      <c r="G20"/>
    </row>
    <row r="21" spans="1:7" x14ac:dyDescent="0.25">
      <c r="A21" s="25" t="str">
        <f t="shared" si="0"/>
        <v/>
      </c>
      <c r="C21"/>
      <c r="D21"/>
      <c r="E21"/>
      <c r="F21"/>
      <c r="G21"/>
    </row>
    <row r="22" spans="1:7" x14ac:dyDescent="0.25">
      <c r="A22" s="25" t="str">
        <f t="shared" si="0"/>
        <v/>
      </c>
      <c r="C22"/>
      <c r="D22"/>
      <c r="E22"/>
      <c r="F22"/>
      <c r="G22"/>
    </row>
    <row r="23" spans="1:7" x14ac:dyDescent="0.25">
      <c r="A23" s="25" t="str">
        <f t="shared" si="0"/>
        <v/>
      </c>
      <c r="C23"/>
      <c r="D23"/>
      <c r="E23"/>
      <c r="F23"/>
      <c r="G23"/>
    </row>
    <row r="24" spans="1:7" x14ac:dyDescent="0.25">
      <c r="A24" s="25" t="str">
        <f t="shared" si="0"/>
        <v/>
      </c>
      <c r="C24"/>
      <c r="D24"/>
      <c r="E24"/>
      <c r="F24"/>
      <c r="G24"/>
    </row>
    <row r="25" spans="1:7" x14ac:dyDescent="0.25">
      <c r="A25" s="25" t="str">
        <f t="shared" si="0"/>
        <v/>
      </c>
      <c r="C25"/>
      <c r="D25"/>
      <c r="E25"/>
      <c r="F25"/>
      <c r="G25"/>
    </row>
    <row r="26" spans="1:7" x14ac:dyDescent="0.25">
      <c r="A26" s="25" t="str">
        <f t="shared" si="0"/>
        <v/>
      </c>
      <c r="C26"/>
      <c r="D26"/>
      <c r="E26"/>
      <c r="F26"/>
      <c r="G26"/>
    </row>
    <row r="27" spans="1:7" x14ac:dyDescent="0.25">
      <c r="A27" s="25" t="str">
        <f t="shared" si="0"/>
        <v/>
      </c>
      <c r="C27"/>
      <c r="D27"/>
      <c r="E27"/>
      <c r="F27"/>
      <c r="G27"/>
    </row>
    <row r="28" spans="1:7" x14ac:dyDescent="0.25">
      <c r="A28" s="25" t="str">
        <f t="shared" si="0"/>
        <v/>
      </c>
      <c r="C28"/>
      <c r="D28"/>
      <c r="E28"/>
      <c r="F28"/>
      <c r="G28"/>
    </row>
    <row r="29" spans="1:7" x14ac:dyDescent="0.25">
      <c r="A29" s="25" t="str">
        <f t="shared" si="0"/>
        <v/>
      </c>
      <c r="C29"/>
      <c r="D29"/>
      <c r="E29"/>
      <c r="F29"/>
      <c r="G29"/>
    </row>
    <row r="30" spans="1:7" x14ac:dyDescent="0.25">
      <c r="A30" s="25" t="str">
        <f t="shared" si="0"/>
        <v/>
      </c>
      <c r="C30"/>
      <c r="D30"/>
      <c r="E30"/>
      <c r="F30"/>
      <c r="G30"/>
    </row>
    <row r="31" spans="1:7" x14ac:dyDescent="0.25">
      <c r="A31" s="25" t="str">
        <f t="shared" si="0"/>
        <v/>
      </c>
      <c r="C31"/>
      <c r="D31"/>
      <c r="E31"/>
      <c r="F31"/>
      <c r="G31"/>
    </row>
    <row r="32" spans="1:7" x14ac:dyDescent="0.25">
      <c r="A32" s="25" t="str">
        <f t="shared" si="0"/>
        <v/>
      </c>
      <c r="C32"/>
      <c r="D32"/>
      <c r="E32"/>
      <c r="F32"/>
      <c r="G32"/>
    </row>
    <row r="33" spans="1:7" x14ac:dyDescent="0.25">
      <c r="A33" s="25" t="str">
        <f t="shared" si="0"/>
        <v/>
      </c>
      <c r="C33"/>
      <c r="D33"/>
      <c r="E33"/>
      <c r="F33"/>
      <c r="G33"/>
    </row>
    <row r="34" spans="1:7" x14ac:dyDescent="0.25">
      <c r="A34" s="25" t="str">
        <f t="shared" si="0"/>
        <v/>
      </c>
      <c r="C34"/>
      <c r="D34"/>
      <c r="E34"/>
      <c r="F34"/>
      <c r="G34"/>
    </row>
    <row r="35" spans="1:7" x14ac:dyDescent="0.25">
      <c r="A35" s="25" t="str">
        <f t="shared" si="0"/>
        <v/>
      </c>
      <c r="C35"/>
      <c r="D35"/>
      <c r="E35"/>
      <c r="F35"/>
      <c r="G35"/>
    </row>
    <row r="36" spans="1:7" x14ac:dyDescent="0.25">
      <c r="A36" s="25" t="str">
        <f t="shared" si="0"/>
        <v/>
      </c>
      <c r="C36"/>
      <c r="D36"/>
      <c r="E36"/>
      <c r="F36"/>
      <c r="G36"/>
    </row>
    <row r="37" spans="1:7" x14ac:dyDescent="0.25">
      <c r="A37" s="25" t="str">
        <f t="shared" si="0"/>
        <v/>
      </c>
      <c r="C37"/>
      <c r="D37"/>
      <c r="E37"/>
      <c r="F37"/>
      <c r="G37"/>
    </row>
    <row r="38" spans="1:7" x14ac:dyDescent="0.25">
      <c r="A38" s="25" t="str">
        <f t="shared" si="0"/>
        <v/>
      </c>
      <c r="C38"/>
      <c r="D38"/>
      <c r="E38"/>
      <c r="F38"/>
      <c r="G38"/>
    </row>
    <row r="39" spans="1:7" x14ac:dyDescent="0.25">
      <c r="A39" s="25" t="str">
        <f t="shared" si="0"/>
        <v/>
      </c>
      <c r="C39"/>
      <c r="D39"/>
      <c r="E39"/>
      <c r="F39"/>
      <c r="G39"/>
    </row>
    <row r="40" spans="1:7" x14ac:dyDescent="0.25">
      <c r="A40" s="25" t="str">
        <f t="shared" si="0"/>
        <v/>
      </c>
      <c r="C40"/>
      <c r="D40"/>
      <c r="E40"/>
      <c r="F40"/>
      <c r="G40"/>
    </row>
    <row r="41" spans="1:7" x14ac:dyDescent="0.25">
      <c r="A41" s="25" t="str">
        <f t="shared" si="0"/>
        <v/>
      </c>
      <c r="C41"/>
      <c r="D41"/>
      <c r="E41"/>
      <c r="F41"/>
      <c r="G41"/>
    </row>
    <row r="42" spans="1:7" x14ac:dyDescent="0.25">
      <c r="A42" s="25" t="str">
        <f t="shared" si="0"/>
        <v/>
      </c>
      <c r="C42"/>
      <c r="D42"/>
      <c r="E42"/>
      <c r="F42"/>
      <c r="G42"/>
    </row>
    <row r="43" spans="1:7" x14ac:dyDescent="0.25">
      <c r="A43" s="25" t="str">
        <f t="shared" si="0"/>
        <v/>
      </c>
      <c r="C43"/>
      <c r="D43"/>
      <c r="E43"/>
      <c r="F43"/>
      <c r="G43"/>
    </row>
    <row r="44" spans="1:7" x14ac:dyDescent="0.25">
      <c r="A44" s="25" t="str">
        <f t="shared" si="0"/>
        <v/>
      </c>
      <c r="C44"/>
      <c r="D44"/>
      <c r="E44"/>
      <c r="F44"/>
      <c r="G44"/>
    </row>
    <row r="45" spans="1:7" x14ac:dyDescent="0.25">
      <c r="A45" s="25" t="str">
        <f t="shared" si="0"/>
        <v/>
      </c>
      <c r="C45"/>
      <c r="D45"/>
      <c r="E45"/>
      <c r="F45"/>
      <c r="G45"/>
    </row>
    <row r="46" spans="1:7" x14ac:dyDescent="0.25">
      <c r="A46" s="25" t="str">
        <f t="shared" si="0"/>
        <v/>
      </c>
      <c r="C46"/>
      <c r="D46"/>
      <c r="E46"/>
      <c r="F46"/>
      <c r="G46"/>
    </row>
    <row r="47" spans="1:7" x14ac:dyDescent="0.25">
      <c r="A47" s="25" t="str">
        <f>IF(AND(C47&lt;&gt;"",C47&lt;&gt;"Grand Total"),IF(EXACT(C46,C47),A46,A46+1),"")</f>
        <v/>
      </c>
      <c r="C47"/>
      <c r="D47"/>
      <c r="E47"/>
      <c r="F47"/>
      <c r="G47"/>
    </row>
    <row r="48" spans="1:7" x14ac:dyDescent="0.25">
      <c r="A48" s="25" t="str">
        <f t="shared" si="0"/>
        <v/>
      </c>
      <c r="C48"/>
      <c r="D48"/>
      <c r="E48"/>
      <c r="F48"/>
      <c r="G48"/>
    </row>
    <row r="49" spans="1:7" x14ac:dyDescent="0.25">
      <c r="A49" s="25" t="str">
        <f t="shared" si="0"/>
        <v/>
      </c>
      <c r="C49"/>
      <c r="D49"/>
      <c r="E49"/>
      <c r="F49"/>
      <c r="G49"/>
    </row>
    <row r="50" spans="1:7" x14ac:dyDescent="0.25">
      <c r="A50" s="25" t="str">
        <f t="shared" si="0"/>
        <v/>
      </c>
      <c r="C50"/>
      <c r="D50"/>
      <c r="E50"/>
      <c r="F50"/>
      <c r="G50"/>
    </row>
    <row r="51" spans="1:7" x14ac:dyDescent="0.25">
      <c r="A51" s="25" t="str">
        <f t="shared" si="0"/>
        <v/>
      </c>
      <c r="C51"/>
      <c r="D51"/>
      <c r="E51"/>
      <c r="F51"/>
      <c r="G51"/>
    </row>
    <row r="52" spans="1:7" x14ac:dyDescent="0.25">
      <c r="A52" s="25" t="str">
        <f t="shared" si="0"/>
        <v/>
      </c>
      <c r="C52"/>
      <c r="D52"/>
      <c r="E52"/>
      <c r="F52"/>
      <c r="G52"/>
    </row>
    <row r="53" spans="1:7" x14ac:dyDescent="0.25">
      <c r="A53" s="25" t="str">
        <f t="shared" si="0"/>
        <v/>
      </c>
      <c r="C53"/>
      <c r="D53"/>
      <c r="E53"/>
      <c r="F53"/>
      <c r="G53"/>
    </row>
    <row r="54" spans="1:7" x14ac:dyDescent="0.25">
      <c r="A54" s="25" t="str">
        <f t="shared" si="0"/>
        <v/>
      </c>
      <c r="C54"/>
      <c r="D54"/>
      <c r="E54"/>
      <c r="F54"/>
    </row>
    <row r="55" spans="1:7" x14ac:dyDescent="0.25">
      <c r="A55" s="25" t="str">
        <f t="shared" si="0"/>
        <v/>
      </c>
      <c r="C55"/>
      <c r="D55"/>
      <c r="E55"/>
      <c r="F55"/>
    </row>
    <row r="56" spans="1:7" x14ac:dyDescent="0.25">
      <c r="A56" s="25" t="str">
        <f t="shared" si="0"/>
        <v/>
      </c>
      <c r="C56"/>
      <c r="D56"/>
      <c r="E56"/>
      <c r="F56"/>
    </row>
    <row r="57" spans="1:7" x14ac:dyDescent="0.25">
      <c r="A57" s="25" t="str">
        <f t="shared" si="0"/>
        <v/>
      </c>
      <c r="C57"/>
      <c r="D57"/>
      <c r="E57"/>
      <c r="F57"/>
    </row>
    <row r="58" spans="1:7" x14ac:dyDescent="0.25">
      <c r="A58" s="25" t="str">
        <f t="shared" si="0"/>
        <v/>
      </c>
      <c r="C58"/>
      <c r="D58"/>
      <c r="E58"/>
      <c r="F58"/>
    </row>
    <row r="59" spans="1:7" x14ac:dyDescent="0.25">
      <c r="A59" s="25" t="str">
        <f t="shared" si="0"/>
        <v/>
      </c>
      <c r="C59"/>
      <c r="D59"/>
      <c r="E59"/>
      <c r="F59"/>
    </row>
    <row r="60" spans="1:7" x14ac:dyDescent="0.25">
      <c r="A60" s="25" t="str">
        <f t="shared" si="0"/>
        <v/>
      </c>
      <c r="C60"/>
      <c r="D60"/>
      <c r="E60"/>
      <c r="F60"/>
    </row>
    <row r="61" spans="1:7" x14ac:dyDescent="0.25">
      <c r="A61" s="25" t="str">
        <f t="shared" si="0"/>
        <v/>
      </c>
      <c r="C61"/>
      <c r="D61"/>
      <c r="E61"/>
      <c r="F61"/>
    </row>
    <row r="62" spans="1:7" x14ac:dyDescent="0.25">
      <c r="A62" s="25" t="str">
        <f t="shared" si="0"/>
        <v/>
      </c>
      <c r="C62"/>
      <c r="D62"/>
      <c r="E62"/>
      <c r="F62"/>
    </row>
    <row r="63" spans="1:7" x14ac:dyDescent="0.25">
      <c r="A63" s="25" t="str">
        <f t="shared" si="0"/>
        <v/>
      </c>
      <c r="C63"/>
      <c r="D63"/>
      <c r="E63"/>
      <c r="F63"/>
    </row>
    <row r="64" spans="1:7" x14ac:dyDescent="0.25">
      <c r="A64" s="25" t="str">
        <f t="shared" si="0"/>
        <v/>
      </c>
      <c r="C64"/>
      <c r="D64"/>
      <c r="E64"/>
      <c r="F64"/>
    </row>
    <row r="65" spans="1:6" x14ac:dyDescent="0.25">
      <c r="A65" s="25" t="str">
        <f t="shared" si="0"/>
        <v/>
      </c>
      <c r="C65"/>
      <c r="D65"/>
      <c r="E65"/>
      <c r="F65"/>
    </row>
    <row r="66" spans="1:6" x14ac:dyDescent="0.25">
      <c r="A66" s="25" t="str">
        <f t="shared" si="0"/>
        <v/>
      </c>
      <c r="C66"/>
      <c r="D66"/>
      <c r="E66"/>
      <c r="F66"/>
    </row>
    <row r="67" spans="1:6" x14ac:dyDescent="0.25">
      <c r="A67" s="25" t="str">
        <f t="shared" si="0"/>
        <v/>
      </c>
      <c r="C67"/>
      <c r="D67"/>
      <c r="E67"/>
      <c r="F67"/>
    </row>
    <row r="68" spans="1:6" x14ac:dyDescent="0.25">
      <c r="A68" s="25" t="str">
        <f t="shared" si="0"/>
        <v/>
      </c>
      <c r="C68"/>
      <c r="D68"/>
      <c r="E68"/>
      <c r="F68"/>
    </row>
    <row r="69" spans="1:6" x14ac:dyDescent="0.25">
      <c r="A69" s="25" t="str">
        <f t="shared" ref="A69:A132" si="1">IF(AND(C69&lt;&gt;"",C69&lt;&gt;"Grand Total"),IF(EXACT(C68,C69),A68,A68+1),"")</f>
        <v/>
      </c>
      <c r="C69"/>
      <c r="D69"/>
      <c r="E69"/>
      <c r="F69"/>
    </row>
    <row r="70" spans="1:6" x14ac:dyDescent="0.25">
      <c r="A70" s="25" t="str">
        <f t="shared" si="1"/>
        <v/>
      </c>
      <c r="C70"/>
      <c r="D70"/>
      <c r="E70"/>
      <c r="F70"/>
    </row>
    <row r="71" spans="1:6" x14ac:dyDescent="0.25">
      <c r="A71" s="25" t="str">
        <f t="shared" si="1"/>
        <v/>
      </c>
      <c r="C71"/>
      <c r="D71"/>
      <c r="E71"/>
      <c r="F71"/>
    </row>
    <row r="72" spans="1:6" x14ac:dyDescent="0.25">
      <c r="A72" s="25" t="str">
        <f t="shared" si="1"/>
        <v/>
      </c>
      <c r="C72"/>
      <c r="D72"/>
      <c r="E72"/>
      <c r="F72"/>
    </row>
    <row r="73" spans="1:6" x14ac:dyDescent="0.25">
      <c r="A73" s="25" t="str">
        <f t="shared" si="1"/>
        <v/>
      </c>
      <c r="C73"/>
      <c r="D73"/>
      <c r="E73"/>
      <c r="F73"/>
    </row>
    <row r="74" spans="1:6" x14ac:dyDescent="0.25">
      <c r="A74" s="25" t="str">
        <f t="shared" si="1"/>
        <v/>
      </c>
      <c r="C74"/>
      <c r="D74"/>
      <c r="E74"/>
      <c r="F74"/>
    </row>
    <row r="75" spans="1:6" x14ac:dyDescent="0.25">
      <c r="A75" s="25" t="str">
        <f t="shared" si="1"/>
        <v/>
      </c>
      <c r="C75"/>
      <c r="D75"/>
      <c r="E75"/>
      <c r="F75"/>
    </row>
    <row r="76" spans="1:6" x14ac:dyDescent="0.25">
      <c r="A76" s="25" t="str">
        <f t="shared" si="1"/>
        <v/>
      </c>
      <c r="C76"/>
      <c r="D76"/>
      <c r="E76"/>
      <c r="F76"/>
    </row>
    <row r="77" spans="1:6" x14ac:dyDescent="0.25">
      <c r="A77" s="25" t="str">
        <f t="shared" si="1"/>
        <v/>
      </c>
      <c r="C77"/>
      <c r="D77"/>
      <c r="E77"/>
      <c r="F77"/>
    </row>
    <row r="78" spans="1:6" x14ac:dyDescent="0.25">
      <c r="A78" s="25" t="str">
        <f t="shared" si="1"/>
        <v/>
      </c>
      <c r="C78"/>
      <c r="D78"/>
      <c r="E78"/>
      <c r="F78"/>
    </row>
    <row r="79" spans="1:6" x14ac:dyDescent="0.25">
      <c r="A79" s="25" t="str">
        <f t="shared" si="1"/>
        <v/>
      </c>
      <c r="C79"/>
      <c r="D79"/>
      <c r="E79"/>
      <c r="F79"/>
    </row>
    <row r="80" spans="1:6" x14ac:dyDescent="0.25">
      <c r="A80" s="25" t="str">
        <f t="shared" si="1"/>
        <v/>
      </c>
      <c r="C80"/>
      <c r="D80"/>
      <c r="E80"/>
      <c r="F80"/>
    </row>
    <row r="81" spans="1:6" x14ac:dyDescent="0.25">
      <c r="A81" s="25" t="str">
        <f t="shared" si="1"/>
        <v/>
      </c>
      <c r="C81"/>
      <c r="D81"/>
      <c r="E81"/>
      <c r="F81"/>
    </row>
    <row r="82" spans="1:6" x14ac:dyDescent="0.25">
      <c r="A82" s="25" t="str">
        <f t="shared" si="1"/>
        <v/>
      </c>
      <c r="C82"/>
      <c r="D82"/>
      <c r="E82"/>
      <c r="F82"/>
    </row>
    <row r="83" spans="1:6" x14ac:dyDescent="0.25">
      <c r="A83" s="25" t="str">
        <f t="shared" si="1"/>
        <v/>
      </c>
      <c r="C83"/>
      <c r="D83"/>
      <c r="E83"/>
      <c r="F83"/>
    </row>
    <row r="84" spans="1:6" x14ac:dyDescent="0.25">
      <c r="A84" s="25" t="str">
        <f t="shared" si="1"/>
        <v/>
      </c>
      <c r="C84"/>
      <c r="D84"/>
      <c r="E84"/>
      <c r="F84"/>
    </row>
    <row r="85" spans="1:6" x14ac:dyDescent="0.25">
      <c r="A85" s="25" t="str">
        <f t="shared" si="1"/>
        <v/>
      </c>
      <c r="C85"/>
      <c r="D85"/>
      <c r="E85"/>
      <c r="F85"/>
    </row>
    <row r="86" spans="1:6" x14ac:dyDescent="0.25">
      <c r="A86" s="25" t="str">
        <f t="shared" si="1"/>
        <v/>
      </c>
      <c r="C86"/>
      <c r="D86"/>
      <c r="E86"/>
      <c r="F86"/>
    </row>
    <row r="87" spans="1:6" x14ac:dyDescent="0.25">
      <c r="A87" s="25" t="str">
        <f t="shared" si="1"/>
        <v/>
      </c>
      <c r="C87"/>
      <c r="D87"/>
      <c r="E87"/>
      <c r="F87"/>
    </row>
    <row r="88" spans="1:6" x14ac:dyDescent="0.25">
      <c r="A88" s="25" t="str">
        <f t="shared" si="1"/>
        <v/>
      </c>
      <c r="C88"/>
      <c r="D88"/>
      <c r="E88"/>
      <c r="F88"/>
    </row>
    <row r="89" spans="1:6" x14ac:dyDescent="0.25">
      <c r="A89" s="25" t="str">
        <f t="shared" si="1"/>
        <v/>
      </c>
      <c r="C89"/>
      <c r="D89"/>
      <c r="E89"/>
      <c r="F89"/>
    </row>
    <row r="90" spans="1:6" x14ac:dyDescent="0.25">
      <c r="A90" s="25" t="str">
        <f t="shared" si="1"/>
        <v/>
      </c>
      <c r="C90"/>
      <c r="D90"/>
      <c r="E90"/>
      <c r="F90"/>
    </row>
    <row r="91" spans="1:6" x14ac:dyDescent="0.25">
      <c r="A91" s="25" t="str">
        <f t="shared" si="1"/>
        <v/>
      </c>
      <c r="C91"/>
      <c r="D91"/>
      <c r="E91"/>
      <c r="F91"/>
    </row>
    <row r="92" spans="1:6" x14ac:dyDescent="0.25">
      <c r="A92" s="25" t="str">
        <f t="shared" si="1"/>
        <v/>
      </c>
      <c r="C92"/>
      <c r="D92"/>
      <c r="E92"/>
      <c r="F92"/>
    </row>
    <row r="93" spans="1:6" x14ac:dyDescent="0.25">
      <c r="A93" s="25" t="str">
        <f t="shared" si="1"/>
        <v/>
      </c>
      <c r="C93"/>
      <c r="D93"/>
      <c r="E93"/>
      <c r="F93"/>
    </row>
    <row r="94" spans="1:6" x14ac:dyDescent="0.25">
      <c r="A94" s="25" t="str">
        <f t="shared" si="1"/>
        <v/>
      </c>
      <c r="C94"/>
      <c r="D94"/>
      <c r="E94"/>
      <c r="F94"/>
    </row>
    <row r="95" spans="1:6" x14ac:dyDescent="0.25">
      <c r="A95" s="25" t="str">
        <f t="shared" si="1"/>
        <v/>
      </c>
      <c r="C95"/>
      <c r="D95"/>
      <c r="E95"/>
      <c r="F95"/>
    </row>
    <row r="96" spans="1:6" x14ac:dyDescent="0.25">
      <c r="A96" s="25" t="str">
        <f t="shared" si="1"/>
        <v/>
      </c>
      <c r="C96"/>
      <c r="D96"/>
      <c r="E96"/>
      <c r="F96"/>
    </row>
    <row r="97" spans="1:6" x14ac:dyDescent="0.25">
      <c r="A97" s="25" t="str">
        <f t="shared" si="1"/>
        <v/>
      </c>
      <c r="C97"/>
      <c r="D97"/>
      <c r="E97"/>
      <c r="F97"/>
    </row>
    <row r="98" spans="1:6" x14ac:dyDescent="0.25">
      <c r="A98" s="25" t="str">
        <f t="shared" si="1"/>
        <v/>
      </c>
      <c r="C98"/>
      <c r="D98"/>
      <c r="E98"/>
      <c r="F98"/>
    </row>
    <row r="99" spans="1:6" x14ac:dyDescent="0.25">
      <c r="A99" s="25" t="str">
        <f t="shared" si="1"/>
        <v/>
      </c>
      <c r="C99"/>
      <c r="D99"/>
      <c r="E99"/>
      <c r="F99"/>
    </row>
    <row r="100" spans="1:6" x14ac:dyDescent="0.25">
      <c r="A100" s="25" t="str">
        <f t="shared" si="1"/>
        <v/>
      </c>
      <c r="C100"/>
      <c r="D100"/>
      <c r="E100"/>
      <c r="F100"/>
    </row>
    <row r="101" spans="1:6" x14ac:dyDescent="0.25">
      <c r="A101" s="25" t="str">
        <f t="shared" si="1"/>
        <v/>
      </c>
      <c r="C101"/>
      <c r="D101"/>
      <c r="E101"/>
      <c r="F101"/>
    </row>
    <row r="102" spans="1:6" x14ac:dyDescent="0.25">
      <c r="A102" s="25" t="str">
        <f t="shared" si="1"/>
        <v/>
      </c>
      <c r="C102"/>
      <c r="D102"/>
      <c r="E102"/>
      <c r="F102"/>
    </row>
    <row r="103" spans="1:6" x14ac:dyDescent="0.25">
      <c r="A103" s="25" t="str">
        <f t="shared" si="1"/>
        <v/>
      </c>
      <c r="C103"/>
      <c r="D103"/>
      <c r="E103"/>
      <c r="F103"/>
    </row>
    <row r="104" spans="1:6" x14ac:dyDescent="0.25">
      <c r="A104" s="25" t="str">
        <f t="shared" si="1"/>
        <v/>
      </c>
      <c r="C104"/>
      <c r="D104"/>
      <c r="E104"/>
      <c r="F104"/>
    </row>
    <row r="105" spans="1:6" x14ac:dyDescent="0.25">
      <c r="A105" s="25" t="str">
        <f t="shared" si="1"/>
        <v/>
      </c>
      <c r="C105"/>
      <c r="D105"/>
      <c r="E105"/>
      <c r="F105"/>
    </row>
    <row r="106" spans="1:6" ht="14.25" customHeight="1" x14ac:dyDescent="0.25">
      <c r="A106" s="25" t="str">
        <f t="shared" si="1"/>
        <v/>
      </c>
      <c r="C106"/>
      <c r="D106"/>
      <c r="E106"/>
      <c r="F106"/>
    </row>
    <row r="107" spans="1:6" x14ac:dyDescent="0.25">
      <c r="A107" s="25" t="str">
        <f t="shared" si="1"/>
        <v/>
      </c>
      <c r="C107"/>
      <c r="D107"/>
      <c r="E107"/>
      <c r="F107"/>
    </row>
    <row r="108" spans="1:6" x14ac:dyDescent="0.25">
      <c r="A108" s="25" t="str">
        <f t="shared" si="1"/>
        <v/>
      </c>
    </row>
    <row r="109" spans="1:6" x14ac:dyDescent="0.25">
      <c r="A109" s="25" t="str">
        <f t="shared" si="1"/>
        <v/>
      </c>
    </row>
    <row r="110" spans="1:6" x14ac:dyDescent="0.25">
      <c r="A110" s="25" t="str">
        <f t="shared" si="1"/>
        <v/>
      </c>
    </row>
    <row r="111" spans="1:6" x14ac:dyDescent="0.25">
      <c r="A111" s="25" t="str">
        <f t="shared" si="1"/>
        <v/>
      </c>
    </row>
    <row r="112" spans="1:6" x14ac:dyDescent="0.25">
      <c r="A112" s="25" t="str">
        <f t="shared" si="1"/>
        <v/>
      </c>
    </row>
    <row r="113" spans="1:1" x14ac:dyDescent="0.25">
      <c r="A113" s="25" t="str">
        <f t="shared" si="1"/>
        <v/>
      </c>
    </row>
    <row r="114" spans="1:1" x14ac:dyDescent="0.25">
      <c r="A114" s="25" t="str">
        <f t="shared" si="1"/>
        <v/>
      </c>
    </row>
    <row r="115" spans="1:1" x14ac:dyDescent="0.25">
      <c r="A115" s="25" t="str">
        <f t="shared" si="1"/>
        <v/>
      </c>
    </row>
    <row r="116" spans="1:1" x14ac:dyDescent="0.25">
      <c r="A116" s="25" t="str">
        <f t="shared" si="1"/>
        <v/>
      </c>
    </row>
    <row r="117" spans="1:1" x14ac:dyDescent="0.25">
      <c r="A117" s="25" t="str">
        <f t="shared" si="1"/>
        <v/>
      </c>
    </row>
    <row r="118" spans="1:1" x14ac:dyDescent="0.25">
      <c r="A118" s="25" t="str">
        <f t="shared" si="1"/>
        <v/>
      </c>
    </row>
    <row r="119" spans="1:1" x14ac:dyDescent="0.25">
      <c r="A119" s="25" t="str">
        <f t="shared" si="1"/>
        <v/>
      </c>
    </row>
    <row r="120" spans="1:1" x14ac:dyDescent="0.25">
      <c r="A120" s="25" t="str">
        <f t="shared" si="1"/>
        <v/>
      </c>
    </row>
    <row r="121" spans="1:1" x14ac:dyDescent="0.25">
      <c r="A121" s="25" t="str">
        <f t="shared" si="1"/>
        <v/>
      </c>
    </row>
    <row r="122" spans="1:1" x14ac:dyDescent="0.25">
      <c r="A122" s="25" t="str">
        <f t="shared" si="1"/>
        <v/>
      </c>
    </row>
    <row r="123" spans="1:1" x14ac:dyDescent="0.25">
      <c r="A123" s="25" t="str">
        <f t="shared" si="1"/>
        <v/>
      </c>
    </row>
    <row r="124" spans="1:1" x14ac:dyDescent="0.25">
      <c r="A124" s="25" t="str">
        <f t="shared" si="1"/>
        <v/>
      </c>
    </row>
    <row r="125" spans="1:1" x14ac:dyDescent="0.25">
      <c r="A125" s="25" t="str">
        <f t="shared" si="1"/>
        <v/>
      </c>
    </row>
    <row r="126" spans="1:1" x14ac:dyDescent="0.25">
      <c r="A126" s="25" t="str">
        <f t="shared" si="1"/>
        <v/>
      </c>
    </row>
    <row r="127" spans="1:1" x14ac:dyDescent="0.25">
      <c r="A127" s="25" t="str">
        <f t="shared" si="1"/>
        <v/>
      </c>
    </row>
    <row r="128" spans="1:1" x14ac:dyDescent="0.25">
      <c r="A128" s="25" t="str">
        <f t="shared" si="1"/>
        <v/>
      </c>
    </row>
    <row r="129" spans="1:1" x14ac:dyDescent="0.25">
      <c r="A129" s="25" t="str">
        <f t="shared" si="1"/>
        <v/>
      </c>
    </row>
    <row r="130" spans="1:1" x14ac:dyDescent="0.25">
      <c r="A130" s="25" t="str">
        <f t="shared" si="1"/>
        <v/>
      </c>
    </row>
    <row r="131" spans="1:1" x14ac:dyDescent="0.25">
      <c r="A131" s="25" t="str">
        <f t="shared" si="1"/>
        <v/>
      </c>
    </row>
    <row r="132" spans="1:1" x14ac:dyDescent="0.25">
      <c r="A132" s="25" t="str">
        <f t="shared" si="1"/>
        <v/>
      </c>
    </row>
    <row r="133" spans="1:1" x14ac:dyDescent="0.25">
      <c r="A133" s="25" t="str">
        <f t="shared" ref="A133:A196" si="2">IF(AND(C133&lt;&gt;"",C133&lt;&gt;"Grand Total"),IF(EXACT(C132,C133),A132,A132+1),"")</f>
        <v/>
      </c>
    </row>
    <row r="134" spans="1:1" x14ac:dyDescent="0.25">
      <c r="A134" s="25" t="str">
        <f t="shared" si="2"/>
        <v/>
      </c>
    </row>
    <row r="135" spans="1:1" x14ac:dyDescent="0.25">
      <c r="A135" s="25" t="str">
        <f t="shared" si="2"/>
        <v/>
      </c>
    </row>
    <row r="136" spans="1:1" x14ac:dyDescent="0.25">
      <c r="A136" s="25" t="str">
        <f t="shared" si="2"/>
        <v/>
      </c>
    </row>
    <row r="137" spans="1:1" x14ac:dyDescent="0.25">
      <c r="A137" s="25" t="str">
        <f t="shared" si="2"/>
        <v/>
      </c>
    </row>
    <row r="138" spans="1:1" x14ac:dyDescent="0.25">
      <c r="A138" s="25" t="str">
        <f t="shared" si="2"/>
        <v/>
      </c>
    </row>
    <row r="139" spans="1:1" x14ac:dyDescent="0.25">
      <c r="A139" s="25" t="str">
        <f t="shared" si="2"/>
        <v/>
      </c>
    </row>
    <row r="140" spans="1:1" x14ac:dyDescent="0.25">
      <c r="A140" s="25" t="str">
        <f t="shared" si="2"/>
        <v/>
      </c>
    </row>
    <row r="141" spans="1:1" x14ac:dyDescent="0.25">
      <c r="A141" s="25" t="str">
        <f t="shared" si="2"/>
        <v/>
      </c>
    </row>
    <row r="142" spans="1:1" x14ac:dyDescent="0.25">
      <c r="A142" s="25" t="str">
        <f t="shared" si="2"/>
        <v/>
      </c>
    </row>
    <row r="143" spans="1:1" x14ac:dyDescent="0.25">
      <c r="A143" s="25" t="str">
        <f t="shared" si="2"/>
        <v/>
      </c>
    </row>
    <row r="144" spans="1:1" x14ac:dyDescent="0.25">
      <c r="A144" s="25" t="str">
        <f t="shared" si="2"/>
        <v/>
      </c>
    </row>
    <row r="145" spans="1:1" x14ac:dyDescent="0.25">
      <c r="A145" s="25" t="str">
        <f t="shared" si="2"/>
        <v/>
      </c>
    </row>
    <row r="146" spans="1:1" x14ac:dyDescent="0.25">
      <c r="A146" s="25" t="str">
        <f t="shared" si="2"/>
        <v/>
      </c>
    </row>
    <row r="147" spans="1:1" x14ac:dyDescent="0.25">
      <c r="A147" s="25" t="str">
        <f t="shared" si="2"/>
        <v/>
      </c>
    </row>
    <row r="148" spans="1:1" x14ac:dyDescent="0.25">
      <c r="A148" s="25" t="str">
        <f t="shared" si="2"/>
        <v/>
      </c>
    </row>
    <row r="149" spans="1:1" x14ac:dyDescent="0.25">
      <c r="A149" s="25" t="str">
        <f t="shared" si="2"/>
        <v/>
      </c>
    </row>
    <row r="150" spans="1:1" x14ac:dyDescent="0.25">
      <c r="A150" s="25" t="str">
        <f t="shared" si="2"/>
        <v/>
      </c>
    </row>
    <row r="151" spans="1:1" x14ac:dyDescent="0.25">
      <c r="A151" s="25" t="str">
        <f t="shared" si="2"/>
        <v/>
      </c>
    </row>
    <row r="152" spans="1:1" x14ac:dyDescent="0.25">
      <c r="A152" s="25" t="str">
        <f t="shared" si="2"/>
        <v/>
      </c>
    </row>
    <row r="153" spans="1:1" x14ac:dyDescent="0.25">
      <c r="A153" s="25" t="str">
        <f t="shared" si="2"/>
        <v/>
      </c>
    </row>
    <row r="154" spans="1:1" x14ac:dyDescent="0.25">
      <c r="A154" s="25" t="str">
        <f t="shared" si="2"/>
        <v/>
      </c>
    </row>
    <row r="155" spans="1:1" x14ac:dyDescent="0.25">
      <c r="A155" s="25" t="str">
        <f t="shared" si="2"/>
        <v/>
      </c>
    </row>
    <row r="156" spans="1:1" x14ac:dyDescent="0.25">
      <c r="A156" s="25" t="str">
        <f t="shared" si="2"/>
        <v/>
      </c>
    </row>
    <row r="157" spans="1:1" x14ac:dyDescent="0.25">
      <c r="A157" s="25" t="str">
        <f t="shared" si="2"/>
        <v/>
      </c>
    </row>
    <row r="158" spans="1:1" x14ac:dyDescent="0.25">
      <c r="A158" s="25" t="str">
        <f t="shared" si="2"/>
        <v/>
      </c>
    </row>
    <row r="159" spans="1:1" x14ac:dyDescent="0.25">
      <c r="A159" s="25" t="str">
        <f t="shared" si="2"/>
        <v/>
      </c>
    </row>
    <row r="160" spans="1:1" x14ac:dyDescent="0.25">
      <c r="A160" s="25" t="str">
        <f t="shared" si="2"/>
        <v/>
      </c>
    </row>
    <row r="161" spans="1:1" x14ac:dyDescent="0.25">
      <c r="A161" s="25" t="str">
        <f t="shared" si="2"/>
        <v/>
      </c>
    </row>
    <row r="162" spans="1:1" x14ac:dyDescent="0.25">
      <c r="A162" s="25" t="str">
        <f t="shared" si="2"/>
        <v/>
      </c>
    </row>
    <row r="163" spans="1:1" x14ac:dyDescent="0.25">
      <c r="A163" s="25" t="str">
        <f t="shared" si="2"/>
        <v/>
      </c>
    </row>
    <row r="164" spans="1:1" x14ac:dyDescent="0.25">
      <c r="A164" s="25" t="str">
        <f t="shared" si="2"/>
        <v/>
      </c>
    </row>
    <row r="165" spans="1:1" x14ac:dyDescent="0.25">
      <c r="A165" s="25" t="str">
        <f t="shared" si="2"/>
        <v/>
      </c>
    </row>
    <row r="166" spans="1:1" x14ac:dyDescent="0.25">
      <c r="A166" s="25" t="str">
        <f t="shared" si="2"/>
        <v/>
      </c>
    </row>
    <row r="167" spans="1:1" x14ac:dyDescent="0.25">
      <c r="A167" s="25" t="str">
        <f t="shared" si="2"/>
        <v/>
      </c>
    </row>
    <row r="168" spans="1:1" x14ac:dyDescent="0.25">
      <c r="A168" s="25" t="str">
        <f t="shared" si="2"/>
        <v/>
      </c>
    </row>
    <row r="169" spans="1:1" x14ac:dyDescent="0.25">
      <c r="A169" s="25" t="str">
        <f t="shared" si="2"/>
        <v/>
      </c>
    </row>
    <row r="170" spans="1:1" x14ac:dyDescent="0.25">
      <c r="A170" s="25" t="str">
        <f t="shared" si="2"/>
        <v/>
      </c>
    </row>
    <row r="171" spans="1:1" x14ac:dyDescent="0.25">
      <c r="A171" s="25" t="str">
        <f t="shared" si="2"/>
        <v/>
      </c>
    </row>
    <row r="172" spans="1:1" x14ac:dyDescent="0.25">
      <c r="A172" s="25" t="str">
        <f t="shared" si="2"/>
        <v/>
      </c>
    </row>
    <row r="173" spans="1:1" x14ac:dyDescent="0.25">
      <c r="A173" s="25" t="str">
        <f t="shared" si="2"/>
        <v/>
      </c>
    </row>
    <row r="174" spans="1:1" x14ac:dyDescent="0.25">
      <c r="A174" s="25" t="str">
        <f t="shared" si="2"/>
        <v/>
      </c>
    </row>
    <row r="175" spans="1:1" x14ac:dyDescent="0.25">
      <c r="A175" s="25" t="str">
        <f t="shared" si="2"/>
        <v/>
      </c>
    </row>
    <row r="176" spans="1:1" x14ac:dyDescent="0.25">
      <c r="A176" s="25" t="str">
        <f t="shared" si="2"/>
        <v/>
      </c>
    </row>
    <row r="177" spans="1:1" x14ac:dyDescent="0.25">
      <c r="A177" s="25" t="str">
        <f t="shared" si="2"/>
        <v/>
      </c>
    </row>
    <row r="178" spans="1:1" x14ac:dyDescent="0.25">
      <c r="A178" s="25" t="str">
        <f t="shared" si="2"/>
        <v/>
      </c>
    </row>
    <row r="179" spans="1:1" x14ac:dyDescent="0.25">
      <c r="A179" s="25" t="str">
        <f t="shared" si="2"/>
        <v/>
      </c>
    </row>
    <row r="180" spans="1:1" x14ac:dyDescent="0.25">
      <c r="A180" s="25" t="str">
        <f t="shared" si="2"/>
        <v/>
      </c>
    </row>
    <row r="181" spans="1:1" x14ac:dyDescent="0.25">
      <c r="A181" s="25" t="str">
        <f t="shared" si="2"/>
        <v/>
      </c>
    </row>
    <row r="182" spans="1:1" x14ac:dyDescent="0.25">
      <c r="A182" s="25" t="str">
        <f t="shared" si="2"/>
        <v/>
      </c>
    </row>
    <row r="183" spans="1:1" x14ac:dyDescent="0.25">
      <c r="A183" s="25" t="str">
        <f t="shared" si="2"/>
        <v/>
      </c>
    </row>
    <row r="184" spans="1:1" x14ac:dyDescent="0.25">
      <c r="A184" s="25" t="str">
        <f t="shared" si="2"/>
        <v/>
      </c>
    </row>
    <row r="185" spans="1:1" x14ac:dyDescent="0.25">
      <c r="A185" s="25" t="str">
        <f t="shared" si="2"/>
        <v/>
      </c>
    </row>
    <row r="186" spans="1:1" x14ac:dyDescent="0.25">
      <c r="A186" s="25" t="str">
        <f t="shared" si="2"/>
        <v/>
      </c>
    </row>
    <row r="187" spans="1:1" x14ac:dyDescent="0.25">
      <c r="A187" s="25" t="str">
        <f t="shared" si="2"/>
        <v/>
      </c>
    </row>
    <row r="188" spans="1:1" x14ac:dyDescent="0.25">
      <c r="A188" s="25" t="str">
        <f t="shared" si="2"/>
        <v/>
      </c>
    </row>
    <row r="189" spans="1:1" x14ac:dyDescent="0.25">
      <c r="A189" s="25" t="str">
        <f t="shared" si="2"/>
        <v/>
      </c>
    </row>
    <row r="190" spans="1:1" x14ac:dyDescent="0.25">
      <c r="A190" s="25" t="str">
        <f t="shared" si="2"/>
        <v/>
      </c>
    </row>
    <row r="191" spans="1:1" x14ac:dyDescent="0.25">
      <c r="A191" s="25" t="str">
        <f t="shared" si="2"/>
        <v/>
      </c>
    </row>
    <row r="192" spans="1:1" x14ac:dyDescent="0.25">
      <c r="A192" s="25" t="str">
        <f t="shared" si="2"/>
        <v/>
      </c>
    </row>
    <row r="193" spans="1:1" x14ac:dyDescent="0.25">
      <c r="A193" s="25" t="str">
        <f t="shared" si="2"/>
        <v/>
      </c>
    </row>
    <row r="194" spans="1:1" x14ac:dyDescent="0.25">
      <c r="A194" s="25" t="str">
        <f t="shared" si="2"/>
        <v/>
      </c>
    </row>
    <row r="195" spans="1:1" x14ac:dyDescent="0.25">
      <c r="A195" s="25" t="str">
        <f t="shared" si="2"/>
        <v/>
      </c>
    </row>
    <row r="196" spans="1:1" x14ac:dyDescent="0.25">
      <c r="A196" s="25" t="str">
        <f t="shared" si="2"/>
        <v/>
      </c>
    </row>
    <row r="197" spans="1:1" x14ac:dyDescent="0.25">
      <c r="A197" s="25" t="str">
        <f t="shared" ref="A197:A260" si="3">IF(AND(C197&lt;&gt;"",C197&lt;&gt;"Grand Total"),IF(EXACT(C196,C197),A196,A196+1),"")</f>
        <v/>
      </c>
    </row>
    <row r="198" spans="1:1" x14ac:dyDescent="0.25">
      <c r="A198" s="25" t="str">
        <f t="shared" si="3"/>
        <v/>
      </c>
    </row>
    <row r="199" spans="1:1" x14ac:dyDescent="0.25">
      <c r="A199" s="25" t="str">
        <f t="shared" si="3"/>
        <v/>
      </c>
    </row>
    <row r="200" spans="1:1" x14ac:dyDescent="0.25">
      <c r="A200" s="25" t="str">
        <f t="shared" si="3"/>
        <v/>
      </c>
    </row>
    <row r="201" spans="1:1" x14ac:dyDescent="0.25">
      <c r="A201" s="25" t="str">
        <f t="shared" si="3"/>
        <v/>
      </c>
    </row>
    <row r="202" spans="1:1" x14ac:dyDescent="0.25">
      <c r="A202" s="25" t="str">
        <f t="shared" si="3"/>
        <v/>
      </c>
    </row>
    <row r="203" spans="1:1" x14ac:dyDescent="0.25">
      <c r="A203" s="25" t="str">
        <f t="shared" si="3"/>
        <v/>
      </c>
    </row>
    <row r="204" spans="1:1" x14ac:dyDescent="0.25">
      <c r="A204" s="25" t="str">
        <f t="shared" si="3"/>
        <v/>
      </c>
    </row>
    <row r="205" spans="1:1" x14ac:dyDescent="0.25">
      <c r="A205" s="25" t="str">
        <f t="shared" si="3"/>
        <v/>
      </c>
    </row>
    <row r="206" spans="1:1" x14ac:dyDescent="0.25">
      <c r="A206" s="25" t="str">
        <f t="shared" si="3"/>
        <v/>
      </c>
    </row>
    <row r="207" spans="1:1" x14ac:dyDescent="0.25">
      <c r="A207" s="25" t="str">
        <f t="shared" si="3"/>
        <v/>
      </c>
    </row>
    <row r="208" spans="1:1" x14ac:dyDescent="0.25">
      <c r="A208" s="25" t="str">
        <f t="shared" si="3"/>
        <v/>
      </c>
    </row>
    <row r="209" spans="1:1" x14ac:dyDescent="0.25">
      <c r="A209" s="25" t="str">
        <f t="shared" si="3"/>
        <v/>
      </c>
    </row>
    <row r="210" spans="1:1" x14ac:dyDescent="0.25">
      <c r="A210" s="25" t="str">
        <f t="shared" si="3"/>
        <v/>
      </c>
    </row>
    <row r="211" spans="1:1" x14ac:dyDescent="0.25">
      <c r="A211" s="25" t="str">
        <f t="shared" si="3"/>
        <v/>
      </c>
    </row>
    <row r="212" spans="1:1" x14ac:dyDescent="0.25">
      <c r="A212" s="25" t="str">
        <f t="shared" si="3"/>
        <v/>
      </c>
    </row>
    <row r="213" spans="1:1" x14ac:dyDescent="0.25">
      <c r="A213" s="25" t="str">
        <f t="shared" si="3"/>
        <v/>
      </c>
    </row>
    <row r="214" spans="1:1" x14ac:dyDescent="0.25">
      <c r="A214" s="25" t="str">
        <f t="shared" si="3"/>
        <v/>
      </c>
    </row>
    <row r="215" spans="1:1" x14ac:dyDescent="0.25">
      <c r="A215" s="25" t="str">
        <f t="shared" si="3"/>
        <v/>
      </c>
    </row>
    <row r="216" spans="1:1" x14ac:dyDescent="0.25">
      <c r="A216" s="25" t="str">
        <f t="shared" si="3"/>
        <v/>
      </c>
    </row>
    <row r="217" spans="1:1" x14ac:dyDescent="0.25">
      <c r="A217" s="25" t="str">
        <f t="shared" si="3"/>
        <v/>
      </c>
    </row>
    <row r="218" spans="1:1" x14ac:dyDescent="0.25">
      <c r="A218" s="25" t="str">
        <f t="shared" si="3"/>
        <v/>
      </c>
    </row>
    <row r="219" spans="1:1" x14ac:dyDescent="0.25">
      <c r="A219" s="25" t="str">
        <f t="shared" si="3"/>
        <v/>
      </c>
    </row>
    <row r="220" spans="1:1" x14ac:dyDescent="0.25">
      <c r="A220" s="25" t="str">
        <f t="shared" si="3"/>
        <v/>
      </c>
    </row>
    <row r="221" spans="1:1" x14ac:dyDescent="0.25">
      <c r="A221" s="25" t="str">
        <f t="shared" si="3"/>
        <v/>
      </c>
    </row>
    <row r="222" spans="1:1" x14ac:dyDescent="0.25">
      <c r="A222" s="25" t="str">
        <f t="shared" si="3"/>
        <v/>
      </c>
    </row>
    <row r="223" spans="1:1" x14ac:dyDescent="0.25">
      <c r="A223" s="25" t="str">
        <f t="shared" si="3"/>
        <v/>
      </c>
    </row>
    <row r="224" spans="1:1" x14ac:dyDescent="0.25">
      <c r="A224" s="25" t="str">
        <f t="shared" si="3"/>
        <v/>
      </c>
    </row>
    <row r="225" spans="1:1" x14ac:dyDescent="0.25">
      <c r="A225" s="25" t="str">
        <f t="shared" si="3"/>
        <v/>
      </c>
    </row>
    <row r="226" spans="1:1" x14ac:dyDescent="0.25">
      <c r="A226" s="25" t="str">
        <f t="shared" si="3"/>
        <v/>
      </c>
    </row>
    <row r="227" spans="1:1" x14ac:dyDescent="0.25">
      <c r="A227" s="25" t="str">
        <f t="shared" si="3"/>
        <v/>
      </c>
    </row>
    <row r="228" spans="1:1" x14ac:dyDescent="0.25">
      <c r="A228" s="25" t="str">
        <f t="shared" si="3"/>
        <v/>
      </c>
    </row>
    <row r="229" spans="1:1" x14ac:dyDescent="0.25">
      <c r="A229" s="25" t="str">
        <f t="shared" si="3"/>
        <v/>
      </c>
    </row>
    <row r="230" spans="1:1" x14ac:dyDescent="0.25">
      <c r="A230" s="25" t="str">
        <f t="shared" si="3"/>
        <v/>
      </c>
    </row>
    <row r="231" spans="1:1" x14ac:dyDescent="0.25">
      <c r="A231" s="25" t="str">
        <f t="shared" si="3"/>
        <v/>
      </c>
    </row>
    <row r="232" spans="1:1" x14ac:dyDescent="0.25">
      <c r="A232" s="25" t="str">
        <f t="shared" si="3"/>
        <v/>
      </c>
    </row>
    <row r="233" spans="1:1" x14ac:dyDescent="0.25">
      <c r="A233" s="25" t="str">
        <f t="shared" si="3"/>
        <v/>
      </c>
    </row>
    <row r="234" spans="1:1" x14ac:dyDescent="0.25">
      <c r="A234" s="25" t="str">
        <f t="shared" si="3"/>
        <v/>
      </c>
    </row>
    <row r="235" spans="1:1" x14ac:dyDescent="0.25">
      <c r="A235" s="25" t="str">
        <f t="shared" si="3"/>
        <v/>
      </c>
    </row>
    <row r="236" spans="1:1" x14ac:dyDescent="0.25">
      <c r="A236" s="25" t="str">
        <f t="shared" si="3"/>
        <v/>
      </c>
    </row>
    <row r="237" spans="1:1" x14ac:dyDescent="0.25">
      <c r="A237" s="25" t="str">
        <f t="shared" si="3"/>
        <v/>
      </c>
    </row>
    <row r="238" spans="1:1" x14ac:dyDescent="0.25">
      <c r="A238" s="25" t="str">
        <f t="shared" si="3"/>
        <v/>
      </c>
    </row>
    <row r="239" spans="1:1" x14ac:dyDescent="0.25">
      <c r="A239" s="25" t="str">
        <f t="shared" si="3"/>
        <v/>
      </c>
    </row>
    <row r="240" spans="1:1" x14ac:dyDescent="0.25">
      <c r="A240" s="25" t="str">
        <f t="shared" si="3"/>
        <v/>
      </c>
    </row>
    <row r="241" spans="1:1" x14ac:dyDescent="0.25">
      <c r="A241" s="25" t="str">
        <f t="shared" si="3"/>
        <v/>
      </c>
    </row>
    <row r="242" spans="1:1" x14ac:dyDescent="0.25">
      <c r="A242" s="25" t="str">
        <f t="shared" si="3"/>
        <v/>
      </c>
    </row>
    <row r="243" spans="1:1" x14ac:dyDescent="0.25">
      <c r="A243" s="25" t="str">
        <f t="shared" si="3"/>
        <v/>
      </c>
    </row>
    <row r="244" spans="1:1" x14ac:dyDescent="0.25">
      <c r="A244" s="25" t="str">
        <f t="shared" si="3"/>
        <v/>
      </c>
    </row>
    <row r="245" spans="1:1" x14ac:dyDescent="0.25">
      <c r="A245" s="25" t="str">
        <f t="shared" si="3"/>
        <v/>
      </c>
    </row>
    <row r="246" spans="1:1" x14ac:dyDescent="0.25">
      <c r="A246" s="25" t="str">
        <f t="shared" si="3"/>
        <v/>
      </c>
    </row>
    <row r="247" spans="1:1" x14ac:dyDescent="0.25">
      <c r="A247" s="25" t="str">
        <f t="shared" si="3"/>
        <v/>
      </c>
    </row>
    <row r="248" spans="1:1" x14ac:dyDescent="0.25">
      <c r="A248" s="25" t="str">
        <f t="shared" si="3"/>
        <v/>
      </c>
    </row>
    <row r="249" spans="1:1" x14ac:dyDescent="0.25">
      <c r="A249" s="25" t="str">
        <f t="shared" si="3"/>
        <v/>
      </c>
    </row>
    <row r="250" spans="1:1" x14ac:dyDescent="0.25">
      <c r="A250" s="25" t="str">
        <f t="shared" si="3"/>
        <v/>
      </c>
    </row>
    <row r="251" spans="1:1" x14ac:dyDescent="0.25">
      <c r="A251" s="25" t="str">
        <f t="shared" si="3"/>
        <v/>
      </c>
    </row>
    <row r="252" spans="1:1" x14ac:dyDescent="0.25">
      <c r="A252" s="25" t="str">
        <f t="shared" si="3"/>
        <v/>
      </c>
    </row>
    <row r="253" spans="1:1" x14ac:dyDescent="0.25">
      <c r="A253" s="25" t="str">
        <f t="shared" si="3"/>
        <v/>
      </c>
    </row>
    <row r="254" spans="1:1" x14ac:dyDescent="0.25">
      <c r="A254" s="25" t="str">
        <f t="shared" si="3"/>
        <v/>
      </c>
    </row>
    <row r="255" spans="1:1" x14ac:dyDescent="0.25">
      <c r="A255" s="25" t="str">
        <f t="shared" si="3"/>
        <v/>
      </c>
    </row>
    <row r="256" spans="1:1" x14ac:dyDescent="0.25">
      <c r="A256" s="25" t="str">
        <f t="shared" si="3"/>
        <v/>
      </c>
    </row>
    <row r="257" spans="1:1" x14ac:dyDescent="0.25">
      <c r="A257" s="25" t="str">
        <f t="shared" si="3"/>
        <v/>
      </c>
    </row>
    <row r="258" spans="1:1" x14ac:dyDescent="0.25">
      <c r="A258" s="25" t="str">
        <f t="shared" si="3"/>
        <v/>
      </c>
    </row>
    <row r="259" spans="1:1" x14ac:dyDescent="0.25">
      <c r="A259" s="25" t="str">
        <f t="shared" si="3"/>
        <v/>
      </c>
    </row>
    <row r="260" spans="1:1" x14ac:dyDescent="0.25">
      <c r="A260" s="25" t="str">
        <f t="shared" si="3"/>
        <v/>
      </c>
    </row>
    <row r="261" spans="1:1" x14ac:dyDescent="0.25">
      <c r="A261" s="25" t="str">
        <f t="shared" ref="A261:A324" si="4">IF(AND(C261&lt;&gt;"",C261&lt;&gt;"Grand Total"),IF(EXACT(C260,C261),A260,A260+1),"")</f>
        <v/>
      </c>
    </row>
    <row r="262" spans="1:1" x14ac:dyDescent="0.25">
      <c r="A262" s="25" t="str">
        <f t="shared" si="4"/>
        <v/>
      </c>
    </row>
    <row r="263" spans="1:1" x14ac:dyDescent="0.25">
      <c r="A263" s="25" t="str">
        <f t="shared" si="4"/>
        <v/>
      </c>
    </row>
    <row r="264" spans="1:1" x14ac:dyDescent="0.25">
      <c r="A264" s="25" t="str">
        <f t="shared" si="4"/>
        <v/>
      </c>
    </row>
    <row r="265" spans="1:1" x14ac:dyDescent="0.25">
      <c r="A265" s="25" t="str">
        <f t="shared" si="4"/>
        <v/>
      </c>
    </row>
    <row r="266" spans="1:1" x14ac:dyDescent="0.25">
      <c r="A266" s="25" t="str">
        <f t="shared" si="4"/>
        <v/>
      </c>
    </row>
    <row r="267" spans="1:1" x14ac:dyDescent="0.25">
      <c r="A267" s="25" t="str">
        <f t="shared" si="4"/>
        <v/>
      </c>
    </row>
    <row r="268" spans="1:1" x14ac:dyDescent="0.25">
      <c r="A268" s="25" t="str">
        <f t="shared" si="4"/>
        <v/>
      </c>
    </row>
    <row r="269" spans="1:1" x14ac:dyDescent="0.25">
      <c r="A269" s="25" t="str">
        <f t="shared" si="4"/>
        <v/>
      </c>
    </row>
    <row r="270" spans="1:1" x14ac:dyDescent="0.25">
      <c r="A270" s="25" t="str">
        <f t="shared" si="4"/>
        <v/>
      </c>
    </row>
    <row r="271" spans="1:1" x14ac:dyDescent="0.25">
      <c r="A271" s="25" t="str">
        <f t="shared" si="4"/>
        <v/>
      </c>
    </row>
    <row r="272" spans="1:1" x14ac:dyDescent="0.25">
      <c r="A272" s="25" t="str">
        <f t="shared" si="4"/>
        <v/>
      </c>
    </row>
    <row r="273" spans="1:1" x14ac:dyDescent="0.25">
      <c r="A273" s="25" t="str">
        <f t="shared" si="4"/>
        <v/>
      </c>
    </row>
    <row r="274" spans="1:1" x14ac:dyDescent="0.25">
      <c r="A274" s="25" t="str">
        <f t="shared" si="4"/>
        <v/>
      </c>
    </row>
    <row r="275" spans="1:1" x14ac:dyDescent="0.25">
      <c r="A275" s="25" t="str">
        <f t="shared" si="4"/>
        <v/>
      </c>
    </row>
    <row r="276" spans="1:1" x14ac:dyDescent="0.25">
      <c r="A276" s="25" t="str">
        <f t="shared" si="4"/>
        <v/>
      </c>
    </row>
    <row r="277" spans="1:1" x14ac:dyDescent="0.25">
      <c r="A277" s="25" t="str">
        <f t="shared" si="4"/>
        <v/>
      </c>
    </row>
    <row r="278" spans="1:1" x14ac:dyDescent="0.25">
      <c r="A278" s="25" t="str">
        <f t="shared" si="4"/>
        <v/>
      </c>
    </row>
    <row r="279" spans="1:1" x14ac:dyDescent="0.25">
      <c r="A279" s="25" t="str">
        <f t="shared" si="4"/>
        <v/>
      </c>
    </row>
    <row r="280" spans="1:1" x14ac:dyDescent="0.25">
      <c r="A280" s="25" t="str">
        <f t="shared" si="4"/>
        <v/>
      </c>
    </row>
    <row r="281" spans="1:1" x14ac:dyDescent="0.25">
      <c r="A281" s="25" t="str">
        <f t="shared" si="4"/>
        <v/>
      </c>
    </row>
    <row r="282" spans="1:1" x14ac:dyDescent="0.25">
      <c r="A282" s="25" t="str">
        <f t="shared" si="4"/>
        <v/>
      </c>
    </row>
    <row r="283" spans="1:1" x14ac:dyDescent="0.25">
      <c r="A283" s="25" t="str">
        <f t="shared" si="4"/>
        <v/>
      </c>
    </row>
    <row r="284" spans="1:1" x14ac:dyDescent="0.25">
      <c r="A284" s="25" t="str">
        <f t="shared" si="4"/>
        <v/>
      </c>
    </row>
    <row r="285" spans="1:1" x14ac:dyDescent="0.25">
      <c r="A285" s="25" t="str">
        <f t="shared" si="4"/>
        <v/>
      </c>
    </row>
    <row r="286" spans="1:1" x14ac:dyDescent="0.25">
      <c r="A286" s="25" t="str">
        <f t="shared" si="4"/>
        <v/>
      </c>
    </row>
    <row r="287" spans="1:1" x14ac:dyDescent="0.25">
      <c r="A287" s="25" t="str">
        <f t="shared" si="4"/>
        <v/>
      </c>
    </row>
    <row r="288" spans="1:1" x14ac:dyDescent="0.25">
      <c r="A288" s="25" t="str">
        <f t="shared" si="4"/>
        <v/>
      </c>
    </row>
    <row r="289" spans="1:1" x14ac:dyDescent="0.25">
      <c r="A289" s="25" t="str">
        <f t="shared" si="4"/>
        <v/>
      </c>
    </row>
    <row r="290" spans="1:1" x14ac:dyDescent="0.25">
      <c r="A290" s="25" t="str">
        <f t="shared" si="4"/>
        <v/>
      </c>
    </row>
    <row r="291" spans="1:1" x14ac:dyDescent="0.25">
      <c r="A291" s="25" t="str">
        <f t="shared" si="4"/>
        <v/>
      </c>
    </row>
    <row r="292" spans="1:1" x14ac:dyDescent="0.25">
      <c r="A292" s="25" t="str">
        <f t="shared" si="4"/>
        <v/>
      </c>
    </row>
    <row r="293" spans="1:1" x14ac:dyDescent="0.25">
      <c r="A293" s="25" t="str">
        <f t="shared" si="4"/>
        <v/>
      </c>
    </row>
    <row r="294" spans="1:1" x14ac:dyDescent="0.25">
      <c r="A294" s="25" t="str">
        <f t="shared" si="4"/>
        <v/>
      </c>
    </row>
    <row r="295" spans="1:1" x14ac:dyDescent="0.25">
      <c r="A295" s="25" t="str">
        <f t="shared" si="4"/>
        <v/>
      </c>
    </row>
    <row r="296" spans="1:1" x14ac:dyDescent="0.25">
      <c r="A296" s="25" t="str">
        <f t="shared" si="4"/>
        <v/>
      </c>
    </row>
    <row r="297" spans="1:1" x14ac:dyDescent="0.25">
      <c r="A297" s="25" t="str">
        <f t="shared" si="4"/>
        <v/>
      </c>
    </row>
    <row r="298" spans="1:1" x14ac:dyDescent="0.25">
      <c r="A298" s="25" t="str">
        <f t="shared" si="4"/>
        <v/>
      </c>
    </row>
    <row r="299" spans="1:1" x14ac:dyDescent="0.25">
      <c r="A299" s="25" t="str">
        <f t="shared" si="4"/>
        <v/>
      </c>
    </row>
    <row r="300" spans="1:1" x14ac:dyDescent="0.25">
      <c r="A300" s="25" t="str">
        <f t="shared" si="4"/>
        <v/>
      </c>
    </row>
    <row r="301" spans="1:1" x14ac:dyDescent="0.25">
      <c r="A301" s="25" t="str">
        <f t="shared" si="4"/>
        <v/>
      </c>
    </row>
    <row r="302" spans="1:1" x14ac:dyDescent="0.25">
      <c r="A302" s="25" t="str">
        <f t="shared" si="4"/>
        <v/>
      </c>
    </row>
    <row r="303" spans="1:1" x14ac:dyDescent="0.25">
      <c r="A303" s="25" t="str">
        <f t="shared" si="4"/>
        <v/>
      </c>
    </row>
    <row r="304" spans="1:1" x14ac:dyDescent="0.25">
      <c r="A304" s="25" t="str">
        <f t="shared" si="4"/>
        <v/>
      </c>
    </row>
    <row r="305" spans="1:1" x14ac:dyDescent="0.25">
      <c r="A305" s="25" t="str">
        <f t="shared" si="4"/>
        <v/>
      </c>
    </row>
    <row r="306" spans="1:1" x14ac:dyDescent="0.25">
      <c r="A306" s="25" t="str">
        <f t="shared" si="4"/>
        <v/>
      </c>
    </row>
    <row r="307" spans="1:1" x14ac:dyDescent="0.25">
      <c r="A307" s="25" t="str">
        <f t="shared" si="4"/>
        <v/>
      </c>
    </row>
    <row r="308" spans="1:1" x14ac:dyDescent="0.25">
      <c r="A308" s="25" t="str">
        <f t="shared" si="4"/>
        <v/>
      </c>
    </row>
    <row r="309" spans="1:1" x14ac:dyDescent="0.25">
      <c r="A309" s="25" t="str">
        <f t="shared" si="4"/>
        <v/>
      </c>
    </row>
    <row r="310" spans="1:1" x14ac:dyDescent="0.25">
      <c r="A310" s="25" t="str">
        <f t="shared" si="4"/>
        <v/>
      </c>
    </row>
    <row r="311" spans="1:1" x14ac:dyDescent="0.25">
      <c r="A311" s="25" t="str">
        <f t="shared" si="4"/>
        <v/>
      </c>
    </row>
    <row r="312" spans="1:1" x14ac:dyDescent="0.25">
      <c r="A312" s="25" t="str">
        <f t="shared" si="4"/>
        <v/>
      </c>
    </row>
    <row r="313" spans="1:1" x14ac:dyDescent="0.25">
      <c r="A313" s="25" t="str">
        <f t="shared" si="4"/>
        <v/>
      </c>
    </row>
    <row r="314" spans="1:1" x14ac:dyDescent="0.25">
      <c r="A314" s="25" t="str">
        <f t="shared" si="4"/>
        <v/>
      </c>
    </row>
    <row r="315" spans="1:1" x14ac:dyDescent="0.25">
      <c r="A315" s="25" t="str">
        <f t="shared" si="4"/>
        <v/>
      </c>
    </row>
    <row r="316" spans="1:1" x14ac:dyDescent="0.25">
      <c r="A316" s="25" t="str">
        <f t="shared" si="4"/>
        <v/>
      </c>
    </row>
    <row r="317" spans="1:1" x14ac:dyDescent="0.25">
      <c r="A317" s="25" t="str">
        <f t="shared" si="4"/>
        <v/>
      </c>
    </row>
    <row r="318" spans="1:1" x14ac:dyDescent="0.25">
      <c r="A318" s="25" t="str">
        <f t="shared" si="4"/>
        <v/>
      </c>
    </row>
    <row r="319" spans="1:1" x14ac:dyDescent="0.25">
      <c r="A319" s="25" t="str">
        <f t="shared" si="4"/>
        <v/>
      </c>
    </row>
    <row r="320" spans="1:1" x14ac:dyDescent="0.25">
      <c r="A320" s="25" t="str">
        <f t="shared" si="4"/>
        <v/>
      </c>
    </row>
    <row r="321" spans="1:1" x14ac:dyDescent="0.25">
      <c r="A321" s="25" t="str">
        <f t="shared" si="4"/>
        <v/>
      </c>
    </row>
    <row r="322" spans="1:1" x14ac:dyDescent="0.25">
      <c r="A322" s="25" t="str">
        <f t="shared" si="4"/>
        <v/>
      </c>
    </row>
    <row r="323" spans="1:1" x14ac:dyDescent="0.25">
      <c r="A323" s="25" t="str">
        <f t="shared" si="4"/>
        <v/>
      </c>
    </row>
    <row r="324" spans="1:1" x14ac:dyDescent="0.25">
      <c r="A324" s="25" t="str">
        <f t="shared" si="4"/>
        <v/>
      </c>
    </row>
    <row r="325" spans="1:1" x14ac:dyDescent="0.25">
      <c r="A325" s="25" t="str">
        <f t="shared" ref="A325:A388" si="5">IF(AND(C325&lt;&gt;"",C325&lt;&gt;"Grand Total"),IF(EXACT(C324,C325),A324,A324+1),"")</f>
        <v/>
      </c>
    </row>
    <row r="326" spans="1:1" x14ac:dyDescent="0.25">
      <c r="A326" s="25" t="str">
        <f t="shared" si="5"/>
        <v/>
      </c>
    </row>
    <row r="327" spans="1:1" x14ac:dyDescent="0.25">
      <c r="A327" s="25" t="str">
        <f t="shared" si="5"/>
        <v/>
      </c>
    </row>
    <row r="328" spans="1:1" x14ac:dyDescent="0.25">
      <c r="A328" s="25" t="str">
        <f t="shared" si="5"/>
        <v/>
      </c>
    </row>
    <row r="329" spans="1:1" x14ac:dyDescent="0.25">
      <c r="A329" s="25" t="str">
        <f t="shared" si="5"/>
        <v/>
      </c>
    </row>
    <row r="330" spans="1:1" x14ac:dyDescent="0.25">
      <c r="A330" s="25" t="str">
        <f t="shared" si="5"/>
        <v/>
      </c>
    </row>
    <row r="331" spans="1:1" x14ac:dyDescent="0.25">
      <c r="A331" s="25" t="str">
        <f t="shared" si="5"/>
        <v/>
      </c>
    </row>
    <row r="332" spans="1:1" x14ac:dyDescent="0.25">
      <c r="A332" s="25" t="str">
        <f t="shared" si="5"/>
        <v/>
      </c>
    </row>
    <row r="333" spans="1:1" x14ac:dyDescent="0.25">
      <c r="A333" s="25" t="str">
        <f t="shared" si="5"/>
        <v/>
      </c>
    </row>
    <row r="334" spans="1:1" x14ac:dyDescent="0.25">
      <c r="A334" s="25" t="str">
        <f t="shared" si="5"/>
        <v/>
      </c>
    </row>
    <row r="335" spans="1:1" x14ac:dyDescent="0.25">
      <c r="A335" s="25" t="str">
        <f t="shared" si="5"/>
        <v/>
      </c>
    </row>
    <row r="336" spans="1:1" x14ac:dyDescent="0.25">
      <c r="A336" s="25" t="str">
        <f t="shared" si="5"/>
        <v/>
      </c>
    </row>
    <row r="337" spans="1:1" x14ac:dyDescent="0.25">
      <c r="A337" s="25" t="str">
        <f t="shared" si="5"/>
        <v/>
      </c>
    </row>
    <row r="338" spans="1:1" x14ac:dyDescent="0.25">
      <c r="A338" s="25" t="str">
        <f t="shared" si="5"/>
        <v/>
      </c>
    </row>
    <row r="339" spans="1:1" x14ac:dyDescent="0.25">
      <c r="A339" s="25" t="str">
        <f t="shared" si="5"/>
        <v/>
      </c>
    </row>
    <row r="340" spans="1:1" x14ac:dyDescent="0.25">
      <c r="A340" s="25" t="str">
        <f t="shared" si="5"/>
        <v/>
      </c>
    </row>
    <row r="341" spans="1:1" x14ac:dyDescent="0.25">
      <c r="A341" s="25" t="str">
        <f t="shared" si="5"/>
        <v/>
      </c>
    </row>
    <row r="342" spans="1:1" x14ac:dyDescent="0.25">
      <c r="A342" s="25" t="str">
        <f t="shared" si="5"/>
        <v/>
      </c>
    </row>
    <row r="343" spans="1:1" x14ac:dyDescent="0.25">
      <c r="A343" s="25" t="str">
        <f t="shared" si="5"/>
        <v/>
      </c>
    </row>
    <row r="344" spans="1:1" x14ac:dyDescent="0.25">
      <c r="A344" s="25" t="str">
        <f t="shared" si="5"/>
        <v/>
      </c>
    </row>
    <row r="345" spans="1:1" x14ac:dyDescent="0.25">
      <c r="A345" s="25" t="str">
        <f t="shared" si="5"/>
        <v/>
      </c>
    </row>
    <row r="346" spans="1:1" x14ac:dyDescent="0.25">
      <c r="A346" s="25" t="str">
        <f t="shared" si="5"/>
        <v/>
      </c>
    </row>
    <row r="347" spans="1:1" x14ac:dyDescent="0.25">
      <c r="A347" s="25" t="str">
        <f t="shared" si="5"/>
        <v/>
      </c>
    </row>
    <row r="348" spans="1:1" x14ac:dyDescent="0.25">
      <c r="A348" s="25" t="str">
        <f t="shared" si="5"/>
        <v/>
      </c>
    </row>
    <row r="349" spans="1:1" x14ac:dyDescent="0.25">
      <c r="A349" s="25" t="str">
        <f t="shared" si="5"/>
        <v/>
      </c>
    </row>
    <row r="350" spans="1:1" x14ac:dyDescent="0.25">
      <c r="A350" s="25" t="str">
        <f t="shared" si="5"/>
        <v/>
      </c>
    </row>
    <row r="351" spans="1:1" x14ac:dyDescent="0.25">
      <c r="A351" s="25" t="str">
        <f t="shared" si="5"/>
        <v/>
      </c>
    </row>
    <row r="352" spans="1:1" x14ac:dyDescent="0.25">
      <c r="A352" s="25" t="str">
        <f t="shared" si="5"/>
        <v/>
      </c>
    </row>
    <row r="353" spans="1:1" x14ac:dyDescent="0.25">
      <c r="A353" s="25" t="str">
        <f t="shared" si="5"/>
        <v/>
      </c>
    </row>
    <row r="354" spans="1:1" x14ac:dyDescent="0.25">
      <c r="A354" s="25" t="str">
        <f t="shared" si="5"/>
        <v/>
      </c>
    </row>
    <row r="355" spans="1:1" x14ac:dyDescent="0.25">
      <c r="A355" s="25" t="str">
        <f t="shared" si="5"/>
        <v/>
      </c>
    </row>
    <row r="356" spans="1:1" x14ac:dyDescent="0.25">
      <c r="A356" s="25" t="str">
        <f t="shared" si="5"/>
        <v/>
      </c>
    </row>
    <row r="357" spans="1:1" x14ac:dyDescent="0.25">
      <c r="A357" s="25" t="str">
        <f t="shared" si="5"/>
        <v/>
      </c>
    </row>
    <row r="358" spans="1:1" x14ac:dyDescent="0.25">
      <c r="A358" s="25" t="str">
        <f t="shared" si="5"/>
        <v/>
      </c>
    </row>
    <row r="359" spans="1:1" x14ac:dyDescent="0.25">
      <c r="A359" s="25" t="str">
        <f t="shared" si="5"/>
        <v/>
      </c>
    </row>
    <row r="360" spans="1:1" x14ac:dyDescent="0.25">
      <c r="A360" s="25" t="str">
        <f t="shared" si="5"/>
        <v/>
      </c>
    </row>
    <row r="361" spans="1:1" x14ac:dyDescent="0.25">
      <c r="A361" s="25" t="str">
        <f t="shared" si="5"/>
        <v/>
      </c>
    </row>
    <row r="362" spans="1:1" x14ac:dyDescent="0.25">
      <c r="A362" s="25" t="str">
        <f t="shared" si="5"/>
        <v/>
      </c>
    </row>
    <row r="363" spans="1:1" x14ac:dyDescent="0.25">
      <c r="A363" s="25" t="str">
        <f t="shared" si="5"/>
        <v/>
      </c>
    </row>
    <row r="364" spans="1:1" x14ac:dyDescent="0.25">
      <c r="A364" s="25" t="str">
        <f t="shared" si="5"/>
        <v/>
      </c>
    </row>
    <row r="365" spans="1:1" x14ac:dyDescent="0.25">
      <c r="A365" s="25" t="str">
        <f t="shared" si="5"/>
        <v/>
      </c>
    </row>
    <row r="366" spans="1:1" x14ac:dyDescent="0.25">
      <c r="A366" s="25" t="str">
        <f t="shared" si="5"/>
        <v/>
      </c>
    </row>
    <row r="367" spans="1:1" x14ac:dyDescent="0.25">
      <c r="A367" s="25" t="str">
        <f t="shared" si="5"/>
        <v/>
      </c>
    </row>
    <row r="368" spans="1:1" x14ac:dyDescent="0.25">
      <c r="A368" s="25" t="str">
        <f t="shared" si="5"/>
        <v/>
      </c>
    </row>
    <row r="369" spans="1:1" x14ac:dyDescent="0.25">
      <c r="A369" s="25" t="str">
        <f t="shared" si="5"/>
        <v/>
      </c>
    </row>
    <row r="370" spans="1:1" x14ac:dyDescent="0.25">
      <c r="A370" s="25" t="str">
        <f t="shared" si="5"/>
        <v/>
      </c>
    </row>
    <row r="371" spans="1:1" x14ac:dyDescent="0.25">
      <c r="A371" s="25" t="str">
        <f t="shared" si="5"/>
        <v/>
      </c>
    </row>
    <row r="372" spans="1:1" x14ac:dyDescent="0.25">
      <c r="A372" s="25" t="str">
        <f t="shared" si="5"/>
        <v/>
      </c>
    </row>
    <row r="373" spans="1:1" x14ac:dyDescent="0.25">
      <c r="A373" s="25" t="str">
        <f t="shared" si="5"/>
        <v/>
      </c>
    </row>
    <row r="374" spans="1:1" x14ac:dyDescent="0.25">
      <c r="A374" s="25" t="str">
        <f t="shared" si="5"/>
        <v/>
      </c>
    </row>
    <row r="375" spans="1:1" x14ac:dyDescent="0.25">
      <c r="A375" s="25" t="str">
        <f t="shared" si="5"/>
        <v/>
      </c>
    </row>
    <row r="376" spans="1:1" x14ac:dyDescent="0.25">
      <c r="A376" s="25" t="str">
        <f t="shared" si="5"/>
        <v/>
      </c>
    </row>
    <row r="377" spans="1:1" x14ac:dyDescent="0.25">
      <c r="A377" s="25" t="str">
        <f t="shared" si="5"/>
        <v/>
      </c>
    </row>
    <row r="378" spans="1:1" x14ac:dyDescent="0.25">
      <c r="A378" s="25" t="str">
        <f t="shared" si="5"/>
        <v/>
      </c>
    </row>
    <row r="379" spans="1:1" x14ac:dyDescent="0.25">
      <c r="A379" s="25" t="str">
        <f t="shared" si="5"/>
        <v/>
      </c>
    </row>
    <row r="380" spans="1:1" x14ac:dyDescent="0.25">
      <c r="A380" s="25" t="str">
        <f t="shared" si="5"/>
        <v/>
      </c>
    </row>
    <row r="381" spans="1:1" x14ac:dyDescent="0.25">
      <c r="A381" s="25" t="str">
        <f t="shared" si="5"/>
        <v/>
      </c>
    </row>
    <row r="382" spans="1:1" x14ac:dyDescent="0.25">
      <c r="A382" s="25" t="str">
        <f t="shared" si="5"/>
        <v/>
      </c>
    </row>
    <row r="383" spans="1:1" x14ac:dyDescent="0.25">
      <c r="A383" s="25" t="str">
        <f t="shared" si="5"/>
        <v/>
      </c>
    </row>
    <row r="384" spans="1:1" x14ac:dyDescent="0.25">
      <c r="A384" s="25" t="str">
        <f t="shared" si="5"/>
        <v/>
      </c>
    </row>
    <row r="385" spans="1:1" x14ac:dyDescent="0.25">
      <c r="A385" s="25" t="str">
        <f t="shared" si="5"/>
        <v/>
      </c>
    </row>
    <row r="386" spans="1:1" x14ac:dyDescent="0.25">
      <c r="A386" s="25" t="str">
        <f t="shared" si="5"/>
        <v/>
      </c>
    </row>
    <row r="387" spans="1:1" x14ac:dyDescent="0.25">
      <c r="A387" s="25" t="str">
        <f t="shared" si="5"/>
        <v/>
      </c>
    </row>
    <row r="388" spans="1:1" x14ac:dyDescent="0.25">
      <c r="A388" s="25" t="str">
        <f t="shared" si="5"/>
        <v/>
      </c>
    </row>
    <row r="389" spans="1:1" x14ac:dyDescent="0.25">
      <c r="A389" s="25" t="str">
        <f t="shared" ref="A389:A452" si="6">IF(AND(C389&lt;&gt;"",C389&lt;&gt;"Grand Total"),IF(EXACT(C388,C389),A388,A388+1),"")</f>
        <v/>
      </c>
    </row>
    <row r="390" spans="1:1" x14ac:dyDescent="0.25">
      <c r="A390" s="25" t="str">
        <f t="shared" si="6"/>
        <v/>
      </c>
    </row>
    <row r="391" spans="1:1" x14ac:dyDescent="0.25">
      <c r="A391" s="25" t="str">
        <f t="shared" si="6"/>
        <v/>
      </c>
    </row>
    <row r="392" spans="1:1" x14ac:dyDescent="0.25">
      <c r="A392" s="25" t="str">
        <f t="shared" si="6"/>
        <v/>
      </c>
    </row>
    <row r="393" spans="1:1" x14ac:dyDescent="0.25">
      <c r="A393" s="25" t="str">
        <f t="shared" si="6"/>
        <v/>
      </c>
    </row>
    <row r="394" spans="1:1" x14ac:dyDescent="0.25">
      <c r="A394" s="25" t="str">
        <f t="shared" si="6"/>
        <v/>
      </c>
    </row>
    <row r="395" spans="1:1" x14ac:dyDescent="0.25">
      <c r="A395" s="25" t="str">
        <f t="shared" si="6"/>
        <v/>
      </c>
    </row>
    <row r="396" spans="1:1" x14ac:dyDescent="0.25">
      <c r="A396" s="25" t="str">
        <f t="shared" si="6"/>
        <v/>
      </c>
    </row>
    <row r="397" spans="1:1" x14ac:dyDescent="0.25">
      <c r="A397" s="25" t="str">
        <f t="shared" si="6"/>
        <v/>
      </c>
    </row>
    <row r="398" spans="1:1" x14ac:dyDescent="0.25">
      <c r="A398" s="25" t="str">
        <f t="shared" si="6"/>
        <v/>
      </c>
    </row>
    <row r="399" spans="1:1" x14ac:dyDescent="0.25">
      <c r="A399" s="25" t="str">
        <f t="shared" si="6"/>
        <v/>
      </c>
    </row>
    <row r="400" spans="1:1" x14ac:dyDescent="0.25">
      <c r="A400" s="25" t="str">
        <f t="shared" si="6"/>
        <v/>
      </c>
    </row>
    <row r="401" spans="1:1" x14ac:dyDescent="0.25">
      <c r="A401" s="25" t="str">
        <f t="shared" si="6"/>
        <v/>
      </c>
    </row>
    <row r="402" spans="1:1" x14ac:dyDescent="0.25">
      <c r="A402" s="25" t="str">
        <f t="shared" si="6"/>
        <v/>
      </c>
    </row>
    <row r="403" spans="1:1" x14ac:dyDescent="0.25">
      <c r="A403" s="25" t="str">
        <f t="shared" si="6"/>
        <v/>
      </c>
    </row>
    <row r="404" spans="1:1" x14ac:dyDescent="0.25">
      <c r="A404" s="25" t="str">
        <f t="shared" si="6"/>
        <v/>
      </c>
    </row>
    <row r="405" spans="1:1" x14ac:dyDescent="0.25">
      <c r="A405" s="25" t="str">
        <f t="shared" si="6"/>
        <v/>
      </c>
    </row>
    <row r="406" spans="1:1" x14ac:dyDescent="0.25">
      <c r="A406" s="25" t="str">
        <f t="shared" si="6"/>
        <v/>
      </c>
    </row>
    <row r="407" spans="1:1" x14ac:dyDescent="0.25">
      <c r="A407" s="25" t="str">
        <f t="shared" si="6"/>
        <v/>
      </c>
    </row>
    <row r="408" spans="1:1" x14ac:dyDescent="0.25">
      <c r="A408" s="25" t="str">
        <f t="shared" si="6"/>
        <v/>
      </c>
    </row>
    <row r="409" spans="1:1" x14ac:dyDescent="0.25">
      <c r="A409" s="25" t="str">
        <f t="shared" si="6"/>
        <v/>
      </c>
    </row>
    <row r="410" spans="1:1" x14ac:dyDescent="0.25">
      <c r="A410" s="25" t="str">
        <f t="shared" si="6"/>
        <v/>
      </c>
    </row>
    <row r="411" spans="1:1" x14ac:dyDescent="0.25">
      <c r="A411" s="25" t="str">
        <f t="shared" si="6"/>
        <v/>
      </c>
    </row>
    <row r="412" spans="1:1" x14ac:dyDescent="0.25">
      <c r="A412" s="25" t="str">
        <f t="shared" si="6"/>
        <v/>
      </c>
    </row>
    <row r="413" spans="1:1" x14ac:dyDescent="0.25">
      <c r="A413" s="25" t="str">
        <f t="shared" si="6"/>
        <v/>
      </c>
    </row>
    <row r="414" spans="1:1" x14ac:dyDescent="0.25">
      <c r="A414" s="25" t="str">
        <f t="shared" si="6"/>
        <v/>
      </c>
    </row>
    <row r="415" spans="1:1" x14ac:dyDescent="0.25">
      <c r="A415" s="25" t="str">
        <f t="shared" si="6"/>
        <v/>
      </c>
    </row>
    <row r="416" spans="1:1" x14ac:dyDescent="0.25">
      <c r="A416" s="25" t="str">
        <f t="shared" si="6"/>
        <v/>
      </c>
    </row>
    <row r="417" spans="1:1" x14ac:dyDescent="0.25">
      <c r="A417" s="25" t="str">
        <f t="shared" si="6"/>
        <v/>
      </c>
    </row>
    <row r="418" spans="1:1" x14ac:dyDescent="0.25">
      <c r="A418" s="25" t="str">
        <f t="shared" si="6"/>
        <v/>
      </c>
    </row>
    <row r="419" spans="1:1" x14ac:dyDescent="0.25">
      <c r="A419" s="25" t="str">
        <f t="shared" si="6"/>
        <v/>
      </c>
    </row>
    <row r="420" spans="1:1" x14ac:dyDescent="0.25">
      <c r="A420" s="25" t="str">
        <f t="shared" si="6"/>
        <v/>
      </c>
    </row>
    <row r="421" spans="1:1" x14ac:dyDescent="0.25">
      <c r="A421" s="25" t="str">
        <f t="shared" si="6"/>
        <v/>
      </c>
    </row>
    <row r="422" spans="1:1" x14ac:dyDescent="0.25">
      <c r="A422" s="25" t="str">
        <f t="shared" si="6"/>
        <v/>
      </c>
    </row>
    <row r="423" spans="1:1" x14ac:dyDescent="0.25">
      <c r="A423" s="25" t="str">
        <f t="shared" si="6"/>
        <v/>
      </c>
    </row>
    <row r="424" spans="1:1" x14ac:dyDescent="0.25">
      <c r="A424" s="25" t="str">
        <f t="shared" si="6"/>
        <v/>
      </c>
    </row>
    <row r="425" spans="1:1" x14ac:dyDescent="0.25">
      <c r="A425" s="25" t="str">
        <f t="shared" si="6"/>
        <v/>
      </c>
    </row>
    <row r="426" spans="1:1" x14ac:dyDescent="0.25">
      <c r="A426" s="25" t="str">
        <f t="shared" si="6"/>
        <v/>
      </c>
    </row>
    <row r="427" spans="1:1" x14ac:dyDescent="0.25">
      <c r="A427" s="25" t="str">
        <f t="shared" si="6"/>
        <v/>
      </c>
    </row>
    <row r="428" spans="1:1" x14ac:dyDescent="0.25">
      <c r="A428" s="25" t="str">
        <f t="shared" si="6"/>
        <v/>
      </c>
    </row>
    <row r="429" spans="1:1" x14ac:dyDescent="0.25">
      <c r="A429" s="25" t="str">
        <f t="shared" si="6"/>
        <v/>
      </c>
    </row>
    <row r="430" spans="1:1" x14ac:dyDescent="0.25">
      <c r="A430" s="25" t="str">
        <f t="shared" si="6"/>
        <v/>
      </c>
    </row>
    <row r="431" spans="1:1" x14ac:dyDescent="0.25">
      <c r="A431" s="25" t="str">
        <f t="shared" si="6"/>
        <v/>
      </c>
    </row>
    <row r="432" spans="1:1" x14ac:dyDescent="0.25">
      <c r="A432" s="25" t="str">
        <f t="shared" si="6"/>
        <v/>
      </c>
    </row>
    <row r="433" spans="1:1" x14ac:dyDescent="0.25">
      <c r="A433" s="25" t="str">
        <f t="shared" si="6"/>
        <v/>
      </c>
    </row>
    <row r="434" spans="1:1" x14ac:dyDescent="0.25">
      <c r="A434" s="25" t="str">
        <f t="shared" si="6"/>
        <v/>
      </c>
    </row>
    <row r="435" spans="1:1" x14ac:dyDescent="0.25">
      <c r="A435" s="25" t="str">
        <f t="shared" si="6"/>
        <v/>
      </c>
    </row>
    <row r="436" spans="1:1" x14ac:dyDescent="0.25">
      <c r="A436" s="25" t="str">
        <f t="shared" si="6"/>
        <v/>
      </c>
    </row>
    <row r="437" spans="1:1" x14ac:dyDescent="0.25">
      <c r="A437" s="25" t="str">
        <f t="shared" si="6"/>
        <v/>
      </c>
    </row>
    <row r="438" spans="1:1" x14ac:dyDescent="0.25">
      <c r="A438" s="25" t="str">
        <f t="shared" si="6"/>
        <v/>
      </c>
    </row>
    <row r="439" spans="1:1" x14ac:dyDescent="0.25">
      <c r="A439" s="25" t="str">
        <f t="shared" si="6"/>
        <v/>
      </c>
    </row>
    <row r="440" spans="1:1" x14ac:dyDescent="0.25">
      <c r="A440" s="25" t="str">
        <f t="shared" si="6"/>
        <v/>
      </c>
    </row>
    <row r="441" spans="1:1" x14ac:dyDescent="0.25">
      <c r="A441" s="25" t="str">
        <f t="shared" si="6"/>
        <v/>
      </c>
    </row>
    <row r="442" spans="1:1" x14ac:dyDescent="0.25">
      <c r="A442" s="25" t="str">
        <f t="shared" si="6"/>
        <v/>
      </c>
    </row>
    <row r="443" spans="1:1" x14ac:dyDescent="0.25">
      <c r="A443" s="25" t="str">
        <f t="shared" si="6"/>
        <v/>
      </c>
    </row>
    <row r="444" spans="1:1" x14ac:dyDescent="0.25">
      <c r="A444" s="25" t="str">
        <f t="shared" si="6"/>
        <v/>
      </c>
    </row>
    <row r="445" spans="1:1" x14ac:dyDescent="0.25">
      <c r="A445" s="25" t="str">
        <f t="shared" si="6"/>
        <v/>
      </c>
    </row>
    <row r="446" spans="1:1" x14ac:dyDescent="0.25">
      <c r="A446" s="25" t="str">
        <f t="shared" si="6"/>
        <v/>
      </c>
    </row>
    <row r="447" spans="1:1" x14ac:dyDescent="0.25">
      <c r="A447" s="25" t="str">
        <f t="shared" si="6"/>
        <v/>
      </c>
    </row>
    <row r="448" spans="1:1" x14ac:dyDescent="0.25">
      <c r="A448" s="25" t="str">
        <f t="shared" si="6"/>
        <v/>
      </c>
    </row>
    <row r="449" spans="1:1" x14ac:dyDescent="0.25">
      <c r="A449" s="25" t="str">
        <f t="shared" si="6"/>
        <v/>
      </c>
    </row>
    <row r="450" spans="1:1" x14ac:dyDescent="0.25">
      <c r="A450" s="25" t="str">
        <f t="shared" si="6"/>
        <v/>
      </c>
    </row>
    <row r="451" spans="1:1" x14ac:dyDescent="0.25">
      <c r="A451" s="25" t="str">
        <f t="shared" si="6"/>
        <v/>
      </c>
    </row>
    <row r="452" spans="1:1" x14ac:dyDescent="0.25">
      <c r="A452" s="25" t="str">
        <f t="shared" si="6"/>
        <v/>
      </c>
    </row>
    <row r="453" spans="1:1" x14ac:dyDescent="0.25">
      <c r="A453" s="25" t="str">
        <f t="shared" ref="A453:A516" si="7">IF(AND(C453&lt;&gt;"",C453&lt;&gt;"Grand Total"),IF(EXACT(C452,C453),A452,A452+1),"")</f>
        <v/>
      </c>
    </row>
    <row r="454" spans="1:1" x14ac:dyDescent="0.25">
      <c r="A454" s="25" t="str">
        <f t="shared" si="7"/>
        <v/>
      </c>
    </row>
    <row r="455" spans="1:1" x14ac:dyDescent="0.25">
      <c r="A455" s="25" t="str">
        <f t="shared" si="7"/>
        <v/>
      </c>
    </row>
    <row r="456" spans="1:1" x14ac:dyDescent="0.25">
      <c r="A456" s="25" t="str">
        <f t="shared" si="7"/>
        <v/>
      </c>
    </row>
    <row r="457" spans="1:1" x14ac:dyDescent="0.25">
      <c r="A457" s="25" t="str">
        <f t="shared" si="7"/>
        <v/>
      </c>
    </row>
    <row r="458" spans="1:1" x14ac:dyDescent="0.25">
      <c r="A458" s="25" t="str">
        <f t="shared" si="7"/>
        <v/>
      </c>
    </row>
    <row r="459" spans="1:1" x14ac:dyDescent="0.25">
      <c r="A459" s="25" t="str">
        <f t="shared" si="7"/>
        <v/>
      </c>
    </row>
    <row r="460" spans="1:1" x14ac:dyDescent="0.25">
      <c r="A460" s="25" t="str">
        <f t="shared" si="7"/>
        <v/>
      </c>
    </row>
    <row r="461" spans="1:1" x14ac:dyDescent="0.25">
      <c r="A461" s="25" t="str">
        <f t="shared" si="7"/>
        <v/>
      </c>
    </row>
    <row r="462" spans="1:1" x14ac:dyDescent="0.25">
      <c r="A462" s="25" t="str">
        <f t="shared" si="7"/>
        <v/>
      </c>
    </row>
    <row r="463" spans="1:1" x14ac:dyDescent="0.25">
      <c r="A463" s="25" t="str">
        <f t="shared" si="7"/>
        <v/>
      </c>
    </row>
    <row r="464" spans="1:1" x14ac:dyDescent="0.25">
      <c r="A464" s="25" t="str">
        <f t="shared" si="7"/>
        <v/>
      </c>
    </row>
    <row r="465" spans="1:1" x14ac:dyDescent="0.25">
      <c r="A465" s="25" t="str">
        <f t="shared" si="7"/>
        <v/>
      </c>
    </row>
    <row r="466" spans="1:1" x14ac:dyDescent="0.25">
      <c r="A466" s="25" t="str">
        <f t="shared" si="7"/>
        <v/>
      </c>
    </row>
    <row r="467" spans="1:1" x14ac:dyDescent="0.25">
      <c r="A467" s="25" t="str">
        <f t="shared" si="7"/>
        <v/>
      </c>
    </row>
    <row r="468" spans="1:1" x14ac:dyDescent="0.25">
      <c r="A468" s="25" t="str">
        <f t="shared" si="7"/>
        <v/>
      </c>
    </row>
    <row r="469" spans="1:1" x14ac:dyDescent="0.25">
      <c r="A469" s="25" t="str">
        <f t="shared" si="7"/>
        <v/>
      </c>
    </row>
    <row r="470" spans="1:1" x14ac:dyDescent="0.25">
      <c r="A470" s="25" t="str">
        <f t="shared" si="7"/>
        <v/>
      </c>
    </row>
    <row r="471" spans="1:1" x14ac:dyDescent="0.25">
      <c r="A471" s="25" t="str">
        <f t="shared" si="7"/>
        <v/>
      </c>
    </row>
    <row r="472" spans="1:1" x14ac:dyDescent="0.25">
      <c r="A472" s="25" t="str">
        <f t="shared" si="7"/>
        <v/>
      </c>
    </row>
    <row r="473" spans="1:1" x14ac:dyDescent="0.25">
      <c r="A473" s="25" t="str">
        <f t="shared" si="7"/>
        <v/>
      </c>
    </row>
    <row r="474" spans="1:1" x14ac:dyDescent="0.25">
      <c r="A474" s="25" t="str">
        <f t="shared" si="7"/>
        <v/>
      </c>
    </row>
    <row r="475" spans="1:1" x14ac:dyDescent="0.25">
      <c r="A475" s="25" t="str">
        <f t="shared" si="7"/>
        <v/>
      </c>
    </row>
    <row r="476" spans="1:1" x14ac:dyDescent="0.25">
      <c r="A476" s="25" t="str">
        <f t="shared" si="7"/>
        <v/>
      </c>
    </row>
    <row r="477" spans="1:1" x14ac:dyDescent="0.25">
      <c r="A477" s="25" t="str">
        <f t="shared" si="7"/>
        <v/>
      </c>
    </row>
    <row r="478" spans="1:1" x14ac:dyDescent="0.25">
      <c r="A478" s="25" t="str">
        <f t="shared" si="7"/>
        <v/>
      </c>
    </row>
    <row r="479" spans="1:1" x14ac:dyDescent="0.25">
      <c r="A479" s="25" t="str">
        <f t="shared" si="7"/>
        <v/>
      </c>
    </row>
    <row r="480" spans="1:1" x14ac:dyDescent="0.25">
      <c r="A480" s="25" t="str">
        <f t="shared" si="7"/>
        <v/>
      </c>
    </row>
    <row r="481" spans="1:1" x14ac:dyDescent="0.25">
      <c r="A481" s="25" t="str">
        <f t="shared" si="7"/>
        <v/>
      </c>
    </row>
    <row r="482" spans="1:1" x14ac:dyDescent="0.25">
      <c r="A482" s="25" t="str">
        <f t="shared" si="7"/>
        <v/>
      </c>
    </row>
    <row r="483" spans="1:1" x14ac:dyDescent="0.25">
      <c r="A483" s="25" t="str">
        <f t="shared" si="7"/>
        <v/>
      </c>
    </row>
    <row r="484" spans="1:1" x14ac:dyDescent="0.25">
      <c r="A484" s="25" t="str">
        <f t="shared" si="7"/>
        <v/>
      </c>
    </row>
    <row r="485" spans="1:1" x14ac:dyDescent="0.25">
      <c r="A485" s="25" t="str">
        <f t="shared" si="7"/>
        <v/>
      </c>
    </row>
    <row r="486" spans="1:1" x14ac:dyDescent="0.25">
      <c r="A486" s="25" t="str">
        <f t="shared" si="7"/>
        <v/>
      </c>
    </row>
    <row r="487" spans="1:1" x14ac:dyDescent="0.25">
      <c r="A487" s="25" t="str">
        <f t="shared" si="7"/>
        <v/>
      </c>
    </row>
    <row r="488" spans="1:1" x14ac:dyDescent="0.25">
      <c r="A488" s="25" t="str">
        <f t="shared" si="7"/>
        <v/>
      </c>
    </row>
    <row r="489" spans="1:1" x14ac:dyDescent="0.25">
      <c r="A489" s="25" t="str">
        <f t="shared" si="7"/>
        <v/>
      </c>
    </row>
    <row r="490" spans="1:1" x14ac:dyDescent="0.25">
      <c r="A490" s="25" t="str">
        <f t="shared" si="7"/>
        <v/>
      </c>
    </row>
    <row r="491" spans="1:1" x14ac:dyDescent="0.25">
      <c r="A491" s="25" t="str">
        <f t="shared" si="7"/>
        <v/>
      </c>
    </row>
    <row r="492" spans="1:1" x14ac:dyDescent="0.25">
      <c r="A492" s="25" t="str">
        <f t="shared" si="7"/>
        <v/>
      </c>
    </row>
    <row r="493" spans="1:1" x14ac:dyDescent="0.25">
      <c r="A493" s="25" t="str">
        <f t="shared" si="7"/>
        <v/>
      </c>
    </row>
    <row r="494" spans="1:1" x14ac:dyDescent="0.25">
      <c r="A494" s="25" t="str">
        <f t="shared" si="7"/>
        <v/>
      </c>
    </row>
    <row r="495" spans="1:1" x14ac:dyDescent="0.25">
      <c r="A495" s="25" t="str">
        <f t="shared" si="7"/>
        <v/>
      </c>
    </row>
    <row r="496" spans="1:1" x14ac:dyDescent="0.25">
      <c r="A496" s="25" t="str">
        <f t="shared" si="7"/>
        <v/>
      </c>
    </row>
    <row r="497" spans="1:1" x14ac:dyDescent="0.25">
      <c r="A497" s="25" t="str">
        <f t="shared" si="7"/>
        <v/>
      </c>
    </row>
    <row r="498" spans="1:1" x14ac:dyDescent="0.25">
      <c r="A498" s="25" t="str">
        <f t="shared" si="7"/>
        <v/>
      </c>
    </row>
    <row r="499" spans="1:1" x14ac:dyDescent="0.25">
      <c r="A499" s="25" t="str">
        <f t="shared" si="7"/>
        <v/>
      </c>
    </row>
    <row r="500" spans="1:1" x14ac:dyDescent="0.25">
      <c r="A500" s="25" t="str">
        <f t="shared" si="7"/>
        <v/>
      </c>
    </row>
    <row r="501" spans="1:1" x14ac:dyDescent="0.25">
      <c r="A501" s="25" t="str">
        <f t="shared" si="7"/>
        <v/>
      </c>
    </row>
    <row r="502" spans="1:1" x14ac:dyDescent="0.25">
      <c r="A502" s="25" t="str">
        <f t="shared" si="7"/>
        <v/>
      </c>
    </row>
    <row r="503" spans="1:1" x14ac:dyDescent="0.25">
      <c r="A503" s="25" t="str">
        <f t="shared" si="7"/>
        <v/>
      </c>
    </row>
    <row r="504" spans="1:1" x14ac:dyDescent="0.25">
      <c r="A504" s="25" t="str">
        <f t="shared" si="7"/>
        <v/>
      </c>
    </row>
    <row r="505" spans="1:1" x14ac:dyDescent="0.25">
      <c r="A505" s="25" t="str">
        <f t="shared" si="7"/>
        <v/>
      </c>
    </row>
    <row r="506" spans="1:1" x14ac:dyDescent="0.25">
      <c r="A506" s="25" t="str">
        <f t="shared" si="7"/>
        <v/>
      </c>
    </row>
    <row r="507" spans="1:1" x14ac:dyDescent="0.25">
      <c r="A507" s="25" t="str">
        <f t="shared" si="7"/>
        <v/>
      </c>
    </row>
    <row r="508" spans="1:1" x14ac:dyDescent="0.25">
      <c r="A508" s="25" t="str">
        <f t="shared" si="7"/>
        <v/>
      </c>
    </row>
    <row r="509" spans="1:1" x14ac:dyDescent="0.25">
      <c r="A509" s="25" t="str">
        <f t="shared" si="7"/>
        <v/>
      </c>
    </row>
    <row r="510" spans="1:1" x14ac:dyDescent="0.25">
      <c r="A510" s="25" t="str">
        <f t="shared" si="7"/>
        <v/>
      </c>
    </row>
    <row r="511" spans="1:1" x14ac:dyDescent="0.25">
      <c r="A511" s="25" t="str">
        <f t="shared" si="7"/>
        <v/>
      </c>
    </row>
    <row r="512" spans="1:1" x14ac:dyDescent="0.25">
      <c r="A512" s="25" t="str">
        <f t="shared" si="7"/>
        <v/>
      </c>
    </row>
    <row r="513" spans="1:1" x14ac:dyDescent="0.25">
      <c r="A513" s="25" t="str">
        <f t="shared" si="7"/>
        <v/>
      </c>
    </row>
    <row r="514" spans="1:1" x14ac:dyDescent="0.25">
      <c r="A514" s="25" t="str">
        <f t="shared" si="7"/>
        <v/>
      </c>
    </row>
    <row r="515" spans="1:1" x14ac:dyDescent="0.25">
      <c r="A515" s="25" t="str">
        <f t="shared" si="7"/>
        <v/>
      </c>
    </row>
    <row r="516" spans="1:1" x14ac:dyDescent="0.25">
      <c r="A516" s="25" t="str">
        <f t="shared" si="7"/>
        <v/>
      </c>
    </row>
    <row r="517" spans="1:1" x14ac:dyDescent="0.25">
      <c r="A517" s="25" t="str">
        <f t="shared" ref="A517:A580" si="8">IF(AND(C517&lt;&gt;"",C517&lt;&gt;"Grand Total"),IF(EXACT(C516,C517),A516,A516+1),"")</f>
        <v/>
      </c>
    </row>
    <row r="518" spans="1:1" x14ac:dyDescent="0.25">
      <c r="A518" s="25" t="str">
        <f t="shared" si="8"/>
        <v/>
      </c>
    </row>
    <row r="519" spans="1:1" x14ac:dyDescent="0.25">
      <c r="A519" s="25" t="str">
        <f t="shared" si="8"/>
        <v/>
      </c>
    </row>
    <row r="520" spans="1:1" x14ac:dyDescent="0.25">
      <c r="A520" s="25" t="str">
        <f t="shared" si="8"/>
        <v/>
      </c>
    </row>
    <row r="521" spans="1:1" x14ac:dyDescent="0.25">
      <c r="A521" s="25" t="str">
        <f t="shared" si="8"/>
        <v/>
      </c>
    </row>
    <row r="522" spans="1:1" x14ac:dyDescent="0.25">
      <c r="A522" s="25" t="str">
        <f t="shared" si="8"/>
        <v/>
      </c>
    </row>
    <row r="523" spans="1:1" x14ac:dyDescent="0.25">
      <c r="A523" s="25" t="str">
        <f t="shared" si="8"/>
        <v/>
      </c>
    </row>
    <row r="524" spans="1:1" x14ac:dyDescent="0.25">
      <c r="A524" s="25" t="str">
        <f t="shared" si="8"/>
        <v/>
      </c>
    </row>
    <row r="525" spans="1:1" x14ac:dyDescent="0.25">
      <c r="A525" s="25" t="str">
        <f t="shared" si="8"/>
        <v/>
      </c>
    </row>
    <row r="526" spans="1:1" x14ac:dyDescent="0.25">
      <c r="A526" s="25" t="str">
        <f t="shared" si="8"/>
        <v/>
      </c>
    </row>
    <row r="527" spans="1:1" x14ac:dyDescent="0.25">
      <c r="A527" s="25" t="str">
        <f t="shared" si="8"/>
        <v/>
      </c>
    </row>
    <row r="528" spans="1:1" x14ac:dyDescent="0.25">
      <c r="A528" s="25" t="str">
        <f t="shared" si="8"/>
        <v/>
      </c>
    </row>
    <row r="529" spans="1:1" x14ac:dyDescent="0.25">
      <c r="A529" s="25" t="str">
        <f t="shared" si="8"/>
        <v/>
      </c>
    </row>
    <row r="530" spans="1:1" x14ac:dyDescent="0.25">
      <c r="A530" s="25" t="str">
        <f t="shared" si="8"/>
        <v/>
      </c>
    </row>
    <row r="531" spans="1:1" x14ac:dyDescent="0.25">
      <c r="A531" s="25" t="str">
        <f t="shared" si="8"/>
        <v/>
      </c>
    </row>
    <row r="532" spans="1:1" x14ac:dyDescent="0.25">
      <c r="A532" s="25" t="str">
        <f t="shared" si="8"/>
        <v/>
      </c>
    </row>
    <row r="533" spans="1:1" x14ac:dyDescent="0.25">
      <c r="A533" s="25" t="str">
        <f t="shared" si="8"/>
        <v/>
      </c>
    </row>
    <row r="534" spans="1:1" x14ac:dyDescent="0.25">
      <c r="A534" s="25" t="str">
        <f t="shared" si="8"/>
        <v/>
      </c>
    </row>
    <row r="535" spans="1:1" x14ac:dyDescent="0.25">
      <c r="A535" s="25" t="str">
        <f t="shared" si="8"/>
        <v/>
      </c>
    </row>
    <row r="536" spans="1:1" x14ac:dyDescent="0.25">
      <c r="A536" s="25" t="str">
        <f t="shared" si="8"/>
        <v/>
      </c>
    </row>
    <row r="537" spans="1:1" x14ac:dyDescent="0.25">
      <c r="A537" s="25" t="str">
        <f t="shared" si="8"/>
        <v/>
      </c>
    </row>
    <row r="538" spans="1:1" x14ac:dyDescent="0.25">
      <c r="A538" s="25" t="str">
        <f t="shared" si="8"/>
        <v/>
      </c>
    </row>
    <row r="539" spans="1:1" x14ac:dyDescent="0.25">
      <c r="A539" s="25" t="str">
        <f t="shared" si="8"/>
        <v/>
      </c>
    </row>
    <row r="540" spans="1:1" x14ac:dyDescent="0.25">
      <c r="A540" s="25" t="str">
        <f t="shared" si="8"/>
        <v/>
      </c>
    </row>
    <row r="541" spans="1:1" x14ac:dyDescent="0.25">
      <c r="A541" s="25" t="str">
        <f t="shared" si="8"/>
        <v/>
      </c>
    </row>
    <row r="542" spans="1:1" x14ac:dyDescent="0.25">
      <c r="A542" s="25" t="str">
        <f t="shared" si="8"/>
        <v/>
      </c>
    </row>
    <row r="543" spans="1:1" x14ac:dyDescent="0.25">
      <c r="A543" s="25" t="str">
        <f t="shared" si="8"/>
        <v/>
      </c>
    </row>
    <row r="544" spans="1:1" x14ac:dyDescent="0.25">
      <c r="A544" s="25" t="str">
        <f t="shared" si="8"/>
        <v/>
      </c>
    </row>
    <row r="545" spans="1:1" x14ac:dyDescent="0.25">
      <c r="A545" s="25" t="str">
        <f t="shared" si="8"/>
        <v/>
      </c>
    </row>
    <row r="546" spans="1:1" x14ac:dyDescent="0.25">
      <c r="A546" s="25" t="str">
        <f t="shared" si="8"/>
        <v/>
      </c>
    </row>
    <row r="547" spans="1:1" x14ac:dyDescent="0.25">
      <c r="A547" s="25" t="str">
        <f t="shared" si="8"/>
        <v/>
      </c>
    </row>
    <row r="548" spans="1:1" x14ac:dyDescent="0.25">
      <c r="A548" s="25" t="str">
        <f t="shared" si="8"/>
        <v/>
      </c>
    </row>
    <row r="549" spans="1:1" x14ac:dyDescent="0.25">
      <c r="A549" s="25" t="str">
        <f t="shared" si="8"/>
        <v/>
      </c>
    </row>
    <row r="550" spans="1:1" x14ac:dyDescent="0.25">
      <c r="A550" s="25" t="str">
        <f t="shared" si="8"/>
        <v/>
      </c>
    </row>
    <row r="551" spans="1:1" x14ac:dyDescent="0.25">
      <c r="A551" s="25" t="str">
        <f t="shared" si="8"/>
        <v/>
      </c>
    </row>
    <row r="552" spans="1:1" x14ac:dyDescent="0.25">
      <c r="A552" s="25" t="str">
        <f t="shared" si="8"/>
        <v/>
      </c>
    </row>
    <row r="553" spans="1:1" x14ac:dyDescent="0.25">
      <c r="A553" s="25" t="str">
        <f t="shared" si="8"/>
        <v/>
      </c>
    </row>
    <row r="554" spans="1:1" x14ac:dyDescent="0.25">
      <c r="A554" s="25" t="str">
        <f t="shared" si="8"/>
        <v/>
      </c>
    </row>
    <row r="555" spans="1:1" x14ac:dyDescent="0.25">
      <c r="A555" s="25" t="str">
        <f t="shared" si="8"/>
        <v/>
      </c>
    </row>
    <row r="556" spans="1:1" x14ac:dyDescent="0.25">
      <c r="A556" s="25" t="str">
        <f t="shared" si="8"/>
        <v/>
      </c>
    </row>
    <row r="557" spans="1:1" x14ac:dyDescent="0.25">
      <c r="A557" s="25" t="str">
        <f t="shared" si="8"/>
        <v/>
      </c>
    </row>
    <row r="558" spans="1:1" x14ac:dyDescent="0.25">
      <c r="A558" s="25" t="str">
        <f t="shared" si="8"/>
        <v/>
      </c>
    </row>
    <row r="559" spans="1:1" x14ac:dyDescent="0.25">
      <c r="A559" s="25" t="str">
        <f t="shared" si="8"/>
        <v/>
      </c>
    </row>
    <row r="560" spans="1:1" x14ac:dyDescent="0.25">
      <c r="A560" s="25" t="str">
        <f t="shared" si="8"/>
        <v/>
      </c>
    </row>
    <row r="561" spans="1:1" x14ac:dyDescent="0.25">
      <c r="A561" s="25" t="str">
        <f t="shared" si="8"/>
        <v/>
      </c>
    </row>
    <row r="562" spans="1:1" x14ac:dyDescent="0.25">
      <c r="A562" s="25" t="str">
        <f t="shared" si="8"/>
        <v/>
      </c>
    </row>
    <row r="563" spans="1:1" x14ac:dyDescent="0.25">
      <c r="A563" s="25" t="str">
        <f t="shared" si="8"/>
        <v/>
      </c>
    </row>
    <row r="564" spans="1:1" x14ac:dyDescent="0.25">
      <c r="A564" s="25" t="str">
        <f t="shared" si="8"/>
        <v/>
      </c>
    </row>
    <row r="565" spans="1:1" x14ac:dyDescent="0.25">
      <c r="A565" s="25" t="str">
        <f t="shared" si="8"/>
        <v/>
      </c>
    </row>
    <row r="566" spans="1:1" x14ac:dyDescent="0.25">
      <c r="A566" s="25" t="str">
        <f t="shared" si="8"/>
        <v/>
      </c>
    </row>
    <row r="567" spans="1:1" x14ac:dyDescent="0.25">
      <c r="A567" s="25" t="str">
        <f t="shared" si="8"/>
        <v/>
      </c>
    </row>
    <row r="568" spans="1:1" x14ac:dyDescent="0.25">
      <c r="A568" s="25" t="str">
        <f t="shared" si="8"/>
        <v/>
      </c>
    </row>
    <row r="569" spans="1:1" x14ac:dyDescent="0.25">
      <c r="A569" s="25" t="str">
        <f t="shared" si="8"/>
        <v/>
      </c>
    </row>
    <row r="570" spans="1:1" x14ac:dyDescent="0.25">
      <c r="A570" s="25" t="str">
        <f t="shared" si="8"/>
        <v/>
      </c>
    </row>
    <row r="571" spans="1:1" x14ac:dyDescent="0.25">
      <c r="A571" s="25" t="str">
        <f t="shared" si="8"/>
        <v/>
      </c>
    </row>
    <row r="572" spans="1:1" x14ac:dyDescent="0.25">
      <c r="A572" s="25" t="str">
        <f t="shared" si="8"/>
        <v/>
      </c>
    </row>
    <row r="573" spans="1:1" x14ac:dyDescent="0.25">
      <c r="A573" s="25" t="str">
        <f t="shared" si="8"/>
        <v/>
      </c>
    </row>
    <row r="574" spans="1:1" x14ac:dyDescent="0.25">
      <c r="A574" s="25" t="str">
        <f t="shared" si="8"/>
        <v/>
      </c>
    </row>
    <row r="575" spans="1:1" x14ac:dyDescent="0.25">
      <c r="A575" s="25" t="str">
        <f t="shared" si="8"/>
        <v/>
      </c>
    </row>
    <row r="576" spans="1:1" x14ac:dyDescent="0.25">
      <c r="A576" s="25" t="str">
        <f t="shared" si="8"/>
        <v/>
      </c>
    </row>
    <row r="577" spans="1:1" x14ac:dyDescent="0.25">
      <c r="A577" s="25" t="str">
        <f t="shared" si="8"/>
        <v/>
      </c>
    </row>
    <row r="578" spans="1:1" x14ac:dyDescent="0.25">
      <c r="A578" s="25" t="str">
        <f t="shared" si="8"/>
        <v/>
      </c>
    </row>
    <row r="579" spans="1:1" x14ac:dyDescent="0.25">
      <c r="A579" s="25" t="str">
        <f t="shared" si="8"/>
        <v/>
      </c>
    </row>
    <row r="580" spans="1:1" x14ac:dyDescent="0.25">
      <c r="A580" s="25" t="str">
        <f t="shared" si="8"/>
        <v/>
      </c>
    </row>
    <row r="581" spans="1:1" x14ac:dyDescent="0.25">
      <c r="A581" s="25" t="str">
        <f t="shared" ref="A581:A644" si="9">IF(AND(C581&lt;&gt;"",C581&lt;&gt;"Grand Total"),IF(EXACT(C580,C581),A580,A580+1),"")</f>
        <v/>
      </c>
    </row>
    <row r="582" spans="1:1" x14ac:dyDescent="0.25">
      <c r="A582" s="25" t="str">
        <f t="shared" si="9"/>
        <v/>
      </c>
    </row>
    <row r="583" spans="1:1" x14ac:dyDescent="0.25">
      <c r="A583" s="25" t="str">
        <f t="shared" si="9"/>
        <v/>
      </c>
    </row>
    <row r="584" spans="1:1" x14ac:dyDescent="0.25">
      <c r="A584" s="25" t="str">
        <f t="shared" si="9"/>
        <v/>
      </c>
    </row>
    <row r="585" spans="1:1" x14ac:dyDescent="0.25">
      <c r="A585" s="25" t="str">
        <f t="shared" si="9"/>
        <v/>
      </c>
    </row>
    <row r="586" spans="1:1" x14ac:dyDescent="0.25">
      <c r="A586" s="25" t="str">
        <f t="shared" si="9"/>
        <v/>
      </c>
    </row>
    <row r="587" spans="1:1" x14ac:dyDescent="0.25">
      <c r="A587" s="25" t="str">
        <f t="shared" si="9"/>
        <v/>
      </c>
    </row>
    <row r="588" spans="1:1" x14ac:dyDescent="0.25">
      <c r="A588" s="25" t="str">
        <f t="shared" si="9"/>
        <v/>
      </c>
    </row>
    <row r="589" spans="1:1" x14ac:dyDescent="0.25">
      <c r="A589" s="25" t="str">
        <f t="shared" si="9"/>
        <v/>
      </c>
    </row>
    <row r="590" spans="1:1" x14ac:dyDescent="0.25">
      <c r="A590" s="25" t="str">
        <f t="shared" si="9"/>
        <v/>
      </c>
    </row>
    <row r="591" spans="1:1" x14ac:dyDescent="0.25">
      <c r="A591" s="25" t="str">
        <f t="shared" si="9"/>
        <v/>
      </c>
    </row>
    <row r="592" spans="1:1" x14ac:dyDescent="0.25">
      <c r="A592" s="25" t="str">
        <f t="shared" si="9"/>
        <v/>
      </c>
    </row>
    <row r="593" spans="1:1" x14ac:dyDescent="0.25">
      <c r="A593" s="25" t="str">
        <f t="shared" si="9"/>
        <v/>
      </c>
    </row>
    <row r="594" spans="1:1" x14ac:dyDescent="0.25">
      <c r="A594" s="25" t="str">
        <f t="shared" si="9"/>
        <v/>
      </c>
    </row>
    <row r="595" spans="1:1" x14ac:dyDescent="0.25">
      <c r="A595" s="25" t="str">
        <f t="shared" si="9"/>
        <v/>
      </c>
    </row>
    <row r="596" spans="1:1" x14ac:dyDescent="0.25">
      <c r="A596" s="25" t="str">
        <f t="shared" si="9"/>
        <v/>
      </c>
    </row>
    <row r="597" spans="1:1" x14ac:dyDescent="0.25">
      <c r="A597" s="25" t="str">
        <f t="shared" si="9"/>
        <v/>
      </c>
    </row>
    <row r="598" spans="1:1" x14ac:dyDescent="0.25">
      <c r="A598" s="25" t="str">
        <f t="shared" si="9"/>
        <v/>
      </c>
    </row>
    <row r="599" spans="1:1" x14ac:dyDescent="0.25">
      <c r="A599" s="25" t="str">
        <f t="shared" si="9"/>
        <v/>
      </c>
    </row>
    <row r="600" spans="1:1" x14ac:dyDescent="0.25">
      <c r="A600" s="25" t="str">
        <f t="shared" si="9"/>
        <v/>
      </c>
    </row>
    <row r="601" spans="1:1" x14ac:dyDescent="0.25">
      <c r="A601" s="25" t="str">
        <f t="shared" si="9"/>
        <v/>
      </c>
    </row>
    <row r="602" spans="1:1" x14ac:dyDescent="0.25">
      <c r="A602" s="25" t="str">
        <f t="shared" si="9"/>
        <v/>
      </c>
    </row>
    <row r="603" spans="1:1" x14ac:dyDescent="0.25">
      <c r="A603" s="25" t="str">
        <f t="shared" si="9"/>
        <v/>
      </c>
    </row>
    <row r="604" spans="1:1" x14ac:dyDescent="0.25">
      <c r="A604" s="25" t="str">
        <f t="shared" si="9"/>
        <v/>
      </c>
    </row>
    <row r="605" spans="1:1" x14ac:dyDescent="0.25">
      <c r="A605" s="25" t="str">
        <f t="shared" si="9"/>
        <v/>
      </c>
    </row>
    <row r="606" spans="1:1" x14ac:dyDescent="0.25">
      <c r="A606" s="25" t="str">
        <f t="shared" si="9"/>
        <v/>
      </c>
    </row>
    <row r="607" spans="1:1" x14ac:dyDescent="0.25">
      <c r="A607" s="25" t="str">
        <f t="shared" si="9"/>
        <v/>
      </c>
    </row>
    <row r="608" spans="1:1" x14ac:dyDescent="0.25">
      <c r="A608" s="25" t="str">
        <f t="shared" si="9"/>
        <v/>
      </c>
    </row>
    <row r="609" spans="1:1" x14ac:dyDescent="0.25">
      <c r="A609" s="25" t="str">
        <f t="shared" si="9"/>
        <v/>
      </c>
    </row>
    <row r="610" spans="1:1" x14ac:dyDescent="0.25">
      <c r="A610" s="25" t="str">
        <f t="shared" si="9"/>
        <v/>
      </c>
    </row>
    <row r="611" spans="1:1" x14ac:dyDescent="0.25">
      <c r="A611" s="25" t="str">
        <f t="shared" si="9"/>
        <v/>
      </c>
    </row>
    <row r="612" spans="1:1" x14ac:dyDescent="0.25">
      <c r="A612" s="25" t="str">
        <f t="shared" si="9"/>
        <v/>
      </c>
    </row>
    <row r="613" spans="1:1" x14ac:dyDescent="0.25">
      <c r="A613" s="25" t="str">
        <f t="shared" si="9"/>
        <v/>
      </c>
    </row>
    <row r="614" spans="1:1" x14ac:dyDescent="0.25">
      <c r="A614" s="25" t="str">
        <f t="shared" si="9"/>
        <v/>
      </c>
    </row>
    <row r="615" spans="1:1" x14ac:dyDescent="0.25">
      <c r="A615" s="25" t="str">
        <f t="shared" si="9"/>
        <v/>
      </c>
    </row>
    <row r="616" spans="1:1" x14ac:dyDescent="0.25">
      <c r="A616" s="25" t="str">
        <f t="shared" si="9"/>
        <v/>
      </c>
    </row>
    <row r="617" spans="1:1" x14ac:dyDescent="0.25">
      <c r="A617" s="25" t="str">
        <f t="shared" si="9"/>
        <v/>
      </c>
    </row>
    <row r="618" spans="1:1" x14ac:dyDescent="0.25">
      <c r="A618" s="25" t="str">
        <f t="shared" si="9"/>
        <v/>
      </c>
    </row>
    <row r="619" spans="1:1" x14ac:dyDescent="0.25">
      <c r="A619" s="25" t="str">
        <f t="shared" si="9"/>
        <v/>
      </c>
    </row>
    <row r="620" spans="1:1" x14ac:dyDescent="0.25">
      <c r="A620" s="25" t="str">
        <f t="shared" si="9"/>
        <v/>
      </c>
    </row>
    <row r="621" spans="1:1" x14ac:dyDescent="0.25">
      <c r="A621" s="25" t="str">
        <f t="shared" si="9"/>
        <v/>
      </c>
    </row>
    <row r="622" spans="1:1" x14ac:dyDescent="0.25">
      <c r="A622" s="25" t="str">
        <f t="shared" si="9"/>
        <v/>
      </c>
    </row>
    <row r="623" spans="1:1" x14ac:dyDescent="0.25">
      <c r="A623" s="25" t="str">
        <f t="shared" si="9"/>
        <v/>
      </c>
    </row>
    <row r="624" spans="1:1" x14ac:dyDescent="0.25">
      <c r="A624" s="25" t="str">
        <f t="shared" si="9"/>
        <v/>
      </c>
    </row>
    <row r="625" spans="1:1" x14ac:dyDescent="0.25">
      <c r="A625" s="25" t="str">
        <f t="shared" si="9"/>
        <v/>
      </c>
    </row>
    <row r="626" spans="1:1" x14ac:dyDescent="0.25">
      <c r="A626" s="25" t="str">
        <f t="shared" si="9"/>
        <v/>
      </c>
    </row>
    <row r="627" spans="1:1" x14ac:dyDescent="0.25">
      <c r="A627" s="25" t="str">
        <f t="shared" si="9"/>
        <v/>
      </c>
    </row>
    <row r="628" spans="1:1" x14ac:dyDescent="0.25">
      <c r="A628" s="25" t="str">
        <f t="shared" si="9"/>
        <v/>
      </c>
    </row>
    <row r="629" spans="1:1" x14ac:dyDescent="0.25">
      <c r="A629" s="25" t="str">
        <f t="shared" si="9"/>
        <v/>
      </c>
    </row>
    <row r="630" spans="1:1" x14ac:dyDescent="0.25">
      <c r="A630" s="25" t="str">
        <f t="shared" si="9"/>
        <v/>
      </c>
    </row>
    <row r="631" spans="1:1" x14ac:dyDescent="0.25">
      <c r="A631" s="25" t="str">
        <f t="shared" si="9"/>
        <v/>
      </c>
    </row>
    <row r="632" spans="1:1" x14ac:dyDescent="0.25">
      <c r="A632" s="25" t="str">
        <f t="shared" si="9"/>
        <v/>
      </c>
    </row>
    <row r="633" spans="1:1" x14ac:dyDescent="0.25">
      <c r="A633" s="25" t="str">
        <f t="shared" si="9"/>
        <v/>
      </c>
    </row>
    <row r="634" spans="1:1" x14ac:dyDescent="0.25">
      <c r="A634" s="25" t="str">
        <f t="shared" si="9"/>
        <v/>
      </c>
    </row>
    <row r="635" spans="1:1" x14ac:dyDescent="0.25">
      <c r="A635" s="25" t="str">
        <f t="shared" si="9"/>
        <v/>
      </c>
    </row>
    <row r="636" spans="1:1" x14ac:dyDescent="0.25">
      <c r="A636" s="25" t="str">
        <f t="shared" si="9"/>
        <v/>
      </c>
    </row>
    <row r="637" spans="1:1" x14ac:dyDescent="0.25">
      <c r="A637" s="25" t="str">
        <f t="shared" si="9"/>
        <v/>
      </c>
    </row>
    <row r="638" spans="1:1" x14ac:dyDescent="0.25">
      <c r="A638" s="25" t="str">
        <f t="shared" si="9"/>
        <v/>
      </c>
    </row>
    <row r="639" spans="1:1" x14ac:dyDescent="0.25">
      <c r="A639" s="25" t="str">
        <f t="shared" si="9"/>
        <v/>
      </c>
    </row>
    <row r="640" spans="1:1" x14ac:dyDescent="0.25">
      <c r="A640" s="25" t="str">
        <f t="shared" si="9"/>
        <v/>
      </c>
    </row>
    <row r="641" spans="1:1" x14ac:dyDescent="0.25">
      <c r="A641" s="25" t="str">
        <f t="shared" si="9"/>
        <v/>
      </c>
    </row>
    <row r="642" spans="1:1" x14ac:dyDescent="0.25">
      <c r="A642" s="25" t="str">
        <f t="shared" si="9"/>
        <v/>
      </c>
    </row>
    <row r="643" spans="1:1" x14ac:dyDescent="0.25">
      <c r="A643" s="25" t="str">
        <f t="shared" si="9"/>
        <v/>
      </c>
    </row>
    <row r="644" spans="1:1" x14ac:dyDescent="0.25">
      <c r="A644" s="25" t="str">
        <f t="shared" si="9"/>
        <v/>
      </c>
    </row>
    <row r="645" spans="1:1" x14ac:dyDescent="0.25">
      <c r="A645" s="25" t="str">
        <f t="shared" ref="A645:A708" si="10">IF(AND(C645&lt;&gt;"",C645&lt;&gt;"Grand Total"),IF(EXACT(C644,C645),A644,A644+1),"")</f>
        <v/>
      </c>
    </row>
    <row r="646" spans="1:1" x14ac:dyDescent="0.25">
      <c r="A646" s="25" t="str">
        <f t="shared" si="10"/>
        <v/>
      </c>
    </row>
    <row r="647" spans="1:1" x14ac:dyDescent="0.25">
      <c r="A647" s="25" t="str">
        <f t="shared" si="10"/>
        <v/>
      </c>
    </row>
    <row r="648" spans="1:1" x14ac:dyDescent="0.25">
      <c r="A648" s="25" t="str">
        <f t="shared" si="10"/>
        <v/>
      </c>
    </row>
    <row r="649" spans="1:1" x14ac:dyDescent="0.25">
      <c r="A649" s="25" t="str">
        <f t="shared" si="10"/>
        <v/>
      </c>
    </row>
    <row r="650" spans="1:1" x14ac:dyDescent="0.25">
      <c r="A650" s="25" t="str">
        <f t="shared" si="10"/>
        <v/>
      </c>
    </row>
    <row r="651" spans="1:1" x14ac:dyDescent="0.25">
      <c r="A651" s="25" t="str">
        <f t="shared" si="10"/>
        <v/>
      </c>
    </row>
    <row r="652" spans="1:1" x14ac:dyDescent="0.25">
      <c r="A652" s="25" t="str">
        <f t="shared" si="10"/>
        <v/>
      </c>
    </row>
    <row r="653" spans="1:1" x14ac:dyDescent="0.25">
      <c r="A653" s="25" t="str">
        <f t="shared" si="10"/>
        <v/>
      </c>
    </row>
    <row r="654" spans="1:1" x14ac:dyDescent="0.25">
      <c r="A654" s="25" t="str">
        <f t="shared" si="10"/>
        <v/>
      </c>
    </row>
    <row r="655" spans="1:1" x14ac:dyDescent="0.25">
      <c r="A655" s="25" t="str">
        <f t="shared" si="10"/>
        <v/>
      </c>
    </row>
    <row r="656" spans="1:1" x14ac:dyDescent="0.25">
      <c r="A656" s="25" t="str">
        <f t="shared" si="10"/>
        <v/>
      </c>
    </row>
    <row r="657" spans="1:1" x14ac:dyDescent="0.25">
      <c r="A657" s="25" t="str">
        <f t="shared" si="10"/>
        <v/>
      </c>
    </row>
    <row r="658" spans="1:1" x14ac:dyDescent="0.25">
      <c r="A658" s="25" t="str">
        <f t="shared" si="10"/>
        <v/>
      </c>
    </row>
    <row r="659" spans="1:1" x14ac:dyDescent="0.25">
      <c r="A659" s="25" t="str">
        <f t="shared" si="10"/>
        <v/>
      </c>
    </row>
    <row r="660" spans="1:1" x14ac:dyDescent="0.25">
      <c r="A660" s="25" t="str">
        <f t="shared" si="10"/>
        <v/>
      </c>
    </row>
    <row r="661" spans="1:1" x14ac:dyDescent="0.25">
      <c r="A661" s="25" t="str">
        <f t="shared" si="10"/>
        <v/>
      </c>
    </row>
    <row r="662" spans="1:1" x14ac:dyDescent="0.25">
      <c r="A662" s="25" t="str">
        <f t="shared" si="10"/>
        <v/>
      </c>
    </row>
    <row r="663" spans="1:1" x14ac:dyDescent="0.25">
      <c r="A663" s="25" t="str">
        <f t="shared" si="10"/>
        <v/>
      </c>
    </row>
    <row r="664" spans="1:1" x14ac:dyDescent="0.25">
      <c r="A664" s="25" t="str">
        <f t="shared" si="10"/>
        <v/>
      </c>
    </row>
    <row r="665" spans="1:1" x14ac:dyDescent="0.25">
      <c r="A665" s="25" t="str">
        <f t="shared" si="10"/>
        <v/>
      </c>
    </row>
    <row r="666" spans="1:1" x14ac:dyDescent="0.25">
      <c r="A666" s="25" t="str">
        <f t="shared" si="10"/>
        <v/>
      </c>
    </row>
    <row r="667" spans="1:1" x14ac:dyDescent="0.25">
      <c r="A667" s="25" t="str">
        <f t="shared" si="10"/>
        <v/>
      </c>
    </row>
    <row r="668" spans="1:1" x14ac:dyDescent="0.25">
      <c r="A668" s="25" t="str">
        <f t="shared" si="10"/>
        <v/>
      </c>
    </row>
    <row r="669" spans="1:1" x14ac:dyDescent="0.25">
      <c r="A669" s="25" t="str">
        <f t="shared" si="10"/>
        <v/>
      </c>
    </row>
    <row r="670" spans="1:1" x14ac:dyDescent="0.25">
      <c r="A670" s="25" t="str">
        <f t="shared" si="10"/>
        <v/>
      </c>
    </row>
    <row r="671" spans="1:1" x14ac:dyDescent="0.25">
      <c r="A671" s="25" t="str">
        <f t="shared" si="10"/>
        <v/>
      </c>
    </row>
    <row r="672" spans="1:1" x14ac:dyDescent="0.25">
      <c r="A672" s="25" t="str">
        <f t="shared" si="10"/>
        <v/>
      </c>
    </row>
    <row r="673" spans="1:1" x14ac:dyDescent="0.25">
      <c r="A673" s="25" t="str">
        <f t="shared" si="10"/>
        <v/>
      </c>
    </row>
    <row r="674" spans="1:1" x14ac:dyDescent="0.25">
      <c r="A674" s="25" t="str">
        <f t="shared" si="10"/>
        <v/>
      </c>
    </row>
    <row r="675" spans="1:1" x14ac:dyDescent="0.25">
      <c r="A675" s="25" t="str">
        <f t="shared" si="10"/>
        <v/>
      </c>
    </row>
    <row r="676" spans="1:1" x14ac:dyDescent="0.25">
      <c r="A676" s="25" t="str">
        <f t="shared" si="10"/>
        <v/>
      </c>
    </row>
    <row r="677" spans="1:1" x14ac:dyDescent="0.25">
      <c r="A677" s="25" t="str">
        <f t="shared" si="10"/>
        <v/>
      </c>
    </row>
    <row r="678" spans="1:1" x14ac:dyDescent="0.25">
      <c r="A678" s="25" t="str">
        <f t="shared" si="10"/>
        <v/>
      </c>
    </row>
    <row r="679" spans="1:1" x14ac:dyDescent="0.25">
      <c r="A679" s="25" t="str">
        <f t="shared" si="10"/>
        <v/>
      </c>
    </row>
    <row r="680" spans="1:1" x14ac:dyDescent="0.25">
      <c r="A680" s="25" t="str">
        <f t="shared" si="10"/>
        <v/>
      </c>
    </row>
    <row r="681" spans="1:1" x14ac:dyDescent="0.25">
      <c r="A681" s="25" t="str">
        <f t="shared" si="10"/>
        <v/>
      </c>
    </row>
    <row r="682" spans="1:1" x14ac:dyDescent="0.25">
      <c r="A682" s="25" t="str">
        <f t="shared" si="10"/>
        <v/>
      </c>
    </row>
    <row r="683" spans="1:1" x14ac:dyDescent="0.25">
      <c r="A683" s="25" t="str">
        <f t="shared" si="10"/>
        <v/>
      </c>
    </row>
    <row r="684" spans="1:1" x14ac:dyDescent="0.25">
      <c r="A684" s="25" t="str">
        <f t="shared" si="10"/>
        <v/>
      </c>
    </row>
    <row r="685" spans="1:1" x14ac:dyDescent="0.25">
      <c r="A685" s="25" t="str">
        <f t="shared" si="10"/>
        <v/>
      </c>
    </row>
    <row r="686" spans="1:1" x14ac:dyDescent="0.25">
      <c r="A686" s="25" t="str">
        <f t="shared" si="10"/>
        <v/>
      </c>
    </row>
    <row r="687" spans="1:1" x14ac:dyDescent="0.25">
      <c r="A687" s="25" t="str">
        <f t="shared" si="10"/>
        <v/>
      </c>
    </row>
    <row r="688" spans="1:1" x14ac:dyDescent="0.25">
      <c r="A688" s="25" t="str">
        <f t="shared" si="10"/>
        <v/>
      </c>
    </row>
    <row r="689" spans="1:1" x14ac:dyDescent="0.25">
      <c r="A689" s="25" t="str">
        <f t="shared" si="10"/>
        <v/>
      </c>
    </row>
    <row r="690" spans="1:1" x14ac:dyDescent="0.25">
      <c r="A690" s="25" t="str">
        <f t="shared" si="10"/>
        <v/>
      </c>
    </row>
    <row r="691" spans="1:1" x14ac:dyDescent="0.25">
      <c r="A691" s="25" t="str">
        <f t="shared" si="10"/>
        <v/>
      </c>
    </row>
    <row r="692" spans="1:1" x14ac:dyDescent="0.25">
      <c r="A692" s="25" t="str">
        <f t="shared" si="10"/>
        <v/>
      </c>
    </row>
    <row r="693" spans="1:1" x14ac:dyDescent="0.25">
      <c r="A693" s="25" t="str">
        <f t="shared" si="10"/>
        <v/>
      </c>
    </row>
    <row r="694" spans="1:1" x14ac:dyDescent="0.25">
      <c r="A694" s="25" t="str">
        <f t="shared" si="10"/>
        <v/>
      </c>
    </row>
    <row r="695" spans="1:1" x14ac:dyDescent="0.25">
      <c r="A695" s="25" t="str">
        <f t="shared" si="10"/>
        <v/>
      </c>
    </row>
    <row r="696" spans="1:1" x14ac:dyDescent="0.25">
      <c r="A696" s="25" t="str">
        <f t="shared" si="10"/>
        <v/>
      </c>
    </row>
    <row r="697" spans="1:1" x14ac:dyDescent="0.25">
      <c r="A697" s="25" t="str">
        <f t="shared" si="10"/>
        <v/>
      </c>
    </row>
    <row r="698" spans="1:1" x14ac:dyDescent="0.25">
      <c r="A698" s="25" t="str">
        <f t="shared" si="10"/>
        <v/>
      </c>
    </row>
    <row r="699" spans="1:1" x14ac:dyDescent="0.25">
      <c r="A699" s="25" t="str">
        <f t="shared" si="10"/>
        <v/>
      </c>
    </row>
    <row r="700" spans="1:1" x14ac:dyDescent="0.25">
      <c r="A700" s="25" t="str">
        <f t="shared" si="10"/>
        <v/>
      </c>
    </row>
    <row r="701" spans="1:1" x14ac:dyDescent="0.25">
      <c r="A701" s="25" t="str">
        <f t="shared" si="10"/>
        <v/>
      </c>
    </row>
    <row r="702" spans="1:1" x14ac:dyDescent="0.25">
      <c r="A702" s="25" t="str">
        <f t="shared" si="10"/>
        <v/>
      </c>
    </row>
    <row r="703" spans="1:1" x14ac:dyDescent="0.25">
      <c r="A703" s="25" t="str">
        <f t="shared" si="10"/>
        <v/>
      </c>
    </row>
    <row r="704" spans="1:1" x14ac:dyDescent="0.25">
      <c r="A704" s="25" t="str">
        <f t="shared" si="10"/>
        <v/>
      </c>
    </row>
    <row r="705" spans="1:1" x14ac:dyDescent="0.25">
      <c r="A705" s="25" t="str">
        <f t="shared" si="10"/>
        <v/>
      </c>
    </row>
    <row r="706" spans="1:1" x14ac:dyDescent="0.25">
      <c r="A706" s="25" t="str">
        <f t="shared" si="10"/>
        <v/>
      </c>
    </row>
    <row r="707" spans="1:1" x14ac:dyDescent="0.25">
      <c r="A707" s="25" t="str">
        <f t="shared" si="10"/>
        <v/>
      </c>
    </row>
    <row r="708" spans="1:1" x14ac:dyDescent="0.25">
      <c r="A708" s="25" t="str">
        <f t="shared" si="10"/>
        <v/>
      </c>
    </row>
    <row r="709" spans="1:1" x14ac:dyDescent="0.25">
      <c r="A709" s="25" t="str">
        <f t="shared" ref="A709:A772" si="11">IF(AND(C709&lt;&gt;"",C709&lt;&gt;"Grand Total"),IF(EXACT(C708,C709),A708,A708+1),"")</f>
        <v/>
      </c>
    </row>
    <row r="710" spans="1:1" x14ac:dyDescent="0.25">
      <c r="A710" s="25" t="str">
        <f t="shared" si="11"/>
        <v/>
      </c>
    </row>
    <row r="711" spans="1:1" x14ac:dyDescent="0.25">
      <c r="A711" s="25" t="str">
        <f t="shared" si="11"/>
        <v/>
      </c>
    </row>
    <row r="712" spans="1:1" x14ac:dyDescent="0.25">
      <c r="A712" s="25" t="str">
        <f t="shared" si="11"/>
        <v/>
      </c>
    </row>
    <row r="713" spans="1:1" x14ac:dyDescent="0.25">
      <c r="A713" s="25" t="str">
        <f t="shared" si="11"/>
        <v/>
      </c>
    </row>
    <row r="714" spans="1:1" x14ac:dyDescent="0.25">
      <c r="A714" s="25" t="str">
        <f t="shared" si="11"/>
        <v/>
      </c>
    </row>
    <row r="715" spans="1:1" x14ac:dyDescent="0.25">
      <c r="A715" s="25" t="str">
        <f t="shared" si="11"/>
        <v/>
      </c>
    </row>
    <row r="716" spans="1:1" x14ac:dyDescent="0.25">
      <c r="A716" s="25" t="str">
        <f t="shared" si="11"/>
        <v/>
      </c>
    </row>
    <row r="717" spans="1:1" x14ac:dyDescent="0.25">
      <c r="A717" s="25" t="str">
        <f t="shared" si="11"/>
        <v/>
      </c>
    </row>
    <row r="718" spans="1:1" x14ac:dyDescent="0.25">
      <c r="A718" s="25" t="str">
        <f t="shared" si="11"/>
        <v/>
      </c>
    </row>
    <row r="719" spans="1:1" x14ac:dyDescent="0.25">
      <c r="A719" s="25" t="str">
        <f t="shared" si="11"/>
        <v/>
      </c>
    </row>
    <row r="720" spans="1:1" x14ac:dyDescent="0.25">
      <c r="A720" s="25" t="str">
        <f t="shared" si="11"/>
        <v/>
      </c>
    </row>
    <row r="721" spans="1:1" x14ac:dyDescent="0.25">
      <c r="A721" s="25" t="str">
        <f t="shared" si="11"/>
        <v/>
      </c>
    </row>
    <row r="722" spans="1:1" x14ac:dyDescent="0.25">
      <c r="A722" s="25" t="str">
        <f t="shared" si="11"/>
        <v/>
      </c>
    </row>
    <row r="723" spans="1:1" x14ac:dyDescent="0.25">
      <c r="A723" s="25" t="str">
        <f t="shared" si="11"/>
        <v/>
      </c>
    </row>
    <row r="724" spans="1:1" x14ac:dyDescent="0.25">
      <c r="A724" s="25" t="str">
        <f t="shared" si="11"/>
        <v/>
      </c>
    </row>
    <row r="725" spans="1:1" x14ac:dyDescent="0.25">
      <c r="A725" s="25" t="str">
        <f t="shared" si="11"/>
        <v/>
      </c>
    </row>
    <row r="726" spans="1:1" x14ac:dyDescent="0.25">
      <c r="A726" s="25" t="str">
        <f t="shared" si="11"/>
        <v/>
      </c>
    </row>
    <row r="727" spans="1:1" x14ac:dyDescent="0.25">
      <c r="A727" s="25" t="str">
        <f t="shared" si="11"/>
        <v/>
      </c>
    </row>
    <row r="728" spans="1:1" x14ac:dyDescent="0.25">
      <c r="A728" s="25" t="str">
        <f t="shared" si="11"/>
        <v/>
      </c>
    </row>
    <row r="729" spans="1:1" x14ac:dyDescent="0.25">
      <c r="A729" s="25" t="str">
        <f t="shared" si="11"/>
        <v/>
      </c>
    </row>
    <row r="730" spans="1:1" x14ac:dyDescent="0.25">
      <c r="A730" s="25" t="str">
        <f t="shared" si="11"/>
        <v/>
      </c>
    </row>
    <row r="731" spans="1:1" x14ac:dyDescent="0.25">
      <c r="A731" s="25" t="str">
        <f t="shared" si="11"/>
        <v/>
      </c>
    </row>
    <row r="732" spans="1:1" x14ac:dyDescent="0.25">
      <c r="A732" s="25" t="str">
        <f t="shared" si="11"/>
        <v/>
      </c>
    </row>
    <row r="733" spans="1:1" x14ac:dyDescent="0.25">
      <c r="A733" s="25" t="str">
        <f t="shared" si="11"/>
        <v/>
      </c>
    </row>
    <row r="734" spans="1:1" x14ac:dyDescent="0.25">
      <c r="A734" s="25" t="str">
        <f t="shared" si="11"/>
        <v/>
      </c>
    </row>
    <row r="735" spans="1:1" x14ac:dyDescent="0.25">
      <c r="A735" s="25" t="str">
        <f t="shared" si="11"/>
        <v/>
      </c>
    </row>
    <row r="736" spans="1:1" x14ac:dyDescent="0.25">
      <c r="A736" s="25" t="str">
        <f t="shared" si="11"/>
        <v/>
      </c>
    </row>
    <row r="737" spans="1:1" x14ac:dyDescent="0.25">
      <c r="A737" s="25" t="str">
        <f t="shared" si="11"/>
        <v/>
      </c>
    </row>
    <row r="738" spans="1:1" x14ac:dyDescent="0.25">
      <c r="A738" s="25" t="str">
        <f t="shared" si="11"/>
        <v/>
      </c>
    </row>
    <row r="739" spans="1:1" x14ac:dyDescent="0.25">
      <c r="A739" s="25" t="str">
        <f t="shared" si="11"/>
        <v/>
      </c>
    </row>
    <row r="740" spans="1:1" x14ac:dyDescent="0.25">
      <c r="A740" s="25" t="str">
        <f t="shared" si="11"/>
        <v/>
      </c>
    </row>
    <row r="741" spans="1:1" x14ac:dyDescent="0.25">
      <c r="A741" s="25" t="str">
        <f t="shared" si="11"/>
        <v/>
      </c>
    </row>
    <row r="742" spans="1:1" x14ac:dyDescent="0.25">
      <c r="A742" s="25" t="str">
        <f t="shared" si="11"/>
        <v/>
      </c>
    </row>
    <row r="743" spans="1:1" x14ac:dyDescent="0.25">
      <c r="A743" s="25" t="str">
        <f t="shared" si="11"/>
        <v/>
      </c>
    </row>
    <row r="744" spans="1:1" x14ac:dyDescent="0.25">
      <c r="A744" s="25" t="str">
        <f t="shared" si="11"/>
        <v/>
      </c>
    </row>
    <row r="745" spans="1:1" x14ac:dyDescent="0.25">
      <c r="A745" s="25" t="str">
        <f t="shared" si="11"/>
        <v/>
      </c>
    </row>
    <row r="746" spans="1:1" x14ac:dyDescent="0.25">
      <c r="A746" s="25" t="str">
        <f t="shared" si="11"/>
        <v/>
      </c>
    </row>
    <row r="747" spans="1:1" x14ac:dyDescent="0.25">
      <c r="A747" s="25" t="str">
        <f t="shared" si="11"/>
        <v/>
      </c>
    </row>
    <row r="748" spans="1:1" x14ac:dyDescent="0.25">
      <c r="A748" s="25" t="str">
        <f t="shared" si="11"/>
        <v/>
      </c>
    </row>
    <row r="749" spans="1:1" x14ac:dyDescent="0.25">
      <c r="A749" s="25" t="str">
        <f t="shared" si="11"/>
        <v/>
      </c>
    </row>
    <row r="750" spans="1:1" x14ac:dyDescent="0.25">
      <c r="A750" s="25" t="str">
        <f t="shared" si="11"/>
        <v/>
      </c>
    </row>
    <row r="751" spans="1:1" x14ac:dyDescent="0.25">
      <c r="A751" s="25" t="str">
        <f t="shared" si="11"/>
        <v/>
      </c>
    </row>
    <row r="752" spans="1:1" x14ac:dyDescent="0.25">
      <c r="A752" s="25" t="str">
        <f t="shared" si="11"/>
        <v/>
      </c>
    </row>
    <row r="753" spans="1:1" x14ac:dyDescent="0.25">
      <c r="A753" s="25" t="str">
        <f t="shared" si="11"/>
        <v/>
      </c>
    </row>
    <row r="754" spans="1:1" x14ac:dyDescent="0.25">
      <c r="A754" s="25" t="str">
        <f t="shared" si="11"/>
        <v/>
      </c>
    </row>
    <row r="755" spans="1:1" x14ac:dyDescent="0.25">
      <c r="A755" s="25" t="str">
        <f t="shared" si="11"/>
        <v/>
      </c>
    </row>
    <row r="756" spans="1:1" x14ac:dyDescent="0.25">
      <c r="A756" s="25" t="str">
        <f t="shared" si="11"/>
        <v/>
      </c>
    </row>
    <row r="757" spans="1:1" x14ac:dyDescent="0.25">
      <c r="A757" s="25" t="str">
        <f t="shared" si="11"/>
        <v/>
      </c>
    </row>
    <row r="758" spans="1:1" x14ac:dyDescent="0.25">
      <c r="A758" s="25" t="str">
        <f t="shared" si="11"/>
        <v/>
      </c>
    </row>
    <row r="759" spans="1:1" x14ac:dyDescent="0.25">
      <c r="A759" s="25" t="str">
        <f t="shared" si="11"/>
        <v/>
      </c>
    </row>
    <row r="760" spans="1:1" x14ac:dyDescent="0.25">
      <c r="A760" s="25" t="str">
        <f t="shared" si="11"/>
        <v/>
      </c>
    </row>
    <row r="761" spans="1:1" x14ac:dyDescent="0.25">
      <c r="A761" s="25" t="str">
        <f t="shared" si="11"/>
        <v/>
      </c>
    </row>
    <row r="762" spans="1:1" x14ac:dyDescent="0.25">
      <c r="A762" s="25" t="str">
        <f t="shared" si="11"/>
        <v/>
      </c>
    </row>
    <row r="763" spans="1:1" x14ac:dyDescent="0.25">
      <c r="A763" s="25" t="str">
        <f t="shared" si="11"/>
        <v/>
      </c>
    </row>
    <row r="764" spans="1:1" x14ac:dyDescent="0.25">
      <c r="A764" s="25" t="str">
        <f t="shared" si="11"/>
        <v/>
      </c>
    </row>
    <row r="765" spans="1:1" x14ac:dyDescent="0.25">
      <c r="A765" s="25" t="str">
        <f t="shared" si="11"/>
        <v/>
      </c>
    </row>
    <row r="766" spans="1:1" x14ac:dyDescent="0.25">
      <c r="A766" s="25" t="str">
        <f t="shared" si="11"/>
        <v/>
      </c>
    </row>
    <row r="767" spans="1:1" x14ac:dyDescent="0.25">
      <c r="A767" s="25" t="str">
        <f t="shared" si="11"/>
        <v/>
      </c>
    </row>
    <row r="768" spans="1:1" x14ac:dyDescent="0.25">
      <c r="A768" s="25" t="str">
        <f t="shared" si="11"/>
        <v/>
      </c>
    </row>
    <row r="769" spans="1:1" x14ac:dyDescent="0.25">
      <c r="A769" s="25" t="str">
        <f t="shared" si="11"/>
        <v/>
      </c>
    </row>
    <row r="770" spans="1:1" x14ac:dyDescent="0.25">
      <c r="A770" s="25" t="str">
        <f t="shared" si="11"/>
        <v/>
      </c>
    </row>
    <row r="771" spans="1:1" x14ac:dyDescent="0.25">
      <c r="A771" s="25" t="str">
        <f t="shared" si="11"/>
        <v/>
      </c>
    </row>
    <row r="772" spans="1:1" x14ac:dyDescent="0.25">
      <c r="A772" s="25" t="str">
        <f t="shared" si="11"/>
        <v/>
      </c>
    </row>
    <row r="773" spans="1:1" x14ac:dyDescent="0.25">
      <c r="A773" s="25" t="str">
        <f t="shared" ref="A773:A836" si="12">IF(AND(C773&lt;&gt;"",C773&lt;&gt;"Grand Total"),IF(EXACT(C772,C773),A772,A772+1),"")</f>
        <v/>
      </c>
    </row>
    <row r="774" spans="1:1" x14ac:dyDescent="0.25">
      <c r="A774" s="25" t="str">
        <f t="shared" si="12"/>
        <v/>
      </c>
    </row>
    <row r="775" spans="1:1" x14ac:dyDescent="0.25">
      <c r="A775" s="25" t="str">
        <f t="shared" si="12"/>
        <v/>
      </c>
    </row>
    <row r="776" spans="1:1" x14ac:dyDescent="0.25">
      <c r="A776" s="25" t="str">
        <f t="shared" si="12"/>
        <v/>
      </c>
    </row>
    <row r="777" spans="1:1" x14ac:dyDescent="0.25">
      <c r="A777" s="25" t="str">
        <f t="shared" si="12"/>
        <v/>
      </c>
    </row>
    <row r="778" spans="1:1" x14ac:dyDescent="0.25">
      <c r="A778" s="25" t="str">
        <f t="shared" si="12"/>
        <v/>
      </c>
    </row>
    <row r="779" spans="1:1" x14ac:dyDescent="0.25">
      <c r="A779" s="25" t="str">
        <f t="shared" si="12"/>
        <v/>
      </c>
    </row>
    <row r="780" spans="1:1" x14ac:dyDescent="0.25">
      <c r="A780" s="25" t="str">
        <f t="shared" si="12"/>
        <v/>
      </c>
    </row>
    <row r="781" spans="1:1" x14ac:dyDescent="0.25">
      <c r="A781" s="25" t="str">
        <f t="shared" si="12"/>
        <v/>
      </c>
    </row>
    <row r="782" spans="1:1" x14ac:dyDescent="0.25">
      <c r="A782" s="25" t="str">
        <f t="shared" si="12"/>
        <v/>
      </c>
    </row>
    <row r="783" spans="1:1" x14ac:dyDescent="0.25">
      <c r="A783" s="25" t="str">
        <f t="shared" si="12"/>
        <v/>
      </c>
    </row>
    <row r="784" spans="1:1" x14ac:dyDescent="0.25">
      <c r="A784" s="25" t="str">
        <f t="shared" si="12"/>
        <v/>
      </c>
    </row>
    <row r="785" spans="1:1" x14ac:dyDescent="0.25">
      <c r="A785" s="25" t="str">
        <f t="shared" si="12"/>
        <v/>
      </c>
    </row>
    <row r="786" spans="1:1" x14ac:dyDescent="0.25">
      <c r="A786" s="25" t="str">
        <f t="shared" si="12"/>
        <v/>
      </c>
    </row>
    <row r="787" spans="1:1" x14ac:dyDescent="0.25">
      <c r="A787" s="25" t="str">
        <f t="shared" si="12"/>
        <v/>
      </c>
    </row>
    <row r="788" spans="1:1" x14ac:dyDescent="0.25">
      <c r="A788" s="25" t="str">
        <f t="shared" si="12"/>
        <v/>
      </c>
    </row>
    <row r="789" spans="1:1" x14ac:dyDescent="0.25">
      <c r="A789" s="25" t="str">
        <f t="shared" si="12"/>
        <v/>
      </c>
    </row>
    <row r="790" spans="1:1" x14ac:dyDescent="0.25">
      <c r="A790" s="25" t="str">
        <f t="shared" si="12"/>
        <v/>
      </c>
    </row>
    <row r="791" spans="1:1" x14ac:dyDescent="0.25">
      <c r="A791" s="25" t="str">
        <f t="shared" si="12"/>
        <v/>
      </c>
    </row>
    <row r="792" spans="1:1" x14ac:dyDescent="0.25">
      <c r="A792" s="25" t="str">
        <f t="shared" si="12"/>
        <v/>
      </c>
    </row>
    <row r="793" spans="1:1" x14ac:dyDescent="0.25">
      <c r="A793" s="25" t="str">
        <f t="shared" si="12"/>
        <v/>
      </c>
    </row>
    <row r="794" spans="1:1" x14ac:dyDescent="0.25">
      <c r="A794" s="25" t="str">
        <f t="shared" si="12"/>
        <v/>
      </c>
    </row>
    <row r="795" spans="1:1" x14ac:dyDescent="0.25">
      <c r="A795" s="25" t="str">
        <f t="shared" si="12"/>
        <v/>
      </c>
    </row>
    <row r="796" spans="1:1" x14ac:dyDescent="0.25">
      <c r="A796" s="25" t="str">
        <f t="shared" si="12"/>
        <v/>
      </c>
    </row>
    <row r="797" spans="1:1" x14ac:dyDescent="0.25">
      <c r="A797" s="25" t="str">
        <f t="shared" si="12"/>
        <v/>
      </c>
    </row>
    <row r="798" spans="1:1" x14ac:dyDescent="0.25">
      <c r="A798" s="25" t="str">
        <f t="shared" si="12"/>
        <v/>
      </c>
    </row>
    <row r="799" spans="1:1" x14ac:dyDescent="0.25">
      <c r="A799" s="25" t="str">
        <f t="shared" si="12"/>
        <v/>
      </c>
    </row>
    <row r="800" spans="1:1" x14ac:dyDescent="0.25">
      <c r="A800" s="25" t="str">
        <f t="shared" si="12"/>
        <v/>
      </c>
    </row>
    <row r="801" spans="1:1" x14ac:dyDescent="0.25">
      <c r="A801" s="25" t="str">
        <f t="shared" si="12"/>
        <v/>
      </c>
    </row>
    <row r="802" spans="1:1" x14ac:dyDescent="0.25">
      <c r="A802" s="25" t="str">
        <f t="shared" si="12"/>
        <v/>
      </c>
    </row>
    <row r="803" spans="1:1" x14ac:dyDescent="0.25">
      <c r="A803" s="25" t="str">
        <f t="shared" si="12"/>
        <v/>
      </c>
    </row>
    <row r="804" spans="1:1" x14ac:dyDescent="0.25">
      <c r="A804" s="25" t="str">
        <f t="shared" si="12"/>
        <v/>
      </c>
    </row>
    <row r="805" spans="1:1" x14ac:dyDescent="0.25">
      <c r="A805" s="25" t="str">
        <f t="shared" si="12"/>
        <v/>
      </c>
    </row>
    <row r="806" spans="1:1" x14ac:dyDescent="0.25">
      <c r="A806" s="25" t="str">
        <f t="shared" si="12"/>
        <v/>
      </c>
    </row>
    <row r="807" spans="1:1" x14ac:dyDescent="0.25">
      <c r="A807" s="25" t="str">
        <f t="shared" si="12"/>
        <v/>
      </c>
    </row>
    <row r="808" spans="1:1" x14ac:dyDescent="0.25">
      <c r="A808" s="25" t="str">
        <f t="shared" si="12"/>
        <v/>
      </c>
    </row>
    <row r="809" spans="1:1" x14ac:dyDescent="0.25">
      <c r="A809" s="25" t="str">
        <f t="shared" si="12"/>
        <v/>
      </c>
    </row>
    <row r="810" spans="1:1" x14ac:dyDescent="0.25">
      <c r="A810" s="25" t="str">
        <f t="shared" si="12"/>
        <v/>
      </c>
    </row>
    <row r="811" spans="1:1" x14ac:dyDescent="0.25">
      <c r="A811" s="25" t="str">
        <f t="shared" si="12"/>
        <v/>
      </c>
    </row>
    <row r="812" spans="1:1" x14ac:dyDescent="0.25">
      <c r="A812" s="25" t="str">
        <f t="shared" si="12"/>
        <v/>
      </c>
    </row>
    <row r="813" spans="1:1" x14ac:dyDescent="0.25">
      <c r="A813" s="25" t="str">
        <f t="shared" si="12"/>
        <v/>
      </c>
    </row>
    <row r="814" spans="1:1" x14ac:dyDescent="0.25">
      <c r="A814" s="25" t="str">
        <f t="shared" si="12"/>
        <v/>
      </c>
    </row>
    <row r="815" spans="1:1" x14ac:dyDescent="0.25">
      <c r="A815" s="25" t="str">
        <f t="shared" si="12"/>
        <v/>
      </c>
    </row>
    <row r="816" spans="1:1" x14ac:dyDescent="0.25">
      <c r="A816" s="25" t="str">
        <f t="shared" si="12"/>
        <v/>
      </c>
    </row>
    <row r="817" spans="1:1" x14ac:dyDescent="0.25">
      <c r="A817" s="25" t="str">
        <f t="shared" si="12"/>
        <v/>
      </c>
    </row>
    <row r="818" spans="1:1" x14ac:dyDescent="0.25">
      <c r="A818" s="25" t="str">
        <f t="shared" si="12"/>
        <v/>
      </c>
    </row>
    <row r="819" spans="1:1" x14ac:dyDescent="0.25">
      <c r="A819" s="25" t="str">
        <f t="shared" si="12"/>
        <v/>
      </c>
    </row>
    <row r="820" spans="1:1" x14ac:dyDescent="0.25">
      <c r="A820" s="25" t="str">
        <f t="shared" si="12"/>
        <v/>
      </c>
    </row>
    <row r="821" spans="1:1" x14ac:dyDescent="0.25">
      <c r="A821" s="25" t="str">
        <f t="shared" si="12"/>
        <v/>
      </c>
    </row>
    <row r="822" spans="1:1" x14ac:dyDescent="0.25">
      <c r="A822" s="25" t="str">
        <f t="shared" si="12"/>
        <v/>
      </c>
    </row>
    <row r="823" spans="1:1" x14ac:dyDescent="0.25">
      <c r="A823" s="25" t="str">
        <f t="shared" si="12"/>
        <v/>
      </c>
    </row>
    <row r="824" spans="1:1" x14ac:dyDescent="0.25">
      <c r="A824" s="25" t="str">
        <f t="shared" si="12"/>
        <v/>
      </c>
    </row>
    <row r="825" spans="1:1" x14ac:dyDescent="0.25">
      <c r="A825" s="25" t="str">
        <f t="shared" si="12"/>
        <v/>
      </c>
    </row>
    <row r="826" spans="1:1" x14ac:dyDescent="0.25">
      <c r="A826" s="25" t="str">
        <f t="shared" si="12"/>
        <v/>
      </c>
    </row>
    <row r="827" spans="1:1" x14ac:dyDescent="0.25">
      <c r="A827" s="25" t="str">
        <f t="shared" si="12"/>
        <v/>
      </c>
    </row>
    <row r="828" spans="1:1" x14ac:dyDescent="0.25">
      <c r="A828" s="25" t="str">
        <f t="shared" si="12"/>
        <v/>
      </c>
    </row>
    <row r="829" spans="1:1" x14ac:dyDescent="0.25">
      <c r="A829" s="25" t="str">
        <f t="shared" si="12"/>
        <v/>
      </c>
    </row>
    <row r="830" spans="1:1" x14ac:dyDescent="0.25">
      <c r="A830" s="25" t="str">
        <f t="shared" si="12"/>
        <v/>
      </c>
    </row>
    <row r="831" spans="1:1" x14ac:dyDescent="0.25">
      <c r="A831" s="25" t="str">
        <f t="shared" si="12"/>
        <v/>
      </c>
    </row>
    <row r="832" spans="1:1" x14ac:dyDescent="0.25">
      <c r="A832" s="25" t="str">
        <f t="shared" si="12"/>
        <v/>
      </c>
    </row>
    <row r="833" spans="1:1" x14ac:dyDescent="0.25">
      <c r="A833" s="25" t="str">
        <f t="shared" si="12"/>
        <v/>
      </c>
    </row>
    <row r="834" spans="1:1" x14ac:dyDescent="0.25">
      <c r="A834" s="25" t="str">
        <f t="shared" si="12"/>
        <v/>
      </c>
    </row>
    <row r="835" spans="1:1" x14ac:dyDescent="0.25">
      <c r="A835" s="25" t="str">
        <f t="shared" si="12"/>
        <v/>
      </c>
    </row>
    <row r="836" spans="1:1" x14ac:dyDescent="0.25">
      <c r="A836" s="25" t="str">
        <f t="shared" si="12"/>
        <v/>
      </c>
    </row>
    <row r="837" spans="1:1" x14ac:dyDescent="0.25">
      <c r="A837" s="25" t="str">
        <f t="shared" ref="A837:A900" si="13">IF(AND(C837&lt;&gt;"",C837&lt;&gt;"Grand Total"),IF(EXACT(C836,C837),A836,A836+1),"")</f>
        <v/>
      </c>
    </row>
    <row r="838" spans="1:1" x14ac:dyDescent="0.25">
      <c r="A838" s="25" t="str">
        <f t="shared" si="13"/>
        <v/>
      </c>
    </row>
    <row r="839" spans="1:1" x14ac:dyDescent="0.25">
      <c r="A839" s="25" t="str">
        <f t="shared" si="13"/>
        <v/>
      </c>
    </row>
    <row r="840" spans="1:1" x14ac:dyDescent="0.25">
      <c r="A840" s="25" t="str">
        <f t="shared" si="13"/>
        <v/>
      </c>
    </row>
    <row r="841" spans="1:1" x14ac:dyDescent="0.25">
      <c r="A841" s="25" t="str">
        <f t="shared" si="13"/>
        <v/>
      </c>
    </row>
    <row r="842" spans="1:1" x14ac:dyDescent="0.25">
      <c r="A842" s="25" t="str">
        <f t="shared" si="13"/>
        <v/>
      </c>
    </row>
    <row r="843" spans="1:1" x14ac:dyDescent="0.25">
      <c r="A843" s="25" t="str">
        <f t="shared" si="13"/>
        <v/>
      </c>
    </row>
    <row r="844" spans="1:1" x14ac:dyDescent="0.25">
      <c r="A844" s="25" t="str">
        <f t="shared" si="13"/>
        <v/>
      </c>
    </row>
    <row r="845" spans="1:1" x14ac:dyDescent="0.25">
      <c r="A845" s="25" t="str">
        <f t="shared" si="13"/>
        <v/>
      </c>
    </row>
    <row r="846" spans="1:1" x14ac:dyDescent="0.25">
      <c r="A846" s="25" t="str">
        <f t="shared" si="13"/>
        <v/>
      </c>
    </row>
    <row r="847" spans="1:1" x14ac:dyDescent="0.25">
      <c r="A847" s="25" t="str">
        <f t="shared" si="13"/>
        <v/>
      </c>
    </row>
    <row r="848" spans="1:1" x14ac:dyDescent="0.25">
      <c r="A848" s="25" t="str">
        <f t="shared" si="13"/>
        <v/>
      </c>
    </row>
    <row r="849" spans="1:1" x14ac:dyDescent="0.25">
      <c r="A849" s="25" t="str">
        <f t="shared" si="13"/>
        <v/>
      </c>
    </row>
    <row r="850" spans="1:1" x14ac:dyDescent="0.25">
      <c r="A850" s="25" t="str">
        <f t="shared" si="13"/>
        <v/>
      </c>
    </row>
    <row r="851" spans="1:1" x14ac:dyDescent="0.25">
      <c r="A851" s="25" t="str">
        <f t="shared" si="13"/>
        <v/>
      </c>
    </row>
    <row r="852" spans="1:1" x14ac:dyDescent="0.25">
      <c r="A852" s="25" t="str">
        <f t="shared" si="13"/>
        <v/>
      </c>
    </row>
    <row r="853" spans="1:1" x14ac:dyDescent="0.25">
      <c r="A853" s="25" t="str">
        <f t="shared" si="13"/>
        <v/>
      </c>
    </row>
    <row r="854" spans="1:1" x14ac:dyDescent="0.25">
      <c r="A854" s="25" t="str">
        <f t="shared" si="13"/>
        <v/>
      </c>
    </row>
    <row r="855" spans="1:1" x14ac:dyDescent="0.25">
      <c r="A855" s="25" t="str">
        <f t="shared" si="13"/>
        <v/>
      </c>
    </row>
    <row r="856" spans="1:1" x14ac:dyDescent="0.25">
      <c r="A856" s="25" t="str">
        <f t="shared" si="13"/>
        <v/>
      </c>
    </row>
    <row r="857" spans="1:1" x14ac:dyDescent="0.25">
      <c r="A857" s="25" t="str">
        <f t="shared" si="13"/>
        <v/>
      </c>
    </row>
    <row r="858" spans="1:1" x14ac:dyDescent="0.25">
      <c r="A858" s="25" t="str">
        <f t="shared" si="13"/>
        <v/>
      </c>
    </row>
    <row r="859" spans="1:1" x14ac:dyDescent="0.25">
      <c r="A859" s="25" t="str">
        <f t="shared" si="13"/>
        <v/>
      </c>
    </row>
    <row r="860" spans="1:1" x14ac:dyDescent="0.25">
      <c r="A860" s="25" t="str">
        <f t="shared" si="13"/>
        <v/>
      </c>
    </row>
    <row r="861" spans="1:1" x14ac:dyDescent="0.25">
      <c r="A861" s="25" t="str">
        <f t="shared" si="13"/>
        <v/>
      </c>
    </row>
    <row r="862" spans="1:1" x14ac:dyDescent="0.25">
      <c r="A862" s="25" t="str">
        <f t="shared" si="13"/>
        <v/>
      </c>
    </row>
    <row r="863" spans="1:1" x14ac:dyDescent="0.25">
      <c r="A863" s="25" t="str">
        <f t="shared" si="13"/>
        <v/>
      </c>
    </row>
    <row r="864" spans="1:1" x14ac:dyDescent="0.25">
      <c r="A864" s="25" t="str">
        <f t="shared" si="13"/>
        <v/>
      </c>
    </row>
    <row r="865" spans="1:1" x14ac:dyDescent="0.25">
      <c r="A865" s="25" t="str">
        <f t="shared" si="13"/>
        <v/>
      </c>
    </row>
    <row r="866" spans="1:1" x14ac:dyDescent="0.25">
      <c r="A866" s="25" t="str">
        <f t="shared" si="13"/>
        <v/>
      </c>
    </row>
    <row r="867" spans="1:1" x14ac:dyDescent="0.25">
      <c r="A867" s="25" t="str">
        <f t="shared" si="13"/>
        <v/>
      </c>
    </row>
    <row r="868" spans="1:1" x14ac:dyDescent="0.25">
      <c r="A868" s="25" t="str">
        <f t="shared" si="13"/>
        <v/>
      </c>
    </row>
    <row r="869" spans="1:1" x14ac:dyDescent="0.25">
      <c r="A869" s="25" t="str">
        <f t="shared" si="13"/>
        <v/>
      </c>
    </row>
    <row r="870" spans="1:1" x14ac:dyDescent="0.25">
      <c r="A870" s="25" t="str">
        <f t="shared" si="13"/>
        <v/>
      </c>
    </row>
    <row r="871" spans="1:1" x14ac:dyDescent="0.25">
      <c r="A871" s="25" t="str">
        <f t="shared" si="13"/>
        <v/>
      </c>
    </row>
    <row r="872" spans="1:1" x14ac:dyDescent="0.25">
      <c r="A872" s="25" t="str">
        <f t="shared" si="13"/>
        <v/>
      </c>
    </row>
    <row r="873" spans="1:1" x14ac:dyDescent="0.25">
      <c r="A873" s="25" t="str">
        <f t="shared" si="13"/>
        <v/>
      </c>
    </row>
    <row r="874" spans="1:1" x14ac:dyDescent="0.25">
      <c r="A874" s="25" t="str">
        <f t="shared" si="13"/>
        <v/>
      </c>
    </row>
    <row r="875" spans="1:1" x14ac:dyDescent="0.25">
      <c r="A875" s="25" t="str">
        <f t="shared" si="13"/>
        <v/>
      </c>
    </row>
    <row r="876" spans="1:1" x14ac:dyDescent="0.25">
      <c r="A876" s="25" t="str">
        <f t="shared" si="13"/>
        <v/>
      </c>
    </row>
    <row r="877" spans="1:1" x14ac:dyDescent="0.25">
      <c r="A877" s="25" t="str">
        <f t="shared" si="13"/>
        <v/>
      </c>
    </row>
    <row r="878" spans="1:1" x14ac:dyDescent="0.25">
      <c r="A878" s="25" t="str">
        <f t="shared" si="13"/>
        <v/>
      </c>
    </row>
    <row r="879" spans="1:1" x14ac:dyDescent="0.25">
      <c r="A879" s="25" t="str">
        <f t="shared" si="13"/>
        <v/>
      </c>
    </row>
    <row r="880" spans="1:1" x14ac:dyDescent="0.25">
      <c r="A880" s="25" t="str">
        <f t="shared" si="13"/>
        <v/>
      </c>
    </row>
    <row r="881" spans="1:1" x14ac:dyDescent="0.25">
      <c r="A881" s="25" t="str">
        <f t="shared" si="13"/>
        <v/>
      </c>
    </row>
    <row r="882" spans="1:1" x14ac:dyDescent="0.25">
      <c r="A882" s="25" t="str">
        <f t="shared" si="13"/>
        <v/>
      </c>
    </row>
    <row r="883" spans="1:1" x14ac:dyDescent="0.25">
      <c r="A883" s="25" t="str">
        <f t="shared" si="13"/>
        <v/>
      </c>
    </row>
    <row r="884" spans="1:1" x14ac:dyDescent="0.25">
      <c r="A884" s="25" t="str">
        <f t="shared" si="13"/>
        <v/>
      </c>
    </row>
    <row r="885" spans="1:1" x14ac:dyDescent="0.25">
      <c r="A885" s="25" t="str">
        <f t="shared" si="13"/>
        <v/>
      </c>
    </row>
    <row r="886" spans="1:1" x14ac:dyDescent="0.25">
      <c r="A886" s="25" t="str">
        <f t="shared" si="13"/>
        <v/>
      </c>
    </row>
    <row r="887" spans="1:1" x14ac:dyDescent="0.25">
      <c r="A887" s="25" t="str">
        <f t="shared" si="13"/>
        <v/>
      </c>
    </row>
    <row r="888" spans="1:1" x14ac:dyDescent="0.25">
      <c r="A888" s="25" t="str">
        <f t="shared" si="13"/>
        <v/>
      </c>
    </row>
    <row r="889" spans="1:1" x14ac:dyDescent="0.25">
      <c r="A889" s="25" t="str">
        <f t="shared" si="13"/>
        <v/>
      </c>
    </row>
    <row r="890" spans="1:1" x14ac:dyDescent="0.25">
      <c r="A890" s="25" t="str">
        <f t="shared" si="13"/>
        <v/>
      </c>
    </row>
    <row r="891" spans="1:1" x14ac:dyDescent="0.25">
      <c r="A891" s="25" t="str">
        <f t="shared" si="13"/>
        <v/>
      </c>
    </row>
    <row r="892" spans="1:1" x14ac:dyDescent="0.25">
      <c r="A892" s="25" t="str">
        <f t="shared" si="13"/>
        <v/>
      </c>
    </row>
    <row r="893" spans="1:1" x14ac:dyDescent="0.25">
      <c r="A893" s="25" t="str">
        <f t="shared" si="13"/>
        <v/>
      </c>
    </row>
    <row r="894" spans="1:1" x14ac:dyDescent="0.25">
      <c r="A894" s="25" t="str">
        <f t="shared" si="13"/>
        <v/>
      </c>
    </row>
    <row r="895" spans="1:1" x14ac:dyDescent="0.25">
      <c r="A895" s="25" t="str">
        <f t="shared" si="13"/>
        <v/>
      </c>
    </row>
    <row r="896" spans="1:1" x14ac:dyDescent="0.25">
      <c r="A896" s="25" t="str">
        <f t="shared" si="13"/>
        <v/>
      </c>
    </row>
    <row r="897" spans="1:1" x14ac:dyDescent="0.25">
      <c r="A897" s="25" t="str">
        <f t="shared" si="13"/>
        <v/>
      </c>
    </row>
    <row r="898" spans="1:1" x14ac:dyDescent="0.25">
      <c r="A898" s="25" t="str">
        <f t="shared" si="13"/>
        <v/>
      </c>
    </row>
    <row r="899" spans="1:1" x14ac:dyDescent="0.25">
      <c r="A899" s="25" t="str">
        <f t="shared" si="13"/>
        <v/>
      </c>
    </row>
    <row r="900" spans="1:1" x14ac:dyDescent="0.25">
      <c r="A900" s="25" t="str">
        <f t="shared" si="13"/>
        <v/>
      </c>
    </row>
    <row r="901" spans="1:1" x14ac:dyDescent="0.25">
      <c r="A901" s="25" t="str">
        <f t="shared" ref="A901:A964" si="14">IF(AND(C901&lt;&gt;"",C901&lt;&gt;"Grand Total"),IF(EXACT(C900,C901),A900,A900+1),"")</f>
        <v/>
      </c>
    </row>
    <row r="902" spans="1:1" x14ac:dyDescent="0.25">
      <c r="A902" s="25" t="str">
        <f t="shared" si="14"/>
        <v/>
      </c>
    </row>
    <row r="903" spans="1:1" x14ac:dyDescent="0.25">
      <c r="A903" s="25" t="str">
        <f t="shared" si="14"/>
        <v/>
      </c>
    </row>
    <row r="904" spans="1:1" x14ac:dyDescent="0.25">
      <c r="A904" s="25" t="str">
        <f t="shared" si="14"/>
        <v/>
      </c>
    </row>
    <row r="905" spans="1:1" x14ac:dyDescent="0.25">
      <c r="A905" s="25" t="str">
        <f t="shared" si="14"/>
        <v/>
      </c>
    </row>
    <row r="906" spans="1:1" x14ac:dyDescent="0.25">
      <c r="A906" s="25" t="str">
        <f t="shared" si="14"/>
        <v/>
      </c>
    </row>
    <row r="907" spans="1:1" x14ac:dyDescent="0.25">
      <c r="A907" s="25" t="str">
        <f t="shared" si="14"/>
        <v/>
      </c>
    </row>
    <row r="908" spans="1:1" x14ac:dyDescent="0.25">
      <c r="A908" s="25" t="str">
        <f t="shared" si="14"/>
        <v/>
      </c>
    </row>
    <row r="909" spans="1:1" x14ac:dyDescent="0.25">
      <c r="A909" s="25" t="str">
        <f t="shared" si="14"/>
        <v/>
      </c>
    </row>
    <row r="910" spans="1:1" x14ac:dyDescent="0.25">
      <c r="A910" s="25" t="str">
        <f t="shared" si="14"/>
        <v/>
      </c>
    </row>
    <row r="911" spans="1:1" x14ac:dyDescent="0.25">
      <c r="A911" s="25" t="str">
        <f t="shared" si="14"/>
        <v/>
      </c>
    </row>
    <row r="912" spans="1:1" x14ac:dyDescent="0.25">
      <c r="A912" s="25" t="str">
        <f t="shared" si="14"/>
        <v/>
      </c>
    </row>
    <row r="913" spans="1:1" x14ac:dyDescent="0.25">
      <c r="A913" s="25" t="str">
        <f t="shared" si="14"/>
        <v/>
      </c>
    </row>
    <row r="914" spans="1:1" x14ac:dyDescent="0.25">
      <c r="A914" s="25" t="str">
        <f t="shared" si="14"/>
        <v/>
      </c>
    </row>
    <row r="915" spans="1:1" x14ac:dyDescent="0.25">
      <c r="A915" s="25" t="str">
        <f t="shared" si="14"/>
        <v/>
      </c>
    </row>
    <row r="916" spans="1:1" x14ac:dyDescent="0.25">
      <c r="A916" s="25" t="str">
        <f t="shared" si="14"/>
        <v/>
      </c>
    </row>
    <row r="917" spans="1:1" x14ac:dyDescent="0.25">
      <c r="A917" s="25" t="str">
        <f t="shared" si="14"/>
        <v/>
      </c>
    </row>
    <row r="918" spans="1:1" x14ac:dyDescent="0.25">
      <c r="A918" s="25" t="str">
        <f t="shared" si="14"/>
        <v/>
      </c>
    </row>
    <row r="919" spans="1:1" x14ac:dyDescent="0.25">
      <c r="A919" s="25" t="str">
        <f t="shared" si="14"/>
        <v/>
      </c>
    </row>
    <row r="920" spans="1:1" x14ac:dyDescent="0.25">
      <c r="A920" s="25" t="str">
        <f t="shared" si="14"/>
        <v/>
      </c>
    </row>
    <row r="921" spans="1:1" x14ac:dyDescent="0.25">
      <c r="A921" s="25" t="str">
        <f t="shared" si="14"/>
        <v/>
      </c>
    </row>
    <row r="922" spans="1:1" x14ac:dyDescent="0.25">
      <c r="A922" s="25" t="str">
        <f t="shared" si="14"/>
        <v/>
      </c>
    </row>
    <row r="923" spans="1:1" x14ac:dyDescent="0.25">
      <c r="A923" s="25" t="str">
        <f t="shared" si="14"/>
        <v/>
      </c>
    </row>
    <row r="924" spans="1:1" x14ac:dyDescent="0.25">
      <c r="A924" s="25" t="str">
        <f t="shared" si="14"/>
        <v/>
      </c>
    </row>
    <row r="925" spans="1:1" x14ac:dyDescent="0.25">
      <c r="A925" s="25" t="str">
        <f t="shared" si="14"/>
        <v/>
      </c>
    </row>
    <row r="926" spans="1:1" x14ac:dyDescent="0.25">
      <c r="A926" s="25" t="str">
        <f t="shared" si="14"/>
        <v/>
      </c>
    </row>
    <row r="927" spans="1:1" x14ac:dyDescent="0.25">
      <c r="A927" s="25" t="str">
        <f t="shared" si="14"/>
        <v/>
      </c>
    </row>
    <row r="928" spans="1:1" x14ac:dyDescent="0.25">
      <c r="A928" s="25" t="str">
        <f t="shared" si="14"/>
        <v/>
      </c>
    </row>
    <row r="929" spans="1:1" x14ac:dyDescent="0.25">
      <c r="A929" s="25" t="str">
        <f t="shared" si="14"/>
        <v/>
      </c>
    </row>
    <row r="930" spans="1:1" x14ac:dyDescent="0.25">
      <c r="A930" s="25" t="str">
        <f t="shared" si="14"/>
        <v/>
      </c>
    </row>
    <row r="931" spans="1:1" x14ac:dyDescent="0.25">
      <c r="A931" s="25" t="str">
        <f t="shared" si="14"/>
        <v/>
      </c>
    </row>
    <row r="932" spans="1:1" x14ac:dyDescent="0.25">
      <c r="A932" s="25" t="str">
        <f t="shared" si="14"/>
        <v/>
      </c>
    </row>
    <row r="933" spans="1:1" x14ac:dyDescent="0.25">
      <c r="A933" s="25" t="str">
        <f t="shared" si="14"/>
        <v/>
      </c>
    </row>
    <row r="934" spans="1:1" x14ac:dyDescent="0.25">
      <c r="A934" s="25" t="str">
        <f t="shared" si="14"/>
        <v/>
      </c>
    </row>
    <row r="935" spans="1:1" x14ac:dyDescent="0.25">
      <c r="A935" s="25" t="str">
        <f t="shared" si="14"/>
        <v/>
      </c>
    </row>
    <row r="936" spans="1:1" x14ac:dyDescent="0.25">
      <c r="A936" s="25" t="str">
        <f t="shared" si="14"/>
        <v/>
      </c>
    </row>
    <row r="937" spans="1:1" x14ac:dyDescent="0.25">
      <c r="A937" s="25" t="str">
        <f t="shared" si="14"/>
        <v/>
      </c>
    </row>
    <row r="938" spans="1:1" x14ac:dyDescent="0.25">
      <c r="A938" s="25" t="str">
        <f t="shared" si="14"/>
        <v/>
      </c>
    </row>
    <row r="939" spans="1:1" x14ac:dyDescent="0.25">
      <c r="A939" s="25" t="str">
        <f t="shared" si="14"/>
        <v/>
      </c>
    </row>
    <row r="940" spans="1:1" x14ac:dyDescent="0.25">
      <c r="A940" s="25" t="str">
        <f t="shared" si="14"/>
        <v/>
      </c>
    </row>
    <row r="941" spans="1:1" x14ac:dyDescent="0.25">
      <c r="A941" s="25" t="str">
        <f t="shared" si="14"/>
        <v/>
      </c>
    </row>
    <row r="942" spans="1:1" x14ac:dyDescent="0.25">
      <c r="A942" s="25" t="str">
        <f t="shared" si="14"/>
        <v/>
      </c>
    </row>
    <row r="943" spans="1:1" x14ac:dyDescent="0.25">
      <c r="A943" s="25" t="str">
        <f t="shared" si="14"/>
        <v/>
      </c>
    </row>
    <row r="944" spans="1:1" x14ac:dyDescent="0.25">
      <c r="A944" s="25" t="str">
        <f t="shared" si="14"/>
        <v/>
      </c>
    </row>
    <row r="945" spans="1:1" x14ac:dyDescent="0.25">
      <c r="A945" s="25" t="str">
        <f t="shared" si="14"/>
        <v/>
      </c>
    </row>
    <row r="946" spans="1:1" x14ac:dyDescent="0.25">
      <c r="A946" s="25" t="str">
        <f t="shared" si="14"/>
        <v/>
      </c>
    </row>
    <row r="947" spans="1:1" x14ac:dyDescent="0.25">
      <c r="A947" s="25" t="str">
        <f t="shared" si="14"/>
        <v/>
      </c>
    </row>
    <row r="948" spans="1:1" x14ac:dyDescent="0.25">
      <c r="A948" s="25" t="str">
        <f t="shared" si="14"/>
        <v/>
      </c>
    </row>
    <row r="949" spans="1:1" x14ac:dyDescent="0.25">
      <c r="A949" s="25" t="str">
        <f t="shared" si="14"/>
        <v/>
      </c>
    </row>
    <row r="950" spans="1:1" x14ac:dyDescent="0.25">
      <c r="A950" s="25" t="str">
        <f t="shared" si="14"/>
        <v/>
      </c>
    </row>
    <row r="951" spans="1:1" x14ac:dyDescent="0.25">
      <c r="A951" s="25" t="str">
        <f t="shared" si="14"/>
        <v/>
      </c>
    </row>
    <row r="952" spans="1:1" x14ac:dyDescent="0.25">
      <c r="A952" s="25" t="str">
        <f t="shared" si="14"/>
        <v/>
      </c>
    </row>
    <row r="953" spans="1:1" x14ac:dyDescent="0.25">
      <c r="A953" s="25" t="str">
        <f t="shared" si="14"/>
        <v/>
      </c>
    </row>
    <row r="954" spans="1:1" x14ac:dyDescent="0.25">
      <c r="A954" s="25" t="str">
        <f t="shared" si="14"/>
        <v/>
      </c>
    </row>
    <row r="955" spans="1:1" x14ac:dyDescent="0.25">
      <c r="A955" s="25" t="str">
        <f t="shared" si="14"/>
        <v/>
      </c>
    </row>
    <row r="956" spans="1:1" x14ac:dyDescent="0.25">
      <c r="A956" s="25" t="str">
        <f t="shared" si="14"/>
        <v/>
      </c>
    </row>
    <row r="957" spans="1:1" x14ac:dyDescent="0.25">
      <c r="A957" s="25" t="str">
        <f t="shared" si="14"/>
        <v/>
      </c>
    </row>
    <row r="958" spans="1:1" x14ac:dyDescent="0.25">
      <c r="A958" s="25" t="str">
        <f t="shared" si="14"/>
        <v/>
      </c>
    </row>
    <row r="959" spans="1:1" x14ac:dyDescent="0.25">
      <c r="A959" s="25" t="str">
        <f t="shared" si="14"/>
        <v/>
      </c>
    </row>
    <row r="960" spans="1:1" x14ac:dyDescent="0.25">
      <c r="A960" s="25" t="str">
        <f t="shared" si="14"/>
        <v/>
      </c>
    </row>
    <row r="961" spans="1:1" x14ac:dyDescent="0.25">
      <c r="A961" s="25" t="str">
        <f t="shared" si="14"/>
        <v/>
      </c>
    </row>
    <row r="962" spans="1:1" x14ac:dyDescent="0.25">
      <c r="A962" s="25" t="str">
        <f t="shared" si="14"/>
        <v/>
      </c>
    </row>
    <row r="963" spans="1:1" x14ac:dyDescent="0.25">
      <c r="A963" s="25" t="str">
        <f t="shared" si="14"/>
        <v/>
      </c>
    </row>
    <row r="964" spans="1:1" x14ac:dyDescent="0.25">
      <c r="A964" s="25" t="str">
        <f t="shared" si="14"/>
        <v/>
      </c>
    </row>
    <row r="965" spans="1:1" x14ac:dyDescent="0.25">
      <c r="A965" s="25" t="str">
        <f t="shared" ref="A965:A1000" si="15">IF(AND(C965&lt;&gt;"",C965&lt;&gt;"Grand Total"),IF(EXACT(C964,C965),A964,A964+1),"")</f>
        <v/>
      </c>
    </row>
    <row r="966" spans="1:1" x14ac:dyDescent="0.25">
      <c r="A966" s="25" t="str">
        <f t="shared" si="15"/>
        <v/>
      </c>
    </row>
    <row r="967" spans="1:1" x14ac:dyDescent="0.25">
      <c r="A967" s="25" t="str">
        <f t="shared" si="15"/>
        <v/>
      </c>
    </row>
    <row r="968" spans="1:1" x14ac:dyDescent="0.25">
      <c r="A968" s="25" t="str">
        <f t="shared" si="15"/>
        <v/>
      </c>
    </row>
    <row r="969" spans="1:1" x14ac:dyDescent="0.25">
      <c r="A969" s="25" t="str">
        <f t="shared" si="15"/>
        <v/>
      </c>
    </row>
    <row r="970" spans="1:1" x14ac:dyDescent="0.25">
      <c r="A970" s="25" t="str">
        <f t="shared" si="15"/>
        <v/>
      </c>
    </row>
    <row r="971" spans="1:1" x14ac:dyDescent="0.25">
      <c r="A971" s="25" t="str">
        <f t="shared" si="15"/>
        <v/>
      </c>
    </row>
    <row r="972" spans="1:1" x14ac:dyDescent="0.25">
      <c r="A972" s="25" t="str">
        <f t="shared" si="15"/>
        <v/>
      </c>
    </row>
    <row r="973" spans="1:1" x14ac:dyDescent="0.25">
      <c r="A973" s="25" t="str">
        <f t="shared" si="15"/>
        <v/>
      </c>
    </row>
    <row r="974" spans="1:1" x14ac:dyDescent="0.25">
      <c r="A974" s="25" t="str">
        <f t="shared" si="15"/>
        <v/>
      </c>
    </row>
    <row r="975" spans="1:1" x14ac:dyDescent="0.25">
      <c r="A975" s="25" t="str">
        <f t="shared" si="15"/>
        <v/>
      </c>
    </row>
    <row r="976" spans="1:1" x14ac:dyDescent="0.25">
      <c r="A976" s="25" t="str">
        <f t="shared" si="15"/>
        <v/>
      </c>
    </row>
    <row r="977" spans="1:1" x14ac:dyDescent="0.25">
      <c r="A977" s="25" t="str">
        <f t="shared" si="15"/>
        <v/>
      </c>
    </row>
    <row r="978" spans="1:1" x14ac:dyDescent="0.25">
      <c r="A978" s="25" t="str">
        <f t="shared" si="15"/>
        <v/>
      </c>
    </row>
    <row r="979" spans="1:1" x14ac:dyDescent="0.25">
      <c r="A979" s="25" t="str">
        <f t="shared" si="15"/>
        <v/>
      </c>
    </row>
    <row r="980" spans="1:1" x14ac:dyDescent="0.25">
      <c r="A980" s="25" t="str">
        <f t="shared" si="15"/>
        <v/>
      </c>
    </row>
    <row r="981" spans="1:1" x14ac:dyDescent="0.25">
      <c r="A981" s="25" t="str">
        <f t="shared" si="15"/>
        <v/>
      </c>
    </row>
    <row r="982" spans="1:1" x14ac:dyDescent="0.25">
      <c r="A982" s="25" t="str">
        <f t="shared" si="15"/>
        <v/>
      </c>
    </row>
    <row r="983" spans="1:1" x14ac:dyDescent="0.25">
      <c r="A983" s="25" t="str">
        <f t="shared" si="15"/>
        <v/>
      </c>
    </row>
    <row r="984" spans="1:1" x14ac:dyDescent="0.25">
      <c r="A984" s="25" t="str">
        <f t="shared" si="15"/>
        <v/>
      </c>
    </row>
    <row r="985" spans="1:1" x14ac:dyDescent="0.25">
      <c r="A985" s="25" t="str">
        <f t="shared" si="15"/>
        <v/>
      </c>
    </row>
    <row r="986" spans="1:1" x14ac:dyDescent="0.25">
      <c r="A986" s="25" t="str">
        <f t="shared" si="15"/>
        <v/>
      </c>
    </row>
    <row r="987" spans="1:1" x14ac:dyDescent="0.25">
      <c r="A987" s="25" t="str">
        <f t="shared" si="15"/>
        <v/>
      </c>
    </row>
    <row r="988" spans="1:1" x14ac:dyDescent="0.25">
      <c r="A988" s="25" t="str">
        <f t="shared" si="15"/>
        <v/>
      </c>
    </row>
    <row r="989" spans="1:1" x14ac:dyDescent="0.25">
      <c r="A989" s="25" t="str">
        <f t="shared" si="15"/>
        <v/>
      </c>
    </row>
    <row r="990" spans="1:1" x14ac:dyDescent="0.25">
      <c r="A990" s="25" t="str">
        <f t="shared" si="15"/>
        <v/>
      </c>
    </row>
    <row r="991" spans="1:1" x14ac:dyDescent="0.25">
      <c r="A991" s="25" t="str">
        <f t="shared" si="15"/>
        <v/>
      </c>
    </row>
    <row r="992" spans="1:1" x14ac:dyDescent="0.25">
      <c r="A992" s="25" t="str">
        <f t="shared" si="15"/>
        <v/>
      </c>
    </row>
    <row r="993" spans="1:1" x14ac:dyDescent="0.25">
      <c r="A993" s="25" t="str">
        <f t="shared" si="15"/>
        <v/>
      </c>
    </row>
    <row r="994" spans="1:1" x14ac:dyDescent="0.25">
      <c r="A994" s="25" t="str">
        <f t="shared" si="15"/>
        <v/>
      </c>
    </row>
    <row r="995" spans="1:1" x14ac:dyDescent="0.25">
      <c r="A995" s="25" t="str">
        <f t="shared" si="15"/>
        <v/>
      </c>
    </row>
    <row r="996" spans="1:1" x14ac:dyDescent="0.25">
      <c r="A996" s="25" t="str">
        <f t="shared" si="15"/>
        <v/>
      </c>
    </row>
    <row r="997" spans="1:1" x14ac:dyDescent="0.25">
      <c r="A997" s="25" t="str">
        <f t="shared" si="15"/>
        <v/>
      </c>
    </row>
    <row r="998" spans="1:1" x14ac:dyDescent="0.25">
      <c r="A998" s="25" t="str">
        <f t="shared" si="15"/>
        <v/>
      </c>
    </row>
    <row r="999" spans="1:1" x14ac:dyDescent="0.25">
      <c r="A999" s="25" t="str">
        <f t="shared" si="15"/>
        <v/>
      </c>
    </row>
    <row r="1000" spans="1:1" x14ac:dyDescent="0.25">
      <c r="A1000" s="25" t="str">
        <f t="shared" si="15"/>
        <v/>
      </c>
    </row>
  </sheetData>
  <pageMargins left="0.7" right="0.7" top="0.75" bottom="0.75" header="0.3" footer="0.3"/>
  <pageSetup paperSize="9" scale="56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Referesh_Detail">
                <anchor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1</xdr:col>
                    <xdr:colOff>504825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1000"/>
  <sheetViews>
    <sheetView workbookViewId="0">
      <selection activeCell="D12" sqref="D11:D12"/>
    </sheetView>
  </sheetViews>
  <sheetFormatPr defaultRowHeight="15" x14ac:dyDescent="0.25"/>
  <cols>
    <col min="1" max="1" width="8.7109375" customWidth="1"/>
    <col min="2" max="2" width="16.7109375" style="40" customWidth="1"/>
    <col min="3" max="6" width="16.7109375" style="3" customWidth="1"/>
    <col min="7" max="7" width="14.5703125" style="5" customWidth="1"/>
    <col min="8" max="10" width="14.5703125" customWidth="1"/>
  </cols>
  <sheetData>
    <row r="1" spans="1:10" ht="22.5" customHeight="1" thickBot="1" x14ac:dyDescent="0.3">
      <c r="D1" s="34" t="s">
        <v>33</v>
      </c>
      <c r="E1" s="35">
        <f>Ctn</f>
        <v>6192</v>
      </c>
      <c r="F1" s="35">
        <f>Pcs</f>
        <v>16532.52</v>
      </c>
      <c r="G1" s="35">
        <f>Cbm</f>
        <v>0</v>
      </c>
      <c r="H1" s="35">
        <f>NW</f>
        <v>0</v>
      </c>
      <c r="I1" s="35">
        <f>GW</f>
        <v>0</v>
      </c>
      <c r="J1" s="36">
        <f>Amt</f>
        <v>0</v>
      </c>
    </row>
    <row r="2" spans="1:10" ht="16.5" thickTop="1" thickBot="1" x14ac:dyDescent="0.3">
      <c r="A2" s="23" t="s">
        <v>23</v>
      </c>
      <c r="B2" s="77" t="s">
        <v>29</v>
      </c>
      <c r="C2" s="22" t="s">
        <v>25</v>
      </c>
      <c r="D2" s="22" t="s">
        <v>26</v>
      </c>
      <c r="E2" s="5" t="s">
        <v>79</v>
      </c>
      <c r="F2" s="30" t="s">
        <v>27</v>
      </c>
      <c r="G2"/>
    </row>
    <row r="3" spans="1:10" ht="15.75" thickTop="1" x14ac:dyDescent="0.25">
      <c r="A3" s="24">
        <v>1</v>
      </c>
      <c r="B3" s="40">
        <v>6101.9</v>
      </c>
      <c r="C3" s="6">
        <v>931.904</v>
      </c>
      <c r="D3" s="6">
        <v>839.904</v>
      </c>
      <c r="E3" s="6">
        <v>2208</v>
      </c>
      <c r="F3" s="31">
        <v>7607.52</v>
      </c>
      <c r="G3"/>
    </row>
    <row r="4" spans="1:10" x14ac:dyDescent="0.25">
      <c r="A4" s="25">
        <f>IF(AND(C4&lt;&gt;"",C4&lt;&gt;"Grand Total"),IF(EXACT(C3,C4),A3,A3+1),"")</f>
        <v>2</v>
      </c>
      <c r="B4" s="40">
        <v>6103.49</v>
      </c>
      <c r="C4" s="6">
        <v>347.74</v>
      </c>
      <c r="D4" s="6">
        <v>296.04000000000002</v>
      </c>
      <c r="E4" s="6">
        <v>1368</v>
      </c>
      <c r="F4" s="31">
        <v>3412.92</v>
      </c>
      <c r="G4"/>
    </row>
    <row r="5" spans="1:10" x14ac:dyDescent="0.25">
      <c r="A5" s="25">
        <f t="shared" ref="A5:A68" si="0">IF(AND(C5&lt;&gt;"",C5&lt;&gt;"Grand Total"),IF(EXACT(C4,C5),A4,A4+1),"")</f>
        <v>3</v>
      </c>
      <c r="B5" s="40">
        <v>6109.9089999999997</v>
      </c>
      <c r="C5" s="6">
        <v>527.23</v>
      </c>
      <c r="D5" s="6">
        <v>440.88</v>
      </c>
      <c r="E5" s="6">
        <v>2616</v>
      </c>
      <c r="F5" s="31">
        <v>5512.08</v>
      </c>
      <c r="G5"/>
    </row>
    <row r="6" spans="1:10" x14ac:dyDescent="0.25">
      <c r="A6" s="25" t="str">
        <f t="shared" si="0"/>
        <v/>
      </c>
      <c r="B6"/>
      <c r="C6"/>
      <c r="D6"/>
      <c r="E6"/>
      <c r="F6"/>
      <c r="G6"/>
    </row>
    <row r="7" spans="1:10" x14ac:dyDescent="0.25">
      <c r="A7" s="25" t="str">
        <f t="shared" si="0"/>
        <v/>
      </c>
      <c r="B7"/>
      <c r="C7"/>
      <c r="D7"/>
      <c r="E7"/>
      <c r="F7"/>
      <c r="G7"/>
    </row>
    <row r="8" spans="1:10" x14ac:dyDescent="0.25">
      <c r="A8" s="25" t="str">
        <f t="shared" si="0"/>
        <v/>
      </c>
      <c r="B8"/>
      <c r="C8"/>
      <c r="D8"/>
      <c r="E8"/>
      <c r="F8"/>
      <c r="G8"/>
    </row>
    <row r="9" spans="1:10" x14ac:dyDescent="0.25">
      <c r="A9" s="25" t="str">
        <f t="shared" si="0"/>
        <v/>
      </c>
      <c r="B9"/>
      <c r="C9"/>
      <c r="D9"/>
      <c r="E9"/>
      <c r="F9"/>
      <c r="G9"/>
    </row>
    <row r="10" spans="1:10" x14ac:dyDescent="0.25">
      <c r="A10" s="25" t="str">
        <f t="shared" si="0"/>
        <v/>
      </c>
      <c r="C10"/>
      <c r="D10"/>
      <c r="E10"/>
      <c r="F10"/>
      <c r="G10"/>
    </row>
    <row r="11" spans="1:10" x14ac:dyDescent="0.25">
      <c r="A11" s="25" t="str">
        <f t="shared" si="0"/>
        <v/>
      </c>
      <c r="C11"/>
      <c r="D11"/>
      <c r="E11"/>
      <c r="F11"/>
      <c r="G11"/>
    </row>
    <row r="12" spans="1:10" x14ac:dyDescent="0.25">
      <c r="A12" s="25" t="str">
        <f t="shared" si="0"/>
        <v/>
      </c>
      <c r="C12"/>
      <c r="D12"/>
      <c r="E12"/>
      <c r="F12"/>
      <c r="G12"/>
    </row>
    <row r="13" spans="1:10" x14ac:dyDescent="0.25">
      <c r="A13" s="25" t="str">
        <f t="shared" si="0"/>
        <v/>
      </c>
      <c r="C13"/>
      <c r="D13"/>
      <c r="E13"/>
      <c r="F13"/>
      <c r="G13"/>
    </row>
    <row r="14" spans="1:10" x14ac:dyDescent="0.25">
      <c r="A14" s="25" t="str">
        <f t="shared" si="0"/>
        <v/>
      </c>
      <c r="C14"/>
      <c r="D14"/>
      <c r="E14"/>
      <c r="F14"/>
      <c r="G14"/>
    </row>
    <row r="15" spans="1:10" x14ac:dyDescent="0.25">
      <c r="A15" s="25" t="str">
        <f t="shared" si="0"/>
        <v/>
      </c>
      <c r="C15"/>
      <c r="D15"/>
      <c r="E15"/>
      <c r="F15"/>
      <c r="G15"/>
    </row>
    <row r="16" spans="1:10" x14ac:dyDescent="0.25">
      <c r="A16" s="25" t="str">
        <f t="shared" si="0"/>
        <v/>
      </c>
      <c r="C16"/>
      <c r="D16"/>
      <c r="E16"/>
      <c r="F16"/>
      <c r="G16"/>
    </row>
    <row r="17" spans="1:7" x14ac:dyDescent="0.25">
      <c r="A17" s="25" t="str">
        <f t="shared" si="0"/>
        <v/>
      </c>
      <c r="C17"/>
      <c r="D17"/>
      <c r="E17"/>
      <c r="F17"/>
      <c r="G17"/>
    </row>
    <row r="18" spans="1:7" x14ac:dyDescent="0.25">
      <c r="A18" s="25" t="str">
        <f t="shared" si="0"/>
        <v/>
      </c>
      <c r="C18"/>
      <c r="D18"/>
      <c r="E18"/>
      <c r="F18"/>
      <c r="G18"/>
    </row>
    <row r="19" spans="1:7" x14ac:dyDescent="0.25">
      <c r="A19" s="25" t="str">
        <f t="shared" si="0"/>
        <v/>
      </c>
      <c r="C19"/>
      <c r="D19"/>
      <c r="E19"/>
      <c r="F19"/>
      <c r="G19"/>
    </row>
    <row r="20" spans="1:7" x14ac:dyDescent="0.25">
      <c r="A20" s="25" t="str">
        <f t="shared" si="0"/>
        <v/>
      </c>
      <c r="C20"/>
      <c r="D20"/>
      <c r="E20"/>
      <c r="F20"/>
      <c r="G20"/>
    </row>
    <row r="21" spans="1:7" x14ac:dyDescent="0.25">
      <c r="A21" s="25" t="str">
        <f t="shared" si="0"/>
        <v/>
      </c>
      <c r="C21"/>
      <c r="D21"/>
      <c r="E21"/>
      <c r="F21"/>
      <c r="G21"/>
    </row>
    <row r="22" spans="1:7" x14ac:dyDescent="0.25">
      <c r="A22" s="25" t="str">
        <f t="shared" si="0"/>
        <v/>
      </c>
      <c r="C22"/>
      <c r="D22"/>
      <c r="E22"/>
      <c r="F22"/>
      <c r="G22"/>
    </row>
    <row r="23" spans="1:7" x14ac:dyDescent="0.25">
      <c r="A23" s="25" t="str">
        <f t="shared" si="0"/>
        <v/>
      </c>
      <c r="C23"/>
      <c r="D23"/>
      <c r="E23"/>
      <c r="F23"/>
      <c r="G23"/>
    </row>
    <row r="24" spans="1:7" x14ac:dyDescent="0.25">
      <c r="A24" s="25" t="str">
        <f t="shared" si="0"/>
        <v/>
      </c>
      <c r="C24"/>
      <c r="D24"/>
      <c r="E24"/>
      <c r="F24"/>
      <c r="G24"/>
    </row>
    <row r="25" spans="1:7" x14ac:dyDescent="0.25">
      <c r="A25" s="25" t="str">
        <f t="shared" si="0"/>
        <v/>
      </c>
      <c r="C25"/>
      <c r="D25"/>
      <c r="E25"/>
      <c r="F25"/>
      <c r="G25"/>
    </row>
    <row r="26" spans="1:7" x14ac:dyDescent="0.25">
      <c r="A26" s="25" t="str">
        <f t="shared" si="0"/>
        <v/>
      </c>
      <c r="C26"/>
      <c r="D26"/>
      <c r="E26"/>
      <c r="F26"/>
      <c r="G26"/>
    </row>
    <row r="27" spans="1:7" x14ac:dyDescent="0.25">
      <c r="A27" s="25" t="str">
        <f t="shared" si="0"/>
        <v/>
      </c>
      <c r="C27"/>
      <c r="D27"/>
      <c r="E27"/>
      <c r="F27"/>
      <c r="G27"/>
    </row>
    <row r="28" spans="1:7" x14ac:dyDescent="0.25">
      <c r="A28" s="25" t="str">
        <f t="shared" si="0"/>
        <v/>
      </c>
      <c r="C28"/>
      <c r="D28"/>
      <c r="E28"/>
      <c r="F28"/>
      <c r="G28"/>
    </row>
    <row r="29" spans="1:7" x14ac:dyDescent="0.25">
      <c r="A29" s="25" t="str">
        <f t="shared" si="0"/>
        <v/>
      </c>
      <c r="C29"/>
      <c r="D29"/>
      <c r="E29"/>
      <c r="F29"/>
      <c r="G29"/>
    </row>
    <row r="30" spans="1:7" x14ac:dyDescent="0.25">
      <c r="A30" s="25" t="str">
        <f t="shared" si="0"/>
        <v/>
      </c>
      <c r="C30"/>
      <c r="D30"/>
      <c r="E30"/>
      <c r="F30"/>
      <c r="G30"/>
    </row>
    <row r="31" spans="1:7" x14ac:dyDescent="0.25">
      <c r="A31" s="25" t="str">
        <f t="shared" si="0"/>
        <v/>
      </c>
      <c r="C31"/>
      <c r="D31"/>
      <c r="E31"/>
      <c r="F31"/>
      <c r="G31"/>
    </row>
    <row r="32" spans="1:7" x14ac:dyDescent="0.25">
      <c r="A32" s="25" t="str">
        <f t="shared" si="0"/>
        <v/>
      </c>
      <c r="C32"/>
      <c r="D32"/>
      <c r="E32"/>
      <c r="F32"/>
      <c r="G32"/>
    </row>
    <row r="33" spans="1:7" x14ac:dyDescent="0.25">
      <c r="A33" s="25" t="str">
        <f t="shared" si="0"/>
        <v/>
      </c>
      <c r="C33"/>
      <c r="D33"/>
      <c r="E33"/>
      <c r="F33"/>
      <c r="G33"/>
    </row>
    <row r="34" spans="1:7" x14ac:dyDescent="0.25">
      <c r="A34" s="25" t="str">
        <f t="shared" si="0"/>
        <v/>
      </c>
      <c r="C34"/>
      <c r="D34"/>
      <c r="E34"/>
      <c r="F34"/>
      <c r="G34"/>
    </row>
    <row r="35" spans="1:7" x14ac:dyDescent="0.25">
      <c r="A35" s="25" t="str">
        <f t="shared" si="0"/>
        <v/>
      </c>
      <c r="C35"/>
      <c r="D35"/>
      <c r="E35"/>
      <c r="F35"/>
      <c r="G35"/>
    </row>
    <row r="36" spans="1:7" x14ac:dyDescent="0.25">
      <c r="A36" s="25" t="str">
        <f t="shared" si="0"/>
        <v/>
      </c>
      <c r="C36"/>
      <c r="D36"/>
      <c r="E36"/>
      <c r="F36"/>
    </row>
    <row r="37" spans="1:7" x14ac:dyDescent="0.25">
      <c r="A37" s="25" t="str">
        <f t="shared" si="0"/>
        <v/>
      </c>
      <c r="C37"/>
      <c r="D37"/>
      <c r="E37"/>
      <c r="F37"/>
    </row>
    <row r="38" spans="1:7" x14ac:dyDescent="0.25">
      <c r="A38" s="25" t="str">
        <f t="shared" si="0"/>
        <v/>
      </c>
      <c r="C38"/>
      <c r="D38"/>
      <c r="E38"/>
      <c r="F38"/>
    </row>
    <row r="39" spans="1:7" x14ac:dyDescent="0.25">
      <c r="A39" s="25" t="str">
        <f t="shared" si="0"/>
        <v/>
      </c>
      <c r="C39"/>
      <c r="D39"/>
      <c r="E39"/>
      <c r="F39"/>
    </row>
    <row r="40" spans="1:7" x14ac:dyDescent="0.25">
      <c r="A40" s="25" t="str">
        <f t="shared" si="0"/>
        <v/>
      </c>
      <c r="C40"/>
      <c r="D40"/>
      <c r="E40"/>
      <c r="F40"/>
    </row>
    <row r="41" spans="1:7" x14ac:dyDescent="0.25">
      <c r="A41" s="25" t="str">
        <f t="shared" si="0"/>
        <v/>
      </c>
      <c r="C41"/>
      <c r="D41"/>
      <c r="E41"/>
      <c r="F41"/>
    </row>
    <row r="42" spans="1:7" x14ac:dyDescent="0.25">
      <c r="A42" s="25" t="str">
        <f t="shared" si="0"/>
        <v/>
      </c>
      <c r="C42"/>
      <c r="D42"/>
      <c r="E42"/>
      <c r="F42"/>
    </row>
    <row r="43" spans="1:7" x14ac:dyDescent="0.25">
      <c r="A43" s="25" t="str">
        <f t="shared" si="0"/>
        <v/>
      </c>
      <c r="C43"/>
      <c r="D43"/>
      <c r="E43"/>
      <c r="F43"/>
    </row>
    <row r="44" spans="1:7" x14ac:dyDescent="0.25">
      <c r="A44" s="25" t="str">
        <f t="shared" si="0"/>
        <v/>
      </c>
      <c r="C44"/>
      <c r="D44"/>
      <c r="E44"/>
      <c r="F44"/>
    </row>
    <row r="45" spans="1:7" x14ac:dyDescent="0.25">
      <c r="A45" s="25" t="str">
        <f t="shared" si="0"/>
        <v/>
      </c>
      <c r="C45"/>
      <c r="D45"/>
      <c r="E45"/>
      <c r="F45"/>
    </row>
    <row r="46" spans="1:7" x14ac:dyDescent="0.25">
      <c r="A46" s="25" t="str">
        <f t="shared" si="0"/>
        <v/>
      </c>
      <c r="C46"/>
      <c r="D46"/>
      <c r="E46"/>
      <c r="F46"/>
    </row>
    <row r="47" spans="1:7" x14ac:dyDescent="0.25">
      <c r="A47" s="25" t="str">
        <f>IF(AND(C47&lt;&gt;"",C47&lt;&gt;"Grand Total"),IF(EXACT(C46,C47),A46,A46+1),"")</f>
        <v/>
      </c>
      <c r="C47"/>
      <c r="D47"/>
      <c r="E47"/>
      <c r="F47"/>
    </row>
    <row r="48" spans="1:7" x14ac:dyDescent="0.25">
      <c r="A48" s="25" t="str">
        <f t="shared" si="0"/>
        <v/>
      </c>
      <c r="C48"/>
      <c r="D48"/>
      <c r="E48"/>
      <c r="F48"/>
    </row>
    <row r="49" spans="1:6" x14ac:dyDescent="0.25">
      <c r="A49" s="25" t="str">
        <f t="shared" si="0"/>
        <v/>
      </c>
      <c r="C49"/>
      <c r="D49"/>
      <c r="E49"/>
      <c r="F49"/>
    </row>
    <row r="50" spans="1:6" x14ac:dyDescent="0.25">
      <c r="A50" s="25" t="str">
        <f t="shared" si="0"/>
        <v/>
      </c>
      <c r="C50"/>
      <c r="D50"/>
      <c r="E50"/>
      <c r="F50"/>
    </row>
    <row r="51" spans="1:6" x14ac:dyDescent="0.25">
      <c r="A51" s="25" t="str">
        <f t="shared" si="0"/>
        <v/>
      </c>
      <c r="C51"/>
      <c r="D51"/>
      <c r="E51"/>
      <c r="F51"/>
    </row>
    <row r="52" spans="1:6" x14ac:dyDescent="0.25">
      <c r="A52" s="25" t="str">
        <f t="shared" si="0"/>
        <v/>
      </c>
      <c r="C52"/>
      <c r="D52"/>
      <c r="E52"/>
      <c r="F52"/>
    </row>
    <row r="53" spans="1:6" x14ac:dyDescent="0.25">
      <c r="A53" s="25" t="str">
        <f t="shared" si="0"/>
        <v/>
      </c>
      <c r="C53"/>
      <c r="D53"/>
      <c r="E53"/>
      <c r="F53"/>
    </row>
    <row r="54" spans="1:6" x14ac:dyDescent="0.25">
      <c r="A54" s="25" t="str">
        <f t="shared" si="0"/>
        <v/>
      </c>
      <c r="C54"/>
      <c r="D54"/>
      <c r="E54"/>
      <c r="F54"/>
    </row>
    <row r="55" spans="1:6" x14ac:dyDescent="0.25">
      <c r="A55" s="25" t="str">
        <f t="shared" si="0"/>
        <v/>
      </c>
      <c r="C55"/>
      <c r="D55"/>
      <c r="E55"/>
      <c r="F55"/>
    </row>
    <row r="56" spans="1:6" x14ac:dyDescent="0.25">
      <c r="A56" s="25" t="str">
        <f t="shared" si="0"/>
        <v/>
      </c>
      <c r="C56"/>
      <c r="D56"/>
      <c r="E56"/>
      <c r="F56"/>
    </row>
    <row r="57" spans="1:6" x14ac:dyDescent="0.25">
      <c r="A57" s="25" t="str">
        <f t="shared" si="0"/>
        <v/>
      </c>
      <c r="C57"/>
      <c r="D57"/>
      <c r="E57"/>
      <c r="F57"/>
    </row>
    <row r="58" spans="1:6" x14ac:dyDescent="0.25">
      <c r="A58" s="25" t="str">
        <f t="shared" si="0"/>
        <v/>
      </c>
      <c r="C58"/>
      <c r="D58"/>
      <c r="E58"/>
      <c r="F58"/>
    </row>
    <row r="59" spans="1:6" x14ac:dyDescent="0.25">
      <c r="A59" s="25" t="str">
        <f t="shared" si="0"/>
        <v/>
      </c>
      <c r="C59"/>
      <c r="D59"/>
      <c r="E59"/>
      <c r="F59"/>
    </row>
    <row r="60" spans="1:6" x14ac:dyDescent="0.25">
      <c r="A60" s="25" t="str">
        <f t="shared" si="0"/>
        <v/>
      </c>
      <c r="C60"/>
      <c r="D60"/>
      <c r="E60"/>
      <c r="F60"/>
    </row>
    <row r="61" spans="1:6" x14ac:dyDescent="0.25">
      <c r="A61" s="25" t="str">
        <f t="shared" si="0"/>
        <v/>
      </c>
      <c r="C61"/>
      <c r="D61"/>
      <c r="E61"/>
      <c r="F61"/>
    </row>
    <row r="62" spans="1:6" x14ac:dyDescent="0.25">
      <c r="A62" s="25" t="str">
        <f t="shared" si="0"/>
        <v/>
      </c>
      <c r="C62"/>
      <c r="D62"/>
      <c r="E62"/>
      <c r="F62"/>
    </row>
    <row r="63" spans="1:6" x14ac:dyDescent="0.25">
      <c r="A63" s="25" t="str">
        <f t="shared" si="0"/>
        <v/>
      </c>
      <c r="C63"/>
      <c r="D63"/>
      <c r="E63"/>
      <c r="F63"/>
    </row>
    <row r="64" spans="1:6" x14ac:dyDescent="0.25">
      <c r="A64" s="25" t="str">
        <f t="shared" si="0"/>
        <v/>
      </c>
      <c r="C64"/>
      <c r="D64"/>
      <c r="E64"/>
      <c r="F64"/>
    </row>
    <row r="65" spans="1:6" x14ac:dyDescent="0.25">
      <c r="A65" s="25" t="str">
        <f t="shared" si="0"/>
        <v/>
      </c>
      <c r="C65"/>
      <c r="D65"/>
      <c r="E65"/>
      <c r="F65"/>
    </row>
    <row r="66" spans="1:6" x14ac:dyDescent="0.25">
      <c r="A66" s="25" t="str">
        <f t="shared" si="0"/>
        <v/>
      </c>
      <c r="C66"/>
      <c r="D66"/>
      <c r="E66"/>
      <c r="F66"/>
    </row>
    <row r="67" spans="1:6" x14ac:dyDescent="0.25">
      <c r="A67" s="25" t="str">
        <f t="shared" si="0"/>
        <v/>
      </c>
      <c r="C67"/>
      <c r="D67"/>
      <c r="E67"/>
      <c r="F67"/>
    </row>
    <row r="68" spans="1:6" x14ac:dyDescent="0.25">
      <c r="A68" s="25" t="str">
        <f t="shared" si="0"/>
        <v/>
      </c>
      <c r="C68"/>
      <c r="D68"/>
      <c r="E68"/>
      <c r="F68"/>
    </row>
    <row r="69" spans="1:6" x14ac:dyDescent="0.25">
      <c r="A69" s="25" t="str">
        <f t="shared" ref="A69:A132" si="1">IF(AND(C69&lt;&gt;"",C69&lt;&gt;"Grand Total"),IF(EXACT(C68,C69),A68,A68+1),"")</f>
        <v/>
      </c>
      <c r="C69"/>
      <c r="D69"/>
      <c r="E69"/>
      <c r="F69"/>
    </row>
    <row r="70" spans="1:6" x14ac:dyDescent="0.25">
      <c r="A70" s="25" t="str">
        <f t="shared" si="1"/>
        <v/>
      </c>
      <c r="C70"/>
      <c r="D70"/>
      <c r="E70"/>
      <c r="F70"/>
    </row>
    <row r="71" spans="1:6" x14ac:dyDescent="0.25">
      <c r="A71" s="25" t="str">
        <f t="shared" si="1"/>
        <v/>
      </c>
      <c r="C71"/>
      <c r="D71"/>
      <c r="E71"/>
      <c r="F71"/>
    </row>
    <row r="72" spans="1:6" x14ac:dyDescent="0.25">
      <c r="A72" s="25" t="str">
        <f t="shared" si="1"/>
        <v/>
      </c>
      <c r="C72"/>
      <c r="D72"/>
      <c r="E72"/>
      <c r="F72"/>
    </row>
    <row r="73" spans="1:6" x14ac:dyDescent="0.25">
      <c r="A73" s="25" t="str">
        <f t="shared" si="1"/>
        <v/>
      </c>
      <c r="C73"/>
      <c r="D73"/>
      <c r="E73"/>
      <c r="F73"/>
    </row>
    <row r="74" spans="1:6" x14ac:dyDescent="0.25">
      <c r="A74" s="25" t="str">
        <f t="shared" si="1"/>
        <v/>
      </c>
      <c r="C74"/>
      <c r="D74"/>
      <c r="E74"/>
      <c r="F74"/>
    </row>
    <row r="75" spans="1:6" x14ac:dyDescent="0.25">
      <c r="A75" s="25" t="str">
        <f t="shared" si="1"/>
        <v/>
      </c>
      <c r="C75"/>
      <c r="D75"/>
      <c r="E75"/>
      <c r="F75"/>
    </row>
    <row r="76" spans="1:6" x14ac:dyDescent="0.25">
      <c r="A76" s="25" t="str">
        <f t="shared" si="1"/>
        <v/>
      </c>
      <c r="C76"/>
      <c r="D76"/>
      <c r="E76"/>
      <c r="F76"/>
    </row>
    <row r="77" spans="1:6" x14ac:dyDescent="0.25">
      <c r="A77" s="25" t="str">
        <f t="shared" si="1"/>
        <v/>
      </c>
      <c r="C77"/>
      <c r="D77"/>
      <c r="E77"/>
      <c r="F77"/>
    </row>
    <row r="78" spans="1:6" x14ac:dyDescent="0.25">
      <c r="A78" s="25" t="str">
        <f t="shared" si="1"/>
        <v/>
      </c>
      <c r="C78"/>
      <c r="D78"/>
      <c r="E78"/>
      <c r="F78"/>
    </row>
    <row r="79" spans="1:6" x14ac:dyDescent="0.25">
      <c r="A79" s="25" t="str">
        <f t="shared" si="1"/>
        <v/>
      </c>
      <c r="C79"/>
      <c r="D79"/>
      <c r="E79"/>
      <c r="F79"/>
    </row>
    <row r="80" spans="1:6" x14ac:dyDescent="0.25">
      <c r="A80" s="25" t="str">
        <f t="shared" si="1"/>
        <v/>
      </c>
      <c r="C80"/>
      <c r="D80"/>
      <c r="E80"/>
      <c r="F80"/>
    </row>
    <row r="81" spans="1:6" x14ac:dyDescent="0.25">
      <c r="A81" s="25" t="str">
        <f t="shared" si="1"/>
        <v/>
      </c>
      <c r="C81"/>
      <c r="D81"/>
      <c r="E81"/>
      <c r="F81"/>
    </row>
    <row r="82" spans="1:6" x14ac:dyDescent="0.25">
      <c r="A82" s="25" t="str">
        <f t="shared" si="1"/>
        <v/>
      </c>
      <c r="C82"/>
      <c r="D82"/>
      <c r="E82"/>
      <c r="F82"/>
    </row>
    <row r="83" spans="1:6" x14ac:dyDescent="0.25">
      <c r="A83" s="25" t="str">
        <f t="shared" si="1"/>
        <v/>
      </c>
      <c r="C83"/>
      <c r="D83"/>
      <c r="E83"/>
      <c r="F83"/>
    </row>
    <row r="84" spans="1:6" x14ac:dyDescent="0.25">
      <c r="A84" s="25" t="str">
        <f t="shared" si="1"/>
        <v/>
      </c>
      <c r="C84"/>
      <c r="D84"/>
      <c r="E84"/>
      <c r="F84"/>
    </row>
    <row r="85" spans="1:6" x14ac:dyDescent="0.25">
      <c r="A85" s="25" t="str">
        <f t="shared" si="1"/>
        <v/>
      </c>
      <c r="C85"/>
      <c r="D85"/>
      <c r="E85"/>
      <c r="F85"/>
    </row>
    <row r="86" spans="1:6" x14ac:dyDescent="0.25">
      <c r="A86" s="25" t="str">
        <f t="shared" si="1"/>
        <v/>
      </c>
      <c r="C86"/>
      <c r="D86"/>
      <c r="E86"/>
      <c r="F86"/>
    </row>
    <row r="87" spans="1:6" x14ac:dyDescent="0.25">
      <c r="A87" s="25" t="str">
        <f t="shared" si="1"/>
        <v/>
      </c>
      <c r="C87"/>
      <c r="D87"/>
      <c r="E87"/>
      <c r="F87"/>
    </row>
    <row r="88" spans="1:6" x14ac:dyDescent="0.25">
      <c r="A88" s="25" t="str">
        <f t="shared" si="1"/>
        <v/>
      </c>
      <c r="C88"/>
      <c r="D88"/>
      <c r="E88"/>
      <c r="F88"/>
    </row>
    <row r="89" spans="1:6" x14ac:dyDescent="0.25">
      <c r="A89" s="25" t="str">
        <f t="shared" si="1"/>
        <v/>
      </c>
      <c r="C89"/>
      <c r="D89"/>
      <c r="E89"/>
      <c r="F89"/>
    </row>
    <row r="90" spans="1:6" x14ac:dyDescent="0.25">
      <c r="A90" s="25" t="str">
        <f t="shared" si="1"/>
        <v/>
      </c>
      <c r="C90"/>
      <c r="D90"/>
      <c r="E90"/>
      <c r="F90"/>
    </row>
    <row r="91" spans="1:6" x14ac:dyDescent="0.25">
      <c r="A91" s="25" t="str">
        <f t="shared" si="1"/>
        <v/>
      </c>
      <c r="C91"/>
      <c r="D91"/>
      <c r="E91"/>
      <c r="F91"/>
    </row>
    <row r="92" spans="1:6" x14ac:dyDescent="0.25">
      <c r="A92" s="25" t="str">
        <f t="shared" si="1"/>
        <v/>
      </c>
      <c r="C92"/>
      <c r="D92"/>
      <c r="E92"/>
      <c r="F92"/>
    </row>
    <row r="93" spans="1:6" x14ac:dyDescent="0.25">
      <c r="A93" s="25" t="str">
        <f t="shared" si="1"/>
        <v/>
      </c>
      <c r="C93"/>
      <c r="D93"/>
      <c r="E93"/>
      <c r="F93"/>
    </row>
    <row r="94" spans="1:6" x14ac:dyDescent="0.25">
      <c r="A94" s="25" t="str">
        <f t="shared" si="1"/>
        <v/>
      </c>
      <c r="C94"/>
      <c r="D94"/>
      <c r="E94"/>
      <c r="F94"/>
    </row>
    <row r="95" spans="1:6" x14ac:dyDescent="0.25">
      <c r="A95" s="25" t="str">
        <f t="shared" si="1"/>
        <v/>
      </c>
      <c r="C95"/>
      <c r="D95"/>
      <c r="E95"/>
      <c r="F95"/>
    </row>
    <row r="96" spans="1:6" x14ac:dyDescent="0.25">
      <c r="A96" s="25" t="str">
        <f t="shared" si="1"/>
        <v/>
      </c>
      <c r="C96"/>
      <c r="D96"/>
      <c r="E96"/>
      <c r="F96"/>
    </row>
    <row r="97" spans="1:6" x14ac:dyDescent="0.25">
      <c r="A97" s="25" t="str">
        <f t="shared" si="1"/>
        <v/>
      </c>
      <c r="C97"/>
      <c r="D97"/>
      <c r="E97"/>
      <c r="F97"/>
    </row>
    <row r="98" spans="1:6" x14ac:dyDescent="0.25">
      <c r="A98" s="25" t="str">
        <f t="shared" si="1"/>
        <v/>
      </c>
      <c r="C98"/>
      <c r="D98"/>
      <c r="E98"/>
      <c r="F98"/>
    </row>
    <row r="99" spans="1:6" x14ac:dyDescent="0.25">
      <c r="A99" s="25" t="str">
        <f t="shared" si="1"/>
        <v/>
      </c>
      <c r="C99"/>
      <c r="D99"/>
      <c r="E99"/>
      <c r="F99"/>
    </row>
    <row r="100" spans="1:6" x14ac:dyDescent="0.25">
      <c r="A100" s="25" t="str">
        <f t="shared" si="1"/>
        <v/>
      </c>
      <c r="C100"/>
      <c r="D100"/>
      <c r="E100"/>
      <c r="F100"/>
    </row>
    <row r="101" spans="1:6" x14ac:dyDescent="0.25">
      <c r="A101" s="25" t="str">
        <f t="shared" si="1"/>
        <v/>
      </c>
      <c r="C101"/>
      <c r="D101"/>
      <c r="E101"/>
      <c r="F101"/>
    </row>
    <row r="102" spans="1:6" x14ac:dyDescent="0.25">
      <c r="A102" s="25" t="str">
        <f t="shared" si="1"/>
        <v/>
      </c>
      <c r="C102"/>
      <c r="D102"/>
      <c r="E102"/>
      <c r="F102"/>
    </row>
    <row r="103" spans="1:6" x14ac:dyDescent="0.25">
      <c r="A103" s="25" t="str">
        <f t="shared" si="1"/>
        <v/>
      </c>
      <c r="C103"/>
      <c r="D103"/>
      <c r="E103"/>
      <c r="F103"/>
    </row>
    <row r="104" spans="1:6" x14ac:dyDescent="0.25">
      <c r="A104" s="25" t="str">
        <f t="shared" si="1"/>
        <v/>
      </c>
      <c r="C104"/>
      <c r="D104"/>
      <c r="E104"/>
      <c r="F104"/>
    </row>
    <row r="105" spans="1:6" x14ac:dyDescent="0.25">
      <c r="A105" s="25" t="str">
        <f t="shared" si="1"/>
        <v/>
      </c>
      <c r="C105"/>
      <c r="D105"/>
      <c r="E105"/>
      <c r="F105"/>
    </row>
    <row r="106" spans="1:6" ht="14.25" customHeight="1" x14ac:dyDescent="0.25">
      <c r="A106" s="25" t="str">
        <f t="shared" si="1"/>
        <v/>
      </c>
      <c r="C106"/>
      <c r="D106"/>
      <c r="E106"/>
      <c r="F106"/>
    </row>
    <row r="107" spans="1:6" x14ac:dyDescent="0.25">
      <c r="A107" s="25" t="str">
        <f t="shared" si="1"/>
        <v/>
      </c>
      <c r="C107"/>
      <c r="D107"/>
      <c r="E107"/>
      <c r="F107"/>
    </row>
    <row r="108" spans="1:6" x14ac:dyDescent="0.25">
      <c r="A108" s="25" t="str">
        <f t="shared" si="1"/>
        <v/>
      </c>
    </row>
    <row r="109" spans="1:6" x14ac:dyDescent="0.25">
      <c r="A109" s="25" t="str">
        <f t="shared" si="1"/>
        <v/>
      </c>
    </row>
    <row r="110" spans="1:6" x14ac:dyDescent="0.25">
      <c r="A110" s="25" t="str">
        <f t="shared" si="1"/>
        <v/>
      </c>
    </row>
    <row r="111" spans="1:6" x14ac:dyDescent="0.25">
      <c r="A111" s="25" t="str">
        <f t="shared" si="1"/>
        <v/>
      </c>
    </row>
    <row r="112" spans="1:6" x14ac:dyDescent="0.25">
      <c r="A112" s="25" t="str">
        <f t="shared" si="1"/>
        <v/>
      </c>
    </row>
    <row r="113" spans="1:1" x14ac:dyDescent="0.25">
      <c r="A113" s="25" t="str">
        <f t="shared" si="1"/>
        <v/>
      </c>
    </row>
    <row r="114" spans="1:1" x14ac:dyDescent="0.25">
      <c r="A114" s="25" t="str">
        <f t="shared" si="1"/>
        <v/>
      </c>
    </row>
    <row r="115" spans="1:1" x14ac:dyDescent="0.25">
      <c r="A115" s="25" t="str">
        <f t="shared" si="1"/>
        <v/>
      </c>
    </row>
    <row r="116" spans="1:1" x14ac:dyDescent="0.25">
      <c r="A116" s="25" t="str">
        <f t="shared" si="1"/>
        <v/>
      </c>
    </row>
    <row r="117" spans="1:1" x14ac:dyDescent="0.25">
      <c r="A117" s="25" t="str">
        <f t="shared" si="1"/>
        <v/>
      </c>
    </row>
    <row r="118" spans="1:1" x14ac:dyDescent="0.25">
      <c r="A118" s="25" t="str">
        <f t="shared" si="1"/>
        <v/>
      </c>
    </row>
    <row r="119" spans="1:1" x14ac:dyDescent="0.25">
      <c r="A119" s="25" t="str">
        <f t="shared" si="1"/>
        <v/>
      </c>
    </row>
    <row r="120" spans="1:1" x14ac:dyDescent="0.25">
      <c r="A120" s="25" t="str">
        <f t="shared" si="1"/>
        <v/>
      </c>
    </row>
    <row r="121" spans="1:1" x14ac:dyDescent="0.25">
      <c r="A121" s="25" t="str">
        <f t="shared" si="1"/>
        <v/>
      </c>
    </row>
    <row r="122" spans="1:1" x14ac:dyDescent="0.25">
      <c r="A122" s="25" t="str">
        <f t="shared" si="1"/>
        <v/>
      </c>
    </row>
    <row r="123" spans="1:1" x14ac:dyDescent="0.25">
      <c r="A123" s="25" t="str">
        <f t="shared" si="1"/>
        <v/>
      </c>
    </row>
    <row r="124" spans="1:1" x14ac:dyDescent="0.25">
      <c r="A124" s="25" t="str">
        <f t="shared" si="1"/>
        <v/>
      </c>
    </row>
    <row r="125" spans="1:1" x14ac:dyDescent="0.25">
      <c r="A125" s="25" t="str">
        <f t="shared" si="1"/>
        <v/>
      </c>
    </row>
    <row r="126" spans="1:1" x14ac:dyDescent="0.25">
      <c r="A126" s="25" t="str">
        <f t="shared" si="1"/>
        <v/>
      </c>
    </row>
    <row r="127" spans="1:1" x14ac:dyDescent="0.25">
      <c r="A127" s="25" t="str">
        <f t="shared" si="1"/>
        <v/>
      </c>
    </row>
    <row r="128" spans="1:1" x14ac:dyDescent="0.25">
      <c r="A128" s="25" t="str">
        <f t="shared" si="1"/>
        <v/>
      </c>
    </row>
    <row r="129" spans="1:1" x14ac:dyDescent="0.25">
      <c r="A129" s="25" t="str">
        <f t="shared" si="1"/>
        <v/>
      </c>
    </row>
    <row r="130" spans="1:1" x14ac:dyDescent="0.25">
      <c r="A130" s="25" t="str">
        <f t="shared" si="1"/>
        <v/>
      </c>
    </row>
    <row r="131" spans="1:1" x14ac:dyDescent="0.25">
      <c r="A131" s="25" t="str">
        <f t="shared" si="1"/>
        <v/>
      </c>
    </row>
    <row r="132" spans="1:1" x14ac:dyDescent="0.25">
      <c r="A132" s="25" t="str">
        <f t="shared" si="1"/>
        <v/>
      </c>
    </row>
    <row r="133" spans="1:1" x14ac:dyDescent="0.25">
      <c r="A133" s="25" t="str">
        <f t="shared" ref="A133:A196" si="2">IF(AND(C133&lt;&gt;"",C133&lt;&gt;"Grand Total"),IF(EXACT(C132,C133),A132,A132+1),"")</f>
        <v/>
      </c>
    </row>
    <row r="134" spans="1:1" x14ac:dyDescent="0.25">
      <c r="A134" s="25" t="str">
        <f t="shared" si="2"/>
        <v/>
      </c>
    </row>
    <row r="135" spans="1:1" x14ac:dyDescent="0.25">
      <c r="A135" s="25" t="str">
        <f t="shared" si="2"/>
        <v/>
      </c>
    </row>
    <row r="136" spans="1:1" x14ac:dyDescent="0.25">
      <c r="A136" s="25" t="str">
        <f t="shared" si="2"/>
        <v/>
      </c>
    </row>
    <row r="137" spans="1:1" x14ac:dyDescent="0.25">
      <c r="A137" s="25" t="str">
        <f t="shared" si="2"/>
        <v/>
      </c>
    </row>
    <row r="138" spans="1:1" x14ac:dyDescent="0.25">
      <c r="A138" s="25" t="str">
        <f t="shared" si="2"/>
        <v/>
      </c>
    </row>
    <row r="139" spans="1:1" x14ac:dyDescent="0.25">
      <c r="A139" s="25" t="str">
        <f t="shared" si="2"/>
        <v/>
      </c>
    </row>
    <row r="140" spans="1:1" x14ac:dyDescent="0.25">
      <c r="A140" s="25" t="str">
        <f t="shared" si="2"/>
        <v/>
      </c>
    </row>
    <row r="141" spans="1:1" x14ac:dyDescent="0.25">
      <c r="A141" s="25" t="str">
        <f t="shared" si="2"/>
        <v/>
      </c>
    </row>
    <row r="142" spans="1:1" x14ac:dyDescent="0.25">
      <c r="A142" s="25" t="str">
        <f t="shared" si="2"/>
        <v/>
      </c>
    </row>
    <row r="143" spans="1:1" x14ac:dyDescent="0.25">
      <c r="A143" s="25" t="str">
        <f t="shared" si="2"/>
        <v/>
      </c>
    </row>
    <row r="144" spans="1:1" x14ac:dyDescent="0.25">
      <c r="A144" s="25" t="str">
        <f t="shared" si="2"/>
        <v/>
      </c>
    </row>
    <row r="145" spans="1:1" x14ac:dyDescent="0.25">
      <c r="A145" s="25" t="str">
        <f t="shared" si="2"/>
        <v/>
      </c>
    </row>
    <row r="146" spans="1:1" x14ac:dyDescent="0.25">
      <c r="A146" s="25" t="str">
        <f t="shared" si="2"/>
        <v/>
      </c>
    </row>
    <row r="147" spans="1:1" x14ac:dyDescent="0.25">
      <c r="A147" s="25" t="str">
        <f t="shared" si="2"/>
        <v/>
      </c>
    </row>
    <row r="148" spans="1:1" x14ac:dyDescent="0.25">
      <c r="A148" s="25" t="str">
        <f t="shared" si="2"/>
        <v/>
      </c>
    </row>
    <row r="149" spans="1:1" x14ac:dyDescent="0.25">
      <c r="A149" s="25" t="str">
        <f t="shared" si="2"/>
        <v/>
      </c>
    </row>
    <row r="150" spans="1:1" x14ac:dyDescent="0.25">
      <c r="A150" s="25" t="str">
        <f t="shared" si="2"/>
        <v/>
      </c>
    </row>
    <row r="151" spans="1:1" x14ac:dyDescent="0.25">
      <c r="A151" s="25" t="str">
        <f t="shared" si="2"/>
        <v/>
      </c>
    </row>
    <row r="152" spans="1:1" x14ac:dyDescent="0.25">
      <c r="A152" s="25" t="str">
        <f t="shared" si="2"/>
        <v/>
      </c>
    </row>
    <row r="153" spans="1:1" x14ac:dyDescent="0.25">
      <c r="A153" s="25" t="str">
        <f t="shared" si="2"/>
        <v/>
      </c>
    </row>
    <row r="154" spans="1:1" x14ac:dyDescent="0.25">
      <c r="A154" s="25" t="str">
        <f t="shared" si="2"/>
        <v/>
      </c>
    </row>
    <row r="155" spans="1:1" x14ac:dyDescent="0.25">
      <c r="A155" s="25" t="str">
        <f t="shared" si="2"/>
        <v/>
      </c>
    </row>
    <row r="156" spans="1:1" x14ac:dyDescent="0.25">
      <c r="A156" s="25" t="str">
        <f t="shared" si="2"/>
        <v/>
      </c>
    </row>
    <row r="157" spans="1:1" x14ac:dyDescent="0.25">
      <c r="A157" s="25" t="str">
        <f t="shared" si="2"/>
        <v/>
      </c>
    </row>
    <row r="158" spans="1:1" x14ac:dyDescent="0.25">
      <c r="A158" s="25" t="str">
        <f t="shared" si="2"/>
        <v/>
      </c>
    </row>
    <row r="159" spans="1:1" x14ac:dyDescent="0.25">
      <c r="A159" s="25" t="str">
        <f t="shared" si="2"/>
        <v/>
      </c>
    </row>
    <row r="160" spans="1:1" x14ac:dyDescent="0.25">
      <c r="A160" s="25" t="str">
        <f t="shared" si="2"/>
        <v/>
      </c>
    </row>
    <row r="161" spans="1:1" x14ac:dyDescent="0.25">
      <c r="A161" s="25" t="str">
        <f t="shared" si="2"/>
        <v/>
      </c>
    </row>
    <row r="162" spans="1:1" x14ac:dyDescent="0.25">
      <c r="A162" s="25" t="str">
        <f t="shared" si="2"/>
        <v/>
      </c>
    </row>
    <row r="163" spans="1:1" x14ac:dyDescent="0.25">
      <c r="A163" s="25" t="str">
        <f t="shared" si="2"/>
        <v/>
      </c>
    </row>
    <row r="164" spans="1:1" x14ac:dyDescent="0.25">
      <c r="A164" s="25" t="str">
        <f t="shared" si="2"/>
        <v/>
      </c>
    </row>
    <row r="165" spans="1:1" x14ac:dyDescent="0.25">
      <c r="A165" s="25" t="str">
        <f t="shared" si="2"/>
        <v/>
      </c>
    </row>
    <row r="166" spans="1:1" x14ac:dyDescent="0.25">
      <c r="A166" s="25" t="str">
        <f t="shared" si="2"/>
        <v/>
      </c>
    </row>
    <row r="167" spans="1:1" x14ac:dyDescent="0.25">
      <c r="A167" s="25" t="str">
        <f t="shared" si="2"/>
        <v/>
      </c>
    </row>
    <row r="168" spans="1:1" x14ac:dyDescent="0.25">
      <c r="A168" s="25" t="str">
        <f t="shared" si="2"/>
        <v/>
      </c>
    </row>
    <row r="169" spans="1:1" x14ac:dyDescent="0.25">
      <c r="A169" s="25" t="str">
        <f t="shared" si="2"/>
        <v/>
      </c>
    </row>
    <row r="170" spans="1:1" x14ac:dyDescent="0.25">
      <c r="A170" s="25" t="str">
        <f t="shared" si="2"/>
        <v/>
      </c>
    </row>
    <row r="171" spans="1:1" x14ac:dyDescent="0.25">
      <c r="A171" s="25" t="str">
        <f t="shared" si="2"/>
        <v/>
      </c>
    </row>
    <row r="172" spans="1:1" x14ac:dyDescent="0.25">
      <c r="A172" s="25" t="str">
        <f t="shared" si="2"/>
        <v/>
      </c>
    </row>
    <row r="173" spans="1:1" x14ac:dyDescent="0.25">
      <c r="A173" s="25" t="str">
        <f t="shared" si="2"/>
        <v/>
      </c>
    </row>
    <row r="174" spans="1:1" x14ac:dyDescent="0.25">
      <c r="A174" s="25" t="str">
        <f t="shared" si="2"/>
        <v/>
      </c>
    </row>
    <row r="175" spans="1:1" x14ac:dyDescent="0.25">
      <c r="A175" s="25" t="str">
        <f t="shared" si="2"/>
        <v/>
      </c>
    </row>
    <row r="176" spans="1:1" x14ac:dyDescent="0.25">
      <c r="A176" s="25" t="str">
        <f t="shared" si="2"/>
        <v/>
      </c>
    </row>
    <row r="177" spans="1:1" x14ac:dyDescent="0.25">
      <c r="A177" s="25" t="str">
        <f t="shared" si="2"/>
        <v/>
      </c>
    </row>
    <row r="178" spans="1:1" x14ac:dyDescent="0.25">
      <c r="A178" s="25" t="str">
        <f t="shared" si="2"/>
        <v/>
      </c>
    </row>
    <row r="179" spans="1:1" x14ac:dyDescent="0.25">
      <c r="A179" s="25" t="str">
        <f t="shared" si="2"/>
        <v/>
      </c>
    </row>
    <row r="180" spans="1:1" x14ac:dyDescent="0.25">
      <c r="A180" s="25" t="str">
        <f t="shared" si="2"/>
        <v/>
      </c>
    </row>
    <row r="181" spans="1:1" x14ac:dyDescent="0.25">
      <c r="A181" s="25" t="str">
        <f t="shared" si="2"/>
        <v/>
      </c>
    </row>
    <row r="182" spans="1:1" x14ac:dyDescent="0.25">
      <c r="A182" s="25" t="str">
        <f t="shared" si="2"/>
        <v/>
      </c>
    </row>
    <row r="183" spans="1:1" x14ac:dyDescent="0.25">
      <c r="A183" s="25" t="str">
        <f t="shared" si="2"/>
        <v/>
      </c>
    </row>
    <row r="184" spans="1:1" x14ac:dyDescent="0.25">
      <c r="A184" s="25" t="str">
        <f t="shared" si="2"/>
        <v/>
      </c>
    </row>
    <row r="185" spans="1:1" x14ac:dyDescent="0.25">
      <c r="A185" s="25" t="str">
        <f t="shared" si="2"/>
        <v/>
      </c>
    </row>
    <row r="186" spans="1:1" x14ac:dyDescent="0.25">
      <c r="A186" s="25" t="str">
        <f t="shared" si="2"/>
        <v/>
      </c>
    </row>
    <row r="187" spans="1:1" x14ac:dyDescent="0.25">
      <c r="A187" s="25" t="str">
        <f t="shared" si="2"/>
        <v/>
      </c>
    </row>
    <row r="188" spans="1:1" x14ac:dyDescent="0.25">
      <c r="A188" s="25" t="str">
        <f t="shared" si="2"/>
        <v/>
      </c>
    </row>
    <row r="189" spans="1:1" x14ac:dyDescent="0.25">
      <c r="A189" s="25" t="str">
        <f t="shared" si="2"/>
        <v/>
      </c>
    </row>
    <row r="190" spans="1:1" x14ac:dyDescent="0.25">
      <c r="A190" s="25" t="str">
        <f t="shared" si="2"/>
        <v/>
      </c>
    </row>
    <row r="191" spans="1:1" x14ac:dyDescent="0.25">
      <c r="A191" s="25" t="str">
        <f t="shared" si="2"/>
        <v/>
      </c>
    </row>
    <row r="192" spans="1:1" x14ac:dyDescent="0.25">
      <c r="A192" s="25" t="str">
        <f t="shared" si="2"/>
        <v/>
      </c>
    </row>
    <row r="193" spans="1:1" x14ac:dyDescent="0.25">
      <c r="A193" s="25" t="str">
        <f t="shared" si="2"/>
        <v/>
      </c>
    </row>
    <row r="194" spans="1:1" x14ac:dyDescent="0.25">
      <c r="A194" s="25" t="str">
        <f t="shared" si="2"/>
        <v/>
      </c>
    </row>
    <row r="195" spans="1:1" x14ac:dyDescent="0.25">
      <c r="A195" s="25" t="str">
        <f t="shared" si="2"/>
        <v/>
      </c>
    </row>
    <row r="196" spans="1:1" x14ac:dyDescent="0.25">
      <c r="A196" s="25" t="str">
        <f t="shared" si="2"/>
        <v/>
      </c>
    </row>
    <row r="197" spans="1:1" x14ac:dyDescent="0.25">
      <c r="A197" s="25" t="str">
        <f t="shared" ref="A197:A260" si="3">IF(AND(C197&lt;&gt;"",C197&lt;&gt;"Grand Total"),IF(EXACT(C196,C197),A196,A196+1),"")</f>
        <v/>
      </c>
    </row>
    <row r="198" spans="1:1" x14ac:dyDescent="0.25">
      <c r="A198" s="25" t="str">
        <f t="shared" si="3"/>
        <v/>
      </c>
    </row>
    <row r="199" spans="1:1" x14ac:dyDescent="0.25">
      <c r="A199" s="25" t="str">
        <f t="shared" si="3"/>
        <v/>
      </c>
    </row>
    <row r="200" spans="1:1" x14ac:dyDescent="0.25">
      <c r="A200" s="25" t="str">
        <f t="shared" si="3"/>
        <v/>
      </c>
    </row>
    <row r="201" spans="1:1" x14ac:dyDescent="0.25">
      <c r="A201" s="25" t="str">
        <f t="shared" si="3"/>
        <v/>
      </c>
    </row>
    <row r="202" spans="1:1" x14ac:dyDescent="0.25">
      <c r="A202" s="25" t="str">
        <f t="shared" si="3"/>
        <v/>
      </c>
    </row>
    <row r="203" spans="1:1" x14ac:dyDescent="0.25">
      <c r="A203" s="25" t="str">
        <f t="shared" si="3"/>
        <v/>
      </c>
    </row>
    <row r="204" spans="1:1" x14ac:dyDescent="0.25">
      <c r="A204" s="25" t="str">
        <f t="shared" si="3"/>
        <v/>
      </c>
    </row>
    <row r="205" spans="1:1" x14ac:dyDescent="0.25">
      <c r="A205" s="25" t="str">
        <f t="shared" si="3"/>
        <v/>
      </c>
    </row>
    <row r="206" spans="1:1" x14ac:dyDescent="0.25">
      <c r="A206" s="25" t="str">
        <f t="shared" si="3"/>
        <v/>
      </c>
    </row>
    <row r="207" spans="1:1" x14ac:dyDescent="0.25">
      <c r="A207" s="25" t="str">
        <f t="shared" si="3"/>
        <v/>
      </c>
    </row>
    <row r="208" spans="1:1" x14ac:dyDescent="0.25">
      <c r="A208" s="25" t="str">
        <f t="shared" si="3"/>
        <v/>
      </c>
    </row>
    <row r="209" spans="1:1" x14ac:dyDescent="0.25">
      <c r="A209" s="25" t="str">
        <f t="shared" si="3"/>
        <v/>
      </c>
    </row>
    <row r="210" spans="1:1" x14ac:dyDescent="0.25">
      <c r="A210" s="25" t="str">
        <f t="shared" si="3"/>
        <v/>
      </c>
    </row>
    <row r="211" spans="1:1" x14ac:dyDescent="0.25">
      <c r="A211" s="25" t="str">
        <f t="shared" si="3"/>
        <v/>
      </c>
    </row>
    <row r="212" spans="1:1" x14ac:dyDescent="0.25">
      <c r="A212" s="25" t="str">
        <f t="shared" si="3"/>
        <v/>
      </c>
    </row>
    <row r="213" spans="1:1" x14ac:dyDescent="0.25">
      <c r="A213" s="25" t="str">
        <f t="shared" si="3"/>
        <v/>
      </c>
    </row>
    <row r="214" spans="1:1" x14ac:dyDescent="0.25">
      <c r="A214" s="25" t="str">
        <f t="shared" si="3"/>
        <v/>
      </c>
    </row>
    <row r="215" spans="1:1" x14ac:dyDescent="0.25">
      <c r="A215" s="25" t="str">
        <f t="shared" si="3"/>
        <v/>
      </c>
    </row>
    <row r="216" spans="1:1" x14ac:dyDescent="0.25">
      <c r="A216" s="25" t="str">
        <f t="shared" si="3"/>
        <v/>
      </c>
    </row>
    <row r="217" spans="1:1" x14ac:dyDescent="0.25">
      <c r="A217" s="25" t="str">
        <f t="shared" si="3"/>
        <v/>
      </c>
    </row>
    <row r="218" spans="1:1" x14ac:dyDescent="0.25">
      <c r="A218" s="25" t="str">
        <f t="shared" si="3"/>
        <v/>
      </c>
    </row>
    <row r="219" spans="1:1" x14ac:dyDescent="0.25">
      <c r="A219" s="25" t="str">
        <f t="shared" si="3"/>
        <v/>
      </c>
    </row>
    <row r="220" spans="1:1" x14ac:dyDescent="0.25">
      <c r="A220" s="25" t="str">
        <f t="shared" si="3"/>
        <v/>
      </c>
    </row>
    <row r="221" spans="1:1" x14ac:dyDescent="0.25">
      <c r="A221" s="25" t="str">
        <f t="shared" si="3"/>
        <v/>
      </c>
    </row>
    <row r="222" spans="1:1" x14ac:dyDescent="0.25">
      <c r="A222" s="25" t="str">
        <f t="shared" si="3"/>
        <v/>
      </c>
    </row>
    <row r="223" spans="1:1" x14ac:dyDescent="0.25">
      <c r="A223" s="25" t="str">
        <f t="shared" si="3"/>
        <v/>
      </c>
    </row>
    <row r="224" spans="1:1" x14ac:dyDescent="0.25">
      <c r="A224" s="25" t="str">
        <f t="shared" si="3"/>
        <v/>
      </c>
    </row>
    <row r="225" spans="1:1" x14ac:dyDescent="0.25">
      <c r="A225" s="25" t="str">
        <f t="shared" si="3"/>
        <v/>
      </c>
    </row>
    <row r="226" spans="1:1" x14ac:dyDescent="0.25">
      <c r="A226" s="25" t="str">
        <f t="shared" si="3"/>
        <v/>
      </c>
    </row>
    <row r="227" spans="1:1" x14ac:dyDescent="0.25">
      <c r="A227" s="25" t="str">
        <f t="shared" si="3"/>
        <v/>
      </c>
    </row>
    <row r="228" spans="1:1" x14ac:dyDescent="0.25">
      <c r="A228" s="25" t="str">
        <f t="shared" si="3"/>
        <v/>
      </c>
    </row>
    <row r="229" spans="1:1" x14ac:dyDescent="0.25">
      <c r="A229" s="25" t="str">
        <f t="shared" si="3"/>
        <v/>
      </c>
    </row>
    <row r="230" spans="1:1" x14ac:dyDescent="0.25">
      <c r="A230" s="25" t="str">
        <f t="shared" si="3"/>
        <v/>
      </c>
    </row>
    <row r="231" spans="1:1" x14ac:dyDescent="0.25">
      <c r="A231" s="25" t="str">
        <f t="shared" si="3"/>
        <v/>
      </c>
    </row>
    <row r="232" spans="1:1" x14ac:dyDescent="0.25">
      <c r="A232" s="25" t="str">
        <f t="shared" si="3"/>
        <v/>
      </c>
    </row>
    <row r="233" spans="1:1" x14ac:dyDescent="0.25">
      <c r="A233" s="25" t="str">
        <f t="shared" si="3"/>
        <v/>
      </c>
    </row>
    <row r="234" spans="1:1" x14ac:dyDescent="0.25">
      <c r="A234" s="25" t="str">
        <f t="shared" si="3"/>
        <v/>
      </c>
    </row>
    <row r="235" spans="1:1" x14ac:dyDescent="0.25">
      <c r="A235" s="25" t="str">
        <f t="shared" si="3"/>
        <v/>
      </c>
    </row>
    <row r="236" spans="1:1" x14ac:dyDescent="0.25">
      <c r="A236" s="25" t="str">
        <f t="shared" si="3"/>
        <v/>
      </c>
    </row>
    <row r="237" spans="1:1" x14ac:dyDescent="0.25">
      <c r="A237" s="25" t="str">
        <f t="shared" si="3"/>
        <v/>
      </c>
    </row>
    <row r="238" spans="1:1" x14ac:dyDescent="0.25">
      <c r="A238" s="25" t="str">
        <f t="shared" si="3"/>
        <v/>
      </c>
    </row>
    <row r="239" spans="1:1" x14ac:dyDescent="0.25">
      <c r="A239" s="25" t="str">
        <f t="shared" si="3"/>
        <v/>
      </c>
    </row>
    <row r="240" spans="1:1" x14ac:dyDescent="0.25">
      <c r="A240" s="25" t="str">
        <f t="shared" si="3"/>
        <v/>
      </c>
    </row>
    <row r="241" spans="1:1" x14ac:dyDescent="0.25">
      <c r="A241" s="25" t="str">
        <f t="shared" si="3"/>
        <v/>
      </c>
    </row>
    <row r="242" spans="1:1" x14ac:dyDescent="0.25">
      <c r="A242" s="25" t="str">
        <f t="shared" si="3"/>
        <v/>
      </c>
    </row>
    <row r="243" spans="1:1" x14ac:dyDescent="0.25">
      <c r="A243" s="25" t="str">
        <f t="shared" si="3"/>
        <v/>
      </c>
    </row>
    <row r="244" spans="1:1" x14ac:dyDescent="0.25">
      <c r="A244" s="25" t="str">
        <f t="shared" si="3"/>
        <v/>
      </c>
    </row>
    <row r="245" spans="1:1" x14ac:dyDescent="0.25">
      <c r="A245" s="25" t="str">
        <f t="shared" si="3"/>
        <v/>
      </c>
    </row>
    <row r="246" spans="1:1" x14ac:dyDescent="0.25">
      <c r="A246" s="25" t="str">
        <f t="shared" si="3"/>
        <v/>
      </c>
    </row>
    <row r="247" spans="1:1" x14ac:dyDescent="0.25">
      <c r="A247" s="25" t="str">
        <f t="shared" si="3"/>
        <v/>
      </c>
    </row>
    <row r="248" spans="1:1" x14ac:dyDescent="0.25">
      <c r="A248" s="25" t="str">
        <f t="shared" si="3"/>
        <v/>
      </c>
    </row>
    <row r="249" spans="1:1" x14ac:dyDescent="0.25">
      <c r="A249" s="25" t="str">
        <f t="shared" si="3"/>
        <v/>
      </c>
    </row>
    <row r="250" spans="1:1" x14ac:dyDescent="0.25">
      <c r="A250" s="25" t="str">
        <f t="shared" si="3"/>
        <v/>
      </c>
    </row>
    <row r="251" spans="1:1" x14ac:dyDescent="0.25">
      <c r="A251" s="25" t="str">
        <f t="shared" si="3"/>
        <v/>
      </c>
    </row>
    <row r="252" spans="1:1" x14ac:dyDescent="0.25">
      <c r="A252" s="25" t="str">
        <f t="shared" si="3"/>
        <v/>
      </c>
    </row>
    <row r="253" spans="1:1" x14ac:dyDescent="0.25">
      <c r="A253" s="25" t="str">
        <f t="shared" si="3"/>
        <v/>
      </c>
    </row>
    <row r="254" spans="1:1" x14ac:dyDescent="0.25">
      <c r="A254" s="25" t="str">
        <f t="shared" si="3"/>
        <v/>
      </c>
    </row>
    <row r="255" spans="1:1" x14ac:dyDescent="0.25">
      <c r="A255" s="25" t="str">
        <f t="shared" si="3"/>
        <v/>
      </c>
    </row>
    <row r="256" spans="1:1" x14ac:dyDescent="0.25">
      <c r="A256" s="25" t="str">
        <f t="shared" si="3"/>
        <v/>
      </c>
    </row>
    <row r="257" spans="1:1" x14ac:dyDescent="0.25">
      <c r="A257" s="25" t="str">
        <f t="shared" si="3"/>
        <v/>
      </c>
    </row>
    <row r="258" spans="1:1" x14ac:dyDescent="0.25">
      <c r="A258" s="25" t="str">
        <f t="shared" si="3"/>
        <v/>
      </c>
    </row>
    <row r="259" spans="1:1" x14ac:dyDescent="0.25">
      <c r="A259" s="25" t="str">
        <f t="shared" si="3"/>
        <v/>
      </c>
    </row>
    <row r="260" spans="1:1" x14ac:dyDescent="0.25">
      <c r="A260" s="25" t="str">
        <f t="shared" si="3"/>
        <v/>
      </c>
    </row>
    <row r="261" spans="1:1" x14ac:dyDescent="0.25">
      <c r="A261" s="25" t="str">
        <f t="shared" ref="A261:A324" si="4">IF(AND(C261&lt;&gt;"",C261&lt;&gt;"Grand Total"),IF(EXACT(C260,C261),A260,A260+1),"")</f>
        <v/>
      </c>
    </row>
    <row r="262" spans="1:1" x14ac:dyDescent="0.25">
      <c r="A262" s="25" t="str">
        <f t="shared" si="4"/>
        <v/>
      </c>
    </row>
    <row r="263" spans="1:1" x14ac:dyDescent="0.25">
      <c r="A263" s="25" t="str">
        <f t="shared" si="4"/>
        <v/>
      </c>
    </row>
    <row r="264" spans="1:1" x14ac:dyDescent="0.25">
      <c r="A264" s="25" t="str">
        <f t="shared" si="4"/>
        <v/>
      </c>
    </row>
    <row r="265" spans="1:1" x14ac:dyDescent="0.25">
      <c r="A265" s="25" t="str">
        <f t="shared" si="4"/>
        <v/>
      </c>
    </row>
    <row r="266" spans="1:1" x14ac:dyDescent="0.25">
      <c r="A266" s="25" t="str">
        <f t="shared" si="4"/>
        <v/>
      </c>
    </row>
    <row r="267" spans="1:1" x14ac:dyDescent="0.25">
      <c r="A267" s="25" t="str">
        <f t="shared" si="4"/>
        <v/>
      </c>
    </row>
    <row r="268" spans="1:1" x14ac:dyDescent="0.25">
      <c r="A268" s="25" t="str">
        <f t="shared" si="4"/>
        <v/>
      </c>
    </row>
    <row r="269" spans="1:1" x14ac:dyDescent="0.25">
      <c r="A269" s="25" t="str">
        <f t="shared" si="4"/>
        <v/>
      </c>
    </row>
    <row r="270" spans="1:1" x14ac:dyDescent="0.25">
      <c r="A270" s="25" t="str">
        <f t="shared" si="4"/>
        <v/>
      </c>
    </row>
    <row r="271" spans="1:1" x14ac:dyDescent="0.25">
      <c r="A271" s="25" t="str">
        <f t="shared" si="4"/>
        <v/>
      </c>
    </row>
    <row r="272" spans="1:1" x14ac:dyDescent="0.25">
      <c r="A272" s="25" t="str">
        <f t="shared" si="4"/>
        <v/>
      </c>
    </row>
    <row r="273" spans="1:1" x14ac:dyDescent="0.25">
      <c r="A273" s="25" t="str">
        <f t="shared" si="4"/>
        <v/>
      </c>
    </row>
    <row r="274" spans="1:1" x14ac:dyDescent="0.25">
      <c r="A274" s="25" t="str">
        <f t="shared" si="4"/>
        <v/>
      </c>
    </row>
    <row r="275" spans="1:1" x14ac:dyDescent="0.25">
      <c r="A275" s="25" t="str">
        <f t="shared" si="4"/>
        <v/>
      </c>
    </row>
    <row r="276" spans="1:1" x14ac:dyDescent="0.25">
      <c r="A276" s="25" t="str">
        <f t="shared" si="4"/>
        <v/>
      </c>
    </row>
    <row r="277" spans="1:1" x14ac:dyDescent="0.25">
      <c r="A277" s="25" t="str">
        <f t="shared" si="4"/>
        <v/>
      </c>
    </row>
    <row r="278" spans="1:1" x14ac:dyDescent="0.25">
      <c r="A278" s="25" t="str">
        <f t="shared" si="4"/>
        <v/>
      </c>
    </row>
    <row r="279" spans="1:1" x14ac:dyDescent="0.25">
      <c r="A279" s="25" t="str">
        <f t="shared" si="4"/>
        <v/>
      </c>
    </row>
    <row r="280" spans="1:1" x14ac:dyDescent="0.25">
      <c r="A280" s="25" t="str">
        <f t="shared" si="4"/>
        <v/>
      </c>
    </row>
    <row r="281" spans="1:1" x14ac:dyDescent="0.25">
      <c r="A281" s="25" t="str">
        <f t="shared" si="4"/>
        <v/>
      </c>
    </row>
    <row r="282" spans="1:1" x14ac:dyDescent="0.25">
      <c r="A282" s="25" t="str">
        <f t="shared" si="4"/>
        <v/>
      </c>
    </row>
    <row r="283" spans="1:1" x14ac:dyDescent="0.25">
      <c r="A283" s="25" t="str">
        <f t="shared" si="4"/>
        <v/>
      </c>
    </row>
    <row r="284" spans="1:1" x14ac:dyDescent="0.25">
      <c r="A284" s="25" t="str">
        <f t="shared" si="4"/>
        <v/>
      </c>
    </row>
    <row r="285" spans="1:1" x14ac:dyDescent="0.25">
      <c r="A285" s="25" t="str">
        <f t="shared" si="4"/>
        <v/>
      </c>
    </row>
    <row r="286" spans="1:1" x14ac:dyDescent="0.25">
      <c r="A286" s="25" t="str">
        <f t="shared" si="4"/>
        <v/>
      </c>
    </row>
    <row r="287" spans="1:1" x14ac:dyDescent="0.25">
      <c r="A287" s="25" t="str">
        <f t="shared" si="4"/>
        <v/>
      </c>
    </row>
    <row r="288" spans="1:1" x14ac:dyDescent="0.25">
      <c r="A288" s="25" t="str">
        <f t="shared" si="4"/>
        <v/>
      </c>
    </row>
    <row r="289" spans="1:1" x14ac:dyDescent="0.25">
      <c r="A289" s="25" t="str">
        <f t="shared" si="4"/>
        <v/>
      </c>
    </row>
    <row r="290" spans="1:1" x14ac:dyDescent="0.25">
      <c r="A290" s="25" t="str">
        <f t="shared" si="4"/>
        <v/>
      </c>
    </row>
    <row r="291" spans="1:1" x14ac:dyDescent="0.25">
      <c r="A291" s="25" t="str">
        <f t="shared" si="4"/>
        <v/>
      </c>
    </row>
    <row r="292" spans="1:1" x14ac:dyDescent="0.25">
      <c r="A292" s="25" t="str">
        <f t="shared" si="4"/>
        <v/>
      </c>
    </row>
    <row r="293" spans="1:1" x14ac:dyDescent="0.25">
      <c r="A293" s="25" t="str">
        <f t="shared" si="4"/>
        <v/>
      </c>
    </row>
    <row r="294" spans="1:1" x14ac:dyDescent="0.25">
      <c r="A294" s="25" t="str">
        <f t="shared" si="4"/>
        <v/>
      </c>
    </row>
    <row r="295" spans="1:1" x14ac:dyDescent="0.25">
      <c r="A295" s="25" t="str">
        <f t="shared" si="4"/>
        <v/>
      </c>
    </row>
    <row r="296" spans="1:1" x14ac:dyDescent="0.25">
      <c r="A296" s="25" t="str">
        <f t="shared" si="4"/>
        <v/>
      </c>
    </row>
    <row r="297" spans="1:1" x14ac:dyDescent="0.25">
      <c r="A297" s="25" t="str">
        <f t="shared" si="4"/>
        <v/>
      </c>
    </row>
    <row r="298" spans="1:1" x14ac:dyDescent="0.25">
      <c r="A298" s="25" t="str">
        <f t="shared" si="4"/>
        <v/>
      </c>
    </row>
    <row r="299" spans="1:1" x14ac:dyDescent="0.25">
      <c r="A299" s="25" t="str">
        <f t="shared" si="4"/>
        <v/>
      </c>
    </row>
    <row r="300" spans="1:1" x14ac:dyDescent="0.25">
      <c r="A300" s="25" t="str">
        <f t="shared" si="4"/>
        <v/>
      </c>
    </row>
    <row r="301" spans="1:1" x14ac:dyDescent="0.25">
      <c r="A301" s="25" t="str">
        <f t="shared" si="4"/>
        <v/>
      </c>
    </row>
    <row r="302" spans="1:1" x14ac:dyDescent="0.25">
      <c r="A302" s="25" t="str">
        <f t="shared" si="4"/>
        <v/>
      </c>
    </row>
    <row r="303" spans="1:1" x14ac:dyDescent="0.25">
      <c r="A303" s="25" t="str">
        <f t="shared" si="4"/>
        <v/>
      </c>
    </row>
    <row r="304" spans="1:1" x14ac:dyDescent="0.25">
      <c r="A304" s="25" t="str">
        <f t="shared" si="4"/>
        <v/>
      </c>
    </row>
    <row r="305" spans="1:1" x14ac:dyDescent="0.25">
      <c r="A305" s="25" t="str">
        <f t="shared" si="4"/>
        <v/>
      </c>
    </row>
    <row r="306" spans="1:1" x14ac:dyDescent="0.25">
      <c r="A306" s="25" t="str">
        <f t="shared" si="4"/>
        <v/>
      </c>
    </row>
    <row r="307" spans="1:1" x14ac:dyDescent="0.25">
      <c r="A307" s="25" t="str">
        <f t="shared" si="4"/>
        <v/>
      </c>
    </row>
    <row r="308" spans="1:1" x14ac:dyDescent="0.25">
      <c r="A308" s="25" t="str">
        <f t="shared" si="4"/>
        <v/>
      </c>
    </row>
    <row r="309" spans="1:1" x14ac:dyDescent="0.25">
      <c r="A309" s="25" t="str">
        <f t="shared" si="4"/>
        <v/>
      </c>
    </row>
    <row r="310" spans="1:1" x14ac:dyDescent="0.25">
      <c r="A310" s="25" t="str">
        <f t="shared" si="4"/>
        <v/>
      </c>
    </row>
    <row r="311" spans="1:1" x14ac:dyDescent="0.25">
      <c r="A311" s="25" t="str">
        <f t="shared" si="4"/>
        <v/>
      </c>
    </row>
    <row r="312" spans="1:1" x14ac:dyDescent="0.25">
      <c r="A312" s="25" t="str">
        <f t="shared" si="4"/>
        <v/>
      </c>
    </row>
    <row r="313" spans="1:1" x14ac:dyDescent="0.25">
      <c r="A313" s="25" t="str">
        <f t="shared" si="4"/>
        <v/>
      </c>
    </row>
    <row r="314" spans="1:1" x14ac:dyDescent="0.25">
      <c r="A314" s="25" t="str">
        <f t="shared" si="4"/>
        <v/>
      </c>
    </row>
    <row r="315" spans="1:1" x14ac:dyDescent="0.25">
      <c r="A315" s="25" t="str">
        <f t="shared" si="4"/>
        <v/>
      </c>
    </row>
    <row r="316" spans="1:1" x14ac:dyDescent="0.25">
      <c r="A316" s="25" t="str">
        <f t="shared" si="4"/>
        <v/>
      </c>
    </row>
    <row r="317" spans="1:1" x14ac:dyDescent="0.25">
      <c r="A317" s="25" t="str">
        <f t="shared" si="4"/>
        <v/>
      </c>
    </row>
    <row r="318" spans="1:1" x14ac:dyDescent="0.25">
      <c r="A318" s="25" t="str">
        <f t="shared" si="4"/>
        <v/>
      </c>
    </row>
    <row r="319" spans="1:1" x14ac:dyDescent="0.25">
      <c r="A319" s="25" t="str">
        <f t="shared" si="4"/>
        <v/>
      </c>
    </row>
    <row r="320" spans="1:1" x14ac:dyDescent="0.25">
      <c r="A320" s="25" t="str">
        <f t="shared" si="4"/>
        <v/>
      </c>
    </row>
    <row r="321" spans="1:1" x14ac:dyDescent="0.25">
      <c r="A321" s="25" t="str">
        <f t="shared" si="4"/>
        <v/>
      </c>
    </row>
    <row r="322" spans="1:1" x14ac:dyDescent="0.25">
      <c r="A322" s="25" t="str">
        <f t="shared" si="4"/>
        <v/>
      </c>
    </row>
    <row r="323" spans="1:1" x14ac:dyDescent="0.25">
      <c r="A323" s="25" t="str">
        <f t="shared" si="4"/>
        <v/>
      </c>
    </row>
    <row r="324" spans="1:1" x14ac:dyDescent="0.25">
      <c r="A324" s="25" t="str">
        <f t="shared" si="4"/>
        <v/>
      </c>
    </row>
    <row r="325" spans="1:1" x14ac:dyDescent="0.25">
      <c r="A325" s="25" t="str">
        <f t="shared" ref="A325:A388" si="5">IF(AND(C325&lt;&gt;"",C325&lt;&gt;"Grand Total"),IF(EXACT(C324,C325),A324,A324+1),"")</f>
        <v/>
      </c>
    </row>
    <row r="326" spans="1:1" x14ac:dyDescent="0.25">
      <c r="A326" s="25" t="str">
        <f t="shared" si="5"/>
        <v/>
      </c>
    </row>
    <row r="327" spans="1:1" x14ac:dyDescent="0.25">
      <c r="A327" s="25" t="str">
        <f t="shared" si="5"/>
        <v/>
      </c>
    </row>
    <row r="328" spans="1:1" x14ac:dyDescent="0.25">
      <c r="A328" s="25" t="str">
        <f t="shared" si="5"/>
        <v/>
      </c>
    </row>
    <row r="329" spans="1:1" x14ac:dyDescent="0.25">
      <c r="A329" s="25" t="str">
        <f t="shared" si="5"/>
        <v/>
      </c>
    </row>
    <row r="330" spans="1:1" x14ac:dyDescent="0.25">
      <c r="A330" s="25" t="str">
        <f t="shared" si="5"/>
        <v/>
      </c>
    </row>
    <row r="331" spans="1:1" x14ac:dyDescent="0.25">
      <c r="A331" s="25" t="str">
        <f t="shared" si="5"/>
        <v/>
      </c>
    </row>
    <row r="332" spans="1:1" x14ac:dyDescent="0.25">
      <c r="A332" s="25" t="str">
        <f t="shared" si="5"/>
        <v/>
      </c>
    </row>
    <row r="333" spans="1:1" x14ac:dyDescent="0.25">
      <c r="A333" s="25" t="str">
        <f t="shared" si="5"/>
        <v/>
      </c>
    </row>
    <row r="334" spans="1:1" x14ac:dyDescent="0.25">
      <c r="A334" s="25" t="str">
        <f t="shared" si="5"/>
        <v/>
      </c>
    </row>
    <row r="335" spans="1:1" x14ac:dyDescent="0.25">
      <c r="A335" s="25" t="str">
        <f t="shared" si="5"/>
        <v/>
      </c>
    </row>
    <row r="336" spans="1:1" x14ac:dyDescent="0.25">
      <c r="A336" s="25" t="str">
        <f t="shared" si="5"/>
        <v/>
      </c>
    </row>
    <row r="337" spans="1:1" x14ac:dyDescent="0.25">
      <c r="A337" s="25" t="str">
        <f t="shared" si="5"/>
        <v/>
      </c>
    </row>
    <row r="338" spans="1:1" x14ac:dyDescent="0.25">
      <c r="A338" s="25" t="str">
        <f t="shared" si="5"/>
        <v/>
      </c>
    </row>
    <row r="339" spans="1:1" x14ac:dyDescent="0.25">
      <c r="A339" s="25" t="str">
        <f t="shared" si="5"/>
        <v/>
      </c>
    </row>
    <row r="340" spans="1:1" x14ac:dyDescent="0.25">
      <c r="A340" s="25" t="str">
        <f t="shared" si="5"/>
        <v/>
      </c>
    </row>
    <row r="341" spans="1:1" x14ac:dyDescent="0.25">
      <c r="A341" s="25" t="str">
        <f t="shared" si="5"/>
        <v/>
      </c>
    </row>
    <row r="342" spans="1:1" x14ac:dyDescent="0.25">
      <c r="A342" s="25" t="str">
        <f t="shared" si="5"/>
        <v/>
      </c>
    </row>
    <row r="343" spans="1:1" x14ac:dyDescent="0.25">
      <c r="A343" s="25" t="str">
        <f t="shared" si="5"/>
        <v/>
      </c>
    </row>
    <row r="344" spans="1:1" x14ac:dyDescent="0.25">
      <c r="A344" s="25" t="str">
        <f t="shared" si="5"/>
        <v/>
      </c>
    </row>
    <row r="345" spans="1:1" x14ac:dyDescent="0.25">
      <c r="A345" s="25" t="str">
        <f t="shared" si="5"/>
        <v/>
      </c>
    </row>
    <row r="346" spans="1:1" x14ac:dyDescent="0.25">
      <c r="A346" s="25" t="str">
        <f t="shared" si="5"/>
        <v/>
      </c>
    </row>
    <row r="347" spans="1:1" x14ac:dyDescent="0.25">
      <c r="A347" s="25" t="str">
        <f t="shared" si="5"/>
        <v/>
      </c>
    </row>
    <row r="348" spans="1:1" x14ac:dyDescent="0.25">
      <c r="A348" s="25" t="str">
        <f t="shared" si="5"/>
        <v/>
      </c>
    </row>
    <row r="349" spans="1:1" x14ac:dyDescent="0.25">
      <c r="A349" s="25" t="str">
        <f t="shared" si="5"/>
        <v/>
      </c>
    </row>
    <row r="350" spans="1:1" x14ac:dyDescent="0.25">
      <c r="A350" s="25" t="str">
        <f t="shared" si="5"/>
        <v/>
      </c>
    </row>
    <row r="351" spans="1:1" x14ac:dyDescent="0.25">
      <c r="A351" s="25" t="str">
        <f t="shared" si="5"/>
        <v/>
      </c>
    </row>
    <row r="352" spans="1:1" x14ac:dyDescent="0.25">
      <c r="A352" s="25" t="str">
        <f t="shared" si="5"/>
        <v/>
      </c>
    </row>
    <row r="353" spans="1:1" x14ac:dyDescent="0.25">
      <c r="A353" s="25" t="str">
        <f t="shared" si="5"/>
        <v/>
      </c>
    </row>
    <row r="354" spans="1:1" x14ac:dyDescent="0.25">
      <c r="A354" s="25" t="str">
        <f t="shared" si="5"/>
        <v/>
      </c>
    </row>
    <row r="355" spans="1:1" x14ac:dyDescent="0.25">
      <c r="A355" s="25" t="str">
        <f t="shared" si="5"/>
        <v/>
      </c>
    </row>
    <row r="356" spans="1:1" x14ac:dyDescent="0.25">
      <c r="A356" s="25" t="str">
        <f t="shared" si="5"/>
        <v/>
      </c>
    </row>
    <row r="357" spans="1:1" x14ac:dyDescent="0.25">
      <c r="A357" s="25" t="str">
        <f t="shared" si="5"/>
        <v/>
      </c>
    </row>
    <row r="358" spans="1:1" x14ac:dyDescent="0.25">
      <c r="A358" s="25" t="str">
        <f t="shared" si="5"/>
        <v/>
      </c>
    </row>
    <row r="359" spans="1:1" x14ac:dyDescent="0.25">
      <c r="A359" s="25" t="str">
        <f t="shared" si="5"/>
        <v/>
      </c>
    </row>
    <row r="360" spans="1:1" x14ac:dyDescent="0.25">
      <c r="A360" s="25" t="str">
        <f t="shared" si="5"/>
        <v/>
      </c>
    </row>
    <row r="361" spans="1:1" x14ac:dyDescent="0.25">
      <c r="A361" s="25" t="str">
        <f t="shared" si="5"/>
        <v/>
      </c>
    </row>
    <row r="362" spans="1:1" x14ac:dyDescent="0.25">
      <c r="A362" s="25" t="str">
        <f t="shared" si="5"/>
        <v/>
      </c>
    </row>
    <row r="363" spans="1:1" x14ac:dyDescent="0.25">
      <c r="A363" s="25" t="str">
        <f t="shared" si="5"/>
        <v/>
      </c>
    </row>
    <row r="364" spans="1:1" x14ac:dyDescent="0.25">
      <c r="A364" s="25" t="str">
        <f t="shared" si="5"/>
        <v/>
      </c>
    </row>
    <row r="365" spans="1:1" x14ac:dyDescent="0.25">
      <c r="A365" s="25" t="str">
        <f t="shared" si="5"/>
        <v/>
      </c>
    </row>
    <row r="366" spans="1:1" x14ac:dyDescent="0.25">
      <c r="A366" s="25" t="str">
        <f t="shared" si="5"/>
        <v/>
      </c>
    </row>
    <row r="367" spans="1:1" x14ac:dyDescent="0.25">
      <c r="A367" s="25" t="str">
        <f t="shared" si="5"/>
        <v/>
      </c>
    </row>
    <row r="368" spans="1:1" x14ac:dyDescent="0.25">
      <c r="A368" s="25" t="str">
        <f t="shared" si="5"/>
        <v/>
      </c>
    </row>
    <row r="369" spans="1:1" x14ac:dyDescent="0.25">
      <c r="A369" s="25" t="str">
        <f t="shared" si="5"/>
        <v/>
      </c>
    </row>
    <row r="370" spans="1:1" x14ac:dyDescent="0.25">
      <c r="A370" s="25" t="str">
        <f t="shared" si="5"/>
        <v/>
      </c>
    </row>
    <row r="371" spans="1:1" x14ac:dyDescent="0.25">
      <c r="A371" s="25" t="str">
        <f t="shared" si="5"/>
        <v/>
      </c>
    </row>
    <row r="372" spans="1:1" x14ac:dyDescent="0.25">
      <c r="A372" s="25" t="str">
        <f t="shared" si="5"/>
        <v/>
      </c>
    </row>
    <row r="373" spans="1:1" x14ac:dyDescent="0.25">
      <c r="A373" s="25" t="str">
        <f t="shared" si="5"/>
        <v/>
      </c>
    </row>
    <row r="374" spans="1:1" x14ac:dyDescent="0.25">
      <c r="A374" s="25" t="str">
        <f t="shared" si="5"/>
        <v/>
      </c>
    </row>
    <row r="375" spans="1:1" x14ac:dyDescent="0.25">
      <c r="A375" s="25" t="str">
        <f t="shared" si="5"/>
        <v/>
      </c>
    </row>
    <row r="376" spans="1:1" x14ac:dyDescent="0.25">
      <c r="A376" s="25" t="str">
        <f t="shared" si="5"/>
        <v/>
      </c>
    </row>
    <row r="377" spans="1:1" x14ac:dyDescent="0.25">
      <c r="A377" s="25" t="str">
        <f t="shared" si="5"/>
        <v/>
      </c>
    </row>
    <row r="378" spans="1:1" x14ac:dyDescent="0.25">
      <c r="A378" s="25" t="str">
        <f t="shared" si="5"/>
        <v/>
      </c>
    </row>
    <row r="379" spans="1:1" x14ac:dyDescent="0.25">
      <c r="A379" s="25" t="str">
        <f t="shared" si="5"/>
        <v/>
      </c>
    </row>
    <row r="380" spans="1:1" x14ac:dyDescent="0.25">
      <c r="A380" s="25" t="str">
        <f t="shared" si="5"/>
        <v/>
      </c>
    </row>
    <row r="381" spans="1:1" x14ac:dyDescent="0.25">
      <c r="A381" s="25" t="str">
        <f t="shared" si="5"/>
        <v/>
      </c>
    </row>
    <row r="382" spans="1:1" x14ac:dyDescent="0.25">
      <c r="A382" s="25" t="str">
        <f t="shared" si="5"/>
        <v/>
      </c>
    </row>
    <row r="383" spans="1:1" x14ac:dyDescent="0.25">
      <c r="A383" s="25" t="str">
        <f t="shared" si="5"/>
        <v/>
      </c>
    </row>
    <row r="384" spans="1:1" x14ac:dyDescent="0.25">
      <c r="A384" s="25" t="str">
        <f t="shared" si="5"/>
        <v/>
      </c>
    </row>
    <row r="385" spans="1:1" x14ac:dyDescent="0.25">
      <c r="A385" s="25" t="str">
        <f t="shared" si="5"/>
        <v/>
      </c>
    </row>
    <row r="386" spans="1:1" x14ac:dyDescent="0.25">
      <c r="A386" s="25" t="str">
        <f t="shared" si="5"/>
        <v/>
      </c>
    </row>
    <row r="387" spans="1:1" x14ac:dyDescent="0.25">
      <c r="A387" s="25" t="str">
        <f t="shared" si="5"/>
        <v/>
      </c>
    </row>
    <row r="388" spans="1:1" x14ac:dyDescent="0.25">
      <c r="A388" s="25" t="str">
        <f t="shared" si="5"/>
        <v/>
      </c>
    </row>
    <row r="389" spans="1:1" x14ac:dyDescent="0.25">
      <c r="A389" s="25" t="str">
        <f t="shared" ref="A389:A452" si="6">IF(AND(C389&lt;&gt;"",C389&lt;&gt;"Grand Total"),IF(EXACT(C388,C389),A388,A388+1),"")</f>
        <v/>
      </c>
    </row>
    <row r="390" spans="1:1" x14ac:dyDescent="0.25">
      <c r="A390" s="25" t="str">
        <f t="shared" si="6"/>
        <v/>
      </c>
    </row>
    <row r="391" spans="1:1" x14ac:dyDescent="0.25">
      <c r="A391" s="25" t="str">
        <f t="shared" si="6"/>
        <v/>
      </c>
    </row>
    <row r="392" spans="1:1" x14ac:dyDescent="0.25">
      <c r="A392" s="25" t="str">
        <f t="shared" si="6"/>
        <v/>
      </c>
    </row>
    <row r="393" spans="1:1" x14ac:dyDescent="0.25">
      <c r="A393" s="25" t="str">
        <f t="shared" si="6"/>
        <v/>
      </c>
    </row>
    <row r="394" spans="1:1" x14ac:dyDescent="0.25">
      <c r="A394" s="25" t="str">
        <f t="shared" si="6"/>
        <v/>
      </c>
    </row>
    <row r="395" spans="1:1" x14ac:dyDescent="0.25">
      <c r="A395" s="25" t="str">
        <f t="shared" si="6"/>
        <v/>
      </c>
    </row>
    <row r="396" spans="1:1" x14ac:dyDescent="0.25">
      <c r="A396" s="25" t="str">
        <f t="shared" si="6"/>
        <v/>
      </c>
    </row>
    <row r="397" spans="1:1" x14ac:dyDescent="0.25">
      <c r="A397" s="25" t="str">
        <f t="shared" si="6"/>
        <v/>
      </c>
    </row>
    <row r="398" spans="1:1" x14ac:dyDescent="0.25">
      <c r="A398" s="25" t="str">
        <f t="shared" si="6"/>
        <v/>
      </c>
    </row>
    <row r="399" spans="1:1" x14ac:dyDescent="0.25">
      <c r="A399" s="25" t="str">
        <f t="shared" si="6"/>
        <v/>
      </c>
    </row>
    <row r="400" spans="1:1" x14ac:dyDescent="0.25">
      <c r="A400" s="25" t="str">
        <f t="shared" si="6"/>
        <v/>
      </c>
    </row>
    <row r="401" spans="1:1" x14ac:dyDescent="0.25">
      <c r="A401" s="25" t="str">
        <f t="shared" si="6"/>
        <v/>
      </c>
    </row>
    <row r="402" spans="1:1" x14ac:dyDescent="0.25">
      <c r="A402" s="25" t="str">
        <f t="shared" si="6"/>
        <v/>
      </c>
    </row>
    <row r="403" spans="1:1" x14ac:dyDescent="0.25">
      <c r="A403" s="25" t="str">
        <f t="shared" si="6"/>
        <v/>
      </c>
    </row>
    <row r="404" spans="1:1" x14ac:dyDescent="0.25">
      <c r="A404" s="25" t="str">
        <f t="shared" si="6"/>
        <v/>
      </c>
    </row>
    <row r="405" spans="1:1" x14ac:dyDescent="0.25">
      <c r="A405" s="25" t="str">
        <f t="shared" si="6"/>
        <v/>
      </c>
    </row>
    <row r="406" spans="1:1" x14ac:dyDescent="0.25">
      <c r="A406" s="25" t="str">
        <f t="shared" si="6"/>
        <v/>
      </c>
    </row>
    <row r="407" spans="1:1" x14ac:dyDescent="0.25">
      <c r="A407" s="25" t="str">
        <f t="shared" si="6"/>
        <v/>
      </c>
    </row>
    <row r="408" spans="1:1" x14ac:dyDescent="0.25">
      <c r="A408" s="25" t="str">
        <f t="shared" si="6"/>
        <v/>
      </c>
    </row>
    <row r="409" spans="1:1" x14ac:dyDescent="0.25">
      <c r="A409" s="25" t="str">
        <f t="shared" si="6"/>
        <v/>
      </c>
    </row>
    <row r="410" spans="1:1" x14ac:dyDescent="0.25">
      <c r="A410" s="25" t="str">
        <f t="shared" si="6"/>
        <v/>
      </c>
    </row>
    <row r="411" spans="1:1" x14ac:dyDescent="0.25">
      <c r="A411" s="25" t="str">
        <f t="shared" si="6"/>
        <v/>
      </c>
    </row>
    <row r="412" spans="1:1" x14ac:dyDescent="0.25">
      <c r="A412" s="25" t="str">
        <f t="shared" si="6"/>
        <v/>
      </c>
    </row>
    <row r="413" spans="1:1" x14ac:dyDescent="0.25">
      <c r="A413" s="25" t="str">
        <f t="shared" si="6"/>
        <v/>
      </c>
    </row>
    <row r="414" spans="1:1" x14ac:dyDescent="0.25">
      <c r="A414" s="25" t="str">
        <f t="shared" si="6"/>
        <v/>
      </c>
    </row>
    <row r="415" spans="1:1" x14ac:dyDescent="0.25">
      <c r="A415" s="25" t="str">
        <f t="shared" si="6"/>
        <v/>
      </c>
    </row>
    <row r="416" spans="1:1" x14ac:dyDescent="0.25">
      <c r="A416" s="25" t="str">
        <f t="shared" si="6"/>
        <v/>
      </c>
    </row>
    <row r="417" spans="1:1" x14ac:dyDescent="0.25">
      <c r="A417" s="25" t="str">
        <f t="shared" si="6"/>
        <v/>
      </c>
    </row>
    <row r="418" spans="1:1" x14ac:dyDescent="0.25">
      <c r="A418" s="25" t="str">
        <f t="shared" si="6"/>
        <v/>
      </c>
    </row>
    <row r="419" spans="1:1" x14ac:dyDescent="0.25">
      <c r="A419" s="25" t="str">
        <f t="shared" si="6"/>
        <v/>
      </c>
    </row>
    <row r="420" spans="1:1" x14ac:dyDescent="0.25">
      <c r="A420" s="25" t="str">
        <f t="shared" si="6"/>
        <v/>
      </c>
    </row>
    <row r="421" spans="1:1" x14ac:dyDescent="0.25">
      <c r="A421" s="25" t="str">
        <f t="shared" si="6"/>
        <v/>
      </c>
    </row>
    <row r="422" spans="1:1" x14ac:dyDescent="0.25">
      <c r="A422" s="25" t="str">
        <f t="shared" si="6"/>
        <v/>
      </c>
    </row>
    <row r="423" spans="1:1" x14ac:dyDescent="0.25">
      <c r="A423" s="25" t="str">
        <f t="shared" si="6"/>
        <v/>
      </c>
    </row>
    <row r="424" spans="1:1" x14ac:dyDescent="0.25">
      <c r="A424" s="25" t="str">
        <f t="shared" si="6"/>
        <v/>
      </c>
    </row>
    <row r="425" spans="1:1" x14ac:dyDescent="0.25">
      <c r="A425" s="25" t="str">
        <f t="shared" si="6"/>
        <v/>
      </c>
    </row>
    <row r="426" spans="1:1" x14ac:dyDescent="0.25">
      <c r="A426" s="25" t="str">
        <f t="shared" si="6"/>
        <v/>
      </c>
    </row>
    <row r="427" spans="1:1" x14ac:dyDescent="0.25">
      <c r="A427" s="25" t="str">
        <f t="shared" si="6"/>
        <v/>
      </c>
    </row>
    <row r="428" spans="1:1" x14ac:dyDescent="0.25">
      <c r="A428" s="25" t="str">
        <f t="shared" si="6"/>
        <v/>
      </c>
    </row>
    <row r="429" spans="1:1" x14ac:dyDescent="0.25">
      <c r="A429" s="25" t="str">
        <f t="shared" si="6"/>
        <v/>
      </c>
    </row>
    <row r="430" spans="1:1" x14ac:dyDescent="0.25">
      <c r="A430" s="25" t="str">
        <f t="shared" si="6"/>
        <v/>
      </c>
    </row>
    <row r="431" spans="1:1" x14ac:dyDescent="0.25">
      <c r="A431" s="25" t="str">
        <f t="shared" si="6"/>
        <v/>
      </c>
    </row>
    <row r="432" spans="1:1" x14ac:dyDescent="0.25">
      <c r="A432" s="25" t="str">
        <f t="shared" si="6"/>
        <v/>
      </c>
    </row>
    <row r="433" spans="1:1" x14ac:dyDescent="0.25">
      <c r="A433" s="25" t="str">
        <f t="shared" si="6"/>
        <v/>
      </c>
    </row>
    <row r="434" spans="1:1" x14ac:dyDescent="0.25">
      <c r="A434" s="25" t="str">
        <f t="shared" si="6"/>
        <v/>
      </c>
    </row>
    <row r="435" spans="1:1" x14ac:dyDescent="0.25">
      <c r="A435" s="25" t="str">
        <f t="shared" si="6"/>
        <v/>
      </c>
    </row>
    <row r="436" spans="1:1" x14ac:dyDescent="0.25">
      <c r="A436" s="25" t="str">
        <f t="shared" si="6"/>
        <v/>
      </c>
    </row>
    <row r="437" spans="1:1" x14ac:dyDescent="0.25">
      <c r="A437" s="25" t="str">
        <f t="shared" si="6"/>
        <v/>
      </c>
    </row>
    <row r="438" spans="1:1" x14ac:dyDescent="0.25">
      <c r="A438" s="25" t="str">
        <f t="shared" si="6"/>
        <v/>
      </c>
    </row>
    <row r="439" spans="1:1" x14ac:dyDescent="0.25">
      <c r="A439" s="25" t="str">
        <f t="shared" si="6"/>
        <v/>
      </c>
    </row>
    <row r="440" spans="1:1" x14ac:dyDescent="0.25">
      <c r="A440" s="25" t="str">
        <f t="shared" si="6"/>
        <v/>
      </c>
    </row>
    <row r="441" spans="1:1" x14ac:dyDescent="0.25">
      <c r="A441" s="25" t="str">
        <f t="shared" si="6"/>
        <v/>
      </c>
    </row>
    <row r="442" spans="1:1" x14ac:dyDescent="0.25">
      <c r="A442" s="25" t="str">
        <f t="shared" si="6"/>
        <v/>
      </c>
    </row>
    <row r="443" spans="1:1" x14ac:dyDescent="0.25">
      <c r="A443" s="25" t="str">
        <f t="shared" si="6"/>
        <v/>
      </c>
    </row>
    <row r="444" spans="1:1" x14ac:dyDescent="0.25">
      <c r="A444" s="25" t="str">
        <f t="shared" si="6"/>
        <v/>
      </c>
    </row>
    <row r="445" spans="1:1" x14ac:dyDescent="0.25">
      <c r="A445" s="25" t="str">
        <f t="shared" si="6"/>
        <v/>
      </c>
    </row>
    <row r="446" spans="1:1" x14ac:dyDescent="0.25">
      <c r="A446" s="25" t="str">
        <f t="shared" si="6"/>
        <v/>
      </c>
    </row>
    <row r="447" spans="1:1" x14ac:dyDescent="0.25">
      <c r="A447" s="25" t="str">
        <f t="shared" si="6"/>
        <v/>
      </c>
    </row>
    <row r="448" spans="1:1" x14ac:dyDescent="0.25">
      <c r="A448" s="25" t="str">
        <f t="shared" si="6"/>
        <v/>
      </c>
    </row>
    <row r="449" spans="1:1" x14ac:dyDescent="0.25">
      <c r="A449" s="25" t="str">
        <f t="shared" si="6"/>
        <v/>
      </c>
    </row>
    <row r="450" spans="1:1" x14ac:dyDescent="0.25">
      <c r="A450" s="25" t="str">
        <f t="shared" si="6"/>
        <v/>
      </c>
    </row>
    <row r="451" spans="1:1" x14ac:dyDescent="0.25">
      <c r="A451" s="25" t="str">
        <f t="shared" si="6"/>
        <v/>
      </c>
    </row>
    <row r="452" spans="1:1" x14ac:dyDescent="0.25">
      <c r="A452" s="25" t="str">
        <f t="shared" si="6"/>
        <v/>
      </c>
    </row>
    <row r="453" spans="1:1" x14ac:dyDescent="0.25">
      <c r="A453" s="25" t="str">
        <f t="shared" ref="A453:A516" si="7">IF(AND(C453&lt;&gt;"",C453&lt;&gt;"Grand Total"),IF(EXACT(C452,C453),A452,A452+1),"")</f>
        <v/>
      </c>
    </row>
    <row r="454" spans="1:1" x14ac:dyDescent="0.25">
      <c r="A454" s="25" t="str">
        <f t="shared" si="7"/>
        <v/>
      </c>
    </row>
    <row r="455" spans="1:1" x14ac:dyDescent="0.25">
      <c r="A455" s="25" t="str">
        <f t="shared" si="7"/>
        <v/>
      </c>
    </row>
    <row r="456" spans="1:1" x14ac:dyDescent="0.25">
      <c r="A456" s="25" t="str">
        <f t="shared" si="7"/>
        <v/>
      </c>
    </row>
    <row r="457" spans="1:1" x14ac:dyDescent="0.25">
      <c r="A457" s="25" t="str">
        <f t="shared" si="7"/>
        <v/>
      </c>
    </row>
    <row r="458" spans="1:1" x14ac:dyDescent="0.25">
      <c r="A458" s="25" t="str">
        <f t="shared" si="7"/>
        <v/>
      </c>
    </row>
    <row r="459" spans="1:1" x14ac:dyDescent="0.25">
      <c r="A459" s="25" t="str">
        <f t="shared" si="7"/>
        <v/>
      </c>
    </row>
    <row r="460" spans="1:1" x14ac:dyDescent="0.25">
      <c r="A460" s="25" t="str">
        <f t="shared" si="7"/>
        <v/>
      </c>
    </row>
    <row r="461" spans="1:1" x14ac:dyDescent="0.25">
      <c r="A461" s="25" t="str">
        <f t="shared" si="7"/>
        <v/>
      </c>
    </row>
    <row r="462" spans="1:1" x14ac:dyDescent="0.25">
      <c r="A462" s="25" t="str">
        <f t="shared" si="7"/>
        <v/>
      </c>
    </row>
    <row r="463" spans="1:1" x14ac:dyDescent="0.25">
      <c r="A463" s="25" t="str">
        <f t="shared" si="7"/>
        <v/>
      </c>
    </row>
    <row r="464" spans="1:1" x14ac:dyDescent="0.25">
      <c r="A464" s="25" t="str">
        <f t="shared" si="7"/>
        <v/>
      </c>
    </row>
    <row r="465" spans="1:1" x14ac:dyDescent="0.25">
      <c r="A465" s="25" t="str">
        <f t="shared" si="7"/>
        <v/>
      </c>
    </row>
    <row r="466" spans="1:1" x14ac:dyDescent="0.25">
      <c r="A466" s="25" t="str">
        <f t="shared" si="7"/>
        <v/>
      </c>
    </row>
    <row r="467" spans="1:1" x14ac:dyDescent="0.25">
      <c r="A467" s="25" t="str">
        <f t="shared" si="7"/>
        <v/>
      </c>
    </row>
    <row r="468" spans="1:1" x14ac:dyDescent="0.25">
      <c r="A468" s="25" t="str">
        <f t="shared" si="7"/>
        <v/>
      </c>
    </row>
    <row r="469" spans="1:1" x14ac:dyDescent="0.25">
      <c r="A469" s="25" t="str">
        <f t="shared" si="7"/>
        <v/>
      </c>
    </row>
    <row r="470" spans="1:1" x14ac:dyDescent="0.25">
      <c r="A470" s="25" t="str">
        <f t="shared" si="7"/>
        <v/>
      </c>
    </row>
    <row r="471" spans="1:1" x14ac:dyDescent="0.25">
      <c r="A471" s="25" t="str">
        <f t="shared" si="7"/>
        <v/>
      </c>
    </row>
    <row r="472" spans="1:1" x14ac:dyDescent="0.25">
      <c r="A472" s="25" t="str">
        <f t="shared" si="7"/>
        <v/>
      </c>
    </row>
    <row r="473" spans="1:1" x14ac:dyDescent="0.25">
      <c r="A473" s="25" t="str">
        <f t="shared" si="7"/>
        <v/>
      </c>
    </row>
    <row r="474" spans="1:1" x14ac:dyDescent="0.25">
      <c r="A474" s="25" t="str">
        <f t="shared" si="7"/>
        <v/>
      </c>
    </row>
    <row r="475" spans="1:1" x14ac:dyDescent="0.25">
      <c r="A475" s="25" t="str">
        <f t="shared" si="7"/>
        <v/>
      </c>
    </row>
    <row r="476" spans="1:1" x14ac:dyDescent="0.25">
      <c r="A476" s="25" t="str">
        <f t="shared" si="7"/>
        <v/>
      </c>
    </row>
    <row r="477" spans="1:1" x14ac:dyDescent="0.25">
      <c r="A477" s="25" t="str">
        <f t="shared" si="7"/>
        <v/>
      </c>
    </row>
    <row r="478" spans="1:1" x14ac:dyDescent="0.25">
      <c r="A478" s="25" t="str">
        <f t="shared" si="7"/>
        <v/>
      </c>
    </row>
    <row r="479" spans="1:1" x14ac:dyDescent="0.25">
      <c r="A479" s="25" t="str">
        <f t="shared" si="7"/>
        <v/>
      </c>
    </row>
    <row r="480" spans="1:1" x14ac:dyDescent="0.25">
      <c r="A480" s="25" t="str">
        <f t="shared" si="7"/>
        <v/>
      </c>
    </row>
    <row r="481" spans="1:1" x14ac:dyDescent="0.25">
      <c r="A481" s="25" t="str">
        <f t="shared" si="7"/>
        <v/>
      </c>
    </row>
    <row r="482" spans="1:1" x14ac:dyDescent="0.25">
      <c r="A482" s="25" t="str">
        <f t="shared" si="7"/>
        <v/>
      </c>
    </row>
    <row r="483" spans="1:1" x14ac:dyDescent="0.25">
      <c r="A483" s="25" t="str">
        <f t="shared" si="7"/>
        <v/>
      </c>
    </row>
    <row r="484" spans="1:1" x14ac:dyDescent="0.25">
      <c r="A484" s="25" t="str">
        <f t="shared" si="7"/>
        <v/>
      </c>
    </row>
    <row r="485" spans="1:1" x14ac:dyDescent="0.25">
      <c r="A485" s="25" t="str">
        <f t="shared" si="7"/>
        <v/>
      </c>
    </row>
    <row r="486" spans="1:1" x14ac:dyDescent="0.25">
      <c r="A486" s="25" t="str">
        <f t="shared" si="7"/>
        <v/>
      </c>
    </row>
    <row r="487" spans="1:1" x14ac:dyDescent="0.25">
      <c r="A487" s="25" t="str">
        <f t="shared" si="7"/>
        <v/>
      </c>
    </row>
    <row r="488" spans="1:1" x14ac:dyDescent="0.25">
      <c r="A488" s="25" t="str">
        <f t="shared" si="7"/>
        <v/>
      </c>
    </row>
    <row r="489" spans="1:1" x14ac:dyDescent="0.25">
      <c r="A489" s="25" t="str">
        <f t="shared" si="7"/>
        <v/>
      </c>
    </row>
    <row r="490" spans="1:1" x14ac:dyDescent="0.25">
      <c r="A490" s="25" t="str">
        <f t="shared" si="7"/>
        <v/>
      </c>
    </row>
    <row r="491" spans="1:1" x14ac:dyDescent="0.25">
      <c r="A491" s="25" t="str">
        <f t="shared" si="7"/>
        <v/>
      </c>
    </row>
    <row r="492" spans="1:1" x14ac:dyDescent="0.25">
      <c r="A492" s="25" t="str">
        <f t="shared" si="7"/>
        <v/>
      </c>
    </row>
    <row r="493" spans="1:1" x14ac:dyDescent="0.25">
      <c r="A493" s="25" t="str">
        <f t="shared" si="7"/>
        <v/>
      </c>
    </row>
    <row r="494" spans="1:1" x14ac:dyDescent="0.25">
      <c r="A494" s="25" t="str">
        <f t="shared" si="7"/>
        <v/>
      </c>
    </row>
    <row r="495" spans="1:1" x14ac:dyDescent="0.25">
      <c r="A495" s="25" t="str">
        <f t="shared" si="7"/>
        <v/>
      </c>
    </row>
    <row r="496" spans="1:1" x14ac:dyDescent="0.25">
      <c r="A496" s="25" t="str">
        <f t="shared" si="7"/>
        <v/>
      </c>
    </row>
    <row r="497" spans="1:1" x14ac:dyDescent="0.25">
      <c r="A497" s="25" t="str">
        <f t="shared" si="7"/>
        <v/>
      </c>
    </row>
    <row r="498" spans="1:1" x14ac:dyDescent="0.25">
      <c r="A498" s="25" t="str">
        <f t="shared" si="7"/>
        <v/>
      </c>
    </row>
    <row r="499" spans="1:1" x14ac:dyDescent="0.25">
      <c r="A499" s="25" t="str">
        <f t="shared" si="7"/>
        <v/>
      </c>
    </row>
    <row r="500" spans="1:1" x14ac:dyDescent="0.25">
      <c r="A500" s="25" t="str">
        <f t="shared" si="7"/>
        <v/>
      </c>
    </row>
    <row r="501" spans="1:1" x14ac:dyDescent="0.25">
      <c r="A501" s="25" t="str">
        <f t="shared" si="7"/>
        <v/>
      </c>
    </row>
    <row r="502" spans="1:1" x14ac:dyDescent="0.25">
      <c r="A502" s="25" t="str">
        <f t="shared" si="7"/>
        <v/>
      </c>
    </row>
    <row r="503" spans="1:1" x14ac:dyDescent="0.25">
      <c r="A503" s="25" t="str">
        <f t="shared" si="7"/>
        <v/>
      </c>
    </row>
    <row r="504" spans="1:1" x14ac:dyDescent="0.25">
      <c r="A504" s="25" t="str">
        <f t="shared" si="7"/>
        <v/>
      </c>
    </row>
    <row r="505" spans="1:1" x14ac:dyDescent="0.25">
      <c r="A505" s="25" t="str">
        <f t="shared" si="7"/>
        <v/>
      </c>
    </row>
    <row r="506" spans="1:1" x14ac:dyDescent="0.25">
      <c r="A506" s="25" t="str">
        <f t="shared" si="7"/>
        <v/>
      </c>
    </row>
    <row r="507" spans="1:1" x14ac:dyDescent="0.25">
      <c r="A507" s="25" t="str">
        <f t="shared" si="7"/>
        <v/>
      </c>
    </row>
    <row r="508" spans="1:1" x14ac:dyDescent="0.25">
      <c r="A508" s="25" t="str">
        <f t="shared" si="7"/>
        <v/>
      </c>
    </row>
    <row r="509" spans="1:1" x14ac:dyDescent="0.25">
      <c r="A509" s="25" t="str">
        <f t="shared" si="7"/>
        <v/>
      </c>
    </row>
    <row r="510" spans="1:1" x14ac:dyDescent="0.25">
      <c r="A510" s="25" t="str">
        <f t="shared" si="7"/>
        <v/>
      </c>
    </row>
    <row r="511" spans="1:1" x14ac:dyDescent="0.25">
      <c r="A511" s="25" t="str">
        <f t="shared" si="7"/>
        <v/>
      </c>
    </row>
    <row r="512" spans="1:1" x14ac:dyDescent="0.25">
      <c r="A512" s="25" t="str">
        <f t="shared" si="7"/>
        <v/>
      </c>
    </row>
    <row r="513" spans="1:1" x14ac:dyDescent="0.25">
      <c r="A513" s="25" t="str">
        <f t="shared" si="7"/>
        <v/>
      </c>
    </row>
    <row r="514" spans="1:1" x14ac:dyDescent="0.25">
      <c r="A514" s="25" t="str">
        <f t="shared" si="7"/>
        <v/>
      </c>
    </row>
    <row r="515" spans="1:1" x14ac:dyDescent="0.25">
      <c r="A515" s="25" t="str">
        <f t="shared" si="7"/>
        <v/>
      </c>
    </row>
    <row r="516" spans="1:1" x14ac:dyDescent="0.25">
      <c r="A516" s="25" t="str">
        <f t="shared" si="7"/>
        <v/>
      </c>
    </row>
    <row r="517" spans="1:1" x14ac:dyDescent="0.25">
      <c r="A517" s="25" t="str">
        <f t="shared" ref="A517:A580" si="8">IF(AND(C517&lt;&gt;"",C517&lt;&gt;"Grand Total"),IF(EXACT(C516,C517),A516,A516+1),"")</f>
        <v/>
      </c>
    </row>
    <row r="518" spans="1:1" x14ac:dyDescent="0.25">
      <c r="A518" s="25" t="str">
        <f t="shared" si="8"/>
        <v/>
      </c>
    </row>
    <row r="519" spans="1:1" x14ac:dyDescent="0.25">
      <c r="A519" s="25" t="str">
        <f t="shared" si="8"/>
        <v/>
      </c>
    </row>
    <row r="520" spans="1:1" x14ac:dyDescent="0.25">
      <c r="A520" s="25" t="str">
        <f t="shared" si="8"/>
        <v/>
      </c>
    </row>
    <row r="521" spans="1:1" x14ac:dyDescent="0.25">
      <c r="A521" s="25" t="str">
        <f t="shared" si="8"/>
        <v/>
      </c>
    </row>
    <row r="522" spans="1:1" x14ac:dyDescent="0.25">
      <c r="A522" s="25" t="str">
        <f t="shared" si="8"/>
        <v/>
      </c>
    </row>
    <row r="523" spans="1:1" x14ac:dyDescent="0.25">
      <c r="A523" s="25" t="str">
        <f t="shared" si="8"/>
        <v/>
      </c>
    </row>
    <row r="524" spans="1:1" x14ac:dyDescent="0.25">
      <c r="A524" s="25" t="str">
        <f t="shared" si="8"/>
        <v/>
      </c>
    </row>
    <row r="525" spans="1:1" x14ac:dyDescent="0.25">
      <c r="A525" s="25" t="str">
        <f t="shared" si="8"/>
        <v/>
      </c>
    </row>
    <row r="526" spans="1:1" x14ac:dyDescent="0.25">
      <c r="A526" s="25" t="str">
        <f t="shared" si="8"/>
        <v/>
      </c>
    </row>
    <row r="527" spans="1:1" x14ac:dyDescent="0.25">
      <c r="A527" s="25" t="str">
        <f t="shared" si="8"/>
        <v/>
      </c>
    </row>
    <row r="528" spans="1:1" x14ac:dyDescent="0.25">
      <c r="A528" s="25" t="str">
        <f t="shared" si="8"/>
        <v/>
      </c>
    </row>
    <row r="529" spans="1:1" x14ac:dyDescent="0.25">
      <c r="A529" s="25" t="str">
        <f t="shared" si="8"/>
        <v/>
      </c>
    </row>
    <row r="530" spans="1:1" x14ac:dyDescent="0.25">
      <c r="A530" s="25" t="str">
        <f t="shared" si="8"/>
        <v/>
      </c>
    </row>
    <row r="531" spans="1:1" x14ac:dyDescent="0.25">
      <c r="A531" s="25" t="str">
        <f t="shared" si="8"/>
        <v/>
      </c>
    </row>
    <row r="532" spans="1:1" x14ac:dyDescent="0.25">
      <c r="A532" s="25" t="str">
        <f t="shared" si="8"/>
        <v/>
      </c>
    </row>
    <row r="533" spans="1:1" x14ac:dyDescent="0.25">
      <c r="A533" s="25" t="str">
        <f t="shared" si="8"/>
        <v/>
      </c>
    </row>
    <row r="534" spans="1:1" x14ac:dyDescent="0.25">
      <c r="A534" s="25" t="str">
        <f t="shared" si="8"/>
        <v/>
      </c>
    </row>
    <row r="535" spans="1:1" x14ac:dyDescent="0.25">
      <c r="A535" s="25" t="str">
        <f t="shared" si="8"/>
        <v/>
      </c>
    </row>
    <row r="536" spans="1:1" x14ac:dyDescent="0.25">
      <c r="A536" s="25" t="str">
        <f t="shared" si="8"/>
        <v/>
      </c>
    </row>
    <row r="537" spans="1:1" x14ac:dyDescent="0.25">
      <c r="A537" s="25" t="str">
        <f t="shared" si="8"/>
        <v/>
      </c>
    </row>
    <row r="538" spans="1:1" x14ac:dyDescent="0.25">
      <c r="A538" s="25" t="str">
        <f t="shared" si="8"/>
        <v/>
      </c>
    </row>
    <row r="539" spans="1:1" x14ac:dyDescent="0.25">
      <c r="A539" s="25" t="str">
        <f t="shared" si="8"/>
        <v/>
      </c>
    </row>
    <row r="540" spans="1:1" x14ac:dyDescent="0.25">
      <c r="A540" s="25" t="str">
        <f t="shared" si="8"/>
        <v/>
      </c>
    </row>
    <row r="541" spans="1:1" x14ac:dyDescent="0.25">
      <c r="A541" s="25" t="str">
        <f t="shared" si="8"/>
        <v/>
      </c>
    </row>
    <row r="542" spans="1:1" x14ac:dyDescent="0.25">
      <c r="A542" s="25" t="str">
        <f t="shared" si="8"/>
        <v/>
      </c>
    </row>
    <row r="543" spans="1:1" x14ac:dyDescent="0.25">
      <c r="A543" s="25" t="str">
        <f t="shared" si="8"/>
        <v/>
      </c>
    </row>
    <row r="544" spans="1:1" x14ac:dyDescent="0.25">
      <c r="A544" s="25" t="str">
        <f t="shared" si="8"/>
        <v/>
      </c>
    </row>
    <row r="545" spans="1:1" x14ac:dyDescent="0.25">
      <c r="A545" s="25" t="str">
        <f t="shared" si="8"/>
        <v/>
      </c>
    </row>
    <row r="546" spans="1:1" x14ac:dyDescent="0.25">
      <c r="A546" s="25" t="str">
        <f t="shared" si="8"/>
        <v/>
      </c>
    </row>
    <row r="547" spans="1:1" x14ac:dyDescent="0.25">
      <c r="A547" s="25" t="str">
        <f t="shared" si="8"/>
        <v/>
      </c>
    </row>
    <row r="548" spans="1:1" x14ac:dyDescent="0.25">
      <c r="A548" s="25" t="str">
        <f t="shared" si="8"/>
        <v/>
      </c>
    </row>
    <row r="549" spans="1:1" x14ac:dyDescent="0.25">
      <c r="A549" s="25" t="str">
        <f t="shared" si="8"/>
        <v/>
      </c>
    </row>
    <row r="550" spans="1:1" x14ac:dyDescent="0.25">
      <c r="A550" s="25" t="str">
        <f t="shared" si="8"/>
        <v/>
      </c>
    </row>
    <row r="551" spans="1:1" x14ac:dyDescent="0.25">
      <c r="A551" s="25" t="str">
        <f t="shared" si="8"/>
        <v/>
      </c>
    </row>
    <row r="552" spans="1:1" x14ac:dyDescent="0.25">
      <c r="A552" s="25" t="str">
        <f t="shared" si="8"/>
        <v/>
      </c>
    </row>
    <row r="553" spans="1:1" x14ac:dyDescent="0.25">
      <c r="A553" s="25" t="str">
        <f t="shared" si="8"/>
        <v/>
      </c>
    </row>
    <row r="554" spans="1:1" x14ac:dyDescent="0.25">
      <c r="A554" s="25" t="str">
        <f t="shared" si="8"/>
        <v/>
      </c>
    </row>
    <row r="555" spans="1:1" x14ac:dyDescent="0.25">
      <c r="A555" s="25" t="str">
        <f t="shared" si="8"/>
        <v/>
      </c>
    </row>
    <row r="556" spans="1:1" x14ac:dyDescent="0.25">
      <c r="A556" s="25" t="str">
        <f t="shared" si="8"/>
        <v/>
      </c>
    </row>
    <row r="557" spans="1:1" x14ac:dyDescent="0.25">
      <c r="A557" s="25" t="str">
        <f t="shared" si="8"/>
        <v/>
      </c>
    </row>
    <row r="558" spans="1:1" x14ac:dyDescent="0.25">
      <c r="A558" s="25" t="str">
        <f t="shared" si="8"/>
        <v/>
      </c>
    </row>
    <row r="559" spans="1:1" x14ac:dyDescent="0.25">
      <c r="A559" s="25" t="str">
        <f t="shared" si="8"/>
        <v/>
      </c>
    </row>
    <row r="560" spans="1:1" x14ac:dyDescent="0.25">
      <c r="A560" s="25" t="str">
        <f t="shared" si="8"/>
        <v/>
      </c>
    </row>
    <row r="561" spans="1:1" x14ac:dyDescent="0.25">
      <c r="A561" s="25" t="str">
        <f t="shared" si="8"/>
        <v/>
      </c>
    </row>
    <row r="562" spans="1:1" x14ac:dyDescent="0.25">
      <c r="A562" s="25" t="str">
        <f t="shared" si="8"/>
        <v/>
      </c>
    </row>
    <row r="563" spans="1:1" x14ac:dyDescent="0.25">
      <c r="A563" s="25" t="str">
        <f t="shared" si="8"/>
        <v/>
      </c>
    </row>
    <row r="564" spans="1:1" x14ac:dyDescent="0.25">
      <c r="A564" s="25" t="str">
        <f t="shared" si="8"/>
        <v/>
      </c>
    </row>
    <row r="565" spans="1:1" x14ac:dyDescent="0.25">
      <c r="A565" s="25" t="str">
        <f t="shared" si="8"/>
        <v/>
      </c>
    </row>
    <row r="566" spans="1:1" x14ac:dyDescent="0.25">
      <c r="A566" s="25" t="str">
        <f t="shared" si="8"/>
        <v/>
      </c>
    </row>
    <row r="567" spans="1:1" x14ac:dyDescent="0.25">
      <c r="A567" s="25" t="str">
        <f t="shared" si="8"/>
        <v/>
      </c>
    </row>
    <row r="568" spans="1:1" x14ac:dyDescent="0.25">
      <c r="A568" s="25" t="str">
        <f t="shared" si="8"/>
        <v/>
      </c>
    </row>
    <row r="569" spans="1:1" x14ac:dyDescent="0.25">
      <c r="A569" s="25" t="str">
        <f t="shared" si="8"/>
        <v/>
      </c>
    </row>
    <row r="570" spans="1:1" x14ac:dyDescent="0.25">
      <c r="A570" s="25" t="str">
        <f t="shared" si="8"/>
        <v/>
      </c>
    </row>
    <row r="571" spans="1:1" x14ac:dyDescent="0.25">
      <c r="A571" s="25" t="str">
        <f t="shared" si="8"/>
        <v/>
      </c>
    </row>
    <row r="572" spans="1:1" x14ac:dyDescent="0.25">
      <c r="A572" s="25" t="str">
        <f t="shared" si="8"/>
        <v/>
      </c>
    </row>
    <row r="573" spans="1:1" x14ac:dyDescent="0.25">
      <c r="A573" s="25" t="str">
        <f t="shared" si="8"/>
        <v/>
      </c>
    </row>
    <row r="574" spans="1:1" x14ac:dyDescent="0.25">
      <c r="A574" s="25" t="str">
        <f t="shared" si="8"/>
        <v/>
      </c>
    </row>
    <row r="575" spans="1:1" x14ac:dyDescent="0.25">
      <c r="A575" s="25" t="str">
        <f t="shared" si="8"/>
        <v/>
      </c>
    </row>
    <row r="576" spans="1:1" x14ac:dyDescent="0.25">
      <c r="A576" s="25" t="str">
        <f t="shared" si="8"/>
        <v/>
      </c>
    </row>
    <row r="577" spans="1:1" x14ac:dyDescent="0.25">
      <c r="A577" s="25" t="str">
        <f t="shared" si="8"/>
        <v/>
      </c>
    </row>
    <row r="578" spans="1:1" x14ac:dyDescent="0.25">
      <c r="A578" s="25" t="str">
        <f t="shared" si="8"/>
        <v/>
      </c>
    </row>
    <row r="579" spans="1:1" x14ac:dyDescent="0.25">
      <c r="A579" s="25" t="str">
        <f t="shared" si="8"/>
        <v/>
      </c>
    </row>
    <row r="580" spans="1:1" x14ac:dyDescent="0.25">
      <c r="A580" s="25" t="str">
        <f t="shared" si="8"/>
        <v/>
      </c>
    </row>
    <row r="581" spans="1:1" x14ac:dyDescent="0.25">
      <c r="A581" s="25" t="str">
        <f t="shared" ref="A581:A644" si="9">IF(AND(C581&lt;&gt;"",C581&lt;&gt;"Grand Total"),IF(EXACT(C580,C581),A580,A580+1),"")</f>
        <v/>
      </c>
    </row>
    <row r="582" spans="1:1" x14ac:dyDescent="0.25">
      <c r="A582" s="25" t="str">
        <f t="shared" si="9"/>
        <v/>
      </c>
    </row>
    <row r="583" spans="1:1" x14ac:dyDescent="0.25">
      <c r="A583" s="25" t="str">
        <f t="shared" si="9"/>
        <v/>
      </c>
    </row>
    <row r="584" spans="1:1" x14ac:dyDescent="0.25">
      <c r="A584" s="25" t="str">
        <f t="shared" si="9"/>
        <v/>
      </c>
    </row>
    <row r="585" spans="1:1" x14ac:dyDescent="0.25">
      <c r="A585" s="25" t="str">
        <f t="shared" si="9"/>
        <v/>
      </c>
    </row>
    <row r="586" spans="1:1" x14ac:dyDescent="0.25">
      <c r="A586" s="25" t="str">
        <f t="shared" si="9"/>
        <v/>
      </c>
    </row>
    <row r="587" spans="1:1" x14ac:dyDescent="0.25">
      <c r="A587" s="25" t="str">
        <f t="shared" si="9"/>
        <v/>
      </c>
    </row>
    <row r="588" spans="1:1" x14ac:dyDescent="0.25">
      <c r="A588" s="25" t="str">
        <f t="shared" si="9"/>
        <v/>
      </c>
    </row>
    <row r="589" spans="1:1" x14ac:dyDescent="0.25">
      <c r="A589" s="25" t="str">
        <f t="shared" si="9"/>
        <v/>
      </c>
    </row>
    <row r="590" spans="1:1" x14ac:dyDescent="0.25">
      <c r="A590" s="25" t="str">
        <f t="shared" si="9"/>
        <v/>
      </c>
    </row>
    <row r="591" spans="1:1" x14ac:dyDescent="0.25">
      <c r="A591" s="25" t="str">
        <f t="shared" si="9"/>
        <v/>
      </c>
    </row>
    <row r="592" spans="1:1" x14ac:dyDescent="0.25">
      <c r="A592" s="25" t="str">
        <f t="shared" si="9"/>
        <v/>
      </c>
    </row>
    <row r="593" spans="1:1" x14ac:dyDescent="0.25">
      <c r="A593" s="25" t="str">
        <f t="shared" si="9"/>
        <v/>
      </c>
    </row>
    <row r="594" spans="1:1" x14ac:dyDescent="0.25">
      <c r="A594" s="25" t="str">
        <f t="shared" si="9"/>
        <v/>
      </c>
    </row>
    <row r="595" spans="1:1" x14ac:dyDescent="0.25">
      <c r="A595" s="25" t="str">
        <f t="shared" si="9"/>
        <v/>
      </c>
    </row>
    <row r="596" spans="1:1" x14ac:dyDescent="0.25">
      <c r="A596" s="25" t="str">
        <f t="shared" si="9"/>
        <v/>
      </c>
    </row>
    <row r="597" spans="1:1" x14ac:dyDescent="0.25">
      <c r="A597" s="25" t="str">
        <f t="shared" si="9"/>
        <v/>
      </c>
    </row>
    <row r="598" spans="1:1" x14ac:dyDescent="0.25">
      <c r="A598" s="25" t="str">
        <f t="shared" si="9"/>
        <v/>
      </c>
    </row>
    <row r="599" spans="1:1" x14ac:dyDescent="0.25">
      <c r="A599" s="25" t="str">
        <f t="shared" si="9"/>
        <v/>
      </c>
    </row>
    <row r="600" spans="1:1" x14ac:dyDescent="0.25">
      <c r="A600" s="25" t="str">
        <f t="shared" si="9"/>
        <v/>
      </c>
    </row>
    <row r="601" spans="1:1" x14ac:dyDescent="0.25">
      <c r="A601" s="25" t="str">
        <f t="shared" si="9"/>
        <v/>
      </c>
    </row>
    <row r="602" spans="1:1" x14ac:dyDescent="0.25">
      <c r="A602" s="25" t="str">
        <f t="shared" si="9"/>
        <v/>
      </c>
    </row>
    <row r="603" spans="1:1" x14ac:dyDescent="0.25">
      <c r="A603" s="25" t="str">
        <f t="shared" si="9"/>
        <v/>
      </c>
    </row>
    <row r="604" spans="1:1" x14ac:dyDescent="0.25">
      <c r="A604" s="25" t="str">
        <f t="shared" si="9"/>
        <v/>
      </c>
    </row>
    <row r="605" spans="1:1" x14ac:dyDescent="0.25">
      <c r="A605" s="25" t="str">
        <f t="shared" si="9"/>
        <v/>
      </c>
    </row>
    <row r="606" spans="1:1" x14ac:dyDescent="0.25">
      <c r="A606" s="25" t="str">
        <f t="shared" si="9"/>
        <v/>
      </c>
    </row>
    <row r="607" spans="1:1" x14ac:dyDescent="0.25">
      <c r="A607" s="25" t="str">
        <f t="shared" si="9"/>
        <v/>
      </c>
    </row>
    <row r="608" spans="1:1" x14ac:dyDescent="0.25">
      <c r="A608" s="25" t="str">
        <f t="shared" si="9"/>
        <v/>
      </c>
    </row>
    <row r="609" spans="1:1" x14ac:dyDescent="0.25">
      <c r="A609" s="25" t="str">
        <f t="shared" si="9"/>
        <v/>
      </c>
    </row>
    <row r="610" spans="1:1" x14ac:dyDescent="0.25">
      <c r="A610" s="25" t="str">
        <f t="shared" si="9"/>
        <v/>
      </c>
    </row>
    <row r="611" spans="1:1" x14ac:dyDescent="0.25">
      <c r="A611" s="25" t="str">
        <f t="shared" si="9"/>
        <v/>
      </c>
    </row>
    <row r="612" spans="1:1" x14ac:dyDescent="0.25">
      <c r="A612" s="25" t="str">
        <f t="shared" si="9"/>
        <v/>
      </c>
    </row>
    <row r="613" spans="1:1" x14ac:dyDescent="0.25">
      <c r="A613" s="25" t="str">
        <f t="shared" si="9"/>
        <v/>
      </c>
    </row>
    <row r="614" spans="1:1" x14ac:dyDescent="0.25">
      <c r="A614" s="25" t="str">
        <f t="shared" si="9"/>
        <v/>
      </c>
    </row>
    <row r="615" spans="1:1" x14ac:dyDescent="0.25">
      <c r="A615" s="25" t="str">
        <f t="shared" si="9"/>
        <v/>
      </c>
    </row>
    <row r="616" spans="1:1" x14ac:dyDescent="0.25">
      <c r="A616" s="25" t="str">
        <f t="shared" si="9"/>
        <v/>
      </c>
    </row>
    <row r="617" spans="1:1" x14ac:dyDescent="0.25">
      <c r="A617" s="25" t="str">
        <f t="shared" si="9"/>
        <v/>
      </c>
    </row>
    <row r="618" spans="1:1" x14ac:dyDescent="0.25">
      <c r="A618" s="25" t="str">
        <f t="shared" si="9"/>
        <v/>
      </c>
    </row>
    <row r="619" spans="1:1" x14ac:dyDescent="0.25">
      <c r="A619" s="25" t="str">
        <f t="shared" si="9"/>
        <v/>
      </c>
    </row>
    <row r="620" spans="1:1" x14ac:dyDescent="0.25">
      <c r="A620" s="25" t="str">
        <f t="shared" si="9"/>
        <v/>
      </c>
    </row>
    <row r="621" spans="1:1" x14ac:dyDescent="0.25">
      <c r="A621" s="25" t="str">
        <f t="shared" si="9"/>
        <v/>
      </c>
    </row>
    <row r="622" spans="1:1" x14ac:dyDescent="0.25">
      <c r="A622" s="25" t="str">
        <f t="shared" si="9"/>
        <v/>
      </c>
    </row>
    <row r="623" spans="1:1" x14ac:dyDescent="0.25">
      <c r="A623" s="25" t="str">
        <f t="shared" si="9"/>
        <v/>
      </c>
    </row>
    <row r="624" spans="1:1" x14ac:dyDescent="0.25">
      <c r="A624" s="25" t="str">
        <f t="shared" si="9"/>
        <v/>
      </c>
    </row>
    <row r="625" spans="1:1" x14ac:dyDescent="0.25">
      <c r="A625" s="25" t="str">
        <f t="shared" si="9"/>
        <v/>
      </c>
    </row>
    <row r="626" spans="1:1" x14ac:dyDescent="0.25">
      <c r="A626" s="25" t="str">
        <f t="shared" si="9"/>
        <v/>
      </c>
    </row>
    <row r="627" spans="1:1" x14ac:dyDescent="0.25">
      <c r="A627" s="25" t="str">
        <f t="shared" si="9"/>
        <v/>
      </c>
    </row>
    <row r="628" spans="1:1" x14ac:dyDescent="0.25">
      <c r="A628" s="25" t="str">
        <f t="shared" si="9"/>
        <v/>
      </c>
    </row>
    <row r="629" spans="1:1" x14ac:dyDescent="0.25">
      <c r="A629" s="25" t="str">
        <f t="shared" si="9"/>
        <v/>
      </c>
    </row>
    <row r="630" spans="1:1" x14ac:dyDescent="0.25">
      <c r="A630" s="25" t="str">
        <f t="shared" si="9"/>
        <v/>
      </c>
    </row>
    <row r="631" spans="1:1" x14ac:dyDescent="0.25">
      <c r="A631" s="25" t="str">
        <f t="shared" si="9"/>
        <v/>
      </c>
    </row>
    <row r="632" spans="1:1" x14ac:dyDescent="0.25">
      <c r="A632" s="25" t="str">
        <f t="shared" si="9"/>
        <v/>
      </c>
    </row>
    <row r="633" spans="1:1" x14ac:dyDescent="0.25">
      <c r="A633" s="25" t="str">
        <f t="shared" si="9"/>
        <v/>
      </c>
    </row>
    <row r="634" spans="1:1" x14ac:dyDescent="0.25">
      <c r="A634" s="25" t="str">
        <f t="shared" si="9"/>
        <v/>
      </c>
    </row>
    <row r="635" spans="1:1" x14ac:dyDescent="0.25">
      <c r="A635" s="25" t="str">
        <f t="shared" si="9"/>
        <v/>
      </c>
    </row>
    <row r="636" spans="1:1" x14ac:dyDescent="0.25">
      <c r="A636" s="25" t="str">
        <f t="shared" si="9"/>
        <v/>
      </c>
    </row>
    <row r="637" spans="1:1" x14ac:dyDescent="0.25">
      <c r="A637" s="25" t="str">
        <f t="shared" si="9"/>
        <v/>
      </c>
    </row>
    <row r="638" spans="1:1" x14ac:dyDescent="0.25">
      <c r="A638" s="25" t="str">
        <f t="shared" si="9"/>
        <v/>
      </c>
    </row>
    <row r="639" spans="1:1" x14ac:dyDescent="0.25">
      <c r="A639" s="25" t="str">
        <f t="shared" si="9"/>
        <v/>
      </c>
    </row>
    <row r="640" spans="1:1" x14ac:dyDescent="0.25">
      <c r="A640" s="25" t="str">
        <f t="shared" si="9"/>
        <v/>
      </c>
    </row>
    <row r="641" spans="1:1" x14ac:dyDescent="0.25">
      <c r="A641" s="25" t="str">
        <f t="shared" si="9"/>
        <v/>
      </c>
    </row>
    <row r="642" spans="1:1" x14ac:dyDescent="0.25">
      <c r="A642" s="25" t="str">
        <f t="shared" si="9"/>
        <v/>
      </c>
    </row>
    <row r="643" spans="1:1" x14ac:dyDescent="0.25">
      <c r="A643" s="25" t="str">
        <f t="shared" si="9"/>
        <v/>
      </c>
    </row>
    <row r="644" spans="1:1" x14ac:dyDescent="0.25">
      <c r="A644" s="25" t="str">
        <f t="shared" si="9"/>
        <v/>
      </c>
    </row>
    <row r="645" spans="1:1" x14ac:dyDescent="0.25">
      <c r="A645" s="25" t="str">
        <f t="shared" ref="A645:A708" si="10">IF(AND(C645&lt;&gt;"",C645&lt;&gt;"Grand Total"),IF(EXACT(C644,C645),A644,A644+1),"")</f>
        <v/>
      </c>
    </row>
    <row r="646" spans="1:1" x14ac:dyDescent="0.25">
      <c r="A646" s="25" t="str">
        <f t="shared" si="10"/>
        <v/>
      </c>
    </row>
    <row r="647" spans="1:1" x14ac:dyDescent="0.25">
      <c r="A647" s="25" t="str">
        <f t="shared" si="10"/>
        <v/>
      </c>
    </row>
    <row r="648" spans="1:1" x14ac:dyDescent="0.25">
      <c r="A648" s="25" t="str">
        <f t="shared" si="10"/>
        <v/>
      </c>
    </row>
    <row r="649" spans="1:1" x14ac:dyDescent="0.25">
      <c r="A649" s="25" t="str">
        <f t="shared" si="10"/>
        <v/>
      </c>
    </row>
    <row r="650" spans="1:1" x14ac:dyDescent="0.25">
      <c r="A650" s="25" t="str">
        <f t="shared" si="10"/>
        <v/>
      </c>
    </row>
    <row r="651" spans="1:1" x14ac:dyDescent="0.25">
      <c r="A651" s="25" t="str">
        <f t="shared" si="10"/>
        <v/>
      </c>
    </row>
    <row r="652" spans="1:1" x14ac:dyDescent="0.25">
      <c r="A652" s="25" t="str">
        <f t="shared" si="10"/>
        <v/>
      </c>
    </row>
    <row r="653" spans="1:1" x14ac:dyDescent="0.25">
      <c r="A653" s="25" t="str">
        <f t="shared" si="10"/>
        <v/>
      </c>
    </row>
    <row r="654" spans="1:1" x14ac:dyDescent="0.25">
      <c r="A654" s="25" t="str">
        <f t="shared" si="10"/>
        <v/>
      </c>
    </row>
    <row r="655" spans="1:1" x14ac:dyDescent="0.25">
      <c r="A655" s="25" t="str">
        <f t="shared" si="10"/>
        <v/>
      </c>
    </row>
    <row r="656" spans="1:1" x14ac:dyDescent="0.25">
      <c r="A656" s="25" t="str">
        <f t="shared" si="10"/>
        <v/>
      </c>
    </row>
    <row r="657" spans="1:1" x14ac:dyDescent="0.25">
      <c r="A657" s="25" t="str">
        <f t="shared" si="10"/>
        <v/>
      </c>
    </row>
    <row r="658" spans="1:1" x14ac:dyDescent="0.25">
      <c r="A658" s="25" t="str">
        <f t="shared" si="10"/>
        <v/>
      </c>
    </row>
    <row r="659" spans="1:1" x14ac:dyDescent="0.25">
      <c r="A659" s="25" t="str">
        <f t="shared" si="10"/>
        <v/>
      </c>
    </row>
    <row r="660" spans="1:1" x14ac:dyDescent="0.25">
      <c r="A660" s="25" t="str">
        <f t="shared" si="10"/>
        <v/>
      </c>
    </row>
    <row r="661" spans="1:1" x14ac:dyDescent="0.25">
      <c r="A661" s="25" t="str">
        <f t="shared" si="10"/>
        <v/>
      </c>
    </row>
    <row r="662" spans="1:1" x14ac:dyDescent="0.25">
      <c r="A662" s="25" t="str">
        <f t="shared" si="10"/>
        <v/>
      </c>
    </row>
    <row r="663" spans="1:1" x14ac:dyDescent="0.25">
      <c r="A663" s="25" t="str">
        <f t="shared" si="10"/>
        <v/>
      </c>
    </row>
    <row r="664" spans="1:1" x14ac:dyDescent="0.25">
      <c r="A664" s="25" t="str">
        <f t="shared" si="10"/>
        <v/>
      </c>
    </row>
    <row r="665" spans="1:1" x14ac:dyDescent="0.25">
      <c r="A665" s="25" t="str">
        <f t="shared" si="10"/>
        <v/>
      </c>
    </row>
    <row r="666" spans="1:1" x14ac:dyDescent="0.25">
      <c r="A666" s="25" t="str">
        <f t="shared" si="10"/>
        <v/>
      </c>
    </row>
    <row r="667" spans="1:1" x14ac:dyDescent="0.25">
      <c r="A667" s="25" t="str">
        <f t="shared" si="10"/>
        <v/>
      </c>
    </row>
    <row r="668" spans="1:1" x14ac:dyDescent="0.25">
      <c r="A668" s="25" t="str">
        <f t="shared" si="10"/>
        <v/>
      </c>
    </row>
    <row r="669" spans="1:1" x14ac:dyDescent="0.25">
      <c r="A669" s="25" t="str">
        <f t="shared" si="10"/>
        <v/>
      </c>
    </row>
    <row r="670" spans="1:1" x14ac:dyDescent="0.25">
      <c r="A670" s="25" t="str">
        <f t="shared" si="10"/>
        <v/>
      </c>
    </row>
    <row r="671" spans="1:1" x14ac:dyDescent="0.25">
      <c r="A671" s="25" t="str">
        <f t="shared" si="10"/>
        <v/>
      </c>
    </row>
    <row r="672" spans="1:1" x14ac:dyDescent="0.25">
      <c r="A672" s="25" t="str">
        <f t="shared" si="10"/>
        <v/>
      </c>
    </row>
    <row r="673" spans="1:1" x14ac:dyDescent="0.25">
      <c r="A673" s="25" t="str">
        <f t="shared" si="10"/>
        <v/>
      </c>
    </row>
    <row r="674" spans="1:1" x14ac:dyDescent="0.25">
      <c r="A674" s="25" t="str">
        <f t="shared" si="10"/>
        <v/>
      </c>
    </row>
    <row r="675" spans="1:1" x14ac:dyDescent="0.25">
      <c r="A675" s="25" t="str">
        <f t="shared" si="10"/>
        <v/>
      </c>
    </row>
    <row r="676" spans="1:1" x14ac:dyDescent="0.25">
      <c r="A676" s="25" t="str">
        <f t="shared" si="10"/>
        <v/>
      </c>
    </row>
    <row r="677" spans="1:1" x14ac:dyDescent="0.25">
      <c r="A677" s="25" t="str">
        <f t="shared" si="10"/>
        <v/>
      </c>
    </row>
    <row r="678" spans="1:1" x14ac:dyDescent="0.25">
      <c r="A678" s="25" t="str">
        <f t="shared" si="10"/>
        <v/>
      </c>
    </row>
    <row r="679" spans="1:1" x14ac:dyDescent="0.25">
      <c r="A679" s="25" t="str">
        <f t="shared" si="10"/>
        <v/>
      </c>
    </row>
    <row r="680" spans="1:1" x14ac:dyDescent="0.25">
      <c r="A680" s="25" t="str">
        <f t="shared" si="10"/>
        <v/>
      </c>
    </row>
    <row r="681" spans="1:1" x14ac:dyDescent="0.25">
      <c r="A681" s="25" t="str">
        <f t="shared" si="10"/>
        <v/>
      </c>
    </row>
    <row r="682" spans="1:1" x14ac:dyDescent="0.25">
      <c r="A682" s="25" t="str">
        <f t="shared" si="10"/>
        <v/>
      </c>
    </row>
    <row r="683" spans="1:1" x14ac:dyDescent="0.25">
      <c r="A683" s="25" t="str">
        <f t="shared" si="10"/>
        <v/>
      </c>
    </row>
    <row r="684" spans="1:1" x14ac:dyDescent="0.25">
      <c r="A684" s="25" t="str">
        <f t="shared" si="10"/>
        <v/>
      </c>
    </row>
    <row r="685" spans="1:1" x14ac:dyDescent="0.25">
      <c r="A685" s="25" t="str">
        <f t="shared" si="10"/>
        <v/>
      </c>
    </row>
    <row r="686" spans="1:1" x14ac:dyDescent="0.25">
      <c r="A686" s="25" t="str">
        <f t="shared" si="10"/>
        <v/>
      </c>
    </row>
    <row r="687" spans="1:1" x14ac:dyDescent="0.25">
      <c r="A687" s="25" t="str">
        <f t="shared" si="10"/>
        <v/>
      </c>
    </row>
    <row r="688" spans="1:1" x14ac:dyDescent="0.25">
      <c r="A688" s="25" t="str">
        <f t="shared" si="10"/>
        <v/>
      </c>
    </row>
    <row r="689" spans="1:1" x14ac:dyDescent="0.25">
      <c r="A689" s="25" t="str">
        <f t="shared" si="10"/>
        <v/>
      </c>
    </row>
    <row r="690" spans="1:1" x14ac:dyDescent="0.25">
      <c r="A690" s="25" t="str">
        <f t="shared" si="10"/>
        <v/>
      </c>
    </row>
    <row r="691" spans="1:1" x14ac:dyDescent="0.25">
      <c r="A691" s="25" t="str">
        <f t="shared" si="10"/>
        <v/>
      </c>
    </row>
    <row r="692" spans="1:1" x14ac:dyDescent="0.25">
      <c r="A692" s="25" t="str">
        <f t="shared" si="10"/>
        <v/>
      </c>
    </row>
    <row r="693" spans="1:1" x14ac:dyDescent="0.25">
      <c r="A693" s="25" t="str">
        <f t="shared" si="10"/>
        <v/>
      </c>
    </row>
    <row r="694" spans="1:1" x14ac:dyDescent="0.25">
      <c r="A694" s="25" t="str">
        <f t="shared" si="10"/>
        <v/>
      </c>
    </row>
    <row r="695" spans="1:1" x14ac:dyDescent="0.25">
      <c r="A695" s="25" t="str">
        <f t="shared" si="10"/>
        <v/>
      </c>
    </row>
    <row r="696" spans="1:1" x14ac:dyDescent="0.25">
      <c r="A696" s="25" t="str">
        <f t="shared" si="10"/>
        <v/>
      </c>
    </row>
    <row r="697" spans="1:1" x14ac:dyDescent="0.25">
      <c r="A697" s="25" t="str">
        <f t="shared" si="10"/>
        <v/>
      </c>
    </row>
    <row r="698" spans="1:1" x14ac:dyDescent="0.25">
      <c r="A698" s="25" t="str">
        <f t="shared" si="10"/>
        <v/>
      </c>
    </row>
    <row r="699" spans="1:1" x14ac:dyDescent="0.25">
      <c r="A699" s="25" t="str">
        <f t="shared" si="10"/>
        <v/>
      </c>
    </row>
    <row r="700" spans="1:1" x14ac:dyDescent="0.25">
      <c r="A700" s="25" t="str">
        <f t="shared" si="10"/>
        <v/>
      </c>
    </row>
    <row r="701" spans="1:1" x14ac:dyDescent="0.25">
      <c r="A701" s="25" t="str">
        <f t="shared" si="10"/>
        <v/>
      </c>
    </row>
    <row r="702" spans="1:1" x14ac:dyDescent="0.25">
      <c r="A702" s="25" t="str">
        <f t="shared" si="10"/>
        <v/>
      </c>
    </row>
    <row r="703" spans="1:1" x14ac:dyDescent="0.25">
      <c r="A703" s="25" t="str">
        <f t="shared" si="10"/>
        <v/>
      </c>
    </row>
    <row r="704" spans="1:1" x14ac:dyDescent="0.25">
      <c r="A704" s="25" t="str">
        <f t="shared" si="10"/>
        <v/>
      </c>
    </row>
    <row r="705" spans="1:1" x14ac:dyDescent="0.25">
      <c r="A705" s="25" t="str">
        <f t="shared" si="10"/>
        <v/>
      </c>
    </row>
    <row r="706" spans="1:1" x14ac:dyDescent="0.25">
      <c r="A706" s="25" t="str">
        <f t="shared" si="10"/>
        <v/>
      </c>
    </row>
    <row r="707" spans="1:1" x14ac:dyDescent="0.25">
      <c r="A707" s="25" t="str">
        <f t="shared" si="10"/>
        <v/>
      </c>
    </row>
    <row r="708" spans="1:1" x14ac:dyDescent="0.25">
      <c r="A708" s="25" t="str">
        <f t="shared" si="10"/>
        <v/>
      </c>
    </row>
    <row r="709" spans="1:1" x14ac:dyDescent="0.25">
      <c r="A709" s="25" t="str">
        <f t="shared" ref="A709:A772" si="11">IF(AND(C709&lt;&gt;"",C709&lt;&gt;"Grand Total"),IF(EXACT(C708,C709),A708,A708+1),"")</f>
        <v/>
      </c>
    </row>
    <row r="710" spans="1:1" x14ac:dyDescent="0.25">
      <c r="A710" s="25" t="str">
        <f t="shared" si="11"/>
        <v/>
      </c>
    </row>
    <row r="711" spans="1:1" x14ac:dyDescent="0.25">
      <c r="A711" s="25" t="str">
        <f t="shared" si="11"/>
        <v/>
      </c>
    </row>
    <row r="712" spans="1:1" x14ac:dyDescent="0.25">
      <c r="A712" s="25" t="str">
        <f t="shared" si="11"/>
        <v/>
      </c>
    </row>
    <row r="713" spans="1:1" x14ac:dyDescent="0.25">
      <c r="A713" s="25" t="str">
        <f t="shared" si="11"/>
        <v/>
      </c>
    </row>
    <row r="714" spans="1:1" x14ac:dyDescent="0.25">
      <c r="A714" s="25" t="str">
        <f t="shared" si="11"/>
        <v/>
      </c>
    </row>
    <row r="715" spans="1:1" x14ac:dyDescent="0.25">
      <c r="A715" s="25" t="str">
        <f t="shared" si="11"/>
        <v/>
      </c>
    </row>
    <row r="716" spans="1:1" x14ac:dyDescent="0.25">
      <c r="A716" s="25" t="str">
        <f t="shared" si="11"/>
        <v/>
      </c>
    </row>
    <row r="717" spans="1:1" x14ac:dyDescent="0.25">
      <c r="A717" s="25" t="str">
        <f t="shared" si="11"/>
        <v/>
      </c>
    </row>
    <row r="718" spans="1:1" x14ac:dyDescent="0.25">
      <c r="A718" s="25" t="str">
        <f t="shared" si="11"/>
        <v/>
      </c>
    </row>
    <row r="719" spans="1:1" x14ac:dyDescent="0.25">
      <c r="A719" s="25" t="str">
        <f t="shared" si="11"/>
        <v/>
      </c>
    </row>
    <row r="720" spans="1:1" x14ac:dyDescent="0.25">
      <c r="A720" s="25" t="str">
        <f t="shared" si="11"/>
        <v/>
      </c>
    </row>
    <row r="721" spans="1:1" x14ac:dyDescent="0.25">
      <c r="A721" s="25" t="str">
        <f t="shared" si="11"/>
        <v/>
      </c>
    </row>
    <row r="722" spans="1:1" x14ac:dyDescent="0.25">
      <c r="A722" s="25" t="str">
        <f t="shared" si="11"/>
        <v/>
      </c>
    </row>
    <row r="723" spans="1:1" x14ac:dyDescent="0.25">
      <c r="A723" s="25" t="str">
        <f t="shared" si="11"/>
        <v/>
      </c>
    </row>
    <row r="724" spans="1:1" x14ac:dyDescent="0.25">
      <c r="A724" s="25" t="str">
        <f t="shared" si="11"/>
        <v/>
      </c>
    </row>
    <row r="725" spans="1:1" x14ac:dyDescent="0.25">
      <c r="A725" s="25" t="str">
        <f t="shared" si="11"/>
        <v/>
      </c>
    </row>
    <row r="726" spans="1:1" x14ac:dyDescent="0.25">
      <c r="A726" s="25" t="str">
        <f t="shared" si="11"/>
        <v/>
      </c>
    </row>
    <row r="727" spans="1:1" x14ac:dyDescent="0.25">
      <c r="A727" s="25" t="str">
        <f t="shared" si="11"/>
        <v/>
      </c>
    </row>
    <row r="728" spans="1:1" x14ac:dyDescent="0.25">
      <c r="A728" s="25" t="str">
        <f t="shared" si="11"/>
        <v/>
      </c>
    </row>
    <row r="729" spans="1:1" x14ac:dyDescent="0.25">
      <c r="A729" s="25" t="str">
        <f t="shared" si="11"/>
        <v/>
      </c>
    </row>
    <row r="730" spans="1:1" x14ac:dyDescent="0.25">
      <c r="A730" s="25" t="str">
        <f t="shared" si="11"/>
        <v/>
      </c>
    </row>
    <row r="731" spans="1:1" x14ac:dyDescent="0.25">
      <c r="A731" s="25" t="str">
        <f t="shared" si="11"/>
        <v/>
      </c>
    </row>
    <row r="732" spans="1:1" x14ac:dyDescent="0.25">
      <c r="A732" s="25" t="str">
        <f t="shared" si="11"/>
        <v/>
      </c>
    </row>
    <row r="733" spans="1:1" x14ac:dyDescent="0.25">
      <c r="A733" s="25" t="str">
        <f t="shared" si="11"/>
        <v/>
      </c>
    </row>
    <row r="734" spans="1:1" x14ac:dyDescent="0.25">
      <c r="A734" s="25" t="str">
        <f t="shared" si="11"/>
        <v/>
      </c>
    </row>
    <row r="735" spans="1:1" x14ac:dyDescent="0.25">
      <c r="A735" s="25" t="str">
        <f t="shared" si="11"/>
        <v/>
      </c>
    </row>
    <row r="736" spans="1:1" x14ac:dyDescent="0.25">
      <c r="A736" s="25" t="str">
        <f t="shared" si="11"/>
        <v/>
      </c>
    </row>
    <row r="737" spans="1:1" x14ac:dyDescent="0.25">
      <c r="A737" s="25" t="str">
        <f t="shared" si="11"/>
        <v/>
      </c>
    </row>
    <row r="738" spans="1:1" x14ac:dyDescent="0.25">
      <c r="A738" s="25" t="str">
        <f t="shared" si="11"/>
        <v/>
      </c>
    </row>
    <row r="739" spans="1:1" x14ac:dyDescent="0.25">
      <c r="A739" s="25" t="str">
        <f t="shared" si="11"/>
        <v/>
      </c>
    </row>
    <row r="740" spans="1:1" x14ac:dyDescent="0.25">
      <c r="A740" s="25" t="str">
        <f t="shared" si="11"/>
        <v/>
      </c>
    </row>
    <row r="741" spans="1:1" x14ac:dyDescent="0.25">
      <c r="A741" s="25" t="str">
        <f t="shared" si="11"/>
        <v/>
      </c>
    </row>
    <row r="742" spans="1:1" x14ac:dyDescent="0.25">
      <c r="A742" s="25" t="str">
        <f t="shared" si="11"/>
        <v/>
      </c>
    </row>
    <row r="743" spans="1:1" x14ac:dyDescent="0.25">
      <c r="A743" s="25" t="str">
        <f t="shared" si="11"/>
        <v/>
      </c>
    </row>
    <row r="744" spans="1:1" x14ac:dyDescent="0.25">
      <c r="A744" s="25" t="str">
        <f t="shared" si="11"/>
        <v/>
      </c>
    </row>
    <row r="745" spans="1:1" x14ac:dyDescent="0.25">
      <c r="A745" s="25" t="str">
        <f t="shared" si="11"/>
        <v/>
      </c>
    </row>
    <row r="746" spans="1:1" x14ac:dyDescent="0.25">
      <c r="A746" s="25" t="str">
        <f t="shared" si="11"/>
        <v/>
      </c>
    </row>
    <row r="747" spans="1:1" x14ac:dyDescent="0.25">
      <c r="A747" s="25" t="str">
        <f t="shared" si="11"/>
        <v/>
      </c>
    </row>
    <row r="748" spans="1:1" x14ac:dyDescent="0.25">
      <c r="A748" s="25" t="str">
        <f t="shared" si="11"/>
        <v/>
      </c>
    </row>
    <row r="749" spans="1:1" x14ac:dyDescent="0.25">
      <c r="A749" s="25" t="str">
        <f t="shared" si="11"/>
        <v/>
      </c>
    </row>
    <row r="750" spans="1:1" x14ac:dyDescent="0.25">
      <c r="A750" s="25" t="str">
        <f t="shared" si="11"/>
        <v/>
      </c>
    </row>
    <row r="751" spans="1:1" x14ac:dyDescent="0.25">
      <c r="A751" s="25" t="str">
        <f t="shared" si="11"/>
        <v/>
      </c>
    </row>
    <row r="752" spans="1:1" x14ac:dyDescent="0.25">
      <c r="A752" s="25" t="str">
        <f t="shared" si="11"/>
        <v/>
      </c>
    </row>
    <row r="753" spans="1:1" x14ac:dyDescent="0.25">
      <c r="A753" s="25" t="str">
        <f t="shared" si="11"/>
        <v/>
      </c>
    </row>
    <row r="754" spans="1:1" x14ac:dyDescent="0.25">
      <c r="A754" s="25" t="str">
        <f t="shared" si="11"/>
        <v/>
      </c>
    </row>
    <row r="755" spans="1:1" x14ac:dyDescent="0.25">
      <c r="A755" s="25" t="str">
        <f t="shared" si="11"/>
        <v/>
      </c>
    </row>
    <row r="756" spans="1:1" x14ac:dyDescent="0.25">
      <c r="A756" s="25" t="str">
        <f t="shared" si="11"/>
        <v/>
      </c>
    </row>
    <row r="757" spans="1:1" x14ac:dyDescent="0.25">
      <c r="A757" s="25" t="str">
        <f t="shared" si="11"/>
        <v/>
      </c>
    </row>
    <row r="758" spans="1:1" x14ac:dyDescent="0.25">
      <c r="A758" s="25" t="str">
        <f t="shared" si="11"/>
        <v/>
      </c>
    </row>
    <row r="759" spans="1:1" x14ac:dyDescent="0.25">
      <c r="A759" s="25" t="str">
        <f t="shared" si="11"/>
        <v/>
      </c>
    </row>
    <row r="760" spans="1:1" x14ac:dyDescent="0.25">
      <c r="A760" s="25" t="str">
        <f t="shared" si="11"/>
        <v/>
      </c>
    </row>
    <row r="761" spans="1:1" x14ac:dyDescent="0.25">
      <c r="A761" s="25" t="str">
        <f t="shared" si="11"/>
        <v/>
      </c>
    </row>
    <row r="762" spans="1:1" x14ac:dyDescent="0.25">
      <c r="A762" s="25" t="str">
        <f t="shared" si="11"/>
        <v/>
      </c>
    </row>
    <row r="763" spans="1:1" x14ac:dyDescent="0.25">
      <c r="A763" s="25" t="str">
        <f t="shared" si="11"/>
        <v/>
      </c>
    </row>
    <row r="764" spans="1:1" x14ac:dyDescent="0.25">
      <c r="A764" s="25" t="str">
        <f t="shared" si="11"/>
        <v/>
      </c>
    </row>
    <row r="765" spans="1:1" x14ac:dyDescent="0.25">
      <c r="A765" s="25" t="str">
        <f t="shared" si="11"/>
        <v/>
      </c>
    </row>
    <row r="766" spans="1:1" x14ac:dyDescent="0.25">
      <c r="A766" s="25" t="str">
        <f t="shared" si="11"/>
        <v/>
      </c>
    </row>
    <row r="767" spans="1:1" x14ac:dyDescent="0.25">
      <c r="A767" s="25" t="str">
        <f t="shared" si="11"/>
        <v/>
      </c>
    </row>
    <row r="768" spans="1:1" x14ac:dyDescent="0.25">
      <c r="A768" s="25" t="str">
        <f t="shared" si="11"/>
        <v/>
      </c>
    </row>
    <row r="769" spans="1:1" x14ac:dyDescent="0.25">
      <c r="A769" s="25" t="str">
        <f t="shared" si="11"/>
        <v/>
      </c>
    </row>
    <row r="770" spans="1:1" x14ac:dyDescent="0.25">
      <c r="A770" s="25" t="str">
        <f t="shared" si="11"/>
        <v/>
      </c>
    </row>
    <row r="771" spans="1:1" x14ac:dyDescent="0.25">
      <c r="A771" s="25" t="str">
        <f t="shared" si="11"/>
        <v/>
      </c>
    </row>
    <row r="772" spans="1:1" x14ac:dyDescent="0.25">
      <c r="A772" s="25" t="str">
        <f t="shared" si="11"/>
        <v/>
      </c>
    </row>
    <row r="773" spans="1:1" x14ac:dyDescent="0.25">
      <c r="A773" s="25" t="str">
        <f t="shared" ref="A773:A836" si="12">IF(AND(C773&lt;&gt;"",C773&lt;&gt;"Grand Total"),IF(EXACT(C772,C773),A772,A772+1),"")</f>
        <v/>
      </c>
    </row>
    <row r="774" spans="1:1" x14ac:dyDescent="0.25">
      <c r="A774" s="25" t="str">
        <f t="shared" si="12"/>
        <v/>
      </c>
    </row>
    <row r="775" spans="1:1" x14ac:dyDescent="0.25">
      <c r="A775" s="25" t="str">
        <f t="shared" si="12"/>
        <v/>
      </c>
    </row>
    <row r="776" spans="1:1" x14ac:dyDescent="0.25">
      <c r="A776" s="25" t="str">
        <f t="shared" si="12"/>
        <v/>
      </c>
    </row>
    <row r="777" spans="1:1" x14ac:dyDescent="0.25">
      <c r="A777" s="25" t="str">
        <f t="shared" si="12"/>
        <v/>
      </c>
    </row>
    <row r="778" spans="1:1" x14ac:dyDescent="0.25">
      <c r="A778" s="25" t="str">
        <f t="shared" si="12"/>
        <v/>
      </c>
    </row>
    <row r="779" spans="1:1" x14ac:dyDescent="0.25">
      <c r="A779" s="25" t="str">
        <f t="shared" si="12"/>
        <v/>
      </c>
    </row>
    <row r="780" spans="1:1" x14ac:dyDescent="0.25">
      <c r="A780" s="25" t="str">
        <f t="shared" si="12"/>
        <v/>
      </c>
    </row>
    <row r="781" spans="1:1" x14ac:dyDescent="0.25">
      <c r="A781" s="25" t="str">
        <f t="shared" si="12"/>
        <v/>
      </c>
    </row>
    <row r="782" spans="1:1" x14ac:dyDescent="0.25">
      <c r="A782" s="25" t="str">
        <f t="shared" si="12"/>
        <v/>
      </c>
    </row>
    <row r="783" spans="1:1" x14ac:dyDescent="0.25">
      <c r="A783" s="25" t="str">
        <f t="shared" si="12"/>
        <v/>
      </c>
    </row>
    <row r="784" spans="1:1" x14ac:dyDescent="0.25">
      <c r="A784" s="25" t="str">
        <f t="shared" si="12"/>
        <v/>
      </c>
    </row>
    <row r="785" spans="1:1" x14ac:dyDescent="0.25">
      <c r="A785" s="25" t="str">
        <f t="shared" si="12"/>
        <v/>
      </c>
    </row>
    <row r="786" spans="1:1" x14ac:dyDescent="0.25">
      <c r="A786" s="25" t="str">
        <f t="shared" si="12"/>
        <v/>
      </c>
    </row>
    <row r="787" spans="1:1" x14ac:dyDescent="0.25">
      <c r="A787" s="25" t="str">
        <f t="shared" si="12"/>
        <v/>
      </c>
    </row>
    <row r="788" spans="1:1" x14ac:dyDescent="0.25">
      <c r="A788" s="25" t="str">
        <f t="shared" si="12"/>
        <v/>
      </c>
    </row>
    <row r="789" spans="1:1" x14ac:dyDescent="0.25">
      <c r="A789" s="25" t="str">
        <f t="shared" si="12"/>
        <v/>
      </c>
    </row>
    <row r="790" spans="1:1" x14ac:dyDescent="0.25">
      <c r="A790" s="25" t="str">
        <f t="shared" si="12"/>
        <v/>
      </c>
    </row>
    <row r="791" spans="1:1" x14ac:dyDescent="0.25">
      <c r="A791" s="25" t="str">
        <f t="shared" si="12"/>
        <v/>
      </c>
    </row>
    <row r="792" spans="1:1" x14ac:dyDescent="0.25">
      <c r="A792" s="25" t="str">
        <f t="shared" si="12"/>
        <v/>
      </c>
    </row>
    <row r="793" spans="1:1" x14ac:dyDescent="0.25">
      <c r="A793" s="25" t="str">
        <f t="shared" si="12"/>
        <v/>
      </c>
    </row>
    <row r="794" spans="1:1" x14ac:dyDescent="0.25">
      <c r="A794" s="25" t="str">
        <f t="shared" si="12"/>
        <v/>
      </c>
    </row>
    <row r="795" spans="1:1" x14ac:dyDescent="0.25">
      <c r="A795" s="25" t="str">
        <f t="shared" si="12"/>
        <v/>
      </c>
    </row>
    <row r="796" spans="1:1" x14ac:dyDescent="0.25">
      <c r="A796" s="25" t="str">
        <f t="shared" si="12"/>
        <v/>
      </c>
    </row>
    <row r="797" spans="1:1" x14ac:dyDescent="0.25">
      <c r="A797" s="25" t="str">
        <f t="shared" si="12"/>
        <v/>
      </c>
    </row>
    <row r="798" spans="1:1" x14ac:dyDescent="0.25">
      <c r="A798" s="25" t="str">
        <f t="shared" si="12"/>
        <v/>
      </c>
    </row>
    <row r="799" spans="1:1" x14ac:dyDescent="0.25">
      <c r="A799" s="25" t="str">
        <f t="shared" si="12"/>
        <v/>
      </c>
    </row>
    <row r="800" spans="1:1" x14ac:dyDescent="0.25">
      <c r="A800" s="25" t="str">
        <f t="shared" si="12"/>
        <v/>
      </c>
    </row>
    <row r="801" spans="1:1" x14ac:dyDescent="0.25">
      <c r="A801" s="25" t="str">
        <f t="shared" si="12"/>
        <v/>
      </c>
    </row>
    <row r="802" spans="1:1" x14ac:dyDescent="0.25">
      <c r="A802" s="25" t="str">
        <f t="shared" si="12"/>
        <v/>
      </c>
    </row>
    <row r="803" spans="1:1" x14ac:dyDescent="0.25">
      <c r="A803" s="25" t="str">
        <f t="shared" si="12"/>
        <v/>
      </c>
    </row>
    <row r="804" spans="1:1" x14ac:dyDescent="0.25">
      <c r="A804" s="25" t="str">
        <f t="shared" si="12"/>
        <v/>
      </c>
    </row>
    <row r="805" spans="1:1" x14ac:dyDescent="0.25">
      <c r="A805" s="25" t="str">
        <f t="shared" si="12"/>
        <v/>
      </c>
    </row>
    <row r="806" spans="1:1" x14ac:dyDescent="0.25">
      <c r="A806" s="25" t="str">
        <f t="shared" si="12"/>
        <v/>
      </c>
    </row>
    <row r="807" spans="1:1" x14ac:dyDescent="0.25">
      <c r="A807" s="25" t="str">
        <f t="shared" si="12"/>
        <v/>
      </c>
    </row>
    <row r="808" spans="1:1" x14ac:dyDescent="0.25">
      <c r="A808" s="25" t="str">
        <f t="shared" si="12"/>
        <v/>
      </c>
    </row>
    <row r="809" spans="1:1" x14ac:dyDescent="0.25">
      <c r="A809" s="25" t="str">
        <f t="shared" si="12"/>
        <v/>
      </c>
    </row>
    <row r="810" spans="1:1" x14ac:dyDescent="0.25">
      <c r="A810" s="25" t="str">
        <f t="shared" si="12"/>
        <v/>
      </c>
    </row>
    <row r="811" spans="1:1" x14ac:dyDescent="0.25">
      <c r="A811" s="25" t="str">
        <f t="shared" si="12"/>
        <v/>
      </c>
    </row>
    <row r="812" spans="1:1" x14ac:dyDescent="0.25">
      <c r="A812" s="25" t="str">
        <f t="shared" si="12"/>
        <v/>
      </c>
    </row>
    <row r="813" spans="1:1" x14ac:dyDescent="0.25">
      <c r="A813" s="25" t="str">
        <f t="shared" si="12"/>
        <v/>
      </c>
    </row>
    <row r="814" spans="1:1" x14ac:dyDescent="0.25">
      <c r="A814" s="25" t="str">
        <f t="shared" si="12"/>
        <v/>
      </c>
    </row>
    <row r="815" spans="1:1" x14ac:dyDescent="0.25">
      <c r="A815" s="25" t="str">
        <f t="shared" si="12"/>
        <v/>
      </c>
    </row>
    <row r="816" spans="1:1" x14ac:dyDescent="0.25">
      <c r="A816" s="25" t="str">
        <f t="shared" si="12"/>
        <v/>
      </c>
    </row>
    <row r="817" spans="1:1" x14ac:dyDescent="0.25">
      <c r="A817" s="25" t="str">
        <f t="shared" si="12"/>
        <v/>
      </c>
    </row>
    <row r="818" spans="1:1" x14ac:dyDescent="0.25">
      <c r="A818" s="25" t="str">
        <f t="shared" si="12"/>
        <v/>
      </c>
    </row>
    <row r="819" spans="1:1" x14ac:dyDescent="0.25">
      <c r="A819" s="25" t="str">
        <f t="shared" si="12"/>
        <v/>
      </c>
    </row>
    <row r="820" spans="1:1" x14ac:dyDescent="0.25">
      <c r="A820" s="25" t="str">
        <f t="shared" si="12"/>
        <v/>
      </c>
    </row>
    <row r="821" spans="1:1" x14ac:dyDescent="0.25">
      <c r="A821" s="25" t="str">
        <f t="shared" si="12"/>
        <v/>
      </c>
    </row>
    <row r="822" spans="1:1" x14ac:dyDescent="0.25">
      <c r="A822" s="25" t="str">
        <f t="shared" si="12"/>
        <v/>
      </c>
    </row>
    <row r="823" spans="1:1" x14ac:dyDescent="0.25">
      <c r="A823" s="25" t="str">
        <f t="shared" si="12"/>
        <v/>
      </c>
    </row>
    <row r="824" spans="1:1" x14ac:dyDescent="0.25">
      <c r="A824" s="25" t="str">
        <f t="shared" si="12"/>
        <v/>
      </c>
    </row>
    <row r="825" spans="1:1" x14ac:dyDescent="0.25">
      <c r="A825" s="25" t="str">
        <f t="shared" si="12"/>
        <v/>
      </c>
    </row>
    <row r="826" spans="1:1" x14ac:dyDescent="0.25">
      <c r="A826" s="25" t="str">
        <f t="shared" si="12"/>
        <v/>
      </c>
    </row>
    <row r="827" spans="1:1" x14ac:dyDescent="0.25">
      <c r="A827" s="25" t="str">
        <f t="shared" si="12"/>
        <v/>
      </c>
    </row>
    <row r="828" spans="1:1" x14ac:dyDescent="0.25">
      <c r="A828" s="25" t="str">
        <f t="shared" si="12"/>
        <v/>
      </c>
    </row>
    <row r="829" spans="1:1" x14ac:dyDescent="0.25">
      <c r="A829" s="25" t="str">
        <f t="shared" si="12"/>
        <v/>
      </c>
    </row>
    <row r="830" spans="1:1" x14ac:dyDescent="0.25">
      <c r="A830" s="25" t="str">
        <f t="shared" si="12"/>
        <v/>
      </c>
    </row>
    <row r="831" spans="1:1" x14ac:dyDescent="0.25">
      <c r="A831" s="25" t="str">
        <f t="shared" si="12"/>
        <v/>
      </c>
    </row>
    <row r="832" spans="1:1" x14ac:dyDescent="0.25">
      <c r="A832" s="25" t="str">
        <f t="shared" si="12"/>
        <v/>
      </c>
    </row>
    <row r="833" spans="1:1" x14ac:dyDescent="0.25">
      <c r="A833" s="25" t="str">
        <f t="shared" si="12"/>
        <v/>
      </c>
    </row>
    <row r="834" spans="1:1" x14ac:dyDescent="0.25">
      <c r="A834" s="25" t="str">
        <f t="shared" si="12"/>
        <v/>
      </c>
    </row>
    <row r="835" spans="1:1" x14ac:dyDescent="0.25">
      <c r="A835" s="25" t="str">
        <f t="shared" si="12"/>
        <v/>
      </c>
    </row>
    <row r="836" spans="1:1" x14ac:dyDescent="0.25">
      <c r="A836" s="25" t="str">
        <f t="shared" si="12"/>
        <v/>
      </c>
    </row>
    <row r="837" spans="1:1" x14ac:dyDescent="0.25">
      <c r="A837" s="25" t="str">
        <f t="shared" ref="A837:A900" si="13">IF(AND(C837&lt;&gt;"",C837&lt;&gt;"Grand Total"),IF(EXACT(C836,C837),A836,A836+1),"")</f>
        <v/>
      </c>
    </row>
    <row r="838" spans="1:1" x14ac:dyDescent="0.25">
      <c r="A838" s="25" t="str">
        <f t="shared" si="13"/>
        <v/>
      </c>
    </row>
    <row r="839" spans="1:1" x14ac:dyDescent="0.25">
      <c r="A839" s="25" t="str">
        <f t="shared" si="13"/>
        <v/>
      </c>
    </row>
    <row r="840" spans="1:1" x14ac:dyDescent="0.25">
      <c r="A840" s="25" t="str">
        <f t="shared" si="13"/>
        <v/>
      </c>
    </row>
    <row r="841" spans="1:1" x14ac:dyDescent="0.25">
      <c r="A841" s="25" t="str">
        <f t="shared" si="13"/>
        <v/>
      </c>
    </row>
    <row r="842" spans="1:1" x14ac:dyDescent="0.25">
      <c r="A842" s="25" t="str">
        <f t="shared" si="13"/>
        <v/>
      </c>
    </row>
    <row r="843" spans="1:1" x14ac:dyDescent="0.25">
      <c r="A843" s="25" t="str">
        <f t="shared" si="13"/>
        <v/>
      </c>
    </row>
    <row r="844" spans="1:1" x14ac:dyDescent="0.25">
      <c r="A844" s="25" t="str">
        <f t="shared" si="13"/>
        <v/>
      </c>
    </row>
    <row r="845" spans="1:1" x14ac:dyDescent="0.25">
      <c r="A845" s="25" t="str">
        <f t="shared" si="13"/>
        <v/>
      </c>
    </row>
    <row r="846" spans="1:1" x14ac:dyDescent="0.25">
      <c r="A846" s="25" t="str">
        <f t="shared" si="13"/>
        <v/>
      </c>
    </row>
    <row r="847" spans="1:1" x14ac:dyDescent="0.25">
      <c r="A847" s="25" t="str">
        <f t="shared" si="13"/>
        <v/>
      </c>
    </row>
    <row r="848" spans="1:1" x14ac:dyDescent="0.25">
      <c r="A848" s="25" t="str">
        <f t="shared" si="13"/>
        <v/>
      </c>
    </row>
    <row r="849" spans="1:1" x14ac:dyDescent="0.25">
      <c r="A849" s="25" t="str">
        <f t="shared" si="13"/>
        <v/>
      </c>
    </row>
    <row r="850" spans="1:1" x14ac:dyDescent="0.25">
      <c r="A850" s="25" t="str">
        <f t="shared" si="13"/>
        <v/>
      </c>
    </row>
    <row r="851" spans="1:1" x14ac:dyDescent="0.25">
      <c r="A851" s="25" t="str">
        <f t="shared" si="13"/>
        <v/>
      </c>
    </row>
    <row r="852" spans="1:1" x14ac:dyDescent="0.25">
      <c r="A852" s="25" t="str">
        <f t="shared" si="13"/>
        <v/>
      </c>
    </row>
    <row r="853" spans="1:1" x14ac:dyDescent="0.25">
      <c r="A853" s="25" t="str">
        <f t="shared" si="13"/>
        <v/>
      </c>
    </row>
    <row r="854" spans="1:1" x14ac:dyDescent="0.25">
      <c r="A854" s="25" t="str">
        <f t="shared" si="13"/>
        <v/>
      </c>
    </row>
    <row r="855" spans="1:1" x14ac:dyDescent="0.25">
      <c r="A855" s="25" t="str">
        <f t="shared" si="13"/>
        <v/>
      </c>
    </row>
    <row r="856" spans="1:1" x14ac:dyDescent="0.25">
      <c r="A856" s="25" t="str">
        <f t="shared" si="13"/>
        <v/>
      </c>
    </row>
    <row r="857" spans="1:1" x14ac:dyDescent="0.25">
      <c r="A857" s="25" t="str">
        <f t="shared" si="13"/>
        <v/>
      </c>
    </row>
    <row r="858" spans="1:1" x14ac:dyDescent="0.25">
      <c r="A858" s="25" t="str">
        <f t="shared" si="13"/>
        <v/>
      </c>
    </row>
    <row r="859" spans="1:1" x14ac:dyDescent="0.25">
      <c r="A859" s="25" t="str">
        <f t="shared" si="13"/>
        <v/>
      </c>
    </row>
    <row r="860" spans="1:1" x14ac:dyDescent="0.25">
      <c r="A860" s="25" t="str">
        <f t="shared" si="13"/>
        <v/>
      </c>
    </row>
    <row r="861" spans="1:1" x14ac:dyDescent="0.25">
      <c r="A861" s="25" t="str">
        <f t="shared" si="13"/>
        <v/>
      </c>
    </row>
    <row r="862" spans="1:1" x14ac:dyDescent="0.25">
      <c r="A862" s="25" t="str">
        <f t="shared" si="13"/>
        <v/>
      </c>
    </row>
    <row r="863" spans="1:1" x14ac:dyDescent="0.25">
      <c r="A863" s="25" t="str">
        <f t="shared" si="13"/>
        <v/>
      </c>
    </row>
    <row r="864" spans="1:1" x14ac:dyDescent="0.25">
      <c r="A864" s="25" t="str">
        <f t="shared" si="13"/>
        <v/>
      </c>
    </row>
    <row r="865" spans="1:1" x14ac:dyDescent="0.25">
      <c r="A865" s="25" t="str">
        <f t="shared" si="13"/>
        <v/>
      </c>
    </row>
    <row r="866" spans="1:1" x14ac:dyDescent="0.25">
      <c r="A866" s="25" t="str">
        <f t="shared" si="13"/>
        <v/>
      </c>
    </row>
    <row r="867" spans="1:1" x14ac:dyDescent="0.25">
      <c r="A867" s="25" t="str">
        <f t="shared" si="13"/>
        <v/>
      </c>
    </row>
    <row r="868" spans="1:1" x14ac:dyDescent="0.25">
      <c r="A868" s="25" t="str">
        <f t="shared" si="13"/>
        <v/>
      </c>
    </row>
    <row r="869" spans="1:1" x14ac:dyDescent="0.25">
      <c r="A869" s="25" t="str">
        <f t="shared" si="13"/>
        <v/>
      </c>
    </row>
    <row r="870" spans="1:1" x14ac:dyDescent="0.25">
      <c r="A870" s="25" t="str">
        <f t="shared" si="13"/>
        <v/>
      </c>
    </row>
    <row r="871" spans="1:1" x14ac:dyDescent="0.25">
      <c r="A871" s="25" t="str">
        <f t="shared" si="13"/>
        <v/>
      </c>
    </row>
    <row r="872" spans="1:1" x14ac:dyDescent="0.25">
      <c r="A872" s="25" t="str">
        <f t="shared" si="13"/>
        <v/>
      </c>
    </row>
    <row r="873" spans="1:1" x14ac:dyDescent="0.25">
      <c r="A873" s="25" t="str">
        <f t="shared" si="13"/>
        <v/>
      </c>
    </row>
    <row r="874" spans="1:1" x14ac:dyDescent="0.25">
      <c r="A874" s="25" t="str">
        <f t="shared" si="13"/>
        <v/>
      </c>
    </row>
    <row r="875" spans="1:1" x14ac:dyDescent="0.25">
      <c r="A875" s="25" t="str">
        <f t="shared" si="13"/>
        <v/>
      </c>
    </row>
    <row r="876" spans="1:1" x14ac:dyDescent="0.25">
      <c r="A876" s="25" t="str">
        <f t="shared" si="13"/>
        <v/>
      </c>
    </row>
    <row r="877" spans="1:1" x14ac:dyDescent="0.25">
      <c r="A877" s="25" t="str">
        <f t="shared" si="13"/>
        <v/>
      </c>
    </row>
    <row r="878" spans="1:1" x14ac:dyDescent="0.25">
      <c r="A878" s="25" t="str">
        <f t="shared" si="13"/>
        <v/>
      </c>
    </row>
    <row r="879" spans="1:1" x14ac:dyDescent="0.25">
      <c r="A879" s="25" t="str">
        <f t="shared" si="13"/>
        <v/>
      </c>
    </row>
    <row r="880" spans="1:1" x14ac:dyDescent="0.25">
      <c r="A880" s="25" t="str">
        <f t="shared" si="13"/>
        <v/>
      </c>
    </row>
    <row r="881" spans="1:1" x14ac:dyDescent="0.25">
      <c r="A881" s="25" t="str">
        <f t="shared" si="13"/>
        <v/>
      </c>
    </row>
    <row r="882" spans="1:1" x14ac:dyDescent="0.25">
      <c r="A882" s="25" t="str">
        <f t="shared" si="13"/>
        <v/>
      </c>
    </row>
    <row r="883" spans="1:1" x14ac:dyDescent="0.25">
      <c r="A883" s="25" t="str">
        <f t="shared" si="13"/>
        <v/>
      </c>
    </row>
    <row r="884" spans="1:1" x14ac:dyDescent="0.25">
      <c r="A884" s="25" t="str">
        <f t="shared" si="13"/>
        <v/>
      </c>
    </row>
    <row r="885" spans="1:1" x14ac:dyDescent="0.25">
      <c r="A885" s="25" t="str">
        <f t="shared" si="13"/>
        <v/>
      </c>
    </row>
    <row r="886" spans="1:1" x14ac:dyDescent="0.25">
      <c r="A886" s="25" t="str">
        <f t="shared" si="13"/>
        <v/>
      </c>
    </row>
    <row r="887" spans="1:1" x14ac:dyDescent="0.25">
      <c r="A887" s="25" t="str">
        <f t="shared" si="13"/>
        <v/>
      </c>
    </row>
    <row r="888" spans="1:1" x14ac:dyDescent="0.25">
      <c r="A888" s="25" t="str">
        <f t="shared" si="13"/>
        <v/>
      </c>
    </row>
    <row r="889" spans="1:1" x14ac:dyDescent="0.25">
      <c r="A889" s="25" t="str">
        <f t="shared" si="13"/>
        <v/>
      </c>
    </row>
    <row r="890" spans="1:1" x14ac:dyDescent="0.25">
      <c r="A890" s="25" t="str">
        <f t="shared" si="13"/>
        <v/>
      </c>
    </row>
    <row r="891" spans="1:1" x14ac:dyDescent="0.25">
      <c r="A891" s="25" t="str">
        <f t="shared" si="13"/>
        <v/>
      </c>
    </row>
    <row r="892" spans="1:1" x14ac:dyDescent="0.25">
      <c r="A892" s="25" t="str">
        <f t="shared" si="13"/>
        <v/>
      </c>
    </row>
    <row r="893" spans="1:1" x14ac:dyDescent="0.25">
      <c r="A893" s="25" t="str">
        <f t="shared" si="13"/>
        <v/>
      </c>
    </row>
    <row r="894" spans="1:1" x14ac:dyDescent="0.25">
      <c r="A894" s="25" t="str">
        <f t="shared" si="13"/>
        <v/>
      </c>
    </row>
    <row r="895" spans="1:1" x14ac:dyDescent="0.25">
      <c r="A895" s="25" t="str">
        <f t="shared" si="13"/>
        <v/>
      </c>
    </row>
    <row r="896" spans="1:1" x14ac:dyDescent="0.25">
      <c r="A896" s="25" t="str">
        <f t="shared" si="13"/>
        <v/>
      </c>
    </row>
    <row r="897" spans="1:1" x14ac:dyDescent="0.25">
      <c r="A897" s="25" t="str">
        <f t="shared" si="13"/>
        <v/>
      </c>
    </row>
    <row r="898" spans="1:1" x14ac:dyDescent="0.25">
      <c r="A898" s="25" t="str">
        <f t="shared" si="13"/>
        <v/>
      </c>
    </row>
    <row r="899" spans="1:1" x14ac:dyDescent="0.25">
      <c r="A899" s="25" t="str">
        <f t="shared" si="13"/>
        <v/>
      </c>
    </row>
    <row r="900" spans="1:1" x14ac:dyDescent="0.25">
      <c r="A900" s="25" t="str">
        <f t="shared" si="13"/>
        <v/>
      </c>
    </row>
    <row r="901" spans="1:1" x14ac:dyDescent="0.25">
      <c r="A901" s="25" t="str">
        <f t="shared" ref="A901:A964" si="14">IF(AND(C901&lt;&gt;"",C901&lt;&gt;"Grand Total"),IF(EXACT(C900,C901),A900,A900+1),"")</f>
        <v/>
      </c>
    </row>
    <row r="902" spans="1:1" x14ac:dyDescent="0.25">
      <c r="A902" s="25" t="str">
        <f t="shared" si="14"/>
        <v/>
      </c>
    </row>
    <row r="903" spans="1:1" x14ac:dyDescent="0.25">
      <c r="A903" s="25" t="str">
        <f t="shared" si="14"/>
        <v/>
      </c>
    </row>
    <row r="904" spans="1:1" x14ac:dyDescent="0.25">
      <c r="A904" s="25" t="str">
        <f t="shared" si="14"/>
        <v/>
      </c>
    </row>
    <row r="905" spans="1:1" x14ac:dyDescent="0.25">
      <c r="A905" s="25" t="str">
        <f t="shared" si="14"/>
        <v/>
      </c>
    </row>
    <row r="906" spans="1:1" x14ac:dyDescent="0.25">
      <c r="A906" s="25" t="str">
        <f t="shared" si="14"/>
        <v/>
      </c>
    </row>
    <row r="907" spans="1:1" x14ac:dyDescent="0.25">
      <c r="A907" s="25" t="str">
        <f t="shared" si="14"/>
        <v/>
      </c>
    </row>
    <row r="908" spans="1:1" x14ac:dyDescent="0.25">
      <c r="A908" s="25" t="str">
        <f t="shared" si="14"/>
        <v/>
      </c>
    </row>
    <row r="909" spans="1:1" x14ac:dyDescent="0.25">
      <c r="A909" s="25" t="str">
        <f t="shared" si="14"/>
        <v/>
      </c>
    </row>
    <row r="910" spans="1:1" x14ac:dyDescent="0.25">
      <c r="A910" s="25" t="str">
        <f t="shared" si="14"/>
        <v/>
      </c>
    </row>
    <row r="911" spans="1:1" x14ac:dyDescent="0.25">
      <c r="A911" s="25" t="str">
        <f t="shared" si="14"/>
        <v/>
      </c>
    </row>
    <row r="912" spans="1:1" x14ac:dyDescent="0.25">
      <c r="A912" s="25" t="str">
        <f t="shared" si="14"/>
        <v/>
      </c>
    </row>
    <row r="913" spans="1:1" x14ac:dyDescent="0.25">
      <c r="A913" s="25" t="str">
        <f t="shared" si="14"/>
        <v/>
      </c>
    </row>
    <row r="914" spans="1:1" x14ac:dyDescent="0.25">
      <c r="A914" s="25" t="str">
        <f t="shared" si="14"/>
        <v/>
      </c>
    </row>
    <row r="915" spans="1:1" x14ac:dyDescent="0.25">
      <c r="A915" s="25" t="str">
        <f t="shared" si="14"/>
        <v/>
      </c>
    </row>
    <row r="916" spans="1:1" x14ac:dyDescent="0.25">
      <c r="A916" s="25" t="str">
        <f t="shared" si="14"/>
        <v/>
      </c>
    </row>
    <row r="917" spans="1:1" x14ac:dyDescent="0.25">
      <c r="A917" s="25" t="str">
        <f t="shared" si="14"/>
        <v/>
      </c>
    </row>
    <row r="918" spans="1:1" x14ac:dyDescent="0.25">
      <c r="A918" s="25" t="str">
        <f t="shared" si="14"/>
        <v/>
      </c>
    </row>
    <row r="919" spans="1:1" x14ac:dyDescent="0.25">
      <c r="A919" s="25" t="str">
        <f t="shared" si="14"/>
        <v/>
      </c>
    </row>
    <row r="920" spans="1:1" x14ac:dyDescent="0.25">
      <c r="A920" s="25" t="str">
        <f t="shared" si="14"/>
        <v/>
      </c>
    </row>
    <row r="921" spans="1:1" x14ac:dyDescent="0.25">
      <c r="A921" s="25" t="str">
        <f t="shared" si="14"/>
        <v/>
      </c>
    </row>
    <row r="922" spans="1:1" x14ac:dyDescent="0.25">
      <c r="A922" s="25" t="str">
        <f t="shared" si="14"/>
        <v/>
      </c>
    </row>
    <row r="923" spans="1:1" x14ac:dyDescent="0.25">
      <c r="A923" s="25" t="str">
        <f t="shared" si="14"/>
        <v/>
      </c>
    </row>
    <row r="924" spans="1:1" x14ac:dyDescent="0.25">
      <c r="A924" s="25" t="str">
        <f t="shared" si="14"/>
        <v/>
      </c>
    </row>
    <row r="925" spans="1:1" x14ac:dyDescent="0.25">
      <c r="A925" s="25" t="str">
        <f t="shared" si="14"/>
        <v/>
      </c>
    </row>
    <row r="926" spans="1:1" x14ac:dyDescent="0.25">
      <c r="A926" s="25" t="str">
        <f t="shared" si="14"/>
        <v/>
      </c>
    </row>
    <row r="927" spans="1:1" x14ac:dyDescent="0.25">
      <c r="A927" s="25" t="str">
        <f t="shared" si="14"/>
        <v/>
      </c>
    </row>
    <row r="928" spans="1:1" x14ac:dyDescent="0.25">
      <c r="A928" s="25" t="str">
        <f t="shared" si="14"/>
        <v/>
      </c>
    </row>
    <row r="929" spans="1:1" x14ac:dyDescent="0.25">
      <c r="A929" s="25" t="str">
        <f t="shared" si="14"/>
        <v/>
      </c>
    </row>
    <row r="930" spans="1:1" x14ac:dyDescent="0.25">
      <c r="A930" s="25" t="str">
        <f t="shared" si="14"/>
        <v/>
      </c>
    </row>
    <row r="931" spans="1:1" x14ac:dyDescent="0.25">
      <c r="A931" s="25" t="str">
        <f t="shared" si="14"/>
        <v/>
      </c>
    </row>
    <row r="932" spans="1:1" x14ac:dyDescent="0.25">
      <c r="A932" s="25" t="str">
        <f t="shared" si="14"/>
        <v/>
      </c>
    </row>
    <row r="933" spans="1:1" x14ac:dyDescent="0.25">
      <c r="A933" s="25" t="str">
        <f t="shared" si="14"/>
        <v/>
      </c>
    </row>
    <row r="934" spans="1:1" x14ac:dyDescent="0.25">
      <c r="A934" s="25" t="str">
        <f t="shared" si="14"/>
        <v/>
      </c>
    </row>
    <row r="935" spans="1:1" x14ac:dyDescent="0.25">
      <c r="A935" s="25" t="str">
        <f t="shared" si="14"/>
        <v/>
      </c>
    </row>
    <row r="936" spans="1:1" x14ac:dyDescent="0.25">
      <c r="A936" s="25" t="str">
        <f t="shared" si="14"/>
        <v/>
      </c>
    </row>
    <row r="937" spans="1:1" x14ac:dyDescent="0.25">
      <c r="A937" s="25" t="str">
        <f t="shared" si="14"/>
        <v/>
      </c>
    </row>
    <row r="938" spans="1:1" x14ac:dyDescent="0.25">
      <c r="A938" s="25" t="str">
        <f t="shared" si="14"/>
        <v/>
      </c>
    </row>
    <row r="939" spans="1:1" x14ac:dyDescent="0.25">
      <c r="A939" s="25" t="str">
        <f t="shared" si="14"/>
        <v/>
      </c>
    </row>
    <row r="940" spans="1:1" x14ac:dyDescent="0.25">
      <c r="A940" s="25" t="str">
        <f t="shared" si="14"/>
        <v/>
      </c>
    </row>
    <row r="941" spans="1:1" x14ac:dyDescent="0.25">
      <c r="A941" s="25" t="str">
        <f t="shared" si="14"/>
        <v/>
      </c>
    </row>
    <row r="942" spans="1:1" x14ac:dyDescent="0.25">
      <c r="A942" s="25" t="str">
        <f t="shared" si="14"/>
        <v/>
      </c>
    </row>
    <row r="943" spans="1:1" x14ac:dyDescent="0.25">
      <c r="A943" s="25" t="str">
        <f t="shared" si="14"/>
        <v/>
      </c>
    </row>
    <row r="944" spans="1:1" x14ac:dyDescent="0.25">
      <c r="A944" s="25" t="str">
        <f t="shared" si="14"/>
        <v/>
      </c>
    </row>
    <row r="945" spans="1:1" x14ac:dyDescent="0.25">
      <c r="A945" s="25" t="str">
        <f t="shared" si="14"/>
        <v/>
      </c>
    </row>
    <row r="946" spans="1:1" x14ac:dyDescent="0.25">
      <c r="A946" s="25" t="str">
        <f t="shared" si="14"/>
        <v/>
      </c>
    </row>
    <row r="947" spans="1:1" x14ac:dyDescent="0.25">
      <c r="A947" s="25" t="str">
        <f t="shared" si="14"/>
        <v/>
      </c>
    </row>
    <row r="948" spans="1:1" x14ac:dyDescent="0.25">
      <c r="A948" s="25" t="str">
        <f t="shared" si="14"/>
        <v/>
      </c>
    </row>
    <row r="949" spans="1:1" x14ac:dyDescent="0.25">
      <c r="A949" s="25" t="str">
        <f t="shared" si="14"/>
        <v/>
      </c>
    </row>
    <row r="950" spans="1:1" x14ac:dyDescent="0.25">
      <c r="A950" s="25" t="str">
        <f t="shared" si="14"/>
        <v/>
      </c>
    </row>
    <row r="951" spans="1:1" x14ac:dyDescent="0.25">
      <c r="A951" s="25" t="str">
        <f t="shared" si="14"/>
        <v/>
      </c>
    </row>
    <row r="952" spans="1:1" x14ac:dyDescent="0.25">
      <c r="A952" s="25" t="str">
        <f t="shared" si="14"/>
        <v/>
      </c>
    </row>
    <row r="953" spans="1:1" x14ac:dyDescent="0.25">
      <c r="A953" s="25" t="str">
        <f t="shared" si="14"/>
        <v/>
      </c>
    </row>
    <row r="954" spans="1:1" x14ac:dyDescent="0.25">
      <c r="A954" s="25" t="str">
        <f t="shared" si="14"/>
        <v/>
      </c>
    </row>
    <row r="955" spans="1:1" x14ac:dyDescent="0.25">
      <c r="A955" s="25" t="str">
        <f t="shared" si="14"/>
        <v/>
      </c>
    </row>
    <row r="956" spans="1:1" x14ac:dyDescent="0.25">
      <c r="A956" s="25" t="str">
        <f t="shared" si="14"/>
        <v/>
      </c>
    </row>
    <row r="957" spans="1:1" x14ac:dyDescent="0.25">
      <c r="A957" s="25" t="str">
        <f t="shared" si="14"/>
        <v/>
      </c>
    </row>
    <row r="958" spans="1:1" x14ac:dyDescent="0.25">
      <c r="A958" s="25" t="str">
        <f t="shared" si="14"/>
        <v/>
      </c>
    </row>
    <row r="959" spans="1:1" x14ac:dyDescent="0.25">
      <c r="A959" s="25" t="str">
        <f t="shared" si="14"/>
        <v/>
      </c>
    </row>
    <row r="960" spans="1:1" x14ac:dyDescent="0.25">
      <c r="A960" s="25" t="str">
        <f t="shared" si="14"/>
        <v/>
      </c>
    </row>
    <row r="961" spans="1:1" x14ac:dyDescent="0.25">
      <c r="A961" s="25" t="str">
        <f t="shared" si="14"/>
        <v/>
      </c>
    </row>
    <row r="962" spans="1:1" x14ac:dyDescent="0.25">
      <c r="A962" s="25" t="str">
        <f t="shared" si="14"/>
        <v/>
      </c>
    </row>
    <row r="963" spans="1:1" x14ac:dyDescent="0.25">
      <c r="A963" s="25" t="str">
        <f t="shared" si="14"/>
        <v/>
      </c>
    </row>
    <row r="964" spans="1:1" x14ac:dyDescent="0.25">
      <c r="A964" s="25" t="str">
        <f t="shared" si="14"/>
        <v/>
      </c>
    </row>
    <row r="965" spans="1:1" x14ac:dyDescent="0.25">
      <c r="A965" s="25" t="str">
        <f t="shared" ref="A965:A1000" si="15">IF(AND(C965&lt;&gt;"",C965&lt;&gt;"Grand Total"),IF(EXACT(C964,C965),A964,A964+1),"")</f>
        <v/>
      </c>
    </row>
    <row r="966" spans="1:1" x14ac:dyDescent="0.25">
      <c r="A966" s="25" t="str">
        <f t="shared" si="15"/>
        <v/>
      </c>
    </row>
    <row r="967" spans="1:1" x14ac:dyDescent="0.25">
      <c r="A967" s="25" t="str">
        <f t="shared" si="15"/>
        <v/>
      </c>
    </row>
    <row r="968" spans="1:1" x14ac:dyDescent="0.25">
      <c r="A968" s="25" t="str">
        <f t="shared" si="15"/>
        <v/>
      </c>
    </row>
    <row r="969" spans="1:1" x14ac:dyDescent="0.25">
      <c r="A969" s="25" t="str">
        <f t="shared" si="15"/>
        <v/>
      </c>
    </row>
    <row r="970" spans="1:1" x14ac:dyDescent="0.25">
      <c r="A970" s="25" t="str">
        <f t="shared" si="15"/>
        <v/>
      </c>
    </row>
    <row r="971" spans="1:1" x14ac:dyDescent="0.25">
      <c r="A971" s="25" t="str">
        <f t="shared" si="15"/>
        <v/>
      </c>
    </row>
    <row r="972" spans="1:1" x14ac:dyDescent="0.25">
      <c r="A972" s="25" t="str">
        <f t="shared" si="15"/>
        <v/>
      </c>
    </row>
    <row r="973" spans="1:1" x14ac:dyDescent="0.25">
      <c r="A973" s="25" t="str">
        <f t="shared" si="15"/>
        <v/>
      </c>
    </row>
    <row r="974" spans="1:1" x14ac:dyDescent="0.25">
      <c r="A974" s="25" t="str">
        <f t="shared" si="15"/>
        <v/>
      </c>
    </row>
    <row r="975" spans="1:1" x14ac:dyDescent="0.25">
      <c r="A975" s="25" t="str">
        <f t="shared" si="15"/>
        <v/>
      </c>
    </row>
    <row r="976" spans="1:1" x14ac:dyDescent="0.25">
      <c r="A976" s="25" t="str">
        <f t="shared" si="15"/>
        <v/>
      </c>
    </row>
    <row r="977" spans="1:1" x14ac:dyDescent="0.25">
      <c r="A977" s="25" t="str">
        <f t="shared" si="15"/>
        <v/>
      </c>
    </row>
    <row r="978" spans="1:1" x14ac:dyDescent="0.25">
      <c r="A978" s="25" t="str">
        <f t="shared" si="15"/>
        <v/>
      </c>
    </row>
    <row r="979" spans="1:1" x14ac:dyDescent="0.25">
      <c r="A979" s="25" t="str">
        <f t="shared" si="15"/>
        <v/>
      </c>
    </row>
    <row r="980" spans="1:1" x14ac:dyDescent="0.25">
      <c r="A980" s="25" t="str">
        <f t="shared" si="15"/>
        <v/>
      </c>
    </row>
    <row r="981" spans="1:1" x14ac:dyDescent="0.25">
      <c r="A981" s="25" t="str">
        <f t="shared" si="15"/>
        <v/>
      </c>
    </row>
    <row r="982" spans="1:1" x14ac:dyDescent="0.25">
      <c r="A982" s="25" t="str">
        <f t="shared" si="15"/>
        <v/>
      </c>
    </row>
    <row r="983" spans="1:1" x14ac:dyDescent="0.25">
      <c r="A983" s="25" t="str">
        <f t="shared" si="15"/>
        <v/>
      </c>
    </row>
    <row r="984" spans="1:1" x14ac:dyDescent="0.25">
      <c r="A984" s="25" t="str">
        <f t="shared" si="15"/>
        <v/>
      </c>
    </row>
    <row r="985" spans="1:1" x14ac:dyDescent="0.25">
      <c r="A985" s="25" t="str">
        <f t="shared" si="15"/>
        <v/>
      </c>
    </row>
    <row r="986" spans="1:1" x14ac:dyDescent="0.25">
      <c r="A986" s="25" t="str">
        <f t="shared" si="15"/>
        <v/>
      </c>
    </row>
    <row r="987" spans="1:1" x14ac:dyDescent="0.25">
      <c r="A987" s="25" t="str">
        <f t="shared" si="15"/>
        <v/>
      </c>
    </row>
    <row r="988" spans="1:1" x14ac:dyDescent="0.25">
      <c r="A988" s="25" t="str">
        <f t="shared" si="15"/>
        <v/>
      </c>
    </row>
    <row r="989" spans="1:1" x14ac:dyDescent="0.25">
      <c r="A989" s="25" t="str">
        <f t="shared" si="15"/>
        <v/>
      </c>
    </row>
    <row r="990" spans="1:1" x14ac:dyDescent="0.25">
      <c r="A990" s="25" t="str">
        <f t="shared" si="15"/>
        <v/>
      </c>
    </row>
    <row r="991" spans="1:1" x14ac:dyDescent="0.25">
      <c r="A991" s="25" t="str">
        <f t="shared" si="15"/>
        <v/>
      </c>
    </row>
    <row r="992" spans="1:1" x14ac:dyDescent="0.25">
      <c r="A992" s="25" t="str">
        <f t="shared" si="15"/>
        <v/>
      </c>
    </row>
    <row r="993" spans="1:1" x14ac:dyDescent="0.25">
      <c r="A993" s="25" t="str">
        <f t="shared" si="15"/>
        <v/>
      </c>
    </row>
    <row r="994" spans="1:1" x14ac:dyDescent="0.25">
      <c r="A994" s="25" t="str">
        <f t="shared" si="15"/>
        <v/>
      </c>
    </row>
    <row r="995" spans="1:1" x14ac:dyDescent="0.25">
      <c r="A995" s="25" t="str">
        <f t="shared" si="15"/>
        <v/>
      </c>
    </row>
    <row r="996" spans="1:1" x14ac:dyDescent="0.25">
      <c r="A996" s="25" t="str">
        <f t="shared" si="15"/>
        <v/>
      </c>
    </row>
    <row r="997" spans="1:1" x14ac:dyDescent="0.25">
      <c r="A997" s="25" t="str">
        <f t="shared" si="15"/>
        <v/>
      </c>
    </row>
    <row r="998" spans="1:1" x14ac:dyDescent="0.25">
      <c r="A998" s="25" t="str">
        <f t="shared" si="15"/>
        <v/>
      </c>
    </row>
    <row r="999" spans="1:1" x14ac:dyDescent="0.25">
      <c r="A999" s="25" t="str">
        <f t="shared" si="15"/>
        <v/>
      </c>
    </row>
    <row r="1000" spans="1:1" x14ac:dyDescent="0.25">
      <c r="A1000" s="25" t="str">
        <f t="shared" si="15"/>
        <v/>
      </c>
    </row>
  </sheetData>
  <pageMargins left="0.7" right="0.7" top="0.75" bottom="0.75" header="0.3" footer="0.3"/>
  <pageSetup paperSize="9" scale="56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autoFill="0" autoPict="0" macro="[0]!Referesh_Detail">
                <anchor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1</xdr:col>
                    <xdr:colOff>504825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60"/>
  <sheetViews>
    <sheetView topLeftCell="A38" workbookViewId="0">
      <selection activeCell="A49" sqref="A49"/>
    </sheetView>
  </sheetViews>
  <sheetFormatPr defaultRowHeight="15" x14ac:dyDescent="0.25"/>
  <cols>
    <col min="1" max="1" width="21.140625" bestFit="1" customWidth="1"/>
    <col min="2" max="2" width="16.140625" bestFit="1" customWidth="1"/>
    <col min="3" max="3" width="9" bestFit="1" customWidth="1"/>
    <col min="4" max="4" width="10.5703125" bestFit="1" customWidth="1"/>
    <col min="5" max="5" width="13" bestFit="1" customWidth="1"/>
    <col min="6" max="6" width="16" bestFit="1" customWidth="1"/>
    <col min="8" max="9" width="9.140625" style="5"/>
  </cols>
  <sheetData>
    <row r="1" spans="1:6" x14ac:dyDescent="0.25">
      <c r="F1" s="50" t="s">
        <v>69</v>
      </c>
    </row>
    <row r="2" spans="1:6" x14ac:dyDescent="0.25">
      <c r="F2" s="50"/>
    </row>
    <row r="3" spans="1:6" x14ac:dyDescent="0.25">
      <c r="A3" t="s">
        <v>52</v>
      </c>
      <c r="B3" t="s">
        <v>6</v>
      </c>
      <c r="C3" t="s">
        <v>53</v>
      </c>
      <c r="D3" t="s">
        <v>54</v>
      </c>
      <c r="E3" s="5" t="s">
        <v>55</v>
      </c>
      <c r="F3" t="s">
        <v>24</v>
      </c>
    </row>
    <row r="4" spans="1:6" x14ac:dyDescent="0.25">
      <c r="A4" t="str">
        <f t="shared" ref="A4:A35" si="0">TRIM(CONCATENATE(B4,D4,C4))</f>
        <v>PANTCtn</v>
      </c>
      <c r="B4" t="s">
        <v>43</v>
      </c>
      <c r="D4" t="s">
        <v>21</v>
      </c>
      <c r="E4" s="40">
        <v>6103.42</v>
      </c>
      <c r="F4" t="s">
        <v>56</v>
      </c>
    </row>
    <row r="5" spans="1:6" x14ac:dyDescent="0.25">
      <c r="A5" t="str">
        <f t="shared" si="0"/>
        <v>TROUSERCtnM</v>
      </c>
      <c r="B5" t="s">
        <v>36</v>
      </c>
      <c r="C5" t="s">
        <v>41</v>
      </c>
      <c r="D5" t="s">
        <v>21</v>
      </c>
      <c r="E5" s="40">
        <v>6103.42</v>
      </c>
      <c r="F5" t="s">
        <v>56</v>
      </c>
    </row>
    <row r="6" spans="1:6" x14ac:dyDescent="0.25">
      <c r="A6" t="str">
        <f t="shared" si="0"/>
        <v>SHORTCtn</v>
      </c>
      <c r="B6" t="s">
        <v>44</v>
      </c>
      <c r="D6" t="s">
        <v>21</v>
      </c>
      <c r="E6" s="40">
        <v>6103.42</v>
      </c>
      <c r="F6" t="s">
        <v>56</v>
      </c>
    </row>
    <row r="7" spans="1:6" x14ac:dyDescent="0.25">
      <c r="A7" t="str">
        <f t="shared" si="0"/>
        <v>JEGGINGCtn</v>
      </c>
      <c r="B7" t="s">
        <v>46</v>
      </c>
      <c r="D7" t="s">
        <v>21</v>
      </c>
      <c r="E7" s="40">
        <v>6103.42</v>
      </c>
      <c r="F7" t="s">
        <v>56</v>
      </c>
    </row>
    <row r="8" spans="1:6" x14ac:dyDescent="0.25">
      <c r="A8" t="str">
        <f t="shared" si="0"/>
        <v>DUNGAREECtn</v>
      </c>
      <c r="B8" t="s">
        <v>47</v>
      </c>
      <c r="D8" t="s">
        <v>21</v>
      </c>
      <c r="E8" s="40">
        <v>6103.42</v>
      </c>
      <c r="F8" t="s">
        <v>56</v>
      </c>
    </row>
    <row r="9" spans="1:6" x14ac:dyDescent="0.25">
      <c r="A9" t="str">
        <f t="shared" si="0"/>
        <v>OVERALLCtn</v>
      </c>
      <c r="B9" t="s">
        <v>48</v>
      </c>
      <c r="D9" t="s">
        <v>21</v>
      </c>
      <c r="E9" s="40">
        <v>6103.42</v>
      </c>
      <c r="F9" t="s">
        <v>56</v>
      </c>
    </row>
    <row r="10" spans="1:6" x14ac:dyDescent="0.25">
      <c r="A10" t="str">
        <f t="shared" si="0"/>
        <v>SCRUB - BOTTOMCtn</v>
      </c>
      <c r="B10" t="s">
        <v>40</v>
      </c>
      <c r="D10" t="s">
        <v>21</v>
      </c>
      <c r="E10" s="40">
        <v>6103.42</v>
      </c>
      <c r="F10" t="s">
        <v>56</v>
      </c>
    </row>
    <row r="11" spans="1:6" x14ac:dyDescent="0.25">
      <c r="A11" t="str">
        <f t="shared" si="0"/>
        <v>PANTCtnW</v>
      </c>
      <c r="B11" t="s">
        <v>43</v>
      </c>
      <c r="C11" t="s">
        <v>42</v>
      </c>
      <c r="D11" t="s">
        <v>21</v>
      </c>
      <c r="E11" s="40">
        <v>6104.62</v>
      </c>
      <c r="F11" t="s">
        <v>57</v>
      </c>
    </row>
    <row r="12" spans="1:6" x14ac:dyDescent="0.25">
      <c r="A12" t="str">
        <f t="shared" si="0"/>
        <v>TROUSERCtnW</v>
      </c>
      <c r="B12" t="s">
        <v>36</v>
      </c>
      <c r="C12" t="s">
        <v>42</v>
      </c>
      <c r="D12" t="s">
        <v>21</v>
      </c>
      <c r="E12" s="40">
        <v>6104.62</v>
      </c>
      <c r="F12" t="s">
        <v>57</v>
      </c>
    </row>
    <row r="13" spans="1:6" x14ac:dyDescent="0.25">
      <c r="A13" t="str">
        <f t="shared" si="0"/>
        <v>SHORTCtnW</v>
      </c>
      <c r="B13" t="s">
        <v>44</v>
      </c>
      <c r="C13" t="s">
        <v>42</v>
      </c>
      <c r="D13" t="s">
        <v>21</v>
      </c>
      <c r="E13" s="40">
        <v>6104.62</v>
      </c>
      <c r="F13" t="s">
        <v>57</v>
      </c>
    </row>
    <row r="14" spans="1:6" x14ac:dyDescent="0.25">
      <c r="A14" t="str">
        <f t="shared" si="0"/>
        <v>JEGGINGCtnW</v>
      </c>
      <c r="B14" t="s">
        <v>46</v>
      </c>
      <c r="C14" t="s">
        <v>42</v>
      </c>
      <c r="D14" t="s">
        <v>21</v>
      </c>
      <c r="E14" s="40">
        <v>6104.62</v>
      </c>
      <c r="F14" t="s">
        <v>57</v>
      </c>
    </row>
    <row r="15" spans="1:6" x14ac:dyDescent="0.25">
      <c r="A15" t="str">
        <f t="shared" si="0"/>
        <v>DUNGAREECtnW</v>
      </c>
      <c r="B15" t="s">
        <v>47</v>
      </c>
      <c r="C15" t="s">
        <v>42</v>
      </c>
      <c r="D15" t="s">
        <v>21</v>
      </c>
      <c r="E15" s="40">
        <v>6104.62</v>
      </c>
      <c r="F15" t="s">
        <v>57</v>
      </c>
    </row>
    <row r="16" spans="1:6" x14ac:dyDescent="0.25">
      <c r="A16" t="str">
        <f t="shared" si="0"/>
        <v>OVERALLCtnW</v>
      </c>
      <c r="B16" t="s">
        <v>48</v>
      </c>
      <c r="C16" t="s">
        <v>42</v>
      </c>
      <c r="D16" t="s">
        <v>21</v>
      </c>
      <c r="E16" s="40">
        <v>6104.62</v>
      </c>
      <c r="F16" t="s">
        <v>57</v>
      </c>
    </row>
    <row r="17" spans="1:6" x14ac:dyDescent="0.25">
      <c r="A17" t="str">
        <f t="shared" si="0"/>
        <v>SCRUB - BOTTOMCtnW</v>
      </c>
      <c r="B17" t="s">
        <v>40</v>
      </c>
      <c r="C17" t="s">
        <v>42</v>
      </c>
      <c r="D17" t="s">
        <v>21</v>
      </c>
      <c r="E17" s="40">
        <v>6104.62</v>
      </c>
      <c r="F17" t="s">
        <v>57</v>
      </c>
    </row>
    <row r="18" spans="1:6" x14ac:dyDescent="0.25">
      <c r="A18" t="str">
        <f t="shared" si="0"/>
        <v>GOWNCtn</v>
      </c>
      <c r="B18" t="s">
        <v>49</v>
      </c>
      <c r="D18" t="s">
        <v>21</v>
      </c>
      <c r="E18" s="40">
        <v>6101.2</v>
      </c>
      <c r="F18" t="s">
        <v>56</v>
      </c>
    </row>
    <row r="19" spans="1:6" x14ac:dyDescent="0.25">
      <c r="A19" t="str">
        <f t="shared" si="0"/>
        <v>SCRUB - TOPCtnM</v>
      </c>
      <c r="B19" t="s">
        <v>37</v>
      </c>
      <c r="C19" t="s">
        <v>41</v>
      </c>
      <c r="D19" t="s">
        <v>21</v>
      </c>
      <c r="E19" s="40">
        <v>6101.2</v>
      </c>
      <c r="F19" t="s">
        <v>56</v>
      </c>
    </row>
    <row r="20" spans="1:6" x14ac:dyDescent="0.25">
      <c r="A20" t="str">
        <f t="shared" si="0"/>
        <v>TUNICCtn</v>
      </c>
      <c r="B20" t="s">
        <v>39</v>
      </c>
      <c r="D20" t="s">
        <v>21</v>
      </c>
      <c r="E20" s="40">
        <v>6101.2</v>
      </c>
      <c r="F20" t="s">
        <v>56</v>
      </c>
    </row>
    <row r="21" spans="1:6" x14ac:dyDescent="0.25">
      <c r="A21" t="str">
        <f t="shared" si="0"/>
        <v>LAB COATCtn</v>
      </c>
      <c r="B21" t="s">
        <v>35</v>
      </c>
      <c r="D21" t="s">
        <v>21</v>
      </c>
      <c r="E21" s="40">
        <v>6101.2</v>
      </c>
      <c r="F21" t="s">
        <v>56</v>
      </c>
    </row>
    <row r="22" spans="1:6" x14ac:dyDescent="0.25">
      <c r="A22" t="str">
        <f t="shared" si="0"/>
        <v>JACKETCtn</v>
      </c>
      <c r="B22" t="s">
        <v>50</v>
      </c>
      <c r="D22" t="s">
        <v>21</v>
      </c>
      <c r="E22" s="40">
        <v>6101.2</v>
      </c>
      <c r="F22" t="s">
        <v>56</v>
      </c>
    </row>
    <row r="23" spans="1:6" x14ac:dyDescent="0.25">
      <c r="A23" t="str">
        <f t="shared" si="0"/>
        <v>SHIRTCtn</v>
      </c>
      <c r="B23" t="s">
        <v>38</v>
      </c>
      <c r="D23" t="s">
        <v>21</v>
      </c>
      <c r="E23" s="40">
        <v>6101.2</v>
      </c>
      <c r="F23" t="s">
        <v>56</v>
      </c>
    </row>
    <row r="24" spans="1:6" x14ac:dyDescent="0.25">
      <c r="A24" t="str">
        <f t="shared" si="0"/>
        <v>GOWNCtnW</v>
      </c>
      <c r="B24" t="s">
        <v>49</v>
      </c>
      <c r="C24" t="s">
        <v>42</v>
      </c>
      <c r="D24" t="s">
        <v>21</v>
      </c>
      <c r="E24" s="40">
        <v>6102.2</v>
      </c>
      <c r="F24" t="s">
        <v>57</v>
      </c>
    </row>
    <row r="25" spans="1:6" x14ac:dyDescent="0.25">
      <c r="A25" t="str">
        <f t="shared" si="0"/>
        <v>SCRUB - TOPCtnW</v>
      </c>
      <c r="B25" t="s">
        <v>37</v>
      </c>
      <c r="C25" t="s">
        <v>42</v>
      </c>
      <c r="D25" t="s">
        <v>21</v>
      </c>
      <c r="E25" s="40">
        <v>6102.2</v>
      </c>
      <c r="F25" t="s">
        <v>57</v>
      </c>
    </row>
    <row r="26" spans="1:6" x14ac:dyDescent="0.25">
      <c r="A26" t="str">
        <f t="shared" si="0"/>
        <v>TUNICCtnW</v>
      </c>
      <c r="B26" t="s">
        <v>39</v>
      </c>
      <c r="C26" t="s">
        <v>42</v>
      </c>
      <c r="D26" t="s">
        <v>21</v>
      </c>
      <c r="E26" s="40">
        <v>6102.2</v>
      </c>
      <c r="F26" t="s">
        <v>57</v>
      </c>
    </row>
    <row r="27" spans="1:6" x14ac:dyDescent="0.25">
      <c r="A27" t="str">
        <f t="shared" si="0"/>
        <v>LAB COATCtnW</v>
      </c>
      <c r="B27" t="s">
        <v>35</v>
      </c>
      <c r="C27" t="s">
        <v>42</v>
      </c>
      <c r="D27" t="s">
        <v>21</v>
      </c>
      <c r="E27" s="40">
        <v>6102.2</v>
      </c>
      <c r="F27" t="s">
        <v>57</v>
      </c>
    </row>
    <row r="28" spans="1:6" x14ac:dyDescent="0.25">
      <c r="A28" t="str">
        <f t="shared" si="0"/>
        <v>JACKETCtnW</v>
      </c>
      <c r="B28" t="s">
        <v>50</v>
      </c>
      <c r="C28" t="s">
        <v>42</v>
      </c>
      <c r="D28" t="s">
        <v>21</v>
      </c>
      <c r="E28" s="40">
        <v>6102.2</v>
      </c>
      <c r="F28" t="s">
        <v>57</v>
      </c>
    </row>
    <row r="29" spans="1:6" x14ac:dyDescent="0.25">
      <c r="A29" t="str">
        <f t="shared" si="0"/>
        <v>SHIRTCtnW</v>
      </c>
      <c r="B29" t="s">
        <v>38</v>
      </c>
      <c r="C29" t="s">
        <v>42</v>
      </c>
      <c r="D29" t="s">
        <v>21</v>
      </c>
      <c r="E29" s="40">
        <v>6102.2</v>
      </c>
      <c r="F29" t="s">
        <v>57</v>
      </c>
    </row>
    <row r="30" spans="1:6" x14ac:dyDescent="0.25">
      <c r="A30" t="str">
        <f t="shared" si="0"/>
        <v>SCRUB - TOPCtn</v>
      </c>
      <c r="B30" t="s">
        <v>37</v>
      </c>
      <c r="D30" t="s">
        <v>21</v>
      </c>
      <c r="E30" s="40">
        <v>6109.1</v>
      </c>
      <c r="F30" t="s">
        <v>58</v>
      </c>
    </row>
    <row r="31" spans="1:6" x14ac:dyDescent="0.25">
      <c r="A31" t="str">
        <f t="shared" si="0"/>
        <v>T-SHIRTCtn</v>
      </c>
      <c r="B31" t="s">
        <v>59</v>
      </c>
      <c r="D31" t="s">
        <v>21</v>
      </c>
      <c r="E31" s="40">
        <v>6109.1</v>
      </c>
      <c r="F31" t="s">
        <v>58</v>
      </c>
    </row>
    <row r="32" spans="1:6" x14ac:dyDescent="0.25">
      <c r="A32" t="str">
        <f t="shared" si="0"/>
        <v>PANTBldM</v>
      </c>
      <c r="B32" t="s">
        <v>43</v>
      </c>
      <c r="C32" t="s">
        <v>41</v>
      </c>
      <c r="D32" t="s">
        <v>45</v>
      </c>
      <c r="E32" s="40">
        <v>6103.49</v>
      </c>
      <c r="F32" t="s">
        <v>60</v>
      </c>
    </row>
    <row r="33" spans="1:6" x14ac:dyDescent="0.25">
      <c r="A33" t="str">
        <f t="shared" si="0"/>
        <v>TROUSERBldM</v>
      </c>
      <c r="B33" t="s">
        <v>36</v>
      </c>
      <c r="C33" t="s">
        <v>41</v>
      </c>
      <c r="D33" t="s">
        <v>45</v>
      </c>
      <c r="E33" s="40">
        <v>6103.49</v>
      </c>
      <c r="F33" t="s">
        <v>60</v>
      </c>
    </row>
    <row r="34" spans="1:6" x14ac:dyDescent="0.25">
      <c r="A34" s="41" t="str">
        <f t="shared" si="0"/>
        <v>TROUSERBld</v>
      </c>
      <c r="B34" s="41" t="s">
        <v>36</v>
      </c>
      <c r="C34" s="41"/>
      <c r="D34" s="41" t="s">
        <v>45</v>
      </c>
      <c r="E34" s="39">
        <v>6103.49</v>
      </c>
      <c r="F34" s="41" t="s">
        <v>60</v>
      </c>
    </row>
    <row r="35" spans="1:6" x14ac:dyDescent="0.25">
      <c r="A35" t="str">
        <f t="shared" si="0"/>
        <v>SHORTBld</v>
      </c>
      <c r="B35" t="s">
        <v>44</v>
      </c>
      <c r="D35" t="s">
        <v>45</v>
      </c>
      <c r="E35" s="40">
        <v>6103.49</v>
      </c>
      <c r="F35" t="s">
        <v>60</v>
      </c>
    </row>
    <row r="36" spans="1:6" x14ac:dyDescent="0.25">
      <c r="A36" t="str">
        <f t="shared" ref="A36:A60" si="1">TRIM(CONCATENATE(B36,D36,C36))</f>
        <v>JEGGINGBld</v>
      </c>
      <c r="B36" t="s">
        <v>46</v>
      </c>
      <c r="D36" t="s">
        <v>45</v>
      </c>
      <c r="E36" s="40">
        <v>6103.49</v>
      </c>
      <c r="F36" t="s">
        <v>60</v>
      </c>
    </row>
    <row r="37" spans="1:6" x14ac:dyDescent="0.25">
      <c r="A37" t="str">
        <f t="shared" si="1"/>
        <v>DUNGAREEBld</v>
      </c>
      <c r="B37" t="s">
        <v>47</v>
      </c>
      <c r="D37" t="s">
        <v>45</v>
      </c>
      <c r="E37" s="40">
        <v>6103.49</v>
      </c>
      <c r="F37" t="s">
        <v>60</v>
      </c>
    </row>
    <row r="38" spans="1:6" x14ac:dyDescent="0.25">
      <c r="A38" t="str">
        <f t="shared" si="1"/>
        <v>OVERALLBld</v>
      </c>
      <c r="B38" t="s">
        <v>48</v>
      </c>
      <c r="D38" t="s">
        <v>45</v>
      </c>
      <c r="E38" s="40">
        <v>6103.49</v>
      </c>
      <c r="F38" t="s">
        <v>60</v>
      </c>
    </row>
    <row r="39" spans="1:6" x14ac:dyDescent="0.25">
      <c r="A39" t="str">
        <f t="shared" si="1"/>
        <v>SCRUB - BOTTOMBld</v>
      </c>
      <c r="B39" t="s">
        <v>40</v>
      </c>
      <c r="D39" t="s">
        <v>45</v>
      </c>
      <c r="E39" s="40">
        <v>6103.49</v>
      </c>
      <c r="F39" t="s">
        <v>60</v>
      </c>
    </row>
    <row r="40" spans="1:6" x14ac:dyDescent="0.25">
      <c r="A40" t="str">
        <f t="shared" si="1"/>
        <v>PANTBldW</v>
      </c>
      <c r="B40" t="s">
        <v>43</v>
      </c>
      <c r="C40" t="s">
        <v>42</v>
      </c>
      <c r="D40" t="s">
        <v>45</v>
      </c>
      <c r="E40" s="40">
        <v>6104.69</v>
      </c>
      <c r="F40" t="s">
        <v>61</v>
      </c>
    </row>
    <row r="41" spans="1:6" x14ac:dyDescent="0.25">
      <c r="A41" t="str">
        <f t="shared" si="1"/>
        <v>TROUSERBldW</v>
      </c>
      <c r="B41" t="s">
        <v>36</v>
      </c>
      <c r="C41" t="s">
        <v>42</v>
      </c>
      <c r="D41" t="s">
        <v>45</v>
      </c>
      <c r="E41" s="40">
        <v>6104.69</v>
      </c>
      <c r="F41" t="s">
        <v>61</v>
      </c>
    </row>
    <row r="42" spans="1:6" x14ac:dyDescent="0.25">
      <c r="A42" t="str">
        <f t="shared" si="1"/>
        <v>SHORTBldW</v>
      </c>
      <c r="B42" t="s">
        <v>44</v>
      </c>
      <c r="C42" t="s">
        <v>42</v>
      </c>
      <c r="D42" t="s">
        <v>45</v>
      </c>
      <c r="E42" s="40">
        <v>6104.69</v>
      </c>
      <c r="F42" t="s">
        <v>61</v>
      </c>
    </row>
    <row r="43" spans="1:6" x14ac:dyDescent="0.25">
      <c r="A43" t="str">
        <f t="shared" si="1"/>
        <v>JEGGINGBldW</v>
      </c>
      <c r="B43" t="s">
        <v>46</v>
      </c>
      <c r="C43" t="s">
        <v>42</v>
      </c>
      <c r="D43" t="s">
        <v>45</v>
      </c>
      <c r="E43" s="40">
        <v>6104.69</v>
      </c>
      <c r="F43" t="s">
        <v>61</v>
      </c>
    </row>
    <row r="44" spans="1:6" x14ac:dyDescent="0.25">
      <c r="A44" t="str">
        <f t="shared" si="1"/>
        <v>DUNGAREEBldW</v>
      </c>
      <c r="B44" t="s">
        <v>47</v>
      </c>
      <c r="C44" t="s">
        <v>42</v>
      </c>
      <c r="D44" t="s">
        <v>45</v>
      </c>
      <c r="E44" s="40">
        <v>6104.69</v>
      </c>
      <c r="F44" t="s">
        <v>61</v>
      </c>
    </row>
    <row r="45" spans="1:6" x14ac:dyDescent="0.25">
      <c r="A45" t="str">
        <f t="shared" si="1"/>
        <v>OVERALLBldW</v>
      </c>
      <c r="B45" t="s">
        <v>48</v>
      </c>
      <c r="C45" t="s">
        <v>42</v>
      </c>
      <c r="D45" t="s">
        <v>45</v>
      </c>
      <c r="E45" s="40">
        <v>6104.69</v>
      </c>
      <c r="F45" t="s">
        <v>61</v>
      </c>
    </row>
    <row r="46" spans="1:6" x14ac:dyDescent="0.25">
      <c r="A46" t="str">
        <f t="shared" si="1"/>
        <v>SCRUB - BOTTOMBldW</v>
      </c>
      <c r="B46" t="s">
        <v>40</v>
      </c>
      <c r="C46" t="s">
        <v>42</v>
      </c>
      <c r="D46" t="s">
        <v>45</v>
      </c>
      <c r="E46" s="40">
        <v>6104.69</v>
      </c>
      <c r="F46" t="s">
        <v>61</v>
      </c>
    </row>
    <row r="47" spans="1:6" x14ac:dyDescent="0.25">
      <c r="A47" t="str">
        <f t="shared" si="1"/>
        <v>GOWNBldM</v>
      </c>
      <c r="B47" t="s">
        <v>49</v>
      </c>
      <c r="C47" t="s">
        <v>41</v>
      </c>
      <c r="D47" t="s">
        <v>45</v>
      </c>
      <c r="E47" s="40">
        <v>6101.9</v>
      </c>
      <c r="F47" t="s">
        <v>60</v>
      </c>
    </row>
    <row r="48" spans="1:6" x14ac:dyDescent="0.25">
      <c r="A48" t="str">
        <f t="shared" si="1"/>
        <v>SCRUB - TOPBldM</v>
      </c>
      <c r="B48" t="s">
        <v>37</v>
      </c>
      <c r="C48" t="s">
        <v>41</v>
      </c>
      <c r="D48" t="s">
        <v>45</v>
      </c>
      <c r="E48" s="40">
        <v>6101.9</v>
      </c>
      <c r="F48" t="s">
        <v>60</v>
      </c>
    </row>
    <row r="49" spans="1:6" x14ac:dyDescent="0.25">
      <c r="A49" t="str">
        <f t="shared" si="1"/>
        <v>TUNICBldM</v>
      </c>
      <c r="B49" t="s">
        <v>39</v>
      </c>
      <c r="C49" t="s">
        <v>41</v>
      </c>
      <c r="D49" t="s">
        <v>45</v>
      </c>
      <c r="E49" s="40">
        <v>6101.9</v>
      </c>
      <c r="F49" t="s">
        <v>60</v>
      </c>
    </row>
    <row r="50" spans="1:6" x14ac:dyDescent="0.25">
      <c r="A50" t="str">
        <f t="shared" si="1"/>
        <v>LAB COATBldM</v>
      </c>
      <c r="B50" t="s">
        <v>35</v>
      </c>
      <c r="C50" t="s">
        <v>41</v>
      </c>
      <c r="D50" t="s">
        <v>45</v>
      </c>
      <c r="E50" s="40">
        <v>6101.9</v>
      </c>
      <c r="F50" t="s">
        <v>60</v>
      </c>
    </row>
    <row r="51" spans="1:6" x14ac:dyDescent="0.25">
      <c r="A51" t="str">
        <f t="shared" si="1"/>
        <v>JACKETBldM</v>
      </c>
      <c r="B51" t="s">
        <v>50</v>
      </c>
      <c r="C51" t="s">
        <v>41</v>
      </c>
      <c r="D51" t="s">
        <v>45</v>
      </c>
      <c r="E51" s="40">
        <v>6101.9</v>
      </c>
      <c r="F51" t="s">
        <v>60</v>
      </c>
    </row>
    <row r="52" spans="1:6" x14ac:dyDescent="0.25">
      <c r="A52" t="str">
        <f t="shared" si="1"/>
        <v>SHIRTBld</v>
      </c>
      <c r="B52" t="s">
        <v>38</v>
      </c>
      <c r="D52" t="s">
        <v>45</v>
      </c>
      <c r="E52" s="40">
        <v>6101.9</v>
      </c>
      <c r="F52" t="s">
        <v>60</v>
      </c>
    </row>
    <row r="53" spans="1:6" x14ac:dyDescent="0.25">
      <c r="A53" t="str">
        <f t="shared" si="1"/>
        <v>GOWNBldW</v>
      </c>
      <c r="B53" t="s">
        <v>49</v>
      </c>
      <c r="C53" t="s">
        <v>42</v>
      </c>
      <c r="D53" t="s">
        <v>45</v>
      </c>
      <c r="E53" s="40">
        <v>6102.9</v>
      </c>
      <c r="F53" t="s">
        <v>61</v>
      </c>
    </row>
    <row r="54" spans="1:6" x14ac:dyDescent="0.25">
      <c r="A54" t="str">
        <f t="shared" si="1"/>
        <v>SCRUB - TOPBldW</v>
      </c>
      <c r="B54" t="s">
        <v>37</v>
      </c>
      <c r="C54" t="s">
        <v>42</v>
      </c>
      <c r="D54" t="s">
        <v>45</v>
      </c>
      <c r="E54" s="40">
        <v>6102.9</v>
      </c>
      <c r="F54" t="s">
        <v>61</v>
      </c>
    </row>
    <row r="55" spans="1:6" x14ac:dyDescent="0.25">
      <c r="A55" t="str">
        <f t="shared" si="1"/>
        <v>TUNICBldW</v>
      </c>
      <c r="B55" t="s">
        <v>39</v>
      </c>
      <c r="C55" t="s">
        <v>42</v>
      </c>
      <c r="D55" t="s">
        <v>45</v>
      </c>
      <c r="E55" s="40">
        <v>6102.9</v>
      </c>
      <c r="F55" t="s">
        <v>61</v>
      </c>
    </row>
    <row r="56" spans="1:6" x14ac:dyDescent="0.25">
      <c r="A56" t="str">
        <f t="shared" si="1"/>
        <v>LAB COATBldW</v>
      </c>
      <c r="B56" t="s">
        <v>35</v>
      </c>
      <c r="C56" t="s">
        <v>42</v>
      </c>
      <c r="D56" t="s">
        <v>45</v>
      </c>
      <c r="E56" s="40">
        <v>6102.9</v>
      </c>
      <c r="F56" t="s">
        <v>61</v>
      </c>
    </row>
    <row r="57" spans="1:6" x14ac:dyDescent="0.25">
      <c r="A57" t="str">
        <f t="shared" si="1"/>
        <v>JACKETBldW</v>
      </c>
      <c r="B57" t="s">
        <v>50</v>
      </c>
      <c r="C57" t="s">
        <v>42</v>
      </c>
      <c r="D57" t="s">
        <v>45</v>
      </c>
      <c r="E57" s="40">
        <v>6102.9</v>
      </c>
      <c r="F57" t="s">
        <v>61</v>
      </c>
    </row>
    <row r="58" spans="1:6" x14ac:dyDescent="0.25">
      <c r="A58" t="str">
        <f t="shared" si="1"/>
        <v>SHIRTBldW</v>
      </c>
      <c r="B58" t="s">
        <v>38</v>
      </c>
      <c r="C58" t="s">
        <v>42</v>
      </c>
      <c r="D58" t="s">
        <v>45</v>
      </c>
      <c r="E58" s="40">
        <v>6102.9</v>
      </c>
      <c r="F58" t="s">
        <v>61</v>
      </c>
    </row>
    <row r="59" spans="1:6" x14ac:dyDescent="0.25">
      <c r="A59" t="str">
        <f t="shared" si="1"/>
        <v>SCRUB - TOPBld</v>
      </c>
      <c r="B59" t="s">
        <v>37</v>
      </c>
      <c r="D59" t="s">
        <v>45</v>
      </c>
      <c r="E59" s="40">
        <v>6109.9089999999997</v>
      </c>
      <c r="F59" t="s">
        <v>58</v>
      </c>
    </row>
    <row r="60" spans="1:6" x14ac:dyDescent="0.25">
      <c r="A60" t="str">
        <f t="shared" si="1"/>
        <v>T-SHIRTBld</v>
      </c>
      <c r="B60" t="s">
        <v>59</v>
      </c>
      <c r="D60" t="s">
        <v>45</v>
      </c>
      <c r="E60" s="40">
        <v>6109.9089999999997</v>
      </c>
      <c r="F60" t="s">
        <v>58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23"/>
  <sheetViews>
    <sheetView workbookViewId="0">
      <selection activeCell="B2" sqref="B2"/>
    </sheetView>
  </sheetViews>
  <sheetFormatPr defaultRowHeight="15" x14ac:dyDescent="0.25"/>
  <cols>
    <col min="1" max="1" width="13.28515625" customWidth="1"/>
    <col min="2" max="2" width="18" customWidth="1"/>
    <col min="3" max="3" width="10.28515625" style="40" customWidth="1"/>
    <col min="8" max="8" width="3.28515625" customWidth="1"/>
    <col min="9" max="16" width="9.85546875" customWidth="1"/>
  </cols>
  <sheetData>
    <row r="1" spans="1:16" ht="19.5" customHeight="1" x14ac:dyDescent="0.25"/>
    <row r="2" spans="1:16" ht="15.75" x14ac:dyDescent="0.25">
      <c r="A2" s="73" t="s">
        <v>76</v>
      </c>
    </row>
    <row r="3" spans="1:16" x14ac:dyDescent="0.25">
      <c r="A3" s="57" t="str">
        <f>"Invoice #  "&amp;Data!B1</f>
        <v>Invoice #  401</v>
      </c>
      <c r="B3" s="59"/>
    </row>
    <row r="4" spans="1:16" ht="30" x14ac:dyDescent="0.25">
      <c r="A4" s="62" t="s">
        <v>24</v>
      </c>
      <c r="B4" s="62" t="s">
        <v>18</v>
      </c>
      <c r="C4" s="64" t="s">
        <v>62</v>
      </c>
      <c r="D4" s="62" t="str">
        <f>Report!E2</f>
        <v>Bleached</v>
      </c>
      <c r="E4" s="62" t="str">
        <f>IF(Report!F2&lt;&gt;"",Report!F2,"")</f>
        <v>Dyed</v>
      </c>
      <c r="F4" s="62" t="str">
        <f>IF(Report!G2&lt;&gt;"",Report!G2,"")</f>
        <v>Grand Total</v>
      </c>
      <c r="G4" s="62" t="str">
        <f>IF(Report!H2&lt;&gt;"",Report!H2,"")</f>
        <v/>
      </c>
      <c r="H4" s="63"/>
      <c r="I4" s="67" t="str">
        <f>IF(Report!M2&lt;&gt;"",Report!M2,"")</f>
        <v>Bleached Ctn</v>
      </c>
      <c r="J4" s="68" t="str">
        <f>IF(Report!N2&lt;&gt;"",Report!N2,"")</f>
        <v>Bleached Pcs</v>
      </c>
      <c r="K4" s="67" t="str">
        <f>IF(Report!O2&lt;&gt;"",Report!O2,"")</f>
        <v>Bleached Amt</v>
      </c>
      <c r="L4" s="68" t="str">
        <f>IF(Report!P2&lt;&gt;"",Report!P2,"")</f>
        <v>Dyed Ctn</v>
      </c>
      <c r="M4" s="67" t="str">
        <f>IF(Report!Q2&lt;&gt;"",Report!Q2,"")</f>
        <v>Dyed Pcs</v>
      </c>
      <c r="N4" s="68" t="str">
        <f>IF(Report!U2&lt;&gt;"",Report!U2,"")</f>
        <v xml:space="preserve">Total Amt </v>
      </c>
      <c r="O4" s="67" t="str">
        <f>IF(Report!V2&lt;&gt;"",Report!V2,"")</f>
        <v/>
      </c>
      <c r="P4" s="68" t="str">
        <f>IF(Report!W2&lt;&gt;"",Report!W2,"")</f>
        <v/>
      </c>
    </row>
    <row r="5" spans="1:16" x14ac:dyDescent="0.25">
      <c r="A5" s="60" t="str">
        <f>Report!B6</f>
        <v>PC (65:35)</v>
      </c>
      <c r="B5" s="60">
        <f>Report!Z6</f>
        <v>0</v>
      </c>
      <c r="C5" s="66">
        <f>Report!Y6</f>
        <v>0</v>
      </c>
      <c r="D5" s="61">
        <f>Report!E6</f>
        <v>839.904</v>
      </c>
      <c r="E5" s="61">
        <f>Report!F6</f>
        <v>0</v>
      </c>
      <c r="F5" s="61">
        <f>Report!G6</f>
        <v>839.904</v>
      </c>
      <c r="G5" s="61">
        <f>Report!H6</f>
        <v>0</v>
      </c>
      <c r="H5" s="5"/>
      <c r="I5" s="69">
        <f>Report!M6</f>
        <v>92</v>
      </c>
      <c r="J5" s="70">
        <f>Report!N6</f>
        <v>2208</v>
      </c>
      <c r="K5" s="69">
        <f>Report!O6</f>
        <v>7607.52</v>
      </c>
      <c r="L5" s="70">
        <f>Report!P6</f>
        <v>0</v>
      </c>
      <c r="M5" s="69">
        <f>Report!Q6</f>
        <v>0</v>
      </c>
      <c r="N5" s="70">
        <f>Report!U6</f>
        <v>7607.52</v>
      </c>
      <c r="O5" s="69">
        <f>Report!V6</f>
        <v>0</v>
      </c>
      <c r="P5" s="70">
        <f>Report!W6</f>
        <v>0</v>
      </c>
    </row>
    <row r="6" spans="1:16" x14ac:dyDescent="0.25">
      <c r="A6" s="60" t="str">
        <f>Report!B7</f>
        <v>CVC (55:45)</v>
      </c>
      <c r="B6" s="60">
        <f>Report!Z7</f>
        <v>0</v>
      </c>
      <c r="C6" s="66">
        <f>Report!Y7</f>
        <v>0</v>
      </c>
      <c r="D6" s="61">
        <f>Report!E7</f>
        <v>0</v>
      </c>
      <c r="E6" s="61">
        <f>Report!F7</f>
        <v>296.04000000000002</v>
      </c>
      <c r="F6" s="61">
        <f>Report!G7</f>
        <v>296.04000000000002</v>
      </c>
      <c r="G6" s="61">
        <f>Report!H7</f>
        <v>0</v>
      </c>
      <c r="H6" s="5"/>
      <c r="I6" s="69">
        <f>Report!M7</f>
        <v>0</v>
      </c>
      <c r="J6" s="70">
        <f>Report!N7</f>
        <v>0</v>
      </c>
      <c r="K6" s="69">
        <f>Report!O7</f>
        <v>0</v>
      </c>
      <c r="L6" s="70">
        <f>Report!P7</f>
        <v>94</v>
      </c>
      <c r="M6" s="69">
        <f>Report!Q7</f>
        <v>1368</v>
      </c>
      <c r="N6" s="70">
        <f>Report!U7</f>
        <v>3412.92</v>
      </c>
      <c r="O6" s="69">
        <f>Report!V7</f>
        <v>0</v>
      </c>
      <c r="P6" s="70">
        <f>Report!W7</f>
        <v>0</v>
      </c>
    </row>
    <row r="7" spans="1:16" x14ac:dyDescent="0.25">
      <c r="A7" s="60" t="str">
        <f>Report!B8</f>
        <v>CVC (55:45)</v>
      </c>
      <c r="B7" s="60">
        <f>Report!Z8</f>
        <v>0</v>
      </c>
      <c r="C7" s="66">
        <f>Report!Y8</f>
        <v>0</v>
      </c>
      <c r="D7" s="61">
        <f>Report!E8</f>
        <v>0</v>
      </c>
      <c r="E7" s="61">
        <f>Report!F8</f>
        <v>440.88</v>
      </c>
      <c r="F7" s="61">
        <f>Report!G8</f>
        <v>440.88</v>
      </c>
      <c r="G7" s="61">
        <f>Report!H8</f>
        <v>0</v>
      </c>
      <c r="H7" s="5"/>
      <c r="I7" s="69">
        <f>Report!M8</f>
        <v>0</v>
      </c>
      <c r="J7" s="70">
        <f>Report!N8</f>
        <v>0</v>
      </c>
      <c r="K7" s="69">
        <f>Report!O8</f>
        <v>0</v>
      </c>
      <c r="L7" s="70">
        <f>Report!P8</f>
        <v>157</v>
      </c>
      <c r="M7" s="69">
        <f>Report!Q8</f>
        <v>2616</v>
      </c>
      <c r="N7" s="70">
        <f>Report!U8</f>
        <v>5512.08</v>
      </c>
      <c r="O7" s="69">
        <f>Report!V8</f>
        <v>0</v>
      </c>
      <c r="P7" s="70">
        <f>Report!W8</f>
        <v>0</v>
      </c>
    </row>
    <row r="8" spans="1:16" x14ac:dyDescent="0.25">
      <c r="A8" s="60" t="str">
        <f>Report!B9</f>
        <v>Grand Total</v>
      </c>
      <c r="B8" s="60">
        <f>Report!Z9</f>
        <v>0</v>
      </c>
      <c r="C8" s="66">
        <f>Report!Y9</f>
        <v>0</v>
      </c>
      <c r="D8" s="61">
        <f>Report!E9</f>
        <v>839.904</v>
      </c>
      <c r="E8" s="61">
        <f>Report!F9</f>
        <v>736.92000000000007</v>
      </c>
      <c r="F8" s="61">
        <f>Report!G9</f>
        <v>1576.8240000000001</v>
      </c>
      <c r="G8" s="61">
        <f>Report!H9</f>
        <v>0</v>
      </c>
      <c r="H8" s="5"/>
      <c r="I8" s="69">
        <f>Report!M9</f>
        <v>92</v>
      </c>
      <c r="J8" s="70">
        <f>Report!N9</f>
        <v>2208</v>
      </c>
      <c r="K8" s="69">
        <f>Report!O9</f>
        <v>7607.52</v>
      </c>
      <c r="L8" s="70">
        <f>Report!P9</f>
        <v>251</v>
      </c>
      <c r="M8" s="69">
        <f>Report!Q9</f>
        <v>3984</v>
      </c>
      <c r="N8" s="70">
        <f>Report!U9</f>
        <v>16532.52</v>
      </c>
      <c r="O8" s="69">
        <f>Report!V9</f>
        <v>0</v>
      </c>
      <c r="P8" s="70">
        <f>Report!W9</f>
        <v>0</v>
      </c>
    </row>
    <row r="9" spans="1:16" x14ac:dyDescent="0.25">
      <c r="A9" s="60">
        <f>Report!B10</f>
        <v>0</v>
      </c>
      <c r="B9" s="60">
        <f>Report!Z10</f>
        <v>0</v>
      </c>
      <c r="C9" s="66">
        <f>Report!Y10</f>
        <v>0</v>
      </c>
      <c r="D9" s="61">
        <f>Report!E10</f>
        <v>0</v>
      </c>
      <c r="E9" s="61">
        <f>Report!F10</f>
        <v>0</v>
      </c>
      <c r="F9" s="61">
        <f>Report!G10</f>
        <v>0</v>
      </c>
      <c r="G9" s="61">
        <f>Report!H10</f>
        <v>0</v>
      </c>
      <c r="H9" s="5"/>
      <c r="I9" s="69">
        <f>Report!M10</f>
        <v>0</v>
      </c>
      <c r="J9" s="70">
        <f>Report!N10</f>
        <v>0</v>
      </c>
      <c r="K9" s="69">
        <f>Report!O10</f>
        <v>0</v>
      </c>
      <c r="L9" s="70">
        <f>Report!P10</f>
        <v>0</v>
      </c>
      <c r="M9" s="69">
        <f>Report!Q10</f>
        <v>0</v>
      </c>
      <c r="N9" s="70">
        <f>Report!U10</f>
        <v>0</v>
      </c>
      <c r="O9" s="69">
        <f>Report!V10</f>
        <v>0</v>
      </c>
      <c r="P9" s="70">
        <f>Report!W10</f>
        <v>0</v>
      </c>
    </row>
    <row r="10" spans="1:16" x14ac:dyDescent="0.25">
      <c r="A10" s="60">
        <f>Report!B11</f>
        <v>0</v>
      </c>
      <c r="B10" s="60">
        <f>Report!Z11</f>
        <v>0</v>
      </c>
      <c r="C10" s="66">
        <f>Report!Y11</f>
        <v>0</v>
      </c>
      <c r="D10" s="61">
        <f>Report!E11</f>
        <v>0</v>
      </c>
      <c r="E10" s="61">
        <f>Report!F11</f>
        <v>0</v>
      </c>
      <c r="F10" s="61">
        <f>Report!G11</f>
        <v>0</v>
      </c>
      <c r="G10" s="61">
        <f>Report!H11</f>
        <v>0</v>
      </c>
      <c r="H10" s="5"/>
      <c r="I10" s="69">
        <f>Report!M11</f>
        <v>0</v>
      </c>
      <c r="J10" s="70">
        <f>Report!N11</f>
        <v>0</v>
      </c>
      <c r="K10" s="69">
        <f>Report!O11</f>
        <v>0</v>
      </c>
      <c r="L10" s="70">
        <f>Report!P11</f>
        <v>0</v>
      </c>
      <c r="M10" s="69">
        <f>Report!Q11</f>
        <v>0</v>
      </c>
      <c r="N10" s="70">
        <f>Report!U11</f>
        <v>0</v>
      </c>
      <c r="O10" s="69">
        <f>Report!V11</f>
        <v>0</v>
      </c>
      <c r="P10" s="70">
        <f>Report!W11</f>
        <v>0</v>
      </c>
    </row>
    <row r="11" spans="1:16" x14ac:dyDescent="0.25">
      <c r="A11" s="60"/>
      <c r="B11" s="60"/>
      <c r="C11" s="66"/>
      <c r="D11" s="61"/>
      <c r="E11" s="61"/>
      <c r="F11" s="61"/>
      <c r="G11" s="61"/>
      <c r="H11" s="5"/>
      <c r="I11" s="69"/>
      <c r="J11" s="70"/>
      <c r="K11" s="69"/>
      <c r="L11" s="70"/>
      <c r="M11" s="69"/>
      <c r="N11" s="70"/>
      <c r="O11" s="69"/>
      <c r="P11" s="70"/>
    </row>
    <row r="12" spans="1:16" x14ac:dyDescent="0.25">
      <c r="A12" s="60"/>
      <c r="B12" s="60"/>
      <c r="C12" s="66"/>
      <c r="D12" s="61"/>
      <c r="E12" s="61"/>
      <c r="F12" s="61"/>
      <c r="G12" s="61"/>
      <c r="H12" s="5"/>
      <c r="I12" s="69"/>
      <c r="J12" s="70"/>
      <c r="K12" s="69"/>
      <c r="L12" s="70"/>
      <c r="M12" s="69"/>
      <c r="N12" s="70"/>
      <c r="O12" s="69"/>
      <c r="P12" s="70"/>
    </row>
    <row r="13" spans="1:16" x14ac:dyDescent="0.25">
      <c r="A13" s="60"/>
      <c r="B13" s="60"/>
      <c r="C13" s="66"/>
      <c r="D13" s="61"/>
      <c r="E13" s="61"/>
      <c r="F13" s="61"/>
      <c r="G13" s="61"/>
      <c r="H13" s="5"/>
      <c r="I13" s="69"/>
      <c r="J13" s="70"/>
      <c r="K13" s="69"/>
      <c r="L13" s="70"/>
      <c r="M13" s="69"/>
      <c r="N13" s="70"/>
      <c r="O13" s="69"/>
      <c r="P13" s="70"/>
    </row>
    <row r="14" spans="1:16" x14ac:dyDescent="0.25">
      <c r="A14" s="60"/>
      <c r="B14" s="60"/>
      <c r="C14" s="66"/>
      <c r="D14" s="61"/>
      <c r="E14" s="61"/>
      <c r="F14" s="61"/>
      <c r="G14" s="61"/>
      <c r="H14" s="5"/>
      <c r="I14" s="69"/>
      <c r="J14" s="70"/>
      <c r="K14" s="69"/>
      <c r="L14" s="70"/>
      <c r="M14" s="69"/>
      <c r="N14" s="70"/>
      <c r="O14" s="69"/>
      <c r="P14" s="70"/>
    </row>
    <row r="15" spans="1:16" x14ac:dyDescent="0.25">
      <c r="A15" s="60"/>
      <c r="B15" s="60"/>
      <c r="C15" s="66"/>
      <c r="D15" s="61"/>
      <c r="E15" s="61"/>
      <c r="F15" s="61"/>
      <c r="G15" s="61"/>
      <c r="H15" s="5"/>
      <c r="I15" s="69"/>
      <c r="J15" s="70"/>
      <c r="K15" s="69"/>
      <c r="L15" s="70"/>
      <c r="M15" s="69"/>
      <c r="N15" s="70"/>
      <c r="O15" s="69"/>
      <c r="P15" s="70"/>
    </row>
    <row r="16" spans="1:16" x14ac:dyDescent="0.25">
      <c r="A16" s="60"/>
      <c r="B16" s="60"/>
      <c r="C16" s="66"/>
      <c r="D16" s="61"/>
      <c r="E16" s="61"/>
      <c r="F16" s="61"/>
      <c r="G16" s="61"/>
      <c r="H16" s="5"/>
      <c r="I16" s="69"/>
      <c r="J16" s="70"/>
      <c r="K16" s="69"/>
      <c r="L16" s="70"/>
      <c r="M16" s="69"/>
      <c r="N16" s="70"/>
      <c r="O16" s="69"/>
      <c r="P16" s="70"/>
    </row>
    <row r="17" spans="1:16" x14ac:dyDescent="0.25">
      <c r="A17" s="60"/>
      <c r="B17" s="60"/>
      <c r="C17" s="66"/>
      <c r="D17" s="61"/>
      <c r="E17" s="61"/>
      <c r="F17" s="61"/>
      <c r="G17" s="61"/>
      <c r="H17" s="5"/>
      <c r="I17" s="69"/>
      <c r="J17" s="70"/>
      <c r="K17" s="69"/>
      <c r="L17" s="70"/>
      <c r="M17" s="69"/>
      <c r="N17" s="70"/>
      <c r="O17" s="69"/>
      <c r="P17" s="70"/>
    </row>
    <row r="18" spans="1:16" x14ac:dyDescent="0.25">
      <c r="A18" s="60"/>
      <c r="B18" s="60"/>
      <c r="C18" s="66"/>
      <c r="D18" s="61"/>
      <c r="E18" s="61"/>
      <c r="F18" s="61"/>
      <c r="G18" s="61"/>
      <c r="H18" s="5"/>
      <c r="I18" s="69"/>
      <c r="J18" s="70"/>
      <c r="K18" s="69"/>
      <c r="L18" s="70"/>
      <c r="M18" s="69"/>
      <c r="N18" s="70"/>
      <c r="O18" s="69"/>
      <c r="P18" s="70"/>
    </row>
    <row r="19" spans="1:16" x14ac:dyDescent="0.25">
      <c r="A19" s="60"/>
      <c r="B19" s="60"/>
      <c r="C19" s="66"/>
      <c r="D19" s="61"/>
      <c r="E19" s="61"/>
      <c r="F19" s="61"/>
      <c r="G19" s="61"/>
      <c r="H19" s="5"/>
      <c r="I19" s="69"/>
      <c r="J19" s="70"/>
      <c r="K19" s="69"/>
      <c r="L19" s="70"/>
      <c r="M19" s="69"/>
      <c r="N19" s="70"/>
      <c r="O19" s="69"/>
      <c r="P19" s="70"/>
    </row>
    <row r="20" spans="1:16" x14ac:dyDescent="0.25">
      <c r="A20" s="60"/>
      <c r="B20" s="60"/>
      <c r="C20" s="66"/>
      <c r="D20" s="61"/>
      <c r="E20" s="61"/>
      <c r="F20" s="61"/>
      <c r="G20" s="61"/>
      <c r="H20" s="5"/>
      <c r="I20" s="69"/>
      <c r="J20" s="70"/>
      <c r="K20" s="69"/>
      <c r="L20" s="70"/>
      <c r="M20" s="69"/>
      <c r="N20" s="70"/>
      <c r="O20" s="69"/>
      <c r="P20" s="70"/>
    </row>
    <row r="21" spans="1:16" x14ac:dyDescent="0.25">
      <c r="A21" s="60"/>
      <c r="B21" s="60"/>
      <c r="C21" s="66"/>
      <c r="D21" s="61"/>
      <c r="E21" s="61"/>
      <c r="F21" s="61"/>
      <c r="G21" s="61"/>
      <c r="H21" s="5"/>
      <c r="I21" s="69"/>
      <c r="J21" s="70"/>
      <c r="K21" s="69"/>
      <c r="L21" s="70"/>
      <c r="M21" s="69"/>
      <c r="N21" s="70"/>
      <c r="O21" s="69"/>
      <c r="P21" s="70"/>
    </row>
    <row r="22" spans="1:16" x14ac:dyDescent="0.25">
      <c r="A22" s="60"/>
      <c r="B22" s="60"/>
      <c r="C22" s="66"/>
      <c r="D22" s="61"/>
      <c r="E22" s="61"/>
      <c r="F22" s="61"/>
      <c r="G22" s="61"/>
      <c r="H22" s="5"/>
      <c r="I22" s="69"/>
      <c r="J22" s="70"/>
      <c r="K22" s="69"/>
      <c r="L22" s="70"/>
      <c r="M22" s="69"/>
      <c r="N22" s="70"/>
      <c r="O22" s="69"/>
      <c r="P22" s="70"/>
    </row>
    <row r="23" spans="1:16" x14ac:dyDescent="0.25">
      <c r="A23" s="60"/>
      <c r="B23" s="60"/>
      <c r="C23" s="65" t="s">
        <v>75</v>
      </c>
      <c r="D23" s="58">
        <f>SUM(D5:D22)</f>
        <v>1679.808</v>
      </c>
      <c r="E23" s="58">
        <f t="shared" ref="E23:G23" si="0">SUM(E5:E22)</f>
        <v>1473.8400000000001</v>
      </c>
      <c r="F23" s="58">
        <f t="shared" si="0"/>
        <v>3153.6480000000001</v>
      </c>
      <c r="G23" s="58">
        <f t="shared" si="0"/>
        <v>0</v>
      </c>
      <c r="H23" s="59"/>
      <c r="I23" s="71">
        <f t="shared" ref="I23:P23" si="1">SUM(I5:I22)</f>
        <v>184</v>
      </c>
      <c r="J23" s="72">
        <f t="shared" si="1"/>
        <v>4416</v>
      </c>
      <c r="K23" s="71">
        <f t="shared" si="1"/>
        <v>15215.04</v>
      </c>
      <c r="L23" s="72">
        <f t="shared" si="1"/>
        <v>502</v>
      </c>
      <c r="M23" s="71">
        <f t="shared" si="1"/>
        <v>7968</v>
      </c>
      <c r="N23" s="72">
        <f t="shared" si="1"/>
        <v>33065.040000000001</v>
      </c>
      <c r="O23" s="71">
        <f t="shared" si="1"/>
        <v>0</v>
      </c>
      <c r="P23" s="72">
        <f t="shared" si="1"/>
        <v>0</v>
      </c>
    </row>
  </sheetData>
  <conditionalFormatting sqref="D5:P23">
    <cfRule type="cellIs" dxfId="0" priority="2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_Hide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866775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Report</vt:lpstr>
      <vt:lpstr>Garment</vt:lpstr>
      <vt:lpstr>Report2</vt:lpstr>
      <vt:lpstr>Report3</vt:lpstr>
      <vt:lpstr>Gmt_tbl</vt:lpstr>
      <vt:lpstr>E-Mail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2024-08-01T07:40:43Z</cp:lastPrinted>
  <dcterms:created xsi:type="dcterms:W3CDTF">2022-04-07T06:42:07Z</dcterms:created>
  <dcterms:modified xsi:type="dcterms:W3CDTF">2024-09-21T07:51:01Z</dcterms:modified>
</cp:coreProperties>
</file>